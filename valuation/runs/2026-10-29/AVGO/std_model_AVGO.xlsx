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odel" sheetId="2" state="visible" r:id="rId2"/>
    <sheet xmlns:r="http://schemas.openxmlformats.org/officeDocument/2006/relationships" name="Quarters" sheetId="3" state="visible" r:id="rId3"/>
    <sheet xmlns:r="http://schemas.openxmlformats.org/officeDocument/2006/relationships" name="Valuation" sheetId="4" state="visible" r:id="rId4"/>
    <sheet xmlns:r="http://schemas.openxmlformats.org/officeDocument/2006/relationships" name="Sensitivity" sheetId="5" state="visible" r:id="rId5"/>
    <sheet xmlns:r="http://schemas.openxmlformats.org/officeDocument/2006/relationships" name="Distribution" sheetId="6" state="visible" r:id="rId6"/>
    <sheet xmlns:r="http://schemas.openxmlformats.org/officeDocument/2006/relationships" name="Calc - research target (12m)" sheetId="7" state="visible" r:id="rId7"/>
    <sheet xmlns:r="http://schemas.openxmlformats.org/officeDocument/2006/relationships" name="Calc - downside" sheetId="8" state="visible" r:id="rId8"/>
    <sheet xmlns:r="http://schemas.openxmlformats.org/officeDocument/2006/relationships" name="Calc - upside" sheetId="9" state="visible" r:id="rId9"/>
    <sheet xmlns:r="http://schemas.openxmlformats.org/officeDocument/2006/relationships" name="Agents" sheetId="10" state="visible" r:id="rId10"/>
    <sheet xmlns:r="http://schemas.openxmlformats.org/officeDocument/2006/relationships" name="Sources" sheetId="11" state="visible" r:id="rId11"/>
  </sheets>
  <definedNames/>
  <calcPr calcId="124519" fullCalcOnLoad="1"/>
</workbook>
</file>

<file path=xl/styles.xml><?xml version="1.0" encoding="utf-8"?>
<styleSheet xmlns="http://schemas.openxmlformats.org/spreadsheetml/2006/main">
  <numFmts count="14">
    <numFmt numFmtId="164" formatCode="yyyy-mm-dd"/>
    <numFmt numFmtId="165" formatCode="#,##0;(#,##0)"/>
    <numFmt numFmtId="166" formatCode="0.0%"/>
    <numFmt numFmtId="167" formatCode="0.00&quot;x&quot;"/>
    <numFmt numFmtId="168" formatCode="#,##0.0"/>
    <numFmt numFmtId="169" formatCode="$0.00"/>
    <numFmt numFmtId="170" formatCode="0.0"/>
    <numFmt numFmtId="171" formatCode="0&quot; bp&quot;;-0&quot; bp&quot;"/>
    <numFmt numFmtId="172" formatCode="0.000"/>
    <numFmt numFmtId="173" formatCode="0.0000"/>
    <numFmt numFmtId="174" formatCode="0.0&quot;x&quot;"/>
    <numFmt numFmtId="175" formatCode="+0.0%;-0.0%;0.0%"/>
    <numFmt numFmtId="176" formatCode="yyyy-mm-dd hh:mm"/>
    <numFmt numFmtId="177" formatCode="#,##0.0000"/>
  </numFmts>
  <fonts count="9">
    <font>
      <name val="Calibri"/>
      <family val="2"/>
      <color theme="1"/>
      <sz val="11"/>
      <scheme val="minor"/>
    </font>
    <font>
      <b val="1"/>
    </font>
    <font>
      <color rgb="000000FF"/>
    </font>
    <font>
      <i val="1"/>
      <color rgb="00444444"/>
    </font>
    <font>
      <b val="1"/>
      <sz val="13"/>
    </font>
    <font>
      <i val="1"/>
      <color rgb="00666666"/>
    </font>
    <font>
      <color rgb="00008000"/>
    </font>
    <font>
      <color rgb="007030A0"/>
    </font>
    <font>
      <color rgb="00C55A11"/>
    </font>
  </fonts>
  <fills count="4">
    <fill>
      <patternFill/>
    </fill>
    <fill>
      <patternFill patternType="gray125"/>
    </fill>
    <fill>
      <patternFill patternType="solid">
        <fgColor rgb="00D9E2F0"/>
      </patternFill>
    </fill>
    <fill>
      <patternFill patternType="solid">
        <fgColor rgb="00E8EEF7"/>
      </patternFill>
    </fill>
  </fills>
  <borders count="1">
    <border>
      <left/>
      <right/>
      <top/>
      <bottom/>
      <diagonal/>
    </border>
  </borders>
  <cellStyleXfs count="1">
    <xf numFmtId="0" fontId="0" fillId="0" borderId="0"/>
  </cellStyleXfs>
  <cellXfs count="53">
    <xf numFmtId="0" fontId="0" fillId="0" borderId="0" pivotButton="0" quotePrefix="0" xfId="0"/>
    <xf numFmtId="0" fontId="4" fillId="0" borderId="0" pivotButton="0" quotePrefix="0" xfId="0"/>
    <xf numFmtId="0" fontId="5" fillId="0" borderId="0" pivotButton="0" quotePrefix="0" xfId="0"/>
    <xf numFmtId="0" fontId="1" fillId="3" borderId="0" pivotButton="0" quotePrefix="0" xfId="0"/>
    <xf numFmtId="2" fontId="6" fillId="0" borderId="0" pivotButton="0" quotePrefix="0" xfId="0"/>
    <xf numFmtId="176" fontId="0" fillId="0" borderId="0" pivotButton="0" quotePrefix="0" xfId="0"/>
    <xf numFmtId="2" fontId="1" fillId="0" borderId="0" pivotButton="0" quotePrefix="0" xfId="0"/>
    <xf numFmtId="166" fontId="1" fillId="0" borderId="0" pivotButton="0" quotePrefix="0" xfId="0"/>
    <xf numFmtId="164" fontId="6" fillId="0" borderId="0" pivotButton="0" quotePrefix="0" xfId="0"/>
    <xf numFmtId="2" fontId="0" fillId="0" borderId="0" pivotButton="0" quotePrefix="0" xfId="0"/>
    <xf numFmtId="165" fontId="6" fillId="0" borderId="0" pivotButton="0" quotePrefix="0" xfId="0"/>
    <xf numFmtId="0" fontId="3" fillId="0" borderId="0" pivotButton="0" quotePrefix="0" xfId="0"/>
    <xf numFmtId="166" fontId="6" fillId="0" borderId="0" pivotButton="0" quotePrefix="0" xfId="0"/>
    <xf numFmtId="169" fontId="6" fillId="0" borderId="0" pivotButton="0" quotePrefix="0" xfId="0"/>
    <xf numFmtId="0" fontId="8" fillId="0" borderId="0" pivotButton="0" quotePrefix="0" xfId="0"/>
    <xf numFmtId="169" fontId="8" fillId="0" borderId="0" pivotButton="0" quotePrefix="0" xfId="0"/>
    <xf numFmtId="0" fontId="6" fillId="0" borderId="0" pivotButton="0" quotePrefix="0" xfId="0"/>
    <xf numFmtId="0" fontId="6" fillId="0" borderId="0" applyAlignment="1" pivotButton="0" quotePrefix="0" xfId="0">
      <alignment vertical="top" wrapText="1"/>
    </xf>
    <xf numFmtId="166" fontId="0" fillId="0" borderId="0" pivotButton="0" quotePrefix="0" xfId="0"/>
    <xf numFmtId="0" fontId="1" fillId="0" borderId="0" pivotButton="0" quotePrefix="0" xfId="0"/>
    <xf numFmtId="164" fontId="0" fillId="0" borderId="0" pivotButton="0" quotePrefix="0" xfId="0"/>
    <xf numFmtId="0" fontId="1" fillId="2" borderId="0" pivotButton="0" quotePrefix="0" xfId="0"/>
    <xf numFmtId="0" fontId="0" fillId="2" borderId="0" pivotButton="0" quotePrefix="0" xfId="0"/>
    <xf numFmtId="165" fontId="0" fillId="0" borderId="0" pivotButton="0" quotePrefix="0" xfId="0"/>
    <xf numFmtId="166" fontId="2" fillId="0" borderId="0" pivotButton="0" quotePrefix="0" xfId="0"/>
    <xf numFmtId="165" fontId="1" fillId="0" borderId="0" pivotButton="0" quotePrefix="0" xfId="0"/>
    <xf numFmtId="165" fontId="2" fillId="0" borderId="0" pivotButton="0" quotePrefix="0" xfId="0"/>
    <xf numFmtId="166" fontId="3" fillId="0" borderId="0" pivotButton="0" quotePrefix="0" xfId="0"/>
    <xf numFmtId="168" fontId="0" fillId="0" borderId="0" pivotButton="0" quotePrefix="0" xfId="0"/>
    <xf numFmtId="169" fontId="0" fillId="0" borderId="0" pivotButton="0" quotePrefix="0" xfId="0"/>
    <xf numFmtId="169" fontId="1" fillId="0" borderId="0" pivotButton="0" quotePrefix="0" xfId="0"/>
    <xf numFmtId="165" fontId="7" fillId="0" borderId="0" pivotButton="0" quotePrefix="0" xfId="0"/>
    <xf numFmtId="169" fontId="7" fillId="0" borderId="0" pivotButton="0" quotePrefix="0" xfId="0"/>
    <xf numFmtId="166" fontId="7" fillId="0" borderId="0" pivotButton="0" quotePrefix="0" xfId="0"/>
    <xf numFmtId="171" fontId="3" fillId="0" borderId="0" pivotButton="0" quotePrefix="0" xfId="0"/>
    <xf numFmtId="0" fontId="2" fillId="0" borderId="0" pivotButton="0" quotePrefix="0" xfId="0"/>
    <xf numFmtId="177" fontId="2" fillId="0" borderId="0" pivotButton="0" quotePrefix="0" xfId="0"/>
    <xf numFmtId="4" fontId="6" fillId="0" borderId="0" pivotButton="0" quotePrefix="0" xfId="0"/>
    <xf numFmtId="164" fontId="2" fillId="0" borderId="0" pivotButton="0" quotePrefix="0" xfId="0"/>
    <xf numFmtId="167" fontId="2" fillId="0" borderId="0" pivotButton="0" quotePrefix="0" xfId="0"/>
    <xf numFmtId="168" fontId="2" fillId="0" borderId="0" pivotButton="0" quotePrefix="0" xfId="0"/>
    <xf numFmtId="2" fontId="2" fillId="0" borderId="0" pivotButton="0" quotePrefix="0" xfId="0"/>
    <xf numFmtId="169" fontId="2" fillId="0" borderId="0" pivotButton="0" quotePrefix="0" xfId="0"/>
    <xf numFmtId="170" fontId="2" fillId="0" borderId="0" pivotButton="0" quotePrefix="0" xfId="0"/>
    <xf numFmtId="0" fontId="0" fillId="0" borderId="0" applyAlignment="1" pivotButton="0" quotePrefix="0" xfId="0">
      <alignment vertical="top" wrapText="1"/>
    </xf>
    <xf numFmtId="174" fontId="1" fillId="0" borderId="0" pivotButton="0" quotePrefix="0" xfId="0"/>
    <xf numFmtId="175" fontId="1" fillId="0" borderId="0" pivotButton="0" quotePrefix="0" xfId="0"/>
    <xf numFmtId="170" fontId="0" fillId="0" borderId="0" pivotButton="0" quotePrefix="0" xfId="0"/>
    <xf numFmtId="172" fontId="0" fillId="0" borderId="0" pivotButton="0" quotePrefix="0" xfId="0"/>
    <xf numFmtId="4" fontId="0" fillId="0" borderId="0" pivotButton="0" quotePrefix="0" xfId="0"/>
    <xf numFmtId="173" fontId="6" fillId="0" borderId="0" pivotButton="0" quotePrefix="0" xfId="0"/>
    <xf numFmtId="170" fontId="6" fillId="0" borderId="0" pivotButton="0" quotePrefix="0" xfId="0"/>
    <xf numFmtId="173"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https://home.treasury.gov/resource-center/data-chart-center/interest-rates/daily-treasury-rates.csv/2026/all?type=daily_treasury_yield_curve&amp;field_tdr_date_value=2026&amp;page&amp;_format=csv" TargetMode="External" Id="rId1"/><Relationship Type="http://schemas.openxmlformats.org/officeDocument/2006/relationships/hyperlink" Target="https://pages.stern.nyu.edu/~adamodar/New_Home_Page/home.htm" TargetMode="External" Id="rId2"/><Relationship Type="http://schemas.openxmlformats.org/officeDocument/2006/relationships/hyperlink" Target="https://stockanalysis.com/stocks/avgo/statistics/" TargetMode="External" Id="rId3"/><Relationship Type="http://schemas.openxmlformats.org/officeDocument/2006/relationships/hyperlink" Target="https://finviz.com/screener.ashx?v=121&amp;t=AVGO,NVDA,AMD,MRVL,TSM,ANET,ALAB,CRDO,QCOM,COHR,CSCO,ADI,ARM,MU" TargetMode="External" Id="rId4"/><Relationship Type="http://schemas.openxmlformats.org/officeDocument/2006/relationships/hyperlink" Target="https://stockanalysis.com/stocks/csco/forecast/" TargetMode="External" Id="rId5"/><Relationship Type="http://schemas.openxmlformats.org/officeDocument/2006/relationships/hyperlink" Target="https://stockanalysis.com/stocks/cohr/forecast/" TargetMode="External" Id="rId6"/><Relationship Type="http://schemas.openxmlformats.org/officeDocument/2006/relationships/hyperlink" Target="https://stockanalysis.com/stocks/crdo/forecast/" TargetMode="External" Id="rId7"/><Relationship Type="http://schemas.openxmlformats.org/officeDocument/2006/relationships/hyperlink" Target="https://www.sec.gov/Archives/edgar/data/1730168/000173016826000080/R17.htm" TargetMode="External" Id="rId8"/><Relationship Type="http://schemas.openxmlformats.org/officeDocument/2006/relationships/hyperlink" Target="https://www.sec.gov/Archives/edgar/data/1730168/000173016826000080/R53.htm" TargetMode="External" Id="rId9"/><Relationship Type="http://schemas.openxmlformats.org/officeDocument/2006/relationships/hyperlink" Target="https://www.sec.gov/Archives/edgar/data/1730168/000173016826000080/R54.htm" TargetMode="External" Id="rId10"/><Relationship Type="http://schemas.openxmlformats.org/officeDocument/2006/relationships/hyperlink" Target="https://www.sec.gov/Archives/edgar/data/1730168/000173016826000080/avgo-20260802.htm" TargetMode="External" Id="rId11"/><Relationship Type="http://schemas.openxmlformats.org/officeDocument/2006/relationships/hyperlink" Target="https://www.sec.gov/Archives/edgar/data/1730168/000173016826000054/R52.htm" TargetMode="External" Id="rId12"/><Relationship Type="http://schemas.openxmlformats.org/officeDocument/2006/relationships/hyperlink" Target="https://www.sec.gov/Archives/edgar/data/1730168/000173016825000098/R59.htm" TargetMode="External" Id="rId13"/><Relationship Type="http://schemas.openxmlformats.org/officeDocument/2006/relationships/hyperlink" Target="https://www.sec.gov/Archives/edgar/data/1730168/000173016826000076/avgo-08022026x8kxex99.htm" TargetMode="External" Id="rId14"/><Relationship Type="http://schemas.openxmlformats.org/officeDocument/2006/relationships/hyperlink" Target="https://www.sec.gov/Archives/edgar/data/1730168/000173016826000051/avgo-05032026x8kxex99.htm" TargetMode="External" Id="rId15"/><Relationship Type="http://schemas.openxmlformats.org/officeDocument/2006/relationships/hyperlink" Target="https://www.webull.com/news/15511095937917952" TargetMode="External" Id="rId16"/><Relationship Type="http://schemas.openxmlformats.org/officeDocument/2006/relationships/hyperlink" Target="https://www.fool.com/earnings/call-transcripts/2026/09/09/broadcom-avgo-q3-2026-earnings-call-transcript/" TargetMode="External" Id="rId17"/><Relationship Type="http://schemas.openxmlformats.org/officeDocument/2006/relationships/hyperlink" Target="https://finance.yahoo.com/quote/AVGO/analysis/" TargetMode="External" Id="rId18"/><Relationship Type="http://schemas.openxmlformats.org/officeDocument/2006/relationships/hyperlink" Target="https://investor.tsmc.com/english/quarterly-results" TargetMode="External" Id="rId19"/><Relationship Type="http://schemas.openxmlformats.org/officeDocument/2006/relationships/hyperlink" Target="/mnt/project-files/adhoc/nvda_customer_capex.md" TargetMode="External" Id="rId20"/><Relationship Type="http://schemas.openxmlformats.org/officeDocument/2006/relationships/hyperlink" Target="/mnt/project-files/valuation/data/daily_AVGO.csv" TargetMode="External" Id="rId21"/><Relationship Type="http://schemas.openxmlformats.org/officeDocument/2006/relationships/hyperlink" Target="https://home.treasury.gov/resource-center/data-chart-center/interest-rates/daily-treasury-rates.csv/2026/all?type=daily_treasury_yield_curve&amp;field_tdr_date_value=2026&amp;page&amp;_format=csv" TargetMode="External" Id="rId22"/><Relationship Type="http://schemas.openxmlformats.org/officeDocument/2006/relationships/hyperlink" Target="https://pages.stern.nyu.edu/~adamodar/New_Home_Page/home.htm" TargetMode="External" Id="rId23"/><Relationship Type="http://schemas.openxmlformats.org/officeDocument/2006/relationships/hyperlink" Target="https://stockanalysis.com/stocks/avgo/statistics/" TargetMode="External" Id="rId24"/><Relationship Type="http://schemas.openxmlformats.org/officeDocument/2006/relationships/hyperlink" Target="https://finviz.com/screener.ashx?v=121&amp;t=AVGO,NVDA,AMD,MRVL,TSM,ANET,ALAB,CRDO,QCOM,COHR,CSCO,ADI,ARM,MU" TargetMode="External" Id="rId25"/><Relationship Type="http://schemas.openxmlformats.org/officeDocument/2006/relationships/hyperlink" Target="https://stockanalysis.com/stocks/csco/forecast/" TargetMode="External" Id="rId26"/><Relationship Type="http://schemas.openxmlformats.org/officeDocument/2006/relationships/hyperlink" Target="https://stockanalysis.com/stocks/cohr/forecast/" TargetMode="External" Id="rId27"/><Relationship Type="http://schemas.openxmlformats.org/officeDocument/2006/relationships/hyperlink" Target="https://stockanalysis.com/stocks/crdo/forecast/" TargetMode="External" Id="rId28"/><Relationship Type="http://schemas.openxmlformats.org/officeDocument/2006/relationships/hyperlink" Target="https://www.sec.gov/Archives/edgar/data/1730168/000173016826000080/R17.htm" TargetMode="External" Id="rId29"/><Relationship Type="http://schemas.openxmlformats.org/officeDocument/2006/relationships/hyperlink" Target="https://www.sec.gov/Archives/edgar/data/1730168/000173016826000080/R53.htm" TargetMode="External" Id="rId30"/><Relationship Type="http://schemas.openxmlformats.org/officeDocument/2006/relationships/hyperlink" Target="https://www.sec.gov/Archives/edgar/data/1730168/000173016826000080/R54.htm" TargetMode="External" Id="rId31"/><Relationship Type="http://schemas.openxmlformats.org/officeDocument/2006/relationships/hyperlink" Target="https://www.sec.gov/Archives/edgar/data/1730168/000173016826000080/avgo-20260802.htm" TargetMode="External" Id="rId32"/><Relationship Type="http://schemas.openxmlformats.org/officeDocument/2006/relationships/hyperlink" Target="https://www.sec.gov/Archives/edgar/data/1730168/000173016826000054/R52.htm" TargetMode="External" Id="rId33"/><Relationship Type="http://schemas.openxmlformats.org/officeDocument/2006/relationships/hyperlink" Target="https://www.sec.gov/Archives/edgar/data/1730168/000173016825000098/R59.htm" TargetMode="External" Id="rId34"/><Relationship Type="http://schemas.openxmlformats.org/officeDocument/2006/relationships/hyperlink" Target="https://www.sec.gov/Archives/edgar/data/1730168/000173016826000076/avgo-08022026x8kxex99.htm" TargetMode="External" Id="rId35"/><Relationship Type="http://schemas.openxmlformats.org/officeDocument/2006/relationships/hyperlink" Target="https://www.sec.gov/Archives/edgar/data/1730168/000173016826000051/avgo-05032026x8kxex99.htm" TargetMode="External" Id="rId36"/><Relationship Type="http://schemas.openxmlformats.org/officeDocument/2006/relationships/hyperlink" Target="https://www.webull.com/news/15511095937917952" TargetMode="External" Id="rId37"/><Relationship Type="http://schemas.openxmlformats.org/officeDocument/2006/relationships/hyperlink" Target="https://www.fool.com/earnings/call-transcripts/2026/09/09/broadcom-avgo-q3-2026-earnings-call-transcript/" TargetMode="External" Id="rId38"/><Relationship Type="http://schemas.openxmlformats.org/officeDocument/2006/relationships/hyperlink" Target="https://finance.yahoo.com/quote/AVGO/analysis/" TargetMode="External" Id="rId39"/><Relationship Type="http://schemas.openxmlformats.org/officeDocument/2006/relationships/hyperlink" Target="https://investor.tsmc.com/english/quarterly-results" TargetMode="External" Id="rId40"/><Relationship Type="http://schemas.openxmlformats.org/officeDocument/2006/relationships/hyperlink" Target="/mnt/project-files/adhoc/nvda_customer_capex.md" TargetMode="External" Id="rId41"/><Relationship Type="http://schemas.openxmlformats.org/officeDocument/2006/relationships/hyperlink" Target="/mnt/project-files/valuation/data/daily_AVGO.csv" TargetMode="External" Id="rId42"/><Relationship Type="http://schemas.openxmlformats.org/officeDocument/2006/relationships/hyperlink" Target="https://www.sec.gov/Archives/edgar/data/1730168/000173016826000080/R52.htm" TargetMode="External" Id="rId43"/><Relationship Type="http://schemas.openxmlformats.org/officeDocument/2006/relationships/hyperlink" Target="https://www.thestar.com.my/tech/tech-news/2026/10/01/exclusive-broadcom-to-lend-anthropic-up-to-42-billion-to-lease-its-chips-filing-says" TargetMode="External" Id="rId44"/><Relationship Type="http://schemas.openxmlformats.org/officeDocument/2006/relationships/hyperlink" Target="https://finance.yahoo.com/technology/ai/articles/broadcom-arranging-50-billion-openai-060941579.html" TargetMode="External" Id="rId45"/><Relationship Type="http://schemas.openxmlformats.org/officeDocument/2006/relationships/hyperlink" Target="https://finance.yahoo.com/technology/ai/articles/broadcom-raises-60-billion-debt-113047288.html" TargetMode="External" Id="rId46"/><Relationship Type="http://schemas.openxmlformats.org/officeDocument/2006/relationships/hyperlink" Target="https://streetsignal.substack.com/p/streetsignals-five-broadcoms-most" TargetMode="External" Id="rId47"/><Relationship Type="http://schemas.openxmlformats.org/officeDocument/2006/relationships/hyperlink" Target="https://finance.yahoo.com/sectors/technology/articles/anthropic-google-broadcom-tpu-deal-113234906.html" TargetMode="External" Id="rId48"/><Relationship Type="http://schemas.openxmlformats.org/officeDocument/2006/relationships/hyperlink" Target="https://legalclarity.org/historical-default-rates-by-credit-rating/" TargetMode="External" Id="rId49"/><Relationship Type="http://schemas.openxmlformats.org/officeDocument/2006/relationships/hyperlink" Target="https://en.sedaily.com/international/2026/10/19/anthropic-offers-10-percent-yield-on-subordinated-debt-for" TargetMode="External" Id="rId50"/><Relationship Type="http://schemas.openxmlformats.org/officeDocument/2006/relationships/hyperlink" Target="https://www.investing.com/news/stock-market-news/some-investors-push-anthropic-to-cut-ipo-valuation-to-15-trillion--report-4952696" TargetMode="External" Id="rId51"/><Relationship Type="http://schemas.openxmlformats.org/officeDocument/2006/relationships/hyperlink" Target="https://finance.yahoo.com/technology/ai/articles/openai-revenue-20b-below-previous-181839907.html" TargetMode="External" Id="rId52"/><Relationship Type="http://schemas.openxmlformats.org/officeDocument/2006/relationships/hyperlink" Target="https://www.cispe.cloud/?p=25724" TargetMode="External" Id="rId53"/><Relationship Type="http://schemas.openxmlformats.org/officeDocument/2006/relationships/hyperlink" Target="https://www.marketscreener.com/quote/stock/BROADCOM-INC-164566206/finances/" TargetMode="External" Id="rId54"/><Relationship Type="http://schemas.openxmlformats.org/officeDocument/2006/relationships/hyperlink" Target="https://data.sec.gov/api/xbrl/companyfacts/CIK0001730168.json" TargetMode="External" Id="rId55"/><Relationship Type="http://schemas.openxmlformats.org/officeDocument/2006/relationships/hyperlink" Target="https://www.sec.gov/Archives/edgar/data/1730168/000173016826000080/R55.htm" TargetMode="External" Id="rId56"/><Relationship Type="http://schemas.openxmlformats.org/officeDocument/2006/relationships/hyperlink" Target="https://competition-policy.ec.europa.eu/index/fines_en" TargetMode="External" Id="rId57"/><Relationship Type="http://schemas.openxmlformats.org/officeDocument/2006/relationships/hyperlink" Target="https://finance.yahoo.com/quote/AVGO/analysis/" TargetMode="External" Id="rId58"/><Relationship Type="http://schemas.openxmlformats.org/officeDocument/2006/relationships/hyperlink" Target="https://www.sec.gov/Archives/edgar/data/1730168/000173016824000125/avgo-11032024x8kxex99.htm" TargetMode="External" Id="rId59"/><Relationship Type="http://schemas.openxmlformats.org/officeDocument/2006/relationships/hyperlink" Target="https://www.sec.gov/Archives/edgar/data/1730168/000173016825000009/avgo-02022025x8kxex99.htm" TargetMode="External" Id="rId60"/><Relationship Type="http://schemas.openxmlformats.org/officeDocument/2006/relationships/hyperlink" Target="https://www.sec.gov/Archives/edgar/data/1730168/000173016825000061/avgo-05042025x8kxex99.htm" TargetMode="External" Id="rId61"/><Relationship Type="http://schemas.openxmlformats.org/officeDocument/2006/relationships/hyperlink" Target="https://www.sec.gov/Archives/edgar/data/1730168/000173016825000094/avgo-08032025x8kxex99.htm" TargetMode="External" Id="rId62"/><Relationship Type="http://schemas.openxmlformats.org/officeDocument/2006/relationships/hyperlink" Target="https://www.sec.gov/Archives/edgar/data/1730168/000173016825000116/avgo-11022025x8kxex99.htm" TargetMode="External" Id="rId63"/><Relationship Type="http://schemas.openxmlformats.org/officeDocument/2006/relationships/hyperlink" Target="https://www.sec.gov/Archives/edgar/data/1730168/000173016826000011/avgo-02012026x8kxex99.htm" TargetMode="External" Id="rId64"/><Relationship Type="http://schemas.openxmlformats.org/officeDocument/2006/relationships/hyperlink" Target="https://www.sec.gov/Archives/edgar/data/1730168/000173016826000051/avgo-05032026x8kxex99.htm" TargetMode="External" Id="rId65"/><Relationship Type="http://schemas.openxmlformats.org/officeDocument/2006/relationships/hyperlink" Target="https://www.sec.gov/Archives/edgar/data/1730168/000173016826000076/avgo-08022026x8kxex99.htm" TargetMode="External" Id="rId66"/><Relationship Type="http://schemas.openxmlformats.org/officeDocument/2006/relationships/hyperlink" Target="https://www.sec.gov/Archives/edgar/data/1730168/000119312526434271/d148323d8k.htm" TargetMode="External" Id="rId67"/><Relationship Type="http://schemas.openxmlformats.org/officeDocument/2006/relationships/hyperlink" Target="https://www.sec.gov/Archives/edgar/data/1730168/000173016826000080/avgo-20260802_htm.xml" TargetMode="External" Id="rId68"/><Relationship Type="http://schemas.openxmlformats.org/officeDocument/2006/relationships/hyperlink" Target="https://api.nasdaq.com/api/analyst/AVGO/earnings-forecast" TargetMode="External" Id="rId69"/><Relationship Type="http://schemas.openxmlformats.org/officeDocument/2006/relationships/hyperlink" Target="https://api.nasdaq.com/api/company/AVGO/earnings-surprise" TargetMode="External" Id="rId70"/><Relationship Type="http://schemas.openxmlformats.org/officeDocument/2006/relationships/hyperlink" Target="/mnt/project-files/valuation/runs/2026-10-29/AVGO/peers.md" TargetMode="External" Id="rId71"/><Relationship Type="http://schemas.openxmlformats.org/officeDocument/2006/relationships/hyperlink" Target="https://twelvedata.com" TargetMode="External" Id="rId72"/><Relationship Type="http://schemas.openxmlformats.org/officeDocument/2006/relationships/hyperlink" Target="/mnt/project-files/valuation/data/" TargetMode="External" Id="rId73"/><Relationship Type="http://schemas.openxmlformats.org/officeDocument/2006/relationships/hyperlink" Target="https://api.nasdaq.com/api/analyst/NVDA/earnings-forecast" TargetMode="External" Id="rId74"/><Relationship Type="http://schemas.openxmlformats.org/officeDocument/2006/relationships/hyperlink" Target="https://www.sec.gov/Archives/edgar/data/1730168/000173016825000121/" TargetMode="External" Id="rId75"/><Relationship Type="http://schemas.openxmlformats.org/officeDocument/2006/relationships/hyperlink" Target="https://www.sec.gov/Archives/edgar/data/1730168/000173016825000121/" TargetMode="External" Id="rId76"/><Relationship Type="http://schemas.openxmlformats.org/officeDocument/2006/relationships/hyperlink" Target="https://www.sec.gov/Archives/edgar/data/1730168/000173016825000121/" TargetMode="External" Id="rId77"/><Relationship Type="http://schemas.openxmlformats.org/officeDocument/2006/relationships/hyperlink" Target="https://www.sec.gov/Archives/edgar/data/1730168/000173016826000080/" TargetMode="External" Id="rId78"/><Relationship Type="http://schemas.openxmlformats.org/officeDocument/2006/relationships/hyperlink" Target="https://www.sec.gov/Archives/edgar/data/1730168/000173016826000080/" TargetMode="External" Id="rId79"/><Relationship Type="http://schemas.openxmlformats.org/officeDocument/2006/relationships/hyperlink" Target="https://www.sec.gov/Archives/edgar/data/1730168/000173016826000080/" TargetMode="External" Id="rId80"/><Relationship Type="http://schemas.openxmlformats.org/officeDocument/2006/relationships/hyperlink" Target="https://www.sec.gov/Archives/edgar/data/1730168/000173016825000121/" TargetMode="External" Id="rId81"/><Relationship Type="http://schemas.openxmlformats.org/officeDocument/2006/relationships/hyperlink" Target="https://www.sec.gov/Archives/edgar/data/1730168/000173016825000121/" TargetMode="External" Id="rId82"/><Relationship Type="http://schemas.openxmlformats.org/officeDocument/2006/relationships/hyperlink" Target="https://www.sec.gov/Archives/edgar/data/1730168/000173016825000121/" TargetMode="External" Id="rId83"/><Relationship Type="http://schemas.openxmlformats.org/officeDocument/2006/relationships/hyperlink" Target="https://www.sec.gov/Archives/edgar/data/1730168/000173016826000080/" TargetMode="External" Id="rId84"/><Relationship Type="http://schemas.openxmlformats.org/officeDocument/2006/relationships/hyperlink" Target="https://www.sec.gov/Archives/edgar/data/1730168/000173016826000080/" TargetMode="External" Id="rId85"/><Relationship Type="http://schemas.openxmlformats.org/officeDocument/2006/relationships/hyperlink" Target="https://www.sec.gov/Archives/edgar/data/1730168/000173016826000080/" TargetMode="External" Id="rId86"/><Relationship Type="http://schemas.openxmlformats.org/officeDocument/2006/relationships/hyperlink" Target="https://www.sec.gov/Archives/edgar/data/1730168/000173016825000121/" TargetMode="External" Id="rId87"/><Relationship Type="http://schemas.openxmlformats.org/officeDocument/2006/relationships/hyperlink" Target="https://www.sec.gov/Archives/edgar/data/1730168/000173016825000121/" TargetMode="External" Id="rId88"/><Relationship Type="http://schemas.openxmlformats.org/officeDocument/2006/relationships/hyperlink" Target="https://www.sec.gov/Archives/edgar/data/1730168/000173016825000121/" TargetMode="External" Id="rId89"/><Relationship Type="http://schemas.openxmlformats.org/officeDocument/2006/relationships/hyperlink" Target="https://www.sec.gov/Archives/edgar/data/1730168/000173016826000080/" TargetMode="External" Id="rId90"/><Relationship Type="http://schemas.openxmlformats.org/officeDocument/2006/relationships/hyperlink" Target="https://www.sec.gov/Archives/edgar/data/1730168/000173016826000080/" TargetMode="External" Id="rId91"/><Relationship Type="http://schemas.openxmlformats.org/officeDocument/2006/relationships/hyperlink" Target="https://www.sec.gov/Archives/edgar/data/1730168/000173016826000080/" TargetMode="External" Id="rId92"/><Relationship Type="http://schemas.openxmlformats.org/officeDocument/2006/relationships/hyperlink" Target="https://www.sec.gov/Archives/edgar/data/1730168/000173016825000121/" TargetMode="External" Id="rId93"/><Relationship Type="http://schemas.openxmlformats.org/officeDocument/2006/relationships/hyperlink" Target="https://www.sec.gov/Archives/edgar/data/1730168/000173016825000121/" TargetMode="External" Id="rId94"/><Relationship Type="http://schemas.openxmlformats.org/officeDocument/2006/relationships/hyperlink" Target="https://www.sec.gov/Archives/edgar/data/1730168/000173016825000121/" TargetMode="External" Id="rId95"/><Relationship Type="http://schemas.openxmlformats.org/officeDocument/2006/relationships/hyperlink" Target="https://www.sec.gov/Archives/edgar/data/1730168/000173016826000080/" TargetMode="External" Id="rId96"/><Relationship Type="http://schemas.openxmlformats.org/officeDocument/2006/relationships/hyperlink" Target="https://www.sec.gov/Archives/edgar/data/1730168/000173016826000080/" TargetMode="External" Id="rId97"/><Relationship Type="http://schemas.openxmlformats.org/officeDocument/2006/relationships/hyperlink" Target="https://www.sec.gov/Archives/edgar/data/1730168/000173016826000080/" TargetMode="External" Id="rId98"/><Relationship Type="http://schemas.openxmlformats.org/officeDocument/2006/relationships/hyperlink" Target="https://www.sec.gov/Archives/edgar/data/1730168/000173016825000121/" TargetMode="External" Id="rId99"/><Relationship Type="http://schemas.openxmlformats.org/officeDocument/2006/relationships/hyperlink" Target="https://www.sec.gov/Archives/edgar/data/1730168/000173016825000121/" TargetMode="External" Id="rId100"/><Relationship Type="http://schemas.openxmlformats.org/officeDocument/2006/relationships/hyperlink" Target="https://www.sec.gov/Archives/edgar/data/1730168/000173016825000121/" TargetMode="External" Id="rId101"/><Relationship Type="http://schemas.openxmlformats.org/officeDocument/2006/relationships/hyperlink" Target="https://www.sec.gov/Archives/edgar/data/1730168/000173016826000080/" TargetMode="External" Id="rId102"/><Relationship Type="http://schemas.openxmlformats.org/officeDocument/2006/relationships/hyperlink" Target="https://www.sec.gov/Archives/edgar/data/1730168/000173016826000080/" TargetMode="External" Id="rId103"/><Relationship Type="http://schemas.openxmlformats.org/officeDocument/2006/relationships/hyperlink" Target="https://www.sec.gov/Archives/edgar/data/1730168/000173016826000080/" TargetMode="External" Id="rId104"/><Relationship Type="http://schemas.openxmlformats.org/officeDocument/2006/relationships/hyperlink" Target="https://www.sec.gov/Archives/edgar/data/1730168/000173016825000121/" TargetMode="External" Id="rId105"/><Relationship Type="http://schemas.openxmlformats.org/officeDocument/2006/relationships/hyperlink" Target="https://www.sec.gov/Archives/edgar/data/1730168/000173016825000121/" TargetMode="External" Id="rId106"/><Relationship Type="http://schemas.openxmlformats.org/officeDocument/2006/relationships/hyperlink" Target="https://www.sec.gov/Archives/edgar/data/1730168/000173016825000121/" TargetMode="External" Id="rId107"/><Relationship Type="http://schemas.openxmlformats.org/officeDocument/2006/relationships/hyperlink" Target="https://www.sec.gov/Archives/edgar/data/1730168/000173016826000080/" TargetMode="External" Id="rId108"/><Relationship Type="http://schemas.openxmlformats.org/officeDocument/2006/relationships/hyperlink" Target="https://www.sec.gov/Archives/edgar/data/1730168/000173016826000080/" TargetMode="External" Id="rId109"/><Relationship Type="http://schemas.openxmlformats.org/officeDocument/2006/relationships/hyperlink" Target="https://www.sec.gov/Archives/edgar/data/1730168/000173016826000016/" TargetMode="External" Id="rId110"/><Relationship Type="http://schemas.openxmlformats.org/officeDocument/2006/relationships/hyperlink" Target="https://www.sec.gov/Archives/edgar/data/1730168/000173016825000121/" TargetMode="External" Id="rId111"/><Relationship Type="http://schemas.openxmlformats.org/officeDocument/2006/relationships/hyperlink" Target="https://www.sec.gov/Archives/edgar/data/1730168/000173016825000121/" TargetMode="External" Id="rId112"/><Relationship Type="http://schemas.openxmlformats.org/officeDocument/2006/relationships/hyperlink" Target="https://www.sec.gov/Archives/edgar/data/1730168/000173016825000121/" TargetMode="External" Id="rId113"/><Relationship Type="http://schemas.openxmlformats.org/officeDocument/2006/relationships/hyperlink" Target="https://www.sec.gov/Archives/edgar/data/1730168/000173016826000080/" TargetMode="External" Id="rId114"/><Relationship Type="http://schemas.openxmlformats.org/officeDocument/2006/relationships/hyperlink" Target="https://www.sec.gov/Archives/edgar/data/1730168/000173016826000080/" TargetMode="External" Id="rId115"/><Relationship Type="http://schemas.openxmlformats.org/officeDocument/2006/relationships/hyperlink" Target="https://www.sec.gov/Archives/edgar/data/1730168/000173016826000016/" TargetMode="External" Id="rId116"/><Relationship Type="http://schemas.openxmlformats.org/officeDocument/2006/relationships/hyperlink" Target="https://www.sec.gov/Archives/edgar/data/1730168/000173016825000121/" TargetMode="External" Id="rId117"/><Relationship Type="http://schemas.openxmlformats.org/officeDocument/2006/relationships/hyperlink" Target="https://www.sec.gov/Archives/edgar/data/1730168/000173016825000121/" TargetMode="External" Id="rId118"/><Relationship Type="http://schemas.openxmlformats.org/officeDocument/2006/relationships/hyperlink" Target="https://www.sec.gov/Archives/edgar/data/1730168/000173016825000121/" TargetMode="External" Id="rId119"/><Relationship Type="http://schemas.openxmlformats.org/officeDocument/2006/relationships/hyperlink" Target="https://www.sec.gov/Archives/edgar/data/1730168/000173016826000080/" TargetMode="External" Id="rId120"/><Relationship Type="http://schemas.openxmlformats.org/officeDocument/2006/relationships/hyperlink" Target="https://www.sec.gov/Archives/edgar/data/1730168/000173016826000080/" TargetMode="External" Id="rId121"/><Relationship Type="http://schemas.openxmlformats.org/officeDocument/2006/relationships/hyperlink" Target="https://www.sec.gov/Archives/edgar/data/1730168/000173016826000016/" TargetMode="External" Id="rId122"/><Relationship Type="http://schemas.openxmlformats.org/officeDocument/2006/relationships/hyperlink" Target="https://www.sec.gov/Archives/edgar/data/1730168/000173016825000121/" TargetMode="External" Id="rId123"/><Relationship Type="http://schemas.openxmlformats.org/officeDocument/2006/relationships/hyperlink" Target="https://www.sec.gov/Archives/edgar/data/1730168/000173016825000121/" TargetMode="External" Id="rId124"/><Relationship Type="http://schemas.openxmlformats.org/officeDocument/2006/relationships/hyperlink" Target="https://www.sec.gov/Archives/edgar/data/1730168/000173016825000121/" TargetMode="External" Id="rId125"/><Relationship Type="http://schemas.openxmlformats.org/officeDocument/2006/relationships/hyperlink" Target="https://www.sec.gov/Archives/edgar/data/1730168/000173016826000080/" TargetMode="External" Id="rId126"/><Relationship Type="http://schemas.openxmlformats.org/officeDocument/2006/relationships/hyperlink" Target="https://www.sec.gov/Archives/edgar/data/1730168/000173016826000080/" TargetMode="External" Id="rId127"/><Relationship Type="http://schemas.openxmlformats.org/officeDocument/2006/relationships/hyperlink" Target="https://www.sec.gov/Archives/edgar/data/1730168/000173016826000054/" TargetMode="External" Id="rId128"/><Relationship Type="http://schemas.openxmlformats.org/officeDocument/2006/relationships/hyperlink" Target="https://www.sec.gov/Archives/edgar/data/1730168/000173016825000121/" TargetMode="External" Id="rId129"/><Relationship Type="http://schemas.openxmlformats.org/officeDocument/2006/relationships/hyperlink" Target="https://www.sec.gov/Archives/edgar/data/1730168/000173016825000121/" TargetMode="External" Id="rId130"/><Relationship Type="http://schemas.openxmlformats.org/officeDocument/2006/relationships/hyperlink" Target="https://www.sec.gov/Archives/edgar/data/1730168/000173016825000121/" TargetMode="External" Id="rId131"/><Relationship Type="http://schemas.openxmlformats.org/officeDocument/2006/relationships/hyperlink" Target="https://www.sec.gov/Archives/edgar/data/1730168/000173016826000080/" TargetMode="External" Id="rId132"/><Relationship Type="http://schemas.openxmlformats.org/officeDocument/2006/relationships/hyperlink" Target="https://www.sec.gov/Archives/edgar/data/1730168/000173016826000080/" TargetMode="External" Id="rId133"/><Relationship Type="http://schemas.openxmlformats.org/officeDocument/2006/relationships/hyperlink" Target="https://www.sec.gov/Archives/edgar/data/1730168/000173016826000080/" TargetMode="External" Id="rId134"/><Relationship Type="http://schemas.openxmlformats.org/officeDocument/2006/relationships/hyperlink" Target="https://www.sec.gov/Archives/edgar/data/1730168/000173016825000121/" TargetMode="External" Id="rId135"/><Relationship Type="http://schemas.openxmlformats.org/officeDocument/2006/relationships/hyperlink" Target="https://www.sec.gov/Archives/edgar/data/1730168/000173016825000121/" TargetMode="External" Id="rId136"/><Relationship Type="http://schemas.openxmlformats.org/officeDocument/2006/relationships/hyperlink" Target="https://www.sec.gov/Archives/edgar/data/1730168/000173016825000121/" TargetMode="External" Id="rId137"/><Relationship Type="http://schemas.openxmlformats.org/officeDocument/2006/relationships/hyperlink" Target="https://www.sec.gov/Archives/edgar/data/1730168/000173016826000080/" TargetMode="External" Id="rId138"/><Relationship Type="http://schemas.openxmlformats.org/officeDocument/2006/relationships/hyperlink" Target="https://www.sec.gov/Archives/edgar/data/1730168/000173016826000080/" TargetMode="External" Id="rId139"/><Relationship Type="http://schemas.openxmlformats.org/officeDocument/2006/relationships/hyperlink" Target="https://www.sec.gov/Archives/edgar/data/1730168/000173016826000080/" TargetMode="External" Id="rId140"/><Relationship Type="http://schemas.openxmlformats.org/officeDocument/2006/relationships/hyperlink" Target="https://www.sec.gov/Archives/edgar/data/1730168/000173016825000121/" TargetMode="External" Id="rId141"/><Relationship Type="http://schemas.openxmlformats.org/officeDocument/2006/relationships/hyperlink" Target="https://www.sec.gov/Archives/edgar/data/1730168/000173016825000121/" TargetMode="External" Id="rId142"/><Relationship Type="http://schemas.openxmlformats.org/officeDocument/2006/relationships/hyperlink" Target="https://www.sec.gov/Archives/edgar/data/1730168/000173016825000121/" TargetMode="External" Id="rId143"/><Relationship Type="http://schemas.openxmlformats.org/officeDocument/2006/relationships/hyperlink" Target="https://www.sec.gov/Archives/edgar/data/1730168/000173016826000080/" TargetMode="External" Id="rId144"/><Relationship Type="http://schemas.openxmlformats.org/officeDocument/2006/relationships/hyperlink" Target="https://www.sec.gov/Archives/edgar/data/1730168/000173016826000080/" TargetMode="External" Id="rId145"/><Relationship Type="http://schemas.openxmlformats.org/officeDocument/2006/relationships/hyperlink" Target="https://www.sec.gov/Archives/edgar/data/1730168/000173016826000080/" TargetMode="External" Id="rId146"/><Relationship Type="http://schemas.openxmlformats.org/officeDocument/2006/relationships/hyperlink" Target="https://www.sec.gov/Archives/edgar/data/1730168/000173016826000080/" TargetMode="External" Id="rId147"/><Relationship Type="http://schemas.openxmlformats.org/officeDocument/2006/relationships/hyperlink" Target="https://www.sec.gov/Archives/edgar/data/1730168/000173016826000080/" TargetMode="External" Id="rId148"/><Relationship Type="http://schemas.openxmlformats.org/officeDocument/2006/relationships/hyperlink" Target="https://www.sec.gov/Archives/edgar/data/1730168/000173016826000080/" TargetMode="External" Id="rId149"/><Relationship Type="http://schemas.openxmlformats.org/officeDocument/2006/relationships/hyperlink" Target="https://www.sec.gov/Archives/edgar/data/1730168/000173016826000080/" TargetMode="External" Id="rId150"/><Relationship Type="http://schemas.openxmlformats.org/officeDocument/2006/relationships/hyperlink" Target="https://www.sec.gov/Archives/edgar/data/1730168/000173016826000080/" TargetMode="External" Id="rId151"/></Relationships>
</file>

<file path=xl/worksheets/sheet1.xml><?xml version="1.0" encoding="utf-8"?>
<worksheet xmlns="http://schemas.openxmlformats.org/spreadsheetml/2006/main">
  <sheetPr>
    <outlinePr summaryBelow="1" summaryRight="1"/>
    <pageSetUpPr/>
  </sheetPr>
  <dimension ref="A1:D54"/>
  <sheetViews>
    <sheetView showGridLines="0" workbookViewId="0">
      <selection activeCell="A1" sqref="A1"/>
    </sheetView>
  </sheetViews>
  <sheetFormatPr baseColWidth="8" defaultRowHeight="15"/>
  <cols>
    <col width="58" customWidth="1" min="1" max="1"/>
    <col width="16" customWidth="1" min="2" max="2"/>
    <col width="16" customWidth="1" min="3" max="3"/>
    <col width="70" customWidth="1" min="4" max="4"/>
  </cols>
  <sheetData>
    <row r="1">
      <c r="A1" s="1" t="inlineStr">
        <is>
          <t>AVGO standard model (trial) · research run 2026-10-29</t>
        </is>
      </c>
    </row>
    <row r="2">
      <c r="A2" s="2" t="inlineStr">
        <is>
          <t>The supervisor's reconciled assumption set as a live model. Trial: shown beside the blended page target, not used for trade levels until its weight is decided. Edit blue cells on Model (drivers) and Valuation (assumptions).</t>
        </is>
      </c>
    </row>
    <row r="3">
      <c r="A3" s="3" t="inlineStr">
        <is>
          <t>Price target box</t>
        </is>
      </c>
      <c r="B3" s="3" t="inlineStr">
        <is>
          <t>Value</t>
        </is>
      </c>
    </row>
    <row r="4">
      <c r="A4" t="inlineStr">
        <is>
          <t>Live price</t>
        </is>
      </c>
      <c r="B4" s="4">
        <f>IFERROR(GOOGLEFINANCE("AVGO","price"),Valuation!$B$66)</f>
        <v/>
      </c>
    </row>
    <row r="5">
      <c r="A5" t="inlineStr">
        <is>
          <t>Price as of</t>
        </is>
      </c>
      <c r="B5" s="5">
        <f>NOW()</f>
        <v/>
      </c>
    </row>
    <row r="6">
      <c r="A6" t="inlineStr">
        <is>
          <t>Model target (12-month median)</t>
        </is>
      </c>
      <c r="B6" s="6">
        <f>Distribution!$B$13</f>
        <v/>
      </c>
    </row>
    <row r="7">
      <c r="A7" t="inlineStr">
        <is>
          <t>Upside to model target from live price</t>
        </is>
      </c>
      <c r="B7" s="7">
        <f>B6/B4-1</f>
        <v/>
      </c>
    </row>
    <row r="8">
      <c r="A8" t="inlineStr">
        <is>
          <t>Research target (12m) (no scenario deltas)</t>
        </is>
      </c>
      <c r="B8" s="4">
        <f>Valuation!$D$6</f>
        <v/>
      </c>
    </row>
    <row r="9">
      <c r="A9" t="inlineStr">
        <is>
          <t>Mean</t>
        </is>
      </c>
      <c r="B9" s="4">
        <f>Distribution!$B$10</f>
        <v/>
      </c>
    </row>
    <row r="10">
      <c r="A10" t="inlineStr">
        <is>
          <t>10th percentile</t>
        </is>
      </c>
      <c r="B10" s="4">
        <f>Distribution!$B$14</f>
        <v/>
      </c>
    </row>
    <row r="11">
      <c r="A11" t="inlineStr">
        <is>
          <t>25th percentile</t>
        </is>
      </c>
      <c r="B11" s="4">
        <f>Distribution!$B$15</f>
        <v/>
      </c>
    </row>
    <row r="12">
      <c r="A12" t="inlineStr">
        <is>
          <t>75th percentile</t>
        </is>
      </c>
      <c r="B12" s="4">
        <f>Distribution!$B$16</f>
        <v/>
      </c>
    </row>
    <row r="13">
      <c r="A13" t="inlineStr">
        <is>
          <t>90th percentile</t>
        </is>
      </c>
      <c r="B13" s="4">
        <f>Distribution!$B$17</f>
        <v/>
      </c>
    </row>
    <row r="14">
      <c r="A14" t="inlineStr">
        <is>
          <t>Target date</t>
        </is>
      </c>
      <c r="B14" s="8">
        <f>Valuation!$B$44</f>
        <v/>
      </c>
    </row>
    <row r="15">
      <c r="A15" t="inlineStr">
        <is>
          <t>Price at the run</t>
        </is>
      </c>
      <c r="B15" s="4">
        <f>Valuation!$B$66</f>
        <v/>
      </c>
    </row>
    <row r="16">
      <c r="A16" t="inlineStr">
        <is>
          <t>Blended page target (options 67% + agents 33%, not live)</t>
        </is>
      </c>
      <c r="B16" s="9" t="n">
        <v>399.2003</v>
      </c>
    </row>
    <row r="17">
      <c r="A17" t="inlineStr">
        <is>
          <t>Supervisor research target (12m) (its own methods)</t>
        </is>
      </c>
      <c r="B17" s="9" t="n">
        <v>488.51</v>
      </c>
    </row>
    <row r="18">
      <c r="A18" t="inlineStr">
        <is>
          <t>Thesis break price (supervisor)</t>
        </is>
      </c>
      <c r="B18" s="9" t="n">
        <v>260</v>
      </c>
    </row>
    <row r="19">
      <c r="A19" t="inlineStr">
        <is>
          <t>Supervisor confidence</t>
        </is>
      </c>
      <c r="B19" t="inlineStr">
        <is>
          <t>low</t>
        </is>
      </c>
    </row>
    <row r="21">
      <c r="A21" s="3" t="inlineStr">
        <is>
          <t>Key estimates</t>
        </is>
      </c>
      <c r="B21" s="3" t="inlineStr">
        <is>
          <t>FY2025A</t>
        </is>
      </c>
      <c r="C21" s="3">
        <f>Model!E5</f>
        <v/>
      </c>
      <c r="D21" s="3">
        <f>Model!F5</f>
        <v/>
      </c>
    </row>
    <row r="22">
      <c r="A22" t="inlineStr">
        <is>
          <t>Net sales</t>
        </is>
      </c>
      <c r="B22" s="10">
        <f>IF(Model!D24="","",Model!D24)</f>
        <v/>
      </c>
      <c r="C22" s="10">
        <f>Model!E24</f>
        <v/>
      </c>
      <c r="D22" s="10">
        <f>Model!F24</f>
        <v/>
      </c>
    </row>
    <row r="23">
      <c r="A23" s="11" t="inlineStr">
        <is>
          <t xml:space="preserve">  % YoY</t>
        </is>
      </c>
      <c r="B23" s="12">
        <f>IF(Model!D25="","",Model!D25)</f>
        <v/>
      </c>
      <c r="C23" s="12">
        <f>Model!E25</f>
        <v/>
      </c>
      <c r="D23" s="12">
        <f>Model!F25</f>
        <v/>
      </c>
    </row>
    <row r="24">
      <c r="A24" t="inlineStr">
        <is>
          <t>Pretax margin</t>
        </is>
      </c>
      <c r="B24" s="12">
        <f>IF(Model!D35="","",Model!D35)</f>
        <v/>
      </c>
      <c r="C24" s="12">
        <f>Model!E35</f>
        <v/>
      </c>
      <c r="D24" s="12">
        <f>Model!F35</f>
        <v/>
      </c>
    </row>
    <row r="25">
      <c r="A25" t="inlineStr">
        <is>
          <t>Diluted EPS (model)</t>
        </is>
      </c>
      <c r="B25" s="13">
        <f>IF(Model!D42="","",Model!D42)</f>
        <v/>
      </c>
      <c r="C25" s="13">
        <f>Model!E42</f>
        <v/>
      </c>
      <c r="D25" s="13">
        <f>Model!F42</f>
        <v/>
      </c>
    </row>
    <row r="26">
      <c r="A26" s="11" t="inlineStr">
        <is>
          <t xml:space="preserve">  % YoY</t>
        </is>
      </c>
      <c r="B26" s="12">
        <f>IF(Model!D43="","",Model!D43)</f>
        <v/>
      </c>
      <c r="C26" s="12">
        <f>Model!E43</f>
        <v/>
      </c>
      <c r="D26" s="12">
        <f>Model!F43</f>
        <v/>
      </c>
    </row>
    <row r="27">
      <c r="A27" t="inlineStr">
        <is>
          <t>Free cash flow to firm</t>
        </is>
      </c>
      <c r="B27" s="10">
        <f>IF(Model!D52="","",Model!D52)</f>
        <v/>
      </c>
      <c r="C27" s="10">
        <f>Model!E52</f>
        <v/>
      </c>
      <c r="D27" s="10">
        <f>Model!F52</f>
        <v/>
      </c>
    </row>
    <row r="28">
      <c r="A28" s="14" t="inlineStr">
        <is>
          <t>Consensus: EPS ()</t>
        </is>
      </c>
      <c r="D28" s="15" t="n">
        <v>17.45</v>
      </c>
    </row>
    <row r="30">
      <c r="A30" s="3" t="inlineStr">
        <is>
          <t>Valuation method</t>
        </is>
      </c>
      <c r="B30" s="3" t="inlineStr">
        <is>
          <t>Value per share</t>
        </is>
      </c>
      <c r="C30" s="3" t="inlineStr">
        <is>
          <t>Weight</t>
        </is>
      </c>
    </row>
    <row r="31">
      <c r="A31" s="16">
        <f>Valuation!A4</f>
        <v/>
      </c>
      <c r="B31" s="4">
        <f>Valuation!D4</f>
        <v/>
      </c>
      <c r="C31" s="12">
        <f>Valuation!E4</f>
        <v/>
      </c>
    </row>
    <row r="33">
      <c r="A33" s="3" t="inlineStr">
        <is>
          <t>Case</t>
        </is>
      </c>
      <c r="B33" s="3" t="inlineStr">
        <is>
          <t>Percentile</t>
        </is>
      </c>
      <c r="C33" s="3" t="inlineStr">
        <is>
          <t>Value at target date</t>
        </is>
      </c>
      <c r="D33" s="3" t="inlineStr">
        <is>
          <t>What has to happen</t>
        </is>
      </c>
    </row>
    <row r="34">
      <c r="A34" s="16">
        <f>Distribution!A4</f>
        <v/>
      </c>
      <c r="B34" s="12">
        <f>Distribution!B4</f>
        <v/>
      </c>
      <c r="C34" s="4">
        <f>Distribution!C4</f>
        <v/>
      </c>
      <c r="D34" s="17">
        <f>Distribution!D4</f>
        <v/>
      </c>
    </row>
    <row r="35">
      <c r="A35" s="16">
        <f>Distribution!A5</f>
        <v/>
      </c>
      <c r="B35" s="12">
        <f>Distribution!B5</f>
        <v/>
      </c>
      <c r="C35" s="4">
        <f>Distribution!C5</f>
        <v/>
      </c>
      <c r="D35" s="17">
        <f>Distribution!D5</f>
        <v/>
      </c>
    </row>
    <row r="36">
      <c r="A36" s="16">
        <f>Distribution!A6</f>
        <v/>
      </c>
      <c r="B36" s="12">
        <f>Distribution!B6</f>
        <v/>
      </c>
      <c r="C36" s="4">
        <f>Distribution!C6</f>
        <v/>
      </c>
      <c r="D36" s="17">
        <f>Distribution!D6</f>
        <v/>
      </c>
    </row>
    <row r="38">
      <c r="A38" s="3" t="inlineStr">
        <is>
          <t>Price at target date</t>
        </is>
      </c>
      <c r="B38" s="3" t="inlineStr">
        <is>
          <t>Probability above</t>
        </is>
      </c>
    </row>
    <row r="39">
      <c r="A39" s="9">
        <f>ROUND(Valuation!$B$66*0.7,0)</f>
        <v/>
      </c>
      <c r="B39" s="18">
        <f>1-NORMSDIST(LN(A39/Distribution!$C$5)/IF(A39&lt;Distribution!$C$5,MAX(Distribution!$B$8,0.02),MAX(Distribution!$B$9,0.02)))</f>
        <v/>
      </c>
    </row>
    <row r="40">
      <c r="A40" s="9">
        <f>ROUND(Valuation!$B$66*0.8,0)</f>
        <v/>
      </c>
      <c r="B40" s="18">
        <f>1-NORMSDIST(LN(A40/Distribution!$C$5)/IF(A40&lt;Distribution!$C$5,MAX(Distribution!$B$8,0.02),MAX(Distribution!$B$9,0.02)))</f>
        <v/>
      </c>
    </row>
    <row r="41">
      <c r="A41" s="9">
        <f>ROUND(Valuation!$B$66*0.9,0)</f>
        <v/>
      </c>
      <c r="B41" s="18">
        <f>1-NORMSDIST(LN(A41/Distribution!$C$5)/IF(A41&lt;Distribution!$C$5,MAX(Distribution!$B$8,0.02),MAX(Distribution!$B$9,0.02)))</f>
        <v/>
      </c>
    </row>
    <row r="42">
      <c r="A42" s="9">
        <f>ROUND(Valuation!$B$66*1.0,0)</f>
        <v/>
      </c>
      <c r="B42" s="18">
        <f>1-NORMSDIST(LN(A42/Distribution!$C$5)/IF(A42&lt;Distribution!$C$5,MAX(Distribution!$B$8,0.02),MAX(Distribution!$B$9,0.02)))</f>
        <v/>
      </c>
    </row>
    <row r="43">
      <c r="A43" s="9">
        <f>ROUND(Valuation!$B$66*1.1,0)</f>
        <v/>
      </c>
      <c r="B43" s="18">
        <f>1-NORMSDIST(LN(A43/Distribution!$C$5)/IF(A43&lt;Distribution!$C$5,MAX(Distribution!$B$8,0.02),MAX(Distribution!$B$9,0.02)))</f>
        <v/>
      </c>
    </row>
    <row r="44">
      <c r="A44" s="9">
        <f>ROUND(Valuation!$B$66*1.2,0)</f>
        <v/>
      </c>
      <c r="B44" s="18">
        <f>1-NORMSDIST(LN(A44/Distribution!$C$5)/IF(A44&lt;Distribution!$C$5,MAX(Distribution!$B$8,0.02),MAX(Distribution!$B$9,0.02)))</f>
        <v/>
      </c>
    </row>
    <row r="45">
      <c r="A45" s="9">
        <f>ROUND(Valuation!$B$66*1.3,0)</f>
        <v/>
      </c>
      <c r="B45" s="18">
        <f>1-NORMSDIST(LN(A45/Distribution!$C$5)/IF(A45&lt;Distribution!$C$5,MAX(Distribution!$B$8,0.02),MAX(Distribution!$B$9,0.02)))</f>
        <v/>
      </c>
    </row>
    <row r="46">
      <c r="A46" s="9">
        <f>ROUND(Valuation!$B$66*1.5,0)</f>
        <v/>
      </c>
      <c r="B46" s="18">
        <f>1-NORMSDIST(LN(A46/Distribution!$C$5)/IF(A46&lt;Distribution!$C$5,MAX(Distribution!$B$8,0.02),MAX(Distribution!$B$9,0.02)))</f>
        <v/>
      </c>
    </row>
    <row r="48">
      <c r="A48" s="3" t="inlineStr">
        <is>
          <t>Model checks</t>
        </is>
      </c>
      <c r="B48" s="3" t="inlineStr">
        <is>
          <t>Status</t>
        </is>
      </c>
    </row>
    <row r="49">
      <c r="A49" t="inlineStr">
        <is>
          <t>Downside below base and upside above base</t>
        </is>
      </c>
      <c r="B49">
        <f>IF(AND(Distribution!C8="",Distribution!C9=""),"ok","FLAG")</f>
        <v/>
      </c>
    </row>
    <row r="50">
      <c r="A50" t="inlineStr">
        <is>
          <t>Projection runs a full year past the target date</t>
        </is>
      </c>
      <c r="B50">
        <f>IF('Calc - research target (12m)'!B56="ok","ok","FLAG")</f>
        <v/>
      </c>
    </row>
    <row r="51">
      <c r="A51" t="inlineStr">
        <is>
          <t>Method weights add up to more than zero</t>
        </is>
      </c>
      <c r="B51">
        <f>IF(SUM(Valuation!E4:E5)&gt;0,"ok","FLAG")</f>
        <v/>
      </c>
    </row>
    <row r="52">
      <c r="A52" t="inlineStr">
        <is>
          <t>Segment base revenues tie to the last reported net sales (within 2%)</t>
        </is>
      </c>
      <c r="B52">
        <f>IF(ABS(Valuation!$B$88/Valuation!$B$49-1)&lt;=0.02,"ok","FLAG")</f>
        <v/>
      </c>
    </row>
    <row r="53">
      <c r="A53" t="inlineStr">
        <is>
          <t>Matches the engine run at publication (target, research target (12m))</t>
        </is>
      </c>
      <c r="B53">
        <f>IF(AND(ABS(Distribution!$B$13-490.1005)&lt;0.01,ABS(Valuation!$D$6-490.1005)&lt;0.01),"ok","inputs edited since publication")</f>
        <v/>
      </c>
    </row>
    <row r="54">
      <c r="A54" s="19" t="inlineStr">
        <is>
          <t>All checks</t>
        </is>
      </c>
      <c r="B54" s="19">
        <f>IF(COUNTIF(B49:B53,"ok")=5,"all ok",5-COUNTIF(B49:B53,"ok")&amp;" to look at")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60" customWidth="1" min="8" max="8"/>
  </cols>
  <sheetData>
    <row r="1">
      <c r="A1" s="1" t="inlineStr">
        <is>
          <t>AVGO: annual model, base case</t>
        </is>
      </c>
    </row>
    <row r="2">
      <c r="A2" s="2" t="inlineStr">
        <is>
          <t>(M of US dollars except per share; fiscal years named by the calendar year they end in)</t>
        </is>
      </c>
    </row>
    <row r="3">
      <c r="A3" s="2" t="inlineStr">
        <is>
          <t>Blue = input · black = formula · green = link to another tab · actuals from SEC filings (fact ids in the last column, links on Sources)</t>
        </is>
      </c>
    </row>
    <row r="5">
      <c r="A5" s="3" t="inlineStr">
        <is>
          <t>Fiscal year</t>
        </is>
      </c>
      <c r="B5" s="3" t="inlineStr">
        <is>
          <t>FY2023A</t>
        </is>
      </c>
      <c r="C5" s="3" t="inlineStr">
        <is>
          <t>FY2024A</t>
        </is>
      </c>
      <c r="D5" s="3" t="inlineStr">
        <is>
          <t>FY2025A</t>
        </is>
      </c>
      <c r="E5" s="3" t="inlineStr">
        <is>
          <t>FY2026E</t>
        </is>
      </c>
      <c r="F5" s="3" t="inlineStr">
        <is>
          <t>FY2027E</t>
        </is>
      </c>
      <c r="G5" s="3" t="inlineStr">
        <is>
          <t>FY2028E</t>
        </is>
      </c>
      <c r="H5" s="3" t="inlineStr">
        <is>
          <t>Source / note</t>
        </is>
      </c>
    </row>
    <row r="6">
      <c r="A6" t="inlineStr">
        <is>
          <t>Period end</t>
        </is>
      </c>
      <c r="B6" s="20" t="n">
        <v>45228</v>
      </c>
      <c r="C6" s="20" t="n">
        <v>45599</v>
      </c>
      <c r="D6" s="20" t="n">
        <v>45963</v>
      </c>
      <c r="E6" s="20">
        <f>IF(DAY(Valuation!$B$48+1)=1,EOMONTH(Valuation!$B$48,12*E7),EDATE(Valuation!$B$48,12*E7))</f>
        <v/>
      </c>
      <c r="F6" s="20">
        <f>IF(DAY(Valuation!$B$48+1)=1,EOMONTH(Valuation!$B$48,12*F7),EDATE(Valuation!$B$48,12*F7))</f>
        <v/>
      </c>
      <c r="G6" s="20">
        <f>IF(DAY(Valuation!$B$48+1)=1,EOMONTH(Valuation!$B$48,12*G7),EDATE(Valuation!$B$48,12*G7))</f>
        <v/>
      </c>
    </row>
    <row r="7">
      <c r="A7" t="inlineStr">
        <is>
          <t>Projection year</t>
        </is>
      </c>
      <c r="B7" t="n">
        <v>-2</v>
      </c>
      <c r="C7" t="n">
        <v>-1</v>
      </c>
      <c r="D7" t="n">
        <v>0</v>
      </c>
      <c r="E7" t="n">
        <v>1</v>
      </c>
      <c r="F7" t="n">
        <v>2</v>
      </c>
      <c r="G7" t="n">
        <v>3</v>
      </c>
    </row>
    <row r="10">
      <c r="A10" s="21" t="inlineStr">
        <is>
          <t>Segment build (blue = input: revenue growth and EBIT margin by segment and year)</t>
        </is>
      </c>
      <c r="B10" s="22" t="n"/>
      <c r="C10" s="22" t="n"/>
      <c r="D10" s="22" t="n"/>
      <c r="E10" s="22" t="n"/>
      <c r="F10" s="22" t="n"/>
      <c r="G10" s="22" t="n"/>
      <c r="H10" s="22" t="n"/>
    </row>
    <row r="11">
      <c r="A11" t="inlineStr">
        <is>
          <t>Semiconductor solutions</t>
        </is>
      </c>
      <c r="D11" s="10">
        <f>Valuation!$B$86</f>
        <v/>
      </c>
      <c r="E11" s="23">
        <f>Valuation!$B$86*(1+E12)</f>
        <v/>
      </c>
      <c r="F11" s="23">
        <f>E11*(1+F12)</f>
        <v/>
      </c>
      <c r="G11" s="23">
        <f>F11*(1+G12)</f>
        <v/>
      </c>
    </row>
    <row r="12">
      <c r="A12" s="11" t="inlineStr">
        <is>
          <t xml:space="preserve">  Revenue growth</t>
        </is>
      </c>
      <c r="E12" s="24" t="n">
        <v>1.028406316132183</v>
      </c>
      <c r="F12" s="24" t="n">
        <v>0.775156160132686</v>
      </c>
      <c r="G12" s="24" t="n">
        <v>0.610559389975587</v>
      </c>
    </row>
    <row r="13">
      <c r="A13" t="inlineStr">
        <is>
          <t xml:space="preserve">  Segment EBIT</t>
        </is>
      </c>
      <c r="E13" s="23">
        <f>E11*E14</f>
        <v/>
      </c>
      <c r="F13" s="23">
        <f>F11*F14</f>
        <v/>
      </c>
      <c r="G13" s="23">
        <f>G11*G14</f>
        <v/>
      </c>
    </row>
    <row r="14">
      <c r="A14" s="11" t="inlineStr">
        <is>
          <t xml:space="preserve">  EBIT margin</t>
        </is>
      </c>
      <c r="E14" s="24" t="n">
        <v>0.6102058932894614</v>
      </c>
      <c r="F14" s="24" t="n">
        <v>0.5890592392778565</v>
      </c>
      <c r="G14" s="24" t="n">
        <v>0.5746085091252743</v>
      </c>
    </row>
    <row r="15">
      <c r="A15" t="inlineStr">
        <is>
          <t>Infrastructure software</t>
        </is>
      </c>
      <c r="D15" s="10">
        <f>Valuation!$B$87</f>
        <v/>
      </c>
      <c r="E15" s="23">
        <f>Valuation!$B$87*(1+E16)</f>
        <v/>
      </c>
      <c r="F15" s="23">
        <f>E15*(1+F16)</f>
        <v/>
      </c>
      <c r="G15" s="23">
        <f>F15*(1+G16)</f>
        <v/>
      </c>
    </row>
    <row r="16">
      <c r="A16" s="11" t="inlineStr">
        <is>
          <t xml:space="preserve">  Revenue growth</t>
        </is>
      </c>
      <c r="E16" s="24" t="n">
        <v>0.1645269895297643</v>
      </c>
      <c r="F16" s="24" t="n">
        <v>0.1443004193671369</v>
      </c>
      <c r="G16" s="24" t="n">
        <v>0.04000777389083243</v>
      </c>
    </row>
    <row r="17">
      <c r="A17" t="inlineStr">
        <is>
          <t xml:space="preserve">  Segment EBIT</t>
        </is>
      </c>
      <c r="E17" s="23">
        <f>E15*E18</f>
        <v/>
      </c>
      <c r="F17" s="23">
        <f>F15*F18</f>
        <v/>
      </c>
      <c r="G17" s="23">
        <f>G15*G18</f>
        <v/>
      </c>
    </row>
    <row r="18">
      <c r="A18" s="11" t="inlineStr">
        <is>
          <t xml:space="preserve">  EBIT margin</t>
        </is>
      </c>
      <c r="E18" s="24" t="n">
        <v>0.8133577964163172</v>
      </c>
      <c r="F18" s="24" t="n">
        <v>0.835</v>
      </c>
      <c r="G18" s="24" t="n">
        <v>0.835</v>
      </c>
    </row>
    <row r="19">
      <c r="A19" t="inlineStr">
        <is>
          <t>Total segment revenue (= net sales)</t>
        </is>
      </c>
      <c r="D19" s="25">
        <f>D11+D15</f>
        <v/>
      </c>
      <c r="E19" s="25">
        <f>E11+E15</f>
        <v/>
      </c>
      <c r="F19" s="25">
        <f>F11+F15</f>
        <v/>
      </c>
      <c r="G19" s="25">
        <f>G11+G15</f>
        <v/>
      </c>
      <c r="H19" s="2" t="inlineStr">
        <is>
          <t>base revenues on Valuation (segment build); net sales = this total</t>
        </is>
      </c>
    </row>
    <row r="20">
      <c r="A20" t="inlineStr">
        <is>
          <t>Total segment EBIT</t>
        </is>
      </c>
      <c r="E20" s="25">
        <f>E13+E17</f>
        <v/>
      </c>
      <c r="F20" s="25">
        <f>F13+F17</f>
        <v/>
      </c>
      <c r="G20" s="25">
        <f>G13+G17</f>
        <v/>
      </c>
    </row>
    <row r="21">
      <c r="A21" t="inlineStr">
        <is>
          <t>Corporate / unallocated EBIT (blue = input)</t>
        </is>
      </c>
      <c r="E21" s="26" t="n">
        <v>-8387</v>
      </c>
      <c r="F21" s="26" t="n">
        <v>-9000</v>
      </c>
      <c r="G21" s="26" t="n">
        <v>-9799.999999999971</v>
      </c>
      <c r="H21" s="2" t="inlineStr">
        <is>
          <t>years[].corporate_ebit; EBIT = total segment EBIT + corporate</t>
        </is>
      </c>
    </row>
    <row r="23">
      <c r="A23" s="21" t="inlineStr">
        <is>
          <t>Sales</t>
        </is>
      </c>
      <c r="B23" s="22" t="n"/>
      <c r="C23" s="22" t="n"/>
      <c r="D23" s="22" t="n"/>
      <c r="E23" s="22" t="n"/>
      <c r="F23" s="22" t="n"/>
      <c r="G23" s="22" t="n"/>
      <c r="H23" s="22" t="n"/>
    </row>
    <row r="24">
      <c r="A24" s="19" t="inlineStr">
        <is>
          <t>Net sales</t>
        </is>
      </c>
      <c r="B24" s="23" t="n">
        <v>35819</v>
      </c>
      <c r="C24" s="23" t="n">
        <v>51574</v>
      </c>
      <c r="D24" s="23" t="n">
        <v>63887</v>
      </c>
      <c r="E24" s="25">
        <f>E19</f>
        <v/>
      </c>
      <c r="F24" s="25">
        <f>F19</f>
        <v/>
      </c>
      <c r="G24" s="25">
        <f>G19</f>
        <v/>
      </c>
      <c r="H24" s="2" t="inlineStr">
        <is>
          <t>SEC XBRL F1, F2, F3</t>
        </is>
      </c>
    </row>
    <row r="25">
      <c r="A25" s="11" t="inlineStr">
        <is>
          <t xml:space="preserve">  % YoY</t>
        </is>
      </c>
      <c r="C25" s="27">
        <f>IF(OR(C24="",B24="",B24=0),"",C24/B24-1)</f>
        <v/>
      </c>
      <c r="D25" s="27">
        <f>IF(OR(D24="",C24="",C24=0),"",D24/C24-1)</f>
        <v/>
      </c>
      <c r="E25" s="27">
        <f>E24/Valuation!$B$49-1</f>
        <v/>
      </c>
      <c r="F25" s="27">
        <f>F24/E24-1</f>
        <v/>
      </c>
      <c r="G25" s="27">
        <f>G24/F24-1</f>
        <v/>
      </c>
    </row>
    <row r="27">
      <c r="A27" s="21" t="inlineStr">
        <is>
          <t>Operating profit</t>
        </is>
      </c>
      <c r="B27" s="22" t="n"/>
      <c r="C27" s="22" t="n"/>
      <c r="D27" s="22" t="n"/>
      <c r="E27" s="22" t="n"/>
      <c r="F27" s="22" t="n"/>
      <c r="G27" s="22" t="n"/>
      <c r="H27" s="22" t="n"/>
    </row>
    <row r="28">
      <c r="A28" t="inlineStr">
        <is>
          <t>EBIT (operating income)</t>
        </is>
      </c>
      <c r="E28" s="23">
        <f>E20+E21</f>
        <v/>
      </c>
      <c r="F28" s="23">
        <f>F20+F21</f>
        <v/>
      </c>
      <c r="G28" s="23">
        <f>G20+G21</f>
        <v/>
      </c>
    </row>
    <row r="29">
      <c r="A29" s="11" t="inlineStr">
        <is>
          <t xml:space="preserve">  EBIT margin</t>
        </is>
      </c>
      <c r="E29" s="27">
        <f>E28/E24</f>
        <v/>
      </c>
      <c r="F29" s="27">
        <f>F28/F24</f>
        <v/>
      </c>
      <c r="G29" s="27">
        <f>G28/G24</f>
        <v/>
      </c>
    </row>
    <row r="30">
      <c r="A30" t="inlineStr">
        <is>
          <t>D&amp;A</t>
        </is>
      </c>
      <c r="E30" s="23">
        <f>E24*E64</f>
        <v/>
      </c>
      <c r="F30" s="23">
        <f>F24*F64</f>
        <v/>
      </c>
      <c r="G30" s="23">
        <f>G24*G64</f>
        <v/>
      </c>
    </row>
    <row r="31">
      <c r="A31" t="inlineStr">
        <is>
          <t>EBITDA</t>
        </is>
      </c>
      <c r="E31" s="23">
        <f>E28+E30</f>
        <v/>
      </c>
      <c r="F31" s="23">
        <f>F28+F30</f>
        <v/>
      </c>
      <c r="G31" s="23">
        <f>G28+G30</f>
        <v/>
      </c>
    </row>
    <row r="32">
      <c r="A32" s="11" t="inlineStr">
        <is>
          <t xml:space="preserve">  EBITDA margin</t>
        </is>
      </c>
      <c r="E32" s="27">
        <f>E31/E24</f>
        <v/>
      </c>
      <c r="F32" s="27">
        <f>F31/F24</f>
        <v/>
      </c>
      <c r="G32" s="27">
        <f>G31/G24</f>
        <v/>
      </c>
    </row>
    <row r="33">
      <c r="A33" t="inlineStr">
        <is>
          <t>Net interest income / (expense)</t>
        </is>
      </c>
      <c r="E33" s="23">
        <f>-Valuation!$B$57*Valuation!$B$55</f>
        <v/>
      </c>
      <c r="F33" s="23">
        <f>-Valuation!$B$57*E58</f>
        <v/>
      </c>
      <c r="G33" s="23">
        <f>-Valuation!$B$57*F58</f>
        <v/>
      </c>
      <c r="H33" s="2" t="inlineStr">
        <is>
          <t>rate x prior year-end net debt (memo roll)</t>
        </is>
      </c>
    </row>
    <row r="34">
      <c r="A34" s="19" t="inlineStr">
        <is>
          <t>Pretax income</t>
        </is>
      </c>
      <c r="B34" s="23" t="n">
        <v>15097</v>
      </c>
      <c r="C34" s="23" t="n">
        <v>9916</v>
      </c>
      <c r="D34" s="23" t="n">
        <v>22729</v>
      </c>
      <c r="E34" s="25">
        <f>E28+E33</f>
        <v/>
      </c>
      <c r="F34" s="25">
        <f>F28+F33</f>
        <v/>
      </c>
      <c r="G34" s="25">
        <f>G28+G33</f>
        <v/>
      </c>
      <c r="H34" s="2" t="inlineStr">
        <is>
          <t>SEC XBRL F76, F77, F78</t>
        </is>
      </c>
    </row>
    <row r="35">
      <c r="A35" s="11" t="inlineStr">
        <is>
          <t xml:space="preserve">  Pretax margin</t>
        </is>
      </c>
      <c r="B35" s="27">
        <f>B34/B24</f>
        <v/>
      </c>
      <c r="C35" s="27">
        <f>C34/C24</f>
        <v/>
      </c>
      <c r="D35" s="27">
        <f>D34/D24</f>
        <v/>
      </c>
      <c r="E35" s="27">
        <f>E34/E24</f>
        <v/>
      </c>
      <c r="F35" s="27">
        <f>F34/F24</f>
        <v/>
      </c>
      <c r="G35" s="27">
        <f>G34/G24</f>
        <v/>
      </c>
    </row>
    <row r="36">
      <c r="A36" t="inlineStr">
        <is>
          <t>Income tax</t>
        </is>
      </c>
      <c r="B36" s="23" t="n">
        <v>1015</v>
      </c>
      <c r="C36" s="23" t="n">
        <v>3748</v>
      </c>
      <c r="D36" s="23" t="n">
        <v>-397</v>
      </c>
      <c r="E36" s="23">
        <f>E34*E63</f>
        <v/>
      </c>
      <c r="F36" s="23">
        <f>F34*F63</f>
        <v/>
      </c>
      <c r="G36" s="23">
        <f>G34*G63</f>
        <v/>
      </c>
      <c r="H36" s="2" t="inlineStr">
        <is>
          <t>SEC XBRL F69, F70, F71</t>
        </is>
      </c>
    </row>
    <row r="37">
      <c r="A37" s="11" t="inlineStr">
        <is>
          <t xml:space="preserve">  Effective tax rate</t>
        </is>
      </c>
      <c r="B37" s="27">
        <f>B36/B34</f>
        <v/>
      </c>
      <c r="C37" s="27">
        <f>C36/C34</f>
        <v/>
      </c>
      <c r="D37" s="27">
        <f>D36/D34</f>
        <v/>
      </c>
      <c r="E37" s="27">
        <f>E36/E34</f>
        <v/>
      </c>
      <c r="F37" s="27">
        <f>F36/F34</f>
        <v/>
      </c>
      <c r="G37" s="27">
        <f>G36/G34</f>
        <v/>
      </c>
    </row>
    <row r="38">
      <c r="A38" s="19" t="inlineStr">
        <is>
          <t>Net income</t>
        </is>
      </c>
      <c r="B38" s="23" t="n">
        <v>14082</v>
      </c>
      <c r="C38" s="23" t="n">
        <v>5895</v>
      </c>
      <c r="D38" s="23" t="n">
        <v>23126</v>
      </c>
      <c r="E38" s="25">
        <f>E34-E36</f>
        <v/>
      </c>
      <c r="F38" s="25">
        <f>F34-F36</f>
        <v/>
      </c>
      <c r="G38" s="25">
        <f>G34-G36</f>
        <v/>
      </c>
      <c r="H38" s="2" t="inlineStr">
        <is>
          <t>SEC XBRL F15, F16, F17</t>
        </is>
      </c>
    </row>
    <row r="39">
      <c r="A39" s="11" t="inlineStr">
        <is>
          <t xml:space="preserve">  % YoY</t>
        </is>
      </c>
      <c r="C39" s="27">
        <f>IF(OR(C38="",B38="",B38=0),"",C38/B38-1)</f>
        <v/>
      </c>
      <c r="D39" s="27">
        <f>IF(OR(D38="",C38="",C38=0),"",D38/C38-1)</f>
        <v/>
      </c>
      <c r="E39" s="27">
        <f>IF(OR(D38="",D38=0),"",E38/D38-1)</f>
        <v/>
      </c>
      <c r="F39" s="27">
        <f>IF(OR(E38="",E38=0),"",F38/E38-1)</f>
        <v/>
      </c>
      <c r="G39" s="27">
        <f>IF(OR(F38="",F38=0),"",G38/F38-1)</f>
        <v/>
      </c>
    </row>
    <row r="40">
      <c r="A40" t="inlineStr">
        <is>
          <t>Diluted shares (M, average)</t>
        </is>
      </c>
      <c r="B40" s="23" t="n">
        <v>4272</v>
      </c>
      <c r="C40" s="23" t="n">
        <v>4778</v>
      </c>
      <c r="D40" s="23" t="n">
        <v>4853</v>
      </c>
      <c r="E40" s="28">
        <f>Valuation!$B$59*(1+Valuation!$B$61)^(E7-0.5-((Valuation!$B$60-Valuation!$B$48)/365.25))</f>
        <v/>
      </c>
      <c r="F40" s="28">
        <f>Valuation!$B$59*(1+Valuation!$B$61)^(F7-0.5-((Valuation!$B$60-Valuation!$B$48)/365.25))</f>
        <v/>
      </c>
      <c r="G40" s="28">
        <f>Valuation!$B$59*(1+Valuation!$B$61)^(G7-0.5-((Valuation!$B$60-Valuation!$B$48)/365.25))</f>
        <v/>
      </c>
      <c r="H40" s="2" t="inlineStr">
        <is>
          <t>diluted count rolled at the annual change to mid-year</t>
        </is>
      </c>
    </row>
    <row r="41">
      <c r="A41" s="11" t="inlineStr">
        <is>
          <t xml:space="preserve">  % YoY</t>
        </is>
      </c>
      <c r="C41" s="27">
        <f>IF(OR(C40="",B40="",B40=0),"",C40/B40-1)</f>
        <v/>
      </c>
      <c r="D41" s="27">
        <f>IF(OR(D40="",C40="",C40=0),"",D40/C40-1)</f>
        <v/>
      </c>
      <c r="E41" s="27">
        <f>IF(OR(D40="",D40=0),"",E40/D40-1)</f>
        <v/>
      </c>
      <c r="F41" s="27">
        <f>IF(OR(E40="",E40=0),"",F40/E40-1)</f>
        <v/>
      </c>
      <c r="G41" s="27">
        <f>IF(OR(F40="",F40=0),"",G40/F40-1)</f>
        <v/>
      </c>
    </row>
    <row r="42">
      <c r="A42" s="19" t="inlineStr">
        <is>
          <t>Diluted EPS</t>
        </is>
      </c>
      <c r="B42" s="29" t="n">
        <v>3.3</v>
      </c>
      <c r="C42" s="29" t="n">
        <v>1.23</v>
      </c>
      <c r="D42" s="29" t="n">
        <v>4.77</v>
      </c>
      <c r="E42" s="30">
        <f>E38/E40</f>
        <v/>
      </c>
      <c r="F42" s="30">
        <f>F38/F40</f>
        <v/>
      </c>
      <c r="G42" s="30">
        <f>G38/G40</f>
        <v/>
      </c>
      <c r="H42" s="2" t="inlineStr">
        <is>
          <t>SEC XBRL F22, F23, F24</t>
        </is>
      </c>
    </row>
    <row r="43">
      <c r="A43" s="11" t="inlineStr">
        <is>
          <t xml:space="preserve">  % YoY</t>
        </is>
      </c>
      <c r="C43" s="27">
        <f>IF(OR(C42="",B42="",B42=0),"",C42/B42-1)</f>
        <v/>
      </c>
      <c r="D43" s="27">
        <f>IF(OR(D42="",C42="",C42=0),"",D42/C42-1)</f>
        <v/>
      </c>
      <c r="E43" s="27">
        <f>IF(OR(D42="",D42=0),"",E42/D42-1)</f>
        <v/>
      </c>
      <c r="F43" s="27">
        <f>IF(OR(E42="",E42=0),"",F42/E42-1)</f>
        <v/>
      </c>
      <c r="G43" s="27">
        <f>IF(OR(F42="",F42=0),"",G42/F42-1)</f>
        <v/>
      </c>
    </row>
    <row r="45">
      <c r="A45" s="21" t="inlineStr">
        <is>
          <t>Cash flow</t>
        </is>
      </c>
      <c r="B45" s="22" t="n"/>
      <c r="C45" s="22" t="n"/>
      <c r="D45" s="22" t="n"/>
      <c r="E45" s="22" t="n"/>
      <c r="F45" s="22" t="n"/>
      <c r="G45" s="22" t="n"/>
      <c r="H45" s="22" t="n"/>
    </row>
    <row r="46">
      <c r="A46" t="inlineStr">
        <is>
          <t>NOPAT (EBIT x (1 - tax))</t>
        </is>
      </c>
      <c r="E46" s="23">
        <f>E28*(1-E63)</f>
        <v/>
      </c>
      <c r="F46" s="23">
        <f>F28*(1-F63)</f>
        <v/>
      </c>
      <c r="G46" s="23">
        <f>G28*(1-G63)</f>
        <v/>
      </c>
    </row>
    <row r="47">
      <c r="A47" t="inlineStr">
        <is>
          <t>+ D&amp;A</t>
        </is>
      </c>
      <c r="B47" s="23">
        <f>B30</f>
        <v/>
      </c>
      <c r="C47" s="23">
        <f>C30</f>
        <v/>
      </c>
      <c r="D47" s="23">
        <f>D30</f>
        <v/>
      </c>
      <c r="E47" s="23">
        <f>E30</f>
        <v/>
      </c>
      <c r="F47" s="23">
        <f>F30</f>
        <v/>
      </c>
      <c r="G47" s="23">
        <f>G30</f>
        <v/>
      </c>
    </row>
    <row r="48">
      <c r="A48" t="inlineStr">
        <is>
          <t>- Capex</t>
        </is>
      </c>
      <c r="B48" s="23" t="n">
        <v>452</v>
      </c>
      <c r="C48" s="23" t="n">
        <v>548</v>
      </c>
      <c r="D48" s="23" t="n">
        <v>623</v>
      </c>
      <c r="E48" s="23">
        <f>E24*E65</f>
        <v/>
      </c>
      <c r="F48" s="23">
        <f>F24*F65</f>
        <v/>
      </c>
      <c r="G48" s="23">
        <f>G24*G65</f>
        <v/>
      </c>
      <c r="H48" s="2" t="inlineStr">
        <is>
          <t>SEC XBRL F48, F49, F50</t>
        </is>
      </c>
    </row>
    <row r="49">
      <c r="A49" s="11" t="inlineStr">
        <is>
          <t xml:space="preserve">  Capex % of sales</t>
        </is>
      </c>
      <c r="B49" s="27">
        <f>B48/B24</f>
        <v/>
      </c>
      <c r="C49" s="27">
        <f>C48/C24</f>
        <v/>
      </c>
      <c r="D49" s="27">
        <f>D48/D24</f>
        <v/>
      </c>
      <c r="E49" s="27">
        <f>E48/E24</f>
        <v/>
      </c>
      <c r="F49" s="27">
        <f>F48/F24</f>
        <v/>
      </c>
      <c r="G49" s="27">
        <f>G48/G24</f>
        <v/>
      </c>
    </row>
    <row r="50">
      <c r="A50" t="inlineStr">
        <is>
          <t>- Working capital increase</t>
        </is>
      </c>
      <c r="E50" s="23">
        <f>E66*(E24-Valuation!$B$49)</f>
        <v/>
      </c>
      <c r="F50" s="23">
        <f>F66*(F24-E24)</f>
        <v/>
      </c>
      <c r="G50" s="23">
        <f>G66*(G24-F24)</f>
        <v/>
      </c>
    </row>
    <row r="51">
      <c r="A51" t="inlineStr">
        <is>
          <t>- Stock comp (adjusted EBIT only)</t>
        </is>
      </c>
      <c r="E51" s="23">
        <f>IF(AND(Valuation!$B$46="adjusted",Valuation!$B$47="cost"),E55*(1-E63),0)</f>
        <v/>
      </c>
      <c r="F51" s="23">
        <f>IF(AND(Valuation!$B$46="adjusted",Valuation!$B$47="cost"),F55*(1-F63),0)</f>
        <v/>
      </c>
      <c r="G51" s="23">
        <f>IF(AND(Valuation!$B$46="adjusted",Valuation!$B$47="cost"),G55*(1-G63),0)</f>
        <v/>
      </c>
    </row>
    <row r="52">
      <c r="A52" s="19" t="inlineStr">
        <is>
          <t>Free cash flow to firm</t>
        </is>
      </c>
      <c r="E52" s="25">
        <f>E46+E47-E48-E50-E51</f>
        <v/>
      </c>
      <c r="F52" s="25">
        <f>F46+F47-F48-F50-F51</f>
        <v/>
      </c>
      <c r="G52" s="25">
        <f>G46+G47-G48-G50-G51</f>
        <v/>
      </c>
      <c r="H52" s="2" t="inlineStr">
        <is>
          <t>what the DCF discounts (Calc tabs)</t>
        </is>
      </c>
    </row>
    <row r="53">
      <c r="A53" t="inlineStr">
        <is>
          <t>Operating cash flow (reported)</t>
        </is>
      </c>
      <c r="B53" s="23" t="n">
        <v>18085</v>
      </c>
      <c r="C53" s="23" t="n">
        <v>19962</v>
      </c>
      <c r="D53" s="23" t="n">
        <v>27537</v>
      </c>
      <c r="H53" s="2" t="inlineStr">
        <is>
          <t>SEC XBRL F41, F42, F43</t>
        </is>
      </c>
    </row>
    <row r="54">
      <c r="A54" t="inlineStr">
        <is>
          <t>FCF (operating cash flow - capex)</t>
        </is>
      </c>
      <c r="B54" s="23">
        <f>B53-B48</f>
        <v/>
      </c>
      <c r="C54" s="23">
        <f>C53-C48</f>
        <v/>
      </c>
      <c r="D54" s="23">
        <f>D53-D48</f>
        <v/>
      </c>
    </row>
    <row r="55">
      <c r="A55" t="inlineStr">
        <is>
          <t>Stock comp (memo)</t>
        </is>
      </c>
      <c r="B55" s="23" t="n">
        <v>2171</v>
      </c>
      <c r="C55" s="23" t="n">
        <v>5741</v>
      </c>
      <c r="D55" s="23" t="n">
        <v>7568</v>
      </c>
      <c r="E55" s="23">
        <f>E24*E67</f>
        <v/>
      </c>
      <c r="F55" s="23">
        <f>F24*F67</f>
        <v/>
      </c>
      <c r="G55" s="23">
        <f>G24*G67</f>
        <v/>
      </c>
      <c r="H55" s="2" t="inlineStr">
        <is>
          <t>SEC XBRL F34, F35, F36</t>
        </is>
      </c>
    </row>
    <row r="56">
      <c r="A56" t="inlineStr">
        <is>
          <t>Buybacks + dividends + other uses</t>
        </is>
      </c>
      <c r="B56" s="23" t="n">
        <v>13469</v>
      </c>
      <c r="C56" s="23" t="n">
        <v>16990</v>
      </c>
      <c r="D56" s="23" t="n">
        <v>13592</v>
      </c>
      <c r="E56" s="23">
        <f>E24*E69+E68+E70</f>
        <v/>
      </c>
      <c r="F56" s="23">
        <f>F24*F69+F68+F70</f>
        <v/>
      </c>
      <c r="G56" s="23">
        <f>G24*G69+G68+G70</f>
        <v/>
      </c>
      <c r="H56" s="2" t="inlineStr">
        <is>
          <t>SEC XBRL F55, F62, F56, F63, F57, F64</t>
        </is>
      </c>
    </row>
    <row r="57">
      <c r="A57" s="11" t="inlineStr">
        <is>
          <t xml:space="preserve">  % of sales</t>
        </is>
      </c>
      <c r="B57" s="27">
        <f>B56/B24</f>
        <v/>
      </c>
      <c r="C57" s="27">
        <f>C56/C24</f>
        <v/>
      </c>
      <c r="D57" s="27">
        <f>D56/D24</f>
        <v/>
      </c>
      <c r="E57" s="27">
        <f>E56/E24</f>
        <v/>
      </c>
      <c r="F57" s="27">
        <f>F56/F24</f>
        <v/>
      </c>
      <c r="G57" s="27">
        <f>G56/G24</f>
        <v/>
      </c>
    </row>
    <row r="58">
      <c r="A58" t="inlineStr">
        <is>
          <t>Net debt / (net cash), year end (memo)</t>
        </is>
      </c>
      <c r="E58" s="23">
        <f>Valuation!$B$55-E52-E33*(1-E63)+E56</f>
        <v/>
      </c>
      <c r="F58" s="23">
        <f>E58-F52-F33*(1-F63)+F56</f>
        <v/>
      </c>
      <c r="G58" s="23">
        <f>F58-G52-G33*(1-G63)+G56</f>
        <v/>
      </c>
      <c r="H58" s="2" t="inlineStr">
        <is>
          <t>rolled from the balance-date figure; feeds interest only</t>
        </is>
      </c>
    </row>
    <row r="60">
      <c r="A60" s="21" t="inlineStr">
        <is>
          <t>Drivers (blue = input; a year left black carries the prior year)</t>
        </is>
      </c>
      <c r="B60" s="22" t="n"/>
      <c r="C60" s="22" t="n"/>
      <c r="D60" s="22" t="n"/>
      <c r="E60" s="22" t="n"/>
      <c r="F60" s="22" t="n"/>
      <c r="G60" s="22" t="n"/>
      <c r="H60" s="22" t="n"/>
    </row>
    <row r="61">
      <c r="A61" t="inlineStr">
        <is>
          <t>Revenue growth</t>
        </is>
      </c>
      <c r="C61" s="18">
        <f>C25</f>
        <v/>
      </c>
      <c r="D61" s="18">
        <f>D25</f>
        <v/>
      </c>
      <c r="E61" s="24">
        <f>E25</f>
        <v/>
      </c>
      <c r="F61" s="18">
        <f>F25</f>
        <v/>
      </c>
      <c r="G61" s="18">
        <f>G25</f>
        <v/>
      </c>
      <c r="H61" s="2" t="inlineStr">
        <is>
          <t>implied by the segment build (edit the segment rows)</t>
        </is>
      </c>
    </row>
    <row r="62">
      <c r="A62" t="inlineStr">
        <is>
          <t>EBIT margin</t>
        </is>
      </c>
      <c r="E62" s="24">
        <f>E29</f>
        <v/>
      </c>
      <c r="F62" s="18">
        <f>F29</f>
        <v/>
      </c>
      <c r="G62" s="18">
        <f>G29</f>
        <v/>
      </c>
      <c r="H62" s="2" t="inlineStr">
        <is>
          <t>implied by the segment build and corporate EBIT</t>
        </is>
      </c>
    </row>
    <row r="63">
      <c r="A63" t="inlineStr">
        <is>
          <t>Tax rate</t>
        </is>
      </c>
      <c r="B63" s="18">
        <f>B37</f>
        <v/>
      </c>
      <c r="C63" s="18">
        <f>C37</f>
        <v/>
      </c>
      <c r="D63" s="18">
        <f>D37</f>
        <v/>
      </c>
      <c r="E63" s="24" t="n">
        <v>0.16</v>
      </c>
      <c r="F63" s="18">
        <f>E63</f>
        <v/>
      </c>
      <c r="G63" s="18">
        <f>F63</f>
        <v/>
      </c>
    </row>
    <row r="64">
      <c r="A64" t="inlineStr">
        <is>
          <t>D&amp;A % revenue</t>
        </is>
      </c>
      <c r="B64" s="18">
        <f>B30/B24</f>
        <v/>
      </c>
      <c r="C64" s="18">
        <f>C30/C24</f>
        <v/>
      </c>
      <c r="D64" s="18">
        <f>D30/D24</f>
        <v/>
      </c>
      <c r="E64" s="24" t="n">
        <v>0.006</v>
      </c>
      <c r="F64" s="18">
        <f>E64</f>
        <v/>
      </c>
      <c r="G64" s="18">
        <f>F64</f>
        <v/>
      </c>
    </row>
    <row r="65">
      <c r="A65" t="inlineStr">
        <is>
          <t>Capex % revenue</t>
        </is>
      </c>
      <c r="B65" s="18">
        <f>B49</f>
        <v/>
      </c>
      <c r="C65" s="18">
        <f>C49</f>
        <v/>
      </c>
      <c r="D65" s="18">
        <f>D49</f>
        <v/>
      </c>
      <c r="E65" s="24" t="n">
        <v>0.023</v>
      </c>
      <c r="F65" s="24" t="n">
        <v>0.015</v>
      </c>
      <c r="G65" s="24" t="n">
        <v>0.01</v>
      </c>
    </row>
    <row r="66">
      <c r="A66" t="inlineStr">
        <is>
          <t>Working capital % of revenue increase</t>
        </is>
      </c>
      <c r="E66" s="24" t="n">
        <v>0.12</v>
      </c>
      <c r="F66" s="18">
        <f>E66</f>
        <v/>
      </c>
      <c r="G66" s="18">
        <f>F66</f>
        <v/>
      </c>
    </row>
    <row r="67">
      <c r="A67" t="inlineStr">
        <is>
          <t>Stock comp % revenue</t>
        </is>
      </c>
      <c r="B67" s="18">
        <f>B55/B24</f>
        <v/>
      </c>
      <c r="C67" s="18">
        <f>C55/C24</f>
        <v/>
      </c>
      <c r="D67" s="18">
        <f>D55/D24</f>
        <v/>
      </c>
      <c r="E67" s="24" t="n">
        <v>0.08</v>
      </c>
      <c r="F67" s="18">
        <f>E67</f>
        <v/>
      </c>
      <c r="G67" s="18">
        <f>F67</f>
        <v/>
      </c>
    </row>
    <row r="68">
      <c r="A68" t="inlineStr">
        <is>
          <t>Shareholder returns ($)</t>
        </is>
      </c>
      <c r="E68" s="26" t="n">
        <v>12420</v>
      </c>
      <c r="F68" s="26" t="n">
        <v>14330</v>
      </c>
      <c r="G68" s="26" t="n">
        <v>15420</v>
      </c>
    </row>
    <row r="69">
      <c r="A69" t="inlineStr">
        <is>
          <t>Shareholder returns % revenue</t>
        </is>
      </c>
      <c r="B69" s="18">
        <f>B57</f>
        <v/>
      </c>
      <c r="C69" s="18">
        <f>C57</f>
        <v/>
      </c>
      <c r="D69" s="18">
        <f>D57</f>
        <v/>
      </c>
      <c r="E69" s="24" t="n">
        <v>0</v>
      </c>
      <c r="F69" s="18">
        <f>E69</f>
        <v/>
      </c>
      <c r="G69" s="18">
        <f>F69</f>
        <v/>
      </c>
    </row>
    <row r="70">
      <c r="A70" t="inlineStr">
        <is>
          <t>Other uses of cash ($: M&amp;A, investments)</t>
        </is>
      </c>
      <c r="E70" s="26" t="n">
        <v>0</v>
      </c>
      <c r="F70" s="23">
        <f>E70</f>
        <v/>
      </c>
      <c r="G70" s="23">
        <f>F70</f>
        <v/>
      </c>
    </row>
    <row r="71">
      <c r="A71" t="inlineStr">
        <is>
          <t>Adj. EBITDA addback % revenue</t>
        </is>
      </c>
      <c r="E71" s="24" t="n">
        <v>0</v>
      </c>
      <c r="F71" s="18">
        <f>E71</f>
        <v/>
      </c>
      <c r="G71" s="18">
        <f>F71</f>
        <v/>
      </c>
    </row>
    <row r="73">
      <c r="A73" s="21" t="inlineStr">
        <is>
          <t>Versus company guidance and street consensus</t>
        </is>
      </c>
      <c r="B73" s="22" t="n"/>
      <c r="C73" s="22" t="n"/>
      <c r="D73" s="22" t="n"/>
      <c r="E73" s="22" t="n"/>
      <c r="F73" s="22" t="n"/>
      <c r="G73" s="22" t="n"/>
      <c r="H73" s="22" t="n"/>
    </row>
    <row r="74">
      <c r="A74" t="inlineStr">
        <is>
          <t>Guidance: AI semiconductor revenue (company figure ($M)), midpoint</t>
        </is>
      </c>
      <c r="F74" s="31">
        <f>AVERAGE(115000.0,115000.0)</f>
        <v/>
      </c>
      <c r="H74" s="2" t="inlineStr">
        <is>
          <t>1.15e+05 to 1.15e+05; as of 2026-09-02; source 37, 38 (Broadcom Q3 FY26 earnings call transcript (Benzinga via Webu)</t>
        </is>
      </c>
    </row>
    <row r="75">
      <c r="A75" t="inlineStr">
        <is>
          <t>Guidance: AI semiconductor revenue (company figure ($M); 'line of sight', not formal guidance), midpoint</t>
        </is>
      </c>
      <c r="G75" s="31">
        <f>AVERAGE(230000.0,230000.0)</f>
        <v/>
      </c>
      <c r="H75" s="2" t="inlineStr">
        <is>
          <t>2.3e+05 to 2.3e+05; as of 2026-09-02; source 37, 38 (Broadcom Q3 FY26 earnings call transcript (Benzinga via Webu)</t>
        </is>
      </c>
    </row>
    <row r="76">
      <c r="A76" t="inlineStr">
        <is>
          <t>Guidance: EPS diluted (non-GAAP (excludes stock comp, acquired-intangible amortization and other non-GAAP items)), midpoint</t>
        </is>
      </c>
      <c r="G76" s="32" t="n">
        <v>30</v>
      </c>
      <c r="H76" s="2" t="inlineStr">
        <is>
          <t>as of 2026-09-02; source 37, 38 (Broadcom Q3 FY26 earnings call transcript (Benzinga via Webu)</t>
        </is>
      </c>
    </row>
    <row r="77">
      <c r="A77" s="11" t="inlineStr">
        <is>
          <t xml:space="preserve">  Model vs guidance midpoint</t>
        </is>
      </c>
      <c r="G77" s="27">
        <f>G42/G76-1</f>
        <v/>
      </c>
    </row>
    <row r="78">
      <c r="A78" t="inlineStr">
        <is>
          <t>Guidance: tax rate (non-GAAP), midpoint</t>
        </is>
      </c>
      <c r="E78" s="33">
        <f>AVERAGE(0.16,0.16)</f>
        <v/>
      </c>
      <c r="H78" s="2" t="inlineStr">
        <is>
          <t>0.16 to 0.16; as of 2026-09-02; source 37 (Broadcom Q3 FY26 earnings call transcript (Benzinga via Webu)</t>
        </is>
      </c>
    </row>
    <row r="79">
      <c r="A79" s="11" t="inlineStr">
        <is>
          <t xml:space="preserve">  Model vs guidance midpoint</t>
        </is>
      </c>
      <c r="E79" s="34">
        <f>(E37-E78)*10000</f>
        <v/>
      </c>
      <c r="H79" s="2">
        <f>IF(E37&lt;0.16,"below the guided range",IF(E37&gt;0.16,"above the guided range","inside the guided range"))</f>
        <v/>
      </c>
    </row>
    <row r="80">
      <c r="A80" t="inlineStr">
        <is>
          <t>Consensus: EPS (Zacks) ()</t>
        </is>
      </c>
      <c r="F80" s="15" t="n">
        <v>17.45</v>
      </c>
      <c r="H80" s="2" t="inlineStr">
        <is>
          <t>as of 2026-10-30; source 69 (Nasdaq.com analyst earnings forecast (Zacks consensus EPS, S)</t>
        </is>
      </c>
    </row>
    <row r="81">
      <c r="A81" t="inlineStr">
        <is>
          <t>Consensus: EPS (Zacks) ()</t>
        </is>
      </c>
      <c r="G81" s="15" t="n">
        <v>28.08</v>
      </c>
      <c r="H81" s="2" t="inlineStr">
        <is>
          <t>as of 2026-10-30; source 69 (Nasdaq.com analyst earnings forecast (Zacks consensus EPS, 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AVGO quarter build (engine values: model_engine.quarter_rows; fiscal years on Model are the sums)</t>
        </is>
      </c>
    </row>
    <row r="2">
      <c r="A2" s="2" t="inlineStr">
        <is>
          <t>Actual quarters are as reported (filings / XBRL); forecast quarters come from the drivers below through driver_build.quarters.</t>
        </is>
      </c>
    </row>
    <row r="4">
      <c r="A4" s="3" t="inlineStr">
        <is>
          <t>Line item</t>
        </is>
      </c>
      <c r="B4" s="3" t="inlineStr">
        <is>
          <t>Q1 FY2026</t>
        </is>
      </c>
      <c r="C4" s="3" t="inlineStr">
        <is>
          <t>Q2 FY2026</t>
        </is>
      </c>
      <c r="D4" s="3" t="inlineStr">
        <is>
          <t>Q3 FY2026</t>
        </is>
      </c>
      <c r="E4" s="3" t="inlineStr">
        <is>
          <t>Q4 FY2026</t>
        </is>
      </c>
      <c r="F4" s="3" t="inlineStr">
        <is>
          <t>Q1 FY2027</t>
        </is>
      </c>
      <c r="G4" s="3" t="inlineStr">
        <is>
          <t>Q2 FY2027</t>
        </is>
      </c>
      <c r="H4" s="3" t="inlineStr">
        <is>
          <t>Q3 FY2027</t>
        </is>
      </c>
      <c r="I4" s="3" t="inlineStr">
        <is>
          <t>Q4 FY2027</t>
        </is>
      </c>
      <c r="J4" s="3" t="inlineStr">
        <is>
          <t>Q1 FY2028</t>
        </is>
      </c>
      <c r="K4" s="3" t="inlineStr">
        <is>
          <t>Q2 FY2028</t>
        </is>
      </c>
      <c r="L4" s="3" t="inlineStr">
        <is>
          <t>Q3 FY2028</t>
        </is>
      </c>
      <c r="M4" s="3" t="inlineStr">
        <is>
          <t>Q4 FY2028</t>
        </is>
      </c>
    </row>
    <row r="5">
      <c r="A5" t="inlineStr">
        <is>
          <t>Reported / forecast</t>
        </is>
      </c>
      <c r="B5" s="2" t="inlineStr">
        <is>
          <t>actual</t>
        </is>
      </c>
      <c r="C5" s="2" t="inlineStr">
        <is>
          <t>actual</t>
        </is>
      </c>
      <c r="D5" s="2" t="inlineStr">
        <is>
          <t>actual</t>
        </is>
      </c>
      <c r="E5" s="35" t="inlineStr">
        <is>
          <t>forecast</t>
        </is>
      </c>
      <c r="F5" s="35" t="inlineStr">
        <is>
          <t>forecast</t>
        </is>
      </c>
      <c r="G5" s="35" t="inlineStr">
        <is>
          <t>forecast</t>
        </is>
      </c>
      <c r="H5" s="35" t="inlineStr">
        <is>
          <t>forecast</t>
        </is>
      </c>
      <c r="I5" s="35" t="inlineStr">
        <is>
          <t>forecast</t>
        </is>
      </c>
      <c r="J5" s="35" t="inlineStr">
        <is>
          <t>forecast</t>
        </is>
      </c>
      <c r="K5" s="35" t="inlineStr">
        <is>
          <t>forecast</t>
        </is>
      </c>
      <c r="L5" s="35" t="inlineStr">
        <is>
          <t>forecast</t>
        </is>
      </c>
      <c r="M5" s="35" t="inlineStr">
        <is>
          <t>forecast</t>
        </is>
      </c>
    </row>
    <row r="6">
      <c r="A6" t="inlineStr">
        <is>
          <t>Quarter end</t>
        </is>
      </c>
      <c r="B6" s="20" t="n">
        <v>46054</v>
      </c>
      <c r="C6" s="20" t="n">
        <v>46145</v>
      </c>
      <c r="D6" s="20" t="n">
        <v>46236</v>
      </c>
      <c r="E6" s="20" t="n">
        <v>46327</v>
      </c>
      <c r="F6" s="20" t="n">
        <v>46418</v>
      </c>
      <c r="G6" s="20" t="n">
        <v>46509</v>
      </c>
      <c r="H6" s="20" t="n">
        <v>46600</v>
      </c>
      <c r="I6" s="20" t="n">
        <v>46691</v>
      </c>
      <c r="J6" s="20" t="n">
        <v>46782</v>
      </c>
      <c r="K6" s="20" t="n">
        <v>46873</v>
      </c>
      <c r="L6" s="20" t="n">
        <v>46964</v>
      </c>
      <c r="M6" s="20" t="n">
        <v>47055</v>
      </c>
    </row>
    <row r="7">
      <c r="A7" t="inlineStr">
        <is>
          <t>Semiconductor solutions: revenue</t>
        </is>
      </c>
      <c r="B7" s="23" t="n">
        <v>12515</v>
      </c>
      <c r="C7" s="23" t="n">
        <v>15009</v>
      </c>
      <c r="D7" s="23" t="n">
        <v>20839</v>
      </c>
      <c r="E7" s="23" t="n">
        <v>26400</v>
      </c>
      <c r="F7" s="23" t="n">
        <v>28850</v>
      </c>
      <c r="G7" s="23" t="n">
        <v>31900</v>
      </c>
      <c r="H7" s="23" t="n">
        <v>33950</v>
      </c>
      <c r="I7" s="23" t="n">
        <v>38016</v>
      </c>
      <c r="J7" s="23" t="n">
        <v>44500</v>
      </c>
      <c r="K7" s="23" t="n">
        <v>50540</v>
      </c>
      <c r="L7" s="23" t="n">
        <v>56580</v>
      </c>
      <c r="M7" s="23" t="n">
        <v>62127</v>
      </c>
    </row>
    <row r="8">
      <c r="A8" t="inlineStr">
        <is>
          <t>Semiconductor solutions: EBIT</t>
        </is>
      </c>
      <c r="B8" s="23" t="n">
        <v>7503</v>
      </c>
      <c r="C8" s="23" t="n">
        <v>9281</v>
      </c>
      <c r="D8" s="23" t="n">
        <v>12770</v>
      </c>
      <c r="E8" s="23" t="n">
        <v>16066.82</v>
      </c>
      <c r="F8" s="23" t="n">
        <v>17259.49</v>
      </c>
      <c r="G8" s="23" t="n">
        <v>18895.58</v>
      </c>
      <c r="H8" s="23" t="n">
        <v>19940.41</v>
      </c>
      <c r="I8" s="23" t="n">
        <v>22082.1</v>
      </c>
      <c r="J8" s="23" t="n">
        <v>25775.32</v>
      </c>
      <c r="K8" s="23" t="n">
        <v>29093.05</v>
      </c>
      <c r="L8" s="23" t="n">
        <v>32451.5</v>
      </c>
      <c r="M8" s="23" t="n">
        <v>35500.97</v>
      </c>
    </row>
    <row r="9">
      <c r="A9" t="inlineStr">
        <is>
          <t>Infrastructure software: revenue</t>
        </is>
      </c>
      <c r="B9" s="23" t="n">
        <v>6796</v>
      </c>
      <c r="C9" s="23" t="n">
        <v>7178</v>
      </c>
      <c r="D9" s="23" t="n">
        <v>8752</v>
      </c>
      <c r="E9" s="23" t="n">
        <v>8750</v>
      </c>
      <c r="F9" s="23" t="n">
        <v>8850</v>
      </c>
      <c r="G9" s="23" t="n">
        <v>8950</v>
      </c>
      <c r="H9" s="23" t="n">
        <v>9050</v>
      </c>
      <c r="I9" s="23" t="n">
        <v>9168</v>
      </c>
      <c r="J9" s="23" t="n">
        <v>9250</v>
      </c>
      <c r="K9" s="23" t="n">
        <v>9320</v>
      </c>
      <c r="L9" s="23" t="n">
        <v>9400</v>
      </c>
      <c r="M9" s="23" t="n">
        <v>9489</v>
      </c>
    </row>
    <row r="10">
      <c r="A10" t="inlineStr">
        <is>
          <t>Infrastructure software: EBIT</t>
        </is>
      </c>
      <c r="B10" s="23" t="n">
        <v>5323</v>
      </c>
      <c r="C10" s="23" t="n">
        <v>5647</v>
      </c>
      <c r="D10" s="23" t="n">
        <v>7325</v>
      </c>
      <c r="E10" s="23" t="n">
        <v>7306.25</v>
      </c>
      <c r="F10" s="23" t="n">
        <v>7389.75</v>
      </c>
      <c r="G10" s="23" t="n">
        <v>7473.25</v>
      </c>
      <c r="H10" s="23" t="n">
        <v>7556.75</v>
      </c>
      <c r="I10" s="23" t="n">
        <v>7655.28</v>
      </c>
      <c r="J10" s="23" t="n">
        <v>7723.75</v>
      </c>
      <c r="K10" s="23" t="n">
        <v>7782.2</v>
      </c>
      <c r="L10" s="23" t="n">
        <v>7849</v>
      </c>
      <c r="M10" s="23" t="n">
        <v>7923.31</v>
      </c>
    </row>
    <row r="11">
      <c r="A11" s="19" t="inlineStr">
        <is>
          <t>Revenue</t>
        </is>
      </c>
      <c r="B11" s="23" t="n">
        <v>19311</v>
      </c>
      <c r="C11" s="23" t="n">
        <v>22187</v>
      </c>
      <c r="D11" s="23" t="n">
        <v>29591</v>
      </c>
      <c r="E11" s="23" t="n">
        <v>35150</v>
      </c>
      <c r="F11" s="23" t="n">
        <v>37700</v>
      </c>
      <c r="G11" s="23" t="n">
        <v>40850</v>
      </c>
      <c r="H11" s="23" t="n">
        <v>43000</v>
      </c>
      <c r="I11" s="23" t="n">
        <v>47184</v>
      </c>
      <c r="J11" s="23" t="n">
        <v>53750</v>
      </c>
      <c r="K11" s="23" t="n">
        <v>59860</v>
      </c>
      <c r="L11" s="23" t="n">
        <v>65980</v>
      </c>
      <c r="M11" s="23" t="n">
        <v>71616</v>
      </c>
    </row>
    <row r="12">
      <c r="A12" s="19" t="inlineStr">
        <is>
          <t>EBIT</t>
        </is>
      </c>
      <c r="B12" s="23" t="n">
        <v>10650</v>
      </c>
      <c r="C12" s="23" t="n">
        <v>12836</v>
      </c>
      <c r="D12" s="23" t="n">
        <v>18076</v>
      </c>
      <c r="E12" s="23" t="n">
        <v>21273.0732</v>
      </c>
      <c r="F12" s="23" t="n">
        <v>22399.242</v>
      </c>
      <c r="G12" s="23" t="n">
        <v>24118.83</v>
      </c>
      <c r="H12" s="23" t="n">
        <v>25247.16</v>
      </c>
      <c r="I12" s="23" t="n">
        <v>27487.384</v>
      </c>
      <c r="J12" s="23" t="n">
        <v>31049.07</v>
      </c>
      <c r="K12" s="23" t="n">
        <v>34425.25</v>
      </c>
      <c r="L12" s="23" t="n">
        <v>37850.5</v>
      </c>
      <c r="M12" s="23" t="n">
        <v>40974.29</v>
      </c>
    </row>
    <row r="13">
      <c r="A13" t="inlineStr">
        <is>
          <t>EBIT margin</t>
        </is>
      </c>
      <c r="B13" s="18" t="n">
        <v>0.551499145564704</v>
      </c>
      <c r="C13" s="18" t="n">
        <v>0.5785369811150674</v>
      </c>
      <c r="D13" s="18" t="n">
        <v>0.6108614105640229</v>
      </c>
      <c r="E13" s="18" t="n">
        <v>0.6052083413940256</v>
      </c>
      <c r="F13" s="18" t="n">
        <v>0.5941443501326259</v>
      </c>
      <c r="G13" s="18" t="n">
        <v>0.59042423500612</v>
      </c>
      <c r="H13" s="18" t="n">
        <v>0.5871432558139534</v>
      </c>
      <c r="I13" s="18" t="n">
        <v>0.5825573075618854</v>
      </c>
      <c r="J13" s="18" t="n">
        <v>0.5776571162790698</v>
      </c>
      <c r="K13" s="18" t="n">
        <v>0.575096057467424</v>
      </c>
      <c r="L13" s="18" t="n">
        <v>0.573666262503789</v>
      </c>
      <c r="M13" s="18" t="n">
        <v>0.572138767873101</v>
      </c>
    </row>
    <row r="14">
      <c r="A14" t="inlineStr">
        <is>
          <t>D&amp;A</t>
        </is>
      </c>
      <c r="B14" s="23" t="n">
        <v>115.866</v>
      </c>
      <c r="C14" s="23" t="n">
        <v>133.122</v>
      </c>
      <c r="D14" s="23" t="n">
        <v>177.546</v>
      </c>
      <c r="E14" s="23" t="n">
        <v>210.9</v>
      </c>
      <c r="F14" s="23" t="n">
        <v>226.2</v>
      </c>
      <c r="G14" s="23" t="n">
        <v>245.1</v>
      </c>
      <c r="H14" s="23" t="n">
        <v>258</v>
      </c>
      <c r="I14" s="23" t="n">
        <v>283.104</v>
      </c>
      <c r="J14" s="23" t="n">
        <v>322.5</v>
      </c>
      <c r="K14" s="23" t="n">
        <v>359.16</v>
      </c>
      <c r="L14" s="23" t="n">
        <v>395.88</v>
      </c>
      <c r="M14" s="23" t="n">
        <v>429.696</v>
      </c>
    </row>
    <row r="15">
      <c r="A15" t="inlineStr">
        <is>
          <t>Capex</t>
        </is>
      </c>
      <c r="B15" s="23" t="n">
        <v>444.153</v>
      </c>
      <c r="C15" s="23" t="n">
        <v>510.301</v>
      </c>
      <c r="D15" s="23" t="n">
        <v>680.593</v>
      </c>
      <c r="E15" s="23" t="n">
        <v>808.45</v>
      </c>
      <c r="F15" s="23" t="n">
        <v>565.5</v>
      </c>
      <c r="G15" s="23" t="n">
        <v>612.75</v>
      </c>
      <c r="H15" s="23" t="n">
        <v>645</v>
      </c>
      <c r="I15" s="23" t="n">
        <v>707.76</v>
      </c>
      <c r="J15" s="23" t="n">
        <v>537.5</v>
      </c>
      <c r="K15" s="23" t="n">
        <v>598.6</v>
      </c>
      <c r="L15" s="23" t="n">
        <v>659.8</v>
      </c>
      <c r="M15" s="23" t="n">
        <v>716.16</v>
      </c>
    </row>
    <row r="16">
      <c r="A16" t="inlineStr">
        <is>
          <t>Stock comp</t>
        </is>
      </c>
      <c r="B16" s="23" t="n">
        <v>1544.88</v>
      </c>
      <c r="C16" s="23" t="n">
        <v>1774.96</v>
      </c>
      <c r="D16" s="23" t="n">
        <v>2367.28</v>
      </c>
      <c r="E16" s="23" t="n">
        <v>2812</v>
      </c>
      <c r="F16" s="23" t="n">
        <v>3016</v>
      </c>
      <c r="G16" s="23" t="n">
        <v>3268</v>
      </c>
      <c r="H16" s="23" t="n">
        <v>3440</v>
      </c>
      <c r="I16" s="23" t="n">
        <v>3774.72</v>
      </c>
      <c r="J16" s="23" t="n">
        <v>4300</v>
      </c>
      <c r="K16" s="23" t="n">
        <v>4788.8</v>
      </c>
      <c r="L16" s="23" t="n">
        <v>5278.4</v>
      </c>
      <c r="M16" s="23" t="n">
        <v>5729.28</v>
      </c>
    </row>
    <row r="17">
      <c r="A17" t="inlineStr">
        <is>
          <t>Free cash flow to firm</t>
        </is>
      </c>
      <c r="B17" s="23" t="n">
        <v>7693.9173</v>
      </c>
      <c r="C17" s="23" t="n">
        <v>9343.6837</v>
      </c>
      <c r="D17" s="23" t="n">
        <v>13265.2247</v>
      </c>
      <c r="E17" s="23" t="n">
        <v>15590.3328</v>
      </c>
      <c r="F17" s="23" t="n">
        <v>16800.4829</v>
      </c>
      <c r="G17" s="23" t="n">
        <v>18076.5847</v>
      </c>
      <c r="H17" s="23" t="n">
        <v>18909.475</v>
      </c>
      <c r="I17" s="23" t="n">
        <v>20567.6488</v>
      </c>
      <c r="J17" s="23" t="n">
        <v>23748.6563</v>
      </c>
      <c r="K17" s="23" t="n">
        <v>26319.4948</v>
      </c>
      <c r="L17" s="23" t="n">
        <v>28931.1182</v>
      </c>
      <c r="M17" s="23" t="n">
        <v>31310.5191</v>
      </c>
    </row>
    <row r="18">
      <c r="A18" s="19" t="inlineStr">
        <is>
          <t>Model EPS (EBIT - interest, model tax and shares)</t>
        </is>
      </c>
      <c r="B18" s="29" t="n">
        <v>1.7496</v>
      </c>
      <c r="C18" s="29" t="n">
        <v>2.1213</v>
      </c>
      <c r="D18" s="29" t="n">
        <v>3.0123</v>
      </c>
      <c r="E18" s="29" t="n">
        <v>3.556</v>
      </c>
      <c r="F18" s="29" t="n">
        <v>3.7475</v>
      </c>
      <c r="G18" s="29" t="n">
        <v>4.0399</v>
      </c>
      <c r="H18" s="29" t="n">
        <v>4.2317</v>
      </c>
      <c r="I18" s="29" t="n">
        <v>4.6126</v>
      </c>
      <c r="J18" s="29" t="n">
        <v>5.2183</v>
      </c>
      <c r="K18" s="29" t="n">
        <v>5.7924</v>
      </c>
      <c r="L18" s="29" t="n">
        <v>6.3748</v>
      </c>
      <c r="M18" s="29" t="n">
        <v>6.906</v>
      </c>
    </row>
    <row r="20">
      <c r="A20" s="19" t="inlineStr">
        <is>
          <t>Drivers by quarter</t>
        </is>
      </c>
    </row>
    <row r="21">
      <c r="A21" t="inlineStr">
        <is>
          <t>AI semiconductor revenue (custom XPUs +  ($M per quarter, sum)</t>
        </is>
      </c>
      <c r="B21" s="26" t="n">
        <v>8400</v>
      </c>
      <c r="C21" s="26" t="n">
        <v>10800</v>
      </c>
      <c r="D21" s="26" t="n">
        <v>16700</v>
      </c>
      <c r="E21" s="26" t="n">
        <v>22100</v>
      </c>
      <c r="F21" s="26" t="n">
        <v>24500</v>
      </c>
      <c r="G21" s="26" t="n">
        <v>27500</v>
      </c>
      <c r="H21" s="26" t="n">
        <v>29500</v>
      </c>
      <c r="I21" s="26" t="n">
        <v>33500</v>
      </c>
      <c r="J21" s="26" t="n">
        <v>40000</v>
      </c>
      <c r="K21" s="26" t="n">
        <v>46000</v>
      </c>
      <c r="L21" s="26" t="n">
        <v>52000</v>
      </c>
      <c r="M21" s="26" t="n">
        <v>57500</v>
      </c>
    </row>
    <row r="22">
      <c r="A22" t="inlineStr">
        <is>
          <t>Custom XPU share of AI semiconductor rev (fraction, wmean:ai_rev)</t>
        </is>
      </c>
      <c r="B22" s="36" t="n">
        <v>0.6667</v>
      </c>
      <c r="C22" s="36" t="n">
        <v>0.61</v>
      </c>
      <c r="D22" s="36" t="n">
        <v>0.73</v>
      </c>
      <c r="E22" s="36" t="n">
        <v>0.72</v>
      </c>
      <c r="F22" s="36" t="n">
        <v>0.72</v>
      </c>
      <c r="G22" s="36" t="n">
        <v>0.73</v>
      </c>
      <c r="H22" s="36" t="n">
        <v>0.73</v>
      </c>
      <c r="I22" s="36" t="n">
        <v>0.74</v>
      </c>
      <c r="J22" s="36" t="n">
        <v>0.74</v>
      </c>
      <c r="K22" s="36" t="n">
        <v>0.75</v>
      </c>
      <c r="L22" s="36" t="n">
        <v>0.75</v>
      </c>
      <c r="M22" s="36" t="n">
        <v>0.75</v>
      </c>
    </row>
    <row r="23">
      <c r="A23" t="inlineStr">
        <is>
          <t>Custom XPU operating margin (non-GAAP, b (fraction, wmean:ai_rev*xpu_share)</t>
        </is>
      </c>
      <c r="B23" s="36" t="n">
        <v>0.5757</v>
      </c>
      <c r="C23" s="36" t="n">
        <v>0.597</v>
      </c>
      <c r="D23" s="36" t="n">
        <v>0.5945</v>
      </c>
      <c r="E23" s="36" t="n">
        <v>0.5810999999999999</v>
      </c>
      <c r="F23" s="36" t="n">
        <v>0.5628</v>
      </c>
      <c r="G23" s="36" t="n">
        <v>0.5544</v>
      </c>
      <c r="H23" s="36" t="n">
        <v>0.546</v>
      </c>
      <c r="I23" s="36" t="n">
        <v>0.5376</v>
      </c>
      <c r="J23" s="36" t="n">
        <v>0.5342</v>
      </c>
      <c r="K23" s="36" t="n">
        <v>0.5309</v>
      </c>
      <c r="L23" s="36" t="n">
        <v>0.5275</v>
      </c>
      <c r="M23" s="36" t="n">
        <v>0.5242</v>
      </c>
    </row>
    <row r="24">
      <c r="A24" t="inlineStr">
        <is>
          <t>Infrastructure software revenue (VMware  ($M per quarter, sum)</t>
        </is>
      </c>
      <c r="B24" s="26" t="n">
        <v>6796</v>
      </c>
      <c r="C24" s="26" t="n">
        <v>7178</v>
      </c>
      <c r="D24" s="26" t="n">
        <v>8752</v>
      </c>
      <c r="E24" s="26" t="n">
        <v>8750</v>
      </c>
      <c r="F24" s="26" t="n">
        <v>8850</v>
      </c>
      <c r="G24" s="26" t="n">
        <v>8950</v>
      </c>
      <c r="H24" s="26" t="n">
        <v>9050</v>
      </c>
      <c r="I24" s="26" t="n">
        <v>9168</v>
      </c>
      <c r="J24" s="26" t="n">
        <v>9250</v>
      </c>
      <c r="K24" s="26" t="n">
        <v>9320</v>
      </c>
      <c r="L24" s="26" t="n">
        <v>9400</v>
      </c>
      <c r="M24" s="26" t="n">
        <v>9489</v>
      </c>
    </row>
    <row r="25">
      <c r="A25" t="inlineStr">
        <is>
          <t>Customer-financing exposure backed by Br ($M (stock, quarter-end), end)</t>
        </is>
      </c>
      <c r="B25" s="36" t="n">
        <v>0</v>
      </c>
      <c r="C25" s="36" t="n">
        <v>0</v>
      </c>
      <c r="D25" s="26" t="n">
        <v>49700</v>
      </c>
      <c r="E25" s="26" t="n">
        <v>79800</v>
      </c>
      <c r="F25" s="26" t="n">
        <v>79800</v>
      </c>
      <c r="G25" s="26" t="n">
        <v>94500</v>
      </c>
      <c r="H25" s="26" t="n">
        <v>94500</v>
      </c>
      <c r="I25" s="26" t="n">
        <v>94500</v>
      </c>
      <c r="J25" s="26" t="n">
        <v>94500</v>
      </c>
      <c r="K25" s="26" t="n">
        <v>105700</v>
      </c>
      <c r="L25" s="26" t="n">
        <v>105700</v>
      </c>
      <c r="M25" s="26" t="n">
        <v>105700</v>
      </c>
    </row>
    <row r="26">
      <c r="A26" t="inlineStr">
        <is>
          <t>Lifetime expected loss rate on Broadcom- (fraction of exposure, mean)</t>
        </is>
      </c>
      <c r="B26" s="36" t="n">
        <v>0.04321</v>
      </c>
      <c r="C26" s="36" t="n">
        <v>0.04321</v>
      </c>
      <c r="D26" s="36" t="n">
        <v>0.04321</v>
      </c>
      <c r="E26" s="36" t="n">
        <v>0.04321</v>
      </c>
      <c r="F26" s="36" t="n">
        <v>0.04321</v>
      </c>
      <c r="G26" s="36" t="n">
        <v>0.04321</v>
      </c>
      <c r="H26" s="36" t="n">
        <v>0.04321</v>
      </c>
      <c r="I26" s="36" t="n">
        <v>0.04321</v>
      </c>
      <c r="J26" s="36" t="n">
        <v>0.04321</v>
      </c>
      <c r="K26" s="36" t="n">
        <v>0.04321</v>
      </c>
      <c r="L26" s="36" t="n">
        <v>0.04321</v>
      </c>
      <c r="M26" s="36" t="n">
        <v>0.04321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8"/>
  <sheetViews>
    <sheetView showGridLines="0" workbookViewId="0">
      <selection activeCell="A1" sqref="A1"/>
    </sheetView>
  </sheetViews>
  <sheetFormatPr baseColWidth="8" defaultRowHeight="15"/>
  <cols>
    <col width="52" customWidth="1" min="1" max="1"/>
    <col width="14" customWidth="1" min="2" max="2"/>
    <col width="14" customWidth="1" min="3" max="3"/>
    <col width="13" customWidth="1" min="4" max="4"/>
    <col width="13" customWidth="1" min="5" max="5"/>
    <col width="13" customWidth="1" min="6" max="6"/>
    <col width="13" customWidth="1" min="7" max="7"/>
    <col width="13" customWidth="1" min="8" max="8"/>
    <col width="13" customWidth="1" min="9" max="9"/>
    <col width="60" customWidth="1" min="10" max="10"/>
    <col width="13" customWidth="1" min="11" max="11"/>
  </cols>
  <sheetData>
    <row r="1">
      <c r="A1" s="1" t="inlineStr">
        <is>
          <t>AVGO: valuation and price target derivation</t>
        </is>
      </c>
    </row>
    <row r="2">
      <c r="A2" s="2" t="inlineStr">
        <is>
          <t>Value per share at the target date = weighted methods below; the base case is the 12-month median, with the downside and upside cases as its 10th and 90th percentiles (Distribution tab).</t>
        </is>
      </c>
    </row>
    <row r="3">
      <c r="A3" s="3" t="inlineStr">
        <is>
          <t>Method</t>
        </is>
      </c>
      <c r="B3" s="3" t="inlineStr">
        <is>
          <t>Multiple</t>
        </is>
      </c>
      <c r="C3" s="3" t="inlineStr">
        <is>
          <t>Metric at target date</t>
        </is>
      </c>
      <c r="D3" s="3" t="inlineStr">
        <is>
          <t>Value per share</t>
        </is>
      </c>
      <c r="E3" s="3" t="inlineStr">
        <is>
          <t>Weight</t>
        </is>
      </c>
      <c r="F3" s="3" t="inlineStr">
        <is>
          <t>Contribution</t>
        </is>
      </c>
    </row>
    <row r="4">
      <c r="A4" s="16">
        <f>'Calc - research target (12m)'!A68</f>
        <v/>
      </c>
      <c r="B4" s="4">
        <f>IF('Calc - research target (12m)'!C68="","",'Calc - research target (12m)'!C68)</f>
        <v/>
      </c>
      <c r="C4" s="37">
        <f>IF('Calc - research target (12m)'!I68="","",'Calc - research target (12m)'!I68)</f>
        <v/>
      </c>
      <c r="D4" s="4">
        <f>'Calc - research target (12m)'!F68</f>
        <v/>
      </c>
      <c r="E4" s="12">
        <f>'Calc - research target (12m)'!G68</f>
        <v/>
      </c>
      <c r="F4" s="9">
        <f>D4*E4/SUM($E$4:$E$5)</f>
        <v/>
      </c>
    </row>
    <row r="6">
      <c r="A6" s="19" t="inlineStr">
        <is>
          <t>Research target (12m) per share</t>
        </is>
      </c>
      <c r="D6" s="6">
        <f>'Calc - research target (12m)'!$F$69</f>
        <v/>
      </c>
      <c r="F6" s="6">
        <f>SUM(F4:F5)</f>
        <v/>
      </c>
    </row>
    <row r="8">
      <c r="A8" s="21" t="inlineStr">
        <is>
          <t>12-month EPS basis (what the P/E is applied to)</t>
        </is>
      </c>
      <c r="B8" s="22" t="n"/>
      <c r="C8" s="22" t="n"/>
      <c r="D8" s="22" t="n"/>
      <c r="E8" s="22" t="n"/>
      <c r="F8" s="22" t="n"/>
      <c r="G8" s="22" t="n"/>
      <c r="H8" s="22" t="n"/>
      <c r="I8" s="22" t="n"/>
    </row>
    <row r="9">
      <c r="A9" s="3" t="inlineStr">
        <is>
          <t>Fiscal year</t>
        </is>
      </c>
      <c r="B9" s="3">
        <f>Model!E5</f>
        <v/>
      </c>
      <c r="C9" s="3">
        <f>Model!F5</f>
        <v/>
      </c>
      <c r="D9" s="3">
        <f>Model!G5</f>
        <v/>
      </c>
    </row>
    <row r="10">
      <c r="A10" t="inlineStr">
        <is>
          <t>Share of the 12 months after the target date</t>
        </is>
      </c>
      <c r="B10" s="12">
        <f>'Calc - research target (12m)'!C38</f>
        <v/>
      </c>
      <c r="C10" s="12">
        <f>'Calc - research target (12m)'!D38</f>
        <v/>
      </c>
      <c r="D10" s="12">
        <f>'Calc - research target (12m)'!E38</f>
        <v/>
      </c>
    </row>
    <row r="11">
      <c r="A11" t="inlineStr">
        <is>
          <t>Model EPS (Model tab)</t>
        </is>
      </c>
      <c r="B11" s="13">
        <f>Model!E42</f>
        <v/>
      </c>
      <c r="C11" s="13">
        <f>Model!F42</f>
        <v/>
      </c>
      <c r="D11" s="13">
        <f>Model!G42</f>
        <v/>
      </c>
    </row>
    <row r="12">
      <c r="A12" t="inlineStr">
        <is>
          <t>Model EPS, next 12 months after the target date</t>
        </is>
      </c>
      <c r="B12" s="30">
        <f>SUMPRODUCT(B10:D10,B11:D11)</f>
        <v/>
      </c>
    </row>
    <row r="15">
      <c r="A15" s="2" t="inlineStr">
        <is>
          <t>No DCF leg for this name (DCF weight 0), so no DCF build.</t>
        </is>
      </c>
    </row>
    <row r="41">
      <c r="A41" s="21" t="inlineStr">
        <is>
          <t>Assumptions (blue = input; sources on the Sources tab)</t>
        </is>
      </c>
      <c r="B41" s="22" t="n"/>
      <c r="C41" s="22" t="n"/>
      <c r="D41" s="22" t="n"/>
      <c r="E41" s="22" t="n"/>
      <c r="F41" s="22" t="n"/>
      <c r="G41" s="22" t="n"/>
      <c r="H41" s="22" t="n"/>
      <c r="I41" s="22" t="n"/>
    </row>
    <row r="42">
      <c r="A42" s="3" t="inlineStr">
        <is>
          <t>Input</t>
        </is>
      </c>
      <c r="B42" s="3" t="inlineStr">
        <is>
          <t>Value</t>
        </is>
      </c>
      <c r="C42" s="3" t="inlineStr">
        <is>
          <t>Basis / note</t>
        </is>
      </c>
    </row>
    <row r="43">
      <c r="A43" t="inlineStr">
        <is>
          <t>Run date (valuation as of)</t>
        </is>
      </c>
      <c r="B43" s="38" t="n">
        <v>46324</v>
      </c>
      <c r="C43" t="inlineStr"/>
    </row>
    <row r="44">
      <c r="A44" t="inlineStr">
        <is>
          <t>Target date (run date + 365 days)</t>
        </is>
      </c>
      <c r="B44" s="20">
        <f>B43+365</f>
        <v/>
      </c>
      <c r="C44" t="inlineStr">
        <is>
          <t>12-month horizon</t>
        </is>
      </c>
    </row>
    <row r="45">
      <c r="A45" t="inlineStr">
        <is>
          <t>Money unit</t>
        </is>
      </c>
      <c r="B45" s="35" t="inlineStr">
        <is>
          <t>$M</t>
        </is>
      </c>
      <c r="C45" t="inlineStr"/>
    </row>
    <row r="46">
      <c r="A46" t="inlineStr">
        <is>
          <t>EBIT basis (gaap / adjusted)</t>
        </is>
      </c>
      <c r="B46" s="35" t="inlineStr">
        <is>
          <t>gaap</t>
        </is>
      </c>
      <c r="C46" t="inlineStr">
        <is>
          <t>gaap = after stock comp</t>
        </is>
      </c>
    </row>
    <row r="47">
      <c r="A47" t="inlineStr">
        <is>
          <t>Stock comp treatment (cost / dilution)</t>
        </is>
      </c>
      <c r="B47" s="35" t="inlineStr">
        <is>
          <t>cost</t>
        </is>
      </c>
      <c r="C47" t="inlineStr">
        <is>
          <t>used only when EBIT is adjusted</t>
        </is>
      </c>
    </row>
    <row r="48">
      <c r="A48" t="inlineStr">
        <is>
          <t>Last reported fiscal year end</t>
        </is>
      </c>
      <c r="B48" s="38" t="n">
        <v>45963</v>
      </c>
      <c r="C48" t="inlineStr"/>
    </row>
    <row r="49">
      <c r="A49" t="inlineStr">
        <is>
          <t>Net sales, last reported year ($M)</t>
        </is>
      </c>
      <c r="B49" s="26" t="n">
        <v>63887</v>
      </c>
      <c r="C49" t="inlineStr"/>
    </row>
    <row r="50">
      <c r="A50" t="inlineStr">
        <is>
          <t>WACC</t>
        </is>
      </c>
      <c r="B50" s="24" t="n">
        <v>0.1</v>
      </c>
      <c r="C50" t="inlineStr">
        <is>
          <t>not used: no DCF leg (Kilian 2026-10-21); a placeholder so the DCF block still computes</t>
        </is>
      </c>
    </row>
    <row r="51">
      <c r="A51" t="inlineStr">
        <is>
          <t>Terminal method (gordon / exit_multiple / steady_state)</t>
        </is>
      </c>
      <c r="B51" s="35" t="inlineStr">
        <is>
          <t>gordon</t>
        </is>
      </c>
      <c r="C51" t="inlineStr"/>
    </row>
    <row r="52">
      <c r="A52" t="inlineStr">
        <is>
          <t>Terminal growth</t>
        </is>
      </c>
      <c r="B52" s="24" t="n">
        <v>0.02</v>
      </c>
      <c r="C52" t="inlineStr"/>
    </row>
    <row r="53">
      <c r="A53" t="inlineStr">
        <is>
          <t>Exit EV/EBITDA (exit_multiple only)</t>
        </is>
      </c>
      <c r="B53" s="39" t="n"/>
      <c r="C53" t="inlineStr"/>
    </row>
    <row r="54">
      <c r="A54" t="inlineStr">
        <is>
          <t>Balance-sheet date</t>
        </is>
      </c>
      <c r="B54" s="38" t="n">
        <v>46236</v>
      </c>
      <c r="C54" t="inlineStr"/>
    </row>
    <row r="55">
      <c r="A55" t="inlineStr">
        <is>
          <t>Net debt / (net cash) at balance date ($M)</t>
        </is>
      </c>
      <c r="B55" s="26" t="n">
        <v>35444</v>
      </c>
      <c r="C55" t="inlineStr">
        <is>
          <t>excludes operating leases</t>
        </is>
      </c>
    </row>
    <row r="56">
      <c r="A56" t="inlineStr">
        <is>
          <t>Minority interests + preferred stock</t>
        </is>
      </c>
      <c r="B56" s="26" t="n">
        <v>0</v>
      </c>
      <c r="C56" t="inlineStr"/>
    </row>
    <row r="57">
      <c r="A57" t="inlineStr">
        <is>
          <t>Interest rate on net debt / cash</t>
        </is>
      </c>
      <c r="B57" s="24" t="n">
        <v>0.0407</v>
      </c>
      <c r="C57" t="inlineStr"/>
    </row>
    <row r="58">
      <c r="A58" t="inlineStr">
        <is>
          <t>Net debt at target date (override; blank = bridge)</t>
        </is>
      </c>
      <c r="B58" s="26" t="n"/>
      <c r="C58" t="inlineStr"/>
    </row>
    <row r="59">
      <c r="A59" t="inlineStr">
        <is>
          <t>Diluted shares (M)</t>
        </is>
      </c>
      <c r="B59" s="40" t="n">
        <v>4940</v>
      </c>
      <c r="C59" t="inlineStr"/>
    </row>
    <row r="60">
      <c r="A60" t="inlineStr">
        <is>
          <t>Share count date</t>
        </is>
      </c>
      <c r="B60" s="38" t="n">
        <v>46236</v>
      </c>
      <c r="C60" t="inlineStr"/>
    </row>
    <row r="61">
      <c r="A61" t="inlineStr">
        <is>
          <t>Annual change in diluted shares</t>
        </is>
      </c>
      <c r="B61" s="24" t="n">
        <v>0</v>
      </c>
      <c r="C61" t="inlineStr">
        <is>
          <t>net of buybacks and stock-comp dilution</t>
        </is>
      </c>
    </row>
    <row r="62">
      <c r="A62" t="inlineStr">
        <is>
          <t>Shares at target date (override; blank = from annual change)</t>
        </is>
      </c>
      <c r="B62" s="40" t="n"/>
      <c r="C62" t="inlineStr"/>
    </row>
    <row r="63">
      <c r="A63" t="inlineStr">
        <is>
          <t>DCF weight</t>
        </is>
      </c>
      <c r="B63" s="24" t="n">
        <v>0</v>
      </c>
      <c r="C63" t="inlineStr">
        <is>
          <t>Kilian 2026-10-21: 0 unless the name has a DCF leg (dcf_policy)</t>
        </is>
      </c>
    </row>
    <row r="64">
      <c r="A64" t="inlineStr">
        <is>
          <t>Sum-of-the-parts weight</t>
        </is>
      </c>
      <c r="B64" s="24" t="n">
        <v>0</v>
      </c>
      <c r="C64" t="inlineStr"/>
    </row>
    <row r="65">
      <c r="A65" t="inlineStr">
        <is>
          <t>Spread on a side with no downside/upside case (lognormal vol)</t>
        </is>
      </c>
      <c r="B65" s="24" t="n">
        <v>0.313</v>
      </c>
      <c r="C65" t="inlineStr"/>
    </row>
    <row r="66">
      <c r="A66" t="inlineStr">
        <is>
          <t>Share price at the run</t>
        </is>
      </c>
      <c r="B66" s="41" t="n">
        <v>345</v>
      </c>
      <c r="C66" t="inlineStr">
        <is>
          <t>close used by the run (2026-10-29)</t>
        </is>
      </c>
    </row>
    <row r="68">
      <c r="A68" s="3" t="inlineStr">
        <is>
          <t>Target multiple</t>
        </is>
      </c>
      <c r="B68" s="3" t="inlineStr">
        <is>
          <t>Multiple</t>
        </is>
      </c>
      <c r="C68" s="3" t="inlineStr">
        <is>
          <t>Weight</t>
        </is>
      </c>
      <c r="D68" s="3" t="inlineStr">
        <is>
          <t>Basis (ntm / ltm)</t>
        </is>
      </c>
      <c r="E68" s="3" t="inlineStr">
        <is>
          <t>EBITDA basis</t>
        </is>
      </c>
      <c r="F68" s="3" t="inlineStr">
        <is>
          <t>Stated EPS</t>
        </is>
      </c>
      <c r="G68" s="3" t="inlineStr">
        <is>
          <t>Stated FCF/share</t>
        </is>
      </c>
      <c r="H68" s="3" t="inlineStr">
        <is>
          <t>Levered</t>
        </is>
      </c>
      <c r="I68" s="3" t="inlineStr">
        <is>
          <t>Peer basis</t>
        </is>
      </c>
    </row>
    <row r="69">
      <c r="A69" s="35" t="inlineStr">
        <is>
          <t>P/E</t>
        </is>
      </c>
      <c r="B69" s="39" t="n">
        <v>19.81</v>
      </c>
      <c r="C69" s="24" t="n">
        <v>1</v>
      </c>
      <c r="D69" s="35" t="inlineStr">
        <is>
          <t>ntm</t>
        </is>
      </c>
      <c r="E69" s="35" t="inlineStr">
        <is>
          <t>gaap</t>
        </is>
      </c>
      <c r="F69" s="42" t="n"/>
      <c r="G69" s="42" t="n"/>
      <c r="H69" s="35" t="b">
        <v>1</v>
      </c>
      <c r="I69" t="inlineStr">
        <is>
          <t>AVGO's own calendar-NTM P/E 19.81x (Zacks consensus, SBC kept as a cost, 2026-10-29 close), Kilian 2026-10-30 17:18Z: the exit rule's 21.9x is too high because the faster-growing peers skew the 8-peer median (32.73x: NVDA AMD MRVL TSM ANET CRDO ALAB COHR). Was 19x on non-GAAP ex-SBC EPS (Oct 6 set).</t>
        </is>
      </c>
    </row>
    <row r="71">
      <c r="A71" s="3" t="inlineStr">
        <is>
          <t>Segment (sum of the parts)</t>
        </is>
      </c>
      <c r="B71" s="3" t="inlineStr">
        <is>
          <t>NTM metric</t>
        </is>
      </c>
      <c r="C71" s="3" t="inlineStr">
        <is>
          <t>Metric</t>
        </is>
      </c>
      <c r="D71" s="3" t="inlineStr">
        <is>
          <t>Multiple</t>
        </is>
      </c>
      <c r="E71" s="3" t="inlineStr">
        <is>
          <t>Note</t>
        </is>
      </c>
    </row>
    <row r="72">
      <c r="A72" s="11" t="inlineStr">
        <is>
          <t>none</t>
        </is>
      </c>
    </row>
    <row r="74">
      <c r="A74" s="3" t="inlineStr">
        <is>
          <t>Adjustment (equity level)</t>
        </is>
      </c>
      <c r="B74" s="3" t="inlineStr">
        <is>
          <t>Value</t>
        </is>
      </c>
      <c r="C74" s="3" t="inlineStr">
        <is>
          <t>Probability</t>
        </is>
      </c>
      <c r="D74" s="3" t="inlineStr">
        <is>
          <t>Note</t>
        </is>
      </c>
    </row>
    <row r="75">
      <c r="A75" s="35" t="inlineStr">
        <is>
          <t>Customer-financing exposure: expected loss (cf_exposure x cf_loss_rate)</t>
        </is>
      </c>
      <c r="B75" s="26" t="n">
        <v>-4567.297</v>
      </c>
      <c r="C75" s="24" t="n">
        <v>1</v>
      </c>
      <c r="D75" t="inlineStr">
        <is>
          <t>Driven: -cf_exposure (FY2028 year-end, probability-weighted utilised) x cf_loss_rate. Same five deals as before (10-Q Backstop, Anthropic $42B notes, Oct 27 2026 SPV Backstop, OpenAI package, future XPV backstops).</t>
        </is>
      </c>
    </row>
    <row r="76">
      <c r="A76" s="35" t="inlineStr">
        <is>
          <t>Legal and regulatory: VMware EU abuse-of-dominance complaints and licensing suits, probability-weighted (AVGO deep model 2026-10-20)</t>
        </is>
      </c>
      <c r="B76" s="26" t="n">
        <v>-1250</v>
      </c>
      <c r="C76" s="24" t="n">
        <v>1</v>
      </c>
      <c r="D76" t="inlineStr">
        <is>
          <t>Labelled estimate, low confidence. EU: p 0.25 of a fine of ~$3.0B (about 3% of FY26 revenue; the cap is 10% of turnover) = -$750M; customer and partner licensing suits and settlements -$500M (judgment). The 10-Q accrues nothing and says losses are not probable or estimable.</t>
        </is>
      </c>
    </row>
    <row r="78">
      <c r="A78" s="3" t="inlineStr">
        <is>
          <t>Custom method</t>
        </is>
      </c>
      <c r="B78" s="3" t="inlineStr">
        <is>
          <t>Value per share</t>
        </is>
      </c>
      <c r="C78" s="3" t="inlineStr">
        <is>
          <t>Weight</t>
        </is>
      </c>
      <c r="D78" s="3" t="inlineStr">
        <is>
          <t>Explanation</t>
        </is>
      </c>
    </row>
    <row r="79">
      <c r="A79" s="11" t="inlineStr">
        <is>
          <t>none</t>
        </is>
      </c>
    </row>
    <row r="81">
      <c r="A81" s="3" t="inlineStr">
        <is>
          <t>Case</t>
        </is>
      </c>
      <c r="B81" s="3" t="inlineStr">
        <is>
          <t>Percentile</t>
        </is>
      </c>
      <c r="C81" s="3" t="inlineStr">
        <is>
          <t>Growth Δ</t>
        </is>
      </c>
      <c r="D81" s="3" t="inlineStr">
        <is>
          <t>Margin Δ</t>
        </is>
      </c>
      <c r="E81" s="3" t="inlineStr">
        <is>
          <t>Multiple Δ (turns)</t>
        </is>
      </c>
      <c r="F81" s="3" t="inlineStr">
        <is>
          <t>WACC Δ</t>
        </is>
      </c>
      <c r="G81" s="3" t="inlineStr">
        <is>
          <t>Multiple %Δ (FCF yield, segments)</t>
        </is>
      </c>
      <c r="H81" s="3" t="inlineStr">
        <is>
          <t>Stated EPS/FCF %Δ</t>
        </is>
      </c>
      <c r="I81" s="3" t="inlineStr">
        <is>
          <t>Custom methods %Δ</t>
        </is>
      </c>
      <c r="J81" s="3" t="inlineStr">
        <is>
          <t>Story</t>
        </is>
      </c>
    </row>
    <row r="82">
      <c r="A82" t="inlineStr">
        <is>
          <t>downside</t>
        </is>
      </c>
      <c r="B82" s="18" t="n">
        <v>0.1</v>
      </c>
      <c r="C82" s="24" t="n"/>
      <c r="D82" s="24" t="n"/>
      <c r="E82" s="43" t="n">
        <v>-4</v>
      </c>
      <c r="F82" s="24" t="n"/>
      <c r="G82" s="24" t="n"/>
      <c r="H82" s="24" t="n"/>
      <c r="I82" s="24" t="n"/>
      <c r="J82" s="44" t="inlineStr">
        <is>
          <t>AI air pocket: lab financing or power slips; AI revenue 35% below the base path in every forecast quarter (FY27 ~$75-80B run-rate exit, FY28 ~$127B vs $195.5B; base round bear FY28 flat at $115B), XPU margin -3pt (AI margin ~-2.5pt at a 75% XPU share) on opex deleverage, P/E -4 turns. The downside customer-financing loss is in the unconditional adjustment, not in this delta.</t>
        </is>
      </c>
      <c r="K82" s="44" t="inlineStr">
        <is>
          <t>driver deltas: ai_rev -0.35 %; xpu_margin -0.03</t>
        </is>
      </c>
    </row>
    <row r="83">
      <c r="A83" t="inlineStr">
        <is>
          <t>upside</t>
        </is>
      </c>
      <c r="B83" s="18" t="n">
        <v>0.9</v>
      </c>
      <c r="C83" s="24" t="n"/>
      <c r="D83" s="24" t="n"/>
      <c r="E83" s="43" t="n">
        <v>2</v>
      </c>
      <c r="F83" s="24" t="n"/>
      <c r="G83" s="24" t="n"/>
      <c r="H83" s="24" t="n"/>
      <c r="I83" s="24" t="n"/>
      <c r="J83" s="44" t="inlineStr">
        <is>
          <t>Management's line of sight: FY28 AI ~$225-230B (all 20 GW), FY27 ~$120B+; XPU margin -0.7pt (AI ~-0.5pt) on rack mix; P/E +2 turns.</t>
        </is>
      </c>
      <c r="K83" s="44" t="inlineStr">
        <is>
          <t>driver deltas: ai_rev +0.15 %; xpu_margin -0.007</t>
        </is>
      </c>
    </row>
    <row r="85">
      <c r="A85" s="3" t="inlineStr">
        <is>
          <t>Segment build (segment_build)</t>
        </is>
      </c>
      <c r="B85" s="3" t="inlineStr">
        <is>
          <t>Base revenue ($M)</t>
        </is>
      </c>
      <c r="C85" s="3" t="inlineStr">
        <is>
          <t>Driver note (growth and EBIT margin by year: Model tab)</t>
        </is>
      </c>
    </row>
    <row r="86">
      <c r="A86" t="inlineStr">
        <is>
          <t>Semiconductor solutions</t>
        </is>
      </c>
      <c r="B86" s="26" t="n">
        <v>36858</v>
      </c>
      <c r="C86" t="inlineStr"/>
    </row>
    <row r="87">
      <c r="A87" t="inlineStr">
        <is>
          <t>Infrastructure software</t>
        </is>
      </c>
      <c r="B87" s="26" t="n">
        <v>27029</v>
      </c>
      <c r="C87" t="inlineStr"/>
    </row>
    <row r="88">
      <c r="A88" s="19" t="inlineStr">
        <is>
          <t>Sum of segment base revenues</t>
        </is>
      </c>
      <c r="B88" s="25">
        <f>SUM(B86:B87)</f>
        <v/>
      </c>
      <c r="C88">
        <f>IF(ABS(B88/Valuation!$B$49-1)&lt;=0.02,"ties to the last reported net sales (within 2%)","FLAG: does not tie to the last reported net sales")</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AVGO: sensitivity tables (bold = current inputs; every cell recalculates from the live model)</t>
        </is>
      </c>
    </row>
    <row r="3">
      <c r="A3" s="2" t="inlineStr">
        <is>
          <t>No DCF leg for this name (DCF weight 0), so no DCF sensitivity.</t>
        </is>
      </c>
    </row>
    <row r="11">
      <c r="A11" s="19" t="inlineStr">
        <is>
          <t>Research target (12m) per share: P/E multiple (down) x metric at target date (across)</t>
        </is>
      </c>
    </row>
    <row r="12">
      <c r="A12" s="19" t="inlineStr">
        <is>
          <t>Multiple \ metric</t>
        </is>
      </c>
      <c r="B12" s="25">
        <f>'Calc - research target (12m)'!$E$68*0.9</f>
        <v/>
      </c>
      <c r="C12" s="25">
        <f>'Calc - research target (12m)'!$E$68*0.95</f>
        <v/>
      </c>
      <c r="D12" s="25">
        <f>'Calc - research target (12m)'!$E$68*1.0</f>
        <v/>
      </c>
      <c r="E12" s="25">
        <f>'Calc - research target (12m)'!$E$68*1.05</f>
        <v/>
      </c>
      <c r="F12" s="25">
        <f>'Calc - research target (12m)'!$E$68*1.1</f>
        <v/>
      </c>
    </row>
    <row r="13">
      <c r="A13" s="45">
        <f>Valuation!$B$69+(-3)</f>
        <v/>
      </c>
      <c r="B13" s="9">
        <f>((SUMPRODUCT('Calc - research target (12m)'!$F$67:$F$68,'Calc - research target (12m)'!$G$67:$G$68)-'Calc - research target (12m)'!$F$68*'Calc - research target (12m)'!$G$68)+'Calc - research target (12m)'!$G$68*($A13*(B$12-'Calc - research target (12m)'!$B$54)/'Calc - research target (12m)'!$B$53+'Calc - research target (12m)'!$B$52/'Calc - research target (12m)'!$B$53))/SUM('Calc - research target (12m)'!$G$67:$G$68)</f>
        <v/>
      </c>
      <c r="C13" s="9">
        <f>((SUMPRODUCT('Calc - research target (12m)'!$F$67:$F$68,'Calc - research target (12m)'!$G$67:$G$68)-'Calc - research target (12m)'!$F$68*'Calc - research target (12m)'!$G$68)+'Calc - research target (12m)'!$G$68*($A13*(C$12-'Calc - research target (12m)'!$B$54)/'Calc - research target (12m)'!$B$53+'Calc - research target (12m)'!$B$52/'Calc - research target (12m)'!$B$53))/SUM('Calc - research target (12m)'!$G$67:$G$68)</f>
        <v/>
      </c>
      <c r="D13" s="9">
        <f>((SUMPRODUCT('Calc - research target (12m)'!$F$67:$F$68,'Calc - research target (12m)'!$G$67:$G$68)-'Calc - research target (12m)'!$F$68*'Calc - research target (12m)'!$G$68)+'Calc - research target (12m)'!$G$68*($A13*(D$12-'Calc - research target (12m)'!$B$54)/'Calc - research target (12m)'!$B$53+'Calc - research target (12m)'!$B$52/'Calc - research target (12m)'!$B$53))/SUM('Calc - research target (12m)'!$G$67:$G$68)</f>
        <v/>
      </c>
      <c r="E13" s="9">
        <f>((SUMPRODUCT('Calc - research target (12m)'!$F$67:$F$68,'Calc - research target (12m)'!$G$67:$G$68)-'Calc - research target (12m)'!$F$68*'Calc - research target (12m)'!$G$68)+'Calc - research target (12m)'!$G$68*($A13*(E$12-'Calc - research target (12m)'!$B$54)/'Calc - research target (12m)'!$B$53+'Calc - research target (12m)'!$B$52/'Calc - research target (12m)'!$B$53))/SUM('Calc - research target (12m)'!$G$67:$G$68)</f>
        <v/>
      </c>
      <c r="F13" s="9">
        <f>((SUMPRODUCT('Calc - research target (12m)'!$F$67:$F$68,'Calc - research target (12m)'!$G$67:$G$68)-'Calc - research target (12m)'!$F$68*'Calc - research target (12m)'!$G$68)+'Calc - research target (12m)'!$G$68*($A13*(F$12-'Calc - research target (12m)'!$B$54)/'Calc - research target (12m)'!$B$53+'Calc - research target (12m)'!$B$52/'Calc - research target (12m)'!$B$53))/SUM('Calc - research target (12m)'!$G$67:$G$68)</f>
        <v/>
      </c>
    </row>
    <row r="14">
      <c r="A14" s="45">
        <f>Valuation!$B$69+(-2)</f>
        <v/>
      </c>
      <c r="B14" s="9">
        <f>((SUMPRODUCT('Calc - research target (12m)'!$F$67:$F$68,'Calc - research target (12m)'!$G$67:$G$68)-'Calc - research target (12m)'!$F$68*'Calc - research target (12m)'!$G$68)+'Calc - research target (12m)'!$G$68*($A14*(B$12-'Calc - research target (12m)'!$B$54)/'Calc - research target (12m)'!$B$53+'Calc - research target (12m)'!$B$52/'Calc - research target (12m)'!$B$53))/SUM('Calc - research target (12m)'!$G$67:$G$68)</f>
        <v/>
      </c>
      <c r="C14" s="9">
        <f>((SUMPRODUCT('Calc - research target (12m)'!$F$67:$F$68,'Calc - research target (12m)'!$G$67:$G$68)-'Calc - research target (12m)'!$F$68*'Calc - research target (12m)'!$G$68)+'Calc - research target (12m)'!$G$68*($A14*(C$12-'Calc - research target (12m)'!$B$54)/'Calc - research target (12m)'!$B$53+'Calc - research target (12m)'!$B$52/'Calc - research target (12m)'!$B$53))/SUM('Calc - research target (12m)'!$G$67:$G$68)</f>
        <v/>
      </c>
      <c r="D14" s="9">
        <f>((SUMPRODUCT('Calc - research target (12m)'!$F$67:$F$68,'Calc - research target (12m)'!$G$67:$G$68)-'Calc - research target (12m)'!$F$68*'Calc - research target (12m)'!$G$68)+'Calc - research target (12m)'!$G$68*($A14*(D$12-'Calc - research target (12m)'!$B$54)/'Calc - research target (12m)'!$B$53+'Calc - research target (12m)'!$B$52/'Calc - research target (12m)'!$B$53))/SUM('Calc - research target (12m)'!$G$67:$G$68)</f>
        <v/>
      </c>
      <c r="E14" s="9">
        <f>((SUMPRODUCT('Calc - research target (12m)'!$F$67:$F$68,'Calc - research target (12m)'!$G$67:$G$68)-'Calc - research target (12m)'!$F$68*'Calc - research target (12m)'!$G$68)+'Calc - research target (12m)'!$G$68*($A14*(E$12-'Calc - research target (12m)'!$B$54)/'Calc - research target (12m)'!$B$53+'Calc - research target (12m)'!$B$52/'Calc - research target (12m)'!$B$53))/SUM('Calc - research target (12m)'!$G$67:$G$68)</f>
        <v/>
      </c>
      <c r="F14" s="9">
        <f>((SUMPRODUCT('Calc - research target (12m)'!$F$67:$F$68,'Calc - research target (12m)'!$G$67:$G$68)-'Calc - research target (12m)'!$F$68*'Calc - research target (12m)'!$G$68)+'Calc - research target (12m)'!$G$68*($A14*(F$12-'Calc - research target (12m)'!$B$54)/'Calc - research target (12m)'!$B$53+'Calc - research target (12m)'!$B$52/'Calc - research target (12m)'!$B$53))/SUM('Calc - research target (12m)'!$G$67:$G$68)</f>
        <v/>
      </c>
    </row>
    <row r="15">
      <c r="A15" s="45">
        <f>Valuation!$B$69+(-1)</f>
        <v/>
      </c>
      <c r="B15" s="9">
        <f>((SUMPRODUCT('Calc - research target (12m)'!$F$67:$F$68,'Calc - research target (12m)'!$G$67:$G$68)-'Calc - research target (12m)'!$F$68*'Calc - research target (12m)'!$G$68)+'Calc - research target (12m)'!$G$68*($A15*(B$12-'Calc - research target (12m)'!$B$54)/'Calc - research target (12m)'!$B$53+'Calc - research target (12m)'!$B$52/'Calc - research target (12m)'!$B$53))/SUM('Calc - research target (12m)'!$G$67:$G$68)</f>
        <v/>
      </c>
      <c r="C15" s="9">
        <f>((SUMPRODUCT('Calc - research target (12m)'!$F$67:$F$68,'Calc - research target (12m)'!$G$67:$G$68)-'Calc - research target (12m)'!$F$68*'Calc - research target (12m)'!$G$68)+'Calc - research target (12m)'!$G$68*($A15*(C$12-'Calc - research target (12m)'!$B$54)/'Calc - research target (12m)'!$B$53+'Calc - research target (12m)'!$B$52/'Calc - research target (12m)'!$B$53))/SUM('Calc - research target (12m)'!$G$67:$G$68)</f>
        <v/>
      </c>
      <c r="D15" s="9">
        <f>((SUMPRODUCT('Calc - research target (12m)'!$F$67:$F$68,'Calc - research target (12m)'!$G$67:$G$68)-'Calc - research target (12m)'!$F$68*'Calc - research target (12m)'!$G$68)+'Calc - research target (12m)'!$G$68*($A15*(D$12-'Calc - research target (12m)'!$B$54)/'Calc - research target (12m)'!$B$53+'Calc - research target (12m)'!$B$52/'Calc - research target (12m)'!$B$53))/SUM('Calc - research target (12m)'!$G$67:$G$68)</f>
        <v/>
      </c>
      <c r="E15" s="9">
        <f>((SUMPRODUCT('Calc - research target (12m)'!$F$67:$F$68,'Calc - research target (12m)'!$G$67:$G$68)-'Calc - research target (12m)'!$F$68*'Calc - research target (12m)'!$G$68)+'Calc - research target (12m)'!$G$68*($A15*(E$12-'Calc - research target (12m)'!$B$54)/'Calc - research target (12m)'!$B$53+'Calc - research target (12m)'!$B$52/'Calc - research target (12m)'!$B$53))/SUM('Calc - research target (12m)'!$G$67:$G$68)</f>
        <v/>
      </c>
      <c r="F15" s="9">
        <f>((SUMPRODUCT('Calc - research target (12m)'!$F$67:$F$68,'Calc - research target (12m)'!$G$67:$G$68)-'Calc - research target (12m)'!$F$68*'Calc - research target (12m)'!$G$68)+'Calc - research target (12m)'!$G$68*($A15*(F$12-'Calc - research target (12m)'!$B$54)/'Calc - research target (12m)'!$B$53+'Calc - research target (12m)'!$B$52/'Calc - research target (12m)'!$B$53))/SUM('Calc - research target (12m)'!$G$67:$G$68)</f>
        <v/>
      </c>
    </row>
    <row r="16">
      <c r="A16" s="45">
        <f>Valuation!$B$69+(0)</f>
        <v/>
      </c>
      <c r="B16" s="9">
        <f>((SUMPRODUCT('Calc - research target (12m)'!$F$67:$F$68,'Calc - research target (12m)'!$G$67:$G$68)-'Calc - research target (12m)'!$F$68*'Calc - research target (12m)'!$G$68)+'Calc - research target (12m)'!$G$68*($A16*(B$12-'Calc - research target (12m)'!$B$54)/'Calc - research target (12m)'!$B$53+'Calc - research target (12m)'!$B$52/'Calc - research target (12m)'!$B$53))/SUM('Calc - research target (12m)'!$G$67:$G$68)</f>
        <v/>
      </c>
      <c r="C16" s="9">
        <f>((SUMPRODUCT('Calc - research target (12m)'!$F$67:$F$68,'Calc - research target (12m)'!$G$67:$G$68)-'Calc - research target (12m)'!$F$68*'Calc - research target (12m)'!$G$68)+'Calc - research target (12m)'!$G$68*($A16*(C$12-'Calc - research target (12m)'!$B$54)/'Calc - research target (12m)'!$B$53+'Calc - research target (12m)'!$B$52/'Calc - research target (12m)'!$B$53))/SUM('Calc - research target (12m)'!$G$67:$G$68)</f>
        <v/>
      </c>
      <c r="D16" s="6">
        <f>((SUMPRODUCT('Calc - research target (12m)'!$F$67:$F$68,'Calc - research target (12m)'!$G$67:$G$68)-'Calc - research target (12m)'!$F$68*'Calc - research target (12m)'!$G$68)+'Calc - research target (12m)'!$G$68*($A16*(D$12-'Calc - research target (12m)'!$B$54)/'Calc - research target (12m)'!$B$53+'Calc - research target (12m)'!$B$52/'Calc - research target (12m)'!$B$53))/SUM('Calc - research target (12m)'!$G$67:$G$68)</f>
        <v/>
      </c>
      <c r="E16" s="9">
        <f>((SUMPRODUCT('Calc - research target (12m)'!$F$67:$F$68,'Calc - research target (12m)'!$G$67:$G$68)-'Calc - research target (12m)'!$F$68*'Calc - research target (12m)'!$G$68)+'Calc - research target (12m)'!$G$68*($A16*(E$12-'Calc - research target (12m)'!$B$54)/'Calc - research target (12m)'!$B$53+'Calc - research target (12m)'!$B$52/'Calc - research target (12m)'!$B$53))/SUM('Calc - research target (12m)'!$G$67:$G$68)</f>
        <v/>
      </c>
      <c r="F16" s="9">
        <f>((SUMPRODUCT('Calc - research target (12m)'!$F$67:$F$68,'Calc - research target (12m)'!$G$67:$G$68)-'Calc - research target (12m)'!$F$68*'Calc - research target (12m)'!$G$68)+'Calc - research target (12m)'!$G$68*($A16*(F$12-'Calc - research target (12m)'!$B$54)/'Calc - research target (12m)'!$B$53+'Calc - research target (12m)'!$B$52/'Calc - research target (12m)'!$B$53))/SUM('Calc - research target (12m)'!$G$67:$G$68)</f>
        <v/>
      </c>
    </row>
    <row r="17">
      <c r="A17" s="45">
        <f>Valuation!$B$69+(1)</f>
        <v/>
      </c>
      <c r="B17" s="9">
        <f>((SUMPRODUCT('Calc - research target (12m)'!$F$67:$F$68,'Calc - research target (12m)'!$G$67:$G$68)-'Calc - research target (12m)'!$F$68*'Calc - research target (12m)'!$G$68)+'Calc - research target (12m)'!$G$68*($A17*(B$12-'Calc - research target (12m)'!$B$54)/'Calc - research target (12m)'!$B$53+'Calc - research target (12m)'!$B$52/'Calc - research target (12m)'!$B$53))/SUM('Calc - research target (12m)'!$G$67:$G$68)</f>
        <v/>
      </c>
      <c r="C17" s="9">
        <f>((SUMPRODUCT('Calc - research target (12m)'!$F$67:$F$68,'Calc - research target (12m)'!$G$67:$G$68)-'Calc - research target (12m)'!$F$68*'Calc - research target (12m)'!$G$68)+'Calc - research target (12m)'!$G$68*($A17*(C$12-'Calc - research target (12m)'!$B$54)/'Calc - research target (12m)'!$B$53+'Calc - research target (12m)'!$B$52/'Calc - research target (12m)'!$B$53))/SUM('Calc - research target (12m)'!$G$67:$G$68)</f>
        <v/>
      </c>
      <c r="D17" s="9">
        <f>((SUMPRODUCT('Calc - research target (12m)'!$F$67:$F$68,'Calc - research target (12m)'!$G$67:$G$68)-'Calc - research target (12m)'!$F$68*'Calc - research target (12m)'!$G$68)+'Calc - research target (12m)'!$G$68*($A17*(D$12-'Calc - research target (12m)'!$B$54)/'Calc - research target (12m)'!$B$53+'Calc - research target (12m)'!$B$52/'Calc - research target (12m)'!$B$53))/SUM('Calc - research target (12m)'!$G$67:$G$68)</f>
        <v/>
      </c>
      <c r="E17" s="9">
        <f>((SUMPRODUCT('Calc - research target (12m)'!$F$67:$F$68,'Calc - research target (12m)'!$G$67:$G$68)-'Calc - research target (12m)'!$F$68*'Calc - research target (12m)'!$G$68)+'Calc - research target (12m)'!$G$68*($A17*(E$12-'Calc - research target (12m)'!$B$54)/'Calc - research target (12m)'!$B$53+'Calc - research target (12m)'!$B$52/'Calc - research target (12m)'!$B$53))/SUM('Calc - research target (12m)'!$G$67:$G$68)</f>
        <v/>
      </c>
      <c r="F17" s="9">
        <f>((SUMPRODUCT('Calc - research target (12m)'!$F$67:$F$68,'Calc - research target (12m)'!$G$67:$G$68)-'Calc - research target (12m)'!$F$68*'Calc - research target (12m)'!$G$68)+'Calc - research target (12m)'!$G$68*($A17*(F$12-'Calc - research target (12m)'!$B$54)/'Calc - research target (12m)'!$B$53+'Calc - research target (12m)'!$B$52/'Calc - research target (12m)'!$B$53))/SUM('Calc - research target (12m)'!$G$67:$G$68)</f>
        <v/>
      </c>
    </row>
    <row r="18">
      <c r="A18" s="45">
        <f>Valuation!$B$69+(2)</f>
        <v/>
      </c>
      <c r="B18" s="9">
        <f>((SUMPRODUCT('Calc - research target (12m)'!$F$67:$F$68,'Calc - research target (12m)'!$G$67:$G$68)-'Calc - research target (12m)'!$F$68*'Calc - research target (12m)'!$G$68)+'Calc - research target (12m)'!$G$68*($A18*(B$12-'Calc - research target (12m)'!$B$54)/'Calc - research target (12m)'!$B$53+'Calc - research target (12m)'!$B$52/'Calc - research target (12m)'!$B$53))/SUM('Calc - research target (12m)'!$G$67:$G$68)</f>
        <v/>
      </c>
      <c r="C18" s="9">
        <f>((SUMPRODUCT('Calc - research target (12m)'!$F$67:$F$68,'Calc - research target (12m)'!$G$67:$G$68)-'Calc - research target (12m)'!$F$68*'Calc - research target (12m)'!$G$68)+'Calc - research target (12m)'!$G$68*($A18*(C$12-'Calc - research target (12m)'!$B$54)/'Calc - research target (12m)'!$B$53+'Calc - research target (12m)'!$B$52/'Calc - research target (12m)'!$B$53))/SUM('Calc - research target (12m)'!$G$67:$G$68)</f>
        <v/>
      </c>
      <c r="D18" s="9">
        <f>((SUMPRODUCT('Calc - research target (12m)'!$F$67:$F$68,'Calc - research target (12m)'!$G$67:$G$68)-'Calc - research target (12m)'!$F$68*'Calc - research target (12m)'!$G$68)+'Calc - research target (12m)'!$G$68*($A18*(D$12-'Calc - research target (12m)'!$B$54)/'Calc - research target (12m)'!$B$53+'Calc - research target (12m)'!$B$52/'Calc - research target (12m)'!$B$53))/SUM('Calc - research target (12m)'!$G$67:$G$68)</f>
        <v/>
      </c>
      <c r="E18" s="9">
        <f>((SUMPRODUCT('Calc - research target (12m)'!$F$67:$F$68,'Calc - research target (12m)'!$G$67:$G$68)-'Calc - research target (12m)'!$F$68*'Calc - research target (12m)'!$G$68)+'Calc - research target (12m)'!$G$68*($A18*(E$12-'Calc - research target (12m)'!$B$54)/'Calc - research target (12m)'!$B$53+'Calc - research target (12m)'!$B$52/'Calc - research target (12m)'!$B$53))/SUM('Calc - research target (12m)'!$G$67:$G$68)</f>
        <v/>
      </c>
      <c r="F18" s="9">
        <f>((SUMPRODUCT('Calc - research target (12m)'!$F$67:$F$68,'Calc - research target (12m)'!$G$67:$G$68)-'Calc - research target (12m)'!$F$68*'Calc - research target (12m)'!$G$68)+'Calc - research target (12m)'!$G$68*($A18*(F$12-'Calc - research target (12m)'!$B$54)/'Calc - research target (12m)'!$B$53+'Calc - research target (12m)'!$B$52/'Calc - research target (12m)'!$B$53))/SUM('Calc - research target (12m)'!$G$67:$G$68)</f>
        <v/>
      </c>
    </row>
    <row r="19">
      <c r="A19" s="45">
        <f>Valuation!$B$69+(3)</f>
        <v/>
      </c>
      <c r="B19" s="9">
        <f>((SUMPRODUCT('Calc - research target (12m)'!$F$67:$F$68,'Calc - research target (12m)'!$G$67:$G$68)-'Calc - research target (12m)'!$F$68*'Calc - research target (12m)'!$G$68)+'Calc - research target (12m)'!$G$68*($A19*(B$12-'Calc - research target (12m)'!$B$54)/'Calc - research target (12m)'!$B$53+'Calc - research target (12m)'!$B$52/'Calc - research target (12m)'!$B$53))/SUM('Calc - research target (12m)'!$G$67:$G$68)</f>
        <v/>
      </c>
      <c r="C19" s="9">
        <f>((SUMPRODUCT('Calc - research target (12m)'!$F$67:$F$68,'Calc - research target (12m)'!$G$67:$G$68)-'Calc - research target (12m)'!$F$68*'Calc - research target (12m)'!$G$68)+'Calc - research target (12m)'!$G$68*($A19*(C$12-'Calc - research target (12m)'!$B$54)/'Calc - research target (12m)'!$B$53+'Calc - research target (12m)'!$B$52/'Calc - research target (12m)'!$B$53))/SUM('Calc - research target (12m)'!$G$67:$G$68)</f>
        <v/>
      </c>
      <c r="D19" s="9">
        <f>((SUMPRODUCT('Calc - research target (12m)'!$F$67:$F$68,'Calc - research target (12m)'!$G$67:$G$68)-'Calc - research target (12m)'!$F$68*'Calc - research target (12m)'!$G$68)+'Calc - research target (12m)'!$G$68*($A19*(D$12-'Calc - research target (12m)'!$B$54)/'Calc - research target (12m)'!$B$53+'Calc - research target (12m)'!$B$52/'Calc - research target (12m)'!$B$53))/SUM('Calc - research target (12m)'!$G$67:$G$68)</f>
        <v/>
      </c>
      <c r="E19" s="9">
        <f>((SUMPRODUCT('Calc - research target (12m)'!$F$67:$F$68,'Calc - research target (12m)'!$G$67:$G$68)-'Calc - research target (12m)'!$F$68*'Calc - research target (12m)'!$G$68)+'Calc - research target (12m)'!$G$68*($A19*(E$12-'Calc - research target (12m)'!$B$54)/'Calc - research target (12m)'!$B$53+'Calc - research target (12m)'!$B$52/'Calc - research target (12m)'!$B$53))/SUM('Calc - research target (12m)'!$G$67:$G$68)</f>
        <v/>
      </c>
      <c r="F19" s="9">
        <f>((SUMPRODUCT('Calc - research target (12m)'!$F$67:$F$68,'Calc - research target (12m)'!$G$67:$G$68)-'Calc - research target (12m)'!$F$68*'Calc - research target (12m)'!$G$68)+'Calc - research target (12m)'!$G$68*($A19*(F$12-'Calc - research target (12m)'!$B$54)/'Calc - research target (12m)'!$B$53+'Calc - research target (12m)'!$B$52/'Calc - research target (12m)'!$B$53))/SUM('Calc - research target (12m)'!$G$67:$G$68)</f>
        <v/>
      </c>
    </row>
    <row r="22">
      <c r="A22" s="19" t="inlineStr">
        <is>
          <t>FY2027E diluted EPS: revenue growth change in every year (down) x EBIT margin change (across)</t>
        </is>
      </c>
    </row>
    <row r="23">
      <c r="A23" s="19" t="inlineStr">
        <is>
          <t>Growth Δ \ margin Δ</t>
        </is>
      </c>
      <c r="B23" s="46" t="n">
        <v>-0.01</v>
      </c>
      <c r="C23" s="46" t="n">
        <v>-0.005</v>
      </c>
      <c r="D23" s="46" t="n">
        <v>0</v>
      </c>
      <c r="E23" s="46" t="n">
        <v>0.005</v>
      </c>
      <c r="F23" s="46" t="n">
        <v>0.01</v>
      </c>
    </row>
    <row r="24">
      <c r="A24" s="46" t="n">
        <v>-0.02</v>
      </c>
      <c r="B24" s="29">
        <f>(Valuation!$B$86*(1+Model!E12+$A24)*(1+Model!F12+$A24)*(Model!F14+B$23)+Valuation!$B$87*(1+Model!E16+$A24)*(1+Model!F16+$A24)*(Model!F18+B$23)+Model!F21+Model!F33)*(1-Model!F63)/Model!F40</f>
        <v/>
      </c>
      <c r="C24" s="29">
        <f>(Valuation!$B$86*(1+Model!E12+$A24)*(1+Model!F12+$A24)*(Model!F14+C$23)+Valuation!$B$87*(1+Model!E16+$A24)*(1+Model!F16+$A24)*(Model!F18+C$23)+Model!F21+Model!F33)*(1-Model!F63)/Model!F40</f>
        <v/>
      </c>
      <c r="D24" s="29">
        <f>(Valuation!$B$86*(1+Model!E12+$A24)*(1+Model!F12+$A24)*(Model!F14+D$23)+Valuation!$B$87*(1+Model!E16+$A24)*(1+Model!F16+$A24)*(Model!F18+D$23)+Model!F21+Model!F33)*(1-Model!F63)/Model!F40</f>
        <v/>
      </c>
      <c r="E24" s="29">
        <f>(Valuation!$B$86*(1+Model!E12+$A24)*(1+Model!F12+$A24)*(Model!F14+E$23)+Valuation!$B$87*(1+Model!E16+$A24)*(1+Model!F16+$A24)*(Model!F18+E$23)+Model!F21+Model!F33)*(1-Model!F63)/Model!F40</f>
        <v/>
      </c>
      <c r="F24" s="29">
        <f>(Valuation!$B$86*(1+Model!E12+$A24)*(1+Model!F12+$A24)*(Model!F14+F$23)+Valuation!$B$87*(1+Model!E16+$A24)*(1+Model!F16+$A24)*(Model!F18+F$23)+Model!F21+Model!F33)*(1-Model!F63)/Model!F40</f>
        <v/>
      </c>
    </row>
    <row r="25">
      <c r="A25" s="46" t="n">
        <v>-0.01</v>
      </c>
      <c r="B25" s="29">
        <f>(Valuation!$B$86*(1+Model!E12+$A25)*(1+Model!F12+$A25)*(Model!F14+B$23)+Valuation!$B$87*(1+Model!E16+$A25)*(1+Model!F16+$A25)*(Model!F18+B$23)+Model!F21+Model!F33)*(1-Model!F63)/Model!F40</f>
        <v/>
      </c>
      <c r="C25" s="29">
        <f>(Valuation!$B$86*(1+Model!E12+$A25)*(1+Model!F12+$A25)*(Model!F14+C$23)+Valuation!$B$87*(1+Model!E16+$A25)*(1+Model!F16+$A25)*(Model!F18+C$23)+Model!F21+Model!F33)*(1-Model!F63)/Model!F40</f>
        <v/>
      </c>
      <c r="D25" s="29">
        <f>(Valuation!$B$86*(1+Model!E12+$A25)*(1+Model!F12+$A25)*(Model!F14+D$23)+Valuation!$B$87*(1+Model!E16+$A25)*(1+Model!F16+$A25)*(Model!F18+D$23)+Model!F21+Model!F33)*(1-Model!F63)/Model!F40</f>
        <v/>
      </c>
      <c r="E25" s="29">
        <f>(Valuation!$B$86*(1+Model!E12+$A25)*(1+Model!F12+$A25)*(Model!F14+E$23)+Valuation!$B$87*(1+Model!E16+$A25)*(1+Model!F16+$A25)*(Model!F18+E$23)+Model!F21+Model!F33)*(1-Model!F63)/Model!F40</f>
        <v/>
      </c>
      <c r="F25" s="29">
        <f>(Valuation!$B$86*(1+Model!E12+$A25)*(1+Model!F12+$A25)*(Model!F14+F$23)+Valuation!$B$87*(1+Model!E16+$A25)*(1+Model!F16+$A25)*(Model!F18+F$23)+Model!F21+Model!F33)*(1-Model!F63)/Model!F40</f>
        <v/>
      </c>
    </row>
    <row r="26">
      <c r="A26" s="46" t="n">
        <v>0</v>
      </c>
      <c r="B26" s="29">
        <f>(Valuation!$B$86*(1+Model!E12+$A26)*(1+Model!F12+$A26)*(Model!F14+B$23)+Valuation!$B$87*(1+Model!E16+$A26)*(1+Model!F16+$A26)*(Model!F18+B$23)+Model!F21+Model!F33)*(1-Model!F63)/Model!F40</f>
        <v/>
      </c>
      <c r="C26" s="29">
        <f>(Valuation!$B$86*(1+Model!E12+$A26)*(1+Model!F12+$A26)*(Model!F14+C$23)+Valuation!$B$87*(1+Model!E16+$A26)*(1+Model!F16+$A26)*(Model!F18+C$23)+Model!F21+Model!F33)*(1-Model!F63)/Model!F40</f>
        <v/>
      </c>
      <c r="D26" s="30">
        <f>(Valuation!$B$86*(1+Model!E12+$A26)*(1+Model!F12+$A26)*(Model!F14+D$23)+Valuation!$B$87*(1+Model!E16+$A26)*(1+Model!F16+$A26)*(Model!F18+D$23)+Model!F21+Model!F33)*(1-Model!F63)/Model!F40</f>
        <v/>
      </c>
      <c r="E26" s="29">
        <f>(Valuation!$B$86*(1+Model!E12+$A26)*(1+Model!F12+$A26)*(Model!F14+E$23)+Valuation!$B$87*(1+Model!E16+$A26)*(1+Model!F16+$A26)*(Model!F18+E$23)+Model!F21+Model!F33)*(1-Model!F63)/Model!F40</f>
        <v/>
      </c>
      <c r="F26" s="29">
        <f>(Valuation!$B$86*(1+Model!E12+$A26)*(1+Model!F12+$A26)*(Model!F14+F$23)+Valuation!$B$87*(1+Model!E16+$A26)*(1+Model!F16+$A26)*(Model!F18+F$23)+Model!F21+Model!F33)*(1-Model!F63)/Model!F40</f>
        <v/>
      </c>
    </row>
    <row r="27">
      <c r="A27" s="46" t="n">
        <v>0.01</v>
      </c>
      <c r="B27" s="29">
        <f>(Valuation!$B$86*(1+Model!E12+$A27)*(1+Model!F12+$A27)*(Model!F14+B$23)+Valuation!$B$87*(1+Model!E16+$A27)*(1+Model!F16+$A27)*(Model!F18+B$23)+Model!F21+Model!F33)*(1-Model!F63)/Model!F40</f>
        <v/>
      </c>
      <c r="C27" s="29">
        <f>(Valuation!$B$86*(1+Model!E12+$A27)*(1+Model!F12+$A27)*(Model!F14+C$23)+Valuation!$B$87*(1+Model!E16+$A27)*(1+Model!F16+$A27)*(Model!F18+C$23)+Model!F21+Model!F33)*(1-Model!F63)/Model!F40</f>
        <v/>
      </c>
      <c r="D27" s="29">
        <f>(Valuation!$B$86*(1+Model!E12+$A27)*(1+Model!F12+$A27)*(Model!F14+D$23)+Valuation!$B$87*(1+Model!E16+$A27)*(1+Model!F16+$A27)*(Model!F18+D$23)+Model!F21+Model!F33)*(1-Model!F63)/Model!F40</f>
        <v/>
      </c>
      <c r="E27" s="29">
        <f>(Valuation!$B$86*(1+Model!E12+$A27)*(1+Model!F12+$A27)*(Model!F14+E$23)+Valuation!$B$87*(1+Model!E16+$A27)*(1+Model!F16+$A27)*(Model!F18+E$23)+Model!F21+Model!F33)*(1-Model!F63)/Model!F40</f>
        <v/>
      </c>
      <c r="F27" s="29">
        <f>(Valuation!$B$86*(1+Model!E12+$A27)*(1+Model!F12+$A27)*(Model!F14+F$23)+Valuation!$B$87*(1+Model!E16+$A27)*(1+Model!F16+$A27)*(Model!F18+F$23)+Model!F21+Model!F33)*(1-Model!F63)/Model!F40</f>
        <v/>
      </c>
    </row>
    <row r="28">
      <c r="A28" s="46" t="n">
        <v>0.02</v>
      </c>
      <c r="B28" s="29">
        <f>(Valuation!$B$86*(1+Model!E12+$A28)*(1+Model!F12+$A28)*(Model!F14+B$23)+Valuation!$B$87*(1+Model!E16+$A28)*(1+Model!F16+$A28)*(Model!F18+B$23)+Model!F21+Model!F33)*(1-Model!F63)/Model!F40</f>
        <v/>
      </c>
      <c r="C28" s="29">
        <f>(Valuation!$B$86*(1+Model!E12+$A28)*(1+Model!F12+$A28)*(Model!F14+C$23)+Valuation!$B$87*(1+Model!E16+$A28)*(1+Model!F16+$A28)*(Model!F18+C$23)+Model!F21+Model!F33)*(1-Model!F63)/Model!F40</f>
        <v/>
      </c>
      <c r="D28" s="29">
        <f>(Valuation!$B$86*(1+Model!E12+$A28)*(1+Model!F12+$A28)*(Model!F14+D$23)+Valuation!$B$87*(1+Model!E16+$A28)*(1+Model!F16+$A28)*(Model!F18+D$23)+Model!F21+Model!F33)*(1-Model!F63)/Model!F40</f>
        <v/>
      </c>
      <c r="E28" s="29">
        <f>(Valuation!$B$86*(1+Model!E12+$A28)*(1+Model!F12+$A28)*(Model!F14+E$23)+Valuation!$B$87*(1+Model!E16+$A28)*(1+Model!F16+$A28)*(Model!F18+E$23)+Model!F21+Model!F33)*(1-Model!F63)/Model!F40</f>
        <v/>
      </c>
      <c r="F28" s="29">
        <f>(Valuation!$B$86*(1+Model!E12+$A28)*(1+Model!F12+$A28)*(Model!F14+F$23)+Valuation!$B$87*(1+Model!E16+$A28)*(1+Model!F16+$A28)*(Model!F18+F$23)+Model!F21+Model!F33)*(1-Model!F63)/Model!F40</f>
        <v/>
      </c>
    </row>
    <row r="30">
      <c r="A30" s="2" t="inlineStr">
        <is>
          <t>Net interest and the share count are held at the base case in table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6" customWidth="1" min="1" max="1"/>
    <col width="13" customWidth="1" min="2" max="2"/>
    <col width="13" customWidth="1" min="3" max="3"/>
    <col width="6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AVGO: 12-month distribution (base case = median; downside = 10th, upside = 90th percentile; a lognormal with its own spread on each side)</t>
        </is>
      </c>
    </row>
    <row r="3">
      <c r="A3" s="3" t="inlineStr">
        <is>
          <t>Case</t>
        </is>
      </c>
      <c r="B3" s="3" t="inlineStr">
        <is>
          <t>Percentile</t>
        </is>
      </c>
      <c r="C3" s="3" t="inlineStr">
        <is>
          <t>Value at target date</t>
        </is>
      </c>
      <c r="D3" s="3" t="inlineStr">
        <is>
          <t>Story</t>
        </is>
      </c>
    </row>
    <row r="4">
      <c r="A4" t="inlineStr">
        <is>
          <t>downside</t>
        </is>
      </c>
      <c r="B4" s="18" t="n">
        <v>0.1</v>
      </c>
      <c r="C4" s="4">
        <f>'Calc - downside'!$F$69</f>
        <v/>
      </c>
      <c r="D4">
        <f>Valuation!J82</f>
        <v/>
      </c>
    </row>
    <row r="5">
      <c r="A5" t="inlineStr">
        <is>
          <t>base</t>
        </is>
      </c>
      <c r="B5" s="18" t="n">
        <v>0.5</v>
      </c>
      <c r="C5" s="4">
        <f>'Calc - research target (12m)'!$F$69</f>
        <v/>
      </c>
      <c r="D5" t="inlineStr">
        <is>
          <t>the reconciled set (research target (12m))</t>
        </is>
      </c>
    </row>
    <row r="6">
      <c r="A6" t="inlineStr">
        <is>
          <t>upside</t>
        </is>
      </c>
      <c r="B6" s="18" t="n">
        <v>0.9</v>
      </c>
      <c r="C6" s="4">
        <f>'Calc - upside'!$F$69</f>
        <v/>
      </c>
      <c r="D6">
        <f>Valuation!J83</f>
        <v/>
      </c>
    </row>
    <row r="8">
      <c r="A8" t="inlineStr">
        <is>
          <t>Downside spread (log vol)</t>
        </is>
      </c>
      <c r="B8" s="18">
        <f>IF(ISNUMBER(C4),LN(C5/C4)/NORMSINV(0.9),Valuation!$B$65)</f>
        <v/>
      </c>
      <c r="C8">
        <f>IF(B8&lt;0.02,"FLAG: downside case at or above base","")</f>
        <v/>
      </c>
    </row>
    <row r="9">
      <c r="A9" t="inlineStr">
        <is>
          <t>Upside spread (log vol)</t>
        </is>
      </c>
      <c r="B9" s="18">
        <f>IF(ISNUMBER(C6),LN(C6/C5)/NORMSINV(0.9),Valuation!$B$65)</f>
        <v/>
      </c>
      <c r="C9">
        <f>IF(B9&lt;0.02,"FLAG: upside case at or below base","")</f>
        <v/>
      </c>
    </row>
    <row r="10">
      <c r="A10" t="inlineStr">
        <is>
          <t>Mean</t>
        </is>
      </c>
      <c r="B10" s="9">
        <f>C5*(EXP(B8^2/2)*NORMSDIST(-B8)+EXP(B9^2/2)*NORMSDIST(B9))</f>
        <v/>
      </c>
    </row>
    <row r="12">
      <c r="A12" s="3" t="inlineStr">
        <is>
          <t>Quantile</t>
        </is>
      </c>
      <c r="B12" s="3" t="inlineStr">
        <is>
          <t>Price</t>
        </is>
      </c>
    </row>
    <row r="13">
      <c r="A13" t="inlineStr">
        <is>
          <t>Median (model target)</t>
        </is>
      </c>
      <c r="B13" s="9">
        <f>$C$5*EXP(NORMSINV(0.5)*MAX(Distribution!$B$9,0.02))</f>
        <v/>
      </c>
    </row>
    <row r="14">
      <c r="A14" t="inlineStr">
        <is>
          <t>10th percentile</t>
        </is>
      </c>
      <c r="B14" s="9">
        <f>$C$5*EXP(NORMSINV(0.1)*MAX(Distribution!$B$8,0.02))</f>
        <v/>
      </c>
    </row>
    <row r="15">
      <c r="A15" t="inlineStr">
        <is>
          <t>25th percentile</t>
        </is>
      </c>
      <c r="B15" s="9">
        <f>$C$5*EXP(NORMSINV(0.25)*MAX(Distribution!$B$8,0.02))</f>
        <v/>
      </c>
    </row>
    <row r="16">
      <c r="A16" t="inlineStr">
        <is>
          <t>75th percentile</t>
        </is>
      </c>
      <c r="B16" s="9">
        <f>$C$5*EXP(NORMSINV(0.75)*MAX(Distribution!$B$9,0.02))</f>
        <v/>
      </c>
    </row>
    <row r="17">
      <c r="A17" t="inlineStr">
        <is>
          <t>90th percentile</t>
        </is>
      </c>
      <c r="B17" s="9">
        <f>$C$5*EXP(NORMSINV(0.9)*MAX(Distribution!$B$9,0.02))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4"/>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AVGO engine calculation: research target (12m) (reconciled set, no scenario deltas)</t>
        </is>
      </c>
    </row>
    <row r="2">
      <c r="A2" s="2" t="inlineStr">
        <is>
          <t>Machinery behind the Valuation and Distribution tabs; drivers come from Model, assumptions from Valuation.</t>
        </is>
      </c>
    </row>
    <row r="4">
      <c r="A4" t="inlineStr">
        <is>
          <t>Scenario Growth Δ</t>
        </is>
      </c>
      <c r="B4" s="18" t="n">
        <v>0</v>
      </c>
    </row>
    <row r="5">
      <c r="A5" t="inlineStr">
        <is>
          <t>Scenario Margin Δ</t>
        </is>
      </c>
      <c r="B5" s="18" t="n">
        <v>0</v>
      </c>
    </row>
    <row r="6">
      <c r="A6" t="inlineStr">
        <is>
          <t>Scenario Multiple Δ (turns)</t>
        </is>
      </c>
      <c r="B6" s="47" t="n">
        <v>0</v>
      </c>
    </row>
    <row r="7">
      <c r="A7" t="inlineStr">
        <is>
          <t>Scenario WACC Δ</t>
        </is>
      </c>
      <c r="B7" s="18" t="n">
        <v>0</v>
      </c>
    </row>
    <row r="8">
      <c r="A8" t="inlineStr">
        <is>
          <t>Scenario Multiple %Δ</t>
        </is>
      </c>
      <c r="B8" s="18" t="n">
        <v>0</v>
      </c>
    </row>
    <row r="9">
      <c r="A9" t="inlineStr">
        <is>
          <t>Scenario Stated EPS/FCF %Δ</t>
        </is>
      </c>
      <c r="B9" s="18" t="n">
        <v>0</v>
      </c>
    </row>
    <row r="10">
      <c r="A10" t="inlineStr">
        <is>
          <t>Scenario Custom %Δ</t>
        </is>
      </c>
      <c r="B10" s="18" t="n">
        <v>0</v>
      </c>
    </row>
    <row r="12">
      <c r="A12" t="inlineStr">
        <is>
          <t>WACC</t>
        </is>
      </c>
      <c r="B12" s="18">
        <f>Valuation!$B$50+B7</f>
        <v/>
      </c>
    </row>
    <row r="13">
      <c r="A13" t="inlineStr">
        <is>
          <t>Years from last FY end to target date</t>
        </is>
      </c>
      <c r="B13" s="48">
        <f>(Valuation!$B$44-Valuation!$B$48)/365.25</f>
        <v/>
      </c>
    </row>
    <row r="14">
      <c r="A14" t="inlineStr">
        <is>
          <t>Years from last FY end to balance date</t>
        </is>
      </c>
      <c r="B14" s="48">
        <f>(Valuation!$B$54-Valuation!$B$48)/365.25</f>
        <v/>
      </c>
    </row>
    <row r="15">
      <c r="A15" t="inlineStr">
        <is>
          <t>Years from last FY end to share count date</t>
        </is>
      </c>
      <c r="B15" s="48">
        <f>(Valuation!$B$60-Valuation!$B$48)/365.25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Valuation!$B$48+ROUND(365.25*C19,0)</f>
        <v/>
      </c>
      <c r="D20" s="20">
        <f>Valuation!$B$48+ROUND(365.25*D19,0)</f>
        <v/>
      </c>
      <c r="E20" s="20">
        <f>Valuation!$B$48+ROUND(365.25*E19,0)</f>
        <v/>
      </c>
    </row>
    <row r="21">
      <c r="A21" t="inlineStr">
        <is>
          <t>Revenue growth</t>
        </is>
      </c>
      <c r="C21" s="18">
        <f>C22/B22-1</f>
        <v/>
      </c>
      <c r="D21" s="18">
        <f>D22/C22-1</f>
        <v/>
      </c>
      <c r="E21" s="18">
        <f>E22/D22-1</f>
        <v/>
      </c>
    </row>
    <row r="22">
      <c r="A22" t="inlineStr">
        <is>
          <t>Revenue</t>
        </is>
      </c>
      <c r="B22" s="23">
        <f>Valuation!$B$49</f>
        <v/>
      </c>
      <c r="C22" s="23">
        <f>C139</f>
        <v/>
      </c>
      <c r="D22" s="23">
        <f>D139</f>
        <v/>
      </c>
      <c r="E22" s="23">
        <f>E139</f>
        <v/>
      </c>
    </row>
    <row r="23">
      <c r="A23" t="inlineStr">
        <is>
          <t>EBIT margin</t>
        </is>
      </c>
      <c r="C23" s="18">
        <f>C24/C22</f>
        <v/>
      </c>
      <c r="D23" s="18">
        <f>D24/D22</f>
        <v/>
      </c>
      <c r="E23" s="18">
        <f>E24/E22</f>
        <v/>
      </c>
    </row>
    <row r="24">
      <c r="A24" t="inlineStr">
        <is>
          <t>EBIT</t>
        </is>
      </c>
      <c r="C24" s="23">
        <f>C142</f>
        <v/>
      </c>
      <c r="D24" s="23">
        <f>D142</f>
        <v/>
      </c>
      <c r="E24" s="23">
        <f>E142</f>
        <v/>
      </c>
    </row>
    <row r="25">
      <c r="A25" t="inlineStr">
        <is>
          <t>Tax rate</t>
        </is>
      </c>
      <c r="C25" s="18">
        <f>Model!E63</f>
        <v/>
      </c>
      <c r="D25" s="18">
        <f>Model!F63</f>
        <v/>
      </c>
      <c r="E25" s="18">
        <f>Model!G63</f>
        <v/>
      </c>
    </row>
    <row r="26">
      <c r="A26" t="inlineStr">
        <is>
          <t>NOPAT</t>
        </is>
      </c>
      <c r="C26" s="23">
        <f>C24*(1-C25)</f>
        <v/>
      </c>
      <c r="D26" s="23">
        <f>D24*(1-D25)</f>
        <v/>
      </c>
      <c r="E26" s="23">
        <f>E24*(1-E25)</f>
        <v/>
      </c>
    </row>
    <row r="27">
      <c r="A27" t="inlineStr">
        <is>
          <t>D&amp;A</t>
        </is>
      </c>
      <c r="C27" s="23">
        <f>C22*(Model!E64)</f>
        <v/>
      </c>
      <c r="D27" s="23">
        <f>D22*(Model!F64)</f>
        <v/>
      </c>
      <c r="E27" s="23">
        <f>E22*(Model!G64)</f>
        <v/>
      </c>
    </row>
    <row r="28">
      <c r="A28" t="inlineStr">
        <is>
          <t>Capex</t>
        </is>
      </c>
      <c r="C28" s="23">
        <f>C22*(Model!E65)</f>
        <v/>
      </c>
      <c r="D28" s="23">
        <f>D22*(Model!F65)</f>
        <v/>
      </c>
      <c r="E28" s="23">
        <f>E22*(Model!G65)</f>
        <v/>
      </c>
    </row>
    <row r="29">
      <c r="A29" t="inlineStr">
        <is>
          <t>Working capital increase</t>
        </is>
      </c>
      <c r="C29" s="23">
        <f>(Model!E66)*(C22-B22)</f>
        <v/>
      </c>
      <c r="D29" s="23">
        <f>(Model!F66)*(D22-C22)</f>
        <v/>
      </c>
      <c r="E29" s="23">
        <f>(Model!G66)*(E22-D22)</f>
        <v/>
      </c>
    </row>
    <row r="30">
      <c r="A30" t="inlineStr">
        <is>
          <t>Stock comp</t>
        </is>
      </c>
      <c r="C30" s="23">
        <f>C22*(Model!E67)</f>
        <v/>
      </c>
      <c r="D30" s="23">
        <f>D22*(Model!F67)</f>
        <v/>
      </c>
      <c r="E30" s="23">
        <f>E22*(Model!G67)</f>
        <v/>
      </c>
    </row>
    <row r="31">
      <c r="A31" t="inlineStr">
        <is>
          <t>Free cash flow to firm</t>
        </is>
      </c>
      <c r="C31" s="23">
        <f>C26+C27-C28-C29-IF(AND(Valuation!$B$46="adjusted",Valuation!$B$47="cost"),C30*(1-C25),0)</f>
        <v/>
      </c>
      <c r="D31" s="23">
        <f>D26+D27-D28-D29-IF(AND(Valuation!$B$46="adjusted",Valuation!$B$47="cost"),D30*(1-D25),0)</f>
        <v/>
      </c>
      <c r="E31" s="23">
        <f>E26+E27-E28-E29-IF(AND(Valuation!$B$46="adjusted",Valuation!$B$47="cost"),E30*(1-E25),0)</f>
        <v/>
      </c>
    </row>
    <row r="32">
      <c r="A32" t="inlineStr">
        <is>
          <t>EBITDA</t>
        </is>
      </c>
      <c r="C32" s="23">
        <f>C24+C27</f>
        <v/>
      </c>
      <c r="D32" s="23">
        <f>D24+D27</f>
        <v/>
      </c>
      <c r="E32" s="23">
        <f>E24+E27</f>
        <v/>
      </c>
    </row>
    <row r="33">
      <c r="A33" t="inlineStr">
        <is>
          <t>Adj. EBITDA</t>
        </is>
      </c>
      <c r="C33" s="23">
        <f>C24+C27+C22*(Model!E71)</f>
        <v/>
      </c>
      <c r="D33" s="23">
        <f>D24+D27+D22*(Model!F71)</f>
        <v/>
      </c>
      <c r="E33" s="23">
        <f>E24+E27+E22*(Model!G71)</f>
        <v/>
      </c>
    </row>
    <row r="34">
      <c r="A34" t="inlineStr">
        <is>
          <t>Shareholder returns + other uses</t>
        </is>
      </c>
      <c r="C34" s="23">
        <f>C22*Model!E69+Model!E68+Model!E70</f>
        <v/>
      </c>
      <c r="D34" s="23">
        <f>D22*Model!F69+Model!F68+Model!F70</f>
        <v/>
      </c>
      <c r="E34" s="23">
        <f>E22*Model!G69+Model!G68+Model!G70</f>
        <v/>
      </c>
    </row>
    <row r="35">
      <c r="A35" t="inlineStr">
        <is>
          <t>Share of year after target date</t>
        </is>
      </c>
      <c r="C35" s="48">
        <f>IF(C19&lt;=$B$13,0,C19-MAX(C19-1,$B$13))</f>
        <v/>
      </c>
      <c r="D35" s="48">
        <f>IF(D19&lt;=$B$13,0,D19-MAX(D19-1,$B$13))</f>
        <v/>
      </c>
      <c r="E35" s="48">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8">
        <f>MAX(0,MIN(C19,$B$13)-MAX(C19-1,$B$14))</f>
        <v/>
      </c>
      <c r="D37" s="48">
        <f>MAX(0,MIN(D19,$B$13)-MAX(D19-1,$B$14))</f>
        <v/>
      </c>
      <c r="E37" s="48">
        <f>MAX(0,MIN(E19,$B$13)-MAX(E19-1,$B$14))</f>
        <v/>
      </c>
    </row>
    <row r="38">
      <c r="A38" t="inlineStr">
        <is>
          <t>NTM weight at target date</t>
        </is>
      </c>
      <c r="C38" s="48">
        <f>MAX(0,MIN(C19,$B$13+1)-MAX(C19-1,$B$13))</f>
        <v/>
      </c>
      <c r="D38" s="48">
        <f>MAX(0,MIN(D19,$B$13+1)-MAX(D19-1,$B$13))</f>
        <v/>
      </c>
      <c r="E38" s="48">
        <f>MAX(0,MIN(E19,$B$13+1)-MAX(E19-1,$B$13))</f>
        <v/>
      </c>
    </row>
    <row r="39">
      <c r="A39" t="inlineStr">
        <is>
          <t>LTM weight at target date</t>
        </is>
      </c>
      <c r="B39" s="48">
        <f>MAX(0,MIN(0,$B$13)-MAX(-1,$B$13-1))</f>
        <v/>
      </c>
      <c r="C39" s="48">
        <f>MAX(0,MIN(C19,$B$13)-MAX(C19-1,$B$13-1))</f>
        <v/>
      </c>
      <c r="D39" s="48">
        <f>MAX(0,MIN(D19,$B$13)-MAX(D19-1,$B$13-1))</f>
        <v/>
      </c>
      <c r="E39" s="48">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IF(Valuation!$B$51="exit_multiple",Valuation!$B$53*E32,E31*(1+Valuation!$B$52)/($B$12-Valuation!$B$52))</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SUMPRODUCT($C$193:$E$193,$C$31:$E$31)</f>
        <v/>
      </c>
    </row>
    <row r="48">
      <c r="A48" t="inlineStr">
        <is>
          <t>Shareholder returns + other uses paid</t>
        </is>
      </c>
      <c r="B48" s="23">
        <f>SUMPRODUCT($C$194:$E$194,$C$34:$E$34)</f>
        <v/>
      </c>
    </row>
    <row r="49">
      <c r="A49" t="inlineStr">
        <is>
          <t>Interest drag on net debt</t>
        </is>
      </c>
      <c r="B49" s="23">
        <f>Valuation!$B$57*(1-$C$25)*MAX(Valuation!$B$55,0)*MAX($B$13-$B$14,0)</f>
        <v/>
      </c>
    </row>
    <row r="50">
      <c r="A50" t="inlineStr">
        <is>
          <t>Net debt at target date</t>
        </is>
      </c>
      <c r="B50" s="23">
        <f>IF(Valuation!$B$58="",Valuation!$B$55-B47+B49+B48,Valuation!$B$58)</f>
        <v/>
      </c>
    </row>
    <row r="51">
      <c r="A51" t="inlineStr">
        <is>
          <t>Minority interests</t>
        </is>
      </c>
      <c r="B51" s="23">
        <f>Valuation!$B$56</f>
        <v/>
      </c>
    </row>
    <row r="52">
      <c r="A52" t="inlineStr">
        <is>
          <t>Adjustments (probability-weighted)</t>
        </is>
      </c>
      <c r="B52" s="23">
        <f>(Valuation!B75)*Valuation!C75+(Valuation!B76)*Valuation!C76+0</f>
        <v/>
      </c>
    </row>
    <row r="53">
      <c r="A53" t="inlineStr">
        <is>
          <t>Diluted shares at target date (M)</t>
        </is>
      </c>
      <c r="B53" s="28">
        <f>IF(Valuation!$B$62="",Valuation!$B$59*(1+Valuation!$B$61)^MAX($B$13-$B$15,0),Valuation!$B$62)</f>
        <v/>
      </c>
    </row>
    <row r="54">
      <c r="A54" t="inlineStr">
        <is>
          <t>After-tax interest on target-date net debt (net cash earns it: quarterly set)</t>
        </is>
      </c>
      <c r="B54" s="23">
        <f>Valuation!$B$57*(1-$C$25)*B50</f>
        <v/>
      </c>
    </row>
    <row r="55">
      <c r="A55" t="inlineStr">
        <is>
          <t>Check: WACC vs terminal growth</t>
        </is>
      </c>
      <c r="B55">
        <f>IF(AND(Valuation!$B$51&lt;&gt;"exit_multiple",$B$12&lt;=Valuation!$B$52+0.01),"WACC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SUMPRODUCT($C$181:$E$181,$C$22:$E$22)</f>
        <v/>
      </c>
      <c r="C59" s="23">
        <f>SUMPRODUCT($C$187:$E$187,$C$22:$E$22)</f>
        <v/>
      </c>
    </row>
    <row r="60">
      <c r="A60" t="inlineStr">
        <is>
          <t>EBIT</t>
        </is>
      </c>
      <c r="B60" s="23">
        <f>SUMPRODUCT($C$182:$E$182,$C$24:$E$24)</f>
        <v/>
      </c>
      <c r="C60" s="23">
        <f>SUMPRODUCT($C$188:$E$188,$C$24:$E$24)</f>
        <v/>
      </c>
    </row>
    <row r="61">
      <c r="A61" t="inlineStr">
        <is>
          <t>EBITDA</t>
        </is>
      </c>
      <c r="B61" s="23">
        <f>SUMPRODUCT($C$183:$E$183,$C$32:$E$32)</f>
        <v/>
      </c>
      <c r="C61" s="23">
        <f>SUMPRODUCT($C$189:$E$189,$C$32:$E$32)</f>
        <v/>
      </c>
    </row>
    <row r="62">
      <c r="A62" t="inlineStr">
        <is>
          <t>Adj. EBITDA</t>
        </is>
      </c>
      <c r="B62" s="23">
        <f>SUMPRODUCT($C$184:$E$184,$C$33:$E$33)</f>
        <v/>
      </c>
      <c r="C62" s="23">
        <f>SUMPRODUCT($C$190:$E$190,$C$33:$E$33)</f>
        <v/>
      </c>
    </row>
    <row r="63">
      <c r="A63" t="inlineStr">
        <is>
          <t>NOPAT</t>
        </is>
      </c>
      <c r="B63" s="23">
        <f>SUMPRODUCT($C$185:$E$185,$C$26:$E$26)</f>
        <v/>
      </c>
      <c r="C63" s="23">
        <f>SUMPRODUCT($C$191:$E$191,$C$26:$E$26)</f>
        <v/>
      </c>
    </row>
    <row r="64">
      <c r="A64" t="inlineStr">
        <is>
          <t>Free cash flow to firm</t>
        </is>
      </c>
      <c r="B64" s="23">
        <f>SUMPRODUCT($C$186:$E$186,$C$31:$E$31)</f>
        <v/>
      </c>
      <c r="C64" s="23">
        <f>SUMPRODUCT($C$192:$E$192,$C$31:$E$31)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Valuation!$B$63</f>
        <v/>
      </c>
    </row>
    <row r="68">
      <c r="A68">
        <f>"Multiple: "&amp;Valuation!A69&amp;" ("&amp;Valuation!D69&amp;")"</f>
        <v/>
      </c>
      <c r="B68">
        <f>Valuation!A69</f>
        <v/>
      </c>
      <c r="C68" s="9">
        <f>IF(B68="FCF yield",(Valuation!B69)*(1-$B$8),(Valuation!B69)+IF(B68="EV/sales",0.1,1)*$B$6)</f>
        <v/>
      </c>
      <c r="D68">
        <f>Valuation!D69</f>
        <v/>
      </c>
      <c r="E68" s="23">
        <f>IF(D68="ltm",CHOOSE(H68,$C$59,$C$60,$C$61,$C$62,$C$63,$C$64),CHOOSE(H68,$B$59,$B$60,$B$61,$B$62,$B$63,$B$64))</f>
        <v/>
      </c>
      <c r="F68" s="9">
        <f>IF(OR(B68="EV/EBITDA",B68="EV/sales",B68="EV/EBIT"),((C68*E68)-$B$50-$B$51+$B$52)/$B$53,IF(B68="P/E",IF(Valuation!F69&lt;&gt;"",C68*(Valuation!F69)*(1+$B$9),C68*(E68-$B$54)/$B$53),IF(Valuation!G69&lt;&gt;"",(Valuation!G69)*(1+$B$9)/C68,(E68-IF(Valuation!H69,$B$54,0))/C68/$B$53))+$B$52/$B$53)</f>
        <v/>
      </c>
      <c r="G68" s="18">
        <f>Valuation!C69</f>
        <v/>
      </c>
      <c r="H68">
        <f>IF(B68="EV/sales",1,IF(B68="EV/EBIT",2,IF(B68="EV/EBITDA",IF(Valuation!E69="adjusted",4,3),IF(B68="P/E",5,6))))</f>
        <v/>
      </c>
      <c r="I68" s="49">
        <f>IF(AND(B68="P/E",Valuation!F69&lt;&gt;""),(Valuation!F69)*(1+$B$9),IF(AND(B68="FCF yield",Valuation!G69&lt;&gt;""),(Valuation!G69)*(1+$B$9),E68))</f>
        <v/>
      </c>
    </row>
    <row r="69">
      <c r="A69" s="19" t="inlineStr">
        <is>
          <t>Value per share at target date (weighted methods)</t>
        </is>
      </c>
      <c r="F69" s="6">
        <f>SUMPRODUCT(F67:F68,G67:G68)/SUM(G67:G68)</f>
        <v/>
      </c>
    </row>
    <row r="129">
      <c r="A129" s="19" t="inlineStr">
        <is>
          <t>Segment build (model_engine.seg_build): revenue and EBIT are the segment sums plus corporate EBIT</t>
        </is>
      </c>
    </row>
    <row r="130">
      <c r="A130" s="3" t="inlineStr">
        <is>
          <t>Segment</t>
        </is>
      </c>
      <c r="B130" s="3" t="inlineStr">
        <is>
          <t>Base</t>
        </is>
      </c>
      <c r="C130" s="3">
        <f>Model!E5</f>
        <v/>
      </c>
      <c r="D130" s="3">
        <f>Model!F5</f>
        <v/>
      </c>
      <c r="E130" s="3">
        <f>Model!G5</f>
        <v/>
      </c>
    </row>
    <row r="131">
      <c r="A131" t="inlineStr">
        <is>
          <t>Semiconductor solutions: revenue growth</t>
        </is>
      </c>
      <c r="C131" s="18">
        <f>Model!E12+$B$4</f>
        <v/>
      </c>
      <c r="D131" s="18">
        <f>Model!F12+$B$4</f>
        <v/>
      </c>
      <c r="E131" s="18">
        <f>Model!G12+$B$4</f>
        <v/>
      </c>
    </row>
    <row r="132">
      <c r="A132" t="inlineStr">
        <is>
          <t>Semiconductor solutions: revenue</t>
        </is>
      </c>
      <c r="B132" s="10">
        <f>Valuation!$B$86</f>
        <v/>
      </c>
      <c r="C132" s="23">
        <f>B132*(1+C131)</f>
        <v/>
      </c>
      <c r="D132" s="23">
        <f>C132*(1+D131)</f>
        <v/>
      </c>
      <c r="E132" s="23">
        <f>D132*(1+E131)</f>
        <v/>
      </c>
    </row>
    <row r="133">
      <c r="A133" t="inlineStr">
        <is>
          <t>Semiconductor solutions: EBIT margin</t>
        </is>
      </c>
      <c r="C133" s="18">
        <f>Model!E14+$B$5</f>
        <v/>
      </c>
      <c r="D133" s="18">
        <f>Model!F14+$B$5</f>
        <v/>
      </c>
      <c r="E133" s="18">
        <f>Model!G14+$B$5</f>
        <v/>
      </c>
    </row>
    <row r="134">
      <c r="A134" t="inlineStr">
        <is>
          <t>Semiconductor solutions: EBIT</t>
        </is>
      </c>
      <c r="C134" s="23">
        <f>C132*C133</f>
        <v/>
      </c>
      <c r="D134" s="23">
        <f>D132*D133</f>
        <v/>
      </c>
      <c r="E134" s="23">
        <f>E132*E133</f>
        <v/>
      </c>
    </row>
    <row r="135">
      <c r="A135" t="inlineStr">
        <is>
          <t>Infrastructure software: revenue growth</t>
        </is>
      </c>
      <c r="C135" s="18">
        <f>Model!E16+$B$4</f>
        <v/>
      </c>
      <c r="D135" s="18">
        <f>Model!F16+$B$4</f>
        <v/>
      </c>
      <c r="E135" s="18">
        <f>Model!G16+$B$4</f>
        <v/>
      </c>
    </row>
    <row r="136">
      <c r="A136" t="inlineStr">
        <is>
          <t>Infrastructure software: revenue</t>
        </is>
      </c>
      <c r="B136" s="10">
        <f>Valuation!$B$87</f>
        <v/>
      </c>
      <c r="C136" s="23">
        <f>B136*(1+C135)</f>
        <v/>
      </c>
      <c r="D136" s="23">
        <f>C136*(1+D135)</f>
        <v/>
      </c>
      <c r="E136" s="23">
        <f>D136*(1+E135)</f>
        <v/>
      </c>
    </row>
    <row r="137">
      <c r="A137" t="inlineStr">
        <is>
          <t>Infrastructure software: EBIT margin</t>
        </is>
      </c>
      <c r="C137" s="18">
        <f>Model!E18+$B$5</f>
        <v/>
      </c>
      <c r="D137" s="18">
        <f>Model!F18+$B$5</f>
        <v/>
      </c>
      <c r="E137" s="18">
        <f>Model!G18+$B$5</f>
        <v/>
      </c>
    </row>
    <row r="138">
      <c r="A138" t="inlineStr">
        <is>
          <t>Infrastructure software: EBIT</t>
        </is>
      </c>
      <c r="C138" s="23">
        <f>C136*C137</f>
        <v/>
      </c>
      <c r="D138" s="23">
        <f>D136*D137</f>
        <v/>
      </c>
      <c r="E138" s="23">
        <f>E136*E137</f>
        <v/>
      </c>
    </row>
    <row r="139">
      <c r="A139" s="19" t="inlineStr">
        <is>
          <t>Total segment revenue</t>
        </is>
      </c>
      <c r="C139" s="23">
        <f>C132+C136</f>
        <v/>
      </c>
      <c r="D139" s="23">
        <f>D132+D136</f>
        <v/>
      </c>
      <c r="E139" s="23">
        <f>E132+E136</f>
        <v/>
      </c>
    </row>
    <row r="140">
      <c r="A140" t="inlineStr">
        <is>
          <t>Total segment EBIT</t>
        </is>
      </c>
      <c r="C140" s="23">
        <f>C134+C138</f>
        <v/>
      </c>
      <c r="D140" s="23">
        <f>D134+D138</f>
        <v/>
      </c>
      <c r="E140" s="23">
        <f>E134+E138</f>
        <v/>
      </c>
    </row>
    <row r="141">
      <c r="A141" t="inlineStr">
        <is>
          <t>Corporate / unallocated EBIT</t>
        </is>
      </c>
      <c r="C141" s="10">
        <f>Model!E21</f>
        <v/>
      </c>
      <c r="D141" s="10">
        <f>Model!F21</f>
        <v/>
      </c>
      <c r="E141" s="10">
        <f>Model!G21</f>
        <v/>
      </c>
    </row>
    <row r="142">
      <c r="A142" s="19" t="inlineStr">
        <is>
          <t>EBIT (segments + corporate)</t>
        </is>
      </c>
      <c r="C142" s="23">
        <f>C140+C141</f>
        <v/>
      </c>
      <c r="D142" s="23">
        <f>D140+D141</f>
        <v/>
      </c>
      <c r="E142" s="23">
        <f>E140+E141</f>
        <v/>
      </c>
    </row>
    <row r="180">
      <c r="A180" s="19" t="inlineStr">
        <is>
          <t>Quarterly set: weight of each projected year in the metric at the target date, from the engine's quarter rows (model_engine.quarter_rows; replaces the straight-line weights in rows 37-39)</t>
        </is>
      </c>
    </row>
    <row r="181">
      <c r="A181" t="inlineStr">
        <is>
          <t>NTM weight by year: revenue</t>
        </is>
      </c>
      <c r="C181" s="50" t="n">
        <v>0</v>
      </c>
      <c r="D181" s="50" t="n">
        <v>0.0061458330212701</v>
      </c>
      <c r="E181" s="50" t="n">
        <v>0.9968671567916808</v>
      </c>
    </row>
    <row r="182">
      <c r="A182" t="inlineStr">
        <is>
          <t>NTM weight by year: ebit</t>
        </is>
      </c>
      <c r="C182" s="50" t="n">
        <v>0</v>
      </c>
      <c r="D182" s="50" t="n">
        <v>0.006086673879947247</v>
      </c>
      <c r="E182" s="50" t="n">
        <v>0.9968796278571856</v>
      </c>
    </row>
    <row r="183">
      <c r="A183" t="inlineStr">
        <is>
          <t>NTM weight by year: ebitda</t>
        </is>
      </c>
      <c r="C183" s="50" t="n">
        <v>0</v>
      </c>
      <c r="D183" s="50" t="n">
        <v>0.006087271469196292</v>
      </c>
      <c r="E183" s="50" t="n">
        <v>0.9968794715926786</v>
      </c>
    </row>
    <row r="184">
      <c r="A184" t="inlineStr">
        <is>
          <t>NTM weight by year: adj_ebitda</t>
        </is>
      </c>
      <c r="C184" s="50" t="n">
        <v>0</v>
      </c>
      <c r="D184" s="50" t="n">
        <v>0.006087271469196292</v>
      </c>
      <c r="E184" s="50" t="n">
        <v>0.9968794715926786</v>
      </c>
    </row>
    <row r="185">
      <c r="A185" t="inlineStr">
        <is>
          <t>NTM weight by year: nopat</t>
        </is>
      </c>
      <c r="C185" s="50" t="n">
        <v>0</v>
      </c>
      <c r="D185" s="50" t="n">
        <v>0.006086673948896609</v>
      </c>
      <c r="E185" s="50" t="n">
        <v>0.9968796475955438</v>
      </c>
    </row>
    <row r="186">
      <c r="A186" t="inlineStr">
        <is>
          <t>NTM weight by year: fcff</t>
        </is>
      </c>
      <c r="C186" s="50" t="n">
        <v>0</v>
      </c>
      <c r="D186" s="50" t="n">
        <v>0.006079499183067388</v>
      </c>
      <c r="E186" s="50" t="n">
        <v>0.9968808458572759</v>
      </c>
    </row>
    <row r="187">
      <c r="A187" t="inlineStr">
        <is>
          <t>LTM weight by year: revenue</t>
        </is>
      </c>
      <c r="C187" s="50" t="n">
        <v>0.01090739943703545</v>
      </c>
      <c r="D187" s="50" t="n">
        <v>0.99385416697873</v>
      </c>
      <c r="E187" s="50" t="n">
        <v>0</v>
      </c>
    </row>
    <row r="188">
      <c r="A188" t="inlineStr">
        <is>
          <t>LTM weight by year: ebit</t>
        </is>
      </c>
      <c r="C188" s="50" t="n">
        <v>0.01116112555447946</v>
      </c>
      <c r="D188" s="50" t="n">
        <v>0.9939132858188496</v>
      </c>
      <c r="E188" s="50" t="n">
        <v>0</v>
      </c>
    </row>
    <row r="189">
      <c r="A189" t="inlineStr">
        <is>
          <t>LTM weight by year: ebitda</t>
        </is>
      </c>
      <c r="C189" s="50" t="n">
        <v>0.01115857640964967</v>
      </c>
      <c r="D189" s="50" t="n">
        <v>0.9939127285308037</v>
      </c>
      <c r="E189" s="50" t="n">
        <v>0</v>
      </c>
    </row>
    <row r="190">
      <c r="A190" t="inlineStr">
        <is>
          <t>LTM weight by year: adj_ebitda</t>
        </is>
      </c>
      <c r="C190" s="50" t="n">
        <v>0.01115857640964967</v>
      </c>
      <c r="D190" s="50" t="n">
        <v>0.9939127285308037</v>
      </c>
      <c r="E190" s="50" t="n">
        <v>0</v>
      </c>
    </row>
    <row r="191">
      <c r="A191" t="inlineStr">
        <is>
          <t>LTM weight by year: nopat</t>
        </is>
      </c>
      <c r="C191" s="50" t="n">
        <v>0.01116112530822355</v>
      </c>
      <c r="D191" s="50" t="n">
        <v>0.9939132960650889</v>
      </c>
      <c r="E191" s="50" t="n">
        <v>0</v>
      </c>
    </row>
    <row r="192">
      <c r="A192" t="inlineStr">
        <is>
          <t>LTM weight by year: fcff</t>
        </is>
      </c>
      <c r="C192" s="50" t="n">
        <v>0.01119920736302785</v>
      </c>
      <c r="D192" s="50" t="n">
        <v>0.9939205196457301</v>
      </c>
      <c r="E192" s="50" t="n">
        <v>0</v>
      </c>
    </row>
    <row r="193">
      <c r="A193" t="inlineStr">
        <is>
          <t>ROLL weight by year: fcff</t>
        </is>
      </c>
      <c r="C193" s="50" t="n">
        <v>0.3397092900118449</v>
      </c>
      <c r="D193" s="50" t="n">
        <v>0.9939205196457301</v>
      </c>
      <c r="E193" s="50" t="n">
        <v>0</v>
      </c>
    </row>
    <row r="194">
      <c r="A194" t="inlineStr">
        <is>
          <t>ROLL weight by year: returns</t>
        </is>
      </c>
      <c r="C194" s="50" t="n">
        <v>0.3308577858293076</v>
      </c>
      <c r="D194" s="50" t="n">
        <v>0.9938541600269932</v>
      </c>
      <c r="E194" s="5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56"/>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AVGO engine calculation: downside scenario</t>
        </is>
      </c>
    </row>
    <row r="2">
      <c r="A2" s="2" t="inlineStr">
        <is>
          <t>Machinery behind the Valuation and Distribution tabs; drivers come from Model, assumptions from Valuation.</t>
        </is>
      </c>
    </row>
    <row r="4">
      <c r="A4" t="inlineStr">
        <is>
          <t>Scenario Growth Δ</t>
        </is>
      </c>
      <c r="B4" s="12">
        <f>N(Valuation!C82)</f>
        <v/>
      </c>
    </row>
    <row r="5">
      <c r="A5" t="inlineStr">
        <is>
          <t>Scenario Margin Δ</t>
        </is>
      </c>
      <c r="B5" s="12">
        <f>N(Valuation!D82)</f>
        <v/>
      </c>
    </row>
    <row r="6">
      <c r="A6" t="inlineStr">
        <is>
          <t>Scenario Multiple Δ (turns)</t>
        </is>
      </c>
      <c r="B6" s="51">
        <f>N(Valuation!E82)</f>
        <v/>
      </c>
    </row>
    <row r="7">
      <c r="A7" t="inlineStr">
        <is>
          <t>Scenario WACC Δ</t>
        </is>
      </c>
      <c r="B7" s="12">
        <f>N(Valuation!F82)</f>
        <v/>
      </c>
    </row>
    <row r="8">
      <c r="A8" t="inlineStr">
        <is>
          <t>Scenario Multiple %Δ</t>
        </is>
      </c>
      <c r="B8" s="12">
        <f>N(Valuation!G82)</f>
        <v/>
      </c>
    </row>
    <row r="9">
      <c r="A9" t="inlineStr">
        <is>
          <t>Scenario Stated EPS/FCF %Δ</t>
        </is>
      </c>
      <c r="B9" s="12">
        <f>N(Valuation!H82)</f>
        <v/>
      </c>
    </row>
    <row r="10">
      <c r="A10" t="inlineStr">
        <is>
          <t>Scenario Custom %Δ</t>
        </is>
      </c>
      <c r="B10" s="12">
        <f>N(Valuation!I82)</f>
        <v/>
      </c>
    </row>
    <row r="12">
      <c r="A12" t="inlineStr">
        <is>
          <t>WACC</t>
        </is>
      </c>
      <c r="B12" s="18">
        <f>Valuation!$B$50+B7</f>
        <v/>
      </c>
    </row>
    <row r="13">
      <c r="A13" t="inlineStr">
        <is>
          <t>Years from last FY end to target date</t>
        </is>
      </c>
      <c r="B13" s="48">
        <f>(Valuation!$B$44-Valuation!$B$48)/365.25</f>
        <v/>
      </c>
    </row>
    <row r="14">
      <c r="A14" t="inlineStr">
        <is>
          <t>Years from last FY end to balance date</t>
        </is>
      </c>
      <c r="B14" s="48">
        <f>(Valuation!$B$54-Valuation!$B$48)/365.25</f>
        <v/>
      </c>
    </row>
    <row r="15">
      <c r="A15" t="inlineStr">
        <is>
          <t>Years from last FY end to share count date</t>
        </is>
      </c>
      <c r="B15" s="48">
        <f>(Valuation!$B$60-Valuation!$B$48)/365.25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Valuation!$B$48+ROUND(365.25*C19,0)</f>
        <v/>
      </c>
      <c r="D20" s="20">
        <f>Valuation!$B$48+ROUND(365.25*D19,0)</f>
        <v/>
      </c>
      <c r="E20" s="20">
        <f>Valuation!$B$48+ROUND(365.25*E19,0)</f>
        <v/>
      </c>
    </row>
    <row r="21">
      <c r="A21" t="inlineStr">
        <is>
          <t>Revenue growth</t>
        </is>
      </c>
      <c r="C21" s="18">
        <f>C22/B22-1</f>
        <v/>
      </c>
      <c r="D21" s="18">
        <f>D22/C22-1</f>
        <v/>
      </c>
      <c r="E21" s="18">
        <f>E22/D22-1</f>
        <v/>
      </c>
    </row>
    <row r="22">
      <c r="A22" t="inlineStr">
        <is>
          <t>Revenue</t>
        </is>
      </c>
      <c r="B22" s="23">
        <f>Valuation!$B$49</f>
        <v/>
      </c>
      <c r="C22" s="23">
        <f>C139</f>
        <v/>
      </c>
      <c r="D22" s="23">
        <f>D139</f>
        <v/>
      </c>
      <c r="E22" s="23">
        <f>E139</f>
        <v/>
      </c>
    </row>
    <row r="23">
      <c r="A23" t="inlineStr">
        <is>
          <t>EBIT margin</t>
        </is>
      </c>
      <c r="C23" s="18">
        <f>C24/C22</f>
        <v/>
      </c>
      <c r="D23" s="18">
        <f>D24/D22</f>
        <v/>
      </c>
      <c r="E23" s="18">
        <f>E24/E22</f>
        <v/>
      </c>
    </row>
    <row r="24">
      <c r="A24" t="inlineStr">
        <is>
          <t>EBIT</t>
        </is>
      </c>
      <c r="C24" s="23">
        <f>C142</f>
        <v/>
      </c>
      <c r="D24" s="23">
        <f>D142</f>
        <v/>
      </c>
      <c r="E24" s="23">
        <f>E142</f>
        <v/>
      </c>
    </row>
    <row r="25">
      <c r="A25" t="inlineStr">
        <is>
          <t>Tax rate</t>
        </is>
      </c>
      <c r="C25" s="18">
        <f>Model!E63</f>
        <v/>
      </c>
      <c r="D25" s="18">
        <f>Model!F63</f>
        <v/>
      </c>
      <c r="E25" s="18">
        <f>Model!G63</f>
        <v/>
      </c>
    </row>
    <row r="26">
      <c r="A26" t="inlineStr">
        <is>
          <t>NOPAT</t>
        </is>
      </c>
      <c r="C26" s="23">
        <f>C24*(1-C25)</f>
        <v/>
      </c>
      <c r="D26" s="23">
        <f>D24*(1-D25)</f>
        <v/>
      </c>
      <c r="E26" s="23">
        <f>E24*(1-E25)</f>
        <v/>
      </c>
    </row>
    <row r="27">
      <c r="A27" t="inlineStr">
        <is>
          <t>D&amp;A</t>
        </is>
      </c>
      <c r="C27" s="23">
        <f>C22*(Model!E64)</f>
        <v/>
      </c>
      <c r="D27" s="23">
        <f>D22*(Model!F64)</f>
        <v/>
      </c>
      <c r="E27" s="23">
        <f>E22*(Model!G64)</f>
        <v/>
      </c>
    </row>
    <row r="28">
      <c r="A28" t="inlineStr">
        <is>
          <t>Capex</t>
        </is>
      </c>
      <c r="C28" s="23">
        <f>C22*(Model!E65)</f>
        <v/>
      </c>
      <c r="D28" s="23">
        <f>D22*(Model!F65)</f>
        <v/>
      </c>
      <c r="E28" s="23">
        <f>E22*(Model!G65)</f>
        <v/>
      </c>
    </row>
    <row r="29">
      <c r="A29" t="inlineStr">
        <is>
          <t>Working capital increase</t>
        </is>
      </c>
      <c r="C29" s="23">
        <f>(Model!E66)*(C22-B22)</f>
        <v/>
      </c>
      <c r="D29" s="23">
        <f>(Model!F66)*(D22-C22)</f>
        <v/>
      </c>
      <c r="E29" s="23">
        <f>(Model!G66)*(E22-D22)</f>
        <v/>
      </c>
    </row>
    <row r="30">
      <c r="A30" t="inlineStr">
        <is>
          <t>Stock comp</t>
        </is>
      </c>
      <c r="C30" s="23">
        <f>C22*(Model!E67)</f>
        <v/>
      </c>
      <c r="D30" s="23">
        <f>D22*(Model!F67)</f>
        <v/>
      </c>
      <c r="E30" s="23">
        <f>E22*(Model!G67)</f>
        <v/>
      </c>
    </row>
    <row r="31">
      <c r="A31" t="inlineStr">
        <is>
          <t>Free cash flow to firm</t>
        </is>
      </c>
      <c r="C31" s="23">
        <f>C26+C27-C28-C29-IF(AND(Valuation!$B$46="adjusted",Valuation!$B$47="cost"),C30*(1-C25),0)</f>
        <v/>
      </c>
      <c r="D31" s="23">
        <f>D26+D27-D28-D29-IF(AND(Valuation!$B$46="adjusted",Valuation!$B$47="cost"),D30*(1-D25),0)</f>
        <v/>
      </c>
      <c r="E31" s="23">
        <f>E26+E27-E28-E29-IF(AND(Valuation!$B$46="adjusted",Valuation!$B$47="cost"),E30*(1-E25),0)</f>
        <v/>
      </c>
    </row>
    <row r="32">
      <c r="A32" t="inlineStr">
        <is>
          <t>EBITDA</t>
        </is>
      </c>
      <c r="C32" s="23">
        <f>C24+C27</f>
        <v/>
      </c>
      <c r="D32" s="23">
        <f>D24+D27</f>
        <v/>
      </c>
      <c r="E32" s="23">
        <f>E24+E27</f>
        <v/>
      </c>
    </row>
    <row r="33">
      <c r="A33" t="inlineStr">
        <is>
          <t>Adj. EBITDA</t>
        </is>
      </c>
      <c r="C33" s="23">
        <f>C24+C27+C22*(Model!E71)</f>
        <v/>
      </c>
      <c r="D33" s="23">
        <f>D24+D27+D22*(Model!F71)</f>
        <v/>
      </c>
      <c r="E33" s="23">
        <f>E24+E27+E22*(Model!G71)</f>
        <v/>
      </c>
    </row>
    <row r="34">
      <c r="A34" t="inlineStr">
        <is>
          <t>Shareholder returns + other uses</t>
        </is>
      </c>
      <c r="C34" s="23">
        <f>C22*Model!E69+Model!E68+Model!E70</f>
        <v/>
      </c>
      <c r="D34" s="23">
        <f>D22*Model!F69+Model!F68+Model!F70</f>
        <v/>
      </c>
      <c r="E34" s="23">
        <f>E22*Model!G69+Model!G68+Model!G70</f>
        <v/>
      </c>
    </row>
    <row r="35">
      <c r="A35" t="inlineStr">
        <is>
          <t>Share of year after target date</t>
        </is>
      </c>
      <c r="C35" s="48">
        <f>IF(C19&lt;=$B$13,0,C19-MAX(C19-1,$B$13))</f>
        <v/>
      </c>
      <c r="D35" s="48">
        <f>IF(D19&lt;=$B$13,0,D19-MAX(D19-1,$B$13))</f>
        <v/>
      </c>
      <c r="E35" s="48">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8">
        <f>MAX(0,MIN(C19,$B$13)-MAX(C19-1,$B$14))</f>
        <v/>
      </c>
      <c r="D37" s="48">
        <f>MAX(0,MIN(D19,$B$13)-MAX(D19-1,$B$14))</f>
        <v/>
      </c>
      <c r="E37" s="48">
        <f>MAX(0,MIN(E19,$B$13)-MAX(E19-1,$B$14))</f>
        <v/>
      </c>
    </row>
    <row r="38">
      <c r="A38" t="inlineStr">
        <is>
          <t>NTM weight at target date</t>
        </is>
      </c>
      <c r="C38" s="48">
        <f>MAX(0,MIN(C19,$B$13+1)-MAX(C19-1,$B$13))</f>
        <v/>
      </c>
      <c r="D38" s="48">
        <f>MAX(0,MIN(D19,$B$13+1)-MAX(D19-1,$B$13))</f>
        <v/>
      </c>
      <c r="E38" s="48">
        <f>MAX(0,MIN(E19,$B$13+1)-MAX(E19-1,$B$13))</f>
        <v/>
      </c>
    </row>
    <row r="39">
      <c r="A39" t="inlineStr">
        <is>
          <t>LTM weight at target date</t>
        </is>
      </c>
      <c r="B39" s="48">
        <f>MAX(0,MIN(0,$B$13)-MAX(-1,$B$13-1))</f>
        <v/>
      </c>
      <c r="C39" s="48">
        <f>MAX(0,MIN(C19,$B$13)-MAX(C19-1,$B$13-1))</f>
        <v/>
      </c>
      <c r="D39" s="48">
        <f>MAX(0,MIN(D19,$B$13)-MAX(D19-1,$B$13-1))</f>
        <v/>
      </c>
      <c r="E39" s="48">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IF(Valuation!$B$51="exit_multiple",Valuation!$B$53*E32,E31*(1+Valuation!$B$52)/($B$12-Valuation!$B$52))</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SUMPRODUCT($C$193:$E$193,$C$31:$E$31)</f>
        <v/>
      </c>
    </row>
    <row r="48">
      <c r="A48" t="inlineStr">
        <is>
          <t>Shareholder returns + other uses paid</t>
        </is>
      </c>
      <c r="B48" s="23">
        <f>SUMPRODUCT($C$194:$E$194,$C$34:$E$34)</f>
        <v/>
      </c>
    </row>
    <row r="49">
      <c r="A49" t="inlineStr">
        <is>
          <t>Interest drag on net debt</t>
        </is>
      </c>
      <c r="B49" s="23">
        <f>Valuation!$B$57*(1-$C$25)*MAX(Valuation!$B$55,0)*MAX($B$13-$B$14,0)</f>
        <v/>
      </c>
    </row>
    <row r="50">
      <c r="A50" t="inlineStr">
        <is>
          <t>Net debt at target date</t>
        </is>
      </c>
      <c r="B50" s="23">
        <f>IF(Valuation!$B$58="",Valuation!$B$55-B47+B49+B48,Valuation!$B$58)</f>
        <v/>
      </c>
    </row>
    <row r="51">
      <c r="A51" t="inlineStr">
        <is>
          <t>Minority interests</t>
        </is>
      </c>
      <c r="B51" s="23">
        <f>Valuation!$B$56</f>
        <v/>
      </c>
    </row>
    <row r="52">
      <c r="A52" t="inlineStr">
        <is>
          <t>Adjustments (probability-weighted)</t>
        </is>
      </c>
      <c r="B52" s="23">
        <f>(Valuation!B75)*Valuation!C75+(Valuation!B76)*Valuation!C76+0</f>
        <v/>
      </c>
    </row>
    <row r="53">
      <c r="A53" t="inlineStr">
        <is>
          <t>Diluted shares at target date (M)</t>
        </is>
      </c>
      <c r="B53" s="28">
        <f>IF(Valuation!$B$62="",Valuation!$B$59*(1+Valuation!$B$61)^MAX($B$13-$B$15,0),Valuation!$B$62)</f>
        <v/>
      </c>
    </row>
    <row r="54">
      <c r="A54" t="inlineStr">
        <is>
          <t>After-tax interest on target-date net debt (net cash earns it: quarterly set)</t>
        </is>
      </c>
      <c r="B54" s="23">
        <f>Valuation!$B$57*(1-$C$25)*B50</f>
        <v/>
      </c>
    </row>
    <row r="55">
      <c r="A55" t="inlineStr">
        <is>
          <t>Check: WACC vs terminal growth</t>
        </is>
      </c>
      <c r="B55">
        <f>IF(AND(Valuation!$B$51&lt;&gt;"exit_multiple",$B$12&lt;=Valuation!$B$52+0.01),"WACC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SUMPRODUCT($C$181:$E$181,$C$22:$E$22)</f>
        <v/>
      </c>
      <c r="C59" s="23">
        <f>SUMPRODUCT($C$187:$E$187,$C$22:$E$22)</f>
        <v/>
      </c>
    </row>
    <row r="60">
      <c r="A60" t="inlineStr">
        <is>
          <t>EBIT</t>
        </is>
      </c>
      <c r="B60" s="23">
        <f>SUMPRODUCT($C$182:$E$182,$C$24:$E$24)</f>
        <v/>
      </c>
      <c r="C60" s="23">
        <f>SUMPRODUCT($C$188:$E$188,$C$24:$E$24)</f>
        <v/>
      </c>
    </row>
    <row r="61">
      <c r="A61" t="inlineStr">
        <is>
          <t>EBITDA</t>
        </is>
      </c>
      <c r="B61" s="23">
        <f>SUMPRODUCT($C$183:$E$183,$C$32:$E$32)</f>
        <v/>
      </c>
      <c r="C61" s="23">
        <f>SUMPRODUCT($C$189:$E$189,$C$32:$E$32)</f>
        <v/>
      </c>
    </row>
    <row r="62">
      <c r="A62" t="inlineStr">
        <is>
          <t>Adj. EBITDA</t>
        </is>
      </c>
      <c r="B62" s="23">
        <f>SUMPRODUCT($C$184:$E$184,$C$33:$E$33)</f>
        <v/>
      </c>
      <c r="C62" s="23">
        <f>SUMPRODUCT($C$190:$E$190,$C$33:$E$33)</f>
        <v/>
      </c>
    </row>
    <row r="63">
      <c r="A63" t="inlineStr">
        <is>
          <t>NOPAT</t>
        </is>
      </c>
      <c r="B63" s="23">
        <f>SUMPRODUCT($C$185:$E$185,$C$26:$E$26)</f>
        <v/>
      </c>
      <c r="C63" s="23">
        <f>SUMPRODUCT($C$191:$E$191,$C$26:$E$26)</f>
        <v/>
      </c>
    </row>
    <row r="64">
      <c r="A64" t="inlineStr">
        <is>
          <t>Free cash flow to firm</t>
        </is>
      </c>
      <c r="B64" s="23">
        <f>SUMPRODUCT($C$186:$E$186,$C$31:$E$31)</f>
        <v/>
      </c>
      <c r="C64" s="23">
        <f>SUMPRODUCT($C$192:$E$192,$C$31:$E$31)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Valuation!$B$63</f>
        <v/>
      </c>
    </row>
    <row r="68">
      <c r="A68">
        <f>"Multiple: "&amp;Valuation!A69&amp;" ("&amp;Valuation!D69&amp;")"</f>
        <v/>
      </c>
      <c r="B68">
        <f>Valuation!A69</f>
        <v/>
      </c>
      <c r="C68" s="9">
        <f>IF(B68="FCF yield",(Valuation!B69)*(1-$B$8),(Valuation!B69)+IF(B68="EV/sales",0.1,1)*$B$6)</f>
        <v/>
      </c>
      <c r="D68">
        <f>Valuation!D69</f>
        <v/>
      </c>
      <c r="E68" s="23">
        <f>IF(D68="ltm",CHOOSE(H68,$C$59,$C$60,$C$61,$C$62,$C$63,$C$64),CHOOSE(H68,$B$59,$B$60,$B$61,$B$62,$B$63,$B$64))</f>
        <v/>
      </c>
      <c r="F68" s="9">
        <f>IF(OR(B68="EV/EBITDA",B68="EV/sales",B68="EV/EBIT"),((C68*E68)-$B$50-$B$51+$B$52)/$B$53,IF(B68="P/E",IF(Valuation!F69&lt;&gt;"",C68*(Valuation!F69)*(1+$B$9),C68*(E68-$B$54)/$B$53),IF(Valuation!G69&lt;&gt;"",(Valuation!G69)*(1+$B$9)/C68,(E68-IF(Valuation!H69,$B$54,0))/C68/$B$53))+$B$52/$B$53)</f>
        <v/>
      </c>
      <c r="G68" s="18">
        <f>Valuation!C69</f>
        <v/>
      </c>
      <c r="H68">
        <f>IF(B68="EV/sales",1,IF(B68="EV/EBIT",2,IF(B68="EV/EBITDA",IF(Valuation!E69="adjusted",4,3),IF(B68="P/E",5,6))))</f>
        <v/>
      </c>
      <c r="I68" s="49">
        <f>IF(AND(B68="P/E",Valuation!F69&lt;&gt;""),(Valuation!F69)*(1+$B$9),IF(AND(B68="FCF yield",Valuation!G69&lt;&gt;""),(Valuation!G69)*(1+$B$9),E68))</f>
        <v/>
      </c>
    </row>
    <row r="69">
      <c r="A69" s="19" t="inlineStr">
        <is>
          <t>Value per share at target date (weighted methods)</t>
        </is>
      </c>
      <c r="F69" s="6">
        <f>SUMPRODUCT(F67:F68,G67:G68)/SUM(G67:G68)</f>
        <v/>
      </c>
    </row>
    <row r="129">
      <c r="A129" s="19" t="inlineStr">
        <is>
          <t>Segment build (model_engine.seg_build): revenue and EBIT are the segment sums plus corporate EBIT</t>
        </is>
      </c>
    </row>
    <row r="130">
      <c r="A130" s="3" t="inlineStr">
        <is>
          <t>Segment</t>
        </is>
      </c>
      <c r="B130" s="3" t="inlineStr">
        <is>
          <t>Base</t>
        </is>
      </c>
      <c r="C130" s="3">
        <f>Model!E5</f>
        <v/>
      </c>
      <c r="D130" s="3">
        <f>Model!F5</f>
        <v/>
      </c>
      <c r="E130" s="3">
        <f>Model!G5</f>
        <v/>
      </c>
    </row>
    <row r="131">
      <c r="A131" t="inlineStr">
        <is>
          <t>Semiconductor solutions: revenue growth</t>
        </is>
      </c>
      <c r="C131" s="18">
        <f>Model!E12+$B$4+$B$250</f>
        <v/>
      </c>
      <c r="D131" s="18">
        <f>Model!F12+$B$4+$B$252</f>
        <v/>
      </c>
      <c r="E131" s="18">
        <f>Model!G12+$B$4+$B$254</f>
        <v/>
      </c>
    </row>
    <row r="132">
      <c r="A132" t="inlineStr">
        <is>
          <t>Semiconductor solutions: revenue</t>
        </is>
      </c>
      <c r="B132" s="10">
        <f>Valuation!$B$86</f>
        <v/>
      </c>
      <c r="C132" s="23">
        <f>B132*(1+C131)</f>
        <v/>
      </c>
      <c r="D132" s="23">
        <f>C132*(1+D131)</f>
        <v/>
      </c>
      <c r="E132" s="23">
        <f>D132*(1+E131)</f>
        <v/>
      </c>
    </row>
    <row r="133">
      <c r="A133" t="inlineStr">
        <is>
          <t>Semiconductor solutions: EBIT margin</t>
        </is>
      </c>
      <c r="C133" s="18">
        <f>Model!E14+$B$5+$B$251</f>
        <v/>
      </c>
      <c r="D133" s="18">
        <f>Model!F14+$B$5+$B$253</f>
        <v/>
      </c>
      <c r="E133" s="18">
        <f>Model!G14+$B$5+$B$255</f>
        <v/>
      </c>
    </row>
    <row r="134">
      <c r="A134" t="inlineStr">
        <is>
          <t>Semiconductor solutions: EBIT</t>
        </is>
      </c>
      <c r="C134" s="23">
        <f>C132*C133</f>
        <v/>
      </c>
      <c r="D134" s="23">
        <f>D132*D133</f>
        <v/>
      </c>
      <c r="E134" s="23">
        <f>E132*E133</f>
        <v/>
      </c>
    </row>
    <row r="135">
      <c r="A135" t="inlineStr">
        <is>
          <t>Infrastructure software: revenue growth</t>
        </is>
      </c>
      <c r="C135" s="18">
        <f>Model!E16+$B$4</f>
        <v/>
      </c>
      <c r="D135" s="18">
        <f>Model!F16+$B$4</f>
        <v/>
      </c>
      <c r="E135" s="18">
        <f>Model!G16+$B$4</f>
        <v/>
      </c>
    </row>
    <row r="136">
      <c r="A136" t="inlineStr">
        <is>
          <t>Infrastructure software: revenue</t>
        </is>
      </c>
      <c r="B136" s="10">
        <f>Valuation!$B$87</f>
        <v/>
      </c>
      <c r="C136" s="23">
        <f>B136*(1+C135)</f>
        <v/>
      </c>
      <c r="D136" s="23">
        <f>C136*(1+D135)</f>
        <v/>
      </c>
      <c r="E136" s="23">
        <f>D136*(1+E135)</f>
        <v/>
      </c>
    </row>
    <row r="137">
      <c r="A137" t="inlineStr">
        <is>
          <t>Infrastructure software: EBIT margin</t>
        </is>
      </c>
      <c r="C137" s="18">
        <f>Model!E18+$B$5</f>
        <v/>
      </c>
      <c r="D137" s="18">
        <f>Model!F18+$B$5</f>
        <v/>
      </c>
      <c r="E137" s="18">
        <f>Model!G18+$B$5</f>
        <v/>
      </c>
    </row>
    <row r="138">
      <c r="A138" t="inlineStr">
        <is>
          <t>Infrastructure software: EBIT</t>
        </is>
      </c>
      <c r="C138" s="23">
        <f>C136*C137</f>
        <v/>
      </c>
      <c r="D138" s="23">
        <f>D136*D137</f>
        <v/>
      </c>
      <c r="E138" s="23">
        <f>E136*E137</f>
        <v/>
      </c>
    </row>
    <row r="139">
      <c r="A139" s="19" t="inlineStr">
        <is>
          <t>Total segment revenue</t>
        </is>
      </c>
      <c r="C139" s="23">
        <f>C132+C136</f>
        <v/>
      </c>
      <c r="D139" s="23">
        <f>D132+D136</f>
        <v/>
      </c>
      <c r="E139" s="23">
        <f>E132+E136</f>
        <v/>
      </c>
    </row>
    <row r="140">
      <c r="A140" t="inlineStr">
        <is>
          <t>Total segment EBIT</t>
        </is>
      </c>
      <c r="C140" s="23">
        <f>C134+C138</f>
        <v/>
      </c>
      <c r="D140" s="23">
        <f>D134+D138</f>
        <v/>
      </c>
      <c r="E140" s="23">
        <f>E134+E138</f>
        <v/>
      </c>
    </row>
    <row r="141">
      <c r="A141" t="inlineStr">
        <is>
          <t>Corporate / unallocated EBIT</t>
        </is>
      </c>
      <c r="C141" s="10">
        <f>Model!E21</f>
        <v/>
      </c>
      <c r="D141" s="10">
        <f>Model!F21</f>
        <v/>
      </c>
      <c r="E141" s="10">
        <f>Model!G21+$B$256</f>
        <v/>
      </c>
    </row>
    <row r="142">
      <c r="A142" s="19" t="inlineStr">
        <is>
          <t>EBIT (segments + corporate)</t>
        </is>
      </c>
      <c r="C142" s="23">
        <f>C140+C141</f>
        <v/>
      </c>
      <c r="D142" s="23">
        <f>D140+D141</f>
        <v/>
      </c>
      <c r="E142" s="23">
        <f>E140+E141</f>
        <v/>
      </c>
    </row>
    <row r="180">
      <c r="A180" s="19" t="inlineStr">
        <is>
          <t>Quarterly set: weight of each projected year in the metric at the target date, from the engine's quarter rows (model_engine.quarter_rows; replaces the straight-line weights in rows 37-39)</t>
        </is>
      </c>
    </row>
    <row r="181">
      <c r="A181" t="inlineStr">
        <is>
          <t>NTM weight by year: revenue</t>
        </is>
      </c>
      <c r="C181" s="50" t="n">
        <v>0</v>
      </c>
      <c r="D181" s="50" t="n">
        <v>0.006065492055965578</v>
      </c>
      <c r="E181" s="50" t="n">
        <v>0.9969042998734269</v>
      </c>
    </row>
    <row r="182">
      <c r="A182" t="inlineStr">
        <is>
          <t>NTM weight by year: ebit</t>
        </is>
      </c>
      <c r="C182" s="50" t="n">
        <v>0</v>
      </c>
      <c r="D182" s="50" t="n">
        <v>0.006010396123329507</v>
      </c>
      <c r="E182" s="50" t="n">
        <v>0.9969181320768169</v>
      </c>
    </row>
    <row r="183">
      <c r="A183" t="inlineStr">
        <is>
          <t>NTM weight by year: ebitda</t>
        </is>
      </c>
      <c r="C183" s="50" t="n">
        <v>0</v>
      </c>
      <c r="D183" s="50" t="n">
        <v>0.006010967076640849</v>
      </c>
      <c r="E183" s="50" t="n">
        <v>0.9969179462097406</v>
      </c>
    </row>
    <row r="184">
      <c r="A184" t="inlineStr">
        <is>
          <t>NTM weight by year: adj_ebitda</t>
        </is>
      </c>
      <c r="C184" s="50" t="n">
        <v>0</v>
      </c>
      <c r="D184" s="50" t="n">
        <v>0.006010967076640849</v>
      </c>
      <c r="E184" s="50" t="n">
        <v>0.9969179462097406</v>
      </c>
    </row>
    <row r="185">
      <c r="A185" t="inlineStr">
        <is>
          <t>NTM weight by year: nopat</t>
        </is>
      </c>
      <c r="C185" s="50" t="n">
        <v>0</v>
      </c>
      <c r="D185" s="50" t="n">
        <v>0.006010395973595006</v>
      </c>
      <c r="E185" s="50" t="n">
        <v>0.9969180702611479</v>
      </c>
    </row>
    <row r="186">
      <c r="A186" t="inlineStr">
        <is>
          <t>NTM weight by year: fcff</t>
        </is>
      </c>
      <c r="C186" s="50" t="n">
        <v>0</v>
      </c>
      <c r="D186" s="50" t="n">
        <v>0.00600581103473065</v>
      </c>
      <c r="E186" s="50" t="n">
        <v>0.9969194192090339</v>
      </c>
    </row>
    <row r="187">
      <c r="A187" t="inlineStr">
        <is>
          <t>LTM weight by year: revenue</t>
        </is>
      </c>
      <c r="C187" s="50" t="n">
        <v>0.009175172671071314</v>
      </c>
      <c r="D187" s="50" t="n">
        <v>0.9939345079440344</v>
      </c>
      <c r="E187" s="50" t="n">
        <v>0</v>
      </c>
    </row>
    <row r="188">
      <c r="A188" t="inlineStr">
        <is>
          <t>LTM weight by year: ebit</t>
        </is>
      </c>
      <c r="C188" s="50" t="n">
        <v>0.009232476197842914</v>
      </c>
      <c r="D188" s="50" t="n">
        <v>0.9939896160946373</v>
      </c>
      <c r="E188" s="50" t="n">
        <v>0</v>
      </c>
    </row>
    <row r="189">
      <c r="A189" t="inlineStr">
        <is>
          <t>LTM weight by year: ebitda</t>
        </is>
      </c>
      <c r="C189" s="50" t="n">
        <v>0.009231894526893616</v>
      </c>
      <c r="D189" s="50" t="n">
        <v>0.9939890987544545</v>
      </c>
      <c r="E189" s="50" t="n">
        <v>0</v>
      </c>
    </row>
    <row r="190">
      <c r="A190" t="inlineStr">
        <is>
          <t>LTM weight by year: adj_ebitda</t>
        </is>
      </c>
      <c r="C190" s="50" t="n">
        <v>0.009231894526893616</v>
      </c>
      <c r="D190" s="50" t="n">
        <v>0.9939890987544545</v>
      </c>
      <c r="E190" s="50" t="n">
        <v>0</v>
      </c>
    </row>
    <row r="191">
      <c r="A191" t="inlineStr">
        <is>
          <t>LTM weight by year: nopat</t>
        </is>
      </c>
      <c r="C191" s="50" t="n">
        <v>0.009232475419967546</v>
      </c>
      <c r="D191" s="50" t="n">
        <v>0.9939895910973399</v>
      </c>
      <c r="E191" s="50" t="n">
        <v>0</v>
      </c>
    </row>
    <row r="192">
      <c r="A192" t="inlineStr">
        <is>
          <t>LTM weight by year: fcff</t>
        </is>
      </c>
      <c r="C192" s="50" t="n">
        <v>0.009240304383066833</v>
      </c>
      <c r="D192" s="50" t="n">
        <v>0.9939942449855894</v>
      </c>
      <c r="E192" s="50" t="n">
        <v>0</v>
      </c>
    </row>
    <row r="193">
      <c r="A193" t="inlineStr">
        <is>
          <t>ROLL weight by year: fcff</t>
        </is>
      </c>
      <c r="C193" s="50" t="n">
        <v>0.2802892329530273</v>
      </c>
      <c r="D193" s="50" t="n">
        <v>0.9939942449855894</v>
      </c>
      <c r="E193" s="50" t="n">
        <v>0</v>
      </c>
    </row>
    <row r="194">
      <c r="A194" t="inlineStr">
        <is>
          <t>ROLL weight by year: returns</t>
        </is>
      </c>
      <c r="C194" s="50" t="n">
        <v>0.278313574879227</v>
      </c>
      <c r="D194" s="50" t="n">
        <v>0.9939345079484367</v>
      </c>
      <c r="E194" s="50" t="n">
        <v>0</v>
      </c>
    </row>
    <row r="249">
      <c r="A249" s="19" t="inlineStr">
        <is>
          <t>Driver scenario shifts: line-item changes model_drivers.py resolves from this scenario's driver deltas (added to the Model tab inputs)</t>
        </is>
      </c>
    </row>
    <row r="250">
      <c r="A250" t="inlineStr">
        <is>
          <t>Semiconductor solutions: revenue growth, year 1</t>
        </is>
      </c>
      <c r="B250" s="52" t="n">
        <v>-0.2098594606326984</v>
      </c>
    </row>
    <row r="251">
      <c r="A251" t="inlineStr">
        <is>
          <t>Semiconductor solutions: EBIT margin, year 1</t>
        </is>
      </c>
      <c r="B251" s="52" t="n">
        <v>-0.00575848205833418</v>
      </c>
    </row>
    <row r="252">
      <c r="A252" t="inlineStr">
        <is>
          <t>Semiconductor solutions: revenue growth, year 2</t>
        </is>
      </c>
      <c r="B252" s="52" t="n">
        <v>-0.3956431208058375</v>
      </c>
    </row>
    <row r="253">
      <c r="A253" t="inlineStr">
        <is>
          <t>Semiconductor solutions: EBIT margin, year 2</t>
        </is>
      </c>
      <c r="B253" s="52" t="n">
        <v>-0.02034229575266888</v>
      </c>
    </row>
    <row r="254">
      <c r="A254" t="inlineStr">
        <is>
          <t>Semiconductor solutions: revenue growth, year 3</t>
        </is>
      </c>
      <c r="B254" s="52" t="n">
        <v>-0.03893306246060857</v>
      </c>
    </row>
    <row r="255">
      <c r="A255" t="inlineStr">
        <is>
          <t>Semiconductor solutions: EBIT margin, year 3</t>
        </is>
      </c>
      <c r="B255" s="52" t="n">
        <v>-0.02070263630491675</v>
      </c>
    </row>
    <row r="256">
      <c r="A256" t="inlineStr">
        <is>
          <t>Corporate EBIT, year 3</t>
        </is>
      </c>
      <c r="B256" s="52" t="n">
        <v>-2.91038304567337e-11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57"/>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AVGO engine calculation: upside scenario</t>
        </is>
      </c>
    </row>
    <row r="2">
      <c r="A2" s="2" t="inlineStr">
        <is>
          <t>Machinery behind the Valuation and Distribution tabs; drivers come from Model, assumptions from Valuation.</t>
        </is>
      </c>
    </row>
    <row r="4">
      <c r="A4" t="inlineStr">
        <is>
          <t>Scenario Growth Δ</t>
        </is>
      </c>
      <c r="B4" s="12">
        <f>N(Valuation!C83)</f>
        <v/>
      </c>
    </row>
    <row r="5">
      <c r="A5" t="inlineStr">
        <is>
          <t>Scenario Margin Δ</t>
        </is>
      </c>
      <c r="B5" s="12">
        <f>N(Valuation!D83)</f>
        <v/>
      </c>
    </row>
    <row r="6">
      <c r="A6" t="inlineStr">
        <is>
          <t>Scenario Multiple Δ (turns)</t>
        </is>
      </c>
      <c r="B6" s="51">
        <f>N(Valuation!E83)</f>
        <v/>
      </c>
    </row>
    <row r="7">
      <c r="A7" t="inlineStr">
        <is>
          <t>Scenario WACC Δ</t>
        </is>
      </c>
      <c r="B7" s="12">
        <f>N(Valuation!F83)</f>
        <v/>
      </c>
    </row>
    <row r="8">
      <c r="A8" t="inlineStr">
        <is>
          <t>Scenario Multiple %Δ</t>
        </is>
      </c>
      <c r="B8" s="12">
        <f>N(Valuation!G83)</f>
        <v/>
      </c>
    </row>
    <row r="9">
      <c r="A9" t="inlineStr">
        <is>
          <t>Scenario Stated EPS/FCF %Δ</t>
        </is>
      </c>
      <c r="B9" s="12">
        <f>N(Valuation!H83)</f>
        <v/>
      </c>
    </row>
    <row r="10">
      <c r="A10" t="inlineStr">
        <is>
          <t>Scenario Custom %Δ</t>
        </is>
      </c>
      <c r="B10" s="12">
        <f>N(Valuation!I83)</f>
        <v/>
      </c>
    </row>
    <row r="12">
      <c r="A12" t="inlineStr">
        <is>
          <t>WACC</t>
        </is>
      </c>
      <c r="B12" s="18">
        <f>Valuation!$B$50+B7</f>
        <v/>
      </c>
    </row>
    <row r="13">
      <c r="A13" t="inlineStr">
        <is>
          <t>Years from last FY end to target date</t>
        </is>
      </c>
      <c r="B13" s="48">
        <f>(Valuation!$B$44-Valuation!$B$48)/365.25</f>
        <v/>
      </c>
    </row>
    <row r="14">
      <c r="A14" t="inlineStr">
        <is>
          <t>Years from last FY end to balance date</t>
        </is>
      </c>
      <c r="B14" s="48">
        <f>(Valuation!$B$54-Valuation!$B$48)/365.25</f>
        <v/>
      </c>
    </row>
    <row r="15">
      <c r="A15" t="inlineStr">
        <is>
          <t>Years from last FY end to share count date</t>
        </is>
      </c>
      <c r="B15" s="48">
        <f>(Valuation!$B$60-Valuation!$B$48)/365.25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Valuation!$B$48+ROUND(365.25*C19,0)</f>
        <v/>
      </c>
      <c r="D20" s="20">
        <f>Valuation!$B$48+ROUND(365.25*D19,0)</f>
        <v/>
      </c>
      <c r="E20" s="20">
        <f>Valuation!$B$48+ROUND(365.25*E19,0)</f>
        <v/>
      </c>
    </row>
    <row r="21">
      <c r="A21" t="inlineStr">
        <is>
          <t>Revenue growth</t>
        </is>
      </c>
      <c r="C21" s="18">
        <f>C22/B22-1</f>
        <v/>
      </c>
      <c r="D21" s="18">
        <f>D22/C22-1</f>
        <v/>
      </c>
      <c r="E21" s="18">
        <f>E22/D22-1</f>
        <v/>
      </c>
    </row>
    <row r="22">
      <c r="A22" t="inlineStr">
        <is>
          <t>Revenue</t>
        </is>
      </c>
      <c r="B22" s="23">
        <f>Valuation!$B$49</f>
        <v/>
      </c>
      <c r="C22" s="23">
        <f>C139</f>
        <v/>
      </c>
      <c r="D22" s="23">
        <f>D139</f>
        <v/>
      </c>
      <c r="E22" s="23">
        <f>E139</f>
        <v/>
      </c>
    </row>
    <row r="23">
      <c r="A23" t="inlineStr">
        <is>
          <t>EBIT margin</t>
        </is>
      </c>
      <c r="C23" s="18">
        <f>C24/C22</f>
        <v/>
      </c>
      <c r="D23" s="18">
        <f>D24/D22</f>
        <v/>
      </c>
      <c r="E23" s="18">
        <f>E24/E22</f>
        <v/>
      </c>
    </row>
    <row r="24">
      <c r="A24" t="inlineStr">
        <is>
          <t>EBIT</t>
        </is>
      </c>
      <c r="C24" s="23">
        <f>C142</f>
        <v/>
      </c>
      <c r="D24" s="23">
        <f>D142</f>
        <v/>
      </c>
      <c r="E24" s="23">
        <f>E142</f>
        <v/>
      </c>
    </row>
    <row r="25">
      <c r="A25" t="inlineStr">
        <is>
          <t>Tax rate</t>
        </is>
      </c>
      <c r="C25" s="18">
        <f>Model!E63</f>
        <v/>
      </c>
      <c r="D25" s="18">
        <f>Model!F63</f>
        <v/>
      </c>
      <c r="E25" s="18">
        <f>Model!G63</f>
        <v/>
      </c>
    </row>
    <row r="26">
      <c r="A26" t="inlineStr">
        <is>
          <t>NOPAT</t>
        </is>
      </c>
      <c r="C26" s="23">
        <f>C24*(1-C25)</f>
        <v/>
      </c>
      <c r="D26" s="23">
        <f>D24*(1-D25)</f>
        <v/>
      </c>
      <c r="E26" s="23">
        <f>E24*(1-E25)</f>
        <v/>
      </c>
    </row>
    <row r="27">
      <c r="A27" t="inlineStr">
        <is>
          <t>D&amp;A</t>
        </is>
      </c>
      <c r="C27" s="23">
        <f>C22*(Model!E64)</f>
        <v/>
      </c>
      <c r="D27" s="23">
        <f>D22*(Model!F64)</f>
        <v/>
      </c>
      <c r="E27" s="23">
        <f>E22*(Model!G64)</f>
        <v/>
      </c>
    </row>
    <row r="28">
      <c r="A28" t="inlineStr">
        <is>
          <t>Capex</t>
        </is>
      </c>
      <c r="C28" s="23">
        <f>C22*(Model!E65)</f>
        <v/>
      </c>
      <c r="D28" s="23">
        <f>D22*(Model!F65)</f>
        <v/>
      </c>
      <c r="E28" s="23">
        <f>E22*(Model!G65)</f>
        <v/>
      </c>
    </row>
    <row r="29">
      <c r="A29" t="inlineStr">
        <is>
          <t>Working capital increase</t>
        </is>
      </c>
      <c r="C29" s="23">
        <f>(Model!E66)*(C22-B22)</f>
        <v/>
      </c>
      <c r="D29" s="23">
        <f>(Model!F66)*(D22-C22)</f>
        <v/>
      </c>
      <c r="E29" s="23">
        <f>(Model!G66)*(E22-D22)</f>
        <v/>
      </c>
    </row>
    <row r="30">
      <c r="A30" t="inlineStr">
        <is>
          <t>Stock comp</t>
        </is>
      </c>
      <c r="C30" s="23">
        <f>C22*(Model!E67)</f>
        <v/>
      </c>
      <c r="D30" s="23">
        <f>D22*(Model!F67)</f>
        <v/>
      </c>
      <c r="E30" s="23">
        <f>E22*(Model!G67)</f>
        <v/>
      </c>
    </row>
    <row r="31">
      <c r="A31" t="inlineStr">
        <is>
          <t>Free cash flow to firm</t>
        </is>
      </c>
      <c r="C31" s="23">
        <f>C26+C27-C28-C29-IF(AND(Valuation!$B$46="adjusted",Valuation!$B$47="cost"),C30*(1-C25),0)</f>
        <v/>
      </c>
      <c r="D31" s="23">
        <f>D26+D27-D28-D29-IF(AND(Valuation!$B$46="adjusted",Valuation!$B$47="cost"),D30*(1-D25),0)</f>
        <v/>
      </c>
      <c r="E31" s="23">
        <f>E26+E27-E28-E29-IF(AND(Valuation!$B$46="adjusted",Valuation!$B$47="cost"),E30*(1-E25),0)</f>
        <v/>
      </c>
    </row>
    <row r="32">
      <c r="A32" t="inlineStr">
        <is>
          <t>EBITDA</t>
        </is>
      </c>
      <c r="C32" s="23">
        <f>C24+C27</f>
        <v/>
      </c>
      <c r="D32" s="23">
        <f>D24+D27</f>
        <v/>
      </c>
      <c r="E32" s="23">
        <f>E24+E27</f>
        <v/>
      </c>
    </row>
    <row r="33">
      <c r="A33" t="inlineStr">
        <is>
          <t>Adj. EBITDA</t>
        </is>
      </c>
      <c r="C33" s="23">
        <f>C24+C27+C22*(Model!E71)</f>
        <v/>
      </c>
      <c r="D33" s="23">
        <f>D24+D27+D22*(Model!F71)</f>
        <v/>
      </c>
      <c r="E33" s="23">
        <f>E24+E27+E22*(Model!G71)</f>
        <v/>
      </c>
    </row>
    <row r="34">
      <c r="A34" t="inlineStr">
        <is>
          <t>Shareholder returns + other uses</t>
        </is>
      </c>
      <c r="C34" s="23">
        <f>C22*Model!E69+Model!E68+Model!E70</f>
        <v/>
      </c>
      <c r="D34" s="23">
        <f>D22*Model!F69+Model!F68+Model!F70</f>
        <v/>
      </c>
      <c r="E34" s="23">
        <f>E22*Model!G69+Model!G68+Model!G70</f>
        <v/>
      </c>
    </row>
    <row r="35">
      <c r="A35" t="inlineStr">
        <is>
          <t>Share of year after target date</t>
        </is>
      </c>
      <c r="C35" s="48">
        <f>IF(C19&lt;=$B$13,0,C19-MAX(C19-1,$B$13))</f>
        <v/>
      </c>
      <c r="D35" s="48">
        <f>IF(D19&lt;=$B$13,0,D19-MAX(D19-1,$B$13))</f>
        <v/>
      </c>
      <c r="E35" s="48">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8">
        <f>MAX(0,MIN(C19,$B$13)-MAX(C19-1,$B$14))</f>
        <v/>
      </c>
      <c r="D37" s="48">
        <f>MAX(0,MIN(D19,$B$13)-MAX(D19-1,$B$14))</f>
        <v/>
      </c>
      <c r="E37" s="48">
        <f>MAX(0,MIN(E19,$B$13)-MAX(E19-1,$B$14))</f>
        <v/>
      </c>
    </row>
    <row r="38">
      <c r="A38" t="inlineStr">
        <is>
          <t>NTM weight at target date</t>
        </is>
      </c>
      <c r="C38" s="48">
        <f>MAX(0,MIN(C19,$B$13+1)-MAX(C19-1,$B$13))</f>
        <v/>
      </c>
      <c r="D38" s="48">
        <f>MAX(0,MIN(D19,$B$13+1)-MAX(D19-1,$B$13))</f>
        <v/>
      </c>
      <c r="E38" s="48">
        <f>MAX(0,MIN(E19,$B$13+1)-MAX(E19-1,$B$13))</f>
        <v/>
      </c>
    </row>
    <row r="39">
      <c r="A39" t="inlineStr">
        <is>
          <t>LTM weight at target date</t>
        </is>
      </c>
      <c r="B39" s="48">
        <f>MAX(0,MIN(0,$B$13)-MAX(-1,$B$13-1))</f>
        <v/>
      </c>
      <c r="C39" s="48">
        <f>MAX(0,MIN(C19,$B$13)-MAX(C19-1,$B$13-1))</f>
        <v/>
      </c>
      <c r="D39" s="48">
        <f>MAX(0,MIN(D19,$B$13)-MAX(D19-1,$B$13-1))</f>
        <v/>
      </c>
      <c r="E39" s="48">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IF(Valuation!$B$51="exit_multiple",Valuation!$B$53*E32,E31*(1+Valuation!$B$52)/($B$12-Valuation!$B$52))</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SUMPRODUCT($C$193:$E$193,$C$31:$E$31)</f>
        <v/>
      </c>
    </row>
    <row r="48">
      <c r="A48" t="inlineStr">
        <is>
          <t>Shareholder returns + other uses paid</t>
        </is>
      </c>
      <c r="B48" s="23">
        <f>SUMPRODUCT($C$194:$E$194,$C$34:$E$34)</f>
        <v/>
      </c>
    </row>
    <row r="49">
      <c r="A49" t="inlineStr">
        <is>
          <t>Interest drag on net debt</t>
        </is>
      </c>
      <c r="B49" s="23">
        <f>Valuation!$B$57*(1-$C$25)*MAX(Valuation!$B$55,0)*MAX($B$13-$B$14,0)</f>
        <v/>
      </c>
    </row>
    <row r="50">
      <c r="A50" t="inlineStr">
        <is>
          <t>Net debt at target date</t>
        </is>
      </c>
      <c r="B50" s="23">
        <f>IF(Valuation!$B$58="",Valuation!$B$55-B47+B49+B48,Valuation!$B$58)</f>
        <v/>
      </c>
    </row>
    <row r="51">
      <c r="A51" t="inlineStr">
        <is>
          <t>Minority interests</t>
        </is>
      </c>
      <c r="B51" s="23">
        <f>Valuation!$B$56</f>
        <v/>
      </c>
    </row>
    <row r="52">
      <c r="A52" t="inlineStr">
        <is>
          <t>Adjustments (probability-weighted)</t>
        </is>
      </c>
      <c r="B52" s="23">
        <f>(Valuation!B75)*Valuation!C75+(Valuation!B76)*Valuation!C76+0</f>
        <v/>
      </c>
    </row>
    <row r="53">
      <c r="A53" t="inlineStr">
        <is>
          <t>Diluted shares at target date (M)</t>
        </is>
      </c>
      <c r="B53" s="28">
        <f>IF(Valuation!$B$62="",Valuation!$B$59*(1+Valuation!$B$61)^MAX($B$13-$B$15,0),Valuation!$B$62)</f>
        <v/>
      </c>
    </row>
    <row r="54">
      <c r="A54" t="inlineStr">
        <is>
          <t>After-tax interest on target-date net debt (net cash earns it: quarterly set)</t>
        </is>
      </c>
      <c r="B54" s="23">
        <f>Valuation!$B$57*(1-$C$25)*B50</f>
        <v/>
      </c>
    </row>
    <row r="55">
      <c r="A55" t="inlineStr">
        <is>
          <t>Check: WACC vs terminal growth</t>
        </is>
      </c>
      <c r="B55">
        <f>IF(AND(Valuation!$B$51&lt;&gt;"exit_multiple",$B$12&lt;=Valuation!$B$52+0.01),"WACC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SUMPRODUCT($C$181:$E$181,$C$22:$E$22)</f>
        <v/>
      </c>
      <c r="C59" s="23">
        <f>SUMPRODUCT($C$187:$E$187,$C$22:$E$22)</f>
        <v/>
      </c>
    </row>
    <row r="60">
      <c r="A60" t="inlineStr">
        <is>
          <t>EBIT</t>
        </is>
      </c>
      <c r="B60" s="23">
        <f>SUMPRODUCT($C$182:$E$182,$C$24:$E$24)</f>
        <v/>
      </c>
      <c r="C60" s="23">
        <f>SUMPRODUCT($C$188:$E$188,$C$24:$E$24)</f>
        <v/>
      </c>
    </row>
    <row r="61">
      <c r="A61" t="inlineStr">
        <is>
          <t>EBITDA</t>
        </is>
      </c>
      <c r="B61" s="23">
        <f>SUMPRODUCT($C$183:$E$183,$C$32:$E$32)</f>
        <v/>
      </c>
      <c r="C61" s="23">
        <f>SUMPRODUCT($C$189:$E$189,$C$32:$E$32)</f>
        <v/>
      </c>
    </row>
    <row r="62">
      <c r="A62" t="inlineStr">
        <is>
          <t>Adj. EBITDA</t>
        </is>
      </c>
      <c r="B62" s="23">
        <f>SUMPRODUCT($C$184:$E$184,$C$33:$E$33)</f>
        <v/>
      </c>
      <c r="C62" s="23">
        <f>SUMPRODUCT($C$190:$E$190,$C$33:$E$33)</f>
        <v/>
      </c>
    </row>
    <row r="63">
      <c r="A63" t="inlineStr">
        <is>
          <t>NOPAT</t>
        </is>
      </c>
      <c r="B63" s="23">
        <f>SUMPRODUCT($C$185:$E$185,$C$26:$E$26)</f>
        <v/>
      </c>
      <c r="C63" s="23">
        <f>SUMPRODUCT($C$191:$E$191,$C$26:$E$26)</f>
        <v/>
      </c>
    </row>
    <row r="64">
      <c r="A64" t="inlineStr">
        <is>
          <t>Free cash flow to firm</t>
        </is>
      </c>
      <c r="B64" s="23">
        <f>SUMPRODUCT($C$186:$E$186,$C$31:$E$31)</f>
        <v/>
      </c>
      <c r="C64" s="23">
        <f>SUMPRODUCT($C$192:$E$192,$C$31:$E$31)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Valuation!$B$63</f>
        <v/>
      </c>
    </row>
    <row r="68">
      <c r="A68">
        <f>"Multiple: "&amp;Valuation!A69&amp;" ("&amp;Valuation!D69&amp;")"</f>
        <v/>
      </c>
      <c r="B68">
        <f>Valuation!A69</f>
        <v/>
      </c>
      <c r="C68" s="9">
        <f>IF(B68="FCF yield",(Valuation!B69)*(1-$B$8),(Valuation!B69)+IF(B68="EV/sales",0.1,1)*$B$6)</f>
        <v/>
      </c>
      <c r="D68">
        <f>Valuation!D69</f>
        <v/>
      </c>
      <c r="E68" s="23">
        <f>IF(D68="ltm",CHOOSE(H68,$C$59,$C$60,$C$61,$C$62,$C$63,$C$64),CHOOSE(H68,$B$59,$B$60,$B$61,$B$62,$B$63,$B$64))</f>
        <v/>
      </c>
      <c r="F68" s="9">
        <f>IF(OR(B68="EV/EBITDA",B68="EV/sales",B68="EV/EBIT"),((C68*E68)-$B$50-$B$51+$B$52)/$B$53,IF(B68="P/E",IF(Valuation!F69&lt;&gt;"",C68*(Valuation!F69)*(1+$B$9),C68*(E68-$B$54)/$B$53),IF(Valuation!G69&lt;&gt;"",(Valuation!G69)*(1+$B$9)/C68,(E68-IF(Valuation!H69,$B$54,0))/C68/$B$53))+$B$52/$B$53)</f>
        <v/>
      </c>
      <c r="G68" s="18">
        <f>Valuation!C69</f>
        <v/>
      </c>
      <c r="H68">
        <f>IF(B68="EV/sales",1,IF(B68="EV/EBIT",2,IF(B68="EV/EBITDA",IF(Valuation!E69="adjusted",4,3),IF(B68="P/E",5,6))))</f>
        <v/>
      </c>
      <c r="I68" s="49">
        <f>IF(AND(B68="P/E",Valuation!F69&lt;&gt;""),(Valuation!F69)*(1+$B$9),IF(AND(B68="FCF yield",Valuation!G69&lt;&gt;""),(Valuation!G69)*(1+$B$9),E68))</f>
        <v/>
      </c>
    </row>
    <row r="69">
      <c r="A69" s="19" t="inlineStr">
        <is>
          <t>Value per share at target date (weighted methods)</t>
        </is>
      </c>
      <c r="F69" s="6">
        <f>SUMPRODUCT(F67:F68,G67:G68)/SUM(G67:G68)</f>
        <v/>
      </c>
    </row>
    <row r="129">
      <c r="A129" s="19" t="inlineStr">
        <is>
          <t>Segment build (model_engine.seg_build): revenue and EBIT are the segment sums plus corporate EBIT</t>
        </is>
      </c>
    </row>
    <row r="130">
      <c r="A130" s="3" t="inlineStr">
        <is>
          <t>Segment</t>
        </is>
      </c>
      <c r="B130" s="3" t="inlineStr">
        <is>
          <t>Base</t>
        </is>
      </c>
      <c r="C130" s="3">
        <f>Model!E5</f>
        <v/>
      </c>
      <c r="D130" s="3">
        <f>Model!F5</f>
        <v/>
      </c>
      <c r="E130" s="3">
        <f>Model!G5</f>
        <v/>
      </c>
    </row>
    <row r="131">
      <c r="A131" t="inlineStr">
        <is>
          <t>Semiconductor solutions: revenue growth</t>
        </is>
      </c>
      <c r="C131" s="18">
        <f>Model!E12+$B$4+$B$250</f>
        <v/>
      </c>
      <c r="D131" s="18">
        <f>Model!F12+$B$4+$B$252</f>
        <v/>
      </c>
      <c r="E131" s="18">
        <f>Model!G12+$B$4+$B$254</f>
        <v/>
      </c>
    </row>
    <row r="132">
      <c r="A132" t="inlineStr">
        <is>
          <t>Semiconductor solutions: revenue</t>
        </is>
      </c>
      <c r="B132" s="10">
        <f>Valuation!$B$86</f>
        <v/>
      </c>
      <c r="C132" s="23">
        <f>B132*(1+C131)</f>
        <v/>
      </c>
      <c r="D132" s="23">
        <f>C132*(1+D131)</f>
        <v/>
      </c>
      <c r="E132" s="23">
        <f>D132*(1+E131)</f>
        <v/>
      </c>
    </row>
    <row r="133">
      <c r="A133" t="inlineStr">
        <is>
          <t>Semiconductor solutions: EBIT margin</t>
        </is>
      </c>
      <c r="C133" s="18">
        <f>Model!E14+$B$5+$B$251</f>
        <v/>
      </c>
      <c r="D133" s="18">
        <f>Model!F14+$B$5+$B$253</f>
        <v/>
      </c>
      <c r="E133" s="18">
        <f>Model!G14+$B$5+$B$255</f>
        <v/>
      </c>
    </row>
    <row r="134">
      <c r="A134" t="inlineStr">
        <is>
          <t>Semiconductor solutions: EBIT</t>
        </is>
      </c>
      <c r="C134" s="23">
        <f>C132*C133</f>
        <v/>
      </c>
      <c r="D134" s="23">
        <f>D132*D133</f>
        <v/>
      </c>
      <c r="E134" s="23">
        <f>E132*E133</f>
        <v/>
      </c>
    </row>
    <row r="135">
      <c r="A135" t="inlineStr">
        <is>
          <t>Infrastructure software: revenue growth</t>
        </is>
      </c>
      <c r="C135" s="18">
        <f>Model!E16+$B$4</f>
        <v/>
      </c>
      <c r="D135" s="18">
        <f>Model!F16+$B$4</f>
        <v/>
      </c>
      <c r="E135" s="18">
        <f>Model!G16+$B$4</f>
        <v/>
      </c>
    </row>
    <row r="136">
      <c r="A136" t="inlineStr">
        <is>
          <t>Infrastructure software: revenue</t>
        </is>
      </c>
      <c r="B136" s="10">
        <f>Valuation!$B$87</f>
        <v/>
      </c>
      <c r="C136" s="23">
        <f>B136*(1+C135)</f>
        <v/>
      </c>
      <c r="D136" s="23">
        <f>C136*(1+D135)</f>
        <v/>
      </c>
      <c r="E136" s="23">
        <f>D136*(1+E135)</f>
        <v/>
      </c>
    </row>
    <row r="137">
      <c r="A137" t="inlineStr">
        <is>
          <t>Infrastructure software: EBIT margin</t>
        </is>
      </c>
      <c r="C137" s="18">
        <f>Model!E18+$B$5</f>
        <v/>
      </c>
      <c r="D137" s="18">
        <f>Model!F18+$B$5</f>
        <v/>
      </c>
      <c r="E137" s="18">
        <f>Model!G18+$B$5</f>
        <v/>
      </c>
    </row>
    <row r="138">
      <c r="A138" t="inlineStr">
        <is>
          <t>Infrastructure software: EBIT</t>
        </is>
      </c>
      <c r="C138" s="23">
        <f>C136*C137</f>
        <v/>
      </c>
      <c r="D138" s="23">
        <f>D136*D137</f>
        <v/>
      </c>
      <c r="E138" s="23">
        <f>E136*E137</f>
        <v/>
      </c>
    </row>
    <row r="139">
      <c r="A139" s="19" t="inlineStr">
        <is>
          <t>Total segment revenue</t>
        </is>
      </c>
      <c r="C139" s="23">
        <f>C132+C136</f>
        <v/>
      </c>
      <c r="D139" s="23">
        <f>D132+D136</f>
        <v/>
      </c>
      <c r="E139" s="23">
        <f>E132+E136</f>
        <v/>
      </c>
    </row>
    <row r="140">
      <c r="A140" t="inlineStr">
        <is>
          <t>Total segment EBIT</t>
        </is>
      </c>
      <c r="C140" s="23">
        <f>C134+C138</f>
        <v/>
      </c>
      <c r="D140" s="23">
        <f>D134+D138</f>
        <v/>
      </c>
      <c r="E140" s="23">
        <f>E134+E138</f>
        <v/>
      </c>
    </row>
    <row r="141">
      <c r="A141" t="inlineStr">
        <is>
          <t>Corporate / unallocated EBIT</t>
        </is>
      </c>
      <c r="C141" s="10">
        <f>Model!E21+$B$256</f>
        <v/>
      </c>
      <c r="D141" s="10">
        <f>Model!F21</f>
        <v/>
      </c>
      <c r="E141" s="10">
        <f>Model!G21+$B$257</f>
        <v/>
      </c>
    </row>
    <row r="142">
      <c r="A142" s="19" t="inlineStr">
        <is>
          <t>EBIT (segments + corporate)</t>
        </is>
      </c>
      <c r="C142" s="23">
        <f>C140+C141</f>
        <v/>
      </c>
      <c r="D142" s="23">
        <f>D140+D141</f>
        <v/>
      </c>
      <c r="E142" s="23">
        <f>E140+E141</f>
        <v/>
      </c>
    </row>
    <row r="180">
      <c r="A180" s="19" t="inlineStr">
        <is>
          <t>Quarterly set: weight of each projected year in the metric at the target date, from the engine's quarter rows (model_engine.quarter_rows; replaces the straight-line weights in rows 37-39)</t>
        </is>
      </c>
    </row>
    <row r="181">
      <c r="A181" t="inlineStr">
        <is>
          <t>NTM weight by year: revenue</t>
        </is>
      </c>
      <c r="C181" s="50" t="n">
        <v>0</v>
      </c>
      <c r="D181" s="50" t="n">
        <v>0.006169619695514396</v>
      </c>
      <c r="E181" s="50" t="n">
        <v>0.9968567850584454</v>
      </c>
    </row>
    <row r="182">
      <c r="A182" t="inlineStr">
        <is>
          <t>NTM weight by year: ebit</t>
        </is>
      </c>
      <c r="C182" s="50" t="n">
        <v>0</v>
      </c>
      <c r="D182" s="50" t="n">
        <v>0.006103777284255331</v>
      </c>
      <c r="E182" s="50" t="n">
        <v>0.9968709192422646</v>
      </c>
    </row>
    <row r="183">
      <c r="A183" t="inlineStr">
        <is>
          <t>NTM weight by year: ebitda</t>
        </is>
      </c>
      <c r="C183" s="50" t="n">
        <v>0</v>
      </c>
      <c r="D183" s="50" t="n">
        <v>0.00610444515570216</v>
      </c>
      <c r="E183" s="50" t="n">
        <v>0.9968708091203741</v>
      </c>
    </row>
    <row r="184">
      <c r="A184" t="inlineStr">
        <is>
          <t>NTM weight by year: adj_ebitda</t>
        </is>
      </c>
      <c r="C184" s="50" t="n">
        <v>0</v>
      </c>
      <c r="D184" s="50" t="n">
        <v>0.00610444515570216</v>
      </c>
      <c r="E184" s="50" t="n">
        <v>0.9968708091203741</v>
      </c>
    </row>
    <row r="185">
      <c r="A185" t="inlineStr">
        <is>
          <t>NTM weight by year: nopat</t>
        </is>
      </c>
      <c r="C185" s="50" t="n">
        <v>0</v>
      </c>
      <c r="D185" s="50" t="n">
        <v>0.006103776914237066</v>
      </c>
      <c r="E185" s="50" t="n">
        <v>0.996870919093492</v>
      </c>
    </row>
    <row r="186">
      <c r="A186" t="inlineStr">
        <is>
          <t>NTM weight by year: fcff</t>
        </is>
      </c>
      <c r="C186" s="50" t="n">
        <v>0</v>
      </c>
      <c r="D186" s="50" t="n">
        <v>0.006094915408101921</v>
      </c>
      <c r="E186" s="50" t="n">
        <v>0.9968724121501716</v>
      </c>
    </row>
    <row r="187">
      <c r="A187" t="inlineStr">
        <is>
          <t>LTM weight by year: revenue</t>
        </is>
      </c>
      <c r="C187" s="50" t="n">
        <v>0.01157490299831063</v>
      </c>
      <c r="D187" s="50" t="n">
        <v>0.9938303803044856</v>
      </c>
      <c r="E187" s="50" t="n">
        <v>0</v>
      </c>
    </row>
    <row r="188">
      <c r="A188" t="inlineStr">
        <is>
          <t>LTM weight by year: ebit</t>
        </is>
      </c>
      <c r="C188" s="50" t="n">
        <v>0.01181001982829621</v>
      </c>
      <c r="D188" s="50" t="n">
        <v>0.9938962401723759</v>
      </c>
      <c r="E188" s="50" t="n">
        <v>0</v>
      </c>
    </row>
    <row r="189">
      <c r="A189" t="inlineStr">
        <is>
          <t>LTM weight by year: ebitda</t>
        </is>
      </c>
      <c r="C189" s="50" t="n">
        <v>0.01180765813940927</v>
      </c>
      <c r="D189" s="50" t="n">
        <v>0.9938955175570182</v>
      </c>
      <c r="E189" s="50" t="n">
        <v>0</v>
      </c>
    </row>
    <row r="190">
      <c r="A190" t="inlineStr">
        <is>
          <t>LTM weight by year: adj_ebitda</t>
        </is>
      </c>
      <c r="C190" s="50" t="n">
        <v>0.01180765813940927</v>
      </c>
      <c r="D190" s="50" t="n">
        <v>0.9938955175570182</v>
      </c>
      <c r="E190" s="50" t="n">
        <v>0</v>
      </c>
    </row>
    <row r="191">
      <c r="A191" t="inlineStr">
        <is>
          <t>LTM weight by year: nopat</t>
        </is>
      </c>
      <c r="C191" s="50" t="n">
        <v>0.01181002166158863</v>
      </c>
      <c r="D191" s="50" t="n">
        <v>0.9938961793348099</v>
      </c>
      <c r="E191" s="50" t="n">
        <v>0</v>
      </c>
    </row>
    <row r="192">
      <c r="A192" t="inlineStr">
        <is>
          <t>LTM weight by year: fcff</t>
        </is>
      </c>
      <c r="C192" s="50" t="n">
        <v>0.01184670532553691</v>
      </c>
      <c r="D192" s="50" t="n">
        <v>0.9939050858328836</v>
      </c>
      <c r="E192" s="50" t="n">
        <v>0</v>
      </c>
    </row>
    <row r="193">
      <c r="A193" t="inlineStr">
        <is>
          <t>ROLL weight by year: fcff</t>
        </is>
      </c>
      <c r="C193" s="50" t="n">
        <v>0.3593500615412863</v>
      </c>
      <c r="D193" s="50" t="n">
        <v>0.9939050858328836</v>
      </c>
      <c r="E193" s="50" t="n">
        <v>0</v>
      </c>
    </row>
    <row r="194">
      <c r="A194" t="inlineStr">
        <is>
          <t>ROLL weight by year: returns</t>
        </is>
      </c>
      <c r="C194" s="50" t="n">
        <v>0.3511053945249598</v>
      </c>
      <c r="D194" s="50" t="n">
        <v>0.9938303802826621</v>
      </c>
      <c r="E194" s="50" t="n">
        <v>0</v>
      </c>
    </row>
    <row r="249">
      <c r="A249" s="19" t="inlineStr">
        <is>
          <t>Driver scenario shifts: line-item changes model_drivers.py resolves from this scenario's driver deltas (added to the Model tab inputs)</t>
        </is>
      </c>
    </row>
    <row r="250">
      <c r="A250" t="inlineStr">
        <is>
          <t>Semiconductor solutions: revenue growth, year 1</t>
        </is>
      </c>
      <c r="B250" s="52" t="n">
        <v>0.08993976884258492</v>
      </c>
    </row>
    <row r="251">
      <c r="A251" t="inlineStr">
        <is>
          <t>Semiconductor solutions: EBIT margin, year 1</t>
        </is>
      </c>
      <c r="B251" s="52" t="n">
        <v>-0.001225065399402814</v>
      </c>
    </row>
    <row r="252">
      <c r="A252" t="inlineStr">
        <is>
          <t>Semiconductor solutions: revenue growth, year 2</t>
        </is>
      </c>
      <c r="B252" s="52" t="n">
        <v>0.1455641452030041</v>
      </c>
    </row>
    <row r="253">
      <c r="A253" t="inlineStr">
        <is>
          <t>Semiconductor solutions: EBIT margin, year 2</t>
        </is>
      </c>
      <c r="B253" s="52" t="n">
        <v>-0.003819038832422184</v>
      </c>
    </row>
    <row r="254">
      <c r="A254" t="inlineStr">
        <is>
          <t>Semiconductor solutions: revenue growth, year 3</t>
        </is>
      </c>
      <c r="B254" s="52" t="n">
        <v>0.01028800209995007</v>
      </c>
    </row>
    <row r="255">
      <c r="A255" t="inlineStr">
        <is>
          <t>Semiconductor solutions: EBIT margin, year 3</t>
        </is>
      </c>
      <c r="B255" s="52" t="n">
        <v>-0.004565546546285271</v>
      </c>
    </row>
    <row r="256">
      <c r="A256" t="inlineStr">
        <is>
          <t>Corporate EBIT, year 1</t>
        </is>
      </c>
      <c r="B256" s="52" t="n">
        <v>-7.275957614183426e-12</v>
      </c>
    </row>
    <row r="257">
      <c r="A257" t="inlineStr">
        <is>
          <t>Corporate EBIT, year 3</t>
        </is>
      </c>
      <c r="B257" s="52" t="n">
        <v>-5.820766091346741e-11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showGridLines="0" workbookViewId="0">
      <selection activeCell="A1" sqref="A1"/>
    </sheetView>
  </sheetViews>
  <sheetFormatPr baseColWidth="8" defaultRowHeight="15"/>
  <cols>
    <col width="14" customWidth="1" min="1" max="1"/>
    <col width="34" customWidth="1" min="12" max="12"/>
    <col width="70" customWidth="1" min="13" max="13"/>
  </cols>
  <sheetData>
    <row r="1">
      <c r="A1" s="1" t="inlineStr">
        <is>
          <t>AVGO: each forecaster's own assumption set through the same engine (from model_engine.json, not live)</t>
        </is>
      </c>
    </row>
    <row r="3">
      <c r="A3" s="3" t="inlineStr">
        <is>
          <t>Set</t>
        </is>
      </c>
      <c r="B3" s="3" t="inlineStr">
        <is>
          <t>Research target (12m)</t>
        </is>
      </c>
      <c r="C3" s="3" t="inlineStr">
        <is>
          <t>Median</t>
        </is>
      </c>
      <c r="D3" s="3" t="inlineStr">
        <is>
          <t>25th pct</t>
        </is>
      </c>
      <c r="E3" s="3" t="inlineStr">
        <is>
          <t>75th pct</t>
        </is>
      </c>
      <c r="F3" s="3" t="inlineStr">
        <is>
          <t>WACC</t>
        </is>
      </c>
      <c r="G3" s="3" t="inlineStr">
        <is>
          <t>Y1 growth</t>
        </is>
      </c>
      <c r="H3" s="3" t="inlineStr">
        <is>
          <t>Y1 margin</t>
        </is>
      </c>
      <c r="I3" s="3" t="inlineStr">
        <is>
          <t>Terminal growth</t>
        </is>
      </c>
      <c r="J3" s="3" t="inlineStr">
        <is>
          <t>DCF weight</t>
        </is>
      </c>
      <c r="K3" s="3" t="inlineStr">
        <is>
          <t>Years</t>
        </is>
      </c>
      <c r="L3" s="3" t="inlineStr">
        <is>
          <t>Multiples</t>
        </is>
      </c>
      <c r="M3" s="3" t="inlineStr">
        <is>
          <t>Supervisor's note</t>
        </is>
      </c>
    </row>
    <row r="4">
      <c r="A4" t="inlineStr">
        <is>
          <t>supervisor</t>
        </is>
      </c>
      <c r="B4" s="9" t="n">
        <v>490.1004906521109</v>
      </c>
      <c r="C4" s="9" t="n">
        <v>490.1004906521109</v>
      </c>
      <c r="D4" s="9" t="n">
        <v>361.476708176833</v>
      </c>
      <c r="E4" s="9" t="n">
        <v>544.7874987108697</v>
      </c>
      <c r="F4" s="18" t="n"/>
      <c r="G4" s="18" t="n"/>
      <c r="H4" s="18" t="n"/>
      <c r="I4" s="18" t="n"/>
      <c r="J4" s="18" t="n">
        <v>0</v>
      </c>
      <c r="K4" t="n">
        <v>3</v>
      </c>
      <c r="L4" t="inlineStr">
        <is>
          <t>P/E 19.81 (ntm)</t>
        </is>
      </c>
      <c r="M4" s="44" t="inlineStr"/>
    </row>
    <row r="5">
      <c r="A5" t="inlineStr">
        <is>
          <t>agent_1</t>
        </is>
      </c>
      <c r="M5" t="inlineStr">
        <is>
          <t>engine error: no model_inputs found</t>
        </is>
      </c>
    </row>
    <row r="6">
      <c r="A6" t="inlineStr">
        <is>
          <t>agent_2</t>
        </is>
      </c>
      <c r="M6" t="inlineStr">
        <is>
          <t>engine error: no model_inputs found</t>
        </is>
      </c>
    </row>
    <row r="7">
      <c r="A7" t="inlineStr">
        <is>
          <t>agent_3</t>
        </is>
      </c>
      <c r="M7" t="inlineStr">
        <is>
          <t>engine error: no model_inputs found</t>
        </is>
      </c>
    </row>
    <row r="8">
      <c r="A8" t="inlineStr">
        <is>
          <t>agent_4</t>
        </is>
      </c>
      <c r="M8" t="inlineStr">
        <is>
          <t>engine error: no model_inputs found</t>
        </is>
      </c>
    </row>
    <row r="9">
      <c r="A9" t="inlineStr">
        <is>
          <t>agent_5</t>
        </is>
      </c>
      <c r="M9" t="inlineStr">
        <is>
          <t>engine error: no model_inputs found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0"/>
  <sheetViews>
    <sheetView showGridLines="0" workbookViewId="0">
      <selection activeCell="A1" sqref="A1"/>
    </sheetView>
  </sheetViews>
  <sheetFormatPr baseColWidth="8" defaultRowHeight="15"/>
  <cols>
    <col width="34" customWidth="1" min="1" max="1"/>
    <col width="50" customWidth="1" min="2" max="2"/>
    <col width="40" customWidth="1" min="4" max="4"/>
    <col width="70" customWidth="1" min="6" max="6"/>
  </cols>
  <sheetData>
    <row r="1">
      <c r="A1" s="1" t="inlineStr">
        <is>
          <t>AVGO: where each input comes from (source numbers point to the list below; F ids to the SEC fact table)</t>
        </is>
      </c>
    </row>
    <row r="3">
      <c r="A3" s="3" t="inlineStr">
        <is>
          <t>Input</t>
        </is>
      </c>
      <c r="B3" s="3" t="inlineStr">
        <is>
          <t>Value</t>
        </is>
      </c>
      <c r="C3" s="3" t="inlineStr">
        <is>
          <t>Basis</t>
        </is>
      </c>
      <c r="D3" s="3" t="inlineStr">
        <is>
          <t>Sources</t>
        </is>
      </c>
      <c r="E3" s="3" t="inlineStr">
        <is>
          <t>SEC fact ids</t>
        </is>
      </c>
      <c r="F3" s="3" t="inlineStr">
        <is>
          <t>Derivation</t>
        </is>
      </c>
    </row>
    <row r="4">
      <c r="A4" s="44" t="inlineStr">
        <is>
          <t>Base revenue FY2025 (fiscal year ended 2025-11-02)</t>
        </is>
      </c>
      <c r="B4" t="inlineStr">
        <is>
          <t>$63,887M</t>
        </is>
      </c>
      <c r="C4" t="inlineStr">
        <is>
          <t>reported</t>
        </is>
      </c>
      <c r="D4" t="inlineStr">
        <is>
          <t>55</t>
        </is>
      </c>
      <c r="E4" t="inlineStr">
        <is>
          <t>F3</t>
        </is>
      </c>
      <c r="F4" s="44" t="inlineStr">
        <is>
          <t>10-K filed 2025-12-18, us-gaap revenue (fact pack F3).</t>
        </is>
      </c>
    </row>
    <row r="5">
      <c r="A5" s="44" t="inlineStr">
        <is>
          <t>AI revenue per GW deployed (price driver)</t>
        </is>
      </c>
      <c r="B5" t="inlineStr">
        <is>
          <t>$11,500M per GW</t>
        </is>
      </c>
      <c r="C5" t="inlineStr">
        <is>
          <t>estimate</t>
        </is>
      </c>
      <c r="D5" t="inlineStr">
        <is>
          <t>47, 48, 37</t>
        </is>
      </c>
      <c r="E5" t="inlineStr"/>
      <c r="F5" s="44" t="inlineStr">
        <is>
          <t>Two anchors: (1) Rasgon on the Q3 call: management's $115B / $230B outlook against the customers' stated deployments gives 'between $11 and $12 billion per gigawatt' (~10 GW in 2027, ~20 GW in 2028); (2) Mizuho (April 2026): $42B of 2027 Broadcom AI revenue from Anthropic on the ~3.5 GW deal = $12.0B per GW. Tan's 'content in the range of $20 to $30 billion per gigawatt' is full content per GW and, on management's own outlook, spreads over more than one fiscal year (StreetSignal notes the two may compare Broadcom revenue with customer spending). Used: $11.5B per GW of the year's deployments, which reproduces the $115B FY27 outlook on ~10 GW.</t>
        </is>
      </c>
    </row>
    <row r="6">
      <c r="A6" s="44" t="inlineStr">
        <is>
          <t>FY2027 AI revenue (units x price)</t>
        </is>
      </c>
      <c r="B6" t="inlineStr">
        <is>
          <t>$115,000M = (Anthropic 5.0 + OpenAI 1.3 + others 3.7 GW) x $11.5B</t>
        </is>
      </c>
      <c r="C6" t="inlineStr">
        <is>
          <t>estimate</t>
        </is>
      </c>
      <c r="D6" t="inlineStr">
        <is>
          <t>37, 38, 47</t>
        </is>
      </c>
      <c r="E6" t="inlineStr"/>
      <c r="F6" s="44" t="inlineStr">
        <is>
          <t>Anthropic: 'another 5 gigawatts of TPU version 8i in 2027'; OpenAI: 'planned deployment of 1.3 gigawatts in 2027'; others (Google TPU 'multi tens of billions of dollars ... annually', Meta MTIA, ByteDance, the sixth customer) 3.7 GW = Rasgon's ~10 GW total less 6.3. 10.0 x $11.5B = $115B = management's 'approximately $115 billion' with supply secured.</t>
        </is>
      </c>
    </row>
    <row r="7">
      <c r="A7" s="44" t="inlineStr">
        <is>
          <t>FY2028 Anthropic GW realised</t>
        </is>
      </c>
      <c r="B7" t="inlineStr">
        <is>
          <t>8.5 GW of 10 GW line of sight (85%) = $97,750M</t>
        </is>
      </c>
      <c r="C7" t="inlineStr">
        <is>
          <t>estimate</t>
        </is>
      </c>
      <c r="D7" t="inlineStr">
        <is>
          <t>37, 51, 44, 46</t>
        </is>
      </c>
      <c r="E7" t="inlineStr"/>
      <c r="F7" s="44" t="inlineStr">
        <is>
          <t>Q3 call: 'in 2028 we have clear line of sight to deliver another, an incremental, 10 gigawatts'; Anthropic 'on track to become our largest XPU customer in 2027 and sustain that in 2028'. Support: Q3 revenue $16.8B (+45% q/q), profitable on an adjusted basis, IPO discussed at ~$1.5T (Reuters, 2026-10-15); $125.2B five-year TPU lease commitment; financing in place ($35B XPV tranche, $60B package syndicating). Haircut 15% for deployment timing (the Q3 call names land, power and shells alongside silicon, substrates, HBM and lasers as constraints) and IPO timing. 8.5 x $11.5B = $97.75B.</t>
        </is>
      </c>
    </row>
    <row r="8">
      <c r="A8" s="44" t="inlineStr">
        <is>
          <t>FY2028 OpenAI GW realised</t>
        </is>
      </c>
      <c r="B8" t="inlineStr">
        <is>
          <t>3.5 GW of &gt;5 GW line of sight (70%) = $40,250M</t>
        </is>
      </c>
      <c r="C8" t="inlineStr">
        <is>
          <t>estimate</t>
        </is>
      </c>
      <c r="D8" t="inlineStr">
        <is>
          <t>37, 52, 45</t>
        </is>
      </c>
      <c r="E8" t="inlineStr"/>
      <c r="F8" s="44" t="inlineStr">
        <is>
          <t>Q3 call: 'line of sight for OpenAI to deploy over 5 gigawatts of Jalapeno and its successor generation of XPU' in 2028. Haircut 30%: OpenAI's annualized revenue was 'approaching $50 billion at the end of September' (FT, below the ~$70B reported earlier); the chip project 'hit an $18 billion financing snag' in May (The Information); the &gt;$50B financing Broadcom is arranging is in early talks (WSJ). 3.5 x $11.5B = $40.25B.</t>
        </is>
      </c>
    </row>
    <row r="9">
      <c r="A9" s="44" t="inlineStr">
        <is>
          <t>FY2028 other customers GW (Google, Meta, ByteDance, sixth customer)</t>
        </is>
      </c>
      <c r="B9" t="inlineStr">
        <is>
          <t>5.0 GW = $57,500M</t>
        </is>
      </c>
      <c r="C9" t="inlineStr">
        <is>
          <t>estimate</t>
        </is>
      </c>
      <c r="D9" t="inlineStr">
        <is>
          <t>37, 47</t>
        </is>
      </c>
      <c r="E9" t="inlineStr"/>
      <c r="F9" s="44" t="inlineStr">
        <is>
          <t>Rasgon: ~20 GW in 2028, ~15 of which Anthropic and OpenAI, so ~5 GW for the others; Google: long-term agreement to deliver 'multi tens of billions of dollars of TPUs annually'; Meta: 'line of sight to deploy 3 gigawatts through 28'. Self-funded hyperscalers: no haircut. 5.0 x $11.5B = $57.5B.</t>
        </is>
      </c>
    </row>
    <row r="10">
      <c r="A10" s="44" t="inlineStr">
        <is>
          <t>FY2028 AI revenue (sum)</t>
        </is>
      </c>
      <c r="B10" t="inlineStr">
        <is>
          <t>$195,500M (17.0 GW x $11.5B), -15% vs management $230B</t>
        </is>
      </c>
      <c r="C10" t="inlineStr">
        <is>
          <t>estimate</t>
        </is>
      </c>
      <c r="D10" t="inlineStr">
        <is>
          <t>37, 47, 41</t>
        </is>
      </c>
      <c r="E10" t="inlineStr"/>
      <c r="F10" s="44" t="inlineStr">
        <is>
          <t>97.75 + 40.25 + 57.5 = $195.5B. Management: 'line of sight for fiscal 2028 AI semiconductor revenue growth to again double to $230 billion' (20 GW x $11.5B). House capex file: 195.5 / 2,255 (2028 base) = 8.7% of customer AI capex vs 115 / 1,841 = 6.2% in 2027. Supervisor's original $180B and every forecaster's $175-184B are below; the set is above them because the customer GW lines (not a capex share) carry it.</t>
        </is>
      </c>
    </row>
    <row r="11">
      <c r="A11" s="44" t="inlineStr">
        <is>
          <t>AI networking vs XPU split (memo)</t>
        </is>
      </c>
      <c r="B11" t="inlineStr">
        <is>
          <t>XPU 73% / networking 27% of AI revenue, held</t>
        </is>
      </c>
      <c r="C11" t="inlineStr">
        <is>
          <t>estimate</t>
        </is>
      </c>
      <c r="D11" t="inlineStr">
        <is>
          <t>38, 37</t>
        </is>
      </c>
      <c r="E11" t="inlineStr"/>
      <c r="F11" s="44" t="inlineStr">
        <is>
          <t>Q3: XPUs 'representing 73% of AI revenue'; 'our AI networking revenue is expected to grow just as fast as XPUs over the next few years'. FY28: XPU $142.7B, networking $52.8B. Memo only: both carry the same per-GW price and AI margin.</t>
        </is>
      </c>
    </row>
    <row r="12">
      <c r="A12" s="44" t="inlineStr">
        <is>
          <t>Tax rate</t>
        </is>
      </c>
      <c r="B12" t="inlineStr">
        <is>
          <t>16%</t>
        </is>
      </c>
      <c r="C12" t="inlineStr">
        <is>
          <t>estimate</t>
        </is>
      </c>
      <c r="D12" t="inlineStr">
        <is>
          <t>37, 35</t>
        </is>
      </c>
      <c r="E12" t="inlineStr"/>
      <c r="F12" s="44" t="inlineStr">
        <is>
          <t>Non-GAAP tax rate ~16% for Q4 and FY26 (global minimum tax), held. Our estimate: the guided ~16% non-GAAP rate held (FY26 9M GAAP rate is distorted by discrete items).</t>
        </is>
      </c>
    </row>
    <row r="13">
      <c r="A13" s="44" t="inlineStr">
        <is>
          <t>D&amp;A (depreciation)</t>
        </is>
      </c>
      <c r="B13" t="inlineStr">
        <is>
          <t>0.6% of revenue</t>
        </is>
      </c>
      <c r="C13" t="inlineStr">
        <is>
          <t>estimate</t>
        </is>
      </c>
      <c r="D13" t="inlineStr">
        <is>
          <t>55</t>
        </is>
      </c>
      <c r="E13" t="inlineStr">
        <is>
          <t>F6</t>
        </is>
      </c>
      <c r="F13" s="44" t="inlineStr">
        <is>
          <t>Depreciation 9M FY26 $484M / revenue $71,089M = 0.68% (XBRL Depreciation); non-GAAP operating income is after depreciation and before amortization of acquired intangibles (not a cash cost), so 0.6% is added back in FCFF.</t>
        </is>
      </c>
    </row>
    <row r="14">
      <c r="A14" s="44" t="inlineStr">
        <is>
          <t>Capex</t>
        </is>
      </c>
      <c r="B14" t="inlineStr">
        <is>
          <t>FY26 2.3%, FY27 1.5%, FY28-FY30 1.0% of revenue</t>
        </is>
      </c>
      <c r="C14" t="inlineStr">
        <is>
          <t>estimate</t>
        </is>
      </c>
      <c r="D14" t="inlineStr">
        <is>
          <t>35, 37, 54</t>
        </is>
      </c>
      <c r="E14" t="inlineStr">
        <is>
          <t>F53</t>
        </is>
      </c>
      <c r="F14" s="44" t="inlineStr">
        <is>
          <t>9M capex $1,013M (8-K) + Q4 guide ~$1.4B = $2.41B / $105.9B = 2.3%; FY27 consensus capex $2,506M / $173,968M = 1.44% (MarketScreener) -&gt; 1.5%; FY28 $2,055M / $271,925M = 0.76% -&gt; 1.0% (Singapore substrate fab).</t>
        </is>
      </c>
    </row>
    <row r="15">
      <c r="A15" s="44" t="inlineStr">
        <is>
          <t>Working capital</t>
        </is>
      </c>
      <c r="B15" t="inlineStr">
        <is>
          <t>12% of the revenue increase</t>
        </is>
      </c>
      <c r="C15" t="inlineStr">
        <is>
          <t>estimate</t>
        </is>
      </c>
      <c r="D15" t="inlineStr">
        <is>
          <t>55</t>
        </is>
      </c>
      <c r="E15" t="inlineStr"/>
      <c r="F15" s="44" t="inlineStr">
        <is>
          <t>Receivables $13,707M + inventory $4,523M at 2026-08-02 = $18,230M = 15.4% of annualised Q3 revenue ($29,591M x 4); less payables and accruals ~3.5% (judgment) = 12%. Replaces the transcribed one-line leakage (capex_pct_rev 8.38%), which mixed capex, working capital and cash-tax timing.</t>
        </is>
      </c>
    </row>
    <row r="16">
      <c r="A16" s="44" t="inlineStr">
        <is>
          <t>Net debt at balance date 2026-08-02</t>
        </is>
      </c>
      <c r="B16" t="inlineStr">
        <is>
          <t>$35,444M</t>
        </is>
      </c>
      <c r="C16" t="inlineStr">
        <is>
          <t>reported</t>
        </is>
      </c>
      <c r="D16" t="inlineStr">
        <is>
          <t>35, 24</t>
        </is>
      </c>
      <c r="E16" t="inlineStr">
        <is>
          <t>F84, F83, F89</t>
        </is>
      </c>
      <c r="F16" s="44" t="inlineStr">
        <is>
          <t>Short-term debt $2,252M + long-term debt $57,167M = $59,419M carrying, less cash $23,975M (F89). Principal $61,079M (10-Q).</t>
        </is>
      </c>
    </row>
    <row r="17">
      <c r="A17" s="44" t="inlineStr">
        <is>
          <t>Interest rate on debt</t>
        </is>
      </c>
      <c r="B17" t="inlineStr">
        <is>
          <t>4.07%</t>
        </is>
      </c>
      <c r="C17" t="inlineStr">
        <is>
          <t>estimate</t>
        </is>
      </c>
      <c r="D17" t="inlineStr">
        <is>
          <t>35</t>
        </is>
      </c>
      <c r="E17" t="inlineStr">
        <is>
          <t>F84</t>
        </is>
      </c>
      <c r="F17" s="44" t="inlineStr">
        <is>
          <t>Net interest $2,420M / debt $59,419M (transcribed); used only by the engine interest drag, which net_debt_horizon overrides.</t>
        </is>
      </c>
    </row>
    <row r="18">
      <c r="A18" s="44" t="inlineStr">
        <is>
          <t>Customer financing: Backstop (disclosed)</t>
        </is>
      </c>
      <c r="B18" t="inlineStr">
        <is>
          <t>$29,000M max undiscounted; 70% average utilisation; LGD 45%</t>
        </is>
      </c>
      <c r="C18" t="inlineStr">
        <is>
          <t>estimate</t>
        </is>
      </c>
      <c r="D18" t="inlineStr">
        <is>
          <t>29, 31, 38, 37</t>
        </is>
      </c>
      <c r="E18" t="inlineStr"/>
      <c r="F18" s="44" t="inlineStr">
        <is>
          <t>10-Q: Backstop liability = '85% of the outstanding amounts owed' less 'the value of the AI racks', maximum ~$29B on full deployment, 5-year leases, fair value not material, nothing paid. The 10-Q names no customer; the size is consistent with the first $35B XPV tranche closed in June for Anthropic's 1 GW (0.85 x 35 = $29.75B; inference). Utilisation 70% (leases amortise over 5 years); LGD 45% of the maximum (rack resale after ~2 years in a downturn).</t>
        </is>
      </c>
    </row>
    <row r="19">
      <c r="A19" s="44" t="inlineStr">
        <is>
          <t>Customer financing: Anthropic $42B senior tranche</t>
        </is>
      </c>
      <c r="B19" t="inlineStr">
        <is>
          <t>$42,000M, backed by Broadcom; 70% utilisation; LGD 35%</t>
        </is>
      </c>
      <c r="C19" t="inlineStr">
        <is>
          <t>estimate</t>
        </is>
      </c>
      <c r="D19" t="inlineStr">
        <is>
          <t>44, 46, 45, 50, 29</t>
        </is>
      </c>
      <c r="E19" t="inlineStr"/>
      <c r="F19" s="44" t="inlineStr">
        <is>
          <t>Broadcom agreed to lend Anthropic up to $42B in convertible notes, restricted to TPU lease payments, ~a third of a $125.2B five-year lease commitment (Reuters, prospectus); the $60B package is a $42B Class A senior-secured tranche and an $18B Class B junior tranche led by Blackstone; FT: the $42B senior is 'backed by Broadcom', the junior 'without its guarantees'; Seoul Economic Daily: senior 'guaranteed by Broadcom'. LGD 35%: the $18B junior (30% of the stack) takes first loss and the racks are collateral.</t>
        </is>
      </c>
    </row>
    <row r="20">
      <c r="A20" s="44" t="inlineStr">
        <is>
          <t>Customer financing: OpenAI package</t>
        </is>
      </c>
      <c r="B20" t="inlineStr">
        <is>
          <t>$35,000M Broadcom share x 0.6 probability; LGD 35%</t>
        </is>
      </c>
      <c r="C20" t="inlineStr">
        <is>
          <t>estimate</t>
        </is>
      </c>
      <c r="D20" t="inlineStr">
        <is>
          <t>45</t>
        </is>
      </c>
      <c r="E20" t="inlineStr"/>
      <c r="F20" s="44" t="inlineStr">
        <is>
          <t>WSJ: Broadcom arranging 'more than $50 billion' with Apollo and Blackstone for OpenAI's custom chips, early talks, size may change; no report says whether Broadcom guarantees any of it. Assumed Anthropic-like: 70% senior = $35B, probability 0.6 that Broadcom backs it.</t>
        </is>
      </c>
    </row>
    <row r="21">
      <c r="A21" s="44" t="inlineStr">
        <is>
          <t>Customer financing: future XPV backstops</t>
        </is>
      </c>
      <c r="B21" t="inlineStr">
        <is>
          <t>$32,000M x 0.5 probability; LGD 40% (was $75,000M)</t>
        </is>
      </c>
      <c r="C21" t="inlineStr">
        <is>
          <t>estimate</t>
        </is>
      </c>
      <c r="D21" t="inlineStr">
        <is>
          <t>37, 38, 67</t>
        </is>
      </c>
      <c r="E21" t="inlineStr"/>
      <c r="F21" s="44" t="inlineStr">
        <is>
          <t>Was $75B of further Broadcom-backed exposure; the Oct 27 2026 8-K Backstop (~$43B max, Anthropic SPV) is the first of these to be signed, so it moves to its own row and the bucket keeps 75,000 - 43,000 = 32,000. XPV aims 'to enable more than 20 gigawatts of compute infrastructure for OpenAI and Anthropic by the end of 2028'; management 'may provide modest residual value guarantees' and will evaluate financings case by case. 20 GW at ~$20-30B content is $400-600B; $75B of further Broadcom-backed exposure is judgment.</t>
        </is>
      </c>
    </row>
    <row r="22">
      <c r="A22" s="44" t="inlineStr">
        <is>
          <t>Customer financing: default probabilities</t>
        </is>
      </c>
      <c r="B22" t="inlineStr">
        <is>
          <t>Anthropic 10.5%, OpenAI 16.75%, mixed 12.5% (5-year, unconditional); bear 30/45/35%, base 5/9/6%, bull 2/4/3%</t>
        </is>
      </c>
      <c r="C22" t="inlineStr">
        <is>
          <t>estimate</t>
        </is>
      </c>
      <c r="D22" t="inlineStr">
        <is>
          <t>49, 50, 51, 52</t>
        </is>
      </c>
      <c r="E22" t="inlineStr"/>
      <c r="F22" s="44" t="inlineStr">
        <is>
          <t>S&amp;P 1981-2024 five-year cumulative defaults: BB 5.05%, B 14.69%. Anthropic's junior pays a 10% coupon vs ~7% for BB credits (ICE BofA BB index), so the market prices it between BB and B: 10.5% unconditional; OpenAI (revenue ~$50B annualized, unprofitable, financing snag) a B-or-worse 16.75%. Scenario-conditional PDs put most defaults in the bear (an AI-funding bust), weighted 0.25/0.5/0.25.</t>
        </is>
      </c>
    </row>
    <row r="23">
      <c r="A23" s="44" t="inlineStr">
        <is>
          <t>Customer-financing expected loss (adjustment)</t>
        </is>
      </c>
      <c r="B23" t="inlineStr">
        <is>
          <t>-4,568 ($M)</t>
        </is>
      </c>
      <c r="C23" t="inlineStr">
        <is>
          <t>estimate</t>
        </is>
      </c>
      <c r="D23" t="inlineStr">
        <is>
          <t>29, 44, 45, 49, 67</t>
        </is>
      </c>
      <c r="E23" t="inlineStr"/>
      <c r="F23" s="44" t="inlineStr">
        <is>
          <t>Labelled estimate. Base round unconditional expected loss 4,214 ($M) plus the Oct 27 8-K Backstop (max ~$43B, 72.5% of lease amounts owed less rack value; id 67) at 0.70 utilisation x Anthropic unconditional PD 10.5% x LGD 0.35 = +1,106, less the same $43B taken out of the 'future XPV backstops' bucket (75,000 -&gt; 32,000 x 0.70 x p 0.5 x PD 12.5% x LGD 0.40 = -753): 4,214 + 354 = 4,568.</t>
        </is>
      </c>
    </row>
    <row r="24">
      <c r="A24" s="44" t="inlineStr">
        <is>
          <t>Legal and regulatory (adjustment)</t>
        </is>
      </c>
      <c r="B24" t="inlineStr">
        <is>
          <t>-$1,250M</t>
        </is>
      </c>
      <c r="C24" t="inlineStr">
        <is>
          <t>estimate</t>
        </is>
      </c>
      <c r="D24" t="inlineStr">
        <is>
          <t>53, 57, 29</t>
        </is>
      </c>
      <c r="E24" t="inlineStr"/>
      <c r="F24" s="44" t="inlineStr">
        <is>
          <t>CISPE complaint to DG Competition (2026-03-19; VMware VCSP termination, cost increases &gt;1,000%, interim measures and fines sought); EU fines cap at 10% of turnover. p 0.25 x ~$3.0B = -$750M, plus licensing suits and settlements -$500M (judgment). The 10-Q accrues nothing ('not considered probable', 'not reasonably estimable').</t>
        </is>
      </c>
    </row>
    <row r="25">
      <c r="A25" s="44" t="inlineStr">
        <is>
          <t>Conglomerate / holding-company discount</t>
        </is>
      </c>
      <c r="B25" t="inlineStr">
        <is>
          <t>none</t>
        </is>
      </c>
      <c r="C25" t="inlineStr">
        <is>
          <t>judgment</t>
        </is>
      </c>
      <c r="D25" t="inlineStr"/>
      <c r="E25" t="inlineStr"/>
      <c r="F25" s="44" t="inlineStr">
        <is>
          <t>No non-core parts sit on top of the core: no equity stakes, ventures or holdco assets are added; infrastructure software (VMware) is an operating segment inside the DCF and EPS, not a separately valued add-on. Diversification-discount evidence (Berger &amp; Ofek 1995 13-15%; smaller after self-selection controls, Campa &amp; Kedia 2002, Villalonga 2004; see runs/2026-10-06/GOOGL/remaining_items_2026-10-19.md) applies to the market value of a whole conglomerate, which AVGO's own 19x already reflects.</t>
        </is>
      </c>
    </row>
    <row r="26">
      <c r="A26" s="44" t="inlineStr">
        <is>
          <t>Other non-traditional items (not modelled)</t>
        </is>
      </c>
      <c r="B26" t="inlineStr">
        <is>
          <t>equity investments, Anthropic note conversion option, tariffs, tax</t>
        </is>
      </c>
      <c r="C26" t="inlineStr">
        <is>
          <t>judgment</t>
        </is>
      </c>
      <c r="D26" t="inlineStr">
        <is>
          <t>44, 55, 32</t>
        </is>
      </c>
      <c r="E26" t="inlineStr"/>
      <c r="F26" s="44" t="inlineStr">
        <is>
          <t>No material equity stakes (9M FY26 investment purchases $756M). Anthropic notes are convertible into Anthropic equity but no notes are issued and no conversion price is public: upside option not valued. Section 232 chip tariffs exempt US data-center use: not modelled. Unrecognized tax benefits $1,755M and a $2,186M global minimum tax payable are in the filings and the 16% rate.</t>
        </is>
      </c>
    </row>
    <row r="27">
      <c r="A27" s="44" t="inlineStr">
        <is>
          <t>Customer financing: Oct 27 2026 Anthropic SPV Backstop</t>
        </is>
      </c>
      <c r="B27" t="inlineStr">
        <is>
          <t>$43,000M max undiscounted; 70% average utilisation; LGD 35%; carried with probability 1</t>
        </is>
      </c>
      <c r="C27" t="inlineStr">
        <is>
          <t>estimate</t>
        </is>
      </c>
      <c r="D27" t="inlineStr">
        <is>
          <t>67</t>
        </is>
      </c>
      <c r="E27" t="inlineStr"/>
      <c r="F27" s="44" t="inlineStr">
        <is>
          <t>8-K Item 2.03 (2026-10-27): residual value support to a new SPV that took on rack purchase and lease agreements with 'the Company's customer'; liability = 72.5% of lease amounts owed less the racks' resale value; maximum ~$43B on deployment, rising with deliveries and falling with lease payments. The 8-K does not name the customer; we take it to be Anthropic (Broadcom's Oct 26 release on a $63B SPV financing for Anthropic's accelerators was reported by secondary outlets but not read at source here: flag). Anthropic's PD is applied. LGD 35% (same as the Anthropic senior row; 72.5% coverage &lt; the 10-Q Backstop's 85%).</t>
        </is>
      </c>
    </row>
    <row r="28">
      <c r="A28" s="44" t="inlineStr">
        <is>
          <t>constant: nonai_margin</t>
        </is>
      </c>
      <c r="B28" t="inlineStr">
        <is>
          <t>55% every quarter</t>
        </is>
      </c>
      <c r="C28" t="inlineStr">
        <is>
          <t>estimate</t>
        </is>
      </c>
      <c r="D28" t="inlineStr">
        <is>
          <t>38, 37, 68</t>
        </is>
      </c>
      <c r="E28" t="inlineStr"/>
      <c r="F28" s="44" t="inlineStr">
        <is>
          <t>Judgment carried from the base round (not disclosed; below the Q3 FY26 semiconductor segment average 61.3%). Only splits the semiconductor segment margin between AI and non-AI; the segment total is the filed figure in actual quarters.</t>
        </is>
      </c>
    </row>
    <row r="29">
      <c r="A29" s="44" t="inlineStr">
        <is>
          <t>constant: sbc</t>
        </is>
      </c>
      <c r="B29" t="inlineStr">
        <is>
          <t>actual 1,280/1,771/2,322/2,195/2,176/2,092/2,019; forecast Q4 FY26 2,100, FY27 2,250/q, FY28 2,450/q ($M)</t>
        </is>
      </c>
      <c r="C29" t="inlineStr">
        <is>
          <t>estimate</t>
        </is>
      </c>
      <c r="D29" t="inlineStr">
        <is>
          <t>68, 55</t>
        </is>
      </c>
      <c r="E29" t="inlineStr">
        <is>
          <t>F39, F40</t>
        </is>
      </c>
      <c r="F29" s="44" t="inlineStr">
        <is>
          <t>Actuals: XBRL ShareBasedCompensation by quarter. Forecast: unrecognized compensation cost $18,221M at 2026-08-02 (~2.1 years of the TTM $8.48B (F39)) with annual grants growing with headcount and the share price: FY27 $9.0B, FY28 $9.8B (base round 8.0% / 5.5% / 4.0% of revenue = ~$8.5B / $9.3B / $10.0B). Charged in EBIT (SBC as a cost), so EPS is on the Zacks basis.</t>
        </is>
      </c>
    </row>
    <row r="30">
      <c r="A30" s="44" t="inlineStr">
        <is>
          <t>SBC basis (method)</t>
        </is>
      </c>
      <c r="B30" t="inlineStr">
        <is>
          <t>SBC charged in EBIT (was: non-GAAP EPS ex-SBC with flat shares and buyback cash in net debt)</t>
        </is>
      </c>
      <c r="C30" t="inlineStr">
        <is>
          <t>estimate</t>
        </is>
      </c>
      <c r="D30" t="inlineStr">
        <is>
          <t>69, 70, 71, 66</t>
        </is>
      </c>
      <c r="E30" t="inlineStr"/>
      <c r="F30" s="44" t="inlineStr">
        <is>
          <t>The exit-multiple rule needs AVGO's own multiple and the peer median on one basis. Zacks consensus keeps SBC as a cost for AVGO and its peers (AVGO Q3 FY26 Zacks 3.03 vs non-GAAP 3.32 / GAAP 2.68), the basis the NVDA set adopted (Kilian card 2026-10-27). Buybacks then only offset dilution and are not in shareholder_returns (the SBC charge stands in for them); shares held flat.</t>
        </is>
      </c>
    </row>
    <row r="31">
      <c r="A31" s="44" t="inlineStr">
        <is>
          <t>Shareholder returns (dividends)</t>
        </is>
      </c>
      <c r="B31" t="inlineStr">
        <is>
          <t>FY26 12,420; FY27 14,330; FY28 15,420 ($M)</t>
        </is>
      </c>
      <c r="C31" t="inlineStr">
        <is>
          <t>estimate</t>
        </is>
      </c>
      <c r="D31" t="inlineStr">
        <is>
          <t>56, 54</t>
        </is>
      </c>
      <c r="E31" t="inlineStr">
        <is>
          <t>F87</t>
        </is>
      </c>
      <c r="F31" s="44" t="inlineStr">
        <is>
          <t>Dividends = DPS x 4,773.6M shares outstanding (F87): FY26 $0.65 x 4 = $2.60 (declared; 10-Q R55, id 56) -&gt; 12,412; FY27 $2.997, FY28 $3.225 (MarketScreener DPS consensus) -&gt; 14,306 / 15,395, rounded up for RSU growth. Buybacks offset SBC dilution (see SBC basis).</t>
        </is>
      </c>
    </row>
    <row r="32">
      <c r="A32" s="44" t="inlineStr">
        <is>
          <t>Diluted shares</t>
        </is>
      </c>
      <c r="B32" t="inlineStr">
        <is>
          <t>4,940M held flat to the horizon</t>
        </is>
      </c>
      <c r="C32" t="inlineStr">
        <is>
          <t>estimate</t>
        </is>
      </c>
      <c r="D32" t="inlineStr">
        <is>
          <t>37, 35</t>
        </is>
      </c>
      <c r="E32" t="inlineStr">
        <is>
          <t>F33</t>
        </is>
      </c>
      <c r="F32" s="44" t="inlineStr">
        <is>
          <t>Q4 FY26 non-GAAP diluted share guide ~4,940M (Q3 4,937M); dilution from RSU vesting offset by buybacks funded by the SBC charge in EBIT.</t>
        </is>
      </c>
    </row>
    <row r="33">
      <c r="A33" s="44" t="inlineStr">
        <is>
          <t>Net debt at the horizon</t>
        </is>
      </c>
      <c r="B33" t="inlineStr">
        <is>
          <t>engine cash roll from the quarter rows (no stated override)</t>
        </is>
      </c>
      <c r="C33" t="inlineStr">
        <is>
          <t>estimate</t>
        </is>
      </c>
      <c r="D33" t="inlineStr">
        <is>
          <t>35</t>
        </is>
      </c>
      <c r="E33" t="inlineStr">
        <is>
          <t>F84, F89</t>
        </is>
      </c>
      <c r="F33" s="44" t="inlineStr">
        <is>
          <t>Was a stated -20,594 (bottom-up, ex-SBC basis with $10B buybacks). Now the engine rolls 2026-08-02 net debt 35,444 by quarter FCFF less dividends to the horizon; the SBC charge in EBIT replaces the buyback line.</t>
        </is>
      </c>
    </row>
    <row r="34">
      <c r="A34" s="44" t="inlineStr">
        <is>
          <t>Leg weights</t>
        </is>
      </c>
      <c r="B34" t="inlineStr">
        <is>
          <t>P/E 1.0 (no DCF; policy)</t>
        </is>
      </c>
      <c r="C34" t="inlineStr">
        <is>
          <t>estimate</t>
        </is>
      </c>
      <c r="D34" t="inlineStr"/>
      <c r="E34" t="inlineStr"/>
      <c r="F34" s="44" t="inlineStr">
        <is>
          <t>No DCF leg for non-neoclouds (policy 2026-10-21); the forward P/E is the most accurate single method (semis playbook, Liu-Nissim-Thomas). The old set carried dcf_weight 0.2 that the engine already forced to 0.</t>
        </is>
      </c>
    </row>
    <row r="35">
      <c r="A35" s="44" t="inlineStr">
        <is>
          <t>Horizon P/E multiple (exit rule)</t>
        </is>
      </c>
      <c r="B35" t="inlineStr">
        <is>
          <t>21.9x, weight 1.0</t>
        </is>
      </c>
      <c r="C35" t="inlineStr">
        <is>
          <t>estimate</t>
        </is>
      </c>
      <c r="D35" t="inlineStr">
        <is>
          <t>69, 74, 73, 72</t>
        </is>
      </c>
      <c r="E35" t="inlineStr"/>
      <c r="F35" s="44" t="inlineStr">
        <is>
          <t>Peer calendar-NTM P/E (price / days-weighted Zacks FY EPS): AVGO 345.0 / 17.4112 = 19.81x; NVDA 213.66 / 14.0815 = 15.17x; AMD 566.42 / 12.8213 = 44.18x; MRVL 218.34 / 5.27 = 41.43x; TSM 431.81 / 21.5131 = 20.07x; ANET 184.22 / 4.5347 = 40.62x; CRDO 165.29 / 6.6555 = 24.84x; ALAB 290.43 / 4.2407 = 68.49x; COHR 237.22 / 10.1286 = 23.42x. Peer median (8, AI-exposed) 32.73x; exit = 32.73 x (19.81 / 32.73)^0.8 = 21.9x. QCOM/ADI/TXN removed 2026-10-30 (non-AI analog peers for ~7% of revenue). Implies EPS growth after FY28 at a discount to the AI peer group for AVGO's lab-customer concentration (own multiple 39% below the median).</t>
        </is>
      </c>
    </row>
    <row r="36">
      <c r="A36" s="44" t="inlineStr">
        <is>
          <t>driver:ai_rev</t>
        </is>
      </c>
      <c r="B36" t="inlineStr">
        <is>
          <t>AI semiconductor revenue (custom XPUs + AI networking): 2.016e+04 -&gt; 5.8e+04/1.15e+05/1.955e+05 (estimate; quarterly, sum)</t>
        </is>
      </c>
      <c r="C36" t="inlineStr">
        <is>
          <t>estimate</t>
        </is>
      </c>
      <c r="D36" t="inlineStr"/>
      <c r="E36" t="inlineStr"/>
      <c r="F36" s="44" t="inlineStr">
        <is>
          <t>Q4 FY26 22,100 = guide $21.7B x (1 + 1.8%): record-adjusted (median first-guide beat +2.2% over 6 quarters, guidance_check), shaded for supply. FY27 115,000 = (Anthropic 5.0 + OpenAI 1.3 + others 3.7 GW) x $11.5B/GW (management 'approximately $115 billion', supply secured); quarters 24,500 / 27,500 / 29,500 / 33,500 (+11% / +12% / +7% / +14% q/q, as XPU generations ramp; Q4 heavy as in FY25-26 where Q4 was the largest quarter). FY28 195,500 = 17.0 GW x $11.5B (Anthropic 8.5 of 10, OpenAI 3.5 of &gt;5, others 5.0), -15% vs management's $230B line of sight; quarters 40,000 / 46,000 / 52,000 / 57,500 (+19% / +15% / +13% / +11% q/q, decelerating ramp). New since the base round: Broadcom's Oct 27 8-K (id 67) shows financing arranged for the Anthropic rack leases from 2027, which supports the Anthropic GW but does not change them.</t>
        </is>
      </c>
    </row>
    <row r="37">
      <c r="A37" s="44" t="inlineStr">
        <is>
          <t>driver:xpu_share</t>
        </is>
      </c>
      <c r="B37" t="inlineStr">
        <is>
          <t>Custom XPU share of AI semiconductor revenue (rest = AI networking): 0.65 -&gt; 0.6947/0.7308/0.748 (estimate; quarterly, wmean:ai_rev)</t>
        </is>
      </c>
      <c r="C37" t="inlineStr">
        <is>
          <t>estimate</t>
        </is>
      </c>
      <c r="D37" t="inlineStr"/>
      <c r="E37" t="inlineStr"/>
      <c r="F37" s="44" t="inlineStr">
        <is>
          <t>Actuals FY26: 0.667 / 0.61 / 0.73 (cited). FY25 quarters 0.65: not read from the FY25 calls (base year only; feeds no forecast and no filed-quarter EBIT). Q4 FY26 0.72 (both lines triple y/y). FY27 0.72-0.74, FY28 0.74-0.75: management's ~30% networking settle point, plus rack-level (memory-rich) systems for Anthropic from 2027 (8-K 2026-10-27, id 67) booked in the XPU line, which edges the XPU share up.</t>
        </is>
      </c>
    </row>
    <row r="38">
      <c r="A38" s="44" t="inlineStr">
        <is>
          <t>driver:xpu_margin</t>
        </is>
      </c>
      <c r="B38" t="inlineStr">
        <is>
          <t>Custom XPU operating margin (non-GAAP, before SBC): 0.5317 -&gt; 0.587/0.5491/0.5287 (estimate; quarterly, wmean:ai_rev*xpu_share)</t>
        </is>
      </c>
      <c r="C38" t="inlineStr">
        <is>
          <t>estimate</t>
        </is>
      </c>
      <c r="D38" t="inlineStr"/>
      <c r="E38" t="inlineStr"/>
      <c r="F38" s="44" t="inlineStr">
        <is>
          <t>FY26 derived 57.6% / 59.7% / 59.5%. A least-squares fit of the three FY26 quarters (derived AI margin vs networking share) gives XPU chips 58.8% and networking 72.2% (networking constant set at 72%). Q4 FY26 58.1%: from the Q4 guide (non-GAAP op margin ~66% on $34.8B, record-adjusted; AI 62.0%) at a 72% XPU share; chips only ('No racks. It is all a chip business only', Q2 FY26 call). FY27-FY28: chips 58.8% blended with rack systems at 42% operating margin (UBS's 45-50% rack gross margin less ~5pt opex; analyst figure, not Broadcom's) as Anthropic rack deliveries under the Oct 27 2026 SPV lease (id 67) start: rack share of XPU revenue 15/20/25/30% through FY27 and 32/34/36/38% in FY28 (estimate, not disclosed). Built independently of the old AI margin path.</t>
        </is>
      </c>
    </row>
    <row r="39">
      <c r="A39" s="44" t="inlineStr">
        <is>
          <t>driver:sw_rev</t>
        </is>
      </c>
      <c r="B39" t="inlineStr">
        <is>
          <t>Infrastructure software revenue (VMware and mainframe/enterprise software), driven by y/y growth: 2.703e+04 -&gt; 3.148e+04/3.602e+04/3.746e+04 (estimate; quarterly, sum)</t>
        </is>
      </c>
      <c r="C39" t="inlineStr">
        <is>
          <t>estimate</t>
        </is>
      </c>
      <c r="D39" t="inlineStr"/>
      <c r="E39" t="inlineStr"/>
      <c r="F39" s="44" t="inlineStr">
        <is>
          <t>Q4 FY26 8,750 (guide ~8.7B; Q3 8,752 after the +22% q/q step from large VCF renewals). FY27 36,018 = 8.7B x 4 x 1.035 (base round; VCF conversion largely done, revenue tracks renewals), quarters +1.1%/q; FY28 37,459 (+4%). As y/y growth: Q4 FY26 +26% (Q4 guide 'up 25% year on year'), FY27 +14.4% (the Q3 FY26 step annualises: Q4 FY27 +4.8% y/y), FY28 +4.0% (renewal pricing; VCF conversion done). Margin held at 83.5% (constant sw_margin).</t>
        </is>
      </c>
    </row>
    <row r="40">
      <c r="A40" s="44" t="inlineStr">
        <is>
          <t>driver:cf_exposure</t>
        </is>
      </c>
      <c r="B40" t="inlineStr">
        <is>
          <t>Customer-financing exposure backed by Broadcom (probability-weighted, utilised): 0 -&gt; 7.98e+04/9.45e+04/1.057e+05 (estimate; quarterly, end)</t>
        </is>
      </c>
      <c r="C40" t="inlineStr">
        <is>
          <t>estimate</t>
        </is>
      </c>
      <c r="D40" t="inlineStr"/>
      <c r="E40" t="inlineStr"/>
      <c r="F40" s="44" t="inlineStr">
        <is>
          <t>Each deal at its maximum x 70% average utilisation x probability Broadcom carries it: 10-Q Backstop 29,000 x 0.7 = 20,300 and Anthropic senior notes 42,000 x 0.7 = 29,400 (Q3 FY26, 49,700); Oct 27 SPV Backstop 43,000 x 0.7 = 30,100 (Q4 FY26, 79,800); OpenAI 35,000 x p 0.6 x 0.7 = 14,700 (from Q2 FY27, 94,500); future XPV backstops 32,000 x p 0.5 x 0.7 = 11,200 (from Q2 FY28, 105,700). The loss uses the FY28 year-end stock (every deal expected by 2028).</t>
        </is>
      </c>
    </row>
    <row r="41">
      <c r="A41" s="44" t="inlineStr">
        <is>
          <t>driver:cf_loss_rate</t>
        </is>
      </c>
      <c r="B41" t="inlineStr">
        <is>
          <t>Lifetime expected loss rate on Broadcom-backed customer financing: 0.04321 -&gt; 0.04321/0.04321/0.04321 (estimate; quarterly, mean)</t>
        </is>
      </c>
      <c r="C41" t="inlineStr">
        <is>
          <t>estimate</t>
        </is>
      </c>
      <c r="D41" t="inlineStr"/>
      <c r="E41" t="inlineStr"/>
      <c r="F41" s="44" t="inlineStr">
        <is>
          <t>Exposure-weighted PD x LGD of the five deals: 10-Q Backstop 10.5% x 45% (959), Anthropic notes 10.5% x 35% (1,080), Oct 27 SPV 10.5% x 35% (1,106), OpenAI 16.75% x 35% (862), future XPV 12.5% x 40% (560): 4,567.6 / 105,700 = 4.3210%. Unconditional (the downside revenue loss sits in the downside case, not here).</t>
        </is>
      </c>
    </row>
    <row r="43">
      <c r="A43" s="3" t="inlineStr">
        <is>
          <t>#</t>
        </is>
      </c>
      <c r="B43" s="3" t="inlineStr">
        <is>
          <t>Source</t>
        </is>
      </c>
      <c r="C43" s="3" t="inlineStr">
        <is>
          <t>Date</t>
        </is>
      </c>
      <c r="D43" s="3" t="inlineStr">
        <is>
          <t>Link</t>
        </is>
      </c>
    </row>
    <row r="44">
      <c r="A44" t="n">
        <v>1</v>
      </c>
      <c r="B44" s="44" t="inlineStr">
        <is>
          <t>US Treasury daily par yield curve CSV 2026 (10/05/2026: 10 Yr 5.31, 3 Mo 4.22)</t>
        </is>
      </c>
      <c r="C44" t="inlineStr">
        <is>
          <t>2026-10-05</t>
        </is>
      </c>
      <c r="D44" t="inlineStr">
        <is>
          <t>https://home.treasury.gov/resource-center/data-chart-center/interest-rates/daily-treasury-rates.csv/2026/all?type=daily_treasury_yield_curve&amp;field_tdr_date_value=2026&amp;page&amp;_format=csv</t>
        </is>
      </c>
    </row>
    <row r="45">
      <c r="A45" t="n">
        <v>2</v>
      </c>
      <c r="B45" s="44" t="inlineStr">
        <is>
          <t>Damodaran Online: implied ERP on October 1, 2026 = 4.20% (trailing 12m, adjusted payout); T-bond 5.29%</t>
        </is>
      </c>
      <c r="C45" t="inlineStr">
        <is>
          <t>2026-10-01</t>
        </is>
      </c>
      <c r="D45" t="inlineStr">
        <is>
          <t>https://pages.stern.nyu.edu/~adamodar/New_Home_Page/home.htm</t>
        </is>
      </c>
    </row>
    <row r="46">
      <c r="A46" t="n">
        <v>3</v>
      </c>
      <c r="B46" s="44" t="inlineStr">
        <is>
          <t>StockAnalysis AVGO statistics (Beta 5Y 1.48; total debt $59.42B; cash $23.98B; EV/EBITDA 33.79)</t>
        </is>
      </c>
      <c r="C46" t="inlineStr">
        <is>
          <t>2026-10-06</t>
        </is>
      </c>
      <c r="D46" t="inlineStr">
        <is>
          <t>https://stockanalysis.com/stocks/avgo/statistics/</t>
        </is>
      </c>
    </row>
    <row r="47">
      <c r="A47" t="n">
        <v>4</v>
      </c>
      <c r="B47" s="44" t="inlineStr">
        <is>
          <t>Finviz screener valuation table (Forward P/E, EPS next Y) for AVGO and peers</t>
        </is>
      </c>
      <c r="C47" t="inlineStr">
        <is>
          <t>2026-10-06</t>
        </is>
      </c>
      <c r="D47" t="inlineStr">
        <is>
          <t>https://finviz.com/screener.ashx?v=121&amp;t=AVGO,NVDA,AMD,MRVL,TSM,ANET,ALAB,CRDO,QCOM,COHR,CSCO,ADI,ARM,MU</t>
        </is>
      </c>
    </row>
    <row r="48">
      <c r="A48" t="n">
        <v>5</v>
      </c>
      <c r="B48" s="44" t="inlineStr">
        <is>
          <t>StockAnalysis CSCO forecast (FY27 to Jul-2027 EPS 5.15)</t>
        </is>
      </c>
      <c r="C48" t="inlineStr">
        <is>
          <t>2026-10-06</t>
        </is>
      </c>
      <c r="D48" t="inlineStr">
        <is>
          <t>https://stockanalysis.com/stocks/csco/forecast/</t>
        </is>
      </c>
    </row>
    <row r="49">
      <c r="A49" t="n">
        <v>6</v>
      </c>
      <c r="B49" s="44" t="inlineStr">
        <is>
          <t>StockAnalysis COHR forecast (FY27 to Jun-2027 EPS 9.42)</t>
        </is>
      </c>
      <c r="C49" t="inlineStr">
        <is>
          <t>2026-10-06</t>
        </is>
      </c>
      <c r="D49" t="inlineStr">
        <is>
          <t>https://stockanalysis.com/stocks/cohr/forecast/</t>
        </is>
      </c>
    </row>
    <row r="50">
      <c r="A50" t="n">
        <v>7</v>
      </c>
      <c r="B50" s="44" t="inlineStr">
        <is>
          <t>StockAnalysis CRDO forecast (FY27 to Apr-2027 EPS 6.31)</t>
        </is>
      </c>
      <c r="C50" t="inlineStr">
        <is>
          <t>2026-10-06</t>
        </is>
      </c>
      <c r="D50" t="inlineStr">
        <is>
          <t>https://stockanalysis.com/stocks/crdo/forecast/</t>
        </is>
      </c>
    </row>
    <row r="51">
      <c r="A51" t="n">
        <v>8</v>
      </c>
      <c r="B51" s="44" t="inlineStr">
        <is>
          <t>Broadcom 10-Q (quarter to 2026-08-02) R17: Backstop ~$29B max undiscounted, 85%, 5-year leases; $42B convertible-note facility, none issued</t>
        </is>
      </c>
      <c r="C51" t="inlineStr">
        <is>
          <t>2026-09-10</t>
        </is>
      </c>
      <c r="D51" t="inlineStr">
        <is>
          <t>https://www.sec.gov/Archives/edgar/data/1730168/000173016826000080/R17.htm</t>
        </is>
      </c>
    </row>
    <row r="52">
      <c r="A52" t="n">
        <v>9</v>
      </c>
      <c r="B52" s="44" t="inlineStr">
        <is>
          <t>Broadcom 10-Q R53: purchase commitments FY27 $52,674M, FY28 $72,952M, total $126,821M</t>
        </is>
      </c>
      <c r="C52" t="inlineStr">
        <is>
          <t>2026-09-10</t>
        </is>
      </c>
      <c r="D52" t="inlineStr">
        <is>
          <t>https://www.sec.gov/Archives/edgar/data/1730168/000173016826000080/R53.htm</t>
        </is>
      </c>
    </row>
    <row r="53">
      <c r="A53" t="n">
        <v>10</v>
      </c>
      <c r="B53" s="44" t="inlineStr">
        <is>
          <t>Broadcom 10-Q R54: guarantor maximum exposure $29,000M; note facility $42,000M; drawn $0; 5-year term</t>
        </is>
      </c>
      <c r="C53" t="inlineStr">
        <is>
          <t>2026-09-10</t>
        </is>
      </c>
      <c r="D53" t="inlineStr">
        <is>
          <t>https://www.sec.gov/Archives/edgar/data/1730168/000173016826000080/R54.htm</t>
        </is>
      </c>
    </row>
    <row r="54">
      <c r="A54" t="n">
        <v>11</v>
      </c>
      <c r="B54" s="44" t="inlineStr">
        <is>
          <t>Broadcom 10-Q main document: RPO ~$179.2B (~25% in 12 months); $10.1B buyback remaining; debt principal $61,079M</t>
        </is>
      </c>
      <c r="C54" t="inlineStr">
        <is>
          <t>2026-09-10</t>
        </is>
      </c>
      <c r="D54" t="inlineStr">
        <is>
          <t>https://www.sec.gov/Archives/edgar/data/1730168/000173016826000080/avgo-20260802.htm</t>
        </is>
      </c>
    </row>
    <row r="55">
      <c r="A55" t="n">
        <v>12</v>
      </c>
      <c r="B55" s="44" t="inlineStr">
        <is>
          <t>Broadcom 10-Q (quarter to 2026-05-03) R52: purchase commitments FY27 $55,214M, FY28 $72,870M</t>
        </is>
      </c>
      <c r="C55" t="inlineStr">
        <is>
          <t>period ended 2026-05-03</t>
        </is>
      </c>
      <c r="D55" t="inlineStr">
        <is>
          <t>https://www.sec.gov/Archives/edgar/data/1730168/000173016826000054/R52.htm</t>
        </is>
      </c>
    </row>
    <row r="56">
      <c r="A56" t="n">
        <v>13</v>
      </c>
      <c r="B56" s="44" t="inlineStr">
        <is>
          <t>Broadcom 10-Q (quarter to 2025-08-03) R59: purchase commitments total $235M</t>
        </is>
      </c>
      <c r="C56" t="inlineStr">
        <is>
          <t>period ended 2025-08-03</t>
        </is>
      </c>
      <c r="D56" t="inlineStr">
        <is>
          <t>https://www.sec.gov/Archives/edgar/data/1730168/000173016825000098/R59.htm</t>
        </is>
      </c>
    </row>
    <row r="57">
      <c r="A57" t="n">
        <v>14</v>
      </c>
      <c r="B57" s="44" t="inlineStr">
        <is>
          <t>Broadcom Q3 FY26 press release (8-K Ex.99.1): revenue $29,591M, non-GAAP op income $20,095M, non-GAAP interest $703M, other income $98M, non-GAAP NI $16,372M, FCF $13,665M; 9M FCF $31,937M, NI $38,631M</t>
        </is>
      </c>
      <c r="C57" t="inlineStr">
        <is>
          <t>2026-09-02</t>
        </is>
      </c>
      <c r="D57" t="inlineStr">
        <is>
          <t>https://www.sec.gov/Archives/edgar/data/1730168/000173016826000076/avgo-08022026x8kxex99.htm</t>
        </is>
      </c>
    </row>
    <row r="58">
      <c r="A58" t="n">
        <v>15</v>
      </c>
      <c r="B58" s="44" t="inlineStr">
        <is>
          <t>Broadcom Q2 FY26 press release (8-K Ex.99.1): revenue $22,187M, non-GAAP gross margin $17,109M</t>
        </is>
      </c>
      <c r="C58" t="inlineStr">
        <is>
          <t>2026-06-03</t>
        </is>
      </c>
      <c r="D58" t="inlineStr">
        <is>
          <t>https://www.sec.gov/Archives/edgar/data/1730168/000173016826000051/avgo-05032026x8kxex99.htm</t>
        </is>
      </c>
    </row>
    <row r="59">
      <c r="A59" t="n">
        <v>16</v>
      </c>
      <c r="B59" s="44" t="inlineStr">
        <is>
          <t>Broadcom Q3 FY26 earnings call transcript (Benzinga via Webull)</t>
        </is>
      </c>
      <c r="C59" t="inlineStr">
        <is>
          <t>2026-09-02</t>
        </is>
      </c>
      <c r="D59" t="inlineStr">
        <is>
          <t>https://www.webull.com/news/15511095937917952</t>
        </is>
      </c>
    </row>
    <row r="60">
      <c r="A60" t="n">
        <v>17</v>
      </c>
      <c r="B60" s="44" t="inlineStr">
        <is>
          <t>Broadcom Q3 FY26 earnings call transcript (Motley Fool)</t>
        </is>
      </c>
      <c r="C60" t="inlineStr">
        <is>
          <t>2026-09-02</t>
        </is>
      </c>
      <c r="D60" t="inlineStr">
        <is>
          <t>https://www.fool.com/earnings/call-transcripts/2026/09/09/broadcom-avgo-q3-2026-earnings-call-transcript/</t>
        </is>
      </c>
    </row>
    <row r="61">
      <c r="A61" t="n">
        <v>18</v>
      </c>
      <c r="B61" s="44" t="inlineStr">
        <is>
          <t>Yahoo Finance AVGO analysis (FY27 EPS $19.39, 48 analysts; earnings history)</t>
        </is>
      </c>
      <c r="C61" t="inlineStr">
        <is>
          <t>2026-10-06</t>
        </is>
      </c>
      <c r="D61" t="inlineStr">
        <is>
          <t>https://finance.yahoo.com/quote/AVGO/analysis/</t>
        </is>
      </c>
    </row>
    <row r="62">
      <c r="A62" t="n">
        <v>19</v>
      </c>
      <c r="B62" s="44" t="inlineStr">
        <is>
          <t>TSMC IR quarterly results: Q3 2026 conference Thu 2026-10-15</t>
        </is>
      </c>
      <c r="C62" t="inlineStr">
        <is>
          <t>2026-10-06</t>
        </is>
      </c>
      <c r="D62" t="inlineStr">
        <is>
          <t>https://investor.tsmc.com/english/quarterly-results</t>
        </is>
      </c>
    </row>
    <row r="63">
      <c r="A63" t="n">
        <v>20</v>
      </c>
      <c r="B63" s="44" t="inlineStr">
        <is>
          <t>House view: AI data-center capex across NVIDIA customer groups 2026-2028</t>
        </is>
      </c>
      <c r="C63" t="inlineStr">
        <is>
          <t>2026-10-05</t>
        </is>
      </c>
      <c r="D63" t="inlineStr">
        <is>
          <t>/mnt/project-files/adhoc/nvda_customer_capex.md</t>
        </is>
      </c>
    </row>
    <row r="64">
      <c r="A64" t="n">
        <v>21</v>
      </c>
      <c r="B64" s="44" t="inlineStr">
        <is>
          <t>AVGO daily OHLCV (52-week low 289.96 intraday / 293.41 close on 2026-03-30; 1-year realized vol 47.0%)</t>
        </is>
      </c>
      <c r="C64" t="inlineStr">
        <is>
          <t>2026-10-02</t>
        </is>
      </c>
      <c r="D64" t="inlineStr">
        <is>
          <t>/mnt/project-files/valuation/data/daily_AVGO.csv</t>
        </is>
      </c>
    </row>
    <row r="65">
      <c r="A65" t="n">
        <v>22</v>
      </c>
      <c r="B65" s="44" t="inlineStr">
        <is>
          <t>US Treasury daily par yield curve CSV 2026 (10/05/2026: 10 Yr 5.31, 3 Mo 4.22)</t>
        </is>
      </c>
      <c r="C65" t="inlineStr">
        <is>
          <t>2026-10-05</t>
        </is>
      </c>
      <c r="D65" t="inlineStr">
        <is>
          <t>https://home.treasury.gov/resource-center/data-chart-center/interest-rates/daily-treasury-rates.csv/2026/all?type=daily_treasury_yield_curve&amp;field_tdr_date_value=2026&amp;page&amp;_format=csv</t>
        </is>
      </c>
    </row>
    <row r="66">
      <c r="A66" t="n">
        <v>23</v>
      </c>
      <c r="B66" s="44" t="inlineStr">
        <is>
          <t>Damodaran Online: implied ERP on October 1, 2026 = 4.20% (trailing 12m, adjusted payout); T-bond 5.29%</t>
        </is>
      </c>
      <c r="C66" t="inlineStr">
        <is>
          <t>2026-10-01</t>
        </is>
      </c>
      <c r="D66" t="inlineStr">
        <is>
          <t>https://pages.stern.nyu.edu/~adamodar/New_Home_Page/home.htm</t>
        </is>
      </c>
    </row>
    <row r="67">
      <c r="A67" t="n">
        <v>24</v>
      </c>
      <c r="B67" s="44" t="inlineStr">
        <is>
          <t>StockAnalysis AVGO statistics (Beta 5Y 1.48; total debt $59.42B; cash $23.98B; EV/EBITDA 33.79)</t>
        </is>
      </c>
      <c r="C67" t="inlineStr">
        <is>
          <t>2026-10-06</t>
        </is>
      </c>
      <c r="D67" t="inlineStr">
        <is>
          <t>https://stockanalysis.com/stocks/avgo/statistics/</t>
        </is>
      </c>
    </row>
    <row r="68">
      <c r="A68" t="n">
        <v>25</v>
      </c>
      <c r="B68" s="44" t="inlineStr">
        <is>
          <t>Finviz screener valuation table (Forward P/E, EPS next Y) for AVGO and peers</t>
        </is>
      </c>
      <c r="C68" t="inlineStr">
        <is>
          <t>2026-10-06</t>
        </is>
      </c>
      <c r="D68" t="inlineStr">
        <is>
          <t>https://finviz.com/screener.ashx?v=121&amp;t=AVGO,NVDA,AMD,MRVL,TSM,ANET,ALAB,CRDO,QCOM,COHR,CSCO,ADI,ARM,MU</t>
        </is>
      </c>
    </row>
    <row r="69">
      <c r="A69" t="n">
        <v>26</v>
      </c>
      <c r="B69" s="44" t="inlineStr">
        <is>
          <t>StockAnalysis CSCO forecast (FY27 to Jul-2027 EPS 5.15)</t>
        </is>
      </c>
      <c r="C69" t="inlineStr">
        <is>
          <t>2026-10-06</t>
        </is>
      </c>
      <c r="D69" t="inlineStr">
        <is>
          <t>https://stockanalysis.com/stocks/csco/forecast/</t>
        </is>
      </c>
    </row>
    <row r="70">
      <c r="A70" t="n">
        <v>27</v>
      </c>
      <c r="B70" s="44" t="inlineStr">
        <is>
          <t>StockAnalysis COHR forecast (FY27 to Jun-2027 EPS 9.42)</t>
        </is>
      </c>
      <c r="C70" t="inlineStr">
        <is>
          <t>2026-10-06</t>
        </is>
      </c>
      <c r="D70" t="inlineStr">
        <is>
          <t>https://stockanalysis.com/stocks/cohr/forecast/</t>
        </is>
      </c>
    </row>
    <row r="71">
      <c r="A71" t="n">
        <v>28</v>
      </c>
      <c r="B71" s="44" t="inlineStr">
        <is>
          <t>StockAnalysis CRDO forecast (FY27 to Apr-2027 EPS 6.31)</t>
        </is>
      </c>
      <c r="C71" t="inlineStr">
        <is>
          <t>2026-10-06</t>
        </is>
      </c>
      <c r="D71" t="inlineStr">
        <is>
          <t>https://stockanalysis.com/stocks/crdo/forecast/</t>
        </is>
      </c>
    </row>
    <row r="72">
      <c r="A72" t="n">
        <v>29</v>
      </c>
      <c r="B72" s="44" t="inlineStr">
        <is>
          <t>Broadcom 10-Q (quarter to 2026-08-02) R17: Backstop ~$29B max undiscounted, 85%, 5-year leases; $42B convertible-note facility, none issued</t>
        </is>
      </c>
      <c r="C72" t="inlineStr">
        <is>
          <t>2026-09-10</t>
        </is>
      </c>
      <c r="D72" t="inlineStr">
        <is>
          <t>https://www.sec.gov/Archives/edgar/data/1730168/000173016826000080/R17.htm</t>
        </is>
      </c>
    </row>
    <row r="73">
      <c r="A73" t="n">
        <v>30</v>
      </c>
      <c r="B73" s="44" t="inlineStr">
        <is>
          <t>Broadcom 10-Q R53: purchase commitments FY27 $52,674M, FY28 $72,952M, total $126,821M</t>
        </is>
      </c>
      <c r="C73" t="inlineStr">
        <is>
          <t>2026-09-10</t>
        </is>
      </c>
      <c r="D73" t="inlineStr">
        <is>
          <t>https://www.sec.gov/Archives/edgar/data/1730168/000173016826000080/R53.htm</t>
        </is>
      </c>
    </row>
    <row r="74">
      <c r="A74" t="n">
        <v>31</v>
      </c>
      <c r="B74" s="44" t="inlineStr">
        <is>
          <t>Broadcom 10-Q R54: guarantor maximum exposure $29,000M; note facility $42,000M; drawn $0; 5-year term</t>
        </is>
      </c>
      <c r="C74" t="inlineStr">
        <is>
          <t>2026-09-10</t>
        </is>
      </c>
      <c r="D74" t="inlineStr">
        <is>
          <t>https://www.sec.gov/Archives/edgar/data/1730168/000173016826000080/R54.htm</t>
        </is>
      </c>
    </row>
    <row r="75">
      <c r="A75" t="n">
        <v>32</v>
      </c>
      <c r="B75" s="44" t="inlineStr">
        <is>
          <t>Broadcom 10-Q main document: RPO ~$179.2B (~25% in 12 months); $10.1B buyback remaining; debt principal $61,079M</t>
        </is>
      </c>
      <c r="C75" t="inlineStr">
        <is>
          <t>2026-09-10</t>
        </is>
      </c>
      <c r="D75" t="inlineStr">
        <is>
          <t>https://www.sec.gov/Archives/edgar/data/1730168/000173016826000080/avgo-20260802.htm</t>
        </is>
      </c>
    </row>
    <row r="76">
      <c r="A76" t="n">
        <v>33</v>
      </c>
      <c r="B76" s="44" t="inlineStr">
        <is>
          <t>Broadcom 10-Q (quarter to 2026-05-03) R52: purchase commitments FY27 $55,214M, FY28 $72,870M</t>
        </is>
      </c>
      <c r="C76" t="inlineStr">
        <is>
          <t>period ended 2026-05-03</t>
        </is>
      </c>
      <c r="D76" t="inlineStr">
        <is>
          <t>https://www.sec.gov/Archives/edgar/data/1730168/000173016826000054/R52.htm</t>
        </is>
      </c>
    </row>
    <row r="77">
      <c r="A77" t="n">
        <v>34</v>
      </c>
      <c r="B77" s="44" t="inlineStr">
        <is>
          <t>Broadcom 10-Q (quarter to 2025-08-03) R59: purchase commitments total $235M</t>
        </is>
      </c>
      <c r="C77" t="inlineStr">
        <is>
          <t>period ended 2025-08-03</t>
        </is>
      </c>
      <c r="D77" t="inlineStr">
        <is>
          <t>https://www.sec.gov/Archives/edgar/data/1730168/000173016825000098/R59.htm</t>
        </is>
      </c>
    </row>
    <row r="78">
      <c r="A78" t="n">
        <v>35</v>
      </c>
      <c r="B78" s="44" t="inlineStr">
        <is>
          <t>Broadcom Q3 FY26 press release (8-K Ex.99.1): revenue $29,591M, non-GAAP op income $20,095M, non-GAAP interest $703M, other income $98M, non-GAAP NI $16,372M, FCF $13,665M; 9M FCF $31,937M, NI $38,631M</t>
        </is>
      </c>
      <c r="C78" t="inlineStr">
        <is>
          <t>2026-09-02</t>
        </is>
      </c>
      <c r="D78" t="inlineStr">
        <is>
          <t>https://www.sec.gov/Archives/edgar/data/1730168/000173016826000076/avgo-08022026x8kxex99.htm</t>
        </is>
      </c>
    </row>
    <row r="79">
      <c r="A79" t="n">
        <v>36</v>
      </c>
      <c r="B79" s="44" t="inlineStr">
        <is>
          <t>Broadcom Q2 FY26 press release (8-K Ex.99.1): revenue $22,187M, non-GAAP gross margin $17,109M</t>
        </is>
      </c>
      <c r="C79" t="inlineStr">
        <is>
          <t>2026-06-03</t>
        </is>
      </c>
      <c r="D79" t="inlineStr">
        <is>
          <t>https://www.sec.gov/Archives/edgar/data/1730168/000173016826000051/avgo-05032026x8kxex99.htm</t>
        </is>
      </c>
    </row>
    <row r="80">
      <c r="A80" t="n">
        <v>37</v>
      </c>
      <c r="B80" s="44" t="inlineStr">
        <is>
          <t>Broadcom Q3 FY26 earnings call transcript (Benzinga via Webull)</t>
        </is>
      </c>
      <c r="C80" t="inlineStr">
        <is>
          <t>2026-09-02</t>
        </is>
      </c>
      <c r="D80" t="inlineStr">
        <is>
          <t>https://www.webull.com/news/15511095937917952</t>
        </is>
      </c>
    </row>
    <row r="81">
      <c r="A81" t="n">
        <v>38</v>
      </c>
      <c r="B81" s="44" t="inlineStr">
        <is>
          <t>Broadcom Q3 FY26 earnings call transcript (Motley Fool)</t>
        </is>
      </c>
      <c r="C81" t="inlineStr">
        <is>
          <t>2026-09-02</t>
        </is>
      </c>
      <c r="D81" t="inlineStr">
        <is>
          <t>https://www.fool.com/earnings/call-transcripts/2026/09/09/broadcom-avgo-q3-2026-earnings-call-transcript/</t>
        </is>
      </c>
    </row>
    <row r="82">
      <c r="A82" t="n">
        <v>39</v>
      </c>
      <c r="B82" s="44" t="inlineStr">
        <is>
          <t>Yahoo Finance AVGO analysis (FY27 EPS $19.39, 48 analysts; earnings history)</t>
        </is>
      </c>
      <c r="C82" t="inlineStr">
        <is>
          <t>2026-10-06</t>
        </is>
      </c>
      <c r="D82" t="inlineStr">
        <is>
          <t>https://finance.yahoo.com/quote/AVGO/analysis/</t>
        </is>
      </c>
    </row>
    <row r="83">
      <c r="A83" t="n">
        <v>40</v>
      </c>
      <c r="B83" s="44" t="inlineStr">
        <is>
          <t>TSMC IR quarterly results: Q3 2026 conference Thu 2026-10-15</t>
        </is>
      </c>
      <c r="C83" t="inlineStr">
        <is>
          <t>2026-10-06</t>
        </is>
      </c>
      <c r="D83" t="inlineStr">
        <is>
          <t>https://investor.tsmc.com/english/quarterly-results</t>
        </is>
      </c>
    </row>
    <row r="84">
      <c r="A84" t="n">
        <v>41</v>
      </c>
      <c r="B84" s="44" t="inlineStr">
        <is>
          <t>House view: AI data-center capex across NVIDIA customer groups 2026-2028</t>
        </is>
      </c>
      <c r="C84" t="inlineStr">
        <is>
          <t>2026-10-05</t>
        </is>
      </c>
      <c r="D84" t="inlineStr">
        <is>
          <t>/mnt/project-files/adhoc/nvda_customer_capex.md</t>
        </is>
      </c>
    </row>
    <row r="85">
      <c r="A85" t="n">
        <v>42</v>
      </c>
      <c r="B85" s="44" t="inlineStr">
        <is>
          <t>AVGO daily OHLCV (52-week low 289.96 intraday / 293.41 close on 2026-03-30; 1-year realized vol 47.0%)</t>
        </is>
      </c>
      <c r="C85" t="inlineStr">
        <is>
          <t>2026-10-02</t>
        </is>
      </c>
      <c r="D85" t="inlineStr">
        <is>
          <t>/mnt/project-files/valuation/data/daily_AVGO.csv</t>
        </is>
      </c>
    </row>
    <row r="86">
      <c r="A86" t="n">
        <v>43</v>
      </c>
      <c r="B86" s="44" t="inlineStr">
        <is>
          <t>Broadcom 10-Q (quarter to 2026-08-02) R52: segment net revenue and operating income (Semiconductor solutions 20,839 / 12,770; Infrastructure software 8,752 / 7,325; 9M 48,363 / 29,554 and 22,726 / 18,295)</t>
        </is>
      </c>
      <c r="C86" t="inlineStr">
        <is>
          <t>2026-09-10</t>
        </is>
      </c>
      <c r="D86" t="inlineStr">
        <is>
          <t>https://www.sec.gov/Archives/edgar/data/1730168/000173016826000080/R52.htm</t>
        </is>
      </c>
    </row>
    <row r="87">
      <c r="A87" t="n">
        <v>44</v>
      </c>
      <c r="B87" s="44" t="inlineStr">
        <is>
          <t>Reuters via The Star: Broadcom to lend Anthropic up to $42B (convertible notes) to lease its chips; ~a third of a $125.2B five-year TPU lease commitment; no notes before the IPO</t>
        </is>
      </c>
      <c r="C87" t="inlineStr">
        <is>
          <t>2026-10-01</t>
        </is>
      </c>
      <c r="D87" t="inlineStr">
        <is>
          <t>https://www.thestar.com.my/tech/tech-news/2026/10/01/exclusive-broadcom-to-lend-anthropic-up-to-42-billion-to-lease-its-chips-filing-says</t>
        </is>
      </c>
    </row>
    <row r="88">
      <c r="A88" t="n">
        <v>45</v>
      </c>
      <c r="B88" s="44" t="inlineStr">
        <is>
          <t>Yahoo Finance (TIKR): Broadcom arranging &gt;$50B so OpenAI can buy its chips (WSJ); FT: Anthropic package $42B senior backed by Broadcom + $18B junior without its guarantee; OpenAI $18B financing snag in May (The Information); $35B XPV tranche in June</t>
        </is>
      </c>
      <c r="C88" t="inlineStr">
        <is>
          <t>2026-10-08</t>
        </is>
      </c>
      <c r="D88" t="inlineStr">
        <is>
          <t>https://finance.yahoo.com/technology/ai/articles/broadcom-arranging-50-billion-openai-060941579.html</t>
        </is>
      </c>
    </row>
    <row r="89">
      <c r="A89" t="n">
        <v>46</v>
      </c>
      <c r="B89" s="44" t="inlineStr">
        <is>
          <t>Yahoo Finance (Quartz): Broadcom raises $60B in debt to fund Anthropic AI chips: $42B Class A senior-secured, $18B Class B junior led by Blackstone ($9B own capital)</t>
        </is>
      </c>
      <c r="C89" t="inlineStr">
        <is>
          <t>2026-10-02</t>
        </is>
      </c>
      <c r="D89" t="inlineStr">
        <is>
          <t>https://finance.yahoo.com/technology/ai/articles/broadcom-raises-60-billion-debt-113047288.html</t>
        </is>
      </c>
    </row>
    <row r="90">
      <c r="A90" t="n">
        <v>47</v>
      </c>
      <c r="B90" s="44" t="inlineStr">
        <is>
          <t>StreetSignal: Broadcom's most important earnings-call exchanges (Rasgon: '$11 and $12 billion per gigawatt', ~10 GW in 2027 and ~20 GW in 2028; Tan: content $20-30B per GW, ~$350B over FY27-FY28)</t>
        </is>
      </c>
      <c r="C90" t="inlineStr">
        <is>
          <t>2026-09-02</t>
        </is>
      </c>
      <c r="D90" t="inlineStr">
        <is>
          <t>https://streetsignal.substack.com/p/streetsignals-five-broadcoms-most</t>
        </is>
      </c>
    </row>
    <row r="91">
      <c r="A91" t="n">
        <v>48</v>
      </c>
      <c r="B91" s="44" t="inlineStr">
        <is>
          <t>Yahoo Finance: Anthropic deal with Google and Broadcom (~3.5 GW of TPU capacity from 2027); Mizuho puts Broadcom AI revenue from Anthropic at $21B (2026) and $42B (2027)</t>
        </is>
      </c>
      <c r="C91" t="inlineStr">
        <is>
          <t>2026-04-07</t>
        </is>
      </c>
      <c r="D91" t="inlineStr">
        <is>
          <t>https://finance.yahoo.com/sectors/technology/articles/anthropic-google-broadcom-tpu-deal-113234906.html</t>
        </is>
      </c>
    </row>
    <row r="92">
      <c r="A92" t="n">
        <v>49</v>
      </c>
      <c r="B92" s="44" t="inlineStr">
        <is>
          <t>LegalClarity: S&amp;P Global Ratings 2024 Annual Global Corporate Default and Rating Transition Study (1981-2024) five-year cumulative default rates BBB 1.09%, BB 5.05%, B 14.69%</t>
        </is>
      </c>
      <c r="C92" t="inlineStr">
        <is>
          <t>2026-10-20</t>
        </is>
      </c>
      <c r="D92" t="inlineStr">
        <is>
          <t>https://legalclarity.org/historical-default-rates-by-credit-rating/</t>
        </is>
      </c>
    </row>
    <row r="93">
      <c r="A93" t="n">
        <v>50</v>
      </c>
      <c r="B93" s="44" t="inlineStr">
        <is>
          <t>Seoul Economic Daily: Anthropic offers 10% coupon on the $18B subordinated tranche vs ~7% for similar credits (ICE BofA BB US High Yield); $42B senior tranche guaranteed by Broadcom</t>
        </is>
      </c>
      <c r="C93" t="inlineStr">
        <is>
          <t>2026-10-19</t>
        </is>
      </c>
      <c r="D93" t="inlineStr">
        <is>
          <t>https://en.sedaily.com/international/2026/10/19/anthropic-offers-10-percent-yield-on-subordinated-debt-for</t>
        </is>
      </c>
    </row>
    <row r="94">
      <c r="A94" t="n">
        <v>51</v>
      </c>
      <c r="B94" s="44" t="inlineStr">
        <is>
          <t>Reuters via Investing.com: Anthropic Q3 revenue $16.8B (+45% q/q), profitable on an adjusted basis; investors discuss ~$1.5T IPO value; listing planned for November</t>
        </is>
      </c>
      <c r="C94" t="inlineStr">
        <is>
          <t>2026-10-15</t>
        </is>
      </c>
      <c r="D94" t="inlineStr">
        <is>
          <t>https://www.investing.com/news/stock-market-news/some-investors-push-anthropic-to-cut-ipo-valuation-to-15-trillion--report-4952696</t>
        </is>
      </c>
    </row>
    <row r="95">
      <c r="A95" t="n">
        <v>52</v>
      </c>
      <c r="B95" s="44" t="inlineStr">
        <is>
          <t>Yahoo Finance (FT): OpenAI annualized revenue 'approaching $50 billion at the end of September', below the ~$70B reported earlier</t>
        </is>
      </c>
      <c r="C95" t="inlineStr">
        <is>
          <t>2026-10-08</t>
        </is>
      </c>
      <c r="D95" t="inlineStr">
        <is>
          <t>https://finance.yahoo.com/technology/ai/articles/openai-revenue-20b-below-previous-181839907.html</t>
        </is>
      </c>
    </row>
    <row r="96">
      <c r="A96" t="n">
        <v>53</v>
      </c>
      <c r="B96" s="44" t="inlineStr">
        <is>
          <t>CISPE: competition complaint against Broadcom filed with DG Competition (VMware VCSP program termination; interim measures and fines sought; cost increases &gt;1,000%)</t>
        </is>
      </c>
      <c r="C96" t="inlineStr">
        <is>
          <t>2026-03-19</t>
        </is>
      </c>
      <c r="D96" t="inlineStr">
        <is>
          <t>https://www.cispe.cloud/?p=25724</t>
        </is>
      </c>
    </row>
    <row r="97">
      <c r="A97" t="n">
        <v>54</v>
      </c>
      <c r="B97" s="44" t="inlineStr">
        <is>
          <t>MarketScreener Broadcom finances: estimates FY2026-FY2028 (net sales 105,978 / 173,968 / 271,925; EBIT margin 67.00% / 66.65% / 67.30%; capex 1,817 / 2,506 / 2,055; DPS 2.599 / 2.997 / 3.225); last close $334.59</t>
        </is>
      </c>
      <c r="C97" t="inlineStr">
        <is>
          <t>2026-10-19</t>
        </is>
      </c>
      <c r="D97" t="inlineStr">
        <is>
          <t>https://www.marketscreener.com/quote/stock/BROADCOM-INC-164566206/finances/</t>
        </is>
      </c>
    </row>
    <row r="98">
      <c r="A98" t="n">
        <v>55</v>
      </c>
      <c r="B98" s="44" t="inlineStr">
        <is>
          <t>SEC XBRL companyfacts, Broadcom (CIK 1730168): Depreciation 9M FY26 $484M; ShareBasedCompensation; unrecognized compensation cost $18,221M at 2026-08-02; AccountsReceivableNetCurrent $13,707M; InventoryNet $4,523M; tax-withholding payments $0 in 9M FY26</t>
        </is>
      </c>
      <c r="C98" t="inlineStr">
        <is>
          <t>2026-10-20</t>
        </is>
      </c>
      <c r="D98" t="inlineStr">
        <is>
          <t>https://data.sec.gov/api/xbrl/companyfacts/CIK0001730168.json</t>
        </is>
      </c>
    </row>
    <row r="99">
      <c r="A99" t="n">
        <v>56</v>
      </c>
      <c r="B99" s="44" t="inlineStr">
        <is>
          <t>Broadcom 10-Q (quarter to 2026-08-02) R55: dividend $0.65 per share declared 2026-09-01, paid 2026-09-30</t>
        </is>
      </c>
      <c r="C99" t="inlineStr">
        <is>
          <t>2026-09-10</t>
        </is>
      </c>
      <c r="D99" t="inlineStr">
        <is>
          <t>https://www.sec.gov/Archives/edgar/data/1730168/000173016826000080/R55.htm</t>
        </is>
      </c>
    </row>
    <row r="100">
      <c r="A100" t="n">
        <v>57</v>
      </c>
      <c r="B100" s="44" t="inlineStr">
        <is>
          <t>European Commission competition policy, fines: 'The fine must not exceed 10% of the undertaking's total turnover generated in the business year preceding the decision' (Regulation 1/2003, Art. 23(2))</t>
        </is>
      </c>
      <c r="C100" t="inlineStr">
        <is>
          <t>2026-10-20</t>
        </is>
      </c>
      <c r="D100" t="inlineStr">
        <is>
          <t>https://competition-policy.ec.europa.eu/index/fines_en</t>
        </is>
      </c>
    </row>
    <row r="101">
      <c r="A101" t="n">
        <v>58</v>
      </c>
      <c r="B101" s="44" t="inlineStr">
        <is>
          <t>Yahoo Finance AVGO analysis, re-opened 2026-10-20 (FY2027 EPS avg $19.40, 48 analysts; FY2027 revenue $173.97B, 49 analysts)</t>
        </is>
      </c>
      <c r="C101" t="inlineStr">
        <is>
          <t>2026-10-20</t>
        </is>
      </c>
      <c r="D101" t="inlineStr">
        <is>
          <t>https://finance.yahoo.com/quote/AVGO/analysis/</t>
        </is>
      </c>
    </row>
    <row r="102">
      <c r="A102" t="n">
        <v>59</v>
      </c>
      <c r="B102" s="44" t="inlineStr">
        <is>
          <t>Broadcom 8-K Ex.99.1 Q4 FY24 release: Q1 FY25 guide revenue ~$14.6B, adj. EBITDA ~66%</t>
        </is>
      </c>
      <c r="C102" t="inlineStr">
        <is>
          <t>2024-12-12</t>
        </is>
      </c>
      <c r="D102" t="inlineStr">
        <is>
          <t>https://www.sec.gov/Archives/edgar/data/1730168/000173016824000125/avgo-11032024x8kxex99.htm</t>
        </is>
      </c>
    </row>
    <row r="103">
      <c r="A103" t="n">
        <v>60</v>
      </c>
      <c r="B103" s="44" t="inlineStr">
        <is>
          <t>Broadcom 8-K Ex.99.1 Q1 FY25 release: AI $4.1B; adj. EBITDA $10,083M; Q2 guide revenue ~$14.9B, AI $4.4B, EBITDA ~66%</t>
        </is>
      </c>
      <c r="C103" t="inlineStr">
        <is>
          <t>2025-03-06</t>
        </is>
      </c>
      <c r="D103" t="inlineStr">
        <is>
          <t>https://www.sec.gov/Archives/edgar/data/1730168/000173016825000009/avgo-02022025x8kxex99.htm</t>
        </is>
      </c>
    </row>
    <row r="104">
      <c r="A104" t="n">
        <v>61</v>
      </c>
      <c r="B104" s="44" t="inlineStr">
        <is>
          <t>Broadcom 8-K Ex.99.1 Q2 FY25 release: AI over $4.4B; adj. EBITDA $10,001M; Q3 guide revenue ~$15.8B, AI $5.1B, EBITDA at least 66%</t>
        </is>
      </c>
      <c r="C104" t="inlineStr">
        <is>
          <t>2025-06-05</t>
        </is>
      </c>
      <c r="D104" t="inlineStr">
        <is>
          <t>https://www.sec.gov/Archives/edgar/data/1730168/000173016825000061/avgo-05042025x8kxex99.htm</t>
        </is>
      </c>
    </row>
    <row r="105">
      <c r="A105" t="n">
        <v>62</v>
      </c>
      <c r="B105" s="44" t="inlineStr">
        <is>
          <t>Broadcom 8-K Ex.99.1 Q3 FY25 release: AI $5.2B; adj. EBITDA $10,702M; Q4 guide revenue ~$17.4B, AI $6.2B, EBITDA 67%</t>
        </is>
      </c>
      <c r="C105" t="inlineStr">
        <is>
          <t>2025-09-04</t>
        </is>
      </c>
      <c r="D105" t="inlineStr">
        <is>
          <t>https://www.sec.gov/Archives/edgar/data/1730168/000173016825000094/avgo-08032025x8kxex99.htm</t>
        </is>
      </c>
    </row>
    <row r="106">
      <c r="A106" t="n">
        <v>63</v>
      </c>
      <c r="B106" s="44" t="inlineStr">
        <is>
          <t>Broadcom 8-K Ex.99.1 Q4 FY25 release: revenue $18.0B, AI +74% y/y; adj. EBITDA $12,218M; Q1 FY26 guide revenue ~$19.1B, AI $8.2B, EBITDA 67%</t>
        </is>
      </c>
      <c r="C106" t="inlineStr">
        <is>
          <t>2025-12-11</t>
        </is>
      </c>
      <c r="D106" t="inlineStr">
        <is>
          <t>https://www.sec.gov/Archives/edgar/data/1730168/000173016825000116/avgo-11022025x8kxex99.htm</t>
        </is>
      </c>
    </row>
    <row r="107">
      <c r="A107" t="n">
        <v>64</v>
      </c>
      <c r="B107" s="44" t="inlineStr">
        <is>
          <t>Broadcom 8-K Ex.99.1 Q1 FY26 release: AI $8.4B; adj. EBITDA $13,128M; Q2 guide revenue ~$22.0B, AI $10.7B, EBITDA ~68%</t>
        </is>
      </c>
      <c r="C107" t="inlineStr">
        <is>
          <t>2026-03-04</t>
        </is>
      </c>
      <c r="D107" t="inlineStr">
        <is>
          <t>https://www.sec.gov/Archives/edgar/data/1730168/000173016826000011/avgo-02012026x8kxex99.htm</t>
        </is>
      </c>
    </row>
    <row r="108">
      <c r="A108" t="n">
        <v>65</v>
      </c>
      <c r="B108" s="44" t="inlineStr">
        <is>
          <t>Broadcom 8-K Ex.99.1 Q2 FY26 release: AI $10.8B; adj. EBITDA $15,244M; Q3 guide revenue ~$29.4B, AI $16.0B, non-GAAP op margin ~67%</t>
        </is>
      </c>
      <c r="C108" t="inlineStr">
        <is>
          <t>2026-06-03</t>
        </is>
      </c>
      <c r="D108" t="inlineStr">
        <is>
          <t>https://www.sec.gov/Archives/edgar/data/1730168/000173016826000051/avgo-05032026x8kxex99.htm</t>
        </is>
      </c>
    </row>
    <row r="109">
      <c r="A109" t="n">
        <v>66</v>
      </c>
      <c r="B109" s="44" t="inlineStr">
        <is>
          <t>Broadcom 8-K Ex.99.1 Q3 FY26 release: AI $16.7B (+221% y/y); Q4 guide revenue ~$34.8B, AI $21.7B (+236% y/y), non-GAAP op margin ~66%</t>
        </is>
      </c>
      <c r="C109" t="inlineStr">
        <is>
          <t>2026-09-02</t>
        </is>
      </c>
      <c r="D109" t="inlineStr">
        <is>
          <t>https://www.sec.gov/Archives/edgar/data/1730168/000173016826000076/avgo-08022026x8kxex99.htm</t>
        </is>
      </c>
    </row>
    <row r="110">
      <c r="A110" t="n">
        <v>67</v>
      </c>
      <c r="B110" s="44" t="inlineStr">
        <is>
          <t>Broadcom 8-K Item 2.03 (filed 2026-10-27): residual value support ('Backstop') to a new SPV for an AI-rack lease to 'the Company's customer'; liability = 72.5% of lease amounts owed less rack value; maximum ~$43B undiscounted on deployment</t>
        </is>
      </c>
      <c r="C110" t="inlineStr">
        <is>
          <t>2026-10-27</t>
        </is>
      </c>
      <c r="D110" t="inlineStr">
        <is>
          <t>https://www.sec.gov/Archives/edgar/data/1730168/000119312526434271/d148323d8k.htm</t>
        </is>
      </c>
    </row>
    <row r="111">
      <c r="A111" t="n">
        <v>68</v>
      </c>
      <c r="B111" s="44" t="inlineStr">
        <is>
          <t>Broadcom 10-K / 10-Q XBRL instances, segment table (StatementBusinessSegmentsAxis: SemiconductorSolutions / InfrastructureSoftware revenue and operating income), ShareBasedCompensation, PaymentsToAcquirePropertyPlantAndEquipment: accessions 0001730168-25-000021, -25-000064, -25-000098, -25-000121 (10-K FY25), -26-000016, -26-000054, -26-000080</t>
        </is>
      </c>
      <c r="C111" t="inlineStr">
        <is>
          <t>2026-09-10</t>
        </is>
      </c>
      <c r="D111" t="inlineStr">
        <is>
          <t>https://www.sec.gov/Archives/edgar/data/1730168/000173016826000080/avgo-20260802_htm.xml</t>
        </is>
      </c>
    </row>
    <row r="112">
      <c r="A112" t="n">
        <v>69</v>
      </c>
      <c r="B112" s="44" t="inlineStr">
        <is>
          <t>Nasdaq.com analyst earnings forecast (Zacks consensus EPS, SBC expensed): AVGO Q4 FY26 (Oct 2026) $3.45 (10 est.), Q1 FY27 $3.66, FY26 $10.37, FY27 $17.45 (14), FY28 $28.08 (3); saved data/estimates/AVGO.json</t>
        </is>
      </c>
      <c r="C112" t="inlineStr">
        <is>
          <t>2026-10-30</t>
        </is>
      </c>
      <c r="D112" t="inlineStr">
        <is>
          <t>https://api.nasdaq.com/api/analyst/AVGO/earnings-forecast</t>
        </is>
      </c>
    </row>
    <row r="113">
      <c r="A113" t="n">
        <v>70</v>
      </c>
      <c r="B113" s="44" t="inlineStr">
        <is>
          <t>Nasdaq.com earnings surprise (Zacks reported vs consensus): Q4 FY25 1.61 vs 1.49, Q1 FY26 1.76 vs 1.67, Q2 FY26 2.17 vs 2.02, Q3 FY26 3.03 vs 2.83</t>
        </is>
      </c>
      <c r="C113" t="inlineStr">
        <is>
          <t>2026-10-30</t>
        </is>
      </c>
      <c r="D113" t="inlineStr">
        <is>
          <t>https://api.nasdaq.com/api/company/AVGO/earnings-surprise</t>
        </is>
      </c>
    </row>
    <row r="114">
      <c r="A114" t="n">
        <v>71</v>
      </c>
      <c r="B114" s="44" t="inlineStr">
        <is>
          <t>peers.py table runs/2026-10-29/AVGO/peers.md (Zacks consensus by fiscal year, calendar NTM, last close)</t>
        </is>
      </c>
      <c r="C114" t="inlineStr">
        <is>
          <t>2026-10-30</t>
        </is>
      </c>
      <c r="D114" t="inlineStr">
        <is>
          <t>/mnt/project-files/valuation/runs/2026-10-29/AVGO/peers.md</t>
        </is>
      </c>
    </row>
    <row r="115">
      <c r="A115" t="n">
        <v>72</v>
      </c>
      <c r="B115" s="44" t="inlineStr">
        <is>
          <t>Twelve Data quotes MRVL / ADI / COHR (previous_close = 2026-10-29 close: 218.34 / 433.28 / 237.22)</t>
        </is>
      </c>
      <c r="C115" t="inlineStr">
        <is>
          <t>2026-10-30</t>
        </is>
      </c>
      <c r="D115" t="inlineStr">
        <is>
          <t>https://twelvedata.com</t>
        </is>
      </c>
    </row>
    <row r="116">
      <c r="A116" t="n">
        <v>73</v>
      </c>
      <c r="B116" s="44" t="inlineStr">
        <is>
          <t>data/daily_SYM.csv (Twelve Data daily closes; 2026-10-29: AVGO 345.00, NVDA 213.66, AMD 566.42, TSM 431.81, ANET 184.22, QCOM 185.41, TXN 312.94, CRDO 165.29, ALAB 290.43)</t>
        </is>
      </c>
      <c r="C116" t="inlineStr">
        <is>
          <t>2026-10-29</t>
        </is>
      </c>
      <c r="D116" t="inlineStr">
        <is>
          <t>/mnt/project-files/valuation/data/</t>
        </is>
      </c>
    </row>
    <row r="117">
      <c r="A117" t="n">
        <v>74</v>
      </c>
      <c r="B117" s="44" t="inlineStr">
        <is>
          <t>Nasdaq.com Zacks consensus EPS by fiscal year for the 11 peers (data/estimates/SYM.json, saved 2026-10-30 by nasdaq_est.py)</t>
        </is>
      </c>
      <c r="C117" t="inlineStr">
        <is>
          <t>2026-10-30</t>
        </is>
      </c>
      <c r="D117" t="inlineStr">
        <is>
          <t>https://api.nasdaq.com/api/analyst/NVDA/earnings-forecast</t>
        </is>
      </c>
    </row>
    <row r="119">
      <c r="A119" s="3" t="inlineStr">
        <is>
          <t>Fact id</t>
        </is>
      </c>
      <c r="B119" s="3" t="inlineStr">
        <is>
          <t>Figure</t>
        </is>
      </c>
      <c r="C119" s="3" t="inlineStr">
        <is>
          <t>Value</t>
        </is>
      </c>
      <c r="D119" s="3" t="inlineStr">
        <is>
          <t>Filing</t>
        </is>
      </c>
    </row>
    <row r="120">
      <c r="A120" t="inlineStr">
        <is>
          <t>F1</t>
        </is>
      </c>
      <c r="B120" t="inlineStr">
        <is>
          <t>revenue FY ending 2023-10-29 (us-gaap:RevenueFromContractWithCustomerExcludingAssessedTax)</t>
        </is>
      </c>
      <c r="C120" s="49" t="n">
        <v>35819000000</v>
      </c>
      <c r="D120" t="inlineStr">
        <is>
          <t>https://www.sec.gov/Archives/edgar/data/1730168/000173016825000121/</t>
        </is>
      </c>
    </row>
    <row r="121">
      <c r="A121" t="inlineStr">
        <is>
          <t>F2</t>
        </is>
      </c>
      <c r="B121" t="inlineStr">
        <is>
          <t>revenue FY ending 2024-11-03 (us-gaap:RevenueFromContractWithCustomerExcludingAssessedTax)</t>
        </is>
      </c>
      <c r="C121" s="49" t="n">
        <v>51574000000</v>
      </c>
      <c r="D121" t="inlineStr">
        <is>
          <t>https://www.sec.gov/Archives/edgar/data/1730168/000173016825000121/</t>
        </is>
      </c>
    </row>
    <row r="122">
      <c r="A122" t="inlineStr">
        <is>
          <t>F3</t>
        </is>
      </c>
      <c r="B122" t="inlineStr">
        <is>
          <t>revenue FY ending 2025-11-02 (us-gaap:RevenueFromContractWithCustomerExcludingAssessedTax)</t>
        </is>
      </c>
      <c r="C122" s="49" t="n">
        <v>63887000000</v>
      </c>
      <c r="D122" t="inlineStr">
        <is>
          <t>https://www.sec.gov/Archives/edgar/data/1730168/000173016825000121/</t>
        </is>
      </c>
    </row>
    <row r="123">
      <c r="A123" t="inlineStr">
        <is>
          <t>F4</t>
        </is>
      </c>
      <c r="B123" t="inlineStr">
        <is>
          <t>revenue YTD 2025-11-03 to 2026-08-02</t>
        </is>
      </c>
      <c r="C123" s="49" t="n">
        <v>71089000000</v>
      </c>
      <c r="D123" t="inlineStr">
        <is>
          <t>https://www.sec.gov/Archives/edgar/data/1730168/000173016826000080/</t>
        </is>
      </c>
    </row>
    <row r="124">
      <c r="A124" t="inlineStr">
        <is>
          <t>F5</t>
        </is>
      </c>
      <c r="B124" t="inlineStr">
        <is>
          <t>revenue prior-year YTD 2024-11-04 to 2025-08-03</t>
        </is>
      </c>
      <c r="C124" s="49" t="n">
        <v>45872000000</v>
      </c>
      <c r="D124" t="inlineStr">
        <is>
          <t>https://www.sec.gov/Archives/edgar/data/1730168/000173016826000080/</t>
        </is>
      </c>
    </row>
    <row r="125">
      <c r="A125" t="inlineStr">
        <is>
          <t>F6</t>
        </is>
      </c>
      <c r="B125" t="inlineStr">
        <is>
          <t>revenue TTM to 2026-08-02</t>
        </is>
      </c>
      <c r="C125" s="49" t="n">
        <v>89104000000</v>
      </c>
    </row>
    <row r="126">
      <c r="A126" t="inlineStr">
        <is>
          <t>F7</t>
        </is>
      </c>
      <c r="B126" t="inlineStr">
        <is>
          <t>revenue quarter 2026-05-04 to 2026-08-02</t>
        </is>
      </c>
      <c r="C126" s="49" t="n">
        <v>29591000000</v>
      </c>
      <c r="D126" t="inlineStr">
        <is>
          <t>https://www.sec.gov/Archives/edgar/data/1730168/000173016826000080/</t>
        </is>
      </c>
    </row>
    <row r="127">
      <c r="A127" t="inlineStr">
        <is>
          <t>F8</t>
        </is>
      </c>
      <c r="B127" t="inlineStr">
        <is>
          <t>operating_income FY ending 2023-10-29 (us-gaap:OperatingIncomeLoss)</t>
        </is>
      </c>
      <c r="C127" s="49" t="n">
        <v>16207000000</v>
      </c>
      <c r="D127" t="inlineStr">
        <is>
          <t>https://www.sec.gov/Archives/edgar/data/1730168/000173016825000121/</t>
        </is>
      </c>
    </row>
    <row r="128">
      <c r="A128" t="inlineStr">
        <is>
          <t>F9</t>
        </is>
      </c>
      <c r="B128" t="inlineStr">
        <is>
          <t>operating_income FY ending 2024-11-03 (us-gaap:OperatingIncomeLoss)</t>
        </is>
      </c>
      <c r="C128" s="49" t="n">
        <v>13463000000</v>
      </c>
      <c r="D128" t="inlineStr">
        <is>
          <t>https://www.sec.gov/Archives/edgar/data/1730168/000173016825000121/</t>
        </is>
      </c>
    </row>
    <row r="129">
      <c r="A129" t="inlineStr">
        <is>
          <t>F10</t>
        </is>
      </c>
      <c r="B129" t="inlineStr">
        <is>
          <t>operating_income FY ending 2025-11-02 (us-gaap:OperatingIncomeLoss)</t>
        </is>
      </c>
      <c r="C129" s="49" t="n">
        <v>25484000000</v>
      </c>
      <c r="D129" t="inlineStr">
        <is>
          <t>https://www.sec.gov/Archives/edgar/data/1730168/000173016825000121/</t>
        </is>
      </c>
    </row>
    <row r="130">
      <c r="A130" t="inlineStr">
        <is>
          <t>F11</t>
        </is>
      </c>
      <c r="B130" t="inlineStr">
        <is>
          <t>operating_income YTD 2025-11-03 to 2026-08-02</t>
        </is>
      </c>
      <c r="C130" s="49" t="n">
        <v>35306000000</v>
      </c>
      <c r="D130" t="inlineStr">
        <is>
          <t>https://www.sec.gov/Archives/edgar/data/1730168/000173016826000080/</t>
        </is>
      </c>
    </row>
    <row r="131">
      <c r="A131" t="inlineStr">
        <is>
          <t>F12</t>
        </is>
      </c>
      <c r="B131" t="inlineStr">
        <is>
          <t>operating_income prior-year YTD 2024-11-04 to 2025-08-03</t>
        </is>
      </c>
      <c r="C131" s="49" t="n">
        <v>17976000000</v>
      </c>
      <c r="D131" t="inlineStr">
        <is>
          <t>https://www.sec.gov/Archives/edgar/data/1730168/000173016826000080/</t>
        </is>
      </c>
    </row>
    <row r="132">
      <c r="A132" t="inlineStr">
        <is>
          <t>F13</t>
        </is>
      </c>
      <c r="B132" t="inlineStr">
        <is>
          <t>operating_income TTM to 2026-08-02</t>
        </is>
      </c>
      <c r="C132" s="49" t="n">
        <v>42814000000</v>
      </c>
    </row>
    <row r="133">
      <c r="A133" t="inlineStr">
        <is>
          <t>F14</t>
        </is>
      </c>
      <c r="B133" t="inlineStr">
        <is>
          <t>operating_income quarter 2026-05-04 to 2026-08-02</t>
        </is>
      </c>
      <c r="C133" s="49" t="n">
        <v>15955000000</v>
      </c>
      <c r="D133" t="inlineStr">
        <is>
          <t>https://www.sec.gov/Archives/edgar/data/1730168/000173016826000080/</t>
        </is>
      </c>
    </row>
    <row r="134">
      <c r="A134" t="inlineStr">
        <is>
          <t>F15</t>
        </is>
      </c>
      <c r="B134" t="inlineStr">
        <is>
          <t>net_income FY ending 2023-10-29 (us-gaap:ProfitLoss)</t>
        </is>
      </c>
      <c r="C134" s="49" t="n">
        <v>14082000000</v>
      </c>
      <c r="D134" t="inlineStr">
        <is>
          <t>https://www.sec.gov/Archives/edgar/data/1730168/000173016825000121/</t>
        </is>
      </c>
    </row>
    <row r="135">
      <c r="A135" t="inlineStr">
        <is>
          <t>F16</t>
        </is>
      </c>
      <c r="B135" t="inlineStr">
        <is>
          <t>net_income FY ending 2024-11-03 (us-gaap:ProfitLoss)</t>
        </is>
      </c>
      <c r="C135" s="49" t="n">
        <v>5895000000</v>
      </c>
      <c r="D135" t="inlineStr">
        <is>
          <t>https://www.sec.gov/Archives/edgar/data/1730168/000173016825000121/</t>
        </is>
      </c>
    </row>
    <row r="136">
      <c r="A136" t="inlineStr">
        <is>
          <t>F17</t>
        </is>
      </c>
      <c r="B136" t="inlineStr">
        <is>
          <t>net_income FY ending 2025-11-02 (us-gaap:ProfitLoss)</t>
        </is>
      </c>
      <c r="C136" s="49" t="n">
        <v>23126000000</v>
      </c>
      <c r="D136" t="inlineStr">
        <is>
          <t>https://www.sec.gov/Archives/edgar/data/1730168/000173016825000121/</t>
        </is>
      </c>
    </row>
    <row r="137">
      <c r="A137" t="inlineStr">
        <is>
          <t>F18</t>
        </is>
      </c>
      <c r="B137" t="inlineStr">
        <is>
          <t>net_income YTD 2025-11-03 to 2026-08-02</t>
        </is>
      </c>
      <c r="C137" s="49" t="n">
        <v>29747000000</v>
      </c>
      <c r="D137" t="inlineStr">
        <is>
          <t>https://www.sec.gov/Archives/edgar/data/1730168/000173016826000080/</t>
        </is>
      </c>
    </row>
    <row r="138">
      <c r="A138" t="inlineStr">
        <is>
          <t>F19</t>
        </is>
      </c>
      <c r="B138" t="inlineStr">
        <is>
          <t>net_income prior-year YTD 2024-11-04 to 2025-08-03</t>
        </is>
      </c>
      <c r="C138" s="49" t="n">
        <v>14608000000</v>
      </c>
      <c r="D138" t="inlineStr">
        <is>
          <t>https://www.sec.gov/Archives/edgar/data/1730168/000173016826000080/</t>
        </is>
      </c>
    </row>
    <row r="139">
      <c r="A139" t="inlineStr">
        <is>
          <t>F20</t>
        </is>
      </c>
      <c r="B139" t="inlineStr">
        <is>
          <t>net_income TTM to 2026-08-02</t>
        </is>
      </c>
      <c r="C139" s="49" t="n">
        <v>38265000000</v>
      </c>
    </row>
    <row r="140">
      <c r="A140" t="inlineStr">
        <is>
          <t>F21</t>
        </is>
      </c>
      <c r="B140" t="inlineStr">
        <is>
          <t>net_income quarter 2026-05-04 to 2026-08-02</t>
        </is>
      </c>
      <c r="C140" s="49" t="n">
        <v>13088000000</v>
      </c>
      <c r="D140" t="inlineStr">
        <is>
          <t>https://www.sec.gov/Archives/edgar/data/1730168/000173016826000080/</t>
        </is>
      </c>
    </row>
    <row r="141">
      <c r="A141" t="inlineStr">
        <is>
          <t>F22</t>
        </is>
      </c>
      <c r="B141" t="inlineStr">
        <is>
          <t>eps_diluted FY ending 2023-10-29 (us-gaap:EarningsPerShareDiluted)</t>
        </is>
      </c>
      <c r="C141" s="49" t="n">
        <v>3.3</v>
      </c>
      <c r="D141" t="inlineStr">
        <is>
          <t>https://www.sec.gov/Archives/edgar/data/1730168/000173016825000121/</t>
        </is>
      </c>
    </row>
    <row r="142">
      <c r="A142" t="inlineStr">
        <is>
          <t>F23</t>
        </is>
      </c>
      <c r="B142" t="inlineStr">
        <is>
          <t>eps_diluted FY ending 2024-11-03 (us-gaap:EarningsPerShareDiluted)</t>
        </is>
      </c>
      <c r="C142" s="49" t="n">
        <v>1.23</v>
      </c>
      <c r="D142" t="inlineStr">
        <is>
          <t>https://www.sec.gov/Archives/edgar/data/1730168/000173016825000121/</t>
        </is>
      </c>
    </row>
    <row r="143">
      <c r="A143" t="inlineStr">
        <is>
          <t>F24</t>
        </is>
      </c>
      <c r="B143" t="inlineStr">
        <is>
          <t>eps_diluted FY ending 2025-11-02 (us-gaap:EarningsPerShareDiluted)</t>
        </is>
      </c>
      <c r="C143" s="49" t="n">
        <v>4.77</v>
      </c>
      <c r="D143" t="inlineStr">
        <is>
          <t>https://www.sec.gov/Archives/edgar/data/1730168/000173016825000121/</t>
        </is>
      </c>
    </row>
    <row r="144">
      <c r="A144" t="inlineStr">
        <is>
          <t>F25</t>
        </is>
      </c>
      <c r="B144" t="inlineStr">
        <is>
          <t>eps_diluted YTD 2025-11-03 to 2026-08-02</t>
        </is>
      </c>
      <c r="C144" s="49" t="n">
        <v>6.09</v>
      </c>
      <c r="D144" t="inlineStr">
        <is>
          <t>https://www.sec.gov/Archives/edgar/data/1730168/000173016826000080/</t>
        </is>
      </c>
    </row>
    <row r="145">
      <c r="A145" t="inlineStr">
        <is>
          <t>F26</t>
        </is>
      </c>
      <c r="B145" t="inlineStr">
        <is>
          <t>eps_diluted prior-year YTD 2024-11-04 to 2025-08-03</t>
        </is>
      </c>
      <c r="C145" s="49" t="n">
        <v>3.02</v>
      </c>
      <c r="D145" t="inlineStr">
        <is>
          <t>https://www.sec.gov/Archives/edgar/data/1730168/000173016826000080/</t>
        </is>
      </c>
    </row>
    <row r="146">
      <c r="A146" t="inlineStr">
        <is>
          <t>F27</t>
        </is>
      </c>
      <c r="B146" t="inlineStr">
        <is>
          <t>eps_diluted quarter 2026-05-04 to 2026-08-02</t>
        </is>
      </c>
      <c r="C146" s="49" t="n">
        <v>2.68</v>
      </c>
      <c r="D146" t="inlineStr">
        <is>
          <t>https://www.sec.gov/Archives/edgar/data/1730168/000173016826000080/</t>
        </is>
      </c>
    </row>
    <row r="147">
      <c r="A147" t="inlineStr">
        <is>
          <t>F28</t>
        </is>
      </c>
      <c r="B147" t="inlineStr">
        <is>
          <t>diluted_shares_wavg FY ending 2023-10-29 (us-gaap:WeightedAverageNumberOfDilutedSharesOutstanding)</t>
        </is>
      </c>
      <c r="C147" s="49" t="n">
        <v>4272000000</v>
      </c>
      <c r="D147" t="inlineStr">
        <is>
          <t>https://www.sec.gov/Archives/edgar/data/1730168/000173016825000121/</t>
        </is>
      </c>
    </row>
    <row r="148">
      <c r="A148" t="inlineStr">
        <is>
          <t>F29</t>
        </is>
      </c>
      <c r="B148" t="inlineStr">
        <is>
          <t>diluted_shares_wavg FY ending 2024-11-03 (us-gaap:WeightedAverageNumberOfDilutedSharesOutstanding)</t>
        </is>
      </c>
      <c r="C148" s="49" t="n">
        <v>4778000000</v>
      </c>
      <c r="D148" t="inlineStr">
        <is>
          <t>https://www.sec.gov/Archives/edgar/data/1730168/000173016825000121/</t>
        </is>
      </c>
    </row>
    <row r="149">
      <c r="A149" t="inlineStr">
        <is>
          <t>F30</t>
        </is>
      </c>
      <c r="B149" t="inlineStr">
        <is>
          <t>diluted_shares_wavg FY ending 2025-11-02 (us-gaap:WeightedAverageNumberOfDilutedSharesOutstanding)</t>
        </is>
      </c>
      <c r="C149" s="49" t="n">
        <v>4853000000</v>
      </c>
      <c r="D149" t="inlineStr">
        <is>
          <t>https://www.sec.gov/Archives/edgar/data/1730168/000173016825000121/</t>
        </is>
      </c>
    </row>
    <row r="150">
      <c r="A150" t="inlineStr">
        <is>
          <t>F31</t>
        </is>
      </c>
      <c r="B150" t="inlineStr">
        <is>
          <t>diluted_shares_wavg YTD 2025-11-03 to 2026-08-02</t>
        </is>
      </c>
      <c r="C150" s="49" t="n">
        <v>4884000000</v>
      </c>
      <c r="D150" t="inlineStr">
        <is>
          <t>https://www.sec.gov/Archives/edgar/data/1730168/000173016826000080/</t>
        </is>
      </c>
    </row>
    <row r="151">
      <c r="A151" t="inlineStr">
        <is>
          <t>F32</t>
        </is>
      </c>
      <c r="B151" t="inlineStr">
        <is>
          <t>diluted_shares_wavg prior-year YTD 2024-11-04 to 2025-08-03</t>
        </is>
      </c>
      <c r="C151" s="49" t="n">
        <v>4841000000</v>
      </c>
      <c r="D151" t="inlineStr">
        <is>
          <t>https://www.sec.gov/Archives/edgar/data/1730168/000173016826000080/</t>
        </is>
      </c>
    </row>
    <row r="152">
      <c r="A152" t="inlineStr">
        <is>
          <t>F33</t>
        </is>
      </c>
      <c r="B152" t="inlineStr">
        <is>
          <t>diluted_shares_wavg quarter 2026-05-04 to 2026-08-02</t>
        </is>
      </c>
      <c r="C152" s="49" t="n">
        <v>4887000000</v>
      </c>
      <c r="D152" t="inlineStr">
        <is>
          <t>https://www.sec.gov/Archives/edgar/data/1730168/000173016826000080/</t>
        </is>
      </c>
    </row>
    <row r="153">
      <c r="A153" t="inlineStr">
        <is>
          <t>F34</t>
        </is>
      </c>
      <c r="B153" t="inlineStr">
        <is>
          <t>sbc FY ending 2023-10-29 (us-gaap:ShareBasedCompensation)</t>
        </is>
      </c>
      <c r="C153" s="49" t="n">
        <v>2171000000</v>
      </c>
      <c r="D153" t="inlineStr">
        <is>
          <t>https://www.sec.gov/Archives/edgar/data/1730168/000173016825000121/</t>
        </is>
      </c>
    </row>
    <row r="154">
      <c r="A154" t="inlineStr">
        <is>
          <t>F35</t>
        </is>
      </c>
      <c r="B154" t="inlineStr">
        <is>
          <t>sbc FY ending 2024-11-03 (us-gaap:ShareBasedCompensation)</t>
        </is>
      </c>
      <c r="C154" s="49" t="n">
        <v>5741000000</v>
      </c>
      <c r="D154" t="inlineStr">
        <is>
          <t>https://www.sec.gov/Archives/edgar/data/1730168/000173016825000121/</t>
        </is>
      </c>
    </row>
    <row r="155">
      <c r="A155" t="inlineStr">
        <is>
          <t>F36</t>
        </is>
      </c>
      <c r="B155" t="inlineStr">
        <is>
          <t>sbc FY ending 2025-11-02 (us-gaap:ShareBasedCompensation)</t>
        </is>
      </c>
      <c r="C155" s="49" t="n">
        <v>7568000000</v>
      </c>
      <c r="D155" t="inlineStr">
        <is>
          <t>https://www.sec.gov/Archives/edgar/data/1730168/000173016825000121/</t>
        </is>
      </c>
    </row>
    <row r="156">
      <c r="A156" t="inlineStr">
        <is>
          <t>F37</t>
        </is>
      </c>
      <c r="B156" t="inlineStr">
        <is>
          <t>sbc YTD 2025-11-03 to 2026-08-02</t>
        </is>
      </c>
      <c r="C156" s="49" t="n">
        <v>6287000000</v>
      </c>
      <c r="D156" t="inlineStr">
        <is>
          <t>https://www.sec.gov/Archives/edgar/data/1730168/000173016826000080/</t>
        </is>
      </c>
    </row>
    <row r="157">
      <c r="A157" t="inlineStr">
        <is>
          <t>F38</t>
        </is>
      </c>
      <c r="B157" t="inlineStr">
        <is>
          <t>sbc prior-year YTD 2024-11-04 to 2025-08-03</t>
        </is>
      </c>
      <c r="C157" s="49" t="n">
        <v>5373000000</v>
      </c>
      <c r="D157" t="inlineStr">
        <is>
          <t>https://www.sec.gov/Archives/edgar/data/1730168/000173016826000080/</t>
        </is>
      </c>
    </row>
    <row r="158">
      <c r="A158" t="inlineStr">
        <is>
          <t>F39</t>
        </is>
      </c>
      <c r="B158" t="inlineStr">
        <is>
          <t>sbc TTM to 2026-08-02</t>
        </is>
      </c>
      <c r="C158" s="49" t="n">
        <v>8482000000</v>
      </c>
    </row>
    <row r="159">
      <c r="A159" t="inlineStr">
        <is>
          <t>F40</t>
        </is>
      </c>
      <c r="B159" t="inlineStr">
        <is>
          <t>sbc quarter 2025-11-03 to 2026-02-01</t>
        </is>
      </c>
      <c r="C159" s="49" t="n">
        <v>2176000000</v>
      </c>
      <c r="D159" t="inlineStr">
        <is>
          <t>https://www.sec.gov/Archives/edgar/data/1730168/000173016826000016/</t>
        </is>
      </c>
    </row>
    <row r="160">
      <c r="A160" t="inlineStr">
        <is>
          <t>F41</t>
        </is>
      </c>
      <c r="B160" t="inlineStr">
        <is>
          <t>cfo FY ending 2023-10-29 (us-gaap:NetCashProvidedByUsedInOperatingActivities)</t>
        </is>
      </c>
      <c r="C160" s="49" t="n">
        <v>18085000000</v>
      </c>
      <c r="D160" t="inlineStr">
        <is>
          <t>https://www.sec.gov/Archives/edgar/data/1730168/000173016825000121/</t>
        </is>
      </c>
    </row>
    <row r="161">
      <c r="A161" t="inlineStr">
        <is>
          <t>F42</t>
        </is>
      </c>
      <c r="B161" t="inlineStr">
        <is>
          <t>cfo FY ending 2024-11-03 (us-gaap:NetCashProvidedByUsedInOperatingActivities)</t>
        </is>
      </c>
      <c r="C161" s="49" t="n">
        <v>19962000000</v>
      </c>
      <c r="D161" t="inlineStr">
        <is>
          <t>https://www.sec.gov/Archives/edgar/data/1730168/000173016825000121/</t>
        </is>
      </c>
    </row>
    <row r="162">
      <c r="A162" t="inlineStr">
        <is>
          <t>F43</t>
        </is>
      </c>
      <c r="B162" t="inlineStr">
        <is>
          <t>cfo FY ending 2025-11-02 (us-gaap:NetCashProvidedByUsedInOperatingActivities)</t>
        </is>
      </c>
      <c r="C162" s="49" t="n">
        <v>27537000000</v>
      </c>
      <c r="D162" t="inlineStr">
        <is>
          <t>https://www.sec.gov/Archives/edgar/data/1730168/000173016825000121/</t>
        </is>
      </c>
    </row>
    <row r="163">
      <c r="A163" t="inlineStr">
        <is>
          <t>F44</t>
        </is>
      </c>
      <c r="B163" t="inlineStr">
        <is>
          <t>cfo YTD 2025-11-03 to 2026-08-02</t>
        </is>
      </c>
      <c r="C163" s="49" t="n">
        <v>32950000000</v>
      </c>
      <c r="D163" t="inlineStr">
        <is>
          <t>https://www.sec.gov/Archives/edgar/data/1730168/000173016826000080/</t>
        </is>
      </c>
    </row>
    <row r="164">
      <c r="A164" t="inlineStr">
        <is>
          <t>F45</t>
        </is>
      </c>
      <c r="B164" t="inlineStr">
        <is>
          <t>cfo prior-year YTD 2024-11-04 to 2025-08-03</t>
        </is>
      </c>
      <c r="C164" s="49" t="n">
        <v>19834000000</v>
      </c>
      <c r="D164" t="inlineStr">
        <is>
          <t>https://www.sec.gov/Archives/edgar/data/1730168/000173016826000080/</t>
        </is>
      </c>
    </row>
    <row r="165">
      <c r="A165" t="inlineStr">
        <is>
          <t>F46</t>
        </is>
      </c>
      <c r="B165" t="inlineStr">
        <is>
          <t>cfo TTM to 2026-08-02</t>
        </is>
      </c>
      <c r="C165" s="49" t="n">
        <v>40653000000</v>
      </c>
    </row>
    <row r="166">
      <c r="A166" t="inlineStr">
        <is>
          <t>F47</t>
        </is>
      </c>
      <c r="B166" t="inlineStr">
        <is>
          <t>cfo quarter 2025-11-03 to 2026-02-01</t>
        </is>
      </c>
      <c r="C166" s="49" t="n">
        <v>8260000000</v>
      </c>
      <c r="D166" t="inlineStr">
        <is>
          <t>https://www.sec.gov/Archives/edgar/data/1730168/000173016826000016/</t>
        </is>
      </c>
    </row>
    <row r="167">
      <c r="A167" t="inlineStr">
        <is>
          <t>F48</t>
        </is>
      </c>
      <c r="B167" t="inlineStr">
        <is>
          <t>capex FY ending 2023-10-29 (us-gaap:PaymentsToAcquirePropertyPlantAndEquipment)</t>
        </is>
      </c>
      <c r="C167" s="49" t="n">
        <v>452000000</v>
      </c>
      <c r="D167" t="inlineStr">
        <is>
          <t>https://www.sec.gov/Archives/edgar/data/1730168/000173016825000121/</t>
        </is>
      </c>
    </row>
    <row r="168">
      <c r="A168" t="inlineStr">
        <is>
          <t>F49</t>
        </is>
      </c>
      <c r="B168" t="inlineStr">
        <is>
          <t>capex FY ending 2024-11-03 (us-gaap:PaymentsToAcquirePropertyPlantAndEquipment)</t>
        </is>
      </c>
      <c r="C168" s="49" t="n">
        <v>548000000</v>
      </c>
      <c r="D168" t="inlineStr">
        <is>
          <t>https://www.sec.gov/Archives/edgar/data/1730168/000173016825000121/</t>
        </is>
      </c>
    </row>
    <row r="169">
      <c r="A169" t="inlineStr">
        <is>
          <t>F50</t>
        </is>
      </c>
      <c r="B169" t="inlineStr">
        <is>
          <t>capex FY ending 2025-11-02 (us-gaap:PaymentsToAcquirePropertyPlantAndEquipment)</t>
        </is>
      </c>
      <c r="C169" s="49" t="n">
        <v>623000000</v>
      </c>
      <c r="D169" t="inlineStr">
        <is>
          <t>https://www.sec.gov/Archives/edgar/data/1730168/000173016825000121/</t>
        </is>
      </c>
    </row>
    <row r="170">
      <c r="A170" t="inlineStr">
        <is>
          <t>F51</t>
        </is>
      </c>
      <c r="B170" t="inlineStr">
        <is>
          <t>capex YTD 2025-11-03 to 2026-08-02</t>
        </is>
      </c>
      <c r="C170" s="49" t="n">
        <v>1013000000</v>
      </c>
      <c r="D170" t="inlineStr">
        <is>
          <t>https://www.sec.gov/Archives/edgar/data/1730168/000173016826000080/</t>
        </is>
      </c>
    </row>
    <row r="171">
      <c r="A171" t="inlineStr">
        <is>
          <t>F52</t>
        </is>
      </c>
      <c r="B171" t="inlineStr">
        <is>
          <t>capex prior-year YTD 2024-11-04 to 2025-08-03</t>
        </is>
      </c>
      <c r="C171" s="49" t="n">
        <v>386000000</v>
      </c>
      <c r="D171" t="inlineStr">
        <is>
          <t>https://www.sec.gov/Archives/edgar/data/1730168/000173016826000080/</t>
        </is>
      </c>
    </row>
    <row r="172">
      <c r="A172" t="inlineStr">
        <is>
          <t>F53</t>
        </is>
      </c>
      <c r="B172" t="inlineStr">
        <is>
          <t>capex TTM to 2026-08-02</t>
        </is>
      </c>
      <c r="C172" s="49" t="n">
        <v>1250000000</v>
      </c>
    </row>
    <row r="173">
      <c r="A173" t="inlineStr">
        <is>
          <t>F54</t>
        </is>
      </c>
      <c r="B173" t="inlineStr">
        <is>
          <t>capex quarter 2025-11-03 to 2026-02-01</t>
        </is>
      </c>
      <c r="C173" s="49" t="n">
        <v>250000000</v>
      </c>
      <c r="D173" t="inlineStr">
        <is>
          <t>https://www.sec.gov/Archives/edgar/data/1730168/000173016826000016/</t>
        </is>
      </c>
    </row>
    <row r="174">
      <c r="A174" t="inlineStr">
        <is>
          <t>F55</t>
        </is>
      </c>
      <c r="B174" t="inlineStr">
        <is>
          <t>buybacks FY ending 2023-10-29 (us-gaap:PaymentsForRepurchaseOfCommonStock)</t>
        </is>
      </c>
      <c r="C174" s="49" t="n">
        <v>5824000000</v>
      </c>
      <c r="D174" t="inlineStr">
        <is>
          <t>https://www.sec.gov/Archives/edgar/data/1730168/000173016825000121/</t>
        </is>
      </c>
    </row>
    <row r="175">
      <c r="A175" t="inlineStr">
        <is>
          <t>F56</t>
        </is>
      </c>
      <c r="B175" t="inlineStr">
        <is>
          <t>buybacks FY ending 2024-11-03 (us-gaap:PaymentsForRepurchaseOfCommonStock)</t>
        </is>
      </c>
      <c r="C175" s="49" t="n">
        <v>7176000000</v>
      </c>
      <c r="D175" t="inlineStr">
        <is>
          <t>https://www.sec.gov/Archives/edgar/data/1730168/000173016825000121/</t>
        </is>
      </c>
    </row>
    <row r="176">
      <c r="A176" t="inlineStr">
        <is>
          <t>F57</t>
        </is>
      </c>
      <c r="B176" t="inlineStr">
        <is>
          <t>buybacks FY ending 2025-11-02 (us-gaap:PaymentsForRepurchaseOfCommonStock)</t>
        </is>
      </c>
      <c r="C176" s="49" t="n">
        <v>2450000000</v>
      </c>
      <c r="D176" t="inlineStr">
        <is>
          <t>https://www.sec.gov/Archives/edgar/data/1730168/000173016825000121/</t>
        </is>
      </c>
    </row>
    <row r="177">
      <c r="A177" t="inlineStr">
        <is>
          <t>F58</t>
        </is>
      </c>
      <c r="B177" t="inlineStr">
        <is>
          <t>buybacks YTD 2025-11-03 to 2026-08-02</t>
        </is>
      </c>
      <c r="C177" s="49" t="n">
        <v>8450000000</v>
      </c>
      <c r="D177" t="inlineStr">
        <is>
          <t>https://www.sec.gov/Archives/edgar/data/1730168/000173016826000080/</t>
        </is>
      </c>
    </row>
    <row r="178">
      <c r="A178" t="inlineStr">
        <is>
          <t>F59</t>
        </is>
      </c>
      <c r="B178" t="inlineStr">
        <is>
          <t>buybacks prior-year YTD 2024-11-04 to 2025-08-03</t>
        </is>
      </c>
      <c r="C178" s="49" t="n">
        <v>2450000000</v>
      </c>
      <c r="D178" t="inlineStr">
        <is>
          <t>https://www.sec.gov/Archives/edgar/data/1730168/000173016826000080/</t>
        </is>
      </c>
    </row>
    <row r="179">
      <c r="A179" t="inlineStr">
        <is>
          <t>F60</t>
        </is>
      </c>
      <c r="B179" t="inlineStr">
        <is>
          <t>buybacks TTM to 2026-08-02</t>
        </is>
      </c>
      <c r="C179" s="49" t="n">
        <v>8450000000</v>
      </c>
    </row>
    <row r="180">
      <c r="A180" t="inlineStr">
        <is>
          <t>F61</t>
        </is>
      </c>
      <c r="B180" t="inlineStr">
        <is>
          <t>buybacks quarter 2026-02-02 to 2026-05-03</t>
        </is>
      </c>
      <c r="C180" s="49" t="n">
        <v>600000000</v>
      </c>
      <c r="D180" t="inlineStr">
        <is>
          <t>https://www.sec.gov/Archives/edgar/data/1730168/000173016826000054/</t>
        </is>
      </c>
    </row>
    <row r="181">
      <c r="A181" t="inlineStr">
        <is>
          <t>F62</t>
        </is>
      </c>
      <c r="B181" t="inlineStr">
        <is>
          <t>dividends_paid FY ending 2023-10-29 (us-gaap:PaymentsOfDividendsCommonStock)</t>
        </is>
      </c>
      <c r="C181" s="49" t="n">
        <v>7645000000</v>
      </c>
      <c r="D181" t="inlineStr">
        <is>
          <t>https://www.sec.gov/Archives/edgar/data/1730168/000173016825000121/</t>
        </is>
      </c>
    </row>
    <row r="182">
      <c r="A182" t="inlineStr">
        <is>
          <t>F63</t>
        </is>
      </c>
      <c r="B182" t="inlineStr">
        <is>
          <t>dividends_paid FY ending 2024-11-03 (us-gaap:PaymentsOfDividendsCommonStock)</t>
        </is>
      </c>
      <c r="C182" s="49" t="n">
        <v>9814000000</v>
      </c>
      <c r="D182" t="inlineStr">
        <is>
          <t>https://www.sec.gov/Archives/edgar/data/1730168/000173016825000121/</t>
        </is>
      </c>
    </row>
    <row r="183">
      <c r="A183" t="inlineStr">
        <is>
          <t>F64</t>
        </is>
      </c>
      <c r="B183" t="inlineStr">
        <is>
          <t>dividends_paid FY ending 2025-11-02 (us-gaap:PaymentsOfDividendsCommonStock)</t>
        </is>
      </c>
      <c r="C183" s="49" t="n">
        <v>11142000000</v>
      </c>
      <c r="D183" t="inlineStr">
        <is>
          <t>https://www.sec.gov/Archives/edgar/data/1730168/000173016825000121/</t>
        </is>
      </c>
    </row>
    <row r="184">
      <c r="A184" t="inlineStr">
        <is>
          <t>F65</t>
        </is>
      </c>
      <c r="B184" t="inlineStr">
        <is>
          <t>dividends_paid YTD 2025-11-03 to 2026-08-02</t>
        </is>
      </c>
      <c r="C184" s="49" t="n">
        <v>9281000000</v>
      </c>
      <c r="D184" t="inlineStr">
        <is>
          <t>https://www.sec.gov/Archives/edgar/data/1730168/000173016826000080/</t>
        </is>
      </c>
    </row>
    <row r="185">
      <c r="A185" t="inlineStr">
        <is>
          <t>F66</t>
        </is>
      </c>
      <c r="B185" t="inlineStr">
        <is>
          <t>dividends_paid prior-year YTD 2024-11-04 to 2025-08-03</t>
        </is>
      </c>
      <c r="C185" s="49" t="n">
        <v>8345000000</v>
      </c>
      <c r="D185" t="inlineStr">
        <is>
          <t>https://www.sec.gov/Archives/edgar/data/1730168/000173016826000080/</t>
        </is>
      </c>
    </row>
    <row r="186">
      <c r="A186" t="inlineStr">
        <is>
          <t>F67</t>
        </is>
      </c>
      <c r="B186" t="inlineStr">
        <is>
          <t>dividends_paid TTM to 2026-08-02</t>
        </is>
      </c>
      <c r="C186" s="49" t="n">
        <v>12078000000</v>
      </c>
    </row>
    <row r="187">
      <c r="A187" t="inlineStr">
        <is>
          <t>F68</t>
        </is>
      </c>
      <c r="B187" t="inlineStr">
        <is>
          <t>dividends_paid quarter 2026-05-04 to 2026-08-02</t>
        </is>
      </c>
      <c r="C187" s="49" t="n">
        <v>3103000000</v>
      </c>
      <c r="D187" t="inlineStr">
        <is>
          <t>https://www.sec.gov/Archives/edgar/data/1730168/000173016826000080/</t>
        </is>
      </c>
    </row>
    <row r="188">
      <c r="A188" t="inlineStr">
        <is>
          <t>F69</t>
        </is>
      </c>
      <c r="B188" t="inlineStr">
        <is>
          <t>income_tax FY ending 2023-10-29 (us-gaap:IncomeTaxExpenseBenefit)</t>
        </is>
      </c>
      <c r="C188" s="49" t="n">
        <v>1015000000</v>
      </c>
      <c r="D188" t="inlineStr">
        <is>
          <t>https://www.sec.gov/Archives/edgar/data/1730168/000173016825000121/</t>
        </is>
      </c>
    </row>
    <row r="189">
      <c r="A189" t="inlineStr">
        <is>
          <t>F70</t>
        </is>
      </c>
      <c r="B189" t="inlineStr">
        <is>
          <t>income_tax FY ending 2024-11-03 (us-gaap:IncomeTaxExpenseBenefit)</t>
        </is>
      </c>
      <c r="C189" s="49" t="n">
        <v>3748000000</v>
      </c>
      <c r="D189" t="inlineStr">
        <is>
          <t>https://www.sec.gov/Archives/edgar/data/1730168/000173016825000121/</t>
        </is>
      </c>
    </row>
    <row r="190">
      <c r="A190" t="inlineStr">
        <is>
          <t>F71</t>
        </is>
      </c>
      <c r="B190" t="inlineStr">
        <is>
          <t>income_tax FY ending 2025-11-02 (us-gaap:IncomeTaxExpenseBenefit)</t>
        </is>
      </c>
      <c r="C190" s="49" t="n">
        <v>-397000000</v>
      </c>
      <c r="D190" t="inlineStr">
        <is>
          <t>https://www.sec.gov/Archives/edgar/data/1730168/000173016825000121/</t>
        </is>
      </c>
    </row>
    <row r="191">
      <c r="A191" t="inlineStr">
        <is>
          <t>F72</t>
        </is>
      </c>
      <c r="B191" t="inlineStr">
        <is>
          <t>income_tax YTD 2025-11-03 to 2026-08-02</t>
        </is>
      </c>
      <c r="C191" s="49" t="n">
        <v>3853000000</v>
      </c>
      <c r="D191" t="inlineStr">
        <is>
          <t>https://www.sec.gov/Archives/edgar/data/1730168/000173016826000080/</t>
        </is>
      </c>
    </row>
    <row r="192">
      <c r="A192" t="inlineStr">
        <is>
          <t>F73</t>
        </is>
      </c>
      <c r="B192" t="inlineStr">
        <is>
          <t>income_tax prior-year YTD 2024-11-04 to 2025-08-03</t>
        </is>
      </c>
      <c r="C192" s="49" t="n">
        <v>1252000000</v>
      </c>
      <c r="D192" t="inlineStr">
        <is>
          <t>https://www.sec.gov/Archives/edgar/data/1730168/000173016826000080/</t>
        </is>
      </c>
    </row>
    <row r="193">
      <c r="A193" t="inlineStr">
        <is>
          <t>F74</t>
        </is>
      </c>
      <c r="B193" t="inlineStr">
        <is>
          <t>income_tax TTM to 2026-08-02</t>
        </is>
      </c>
      <c r="C193" s="49" t="n">
        <v>2204000000</v>
      </c>
    </row>
    <row r="194">
      <c r="A194" t="inlineStr">
        <is>
          <t>F75</t>
        </is>
      </c>
      <c r="B194" t="inlineStr">
        <is>
          <t>income_tax quarter 2026-05-04 to 2026-08-02</t>
        </is>
      </c>
      <c r="C194" s="49" t="n">
        <v>2187000000</v>
      </c>
      <c r="D194" t="inlineStr">
        <is>
          <t>https://www.sec.gov/Archives/edgar/data/1730168/000173016826000080/</t>
        </is>
      </c>
    </row>
    <row r="195">
      <c r="A195" t="inlineStr">
        <is>
          <t>F76</t>
        </is>
      </c>
      <c r="B195" t="inlineStr">
        <is>
          <t>pretax_income FY ending 2023-10-29 (us-gaap:IncomeLossFromContinuingOperationsBeforeIncomeTaxesExtraordinaryItemsNoncontrollingInterest)</t>
        </is>
      </c>
      <c r="C195" s="49" t="n">
        <v>15097000000</v>
      </c>
      <c r="D195" t="inlineStr">
        <is>
          <t>https://www.sec.gov/Archives/edgar/data/1730168/000173016825000121/</t>
        </is>
      </c>
    </row>
    <row r="196">
      <c r="A196" t="inlineStr">
        <is>
          <t>F77</t>
        </is>
      </c>
      <c r="B196" t="inlineStr">
        <is>
          <t>pretax_income FY ending 2024-11-03 (us-gaap:IncomeLossFromContinuingOperationsBeforeIncomeTaxesExtraordinaryItemsNoncontrollingInterest)</t>
        </is>
      </c>
      <c r="C196" s="49" t="n">
        <v>9916000000</v>
      </c>
      <c r="D196" t="inlineStr">
        <is>
          <t>https://www.sec.gov/Archives/edgar/data/1730168/000173016825000121/</t>
        </is>
      </c>
    </row>
    <row r="197">
      <c r="A197" t="inlineStr">
        <is>
          <t>F78</t>
        </is>
      </c>
      <c r="B197" t="inlineStr">
        <is>
          <t>pretax_income FY ending 2025-11-02 (us-gaap:IncomeLossFromContinuingOperationsBeforeIncomeTaxesExtraordinaryItemsNoncontrollingInterest)</t>
        </is>
      </c>
      <c r="C197" s="49" t="n">
        <v>22729000000</v>
      </c>
      <c r="D197" t="inlineStr">
        <is>
          <t>https://www.sec.gov/Archives/edgar/data/1730168/000173016825000121/</t>
        </is>
      </c>
    </row>
    <row r="198">
      <c r="A198" t="inlineStr">
        <is>
          <t>F79</t>
        </is>
      </c>
      <c r="B198" t="inlineStr">
        <is>
          <t>pretax_income YTD 2025-11-03 to 2026-08-02</t>
        </is>
      </c>
      <c r="C198" s="49" t="n">
        <v>33600000000</v>
      </c>
      <c r="D198" t="inlineStr">
        <is>
          <t>https://www.sec.gov/Archives/edgar/data/1730168/000173016826000080/</t>
        </is>
      </c>
    </row>
    <row r="199">
      <c r="A199" t="inlineStr">
        <is>
          <t>F80</t>
        </is>
      </c>
      <c r="B199" t="inlineStr">
        <is>
          <t>pretax_income prior-year YTD 2024-11-04 to 2025-08-03</t>
        </is>
      </c>
      <c r="C199" s="49" t="n">
        <v>15860000000</v>
      </c>
      <c r="D199" t="inlineStr">
        <is>
          <t>https://www.sec.gov/Archives/edgar/data/1730168/000173016826000080/</t>
        </is>
      </c>
    </row>
    <row r="200">
      <c r="A200" t="inlineStr">
        <is>
          <t>F81</t>
        </is>
      </c>
      <c r="B200" t="inlineStr">
        <is>
          <t>pretax_income TTM to 2026-08-02</t>
        </is>
      </c>
      <c r="C200" s="49" t="n">
        <v>40469000000</v>
      </c>
    </row>
    <row r="201">
      <c r="A201" t="inlineStr">
        <is>
          <t>F82</t>
        </is>
      </c>
      <c r="B201" t="inlineStr">
        <is>
          <t>pretax_income quarter 2026-05-04 to 2026-08-02</t>
        </is>
      </c>
      <c r="C201" s="49" t="n">
        <v>15275000000</v>
      </c>
      <c r="D201" t="inlineStr">
        <is>
          <t>https://www.sec.gov/Archives/edgar/data/1730168/000173016826000080/</t>
        </is>
      </c>
    </row>
    <row r="202">
      <c r="A202" t="inlineStr">
        <is>
          <t>F83</t>
        </is>
      </c>
      <c r="B202" t="inlineStr">
        <is>
          <t>cash at 2026-08-02 (us-gaap:CashAndCashEquivalentsAtCarryingValue)</t>
        </is>
      </c>
      <c r="C202" s="49" t="n">
        <v>23975000000</v>
      </c>
      <c r="D202" t="inlineStr">
        <is>
          <t>https://www.sec.gov/Archives/edgar/data/1730168/000173016826000080/</t>
        </is>
      </c>
    </row>
    <row r="203">
      <c r="A203" t="inlineStr">
        <is>
          <t>F84</t>
        </is>
      </c>
      <c r="B203" t="inlineStr">
        <is>
          <t>debt_total at 2026-08-02 (us-gaap:LongTermDebt)</t>
        </is>
      </c>
      <c r="C203" s="49" t="n">
        <v>59419000000</v>
      </c>
      <c r="D203" t="inlineStr">
        <is>
          <t>https://www.sec.gov/Archives/edgar/data/1730168/000173016826000080/</t>
        </is>
      </c>
    </row>
    <row r="204">
      <c r="A204" t="inlineStr">
        <is>
          <t>F85</t>
        </is>
      </c>
      <c r="B204" t="inlineStr">
        <is>
          <t>debt_noncurrent at 2026-08-02 (us-gaap:LongTermDebtNoncurrent)</t>
        </is>
      </c>
      <c r="C204" s="49" t="n">
        <v>57167000000</v>
      </c>
      <c r="D204" t="inlineStr">
        <is>
          <t>https://www.sec.gov/Archives/edgar/data/1730168/000173016826000080/</t>
        </is>
      </c>
    </row>
    <row r="205">
      <c r="A205" t="inlineStr">
        <is>
          <t>F86</t>
        </is>
      </c>
      <c r="B205" t="inlineStr">
        <is>
          <t>debt_current at 2026-08-02 (us-gaap:LongTermDebtCurrent)</t>
        </is>
      </c>
      <c r="C205" s="49" t="n">
        <v>2252000000</v>
      </c>
      <c r="D205" t="inlineStr">
        <is>
          <t>https://www.sec.gov/Archives/edgar/data/1730168/000173016826000080/</t>
        </is>
      </c>
    </row>
    <row r="206">
      <c r="A206" t="inlineStr">
        <is>
          <t>F87</t>
        </is>
      </c>
      <c r="B206" t="inlineStr">
        <is>
          <t>shares outstanding (cover page, 1 class(es)) as of 2026-08-28</t>
        </is>
      </c>
      <c r="C206" s="49" t="n">
        <v>4773629865</v>
      </c>
      <c r="D206" t="inlineStr">
        <is>
          <t>https://www.sec.gov/Archives/edgar/data/1730168/000173016826000080/</t>
        </is>
      </c>
    </row>
    <row r="207">
      <c r="A207" t="inlineStr">
        <is>
          <t>F88</t>
        </is>
      </c>
      <c r="B207" t="inlineStr">
        <is>
          <t>total debt (XBRL tags; excludes leases unless tagged in; check the balance sheet)</t>
        </is>
      </c>
      <c r="C207" s="49" t="n">
        <v>59419000000</v>
      </c>
    </row>
    <row r="208">
      <c r="A208" t="inlineStr">
        <is>
          <t>F89</t>
        </is>
      </c>
      <c r="B208" t="inlineStr">
        <is>
          <t>net debt = debt - cash - short-term investments</t>
        </is>
      </c>
      <c r="C208" s="49" t="n">
        <v>35444000000</v>
      </c>
    </row>
    <row r="209">
      <c r="A209" t="inlineStr">
        <is>
          <t>F90</t>
        </is>
      </c>
      <c r="B209" t="inlineStr">
        <is>
          <t>free cash flow TTM = operating cash flow - capex (before SBC adjustment)</t>
        </is>
      </c>
      <c r="C209" s="49" t="n">
        <v>39403000000</v>
      </c>
    </row>
    <row r="210">
      <c r="A210" t="inlineStr">
        <is>
          <t>F91</t>
        </is>
      </c>
      <c r="B210" t="inlineStr">
        <is>
          <t>diluted EPS TTM approx = net income TTM / latest quarter diluted shares</t>
        </is>
      </c>
      <c r="C210" s="49" t="n">
        <v>7.829957028852056</v>
      </c>
    </row>
  </sheetData>
  <hyperlinks>
    <hyperlink xmlns:r="http://schemas.openxmlformats.org/officeDocument/2006/relationships" ref="D44" r:id="rId1"/>
    <hyperlink xmlns:r="http://schemas.openxmlformats.org/officeDocument/2006/relationships" ref="D45" r:id="rId2"/>
    <hyperlink xmlns:r="http://schemas.openxmlformats.org/officeDocument/2006/relationships" ref="D46" r:id="rId3"/>
    <hyperlink xmlns:r="http://schemas.openxmlformats.org/officeDocument/2006/relationships" ref="D47" r:id="rId4"/>
    <hyperlink xmlns:r="http://schemas.openxmlformats.org/officeDocument/2006/relationships" ref="D48" r:id="rId5"/>
    <hyperlink xmlns:r="http://schemas.openxmlformats.org/officeDocument/2006/relationships" ref="D49" r:id="rId6"/>
    <hyperlink xmlns:r="http://schemas.openxmlformats.org/officeDocument/2006/relationships" ref="D50" r:id="rId7"/>
    <hyperlink xmlns:r="http://schemas.openxmlformats.org/officeDocument/2006/relationships" ref="D51" r:id="rId8"/>
    <hyperlink xmlns:r="http://schemas.openxmlformats.org/officeDocument/2006/relationships" ref="D52" r:id="rId9"/>
    <hyperlink xmlns:r="http://schemas.openxmlformats.org/officeDocument/2006/relationships" ref="D53" r:id="rId10"/>
    <hyperlink xmlns:r="http://schemas.openxmlformats.org/officeDocument/2006/relationships" ref="D54" r:id="rId11"/>
    <hyperlink xmlns:r="http://schemas.openxmlformats.org/officeDocument/2006/relationships" ref="D55" r:id="rId12"/>
    <hyperlink xmlns:r="http://schemas.openxmlformats.org/officeDocument/2006/relationships" ref="D56" r:id="rId13"/>
    <hyperlink xmlns:r="http://schemas.openxmlformats.org/officeDocument/2006/relationships" ref="D57" r:id="rId14"/>
    <hyperlink xmlns:r="http://schemas.openxmlformats.org/officeDocument/2006/relationships" ref="D58" r:id="rId15"/>
    <hyperlink xmlns:r="http://schemas.openxmlformats.org/officeDocument/2006/relationships" ref="D59" r:id="rId16"/>
    <hyperlink xmlns:r="http://schemas.openxmlformats.org/officeDocument/2006/relationships" ref="D60" r:id="rId17"/>
    <hyperlink xmlns:r="http://schemas.openxmlformats.org/officeDocument/2006/relationships" ref="D61" r:id="rId18"/>
    <hyperlink xmlns:r="http://schemas.openxmlformats.org/officeDocument/2006/relationships" ref="D62" r:id="rId19"/>
    <hyperlink xmlns:r="http://schemas.openxmlformats.org/officeDocument/2006/relationships" ref="D63" r:id="rId20"/>
    <hyperlink xmlns:r="http://schemas.openxmlformats.org/officeDocument/2006/relationships" ref="D64" r:id="rId21"/>
    <hyperlink xmlns:r="http://schemas.openxmlformats.org/officeDocument/2006/relationships" ref="D65" r:id="rId22"/>
    <hyperlink xmlns:r="http://schemas.openxmlformats.org/officeDocument/2006/relationships" ref="D66" r:id="rId23"/>
    <hyperlink xmlns:r="http://schemas.openxmlformats.org/officeDocument/2006/relationships" ref="D67" r:id="rId24"/>
    <hyperlink xmlns:r="http://schemas.openxmlformats.org/officeDocument/2006/relationships" ref="D68" r:id="rId25"/>
    <hyperlink xmlns:r="http://schemas.openxmlformats.org/officeDocument/2006/relationships" ref="D69" r:id="rId26"/>
    <hyperlink xmlns:r="http://schemas.openxmlformats.org/officeDocument/2006/relationships" ref="D70" r:id="rId27"/>
    <hyperlink xmlns:r="http://schemas.openxmlformats.org/officeDocument/2006/relationships" ref="D71" r:id="rId28"/>
    <hyperlink xmlns:r="http://schemas.openxmlformats.org/officeDocument/2006/relationships" ref="D72" r:id="rId29"/>
    <hyperlink xmlns:r="http://schemas.openxmlformats.org/officeDocument/2006/relationships" ref="D73" r:id="rId30"/>
    <hyperlink xmlns:r="http://schemas.openxmlformats.org/officeDocument/2006/relationships" ref="D74" r:id="rId31"/>
    <hyperlink xmlns:r="http://schemas.openxmlformats.org/officeDocument/2006/relationships" ref="D75" r:id="rId32"/>
    <hyperlink xmlns:r="http://schemas.openxmlformats.org/officeDocument/2006/relationships" ref="D76" r:id="rId33"/>
    <hyperlink xmlns:r="http://schemas.openxmlformats.org/officeDocument/2006/relationships" ref="D77" r:id="rId34"/>
    <hyperlink xmlns:r="http://schemas.openxmlformats.org/officeDocument/2006/relationships" ref="D78" r:id="rId35"/>
    <hyperlink xmlns:r="http://schemas.openxmlformats.org/officeDocument/2006/relationships" ref="D79" r:id="rId36"/>
    <hyperlink xmlns:r="http://schemas.openxmlformats.org/officeDocument/2006/relationships" ref="D80" r:id="rId37"/>
    <hyperlink xmlns:r="http://schemas.openxmlformats.org/officeDocument/2006/relationships" ref="D81" r:id="rId38"/>
    <hyperlink xmlns:r="http://schemas.openxmlformats.org/officeDocument/2006/relationships" ref="D82" r:id="rId39"/>
    <hyperlink xmlns:r="http://schemas.openxmlformats.org/officeDocument/2006/relationships" ref="D83" r:id="rId40"/>
    <hyperlink xmlns:r="http://schemas.openxmlformats.org/officeDocument/2006/relationships" ref="D84" r:id="rId41"/>
    <hyperlink xmlns:r="http://schemas.openxmlformats.org/officeDocument/2006/relationships" ref="D85" r:id="rId42"/>
    <hyperlink xmlns:r="http://schemas.openxmlformats.org/officeDocument/2006/relationships" ref="D86" r:id="rId43"/>
    <hyperlink xmlns:r="http://schemas.openxmlformats.org/officeDocument/2006/relationships" ref="D87" r:id="rId44"/>
    <hyperlink xmlns:r="http://schemas.openxmlformats.org/officeDocument/2006/relationships" ref="D88" r:id="rId45"/>
    <hyperlink xmlns:r="http://schemas.openxmlformats.org/officeDocument/2006/relationships" ref="D89" r:id="rId46"/>
    <hyperlink xmlns:r="http://schemas.openxmlformats.org/officeDocument/2006/relationships" ref="D90" r:id="rId47"/>
    <hyperlink xmlns:r="http://schemas.openxmlformats.org/officeDocument/2006/relationships" ref="D91" r:id="rId48"/>
    <hyperlink xmlns:r="http://schemas.openxmlformats.org/officeDocument/2006/relationships" ref="D92" r:id="rId49"/>
    <hyperlink xmlns:r="http://schemas.openxmlformats.org/officeDocument/2006/relationships" ref="D93" r:id="rId50"/>
    <hyperlink xmlns:r="http://schemas.openxmlformats.org/officeDocument/2006/relationships" ref="D94" r:id="rId51"/>
    <hyperlink xmlns:r="http://schemas.openxmlformats.org/officeDocument/2006/relationships" ref="D95" r:id="rId52"/>
    <hyperlink xmlns:r="http://schemas.openxmlformats.org/officeDocument/2006/relationships" ref="D96" r:id="rId53"/>
    <hyperlink xmlns:r="http://schemas.openxmlformats.org/officeDocument/2006/relationships" ref="D97" r:id="rId54"/>
    <hyperlink xmlns:r="http://schemas.openxmlformats.org/officeDocument/2006/relationships" ref="D98" r:id="rId55"/>
    <hyperlink xmlns:r="http://schemas.openxmlformats.org/officeDocument/2006/relationships" ref="D99" r:id="rId56"/>
    <hyperlink xmlns:r="http://schemas.openxmlformats.org/officeDocument/2006/relationships" ref="D100" r:id="rId57"/>
    <hyperlink xmlns:r="http://schemas.openxmlformats.org/officeDocument/2006/relationships" ref="D101" r:id="rId58"/>
    <hyperlink xmlns:r="http://schemas.openxmlformats.org/officeDocument/2006/relationships" ref="D102" r:id="rId59"/>
    <hyperlink xmlns:r="http://schemas.openxmlformats.org/officeDocument/2006/relationships" ref="D103" r:id="rId60"/>
    <hyperlink xmlns:r="http://schemas.openxmlformats.org/officeDocument/2006/relationships" ref="D104" r:id="rId61"/>
    <hyperlink xmlns:r="http://schemas.openxmlformats.org/officeDocument/2006/relationships" ref="D105" r:id="rId62"/>
    <hyperlink xmlns:r="http://schemas.openxmlformats.org/officeDocument/2006/relationships" ref="D106" r:id="rId63"/>
    <hyperlink xmlns:r="http://schemas.openxmlformats.org/officeDocument/2006/relationships" ref="D107" r:id="rId64"/>
    <hyperlink xmlns:r="http://schemas.openxmlformats.org/officeDocument/2006/relationships" ref="D108" r:id="rId65"/>
    <hyperlink xmlns:r="http://schemas.openxmlformats.org/officeDocument/2006/relationships" ref="D109" r:id="rId66"/>
    <hyperlink xmlns:r="http://schemas.openxmlformats.org/officeDocument/2006/relationships" ref="D110" r:id="rId67"/>
    <hyperlink xmlns:r="http://schemas.openxmlformats.org/officeDocument/2006/relationships" ref="D111" r:id="rId68"/>
    <hyperlink xmlns:r="http://schemas.openxmlformats.org/officeDocument/2006/relationships" ref="D112" r:id="rId69"/>
    <hyperlink xmlns:r="http://schemas.openxmlformats.org/officeDocument/2006/relationships" ref="D113" r:id="rId70"/>
    <hyperlink xmlns:r="http://schemas.openxmlformats.org/officeDocument/2006/relationships" ref="D114" r:id="rId71"/>
    <hyperlink xmlns:r="http://schemas.openxmlformats.org/officeDocument/2006/relationships" ref="D115" r:id="rId72"/>
    <hyperlink xmlns:r="http://schemas.openxmlformats.org/officeDocument/2006/relationships" ref="D116" r:id="rId73"/>
    <hyperlink xmlns:r="http://schemas.openxmlformats.org/officeDocument/2006/relationships" ref="D117" r:id="rId74"/>
    <hyperlink xmlns:r="http://schemas.openxmlformats.org/officeDocument/2006/relationships" ref="D120" r:id="rId75"/>
    <hyperlink xmlns:r="http://schemas.openxmlformats.org/officeDocument/2006/relationships" ref="D121" r:id="rId76"/>
    <hyperlink xmlns:r="http://schemas.openxmlformats.org/officeDocument/2006/relationships" ref="D122" r:id="rId77"/>
    <hyperlink xmlns:r="http://schemas.openxmlformats.org/officeDocument/2006/relationships" ref="D123" r:id="rId78"/>
    <hyperlink xmlns:r="http://schemas.openxmlformats.org/officeDocument/2006/relationships" ref="D124" r:id="rId79"/>
    <hyperlink xmlns:r="http://schemas.openxmlformats.org/officeDocument/2006/relationships" ref="D126" r:id="rId80"/>
    <hyperlink xmlns:r="http://schemas.openxmlformats.org/officeDocument/2006/relationships" ref="D127" r:id="rId81"/>
    <hyperlink xmlns:r="http://schemas.openxmlformats.org/officeDocument/2006/relationships" ref="D128" r:id="rId82"/>
    <hyperlink xmlns:r="http://schemas.openxmlformats.org/officeDocument/2006/relationships" ref="D129" r:id="rId83"/>
    <hyperlink xmlns:r="http://schemas.openxmlformats.org/officeDocument/2006/relationships" ref="D130" r:id="rId84"/>
    <hyperlink xmlns:r="http://schemas.openxmlformats.org/officeDocument/2006/relationships" ref="D131" r:id="rId85"/>
    <hyperlink xmlns:r="http://schemas.openxmlformats.org/officeDocument/2006/relationships" ref="D133" r:id="rId86"/>
    <hyperlink xmlns:r="http://schemas.openxmlformats.org/officeDocument/2006/relationships" ref="D134" r:id="rId87"/>
    <hyperlink xmlns:r="http://schemas.openxmlformats.org/officeDocument/2006/relationships" ref="D135" r:id="rId88"/>
    <hyperlink xmlns:r="http://schemas.openxmlformats.org/officeDocument/2006/relationships" ref="D136" r:id="rId89"/>
    <hyperlink xmlns:r="http://schemas.openxmlformats.org/officeDocument/2006/relationships" ref="D137" r:id="rId90"/>
    <hyperlink xmlns:r="http://schemas.openxmlformats.org/officeDocument/2006/relationships" ref="D138" r:id="rId91"/>
    <hyperlink xmlns:r="http://schemas.openxmlformats.org/officeDocument/2006/relationships" ref="D140" r:id="rId92"/>
    <hyperlink xmlns:r="http://schemas.openxmlformats.org/officeDocument/2006/relationships" ref="D141" r:id="rId93"/>
    <hyperlink xmlns:r="http://schemas.openxmlformats.org/officeDocument/2006/relationships" ref="D142" r:id="rId94"/>
    <hyperlink xmlns:r="http://schemas.openxmlformats.org/officeDocument/2006/relationships" ref="D143" r:id="rId95"/>
    <hyperlink xmlns:r="http://schemas.openxmlformats.org/officeDocument/2006/relationships" ref="D144" r:id="rId96"/>
    <hyperlink xmlns:r="http://schemas.openxmlformats.org/officeDocument/2006/relationships" ref="D145" r:id="rId97"/>
    <hyperlink xmlns:r="http://schemas.openxmlformats.org/officeDocument/2006/relationships" ref="D146" r:id="rId98"/>
    <hyperlink xmlns:r="http://schemas.openxmlformats.org/officeDocument/2006/relationships" ref="D147" r:id="rId99"/>
    <hyperlink xmlns:r="http://schemas.openxmlformats.org/officeDocument/2006/relationships" ref="D148" r:id="rId100"/>
    <hyperlink xmlns:r="http://schemas.openxmlformats.org/officeDocument/2006/relationships" ref="D149" r:id="rId101"/>
    <hyperlink xmlns:r="http://schemas.openxmlformats.org/officeDocument/2006/relationships" ref="D150" r:id="rId102"/>
    <hyperlink xmlns:r="http://schemas.openxmlformats.org/officeDocument/2006/relationships" ref="D151" r:id="rId103"/>
    <hyperlink xmlns:r="http://schemas.openxmlformats.org/officeDocument/2006/relationships" ref="D152" r:id="rId104"/>
    <hyperlink xmlns:r="http://schemas.openxmlformats.org/officeDocument/2006/relationships" ref="D153" r:id="rId105"/>
    <hyperlink xmlns:r="http://schemas.openxmlformats.org/officeDocument/2006/relationships" ref="D154" r:id="rId106"/>
    <hyperlink xmlns:r="http://schemas.openxmlformats.org/officeDocument/2006/relationships" ref="D155" r:id="rId107"/>
    <hyperlink xmlns:r="http://schemas.openxmlformats.org/officeDocument/2006/relationships" ref="D156" r:id="rId108"/>
    <hyperlink xmlns:r="http://schemas.openxmlformats.org/officeDocument/2006/relationships" ref="D157" r:id="rId109"/>
    <hyperlink xmlns:r="http://schemas.openxmlformats.org/officeDocument/2006/relationships" ref="D159" r:id="rId110"/>
    <hyperlink xmlns:r="http://schemas.openxmlformats.org/officeDocument/2006/relationships" ref="D160" r:id="rId111"/>
    <hyperlink xmlns:r="http://schemas.openxmlformats.org/officeDocument/2006/relationships" ref="D161" r:id="rId112"/>
    <hyperlink xmlns:r="http://schemas.openxmlformats.org/officeDocument/2006/relationships" ref="D162" r:id="rId113"/>
    <hyperlink xmlns:r="http://schemas.openxmlformats.org/officeDocument/2006/relationships" ref="D163" r:id="rId114"/>
    <hyperlink xmlns:r="http://schemas.openxmlformats.org/officeDocument/2006/relationships" ref="D164" r:id="rId115"/>
    <hyperlink xmlns:r="http://schemas.openxmlformats.org/officeDocument/2006/relationships" ref="D166" r:id="rId116"/>
    <hyperlink xmlns:r="http://schemas.openxmlformats.org/officeDocument/2006/relationships" ref="D167" r:id="rId117"/>
    <hyperlink xmlns:r="http://schemas.openxmlformats.org/officeDocument/2006/relationships" ref="D168" r:id="rId118"/>
    <hyperlink xmlns:r="http://schemas.openxmlformats.org/officeDocument/2006/relationships" ref="D169" r:id="rId119"/>
    <hyperlink xmlns:r="http://schemas.openxmlformats.org/officeDocument/2006/relationships" ref="D170" r:id="rId120"/>
    <hyperlink xmlns:r="http://schemas.openxmlformats.org/officeDocument/2006/relationships" ref="D171" r:id="rId121"/>
    <hyperlink xmlns:r="http://schemas.openxmlformats.org/officeDocument/2006/relationships" ref="D173" r:id="rId122"/>
    <hyperlink xmlns:r="http://schemas.openxmlformats.org/officeDocument/2006/relationships" ref="D174" r:id="rId123"/>
    <hyperlink xmlns:r="http://schemas.openxmlformats.org/officeDocument/2006/relationships" ref="D175" r:id="rId124"/>
    <hyperlink xmlns:r="http://schemas.openxmlformats.org/officeDocument/2006/relationships" ref="D176" r:id="rId125"/>
    <hyperlink xmlns:r="http://schemas.openxmlformats.org/officeDocument/2006/relationships" ref="D177" r:id="rId126"/>
    <hyperlink xmlns:r="http://schemas.openxmlformats.org/officeDocument/2006/relationships" ref="D178" r:id="rId127"/>
    <hyperlink xmlns:r="http://schemas.openxmlformats.org/officeDocument/2006/relationships" ref="D180" r:id="rId128"/>
    <hyperlink xmlns:r="http://schemas.openxmlformats.org/officeDocument/2006/relationships" ref="D181" r:id="rId129"/>
    <hyperlink xmlns:r="http://schemas.openxmlformats.org/officeDocument/2006/relationships" ref="D182" r:id="rId130"/>
    <hyperlink xmlns:r="http://schemas.openxmlformats.org/officeDocument/2006/relationships" ref="D183" r:id="rId131"/>
    <hyperlink xmlns:r="http://schemas.openxmlformats.org/officeDocument/2006/relationships" ref="D184" r:id="rId132"/>
    <hyperlink xmlns:r="http://schemas.openxmlformats.org/officeDocument/2006/relationships" ref="D185" r:id="rId133"/>
    <hyperlink xmlns:r="http://schemas.openxmlformats.org/officeDocument/2006/relationships" ref="D187" r:id="rId134"/>
    <hyperlink xmlns:r="http://schemas.openxmlformats.org/officeDocument/2006/relationships" ref="D188" r:id="rId135"/>
    <hyperlink xmlns:r="http://schemas.openxmlformats.org/officeDocument/2006/relationships" ref="D189" r:id="rId136"/>
    <hyperlink xmlns:r="http://schemas.openxmlformats.org/officeDocument/2006/relationships" ref="D190" r:id="rId137"/>
    <hyperlink xmlns:r="http://schemas.openxmlformats.org/officeDocument/2006/relationships" ref="D191" r:id="rId138"/>
    <hyperlink xmlns:r="http://schemas.openxmlformats.org/officeDocument/2006/relationships" ref="D192" r:id="rId139"/>
    <hyperlink xmlns:r="http://schemas.openxmlformats.org/officeDocument/2006/relationships" ref="D194" r:id="rId140"/>
    <hyperlink xmlns:r="http://schemas.openxmlformats.org/officeDocument/2006/relationships" ref="D195" r:id="rId141"/>
    <hyperlink xmlns:r="http://schemas.openxmlformats.org/officeDocument/2006/relationships" ref="D196" r:id="rId142"/>
    <hyperlink xmlns:r="http://schemas.openxmlformats.org/officeDocument/2006/relationships" ref="D197" r:id="rId143"/>
    <hyperlink xmlns:r="http://schemas.openxmlformats.org/officeDocument/2006/relationships" ref="D198" r:id="rId144"/>
    <hyperlink xmlns:r="http://schemas.openxmlformats.org/officeDocument/2006/relationships" ref="D199" r:id="rId145"/>
    <hyperlink xmlns:r="http://schemas.openxmlformats.org/officeDocument/2006/relationships" ref="D201" r:id="rId146"/>
    <hyperlink xmlns:r="http://schemas.openxmlformats.org/officeDocument/2006/relationships" ref="D202" r:id="rId147"/>
    <hyperlink xmlns:r="http://schemas.openxmlformats.org/officeDocument/2006/relationships" ref="D203" r:id="rId148"/>
    <hyperlink xmlns:r="http://schemas.openxmlformats.org/officeDocument/2006/relationships" ref="D204" r:id="rId149"/>
    <hyperlink xmlns:r="http://schemas.openxmlformats.org/officeDocument/2006/relationships" ref="D205" r:id="rId150"/>
    <hyperlink xmlns:r="http://schemas.openxmlformats.org/officeDocument/2006/relationships" ref="D206" r:id="rId1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2026-10-30T18:39:44Z</dcterms:created>
  <dcterms:modified xmlns:dcterms="http://purl.org/dc/terms/" xmlns:xsi="http://www.w3.org/2001/XMLSchema-instance" xsi:type="dcterms:W3CDTF">2026-10-30T18:39:45Z</dcterms:modified>
</cp:coreProperties>
</file>