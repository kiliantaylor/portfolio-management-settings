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<sst xmlns="http://schemas.openxmlformats.org/spreadsheetml/2006/main" count="2739" uniqueCount="1520">
  <si>
    <t xml:space="preserve">T 12-month price target model</t>
  </si>
  <si>
    <t xml:space="preserve">Close 2026-10-30 · agents' research 2026-10-23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</si>
  <si>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</si>
  <si>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</si>
  <si>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</si>
  <si>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</si>
  <si>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</si>
  <si>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</si>
  <si>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</si>
  <si>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</si>
  <si>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</si>
  <si>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</si>
  <si>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</si>
  <si>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</si>
  <si>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24 analysts, https://stockanalysis.com/stocks/t/forecast/ as of 2026-10-22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</si>
  <si>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</si>
  <si>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</si>
  <si>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</si>
  <si>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0.587 Platt-scaled (a = 1.732) to 0.587,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</si>
  <si>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</si>
  <si>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</si>
  <si>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</si>
  <si>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</si>
  <si>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</si>
  <si>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</si>
  <si>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</si>
  <si>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</si>
  <si>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</si>
  <si>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</si>
  <si>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</si>
  <si>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</si>
  <si>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</si>
  <si>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</si>
  <si>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</si>
  <si>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</si>
  <si>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</si>
  <si>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</si>
  <si>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Research target (12m) = the engine's base horizon value of model.reconciled_inputs ($23.16): EV/EBITDA 6.1x on NTM EBITDA ~$50.4B ($22.55), P/E 8.3x on driver-linked NTM EPS $2.86 ($24.01), FCF yield 12.3% on $2.82 ($23.19), weighted 0.5/0.35/0.15, with net debt $144.3B, NCI $18.0B, preferred $2.95B, the fiber stake +$3.65B and expected spectrum -$2.0B over 6,387M shares. Citation-gate fix 2026-10-26: $23.04 -&gt; $23.16 (P/E today on one consensus basis 8.34x -&gt; 8.3x; corporate D&amp;A in EPS; net-debt FCF share 0.752).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</si>
  <si>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</si>
  <si>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</si>
  <si>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</si>
  <si>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</si>
  <si>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</si>
  <si>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</si>
  <si>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</si>
  <si>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</si>
  <si>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</si>
  <si>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</si>
  <si>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</si>
  <si>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</si>
  <si>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</si>
  <si>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</si>
  <si>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15th percentile)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</si>
  <si>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</si>
  <si>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</si>
  <si>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</si>
  <si>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</si>
  <si>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</si>
  <si>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</si>
  <si>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</si>
  <si>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</si>
  <si>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</si>
  <si>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</si>
  <si>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</si>
  <si>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</si>
  <si>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</si>
  <si>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</si>
  <si>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</si>
  <si>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</si>
  <si>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</si>
  <si>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</si>
  <si>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</si>
  <si>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T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</si>
  <si>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</si>
  <si>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</si>
  <si>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</si>
  <si>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</si>
  <si>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</si>
  <si>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</si>
  <si>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</si>
  <si>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</si>
  <si>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</si>
  <si>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</si>
  <si>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</si>
  <si>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T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</si>
  <si>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</si>
  <si>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</si>
  <si>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</si>
  <si>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</si>
  <si>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</si>
  <si>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</si>
  <si>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</si>
  <si>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</si>
  <si>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</si>
  <si>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</si>
  <si>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</si>
  <si>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</si>
  <si>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</si>
  <si>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</si>
  <si>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</si>
  <si>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</si>
  <si>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</si>
  <si>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</si>
  <si>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T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</si>
  <si>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</si>
  <si>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</si>
  <si>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</si>
  <si>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</si>
  <si>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</si>
  <si>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</si>
  <si>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</si>
  <si>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</si>
  <si>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EV/EBITDA</t>
  </si>
  <si>
    <t xml:space="preserve">6.2x NTM EBITDA at the horizon (~$50.6B = 0.19 x FY2027 $48.9B + 0.81 x FY2028 $51.0B from the driver build) less net debt $147.9B, NCI $18.0B, preferred $2.95B, plus Mexico (0.9 x $3.2B), the Forged Fiber stake $3.65B and upper C-band (-$5B x 0.35), over 6,385M shares</t>
  </si>
  <si>
    <t xml:space="preserve">P/E</t>
  </si>
  <si>
    <t xml:space="preserve">8.1x NTM adjusted EPS $2.92 (driver-linked: FY2027 $2.64, FY2028 $2.98; Zacks $2.54/$2.86) + adjustments per share $0.75</t>
  </si>
  <si>
    <t xml:space="preserve">FCF yield</t>
  </si>
  <si>
    <t xml:space="preserve">12.3% yield on NTM FCF/share $2.89 (driver-linked: FCF $18.9B FY2027 / $20.2B FY2028 after vendor financing, less NCI distributions and preferred dividends) + adjustments per share $0.75</t>
  </si>
  <si>
    <t xml:space="preserve">other</t>
  </si>
  <si>
    <t xml:space="preserve">Cross-check only: dividend $1.11/share (maintained, Q3 release) at a 5.5% yield = $20.2; at 5.0% = $22.2. The dividend alone supports roughly today's price.</t>
  </si>
  <si>
    <t xml:space="preserve">Cross-check only: 12-peer CY2027E median P/E 10.55x x consensus NTM EPS $2.80 (Zacks blend) = $29.5. Not used: the median is lifted by European/Canadian names with lower leverage and no NCI/preferred claims; AT&amp;T has not traded at the peer median in the past decade.</t>
  </si>
  <si>
    <t xml:space="preserve">Blended value</t>
  </si>
  <si>
    <t xml:space="preserve">Stated research target (12m)</t>
  </si>
  <si>
    <t xml:space="preserve">Driver-led 3-year build (subs x ARPU for wireless and broadband, AC cost and capex drivers; EPS, FCF/share and horizon net debt linked to the drivers) valued at the horizon on NTM figures: 6.2x EV/EBITDA ($23.43, weight 0.5), 8.1x P/E on EPS $2.92 ($24.37, 0.3) and a 12.3% FCF yield on $2.89/share ($24.26, 0.2) = research target (12m) $23.88.</t>
  </si>
  <si>
    <t xml:space="preserve">6.0x NTM EBITDA at 2027-10-23 of $50.4B (0.189 x FY27 49.1B + 0.811 x FY28 50.7B from the driver build) = EV 302.4B - net debt 145.4B - NCI 18.0B - preferred 2.95B + fiber stake 3.65B - C-band 1.75B = 137.9B / 6,385M</t>
  </si>
  <si>
    <t xml:space="preserve">8.0x driver-linked NTM adjusted EPS $2.81 (FY27 $2.60, FY28 $2.86) + adjustments $0.30/share</t>
  </si>
  <si>
    <t xml:space="preserve">$2.85 NTM FCF per horizon share after NCI/preferred (FY27 18.7B, FY28 20.1B) at 12.5% + adjustments $0.30/share</t>
  </si>
  <si>
    <t xml:space="preserve">Research target (12m) $22.24 = engine base horizon value of our driver-led set: 6.0x NTM EBITDA $50.4B (w0.5) $21.60, 8.0x driver-linked NTM adjusted EPS $2.81 (w0.35) $22.80, 12.5% yield on $2.85 NTM FCF per horizon share (w0.15) $23.09; net debt at horizon $145.4B, NCI $18.0B, preferred $2.95B, fiber stake +$3.65B, expected C-band -$1.75B, 6,385M shares.</t>
  </si>
  <si>
    <t xml:space="preserve">6.0x NTM (Q4'27-Q3'28) EBITDA $50.3B from the driver build -&gt; EV $301.8B, less net debt $145.5B, NCI $18.0B, preferred $2.95B, plus fiber stake $3.65B and upper C-band -$2.25B, / 6,382M shares</t>
  </si>
  <si>
    <t xml:space="preserve">8.0x NTM adjusted EPS $2.86 + net adjustments $0.22/share (fiber stake 3,652 - C-band 2,250 over 6,382M)</t>
  </si>
  <si>
    <t xml:space="preserve">NTM FCF to common $2.81/share at a 12% yield + net adjustments $0.22/share</t>
  </si>
  <si>
    <t xml:space="preserve">Dividend-yield cross-check: $1.11 held flat (company plan) at a 5.0% yield (AT&amp;T 5.3% at $20.93; VZ ~6.2%)</t>
  </si>
  <si>
    <t xml:space="preserve">Research target (12m) = engine base horizon value of the driver set: 6.0x NTM EBITDA ($50.3B) -&gt; $21.43, 8.0x NTM adjusted EPS ($2.86) -&gt; $23.10, 12% FCF yield on $2.81 -&gt; $23.64, weighted 45/35/20 = $22.46 (net debt $145.5B, fiber stake at book x 0.9, upper C-band -$5B x 0.45).</t>
  </si>
  <si>
    <t xml:space="preserve">NTM (Oct-27 to Oct-28) adj. EBITDA $50,335M x 6.2x = EV $312.1B - net debt $144.7B - NCI $18.0B - preferred $2.95B + fiber stake $3.65B - C-band $2.1B = $148.2B / 6,385M sh</t>
  </si>
  <si>
    <t xml:space="preserve">NTM EPS $2.907 (driver-linked; consensus-equivalent ~$2.80) x 8.0x = $23.26 + fiber stake and C-band net $0.24/share</t>
  </si>
  <si>
    <t xml:space="preserve">NTM FCF to common $2.884/share (driver-linked) / 12.4% = $23.26 + $0.24/share adjustments</t>
  </si>
  <si>
    <t xml:space="preserve">Dividend-yield cross-check: $1.11 annual dividend (maintained, release) / 5.0% = $22.2; yield 4.6% in Aug-2026 (Insider Monkey), 5.3% at $20.93</t>
  </si>
  <si>
    <t xml:space="preserve">Research target (12m) $23.37 = engine base horizon value of the driver-led set: EV/NTM adj. EBITDA 6.2x on $50.3B ($23.2, w0.45), 8.0x driver-linked NTM EPS $2.91 ($23.5, w0.40) and a 12.4% FCF yield on driver-linked $2.88/share ($23.5, w0.15), with net debt $144.7B (Mexico $2.0B cash + $1.2B leases x 0.9), NCI $18.0B, preferred $2.95B, fiber stake +$3.65B and expected C-band spend -$2.1B, over 6,385M shares.</t>
  </si>
  <si>
    <t xml:space="preserve">6.1x NTM (Oct 2027-Oct 2028) adjusted EBITDA $50.5bn from the driver build (FY2027 49.5bn, FY2028 50.7bn) = EV $308bn; less net debt at horizon $145.4bn, NCI $18.0bn and preferred $2.95bn; plus fiber stake $3.45bn and expected spectrum -$3.0bn; / 6,400M shares</t>
  </si>
  <si>
    <t xml:space="preserve">8.2x x NTM adjusted EPS $2.82 (FY2027 $2.63, FY2028 $2.86; consensus 2.54-2.62 / 2.86) + net adjustments $0.07/share</t>
  </si>
  <si>
    <t xml:space="preserve">NTM FCF after NCI distributions and preferred dividends $18.4bn / 6,400M = $2.88 per share at a 12.0% yield, + $0.07 adjustments</t>
  </si>
  <si>
    <t xml:space="preserve">Cross-check: dividend $1.11 (held flat, Q3 release) capitalised at a 5.0% yield, ~the 10-year Treasury (4.96% on 2026-10-22, FRED); T yields 5.3% today</t>
  </si>
  <si>
    <t xml:space="preserve">Driver-led 3-year build valued at the horizon: 6.1x NTM adjusted EBITDA (~$50.5bn; EV incl. $18.0bn NCI and $2.95bn preferred; net debt $145.4bn; fiber stake +$3.45bn; expected Auction 115 spend -$3.0bn; 6,400M shares) = $22.20 (w 0.5), 8.2x NTM adjusted EPS $2.82 = $23.19 (w 0.35), 12% FCF yield on $2.88 = $24.07 (w 0.15); blended research target (12m) $22.83.</t>
  </si>
  <si>
    <t xml:space="preserve">T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</si>
  <si>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</si>
  <si>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</si>
  <si>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</si>
  <si>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</si>
  <si>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</si>
  <si>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</si>
  <si>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</si>
  <si>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Starlink Mobile (EchoStar AWS-4/H-block + Grain 800 MHz, a terrestrial layer on 80,000+ leased sites) and a Verizon volume push start a price war in 2027: all-in wireless ARPU 2.5% below base, subs -1%, broadband connections -3% and fiber ARPU -2%; AC EBITDA ~$3.7B (7%) lower by 2028 and FCF lower by about as much slows deleveraging and buybacks; the market prices AT&amp;T near cable (5.3x EBITDA, 7.2x EPS, ~13.8% FCF yield).</t>
  </si>
  <si>
    <t xml:space="preserve">Wireless service grows ~3% on 1.0-1.2M postpaid phone net adds and +1.5%/+0.8% ARPU; fiber + Internet Air add ~2.5M connections a year at flat-to-lower ARPU; AC EBITDA +6.0%/+6.0%; Legacy fades; Mexico sold; FCF $18.9B/$20.2B; ~$7.5B/yr buybacks; multiples hold at today's de-rated levels (6.2x / 8.1x / 12.3%).</t>
  </si>
  <si>
    <t xml:space="preserve">SpaceX's US mobile plan proves niche (satellite-first, limited terrestrial sites), wireless pricing holds, fiber ARPU stabilises, convergence lifts net adds; FCF tracks the $19B+/$21B+ guide and the multiple recovers toward the pre-October 6.8x (6.9x / 8.8x / ~11.3%).</t>
  </si>
  <si>
    <t xml:space="preserve">SpaceX signs site deals and prices aggressively from late 2027; Verizon's volume push and cable MVNO adds keep promotions high; wireless ARPU -2% vs base, fiber ARPU -3%, AC EBITDA margin -1pt; EV/EBITDA 5.25x, P/E 7.25x, FCF yield 14%.</t>
  </si>
  <si>
    <t xml:space="preserve">AC EBITDA +6.0%/+5.25% (inside the mid-to-high-single-digit guide) but consolidated EBITDA +3.5% in 2028 (below 5%+) as Legacy turns negative; FCF $18.7B/$20.1B just under the floors; multiples stay at today's post-SpaceX level (6.0x our EV, 8.0x EPS).</t>
  </si>
  <si>
    <t xml:space="preserve">SpaceX wholesales through carriers or slips past 2028; 2026 price actions stick; fiber JV and Mexico close on time and leverage heads to 2.5x; multiple recovers to ~6.75x / 8.75x.</t>
  </si>
  <si>
    <t xml:space="preserve">Starlink Mobile (Grain 800 MHz + EchoStar AWS-4/H-block + ~80k leased sites) looks credible for 2028; Verizon keeps promotions hot; wireless ARPU growth fades to ~-1%, fiber ARPU keeps falling, AC EBITDA ~+2%; Fitch resolves its negative outlook with a cut to BBB and buybacks slow; 5.25x our-basis EBITDA (~4.8x peer basis) / 7.2x P/E.</t>
  </si>
  <si>
    <t xml:space="preserve">Research set: AC EBITDA +5.5% in 2027 and +5.0% in 2028 (low end of the mid-to-high-single-digit guide), total EBITDA $49.3B / $50.5B (2028 +2.6%, below the 5%+ guide as Legacy turns negative), FCF $18.5B / $19.8B (just under the floors), net debt $145.5B, shares -5%/yr; 6.0x NTM EBITDA (~5.6x peer basis), 8.0x EPS, 12% FCF yield; 45% chance of a ~$5B upper C-band purchase.</t>
  </si>
  <si>
    <t xml:space="preserve">Management delivers the plan (AC EBITDA ~+7%, 2028 FCF $21B+), Starlink Mobile proves capacity-limited, the SpaceX site talks lead nowhere; multiple reverts toward the pre-October ~6.8x our-basis EBITDA and ~9x P/E.</t>
  </si>
  <si>
    <t xml:space="preserve">SpaceX signs leases on ~80,000 sites and the Grain spectrum closes in H1 2027; Starlink Mobile targets price-sensitive users (TD Cowen: AT&amp;T base most willing to try it), VZ/TMUS answer with promotions, AT&amp;T wireless and fiber ARPU fall ~3% below path, margins -1pt, and the market prices a 4-player US market (EV/EBITDA ~5.2x, P/E ~7x, FCF yield ~14%).</t>
  </si>
  <si>
    <t xml:space="preserve">Build as set: ~1.0M/0.7M postpaid phone adds, ARPU +1.8%/+1.0%, ~2.3M/2.0M fiber+AIA adds, Legacy -27%/-30%, capex $22.5B, AC EBITDA +6.0%/+5.5%, FCF $18.6B/$19.9B, Mexico closes with $2.0B cash; SpaceX overhang persists without a launch and the multiple stays at today's de-rated 6.2x / 8.0x / 12.4%.</t>
  </si>
  <si>
    <t xml:space="preserve">Tower talks stall or turn into a wholesale/partner deal, the FCC keeps carrier consent on satellite use, AT&amp;T keeps pricing and converged fiber momentum (ARPU +1.5% above path), FCF reaches the $19B+ guide, and the stock re-rates toward 7.0x EBITDA / 8.8x P/E.</t>
  </si>
  <si>
    <t xml:space="preserve">SpaceX signs tower access (80k sites) and gets an MVNO or a national launch date while Verizon/cable keep promotions up: wireless revenue per phone -2.5%, adds -1%, AC EBITDA growth ~2%, FCF misses the floors; EV/EBITDA de-rates to ~5.3x (Comcast/Charter-like), P/E ~7x.</t>
  </si>
  <si>
    <t xml:space="preserve">Drivers as set: AC EBITDA +6.0%/+5.5%, wireless revenue per phone +1.5%/+0.8%, FCF 18.7/20.4bn, net debt ~145.4bn at the horizon, fiber stake +3.45bn, expected spectrum -3.0bn; multiples at today's de-rated levels (6.1x EV/EBITDA incl. NCI and preferred, 8.2x P/E, 12% FCF yield).</t>
  </si>
  <si>
    <t xml:space="preserve">Starlink Mobile stays a capacity-limited niche (Polymarket odds of a US carrier fall), AT&amp;T meets the EBITDA and FCF floors, buys back ~$7B/yr and re-rates to ~6.8x EBITDA and ~9-9.5x P/E (its 5-year average).</t>
  </si>
  <si>
    <t xml:space="preserve">Average</t>
  </si>
  <si>
    <t xml:space="preserve">T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</si>
  <si>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</si>
  <si>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</si>
  <si>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</si>
  <si>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</si>
  <si>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</si>
  <si>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</si>
  <si>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</si>
  <si>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 (supervisor fact-checks plus a direct read of the AT&amp;T Q3 call transcript, 10-Q R63/R17 and FCC auction notes). Evidence: Q3 2026 revenue $32.3B (+5.3%), adj. EBITDA $12.5B (+5.4%), adj. EPS $0.65, FCF ~$5.0B; 379k postpaid phone adds, churn 0.92%; postpaid phone ARPU +4% from new/refreshed plans and back-book pricing with promotions unchanged (call); fiber ARPU -4% with Q4 similar and "relatively stable ARPU" over 2026-28 (CFO). GAAP EPS $0.12-0.13 carries a $2.6B Mexico impairment and an ~$800M separation charge whose cash lands mainly in 2027. Guides: 2026 EPS ~$2.40, AC EBITDA mid-to-high single digits, consolidated EBITDA 5%+ in 2028, FCF $18B+/$19B+/$21B+, capital investment $22-23B in 2027-28, $24B+ buybacks, 2.5x leverage in 2029. Price moves: Oct 9 (-10.8%) = SpaceX buying Grain's 800 MHz licences (no ex-dividend effect: ex-date Oct 12); Oct 21 (-6.4%) = results day (phone-add miss, capex/working-capital framing), a small earnings-path change; Oct 23 (-8.0%) = Bloomberg report of SpaceX seeking 80,000+ sites, a multiple effect. What changed from round 1: Forged Fiber stake $4,058M x 0.9 (R63) instead of $2.58B; separation cash no longer double-counted in net debt (horizon $147.9B, now linked to driver FCF); wireless ARPU +1.5%/+0.8% (was +0.6%/+0.4%); fiber ARPU -1.0%/+0.5% (was +0.7%/+1.6%); AC EBITDA +6.0%/+6.0%; interest +$0.1B; upper C-band -$5B x 0.35; P/E 8.1x and FCF yield 12.3% held at today's levels (were 8.5x / 12.0%); EPS, FCF/share and horizon net debt are now computed from the drivers through driver_build.set. Peers: Kilian's 12 incumbents on CY2027E, after leases: EV/EBITDA median 5.52x (5.98x ex-DT), P/E 10.55x; AT&amp;T 5.78x / 7.98x on that basis. Result: research target (12m) $23.88 (EV/EBITDA $23.43, P/E $24.37, FCF $24.26); bear $15.15 (price war, 5.3x), bull $29.23 (6.9x). Guidance record: EPS first guides met or beaten 3 of 3 (median +2.7%), FCF floors 3 of 3 (+3.75%); we sit just below the 2027 FCF floor ($18.9B) and the 2028 EBITDA 5% (4.7% ex-Mexico) because of Legacy and fiber ARPU, and above the 2028 EPS floor on buybacks. Ladder: 60% the scenario mixture (lognormal, 15% within-scenario vol), 40% a neutral 28%-vol distribution centred near spot, because the October de-rating came from SpaceX headlines that may continue and momentum is negative; median ~$22.8, P(&gt;= $21) 0.605. All value legs are driver-linked; the dividend and peer-median cross-checks carry zero weight.</t>
  </si>
  <si>
    <t xml:space="preserve">Below ~$16.5 the market would be pricing ~5.65x NTM EBITDA on our EV basis (~5.3x on the peers' basis, cable-like), a 6.7% dividend yield and a ~15.6% FCF-to-common yield ($2.57 / $16.5), close to our bear value ($15.15): consistent only with a broken cash-flow path, i.e. a structural wireless price war after SpaceX signs terrestrial site deals, FCF tracking well below the $19B+ guide, or a cut to the $24B+ buyback or the dividend, not ordinary volatility. Watch: postpaid phone adds below ~200k a quarter with ARPU falling, a 2027 FCF guide under $18B in January, or AC EBITDA growth below 5%.</t>
  </si>
  <si>
    <t xml:space="preserve">• How fast and at what price SpaceX enters US mobile (800 MHz + EchoStar spectrum + terrestrial sites) and whether the market keeps de-rating all three carriers on it
• Wireless pricing in 2027: Verizon is buying share with flat service revenue; AT&amp;T postpaid phone adds slowed to 379k in Q3
• Fiber ARPU: -4% y/y in Q3 2026 and guided similar for Q4 (Lumen Quantum mix, intro pricing, converged discounts); management guides "relatively stable" ARPU with growth from net adds, so we assume -1% in 2027
• Whether $21B+ 2028 FCF is reachable once OBBBA cash tax savings ($2.5-3.0B a year in 2026-27) end
• Deleveraging from 3.13x while funding ~$24B buybacks and a $1.11 dividend; further spectrum spend
• Proceeds and terms of the fiber JV (undisclosed) and the Mexico close
• Upper C-band auction (bidding from 2027-04-27): size and timing of any AT&amp;T spend before the horizon</t>
  </si>
  <si>
    <t xml:space="preserve">• research target (12m): 24.19 → 23.88 (Net of: Forged Fiber stake to $4,058M x 0.9 (+$0.17/sh), separation cash out of net debt (+$0.10), upper C-band -$5B x 0.35 (-$0.27), P/E 8.5x -&gt; 8.1x and FCF yield 12.0% -&gt; 12.3% (supervisor: richest of the five, re-argued against today), ARPU and EBITDA changes and interest (+).)
• a method: EV/EBITDA: 23.17 (6.2x) → 23.43 (6.2x) (Multiple kept (today 6.26x on our EV basis; ~5.85x on the peers' basis vs the 12-peer median 5.52x / 5.98x ex-DT); value up on the fiber stake, removed separation double count and higher AC EBITDA, less the C-band adjustment.)
• a method: P/E: 25.51 (8.5x on stated $2.90) → 24.37 (8.1x on driver-linked $2.92) (Supervisor: 8.5x had no new evidence; held at today's 8.1x on our EPS basis. EPS now computed from the drivers (driver_build.set).)
• a method: FCF yield: 24.77 (12.0% on stated $2.87) → 24.26 (12.3% on driver-linked $2.89) (Supervisor: re-argue vs today's 12.3%; held at today's yield. FCF/share now linked to the drivers.)
• a fact: Forged Fiber stake: $2,580M → $4,058M book x 0.9 = $3,652M (Supervisor finding confirmed in 10-Q R63 (assets 4,781 - liabilities 723); Mexico HFS net assets are ~$0.5B, so the round-1 split was wrong.)
• a fact: net debt at horizon: $148,679M → $147,892M (driver-linked) (Removed ~$650M separation cash already inside 2027 FCF (call: separation cash "primarily in 2027"); FCF 2027 now $18.9B from the drivers.)
• a fact: wireless ARPU growth 2027: +0.6% → +1.5% (Supervisor resolution (+1.75%) and the call: postpaid phone ARPU +4% in Q3 from new plans and back-book pricing, promotions unchanged; we stay below +1.75% for Verizon volume and SpaceX pricing pressure.)
• a fact: fiber/Internet Air ARPU 2027-28: +0.7% / +1.6% → -1.0% / +0.5% (Call transcript (read directly this round): Q4 fiber ARPU down at the Q3 rate and "relatively stable ARPU" over the period, growth from net adds not pricing; supervisor base -1.0%.)
• a fact: upper C-band: generic spectrum risk in the bear case → -$5,000M x 0.35 adjustment (Supervisor finding; Auction 115 bidding is scheduled from 2027-04-27 with a 2027-07-04 deadline and AT&amp;T expected to bid (Jones Walker, Phillips Lytle). We use 0.35, not 0.4, because the EchoStar 3.45 GHz purchase lowers AT&amp;T's need.)
• a fact: ex-dividend date: 2026-10-09 → 2026-10-12 (AT&amp;T declaration (record date Oct 12) under T+1; no dividend effect inside the Oct-9 drop.)
• a fact: source of the 2026-10-23 drop: Trefis only (original not found) → Bloomberg report relayed by Motley Fool (Supervisor source review.)
• a fact: peer set: 9 peers, mixed NTM bases, IFRS 16 pre-lease; medians 6.0x / 11.1x → 12 incumbents on CY2027E after leases; medians 5.52x (5.98x ex-DT) / 10.55x (Kilian's reconciled 12-peer set and basis (supervisor comps_review).)
• a scenario: bear: 16.65 → 15.15 (Driver deltas now flow into EPS, FCF/share and net debt (linked); fiber ARPU -2% added; eps_pct removed to avoid double counting.)
• a scenario: bull: 29.28 → 29.23 (Fiber ARPU +1% added; driver-linked EPS/FCF; eps_pct removed.)
• P(close &gt;= K): K=21: 0.645, 23: 0.53, 25: 0.395, 28: 0.23, 16.74: 0.858 → K=21: 0.605, 23: 0.49, 25: 0.365, 28: 0.21, 16.74: 0.82 (Lower research target and a lower, linked bear case; the ladder keeps a 40% weight on a neutral distribution near spot for continuing SpaceX headline risk.)
• thesis break: 16.5 → 16.5 (Unchanged: still ~5.3x NTM EBITDA on the peers' basis, 6.7% dividend yield and ~15.6% FCF-to-common yield; restated on the revised set.)</t>
  </si>
  <si>
    <t xml:space="preserve">Round 2 rebuild after the supervisor's review. Facts fixed: fiber stake now +4,058 x 0.9 as an equity adjustment (R63; round 1 had ~$1.7B in net debt); net debt at the horizon re-derived at 145.4B (Q4 FCF ~6B, 68% of FY27 FCF by Oct-23, three dividends, ~$7B/yr buybacks, NCI/preferred, Mexico x0.9); FCF per share on horizon shares (6,385M); postpaid phone base on reported year-end counts (73.4815M); home-internet FY26 average time-weighted for the Lumen subscribers (14.06M), which lowers fiber ARPU to the -4% the company reports. Model deepened: a sixth driver, the AC EBITDA margin, now sets segment EBIT, and the P/E and FCF legs read EPS and FCF computed from the drivers; Legacy is a plain run-off segment (driven revenue 81%). Industry follow-ups (8 searches/fetches): Verizon steering to the top of its 750k-1M phone-add guide with no free phones (TIKR), Comcast blaming fiber's $30-40 gig pricing for its losses, SpaceX's own plan of rooftop small cells rather than macro towers (Wireless Estimator), and FCC rules forcing the upper C-band auction to close by July 2027 (Light Reading). So we moved 2027 wireless ARPU to +1.6% (from +2.0%, a little below the supervisor's +1.75%), 2027 adds to 1.0M, AC EBITDA to +6.0%/+5.25% (inside the guide, below the 9M +7.0% that Lumen flatters), FCF to $18.7B/$20.1B (just under the floors), and added -$5B x 0.35 for C-band. Peers are the supervisor's 12 incumbents on one CY2027E after-lease basis (median 5.52x, 5.98x ex-DT; P/E 10.55x); our 6.0x on our EV is ~5.58x on that basis and 8.0x P/E matches AT&amp;T today. Research target (12m) $22.24 (round 1 $22.31; supervisor $23.29: we are lower on EBITDA and multiples). Scenarios bear $16.31 / base $22.24 / bull $27.51 at 25/50/25 with 17% within-scenario spread; the ladder shrinks the engine's median (~$22.0) toward spot for post-shock momentum and the SpaceX headline skew, median ~$21.6. Not driver-linked: none (all legs read the drivers); constants in the EPS/FCF expressions are listed in inputs_detail.</t>
  </si>
  <si>
    <t xml:space="preserve">$16 (-24%) is ~5.29x NTM horizon EBITDA on our EV (~4.9x on the peers' basis, cable-like), a 6.9% dividend yield and a ~17.8% FCF yield on our $2.85: consistent only with a broken cash-flow path (a cut to the $19B+ FCF or $24B+ buyback plan, a wireless price war after a signed SpaceX site deal, or a dividend cut). Kept at $16 rather than the supervisor's $16.5: on our lower EBITDA path $16.5 is 5.35x, within one 12-month standard deviation of our median, so it would not yet single out a fundamental break.</t>
  </si>
  <si>
    <t xml:space="preserve">• Whether SpaceX builds or leases a terrestrial layer (Bernstein: 30k-120k sites, $50-130B) and prices to take share, or ends up wholesaling via incumbents.
• Durability of the +4% postpaid phone ARPU from rate-plan refresh and legacy-plan price rises against Verizon's turnaround and cable MVNO growth.
• Fiber ARPU erosion (-4% y/y) vs penetration gains in Lumen territories; cable ("irrational" $30-40 gig pricing per Comcast) response.
• Size and timing of fiber JV proceeds; leverage path to 2.5x now "during 2029".
• Legacy EBITDA turning negative after 2027 and the pace of copper cost removal; copper monetisation upside.
• Whether the fiber JV's ownership of the network brings AT&amp;T access fees that dent AC margin from H2 2027 (undisclosed).
• FCF against the floors: our $18.7B/$20.1B sit 1.3%/4.3% under $19B+/$21B+ though AT&amp;T met every floor since 2023.</t>
  </si>
  <si>
    <t xml:space="preserve">• research target (12m): 22.31 → 22.24 (Net of the fixes and new evidence below: fiber stake (+$0.57/sh), C-band (-$0.27/sh), higher horizon net debt (-$0.38/sh on EV legs), lower ARPU and AC EBITDA path, FCF per horizon share.)
• a method: EV/EBITDA: 21.82 → 21.6 (Net debt 143.0B -&gt; 145.4B (supervisor), fiber stake and C-band adjustments added, NTM EBITDA 50.5B -&gt; 50.4B; multiple unchanged at 6.0x but now benchmarked on the reconciled 12-peer after-lease set (~5.58x on that basis).)
• a method: P/E: 22.4 → 22.8 (EPS now driver-linked ($2.80 stated -&gt; $2.81 computed) and the adjustments (+$0.30/sh) now enter this leg.)
• a method: FCF yield: 23.76 → 23.09 (Supervisor: use horizon shares (6,385M) not the NTM average; FY27/28 FCF 19.0/20.5B -&gt; 18.7/20.1B on the lower EBITDA path; FCF/share $2.97 -&gt; $2.85.)
• a fact: Forged Fiber / Composite Fiber 37 stake: ~$1.7B (2.0 x 0.85) in net debt → +4,058 x 0.9 equity adjustment (Supervisor finding, verified at 10-Q R63 (assets 4,781 - liabilities 723); R17: GIP/CPP buy equity in the JV, so it is a stake, not cash.)
• a fact: net debt at horizon: 143000 → 145400 (Supervisor's resolution, re-derived in our own bridge (145,375).)
• a fact: postpaid phone base: 73.4245 → 73.4815 (Reported year-end counts 72,749k / 74,214k (Q4 2025 Ex.99.2) instead of back-calculated ones.)
• a fact: FY26 average home-internet connections: 13.647 → 14.06 (Time-weighted for the Lumen subscribers added in February; reconciles revenue with the reported -4% fiber ARPU.)
• a scenario: wireless ARPU FY2027 (driver): +2.0% → +1.6% (Supervisor: +2.0% top of range with unchanged promotions; Verizon volume push (TIKR) and cable MVNO pricing put us slightly below its +1.75%.)
• a scenario: AC EBITDA margin driver: judgment EBIT margins 24.3/25.4/26.6% (not driver-linked) → AC EBITDA margin 40.3/41.3/42.3% driver (+6.45%/+6.0%/+5.25% AC EBITDA) (Supervisor asked for a margin driver; legacy revenue moved to a plain segment to keep 6 drivers.)
• a scenario: expected upper C-band spend: none → -5,000 x 0.35 (Supervisor flagged the missed auction; FCC rules (Light Reading, TV Technology) put the close by July 2027; p 0.35 not 0.4 because AT&amp;T just added EchoStar spectrum.)
• a fact: peer set and medians: 11 MarketScreener peers, IFRS 16 names pre-lease; median 5.98x / 10.6x → supervisor's 12 incumbents, after-lease, CY2027E; median 5.52x (5.98x ex-DT) / 10.55x (Supervisor comps_review and Kilian's reconciled set (VOD added, BCE/TU/RCI/TEF/SCMN after leases).)
• a fact: guidance_check: Legacy guide with no record; FCF FY27 at the floor → Legacy FY2026 (9M) scored against 8,472 (-25.3%, thin record); new AC EBITDA FY2027 entry (6.0%, inside); FCF FY27 18.7B below the floor (Supervisor feedback and the rebuilt driver path.)
• a scenario: bear / bull prices: 16.06 / 28.07 → 16.31 / 27.51 (Driver deltas now flow through EPS and FCF (no separate eps_pct); adjustments added; bull multiple 6.75x/8.75x.)
• P(close &gt;= K): 21: 0.555, 23: 0.415, 25: 0.29, 28: 0.15 → 21: 0.55, 23: 0.405, 25: 0.28, 28: 0.142 (Slightly lower research target and a narrower bull case; momentum and SpaceX skew keep the median (~$21.6) below the target.)
• thesis break: 16.0 → 16.0 (Unchanged; on our set $16 is ~5.29x NTM EBITDA (cable-like), while the supervisor's $16.5 is 5.35x and within one 12-month s.d. of our median.)</t>
  </si>
  <si>
    <t xml:space="preserve">Skeptic lane, revision round. Supervisor findings taken in: (1) net debt bridge now counts 68% of 2027 FCF by Oct-23 (9M26 FCF was 67% of the year), not 79%: horizon net debt 145.5B (was 143.0B, -$0.39/share); (2) peers replaced by Kilian's reconciled 12 incumbents on one CY2027E after-lease basis (median 5.52x / 10.55x; my round-1 5.6x was trailing GAAP and 7.5x P/E included CHTR 2.5x among four names); 6.0x / 8.0x re-argued against them (EV basis difference of ~0.42x for NCI and preferred made explicit); (3) fiber stake at book 4,058 with a 10% governance haircut argued separately from close risk; (4) upper C-band spend added (-5B x 0.45; FCC DA 26-769 sets bidding from 2027-04-27); (5) wireless ARPU 2027 +1.5% (was +1.0%) on the call's annualisation evidence, short of the supervisor's +1.75%; (6) AC EBITDA +5.5% / +5.0% (was ~+4%), the low end of the mid-to-high-single-digit guide, after the supervisor showed 9M26 AC EBITDA +7.0%; (7) OBBBA cash-tax fade put into 2028 FCF ($19.8B); (8) credit ratings now from AT&amp;T's July 2026 prospectus (Fitch BBB+ Negative Outlook, Moody's Baa2 stable, S&amp;P BBB stable) instead of the 2025 Finviz relay, and the unsourced Moody's 3.5x tolerance dropped; (9) Oct-9 drop is SpaceX only (record/ex-date Oct 12). Driver build: EBITDA $48.4B / $49.3B / $50.5B (2027 1% under the 49.75B consensus; 2028 +2.6% vs the 5%+ guide because Legacy turns negative), EPS $2.66 / $2.90, FCF $18.5B / $19.8B (just under the floors despite a 3-of-3 record, for interest +16% y/y, separation cash and the call's working-capital reallocation). Valuation at the horizon: 6.0x NTM EBITDA -&gt; $21.43, 8.0x EPS -&gt; $23.10, 12% FCF yield -&gt; $23.64; research target (12m) $22.46 (round 1 $22.82; supervisor $23.29: I am lower on multiples, AC EBITDA and C-band odds). Weighing honestly: the bear case is the multiple and post-2027 wireless pricing, not near-term cash flow; ~12% FCF yield and ~5% annual buybacks cushion the downside, and euro bonds priced at +65-175bp over mid-swaps in July 2026 show no credit stress. Ladder: 55% engine scenario mixture (bear $16.7 / base $22.5 / bull $27.5 at 25/50/25, 12% within-scenario vol) + 45% lognormal around ~$21.2 (spot plus a small price drift net of the 5.3% dividend) at sigma 0.28, left tail fattened slightly; median ~$21.7. Not driver-linked: Legacy, Latin America, AC Other and Corporate segments and both adjustments. Lane share: 24 of 62 sources are skeptic-lane; the 22 peer-basis and lease sources were mandated for the reconciled comps, and without them the share is 24 of 40 (60%).</t>
  </si>
  <si>
    <t xml:space="preserve">At $16 AT&amp;T would trade at ~5.65x CY2027 EBITDA on the engine's EV ((16 x 6,736.5M + net debt 149.8B + NCI/preferred 20.9B) / 49.3B), ~5.2x on the peers' basis (below every incumbent in the 12-peer set except cable, Orange and Vodafone), a ~15.7% FCF-to-common yield on my $18.5B and a 6.9% dividend yield: consistent only with a broken cash-flow path, e.g. a cut to the $19B+ FCF or $24B+ buyback plan, a Fitch downgrade forcing deleveraging ahead of buybacks, a signed SpaceX site deal followed by a wireless price war before 2028, or a dividend cut. My bear case ($16.7) sits just above it; the supervisor's $16.5 is the same reading.</t>
  </si>
  <si>
    <t xml:space="preserve">• Whether Starlink Mobile becomes a price-led fourth carrier (800 MHz + 65 MHz EchoStar spectrum + leased sites) or stays a capacity-limited rural/edge product.
• Wireless pricing: Verizon's subscriber push (Simplicity $30 for switchers) and AT&amp;T's unchanged promotions vs 4% postpaid phone ARPU growth from rate plans.
• Fiber ARPU erosion (-4% y/y in Q3, guided similar in Q4) from introductory pricing, convergence discounts and lower-ARPU Lumen customers.
• Leverage: 3.13x net debt/adjusted EBITDA after the EchoStar spectrum, 2.5x target pushed to 2029; Fitch BBB+ Negative Outlook (Moody's Baa2 and S&amp;P BBB stable, AT&amp;T prospectus July 2026); collateral of $1.68B on a multi-notch downgrade (10-Q); a possible ~$5B upper C-band purchase in mid-2027.
• Legacy EBITDA turning negative after 2027 and regulatory approvals for copper retirement.
• Execution through a CFO transition and ~$800M of separation cash in 2027.
• Whether the cash-tax benefit from the 2025 tax law ($2.5-3.0B a year in 2026-27) fades in 2028 and pulls FCF below the $21B+ guide.</t>
  </si>
  <si>
    <t xml:space="preserve">• research target (12m): 22.82 → 22.46 (Net debt 143.0B -&gt; 145.5B (supervisor: 68% not 79% of 2027 FCF), upper C-band -2.25B expected (supervisor long-dated review), offset by AC EBITDA at the low end of the guide (supervisor: 9M26 +7.0%), ARPU +1.5%, fiber stake at book x 0.9.)
• a method: EV/EBITDA: 22.11 (6.0x vs trailing peer median 5.6x) → 21.43 (6.0x = ~5.58x on the reconciled 12-peer basis vs median 5.52x) (Supervisor peer set/basis; multiple kept, value lower on net debt and C-band, NTM EBITDA 50.2B -&gt; 50.3B.)
• a method: P/E: 22.71 (8.0x on $2.76) → 23.10 (8.0x on $2.86) (Higher AC EBITDA path lifts FY2028 EPS to $2.90; 8.0x re-argued against the 10.55x reconciled median (structural discount).)
• a method: FCF yield: 24.63 (12% on $2.88) → 23.64 (12% on $2.81) (2027 FCF 19.0B -&gt; 18.5B (EBITDA under consensus, interest, separation cash); 2028 20.3B -&gt; 19.8B for the OBBBA cash-tax fade (supervisor long-dated review).)
• a fact: net debt at horizon: 143,000 → 145,530 (Supervisor: 9M26 FCF was 67% of the year; also dividends recomputed on falling shares (7,330 vs 7,530) and Mexico x 0.9.)
• a fact: fiber stake: 4,000 (4.6B invested less 13%) → 4,058 x 0.9 = 3,652 (Supervisor: book = R63 assets 4,781 - liabilities 723; haircut argued as governance, not close risk.)
• a fact: upper C-band: none → -5,000 x 0.45 (Supervisor long-dated review (I missed it); FCC DA 26-769 confirms bidding from 2027-04-27; 45% vs supervisor 40% for SpaceX bidding pressure.)
• a fact: wireless ARPU 2027: +1.0% → +1.5% (Supervisor resolution (+1.75%) from the call's annualising price actions; I keep 0.25pt lower for Verizon's price-led push.)
• a fact: AC EBITDA growth: ~+4% 2027 → +5.5% 2027 / +5.0% 2028 (Supervisor: 9M26 AC EBITDA +7.0% and the mid-to-high-single-digit guide; I stay at its low end.)
• a fact: peer medians: EV/EBITDA 5.6x trailing; P/E 7.5x (4 names) → 5.52x (5.98x ex-DT); 10.55x (Supervisor/Kilian reconciled 12-incumbent CY2027E after-lease set; LUMN, TDS, SHEN, LBTYA dropped.)
• a fact: credit ratings source: Finviz 2025 relay of Moody's; Moody's 3.5x tolerance → AT&amp;T FWP 2026-07-27: Moody's Baa2 (Stable), S&amp;P BBB (Stable), Fitch BBB+ (Negative Outlook); 3.5x claim dropped (Supervisor source review: cite primary documents, not relays.)
• a scenario: bear 17.17 / base 22.82 / bull 27.86 → bear 16.68 / base 22.46 / bull 27.54 (Engine re-run on the revised set; bear wireless ARPU -2.5% (was -2%) per the supervisor's SpaceX bear.)
• P(close &gt;= K): K=21: 0.565; K=23: 0.43; K=25: 0.305 → K=21: 0.555; K=23: 0.415; K=25: 0.29 (Research target down 1.6%; same spread and base-rate blend.)
• thesis break: 16.0 → 16.0 (Re-derived on the reconciled peer basis (~5.2x peer-basis EBITDA, 15.7% FCF yield, 6.9% dividend yield); supervisor's 16.5 is the same reading.)</t>
  </si>
  <si>
    <t xml:space="preserve">Round 2 after the supervisor's fact-checks. Facts: FY2025 revenue $125.6B, adj. EBITDA $46.4B, adj. EPS $2.12; 3Q26 adj. EPS $0.65 (GAAP $0.12 after a $2.6B Mexico impairment and separation charges), FY26 guide 'the $2.40 range'; net debt $149.8B (3.13x) after the EchoStar spectrum; Mexico (~$2.0B cash at closing, R17) and Forged Fiber ($4.06B net assets, R63) held for sale. Price moves: Oct-9 -10.8% = SpaceX agreeing to buy Grain's nationwide 800 MHz licences for Starlink Mobile (multiple only; corrected: no ex-dividend that day, the record and ex-date was Oct-12 under T+1). Oct-21 -6.4% = results day: adds slowed to 379K, fiber ARPU -4%, Q4 EBITDA headwinds, leverage target pushed to 2029: a small change to the earnings path carried in the fiber ARPU driver. Oct-23 -8.0% = Bloomberg report that SpaceX seeks &gt;=80,000 US cell sites (relayed by Motley Fool / 24/7 Wall St.): multiple only. Alternative-lane evidence: Polymarket 13% (mid-2027) / 34.5% (end-2027) that SpaceX becomes a US carrier (thin ~$15k volume: low confidence, a cross-check only); SpaceX Starlink Mobile job postings are mostly satellite D2D RAN roles; TD Cowen's survey says AT&amp;T customers are the most willing to try Starlink Mobile; Wccftech flags SpaceX as a likely bidder in the upper C-band auction. Changes: FCF rebuilt from the cash-flow bridge ($18.6B/$19.9B vs $17.2B/$18.2B), Mexico cash $2.0B, fiber stake at R63 book, an expected C-band payment, AC EBITDA set inside the guide (+6.0%/+5.5%), ARPU +1.8%, peers replaced by Kilian's 12 on CY2027E (5.52x / 10.55x), EPS, FCF/share and horizon net debt driver-linked. Multiples held at today's de-rated levels (6.2x / 8.0x / 12.4%), so the SpaceX risk sits in the multiple once, not also as a deduction. Research target (12m) $23.37. Ladder: mixture of the engine's scenarios (bear $15.82 25%, base $23.37 50%, bull $28.91 25%; 15%/13%/13% within-scenario vol) blended 75/25 with a 30%-vol random walk around $20.93 (+3% drift) for momentum and base rates; median ~$22.9, P(&gt;=21) 62%. Source mix: 19 of 53 sources are in-lane (36%), below the 60% guide only because the mandated 12-peer CY2027E pages and the filing fact-checks add 23 out-of-lane sources; 18 of my 30 round-1 research sources were in-lane. All legs are driver-linked; no custom legs.</t>
  </si>
  <si>
    <t xml:space="preserve">Below ~$16.50 (bear value $15.8) the stock would price ~5.4x NTM horizon EBITDA on our EV, ~5.7x EPS, a 6.7% dividend yield and a ~17% FCF-to-common yield: consistent only with a structural loss of wireless pricing power or a broken cash-flow path, i.e. SpaceX has signed tower access and a launch date and a price war has started (ARPU turning negative), FCF tracks well under the $19B+ guide, or the buyback / $1.11 dividend is cut to defend the 2.5x leverage target.</t>
  </si>
  <si>
    <t xml:space="preserve">• Whether SpaceX converts spectrum plus tower talks into a terrestrial 4th carrier, and on what price; job postings are still mostly satellite D2D RAN roles, not a terrestrial build-out team.
• Wireless ARPU after the 2026 price actions: +4% in 3Q26 vs the risk of promotions as rivals and a new entrant compete for switchers.
• Fiber ARPU erosion (-4% YoY in 3Q26 and guided similar in Q4) from convergence discounts and lower-ARPU Lumen customers.
• Whether EBITDA accelerates to the 5% 2028 plan as Legacy turns EBITDA-negative after 2027 (my build: +3.5%, AC +5.5%).
• Leverage at 3.13x after the $23B EchoStar spectrum, with the 2.5x target pushed to 2029, while $24B+ of buybacks continue.
• Size and timing of the Composite Fiber 37 JV proceeds (stake at book $4.06B) and of any upper C-band spend before the horizon.</t>
  </si>
  <si>
    <t xml:space="preserve">• research target (12m): 23.09 → 23.37 (Engine value of the revised set: FCF rebuilt from the cash-flow bridge (+), Mexico $2.0B cash x 0.9 (+$0.09/sh vs round 1), fiber stake at R63 book, expected C-band spend (-$0.33/sh), AC EBITDA inside the guide (+), ARPU +1.8% (-), peers on the 12-incumbent CY2027E basis with the multiples at today's levels.)
• a fact: Mexico sale proceeds: ~1,100 (HFS net assets) → 2,000 cash at closing + 1,209 HFS leases, x 0.9 (Supervisor: 10-Q R17 'approximately $2,000 in cash at closing'; verified in the filing text.)
• a fact: FY2027 FCF: 17200 → 18629 (Supervisor: my identity (EBITDA - capex - interest - cash tax) dropped CFO items and gave 2027 below 2026. Rebuilt from the Ex.99.3 bridge with 2026 calibrated to ~$18.1B (9M 12,129 + Q4 ~6B, call); still 2% under the $19B+ floor because my EBITDA is ~0.8B under consensus (disagree with the supervisor's 18.8B by that amount).)
• a fact: FY2028 FCF: 18191 → 19874 (Same rebuild; cash taxes 1.6B as the OBBBA benefit fades (supervisor long-dated finding).)
• a method: EV/EBITDA: 22.76 → 23.2 (NTM EBITDA 49.6B -&gt; 50.3B (AC EBITDA path inside the guide), net debt 145.1B -&gt; 144.7B (Mexico cash, FCF), C-band adjustment; 6.2x kept but now benchmarked on the 12-peer CY2027E basis (~5.8x on their EV = AT&amp;T today).)
• a method: P/E: 23.62 → 23.5 (NTM EPS 2.88 -&gt; 2.91 (driver-linked), 8.0x kept = AT&amp;T today on 2027E; peer median now 10.55x (12 peers) instead of 7.5x (4 US names incl. CHTR).)
• a method: FCF yield: 22.66 → 23.5 (FCF/share 2.65 -&gt; 2.88 from the FCF rebuild (now net of preferred dividends too); yield 12.0% -&gt; 12.4% = today's level on the 2027 guide.)
• a scenario: bear: 16.01 → 15.82 (Driver-linked EPS/FCF now move with the ARPU/subscriber deltas, so eps_pct carries only the margin delta (-5.5%); C-band adjustment.)
• a scenario: bull: 28.43 → 28.91 (Higher base FCF and EBITDA.)
• P(close &gt;= K): K=21 0.614, 23 0.475, 25 0.337, 28 0.176 → K=21 0.624, 23 0.491, 25 0.354, 28 0.191 (Scenario values up ~1-2%; same 75/25 blend with the random walk.)
• thesis break: 16.5 → 16.5 (Unchanged; at $16.5 the revised set implies ~5.4x NTM EBITDA and ~17% FCF-to-common yield (supervisor also 16.5).)
• a fact: 2026-10-09 ex-dividend: ~1.1pt of the Oct-9 drop was the ex-dividend → none: record date 2026-10-12 = ex-date under T+1 (Supervisor; AT&amp;T declaration (record Oct 12) and SEC T+1 rule.)
• a fact: peer set and medians: 8 US names incl. LUMN/TDS/SHEN/LBTYA; P/E 7.5x NTM, EV/EBITDA 5.6x trailing → Kilian's 12 incumbents, CY2027E after leases: EV/EBITDA 5.52x (5.98x ex-DT), P/E 10.55x (Supervisor comps_review; trailing GAAP multiples were compared to forward AT&amp;T figures.)
• a fact: guidance_check units: percent (2.73, 3.75, 19.0) → fractions (0.0273, 0.0375, 0.19) (Supervisor.)
• a fact: SpaceX long-dated effect: -2.2 → -1.7 (Supervisor asked whether it was inside the 6.2x: it is (6.2x vs ~6.8x pre-news = ~-$4.7/sh priced), so it is not deducted again; recomputed expected effect -$1.7.)
• a fact: upper C-band spend: none → -6,000 x 0.35 adjustment (Supervisor finding (missed in round 1); verified the FCC July-2026 order (TV Technology) and SpaceX bidding risk (Wccftech); my probability 0.35 vs the supervisor's 0.4.)
• a fact: wireless ARPU 2027: +2.0% → +1.8% (Supervisor +1.75% (price actions annualise in H1 2027); I keep slightly more because the Aug-2026 fee increase annualises through Q3 2027.)
• a fact: Polymarket confidence: medium → low (Supervisor: ~$15k volume; cross-check only, no number rests on it.)</t>
  </si>
  <si>
    <t xml:space="preserve">1) Facts: Q3 2026 adjusted EPS $0.65; GAAP $0.12 carries a $2.56bn non-cash impairment on held-for-sale Mexico and an ~$800M separation charge (cash mainly 2027). Outlook: 2026 EPS ~$2.40, capital investment $22-23bn for 2027-28, FCF $18B+/$19B+/$21B+, Q4 FCF ~$6B, 2026 cash taxes ~$750M under OBBBA (call). 2) October drops: Oct 9 (-10.8%) = Grain's sale of its 800 MHz licences to SpaceX (no ex-dividend that day: record/ex-date was Oct 12; round-1 error corrected); Oct 21 (-6.4%) = results day, slower adds (379k) and fiber ARPU -4%; Oct 23 (-8.0%) = Bloomberg report of SpaceX talks for 80,000+ sites. All three move the multiple more than 2026-27 earnings; I keep the de-rating. 3) Revisions from the supervisor: preferred $2,950M now deducted (-$0.46/share); the Composite Fiber 37 / Lumen Mass Markets stake added at book 4,058 less 15% (+$0.54); Auction 115 re-timed with its 2027-04-27 start and sized from Auction 107 (-$6bn x 0.5 = -$0.47, vs -$0.31 round 1); FY2025 segment base replaced with the Ex.99.4 recast; peers replaced with the 12-incumbent CY2027E after-lease set (5.52x / 10.55x). 4) Driver build: postpaid phones 74.9/76.2/77.2M avg, wireless revenue per phone +1.7/+1.5/+0.8% (from +1.0/+0.8; supervisor +1.75%: I stay lower because the CFO says growth comes from adds, not pricing), connections 15.4/18.4/21.1M, blended broadband ARPU -8.4/-2.5/-1.5% (CFO: fiber ARPU stable), AC EBITDA +6.4/+6.0/+5.5% (inside the mid-to-high single-digit guide; supervisor +6.25/+6.0), capital investment 23.4/22.8/22.8bn -&gt; adjusted EBITDA 48.2/49.5/50.7bn (consensus 2027 49.75bn, 2028 52.0bn), EPS 2.41/2.63/2.86 (Zacks 2.38/2.54/2.86), FCF ~18.1/18.7/20.4bn (below the 19+/21+ floors; record of three floors met carries 45% weight). Net debt at the horizon $145.4bn, 6,400M shares. 5) Valuation: EV/EBITDA 6.1x = $22.20 (w 0.5), P/E 8.2x = $23.19 (w 0.35), FCF yield 12% = $24.07 (w 0.15) -&gt; research target (12m) $22.83 (+9.1%, plus $1.11 dividends); round 1 $22.44. The P/E EPS and FCF/share are stated (not driver-linked inside the engine). 6) Base rates (my lane) and how they enter: T's 12-month price change after similar setups (down &gt;12% over a year, within 6% of the 52-week low; weekly samples since 1991 ex-WarnerMedia spin) median -5.4%, 37% positive (n=103 overlapping, few independent episodes); pooled six telcos (n=578) median +5.4%, p10 -28%, p90 +41%. They enter the ladder as a separate component, not through the scenarios: a lognormal with median $21.13 (20.93 x exp(0.4 x ln 0.946 + 0.6 x ln 1.054) = 20.93 x 1.0094) and sigma 0.262 (pooled p10/p90 spread / 2.563), weight 0.30. The other 0.70 is the engine's scenario mix (bear $15.39 / base $22.83 / bull $28.69 at 25/50/25%, within-scenario vol 0.14). Result: median ~$22.20, below the research target; P(&gt;=21) 0.582, P(&gt;=25) 0.315, P(&gt;=16.74) 0.812. Event odds: Polymarket SpaceX US carrier 13% by mid-2027 / 34.5% by end-2027 (thin, ~$15k, cross-check only); Fed cut by March 2027 14%. 7) Sources: ~half are company filings/releases and the brief-mandated peer pages (data); the discretionary ones are mostly in lane (Yahoo base-rate studies, Polymarket, FRED, FCC/Auction 107/AWS-3 history, new-entrant precedents). Research limited to 8 follow-up queries this round.</t>
  </si>
  <si>
    <t xml:space="preserve">Below ~$16.5 (-21%) the market would be paying ~5.4x NTM horizon EBITDA on my EV (~5.0x on the peers' basis, Comcast-like), ~5.9x EPS, a 6.7% dividend yield and a 17.5% FCF-to-common yield: consistent only with a broken cash path, i.e. FCF well short of the $19B+/$21B+ floors, a buyback cut, a wireless price war after a signed SpaceX site/MVNO deal, or a dividend cut. Ordinary 30%-vol noise rarely takes a cash-backed incumbent there without one of these.</t>
  </si>
  <si>
    <t xml:space="preserve">• Whether SpaceX can turn ~79 MHz of spectrum (EchoStar ~65 MHz + Grain up to 14 MHz) and 80k tower sites into a priced national service, and whether it gets an MVNO with a Big 3 carrier.
• Wireless pricing: promotional discounts flagged in Q3, churn up to 0.92%, postpaid adds slowing; Verizon's turnaround and cable MVNOs.
• Whether AT&amp;T reaches its FCF floors ($18bn+ 2026, $19bn+ 2027) while carrying 3.1x net leverage and paying ~$7bn/yr buybacks.
• Legacy run-off pace and copper-retirement approvals (EBITDA negative after 2027).
• Auction 115 (starts 2027-04-27): whether AT&amp;T bids after the $22.65bn EchoStar purchase, and at what price; value of the 50% Composite Fiber 37 stake.
• Rates: 10-year Treasury ~5% and few Fed cuts priced (Polymarket 14% by March 2027) keep yield-stock multiples low.</t>
  </si>
  <si>
    <t xml:space="preserve">• research target (12m): 22.44 → 22.83 (Supervisor findings: preferred $2,950M added (-$0.46), fiber stake added (+$0.54), Auction 115 re-sized as an adjustment (-$0.47 vs -$0.31 in net debt), AC EBITDA and ARPU paths raised on the Q3 call, FCF re-weighted toward the record; P/E cut to 8.2x.)
• a fact: preferred stock: 0 → 2950 (Supervisor: Series A 48,000 + Series C 70,000 shares x $25,000; dividends reconcile (AT&amp;T 2026-09-24 declaration).)
• a fact: Forged Fiber / Composite Fiber 37 stake: 0 (excluded) → +3,450 (4,058 book x 0.85) (10-Q R63 net assets 4,058; R17: 50% sold to GIP/CPP, AT&amp;T keeps 50%, close H1 2027. I haircut 15% (non-controlling, illiquid) where the supervisor used x0.9.)
• a fact: Oct-9 drop: SpaceX-Grain plus ~1.1pt ex-dividend → SpaceX-Grain only (Record date Oct 12 = ex-date under T+1 (AT&amp;T declaration; SEC T+1 release).)
• a method: Auction 115 spectrum: +$2.0bn in net debt (July timing) → -$6.0bn x 0.5 = -$3.0bn adjustment (Supervisor asked to size with the FCC timetable; new evidence: auction scheduled to begin 2027-04-27 (Jones Walker), close by July 2027 (FCC 26-46), so payments land before the horizon; size from Auction 107 (AT&amp;T 28.8% of $81.2bn) at lower $/MHz-pop (AWS-3 only $3.5bn). I differ from the supervisor's 0.4 x $5bn.)
• a method: peer set and multiples: 10 peers, NTM blend, pre-lease IFRS (5.73x / 10.68x) → supervisor's 12 incumbents, CY2027E, after leases (5.52x / 10.55x; 5.98x ex-DT) (Supervisor comps_review (Kilian's reconciled set); EV/EBITDA kept at 6.1x on full claims (5.69x peer basis), P/E 8.3x -&gt; 8.2x (= today's NTM multiple).)
• a method: wireless revenue per phone (driver wsr_pp): +1.0% / +0.8% (2027/28) → +1.5% / +0.8% (Supervisor resolution +1.75% from the Q3 call (postpaid ARPU +4%, price actions annualise); I stay below it because the CFO says growth is from adds, not pricing, and new-entrant base rates.)
• a method: broadband ARPU (bb_arpu): -4% / -3% → -2.5% / -1.5% (Q3 call: fiber ARPU 'relatively stable' over the plan; decline left is mix only.)
• a method: AC EBITDA growth (ac_m): +5.5% / +5.0%; base estimated 44,525 → +6.0% / +5.5%; base 44,547 (Ex.99.4 recast) (Supervisor disagreement on FY2028 EBITDA (resolution +6.25%/+6.0%) and the recast it cited; I stay under the 6.5% midpoint.)
• a method: FCF 2027 / 2028: 18.4 / 19.6bn → 18.7 / 20.4bn (Supervisor: floors met 3 of 3, Q4 ~$6B (call) means a fourth; OBBBA cash-tax fade (supervisor long-dated review) put into 2028. Weight on the record 1/3 -&gt; 0.45.)
• a fact: net debt at horizon: 147.5bn (incl. +2.0bn spectrum) → 145.36bn (spectrum and fiber as adjustments) (Q4 FCF ~$6B (call), 68% seasonal share of 2027 FCF, preferred dividends added; matches the supervisor's 145.4bn independently.)
• a fact: shares at horizon: 6,420M → 6,400M (Q4 buybacks now 2.53bn in both net debt and the share count (round-1 inconsistency).)
• a scenario: bear 15.10 / base 22.44 / bull 28.22 → bear 15.39 / base 22.83 / bull 28.69 (Same deltas on the revised set.)
• P(close &gt;= K): K=21: 0.564, K=25: 0.284, K=16.74: 0.799 → K=21: 0.582, K=25: 0.315, K=16.74: 0.812 (Revised scenarios plus the base rates entering as an explicit 30% component (median $21.13, sigma 0.262) instead of shading the base case (supervisor asked to separate them).)
• thesis break: 16.5 → 16.5 (Unchanged: at $16.5 the revised set implies ~5.4x EBITDA (~5.0x peer basis), 6.7% dividend yield, 17.5% FCF yield; supervisor also 16.5.)</t>
  </si>
  <si>
    <t xml:space="preserve">T supervisor</t>
  </si>
  <si>
    <t xml:space="preserve">Confidence: low. Our reconciled target ($23.16) is within $0.08 of the forecasters' mean ($23.08, after the gate arithmetic fixes); the searches confirmed the agents' facts and settled small driver gaps (D&amp;A run rate, FCF share, ARPU exit rate) in both directions, but nothing that clearly moves the distribution, so the mean ladder stands.</t>
  </si>
  <si>
    <t xml:space="preserve">Summary</t>
  </si>
  <si>
    <t xml:space="preserve">AT&amp;T's research target (12m) is $23.16 (+11% from $20.93, plus a 5.3% dividend), the engine value of a driver-led set that the five revised forecasts now bracket ($22.24-24.39 after the gate arithmetic fixes, mean $23.08). The horizon EV/EBITDA stays at the post-SpaceX 6.1x, as Kilian decided; the build sits below management on 2028 (EBITDA +3.4% vs 5%+, FCF $18.5B/$20.0B vs the $19B+/$21B+ floors) because Legacy EBITDA turns negative and ARPU growth fades, while lower D&amp;A and ~5% a year of buybacks keep 2028 EPS at $2.91, above the $2.82 floor. Our checks narrowed small gaps rather than settling a large one, so the ladder stays at the forecasters' mean; the thesis break is $16.5 (cable-like ~5.2x EBITDA). SpaceX headlines (FCC space-coverage vote Oct-29, any site deal) are the near-term risk; a 4-6% position in two tranches fits a book with no telecom exposure.</t>
  </si>
  <si>
    <t xml:space="preserve">Research target (12m)</t>
  </si>
  <si>
    <t xml:space="preserve">Key drivers</t>
  </si>
  <si>
    <t xml:space="preserve">• Average postpaid phone subscribers (AT&amp;T, Advanced Connectivity): 73.43 -&gt; 74.91/76.16/77.04 (estimate; quarterly, mean)
• AC wireless service revenue per average postpaid phone: 76.47 -&gt; 77.76/79/79.59 (estimate; quarterly, wmean:pp_subs)
• Average consumer AT&amp;T Fiber + Internet Air connections: 10.89 -&gt; 14.06/16.57/18.87 (estimate; quarterly, mean)
• Advanced home internet revenue per average connection: 72 -&gt; 69.55/67.3/67.65 (estimate; quarterly, wmean:hi_subs)
• Advanced Connectivity EBITDA margin: 0.3962 -&gt; 0.4005/0.4126/0.423 (estimate; quarterly, wmean:pp_subs*(ws_arpu*3+310.636*eqs)+hi_subs*hi_arpu*3+bwo)
• Capital investment (capex + vendor financing payments): 2.202e+04 -&gt; 2.37e+04/2.28e+04/2.27e+04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</si>
  <si>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</si>
  <si>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</si>
  <si>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</si>
  <si>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</si>
  <si>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</si>
  <si>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Horizon EV/EBITDA multiple (keep the post-SpaceX de-rating or not)</t>
  </si>
  <si>
    <t xml:space="preserve">agent_1 6.2x, agent_4 6.2x, agent_5 6.1x, agent_2 6.0x, agent_3 6.0x on EV incl. NCI and preferred (5.58-5.85x on the peers' basis); round-1 supervisor 6.1x; pre-2026-10-08 ~6.8x</t>
  </si>
  <si>
    <t xml:space="preserve">6.1x, decided by Kilian 2026-10-26 05:23Z (keep the post-SpaceX multiple, no revert). Each 0.1x is ~$0.40/sh on the research target (6.0x 22.65, 6.2x 23.44).</t>
  </si>
  <si>
    <t xml:space="preserve">Peer benchmark: 11-incumbent CY2027E median ex-DT 5.98x (12-peer 5.52x incl. DT, reference only; lease adjustments re-sourced in the gate fix); AT&amp;T today 5.78x on that basis (MarketScreener 2027E EBITDA 49.75B, net debt 146.6B, opened) and 6.23x on our EV over consensus NTM EBITDA; 6.1x = 5.69x on the peers' basis.</t>
  </si>
  <si>
    <t xml:space="preserve">Advanced Connectivity EBITDA growth 2027-28 and consolidated EBITDA vs the 5%+ 2028 plan</t>
  </si>
  <si>
    <t xml:space="preserve">2027/2028 AC EBITDA: agent_1 +6.0/+6.0, agent_2 +6.0/+5.25, agent_3 +5.5/+5.0, agent_4 +6.0/+5.5, agent_5 +6.0/+5.5; consolidated 2028: agent_1 +4.75%, agents 2/4 ~+3.5%, agents 3/5 ~+2.5%</t>
  </si>
  <si>
    <t xml:space="preserve">+6.0% / +5.5% AC; consolidated 2028 +3.4% (continuing basis), below the 5%+ floor. The 2028 step-down comes from the driver path (AC service revenue +4.1% then +3.3% as ARPU growth fades to +0.75%) and the Legacy swing from +$0.92B to -$0.16B.</t>
  </si>
  <si>
    <t xml:space="preserve">9M 2026 AC EBITDA 35,920 vs 33,579 (+6.97%), Q3 +7.3% (Ex.99.3, opened); FY2025 AC EBITDA 44,547 and Legacy EBITDA 3,339, 9M 2026 Legacy EBITDA 1,633 with zero Legacy D&amp;A (Ex.99.4, Ex.99.2, opened); guide: Legacy EBITDA negative after 2027 (Q3 release, opened). At the 6.5% AC midpoint in 2028 the research target is $23.46.</t>
  </si>
  <si>
    <t xml:space="preserve">2027 adjusted EPS and the D&amp;A / other-income bridge</t>
  </si>
  <si>
    <t xml:space="preserve">Driver-linked FY2027 EPS: agent_1 $2.64, agent_2 $2.60, agent_3 $2.66, agent_4 $2.66, agent_5 $2.63 (consensus $2.54 Zacks / $2.621 MarketScreener)</t>
  </si>
  <si>
    <t xml:space="preserve">$2.66 FY2027 and $2.91 FY2028 (gate fix: corporate D&amp;A ~$315M a year now below EBITDA). AC D&amp;A has fallen to ~15.95% of AC revenue (Q3 2026) from 17.75% in FY2025, Mexico D&amp;A stopped under held-for-sale accounting, and other income is calibrated so FY2026 lands on the '$2.40 range' (9M $1.86).</t>
  </si>
  <si>
    <t xml:space="preserve">FY2025 AC D&amp;A 19,959 on revenue 112,424 (Ex.99.4); Q3 2026 AC D&amp;A 4,702 on AC revenue 29,481 and 9M 14,094 (Ex.99.3/99.2); call: 2026 EPS raised "primarily because of lower depreciation expense related to held-for-sale accounting for AT&amp;T Mexico" (all opened).</t>
  </si>
  <si>
    <t xml:space="preserve">Free cash flow 2027-28 against the $19B+ / $21B+ floors</t>
  </si>
  <si>
    <t xml:space="preserve">FY2027/FY2028: agent_1 18.94/20.2, agent_2 18.75/20.1, agent_3 18.5/19.8, agent_4 18.63/19.87, agent_5 18.7/20.4 (agent_5 blends 45% on the record-adjusted guide); consensus 19.24/20.97</t>
  </si>
  <si>
    <t xml:space="preserve">18.5B / 19.9B (corporate -2,130 after the gate fix) from an identity calibrated on FY2026 (EBITDA 48.26B - capital investment 23.4B - FCF 18.13B): 2027 adds interest +0.35B, cash taxes +0.25B and ~0.65B separation cash; 2028 drops the separation cash but cash taxes rise ~0.9B.</t>
  </si>
  <si>
    <t xml:space="preserve">9M 2026 FCF 12,129 (Ex.99.3) and Q4 ~$6B, cash taxes ~$750M in 2026, $800M separation charge with cash primarily in 2027, and the ~$1B capex cut 'reallocated' to working capital and interest (call, read in the transcript); floors met 3 of 3 (FY2024 17.6 vs 17-18, FY2025 16.6 vs 16+; releases opened). Moving to the floors adds ~$0.21/sh.</t>
  </si>
  <si>
    <t xml:space="preserve">Net debt at the horizon (share of 2027 FCF earned by 2027-10-23)</t>
  </si>
  <si>
    <t xml:space="preserve">agent_4 144.7B (0.72 share), agents 2/3/5 145.4-145.5B (0.68), agent_1 147.9B with Mexico carried as a separate +$2.89B adjustment (equivalent ~145.0B)</t>
  </si>
  <si>
    <t xml:space="preserve">144.3B with a 0.752 share (gate fix: 66.9% + 23/92 x 33.1%): 9M 2026 FCF was 66.9% of the year (12,129 / ~18,129) and 23 days of Q4 add part of a quarter that carries a third of the year's FCF; the dividend paid 2026-11-02 sits in Q4 2026.</t>
  </si>
  <si>
    <t xml:space="preserve">Ex.99.3 (9M FCF), call (Q4 ~$6B), 10-Q R17 (Mexico ~$2,000M cash at closing, Q1 2027), Q3 Ex.99.3 net debt 149,819 (opened). Effect vs 0.68: +$0.06/sh on the EV leg.</t>
  </si>
  <si>
    <t xml:space="preserve">Upper C-band (Auction 115) spend before the horizon</t>
  </si>
  <si>
    <t xml:space="preserve">agent_1 and agent_2 -$5B x 0.35, agent_3 -$5B x 0.45, agent_4 -$6B x 0.35, agent_5 -$6B x 0.5 (expected -$1.75B to -$3.0B)</t>
  </si>
  <si>
    <t xml:space="preserve">-$5B x 0.4 = -$2.0B (-$0.31/sh): bidding is tentative from 2027-04-27 with statutory completion by 2027-07-04, so any winning bid is paid before the horizon; AT&amp;T is likely to bid lightly after the 2026 EchoStar spectrum purchase at 3.13x leverage.</t>
  </si>
  <si>
    <t xml:space="preserve">FCC Public Notice DA 26-769 (bidding tentatively 2027-04-27, 160 MHz, 3,248 licences) (also the statutory 2027-07-04 completion deadline), found this round; no AT&amp;T statement on participation.</t>
  </si>
  <si>
    <t xml:space="preserve">Home internet driver definition and the 2026 base</t>
  </si>
  <si>
    <t xml:space="preserve">agent_1 all-connection base 11.95M with consumer revenue (ARPU $65.6, not comparable to reported fiber ARPU); agents 3/5 all broadband incl. business revenue 16,653 (ARPU ~$115); agents 2/4 consumer AT&amp;T Fiber + Internet Air 10.93M x $71.76</t>
  </si>
  <si>
    <t xml:space="preserve">Consumer definition (agents 2/4) with agent_2's time-weighted 2026 average 14.06M (Lumen customers from Q1), which reproduces the Q3 quarterly blended ARPU ($68.66) and the reported -4% fiber ARPU; all definitions reproduce revenue, so value is little affected.</t>
  </si>
  <si>
    <t xml:space="preserve">Q3 2026 Ex.99.2: AT&amp;T Fiber 12,560k + Internet Air 2,231k at 2026-09-30, advanced home internet revenue Q3 2,975 / 9M 8,700 (opened); call: fiber ARPU -4% in Q3 and Q4, "relatively stable ARPU" over the plan.</t>
  </si>
  <si>
    <t xml:space="preserve">Wireless service ARPU growth 2027</t>
  </si>
  <si>
    <t xml:space="preserve">agent_4 +1.8%, agent_3 +1.5%, agent_1 +1.5%, agent_5 +1.5%, agent_2 +1.6%; round-1 supervisor +1.75%</t>
  </si>
  <si>
    <t xml:space="preserve">+1.6%: the Q3 2026 run rate ($78.86 per average postpaid phone) already contains the April/June 2026 price actions, so 2027 is the exit rate plus ~0.2% of fees; +0.75% in 2028.</t>
  </si>
  <si>
    <t xml:space="preserve">Q3 2026 wireless service revenue 17,764 over average Q3 postpaid phones ~75.09M (Ex.99.2, opened); call: wireless service revenue +5%, postpaid phone ARPU +4% from new and refreshed plans and back-book pricing, promotions unchanged.</t>
  </si>
  <si>
    <t xml:space="preserve">P/E and FCF-yield horizon multiples</t>
  </si>
  <si>
    <t xml:space="preserve">P/E: agent_1 8.1x, agents 2/3/4 8.0x, agent_5 8.2x; FCF yield: agent_1 12.3%, agent_2 12.5%, agent_3 12.0%, agent_4 12.4%, agent_5 12.0%</t>
  </si>
  <si>
    <t xml:space="preserve">8.3x and 12.3%, AT&amp;T's own levels today on consensus NTM figures (the same principle as keeping the de-rated EV/EBITDA): $20.93 / (0.19 x 2.38 + 0.81 x 2.54) = 8.34x on Zacks consensus for both years (gate fix: was 8.13x mixing Zacks 2026 with MarketScreener 2027, whose EPS basis is not stated); FCF to common (0.19 x 17.97B + 0.81 x 19.24B - 1.65B) / 6,745.5M = 12.3%.</t>
  </si>
  <si>
    <t xml:space="preserve">Nasdaq API (Zacks consensus EPS*) FY2026 2.38, FY2027 2.54, FY2028 2.86; MarketScreener AT&amp;T consensus 2026-28 EBITDA 48,254/49,750/51,989, FCF 17,971/19,239/20,973 (EPS 2.003/2.621/2.934, basis unstated, not used for the P/E level); peer P/E median 10.55x indicative.</t>
  </si>
  <si>
    <t xml:space="preserve">Fiber stake haircut</t>
  </si>
  <si>
    <t xml:space="preserve">agents 1-4 $4,058M x 0.9; agent_5 x 0.85</t>
  </si>
  <si>
    <t xml:space="preserve">x 0.9 (+$0.57/sh): the haircut covers governance (investor tie-break on the CEO) and close risk; no separate holdco discount on a 50% stake in the network AT&amp;T itself uses.</t>
  </si>
  <si>
    <t xml:space="preserve">10-Q R63 assets 4,781 - liabilities 723 = 4,058; R17: GIP/CPP buy equity in Composite Fiber 37, joint board, equity method, close H1 2027 (opened this round).</t>
  </si>
  <si>
    <t xml:space="preserve">Explanation of the 2026-10-09, 10-21 and 10-23 price drops</t>
  </si>
  <si>
    <t xml:space="preserve">All five: Oct-9 SpaceX buying Grain's 800 MHz licences (no ex-dividend effect), Oct-21 results day (379k adds, fiber ARPU -4%, leverage target to 2029), Oct-23 Bloomberg report of SpaceX seeking 80,000+ sites</t>
  </si>
  <si>
    <t xml:space="preserve">Accepted: all five trace each drop to a primary or reputable original; no disagreement remains. Oct-21 is an earnings-path move; Oct-9 and Oct-23 are multiple moves (the 6.1x keeps them).</t>
  </si>
  <si>
    <t xml:space="preserve">Closes 24.87 -&gt; 22.18 (-10.8%) on Oct-9, 23.42 -&gt; 21.91 (-6.4%) on Oct-21, 22.74 -&gt; 20.93 (-8.0%) on Oct-23 (Twelve Data, checked); Latham &amp; Watkins deal note (Grain), Q3 release and call, Motley Fool / 24/7 Wall St. relaying Bloomberg.</t>
  </si>
  <si>
    <t xml:space="preserve">Disagreements (round 1)</t>
  </si>
  <si>
    <t xml:space="preserve">Value of the Forged Fiber / Composite Fiber 37 stake</t>
  </si>
  <si>
    <t xml:space="preserve">agent_5 0; agent_2 ~$1.7B (2.0 x 0.85 in net debt); agent_1 $2.58B (HFS net assets less ~$2.0B assumed Mexico net assets); agent_4 $4.08B x 0.9; agent_3 $4.0B</t>
  </si>
  <si>
    <t xml:space="preserve">$4,058M x 0.9 = $3,652M (+$0.57/sh) on every leg. Mexico's HFS net assets are only ~$0.5B (6,400 - 5,900), so agent_1's split was wrong; agents 2 and 5 left value out.</t>
  </si>
  <si>
    <t xml:space="preserve">10-Q R63: discontinued-operations assets 4,781 less liabilities 723; R17: Mexico HFS assets ~6,400, liabilities ~5,900; 50% of Composite Fiber 37 sold to GIP/CPP, close H1 2027 (opened)</t>
  </si>
  <si>
    <t xml:space="preserve">Mexico sale proceeds</t>
  </si>
  <si>
    <t xml:space="preserve">agents 1, 2, 3, 5: $2.0B cash + $1.209B leases leaving; agent_4: ~$1.1B (HFS assets + cash - liabilities)</t>
  </si>
  <si>
    <t xml:space="preserve">$2.0B cash at closing + $1.209B HFS finance leases leaving net debt, x 0.9 for approval = -$2.89B net debt</t>
  </si>
  <si>
    <t xml:space="preserve">10-Q R17: "We expect to receive approximately $2,000 in cash at closing"; Ex.99.3 net debt includes $1,209M Mexico HFS finance leases (opened)</t>
  </si>
  <si>
    <t xml:space="preserve">Preferred stock claim</t>
  </si>
  <si>
    <t xml:space="preserve">agents 1-4 $2,950M; agent_5 $0</t>
  </si>
  <si>
    <t xml:space="preserve">$2,950M (agent_5 overstated the EV leg by ~$0.46/sh)</t>
  </si>
  <si>
    <t xml:space="preserve">10-Q: Series A 48,000 and Series C 70,000 shares outstanding; quarterly dividends $312.50 and $296.875 per share (Sep-2026 declaration) = $35.8M/qtr, consistent with $25,000 liquidation preference</t>
  </si>
  <si>
    <t xml:space="preserve">Net debt at the horizon</t>
  </si>
  <si>
    <t xml:space="preserve">agent_2 143.0B, agent_3 143.0B, agent_4 145.1B, agent_5 147.5B, agent_1 148.7B (before its 5.8B of adjustments)</t>
  </si>
  <si>
    <t xml:space="preserve">145.4B: Q4 FCF ~$6B (call), 68% of 2027 FCF by Oct-23, dividends, ~$7B/yr buybacks, NCI/preferred, Mexico x 0.9; fiber JV and spectrum carried as adjustments. agent_3 counted 79% of 2027 FCF by Oct-23 (~2B too much); agent_1 added ~$0.65B separation cash on top of an FCF that already includes it.</t>
  </si>
  <si>
    <t xml:space="preserve">Ex.99.3 9M FCF 12,129 vs FY ~18.1B; call: Q4 FCF ~$6B, separation cash mainly 2027 (opened)</t>
  </si>
  <si>
    <t xml:space="preserve">2027 free cash flow</t>
  </si>
  <si>
    <t xml:space="preserve">agent_4 17.2B; agent_5 18.4B; agent_1 18.8B; agents 2 and 3 19.0B (guide $19B+)</t>
  </si>
  <si>
    <t xml:space="preserve">18.8B: 1% under the floor; agent_4's identity (EBITDA - capex - interest - 0.9B cash tax) drops CFO items and gives less FCF in 2027 than in 2026 despite lower capex and higher EBITDA</t>
  </si>
  <si>
    <t xml:space="preserve">FCF record: floors met 3 of 3 (median +3.75%); call: capex savings reallocated to working capital and interest; 2026 cash taxes ~$750M</t>
  </si>
  <si>
    <t xml:space="preserve">FY2028 EBITDA vs the 5%+ plan and consensus $52.0B</t>
  </si>
  <si>
    <t xml:space="preserve">agents 49.8-50.8B (growth 2-3.5%)</t>
  </si>
  <si>
    <t xml:space="preserve">51.2B (+3.9%): AC EBITDA +6.25%/+6.0% inside the mid-to-high-single-digit guide, Legacy EBITDA -$0.16B in 2028</t>
  </si>
  <si>
    <t xml:space="preserve">Q3 release outlook; Ex.99.4 FY2025 AC EBITDA 44,547 and Legacy 3,339; 9M 2026 AC EBITDA +7.0%</t>
  </si>
  <si>
    <t xml:space="preserve">Wireless service ARPU growth in 2027</t>
  </si>
  <si>
    <t xml:space="preserve">agent_1 +0.6%, agents 3/5 +1.0%, agents 2/4 +2.0%</t>
  </si>
  <si>
    <t xml:space="preserve">+1.75%</t>
  </si>
  <si>
    <t xml:space="preserve">Call: postpaid phone ARPU +4% in Q3 from new/refreshed plans and back-book pricing (April and June 2026 actions annualise in H1 2027); promotions unchanged</t>
  </si>
  <si>
    <t xml:space="preserve">Peer set and multiple basis</t>
  </si>
  <si>
    <t xml:space="preserve">agents 3/4: 8 US names incl. LUMN/TDS/SHEN/LBTYA, trailing GAAP EV/EBITDA, P/E median 7.5x incl. CHTR 2.5x; agents 1/2/5: 9-11 names on MarketScreener NTM/2027E, P/E medians 10.6-11.1x, IFRS 16 names pre-lease</t>
  </si>
  <si>
    <t xml:space="preserve">Kilian's 12 incumbents on one CY2027E basis, IFRS 16 names after leases: EV/EBITDA median 5.52x (5.98x ex-DT), P/E 10.55x (comps_review)</t>
  </si>
  <si>
    <t xml:space="preserve">MarketScreener 2027E pages for all 12 (opened) and company lease disclosures</t>
  </si>
  <si>
    <t xml:space="preserve">Cause of the 2026-10-09 drop</t>
  </si>
  <si>
    <t xml:space="preserve">agents 4/5: SpaceX-Grain 800 MHz deal plus ~1.1pt ex-dividend; agents 1-3: SpaceX only (agent_1 also says the last ex-date was Oct 9)</t>
  </si>
  <si>
    <t xml:space="preserve">SpaceX only: the dividend record date was 2026-10-12, which under T+1 settlement is also the ex-date</t>
  </si>
  <si>
    <t xml:space="preserve">AT&amp;T declaration of 2026-09-24 (record Oct 12, payable Nov 2); SEC T+1 rule (ex-date = record date)</t>
  </si>
  <si>
    <t xml:space="preserve">Source of the 2026-10-23 drop</t>
  </si>
  <si>
    <t xml:space="preserve">agent_1: single press source (Trefis), original not found; agents 2-5: Bloomberg report that SpaceX seeks access to 80,000+ cell sites</t>
  </si>
  <si>
    <t xml:space="preserve">Bloomberg report (paywalled; relayed by Motley Fool and 24/7 Wall St.); T closed $20.93, -7.96%</t>
  </si>
  <si>
    <t xml:space="preserve">Motley Fool 2026-10-23 (opened)</t>
  </si>
  <si>
    <t xml:space="preserve">Upper C-band spectrum spend before the horizon</t>
  </si>
  <si>
    <t xml:space="preserve">agent_5 +$2.0B net debt; agent_1 a generic spectrum risk in its bear case; agents 2-4 none</t>
  </si>
  <si>
    <t xml:space="preserve">Adjustment -$5B x 0.4 = -$2.0B (-$0.31/sh)</t>
  </si>
  <si>
    <t xml:space="preserve">FCC rules adopted July 2026 for a 160 MHz auction by July 2027 (TV Technology, NewscastStudio)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</si>
  <si>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</si>
  <si>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</si>
  <si>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</si>
  <si>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</si>
  <si>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</si>
  <si>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research target (12m)</t>
  </si>
  <si>
    <t xml:space="preserve">22.96</t>
  </si>
  <si>
    <t xml:space="preserve">23.04</t>
  </si>
  <si>
    <t xml:space="preserve">Engine value of the reconciled driver set replaces the mean of the five targets; it sits $0.08 above the mean because 2027-28 EPS is higher on the lower AC D&amp;A run rate, net of lower FCF and the 6.1x multiple.</t>
  </si>
  <si>
    <t xml:space="preserve">thesis break</t>
  </si>
  <si>
    <t xml:space="preserve">16.3</t>
  </si>
  <si>
    <t xml:space="preserve">16.5</t>
  </si>
  <si>
    <t xml:space="preserve">At $16.5 AT&amp;T would trade ~5.2x NTM EBITDA on the peers' basis, a 6.7% dividend yield and a ~15% FCF-to-common yield, close to the $16.42 bear value.</t>
  </si>
  <si>
    <t xml:space="preserve">EV/EBITDA horizon multiple (agents 1 and 4)</t>
  </si>
  <si>
    <t xml:space="preserve">6.2</t>
  </si>
  <si>
    <t xml:space="preserve">6.1</t>
  </si>
  <si>
    <t xml:space="preserve">Kilian decided on 2026-10-26 05:23Z to keep the post-SpaceX ~6.1x (no revert).</t>
  </si>
  <si>
    <t xml:space="preserve">EV/EBITDA horizon multiple (agents 2 and 3)</t>
  </si>
  <si>
    <t xml:space="preserve">6.0</t>
  </si>
  <si>
    <t xml:space="preserve">Same decision; 6.1x = 5.69x on the peers' basis, -5% to the ex-DT peer benchmark 5.98x.</t>
  </si>
  <si>
    <t xml:space="preserve">P/E horizon multiple (agents 2, 3, 4 at 8.0x; agent_5 8.2x)</t>
  </si>
  <si>
    <t xml:space="preserve">8.0</t>
  </si>
  <si>
    <t xml:space="preserve">8.3</t>
  </si>
  <si>
    <t xml:space="preserve">AT&amp;T's level today on Zacks consensus NTM EPS ($20.93 / $2.509 = 8.34x; FY2026 2.38, FY2027 2.54, Nasdaq API), corrected in the gate fix from 8.13x (mixed sources).</t>
  </si>
  <si>
    <t xml:space="preserve">a fact: FY2027 adjusted EPS (agent median)</t>
  </si>
  <si>
    <t xml:space="preserve">2.64</t>
  </si>
  <si>
    <t xml:space="preserve">2.7</t>
  </si>
  <si>
    <t xml:space="preserve">AC D&amp;A ~15.95% of AC revenue in Q3 2026 vs 17.75% in FY2025 (Ex.99.3, Ex.99.4) and Mexico D&amp;A stopped; other income calibrated to the 2026 guide.</t>
  </si>
  <si>
    <t xml:space="preserve">a fact: FY2027 free cash flow ($M, agent median)</t>
  </si>
  <si>
    <t xml:space="preserve">18700</t>
  </si>
  <si>
    <t xml:space="preserve">18500</t>
  </si>
  <si>
    <t xml:space="preserve">Identity calibrated on FY2026 (48,264 - 23,400 - 18,129) plus interest, cash-tax and separation-cash steps from the call.</t>
  </si>
  <si>
    <t xml:space="preserve">a fact: FY2028 free cash flow ($M, agent median)</t>
  </si>
  <si>
    <t xml:space="preserve">20100</t>
  </si>
  <si>
    <t xml:space="preserve">19977</t>
  </si>
  <si>
    <t xml:space="preserve">Same bridge: separation cash gone, cash taxes +0.9B as the catch-up deductions run off.</t>
  </si>
  <si>
    <t xml:space="preserve">a fact: AC EBITDA growth FY2028 (agents 1 at 6.0%, 2 at 5.25%, 3 at 5.0%)</t>
  </si>
  <si>
    <t xml:space="preserve">0.06</t>
  </si>
  <si>
    <t xml:space="preserve">0.055</t>
  </si>
  <si>
    <t xml:space="preserve">AC service revenue slows to +3.3% in 2028 on the driver path; ~1pt of margin from cost removal gives +5.5%.</t>
  </si>
  <si>
    <t xml:space="preserve">a fact: net debt at horizon ($M, agent median)</t>
  </si>
  <si>
    <t xml:space="preserve">145400</t>
  </si>
  <si>
    <t xml:space="preserve">144260.0</t>
  </si>
  <si>
    <t xml:space="preserve">0.752 of 2027 FCF earned by 2027-10-23 (9M share 66.9% plus 23/92 of Q4's 33.1%; gate arithmetic fix of the 0.71 first used) instead of 0.68.</t>
  </si>
  <si>
    <t xml:space="preserve">a fact: expected upper C-band spend ($M, agent median)</t>
  </si>
  <si>
    <t xml:space="preserve">-2100</t>
  </si>
  <si>
    <t xml:space="preserve">-2000</t>
  </si>
  <si>
    <t xml:space="preserve">-$5B x 0.4: DA 26-769 schedule puts payment before the horizon; no source sizes AT&amp;T above ~$5B.</t>
  </si>
  <si>
    <t xml:space="preserve">a fact: wireless ARPU growth FY2027 (agent_4)</t>
  </si>
  <si>
    <t xml:space="preserve">0.018</t>
  </si>
  <si>
    <t xml:space="preserve">0.016</t>
  </si>
  <si>
    <t xml:space="preserve">Q3 2026 run rate $78.86 already contains the 2026 price actions (Ex.99.2).</t>
  </si>
  <si>
    <t xml:space="preserve">a fact: fiber stake probability (agent_5)</t>
  </si>
  <si>
    <t xml:space="preserve">0.85</t>
  </si>
  <si>
    <t xml:space="preserve">0.9</t>
  </si>
  <si>
    <t xml:space="preserve">R17 governance and close terms; no holdco discount on a single-asset JV.</t>
  </si>
  <si>
    <t xml:space="preserve">a fact: AC service revenue growth FY2028 position (no agent scored it)</t>
  </si>
  <si>
    <t xml:space="preserve">None</t>
  </si>
  <si>
    <t xml:space="preserve">0.0333</t>
  </si>
  <si>
    <t xml:space="preserve">Below the mid-single-digit guide on the driver path; a +2% 2028 price action would put it inside (+$0.4/sh).</t>
  </si>
  <si>
    <t xml:space="preserve">22.97</t>
  </si>
  <si>
    <t xml:space="preserve">23.29</t>
  </si>
  <si>
    <t xml:space="preserve">Engine value of the reconciled driver set replaces the mean of the five targets; the gap is mostly the corrected fiber stake (+$0.57/sh) and Mexico cash for agent_4, net of the preferred for agent_5 and the expected spectrum spend.</t>
  </si>
  <si>
    <t xml:space="preserve">P(close &gt;= K) for K = 14.65-42</t>
  </si>
  <si>
    <t xml:space="preserve">[0.918, 0.83, 0.721, 0.589, 0.453, 0.322, 0.173, 0.082, 0.018, 0.006]</t>
  </si>
  <si>
    <t xml:space="preserve">[0.922, 0.837, 0.73, 0.601, 0.468, 0.338, 0.186, 0.091, 0.022, 0.007]</t>
  </si>
  <si>
    <t xml:space="preserve">Mean ladder shifted up ~1% for the corrected balance-sheet items (fiber stake, Mexico cash, preferred), less than the +1.4% research-target change because momentum and base rates still argue for a median below the target.</t>
  </si>
  <si>
    <t xml:space="preserve">Below $16.5 the price implies &lt;=5.3x NTM horizon EBITDA on the reconciled set (cable-like), a ~6.7% dividend yield and a ~17.6% FCF-to-common yield: a broken cash-flow path, not volatility.</t>
  </si>
  <si>
    <t xml:space="preserve">fact: Forged Fiber stake (agents 1, 2, 5)</t>
  </si>
  <si>
    <t xml:space="preserve">[2580, 1700, 0]</t>
  </si>
  <si>
    <t xml:space="preserve">4058</t>
  </si>
  <si>
    <t xml:space="preserve">10-Q R63: discontinued-operations assets 4,781 less liabilities 723.</t>
  </si>
  <si>
    <t xml:space="preserve">fact: Mexico cash proceeds (agent_4)</t>
  </si>
  <si>
    <t xml:space="preserve">1100</t>
  </si>
  <si>
    <t xml:space="preserve">2000</t>
  </si>
  <si>
    <t xml:space="preserve">10-Q R17: ~$2,000M cash expected at closing.</t>
  </si>
  <si>
    <t xml:space="preserve">fact: preferred claim (agent_5)</t>
  </si>
  <si>
    <t xml:space="preserve">0</t>
  </si>
  <si>
    <t xml:space="preserve">2950</t>
  </si>
  <si>
    <t xml:space="preserve">10-Q share counts x $25,000 liquidation preference; dividends reconcile.</t>
  </si>
  <si>
    <t xml:space="preserve">fact: net debt at horizon (agent_3)</t>
  </si>
  <si>
    <t xml:space="preserve">143000</t>
  </si>
  <si>
    <t xml:space="preserve">agent_3 counted 79% of 2027 FCF by Oct-23; 9M 2026 FCF was 67% of the year.</t>
  </si>
  <si>
    <t xml:space="preserve">fact: FY2027 FCF (agent_4)</t>
  </si>
  <si>
    <t xml:space="preserve">17200</t>
  </si>
  <si>
    <t xml:space="preserve">18800</t>
  </si>
  <si>
    <t xml:space="preserve">Record of meeting FCF floors and the call's working-capital bridge; agent_4's identity omits CFO items.</t>
  </si>
  <si>
    <t xml:space="preserve">fact: 2026-10-09 ex-dividend (agents 4, 5)</t>
  </si>
  <si>
    <t xml:space="preserve">~1.1pt of the Oct-9 drop</t>
  </si>
  <si>
    <t xml:space="preserve">none (ex-date 2026-10-12)</t>
  </si>
  <si>
    <t xml:space="preserve">Record date Oct 12 per AT&amp;T's declaration; under T+1 the ex-date equals the record date.</t>
  </si>
  <si>
    <t xml:space="preserve">peer median EV/EBITDA forward (all agents)</t>
  </si>
  <si>
    <t xml:space="preserve">[6.0, 5.98, 5.6, 5.6, 5.73]</t>
  </si>
  <si>
    <t xml:space="preserve">5.52</t>
  </si>
  <si>
    <t xml:space="preserve">Kilian's 12-incumbent set on CY2027E with IFRS 16 names after leases; 5.98x without DT.</t>
  </si>
  <si>
    <t xml:space="preserve">peer median P/E forward (all agents)</t>
  </si>
  <si>
    <t xml:space="preserve">[11.1, 10.6, 7.5, 7.5, 10.68]</t>
  </si>
  <si>
    <t xml:space="preserve">10.55</t>
  </si>
  <si>
    <t xml:space="preserve">Same set and basis; agents 3/4's 7.5x included CHTR 2.5x among four US names.</t>
  </si>
  <si>
    <t xml:space="preserve">Round-1 feedback sent back to the agents</t>
  </si>
  <si>
    <t xml:space="preserve">What it missed</t>
  </si>
  <si>
    <t xml:space="preserve">Revisit</t>
  </si>
  <si>
    <t xml:space="preserve">agent_1</t>
  </si>
  <si>
    <t xml:space="preserve">• Forged Fiber stake: 10-Q R63 shows discontinued-ops net assets of $4,058M (4,781 - 723); Mexico's HFS net assets are ~$0.5B (R17: ~6,400 assets, ~5,900 liabilities), not ~$2.0B, so your $2.58B understates by ~$1.5B.
• Net-debt bridge adds ~$0.65B separation cash on top of a FY2027 FCF that already deducts it (call: separation charge hits cash "primarily in 2027", inside CFO).
• Oct-23 drop: the original is a Bloomberg report (Motley Fool, 24/7 Wall St. relay it), not a lone Trefis piece.
• Ex-dividend date was 2026-10-12 (record date Oct 12, T+1), not Oct 9.
• Peer set: use Kilian's 12 incumbents (VZ, TMUS, CMCSA, CHTR, BCE, TU, RCI, DTE, ORA, TEF, SCMN, VOD) on one CY2027E basis with IFRS 16 names after leases (comps_review): EV/EBITDA median 5.52x (5.98x ex-DT), P/E 10.55x.
• Revision round: use Kilian's reconciled 12-peer set (VZ, TMUS, CMCSA, CHTR, BCE, TU, RCI, DTE, ORA, TEF, SCMN, VOD) on ONE forward basis (CY2027E MarketScreener consensus, EV = market cap + 2027E net debt, P/E = price / 2027E EPS), IFRS 16 reporters on after-lease EBITDA (EBITDAaL as reported, or EBITDA less ROU depreciation and lease interest with leases out of EV, cited); DT kept but noted (consolidates TMUS) with medians with and without it; LUMN only as a Legacy comparable; no TDS, SHEN, LBTYA, OPTU, CCOI, ECHO; never label trailing as forward. Reconciled medians: EV/EBITDA 5.52x (5.98x ex-DT), P/E 10.55x (comps_review).</t>
  </si>
  <si>
    <t xml:space="preserve">Carry the fiber stake at $4,058M x 0.9; drop the double-counted separation cash; your 8.5x P/E and 12% FCF yield are the richest of the five without new evidence: re-argue them against today's 8.3x / 12.3%. Link the stated EPS and FCF/share to your drivers (driver_build.set) instead of stating them.</t>
  </si>
  <si>
    <t xml:space="preserve">agent_2</t>
  </si>
  <si>
    <t xml:space="preserve">• Fiber JV: you put ~$1.7B (2.0 x 0.85) in net debt; book value of the Forged Fiber net assets is $4,058M (10-Q R63).
• FCF/share uses the NTM average share count (6,250M); a yield valued at the horizon should use horizon shares (6,385M) because the buybacks are funded from that FCF (~2% overstatement).
• Legacy guidance_check has no track record; score the "20%+" decline against 2025 (Legacy revenue 8,472) and say the record is thin.
• Peer set and basis: use Kilian's 12 incumbents on CY2027E with IFRS 16 names after leases (BCE, TU, RCI, DTE, ORA, TEF, SCMN, VOD), not pre-lease EBITDA; DT's EV omits the TMUS minority, so report medians with and without DT.
• Revision round: use Kilian's reconciled 12-peer set (VZ, TMUS, CMCSA, CHTR, BCE, TU, RCI, DTE, ORA, TEF, SCMN, VOD) on ONE forward basis (CY2027E MarketScreener consensus, EV = market cap + 2027E net debt, P/E = price / 2027E EPS), IFRS 16 reporters on after-lease EBITDA (EBITDAaL as reported, or EBITDA less ROU depreciation and lease interest with leases out of EV, cited); DT kept but noted (consolidates TMUS) with medians with and without it; LUMN only as a Legacy comparable; no TDS, SHEN, LBTYA, OPTU, CCOI, ECHO; never label trailing as forward. Reconciled medians: EV/EBITDA 5.52x (5.98x ex-DT), P/E 10.55x (comps_review).</t>
  </si>
  <si>
    <t xml:space="preserve">Re-run net debt with the stake as a separate adjustment; your +2.0% 2027 ARPU is at the top of the range: argue it against unchanged promotions and slowing adds, or move toward +1.5-1.75%. Segment margins are judgment, not driver-linked: add a margin driver.</t>
  </si>
  <si>
    <t xml:space="preserve">agent_3</t>
  </si>
  <si>
    <t xml:space="preserve">• Net debt bridge counts 79% of 2027 FCF ($15.0B) by 2027-10-23; 9M 2026 FCF was 67% of the year (Ex.99.3 12,129 of ~18.1B), so ~$2B too much paydown.
• Peer EV/EBITDA "median 5.6x" is trailing GAAP and labelled against an NTM adjusted AT&amp;T multiple; P/E median 7.5x includes CHTR 2.5x and only 4 names.
• Peer set: drop LUMN (Legacy comparable only), TDS, SHEN, LBTYA; use Kilian's 12 incumbents on CY2027E, IFRS 16 names after leases (comps_review).
• Fitch BBB+ negative outlook and Moody's 3.5x tolerance: cite the agency releases, not a 2025 Finviz relay.
• Revision round: use Kilian's reconciled 12-peer set (VZ, TMUS, CMCSA, CHTR, BCE, TU, RCI, DTE, ORA, TEF, SCMN, VOD) on ONE forward basis (CY2027E MarketScreener consensus, EV = market cap + 2027E net debt, P/E = price / 2027E EPS), IFRS 16 reporters on after-lease EBITDA (EBITDAaL as reported, or EBITDA less ROU depreciation and lease interest with leases out of EV, cited); DT kept but noted (consolidates TMUS) with medians with and without it; LUMN only as a Legacy comparable; no TDS, SHEN, LBTYA, OPTU, CCOI, ECHO; never label trailing as forward. Reconciled medians: EV/EBITDA 5.52x (5.98x ex-DT), P/E 10.55x (comps_review).</t>
  </si>
  <si>
    <t xml:space="preserve">Recompute net debt at ~68% of 2027 FCF; re-argue 6.0x / 8.0x against the reconciled peer medians (5.52x / 10.55x); keep the fiber stake at book ($4,058M) with any governance haircut argued separately from close risk.</t>
  </si>
  <si>
    <t xml:space="preserve">agent_4</t>
  </si>
  <si>
    <t xml:space="preserve">• Mexico proceeds: 10-Q R17 says AT&amp;T expects ~$2,000M cash at closing; you used ~$1.1B (HFS net assets), understating the net-debt reduction by ~$0.9B.
• FY2027 FCF $17.2B from EBITDA - capex - interest - $0.9B cash tax omits CFO items; it is below 2026 (~$18.1B) although capex falls and EBITDA rises; the record (floors met 3 of 3) and the call do not support a $1.8B miss.
• guidance_check percentages are in percent units (2.73, 3.75, 19.0) instead of fractions (0.0273 ...).
• Oct-9: no ex-dividend effect that day (record date Oct 12 = ex-date under T+1).
• Peer set: LUMN, TDS, SHEN, LBTYA out; compare forward to forward; use Kilian's 12 on CY2027E with IFRS 16 names after leases.
• Revision round: use Kilian's reconciled 12-peer set (VZ, TMUS, CMCSA, CHTR, BCE, TU, RCI, DTE, ORA, TEF, SCMN, VOD) on ONE forward basis (CY2027E MarketScreener consensus, EV = market cap + 2027E net debt, P/E = price / 2027E EPS), IFRS 16 reporters on after-lease EBITDA (EBITDAaL as reported, or EBITDA less ROU depreciation and lease interest with leases out of EV, cited); DT kept but noted (consolidates TMUS) with medians with and without it; LUMN only as a Legacy comparable; no TDS, SHEN, LBTYA, OPTU, CCOI, ECHO; never label trailing as forward. Reconciled medians: EV/EBITDA 5.52x (5.98x ex-DT), P/E 10.55x (comps_review).</t>
  </si>
  <si>
    <t xml:space="preserve">Rebuild FCF from CFO (or from the company bridge) and the net debt with $2.0B Mexico cash; your -$2.2/sh SpaceX effect is double the others: show whether it is already inside the 6.2x multiple. Alternative-lane evidence (Polymarket 13%/34.5%, TD Cowen survey) is useful; Polymarket volume is thin (~$15k): keep it low confidence.</t>
  </si>
  <si>
    <t xml:space="preserve">agent_5</t>
  </si>
  <si>
    <t xml:space="preserve">• balance.preferred = 0: AT&amp;T has $2,950M of preferred (Series A 48,000 and Series C 70,000 shares x $25,000), which overstates your EV leg by ~$0.46/sh.
• Forged Fiber / Composite Fiber 37 stake omitted: $4,058M of held-for-sale net assets (10-Q R63), ~$0.57/sh at 0.9 probability.
• Oct-9 drop: no ex-dividend that day (record date Oct 12 = ex-date under T+1).
• Peer set: use Kilian's 12 incumbents on one CY2027E basis with IFRS 16 names after leases; your NTM blend mixed pre-lease IFRS EBITDA with US GAAP.
• Revision round: use Kilian's reconciled 12-peer set (VZ, TMUS, CMCSA, CHTR, BCE, TU, RCI, DTE, ORA, TEF, SCMN, VOD) on ONE forward basis (CY2027E MarketScreener consensus, EV = market cap + 2027E net debt, P/E = price / 2027E EPS), IFRS 16 reporters on after-lease EBITDA (EBITDAaL as reported, or EBITDA less ROU depreciation and lease interest with leases out of EV, cited); DT kept but noted (consolidates TMUS) with medians with and without it; LUMN only as a Legacy comparable; no TDS, SHEN, LBTYA, OPTU, CCOI, ECHO; never label trailing as forward. Reconciled medians: EV/EBITDA 5.52x (5.98x ex-DT), P/E 10.55x (comps_review).</t>
  </si>
  <si>
    <t xml:space="preserve">Add the preferred and the fiber stake; the base-rate work (T after similar setups median -5.4%, 37% positive; pooled telcos +5.4%) is valuable: state how it enters the ladder separately from the scenario mix. Your Auction 115 spend is a good catch; size it with the FCC timetable (auction by July 2027).</t>
  </si>
  <si>
    <t xml:space="preserve">Citation audit (2026-10-23)</t>
  </si>
  <si>
    <t xml:space="preserve">{'item': 'source: Nasdaq consensus page (HTTP 503)', 'from': 'https://www.nasdaq.com/market-activity/stocks/t/earnings', 'to': 'https://api.nasdaq.com/api/analyst/T/earnings-forecast', 'source': 'gate opened the API endpoint: FY2026 2.38, FY2028 2.86 (agent_5 shard); FY2027 2.54 in the same response'}</t>
  </si>
  <si>
    <t xml:space="preserve">{'item': 'source: T-Mobile Q3 call date (Business Wire 403)', 'from': 'secure.businesswire.com', 'to': 'finviz.com copy of the same release (opened: 2026-10-28)', 'source': 'finviz.com/news/393276'}</t>
  </si>
  <si>
    <t xml:space="preserve">{'item': 'comps_review BCE CY2027E EV/EBITDA / P/E', 'from': '6.43x / 10.6x', 'to': '6.27x / 10.6x (estimate)', 'source': 'after-lease: page 6.14x (EV 67,501 / EBITDA 11,002); EV less lease liabilities 5,242 (BCE 40-F R34; BCE carries leases inside debt) = 62,259; EBITDA less 2025 l'}</t>
  </si>
  <si>
    <t xml:space="preserve">{'item': 'comps_review TU CY2027E EV/EBITDA / P/E', 'from': '6.75x / 21.7x', 'to': '6.86x / 21.7x (estimate)', 'source': 'after-lease: page 6.62x (EV 48,037 / EBITDA 7,256); EV less lease liabilities 3,300 (TELUS 2025 MD&amp;A; lease liabilities sit in TELUS long-term debt, R152/R75, a'}</t>
  </si>
  <si>
    <t xml:space="preserve">{'item': 'comps_review RCI CY2027E EV/EBITDA / P/E', 'from': '6.45x / 11.8x', 'to': '6.47x / 11.8x (estimate)', 'source': 'after-lease: page 6.39x (EV 64,567 / EBITDA 10,097); EV less lease liabilities 3,118 (690 + 2,428, Rogers 40-F; inside Rogers adjusted net debt) = 61,449; EBITD'}</t>
  </si>
  <si>
    <t xml:space="preserve">{'item': 'comps_review SCMN CY2027E EV/EBITDA / P/E', 'from': '9.83x / 23.7x', 'to': '7.41x / 23.7x (consensus)', 'source': 'page figure (reverted from the after-lease 9.83x = 50,340 / (6,796 x 0.7532)): MarketScreener net debt equals Swisscom reported net debt, whose lease treatment '}</t>
  </si>
  <si>
    <t xml:space="preserve">{'item': 'comps_review VOD CY2027E EV/EBITDA / P/E', 'from': '4.5x / 11.43x', 'to': '4.5x / 11.4x (estimate)', 'source': 'calendarised to CY2027 = 25% FY Mar-27 + 75% FY Mar-28 (MarketScreener page): EV 0.25 x 63,387 + 0.75 x 61,914 = 62,282; EBITDA (adjusted EBITDAaL; page FY Mar-'}</t>
  </si>
  <si>
    <t xml:space="preserve">{'item': 'comps_review medians', 'from': 'EV/EBITDA 12-peer 5.52x / ex-DT 5.98x; range 4.38x-9.83x', 'to': 'headline ex-DT 5.98x; 12-peer 5.52x reference; range 4.38x (CHTR) - 7.41x (SCMN); P/E 10.55x marked indicative', 'source': 'recomputed from the fixed rows'}</t>
  </si>
  <si>
    <t xml:space="preserve">{'item': 'driver hi_subs FY2027/FY2028 average', 'from': '16.55 / 18.85', 'to': '16.59 / 18.89', 'source': 'arithmetic: (15.391 + 17.79)/2, (17.79 + 19.99)/2'}</t>
  </si>
  <si>
    <t xml:space="preserve">{'item': 'driver ac_m (AC EBITDA path 47,400 / 50,244 / 53,007 held)', 'from': '0.40323 / 0.41265 / 0.42304', 'to': '0.40323 / 0.41254 / 0.42293', 'source': 'recomputed on the driven AC revenue after the hi_subs fix'}</t>
  </si>
  <si>
    <t xml:space="preserve">{'item': 'Legacy FY2026 EBITDA (Q4-25 base)', 'from': 'Q4-25 ~740 -&gt; FY2026 2,073 (32.8%)', 'to': 'Q4-25 682 -&gt; Q4-26 398 -&gt; FY2026 2,031 (32.1%)', 'source': 'Q4 2025 Ex.99.4: Legacy Q4-25 EBITDA 682'}</t>
  </si>
  <si>
    <t xml:space="preserve">{'item': 'corporate EBITDA (9M residual)', 'from': '9M -1,570 with LatAm ~655 -&gt; -2,100/yr', 'to': '9M -1,598 = 36,638 - 35,920 - 1,633 - 683 -&gt; -2,130/yr', 'source': 'Q3 2026 Ex.99.3: Latin America 9M EBITDA 683'}</t>
  </si>
  <si>
    <t xml:space="preserve">{'item': 'D&amp;A: non-AC 816 in 9M 2026', 'from': 'labelled Latin America; 2027-28 D&amp;A AC only', 'to': 'Latin America 580 + corporate ~236 (9M); corporate D&amp;A ~315/yr kept after the Mexico sale: D&amp;A 19,703 / 19,315 / 19,867; corporate_ebit -3495 / -2445 / -2445 (EBITDA unaffected; EBIT and EPS lower)', 'source': 'Q3 2026 Ex.99.2/99.3 (LatAm D&amp;A 580); F39 total 14,910'}</t>
  </si>
  <si>
    <t xml:space="preserve">{'item': 'net_debt_horizon (2027-10-23)', 'from': '145,000 (2027 FCF share 0.71 of 18,500)', 'to': '144,260 (share 0.752 = 66.9% + 23/92 x 33.1%, of 2027 FCF 18,470)', 'source': 'arithmetic per gate; FCF 2027 after corporate -30'}</t>
  </si>
  <si>
    <t xml:space="preserve">{'item': 'EPS bridge: refinancing $10-15B a year', 'from': '$10-15B a year (unsourced)', 'to': 'removed; debt due within one year $9,483M (10-Q) and the call statement on higher cash interest', 'source': '10-Q balance sheet; Q3 call'}</t>
  </si>
  <si>
    <t xml:space="preserve">{'item': 'preferred 2,950', 'from': 'basis reported, liquidation preference not on the cited 10-Q page', 'to': 'basis estimate: 48,000 x $25,000 + 70,000 x $25,000 = 2,950 (10-Q R6 shares; 10-K R26 liquidation preference)', 'source': 'https://www.sec.gov/Archives/edgar/data/732717/000073271726000120/R26.htm'}</t>
  </si>
  <si>
    <t xml:space="preserve">{'item': 'Upper C-band comparator', 'from': '2021 C-band: AT&amp;T $23B for 280 MHz incl. clearing (unsourced, mis-stated)', 'to': 'AT&amp;T $23.4B for 1,621 licences, ~80 MHz (Light Reading/Evercore); NewscastStudio (403) and Jones Walker attribution dropped, DA 26-769 and TV Technology carry the schedule', 'source': 'lightreading.com'}</t>
  </si>
  <si>
    <t xml:space="preserve">{'item': 'P/E today (consensus NTM EPS)', 'from': '8.13x = $20.93 / (0.19 x 2.38 Zacks + 0.81 x 2.621 MarketScreener) - mixed sources', 'to': '8.34x = $20.93 / (0.19 x 2.38 + 0.81 x 2.54), Zacks consensus for both years', 'source': 'https://api.nasdaq.com/api/analyst/T/earnings-forecast'}</t>
  </si>
  <si>
    <t xml:space="preserve">{'item': "P/E horizon multiple (today's level, the stated rule)", 'from': '8.1x', 'to': '8.3x', 'source': 'follows the corrected today level 8.34x'}</t>
  </si>
  <si>
    <t xml:space="preserve">{'item': 'guidance_check adjusted EBITDA growth FY2026 consensus', 'from': 0.0399, 'to': 0.0408, 'source': 'MarketScreener AT&amp;T: 48,254 / 46,361'}</t>
  </si>
  <si>
    <t xml:space="preserve">{'item': 'guidance_check AC EBITDA growth FY2026 actual', 'from': '0.064 (FY estimate shown as actual)', 'to': '0.0697 (9M actual, Ex.99.3); record-adjusted FY2027 guide 6.93% -&gt; 7.55%', 'source': 'https://www.sec.gov/Archives/edgar/data/732717/000073271726000370/t-3q2026exhibit993.htm'}</t>
  </si>
  <si>
    <t xml:space="preserve">{'item': 'fair_value.value (research target 12m)', 'from': 23.04, 'to': 23.16, 'source': 'engine base horizon value of model.reconciled_inputs after the gate fixes'}</t>
  </si>
  <si>
    <t xml:space="preserve">{'item': 'disagreements: Jones Walker attribution', 'from': 'Jones Walker (statutory 2027-07-04 deadline)', 'to': 'FCC DA 26-769 (shows the deadline)', 'source': 'https://docs.fcc.gov/public/attachments/DA-26-769A1.pdf'}</t>
  </si>
  <si>
    <t xml:space="preserve">{'item': 'long_dated_review: SCS +482 MHz', 'from': '+482 MHz (cited page did not show it)', 'to': '+482 MHz, Cord Cutters News (named outlet) on the Oct-29 agenda item', 'source': 'cordcuttersnews.com'}</t>
  </si>
  <si>
    <t xml:space="preserve">{'item': 'long_dated_review: Fitch BBB+ negative outlook', 'from': 'unsourced', 'to': 'Fitch BBB+ (Negative Outlook) per AT&amp;T FWP 2026-07-27', 'source': 'https://www.sec.gov/Archives/edgar/data/732717/000119312526318207/d101711dfwp.htm'}</t>
  </si>
  <si>
    <t xml:space="preserve">{'item': 'long_dated_review: refinancing ~$10-15B a year', 'from': '$10-15B a year (unsourced)', 'to': 'debt due within one year $9,483M (10-Q)', 'source': 'https://www.sec.gov/Archives/edgar/data/732717/000073271726000372/t-20260930.htm'}</t>
  </si>
  <si>
    <t xml:space="preserve">{'item': 'sizing: T-Mobile Q3 print 2026-10-28', 'from': 'Business Wire page (403)', 'to': 'same release via finviz (opened)', 'source': 'https://finviz.com/news/393276/t-mobile-to-host-q3-2026-earnings-call-on-october-28-2026'}</t>
  </si>
  <si>
    <t xml:space="preserve">{'item': 'agent_1 source: Nasdaq consensus page (HTTP 503)', 'from': 'nasdaq.com/market-activity/stocks/t/earnings', 'to': 'https://api.nasdaq.com/api/analyst/T/earnings-forecast', 'source': 'gate opened the API (FY2026 2.38, FY2028 2.86)'}</t>
  </si>
  <si>
    <t xml:space="preserve">{'item': 'agent_1 comps VZ', 'from': '6.17 / 8.51 / EPS +5.2% (Zacks NTM)', 'to': '6.17 / 8.51 / EPS +16.5% / EBITDA +3.2% (MarketScreener CY2027E vs CY2026E', 'source': 'page figures (CY2027E column)'}</t>
  </si>
  <si>
    <t xml:space="preserve">{'item': 'agent_1 comps TMUS', 'from': '5.98 / 10.5 / EPS +20.5% (Zacks NTM)', 'to': '5.98 / 10.5 / EPS +27.2% / EBITDA +8.4% (MarketScreener CY2027E vs CY2026E', 'source': 'page figures (CY2027E column)'}</t>
  </si>
  <si>
    <t xml:space="preserve">{'item': 'agent_1 comps CMCSA', 'from': '4.79 / 7.4 / EPS +3.4% (Zacks NTM)', 'to': '4.79 / 7.4 / EPS +4.3% / EBITDA -0.8% (MarketScreener CY2027E vs CY2026E:', 'source': 'page figures (CY2027E column)'}</t>
  </si>
  <si>
    <t xml:space="preserve">{'item': 'agent_1 comps CHTR', 'from': '4.38 / 2.43 / EPS +5.8% (Zacks NTM)', 'to': '4.38 / 2.43 / EPS +10.6% / EBITDA +11.4% (MarketScreener CY2027E vs CY2026', 'source': 'page figures (CY2027E column); P/E 2.43x is distorted (small equity on ~$105B net debt) and is shown, not relied on'}</t>
  </si>
  <si>
    <t xml:space="preserve">{'item': 'agent_1 comps BCE', 'from': '6.43 / 10.6 / n/a on the cited page', 'to': '6.27 / 10.6 / EPS +3.1% / EBITDA +2.1% (MarketScreener CY2027E vs CY2026E:', 'source': 'after-lease: page 6.14x (EV 67,501 / EBITDA 11,002); EV less lease liabilities 5,242 (BCE 40-F R34; BCE carries leases inside debt) = 62,259'}</t>
  </si>
  <si>
    <t xml:space="preserve">{'item': 'agent_1 comps TU', 'from': '6.75 / 21.7 / n/a (2027 EPS depressed after a 2026 loss)', 'to': '6.86 / 21.7 / EBITDA +1.6% (MarketScreener CY2027E vs CY2026E: 7,256 / 7,1', 'source': 'after-lease: page 6.62x (EV 48,037 / EBITDA 7,256); EV less lease liabilities 3,300 (TELUS 2025 MD&amp;A; lease liabilities sit in TELUS long-te'}</t>
  </si>
  <si>
    <t xml:space="preserve">{'item': 'agent_1 comps RCI', 'from': '6.45 / 11.8 / n/a on the cited page', 'to': '6.47 / 11.8 / EBITDA +1.3% (MarketScreener CY2027E vs CY2026E: 10,097 / 9,', 'source': 'after-lease: page 6.39x (EV 64,567 / EBITDA 10,097); EV less lease liabilities 3,118 (690 + 2,428, Rogers 40-F; inside Rogers adjusted net d'}</t>
  </si>
  <si>
    <t xml:space="preserve">{'item': 'agent_1 comps DTE', 'from': '4.98 / 10.4 / n/a on the cited page', 'to': '4.98 / 10.4 / EPS +16.3% / EBITDA +6.5% (MarketScreener CY2027E vs CY2026E', 'source': 'page figures (CY2027E column; EBITDA AL as DT reports it, FY2025 44.2B). EXCLUDED from the headline median: the EV omits the ~49% TMUS minor'}</t>
  </si>
  <si>
    <t xml:space="preserve">{'item': 'agent_1 comps ORA', 'from': '4.76 / 12.2 / n/a on the cited page', 'to': '4.76 / 12.2 / EPS -23.5% (2026 one-off) / EBITDA +7.5% (MarketScreener CY2', 'source': 'page figure, no lease adjustment applied: Orange reports EBITDAaL (FY2025 12,470M, net financial debt 22,526M, TelecomTV relaying the releas'}</t>
  </si>
  <si>
    <t xml:space="preserve">{'item': 'agent_1 comps TEF', 'from': '5.05 / 7.9 / n/a on the cited page', 'to': '5.05 / 7.9 / EPS +39% (low 2026 base) / EBITDA +4.0% (MarketScreener CY20', 'source': 'after-lease: page 3.99x (EV 49,268 / EBITDA 12,333); EBITDA x 0.7905 (FY2025 EBITDAaL 9,421 = adjusted OpCFaL 5,081 + capex 4,340, over adju'}</t>
  </si>
  <si>
    <t xml:space="preserve">{'item': 'agent_1 comps SCMN', 'from': '9.83 / 23.7 / n/a on the cited page', 'to': '7.41 / 23.7 / EPS +8.4% (MarketScreener CY2027E vs CY2026E: 28.90 / 26.67)', 'source': 'page figure (reverted from the after-lease 9.83x = 50,340 / (6,796 x 0.7532)): MarketScreener net debt equals Swisscom reported net debt, wh'}</t>
  </si>
  <si>
    <t xml:space="preserve">{'item': 'agent_1 comps VOD', 'from': '4.5 / 11.43 / n/a on the cited page', 'to': '4.5 / 11.4 / EBITDA +6.5% (MarketScreener FY Mar-28 vs Mar-27: 14,058 / 1', 'source': 'calendarised to CY2027 = 25% FY Mar-27 + 75% FY Mar-28 (MarketScreener page): EV 0.25 x 63,387 + 0.75 x 61,914 = 62,282; EBITDA (adjusted EB'}</t>
  </si>
  <si>
    <t xml:space="preserve">{'item': 'agent_1 comps_summary peer medians', 'from': 'EV/EBITDA 5.52x (12-peer) headline; range to 9.83x', 'to': 'headline ex-DT 5.98x; range 4.38-7.41x; P/E 10.55x indicative', 'source': 'recomputed from the fixed rows'}</t>
  </si>
  <si>
    <t xml:space="preserve">{'item': 'agent_1 guidance FY2028 EPS guide 2.82', 'from': 'labelled guidance', 'to': 'labelled estimate (2.12 x 1.1^3)', 'source': 'https://www.sec.gov/Archives/edgar/data/732717/000073271726000047/t-4q2025exhibit991.htm'}</t>
  </si>
  <si>
    <t xml:space="preserve">{'item': 'agent_1 guidance adjusted EBITDA growth FY2028 consensus', 'from': 0.0442, 'to': 0.045, 'source': 'MarketScreener 51,989 / 49,750'}</t>
  </si>
  <si>
    <t xml:space="preserve">{'item': 'agent_1 guidance FY2026 EPS arithmetic', 'from': 'record-adjusted 2.36, position inside', 'to': 'record-adjusted 2.466 (2.40 x 1.0273), position below (2.38 &lt; 2.40)', 'source': 'gate arithmetic'}</t>
  </si>
  <si>
    <t xml:space="preserve">{'item': 'agent_1 diluted shares now 6,746M', 'from': 'basis reported', 'to': 'basis estimate (6,736.5 + 9)', 'source': 'gate: cover 6,736,473,433; Q3 dilution 9M'}</t>
  </si>
  <si>
    <t xml:space="preserve">{'item': 'agent_1 segment base revenues FY2025', 'from': 'reported; Latin America / Corporate not on the cited exhibit', 'to': 'Latin America from Q4 2025 Ex.99.2; Corporate as the residual (estimate)', 'source': 'https://www.sec.gov/Archives/edgar/data/732717/000073271726000047/t-4q2025exhibit992.htm'}</t>
  </si>
  <si>
    <t xml:space="preserve">{'item': 'agent_1 driver conn FY2026 average', 'from': 15.55, 'to': 15.44, 'source': 'gate time-weighting (Lumen from 2026-02-02)'}</t>
  </si>
  <si>
    <t xml:space="preserve">{'item': 'agent_1 driver aih_arpu (revenue anchor $11,765M held; 2027 -1.0%, 2028 +0.5% kept)', 'from': [63.0493, 62.4188, 62.7309], 'to': [63.4985, 62.8635, 63.1778], 'source': 'knock-on of the conn fix'}</t>
  </si>
  <si>
    <t xml:space="preserve">{'item': 'agent_1 corporate_ebit', 'from': [-2540, -2430, -2330], 'to': [-2200, -2090, -1990], 'source': 'gate: corporate D&amp;A double counted; other EBIT in the EPS/FCF/net-debt formulas +340'}</t>
  </si>
  <si>
    <t xml:space="preserve">{'item': 'agent_1 fair_value.value (engine base)', 'from': 23.88, 'to': 24.39, 'source': 'model_engine.py check after the arithmetic fixes'}</t>
  </si>
  <si>
    <t xml:space="preserve">{'item': 'agent_2 source: Nasdaq consensus page (HTTP 503)', 'from': 'nasdaq.com/market-activity/stocks/t/earnings', 'to': 'https://api.nasdaq.com/api/analyst/T/earnings-forecast', 'source': 'gate opened the API (FY2026 2.38, FY2028 2.86)'}</t>
  </si>
  <si>
    <t xml:space="preserve">{'item': 'agent_2 comps VZ', 'from': '6.17 / 8.51 / EPS +5.2% (Zacks FY27)', 'to': '6.17 / 8.51 / EPS +16.5% / EBITDA +3.2% (MarketScreener CY2027E vs CY2026E', 'source': 'page figures (CY2027E column)'}</t>
  </si>
  <si>
    <t xml:space="preserve">{'item': 'agent_2 comps TMUS', 'from': '5.98 / 10.5 / EPS +20.5% (Zacks FY27)', 'to': '5.98 / 10.5 / EPS +27.2% / EBITDA +8.4% (MarketScreener CY2027E vs CY2026E', 'source': 'page figures (CY2027E column)'}</t>
  </si>
  <si>
    <t xml:space="preserve">{'item': 'agent_2 comps CMCSA', 'from': '4.79 / 7.4 / EPS +3.4% (Zacks FY27)', 'to': '4.79 / 7.4 / EPS +4.3% / EBITDA -0.8% (MarketScreener CY2027E vs CY2026E:', 'source': 'page figures (CY2027E column)'}</t>
  </si>
  <si>
    <t xml:space="preserve">{'item': 'agent_2 comps CHTR', 'from': '4.38 / 2.43 / EPS +5.8% (Zacks FY27)', 'to': '4.38 / 2.43 / EPS +10.6% / EBITDA +11.4% (MarketScreener CY2027E vs CY2026', 'source': 'page figures (CY2027E column); P/E 2.43x is distorted (small equity on ~$105B net debt) and is shown, not relied on'}</t>
  </si>
  <si>
    <t xml:space="preserve">{'item': 'agent_2 comps BCE', 'from': '6.43 / 10.6 / EPS +3.1% (2027E vs 2026E)', 'to': '6.27 / 10.6 / EPS +3.1% / EBITDA +2.1% (MarketScreener CY2027E vs CY2026E:', 'source': 'after-lease: page 6.14x (EV 67,501 / EBITDA 11,002); EV less lease liabilities 5,242 (BCE 40-F R34; BCE carries leases inside debt) = 62,259'}</t>
  </si>
  <si>
    <t xml:space="preserve">{'item': 'agent_2 comps TU', 'from': '6.75 / 21.7 / EPS n.m. (2026E loss)', 'to': '6.86 / 21.7 / EBITDA +1.6% (MarketScreener CY2027E vs CY2026E: 7,256 / 7,1', 'source': 'after-lease: page 6.62x (EV 48,037 / EBITDA 7,256); EV less lease liabilities 3,300 (TELUS 2025 MD&amp;A; lease liabilities sit in TELUS long-te'}</t>
  </si>
  <si>
    <t xml:space="preserve">{'item': 'agent_2 comps RCI', 'from': '6.45 / 11.8 / EPS n.m. (2026E depressed)', 'to': '6.47 / 11.8 / EBITDA +1.3% (MarketScreener CY2027E vs CY2026E: 10,097 / 9,', 'source': 'after-lease: page 6.39x (EV 64,567 / EBITDA 10,097); EV less lease liabilities 3,118 (690 + 2,428, Rogers 40-F; inside Rogers adjusted net d'}</t>
  </si>
  <si>
    <t xml:space="preserve">{'item': 'agent_2 comps DTE', 'from': '4.98 / 10.4 / EPS +16.3% (2027E vs 2026E)', 'to': '4.98 / 10.4 / EPS +16.3% / EBITDA +6.5% (MarketScreener CY2027E vs CY2026E', 'source': 'page figures (CY2027E column; EBITDA AL as DT reports it, FY2025 44.2B). EXCLUDED from the headline median: the EV omits the ~49% TMUS minor'}</t>
  </si>
  <si>
    <t xml:space="preserve">{'item': 'agent_2 comps ORA', 'from': '4.76 / 12.2 / EPS -23.5% (2027E vs 2026E)', 'to': '4.76 / 12.2 / EPS -23.5% (2026 one-off) / EBITDA +7.5% (MarketScreener CY2', 'source': 'page figure, no lease adjustment applied: Orange reports EBITDAaL (FY2025 12,470M, net financial debt 22,526M, TelecomTV relaying the releas'}</t>
  </si>
  <si>
    <t xml:space="preserve">{'item': 'agent_2 comps TEF', 'from': '5.05 / 7.9 / EPS +39% (2027E vs 2026E)', 'to': '5.05 / 7.9 / EPS +39% (low 2026 base) / EBITDA +4.0% (MarketScreener CY20', 'source': 'after-lease: page 3.99x (EV 49,268 / EBITDA 12,333); EBITDA x 0.7905 (FY2025 EBITDAaL 9,421 = adjusted OpCFaL 5,081 + capex 4,340, over adju'}</t>
  </si>
  <si>
    <t xml:space="preserve">{'item': 'agent_2 comps SCMN', 'from': '9.83 / 23.7 / EPS +8.4% (2027E vs 2026E)', 'to': '7.41 / 23.7 / EPS +8.4% (MarketScreener CY2027E vs CY2026E: 28.90 / 26.67)', 'source': 'page figure (reverted from the after-lease 9.83x = 50,340 / (6,796 x 0.7532)): MarketScreener net debt equals Swisscom reported net debt, wh'}</t>
  </si>
  <si>
    <t xml:space="preserve">{'item': 'agent_2 comps VOD', 'from': '4.5 / 11.43 / EBITDAaL +6.5% (FY Mar-28 vs Mar-27)', 'to': '4.5 / 11.4 / EBITDA +6.5% (MarketScreener FY Mar-28 vs Mar-27: 14,058 / 1', 'source': 'calendarised to CY2027 = 25% FY Mar-27 + 75% FY Mar-28 (MarketScreener page): EV 0.25 x 63,387 + 0.75 x 61,914 = 62,282; EBITDA (adjusted EB'}</t>
  </si>
  <si>
    <t xml:space="preserve">{'item': 'agent_2 comps_summary peer medians', 'from': 'EV/EBITDA 5.52x (12-peer) headline; range to 9.83x', 'to': 'headline ex-DT 5.98x; range 4.38-7.41x; P/E 10.55x indicative', 'source': 'recomputed from the fixed rows'}</t>
  </si>
  <si>
    <t xml:space="preserve">{'item': 'agent_2 guidance capital investment FY2027 record counts', 'from': '1/2/0', 'to': '1/1/1 (FY2023 23.6 &lt; 24.0 miss; FY2024 22.1 beat; FY2025 22.0 inside)', 'source': 'gate arithmetic'}</t>
  </si>
  <si>
    <t xml:space="preserve">{'item': 'agent_2 guidance Legacy service revenue FY2026', 'from': '-0.253 labelled service revenue; counts 1/0/0; inside', 'to': 'proxy (total segment revenue, Ex.99.3); counts 0/0/1; below', 'source': 'https://www.sec.gov/Archives/edgar/data/732717/000073271726000370/t-3q2026exhibit993.htm'}</t>
  </si>
  <si>
    <t xml:space="preserve">{'item': 'agent_2 guidance AC EBITDA FY2026 (9M) pair', 'from': 'actual cited to Ex.99.1/99.2', 'to': 'guide Q4 2025 release; actual Q3 2026 Ex.99.3', 'source': 'https://www.sec.gov/Archives/edgar/data/732717/000073271726000370/t-3q2026exhibit993.htm'}</t>
  </si>
  <si>
    <t xml:space="preserve">{'item': 'agent_3 comps VZ', 'from': '6.17 / 8.51 / +5.2% EPS (peers.md, Zacks)', 'to': '6.17 / 8.51 / EPS +16.5% / EBITDA +3.2% (MarketScreener CY2027E vs CY2026E', 'source': 'page figures (CY2027E column)'}</t>
  </si>
  <si>
    <t xml:space="preserve">{'item': 'agent_3 comps TMUS', 'from': '5.98 / 10.5 / +20.5% EPS (peers.md, Zacks)', 'to': '5.98 / 10.5 / EPS +27.2% / EBITDA +8.4% (MarketScreener CY2027E vs CY2026E', 'source': 'page figures (CY2027E column)'}</t>
  </si>
  <si>
    <t xml:space="preserve">{'item': 'agent_3 comps CMCSA', 'from': '4.79 / 7.4 / +3.4% EPS (peers.md, Zacks)', 'to': '4.79 / 7.4 / EPS +4.3% / EBITDA -0.8% (MarketScreener CY2027E vs CY2026E:', 'source': 'page figures (CY2027E column)'}</t>
  </si>
  <si>
    <t xml:space="preserve">{'item': 'agent_3 comps CHTR', 'from': '4.38 / 2.43 / +5.8% EPS (peers.md, Zacks)', 'to': '4.38 / 2.43 / EPS +10.6% / EBITDA +11.4% (MarketScreener CY2027E vs CY2026', 'source': 'page figures (CY2027E column); P/E 2.43x is distorted (small equity on ~$105B net debt) and is shown, not relied on'}</t>
  </si>
  <si>
    <t xml:space="preserve">{'item': 'agent_3 comps BCE', 'from': '6.43 / 10.6 / n/a (not shown on the cited pages)', 'to': '6.27 / 10.6 / EPS +3.1% / EBITDA +2.1% (MarketScreener CY2027E vs CY2026E:', 'source': 'after-lease: page 6.14x (EV 67,501 / EBITDA 11,002); EV less lease liabilities 5,242 (BCE 40-F R34; BCE carries leases inside debt) = 62,259'}</t>
  </si>
  <si>
    <t xml:space="preserve">{'item': 'agent_3 comps TU', 'from': '6.75 / 21.7 / n/a (not shown on the cited pages)', 'to': '6.86 / 21.7 / EBITDA +1.6% (MarketScreener CY2027E vs CY2026E: 7,256 / 7,1', 'source': 'after-lease: page 6.62x (EV 48,037 / EBITDA 7,256); EV less lease liabilities 3,300 (TELUS 2025 MD&amp;A; lease liabilities sit in TELUS long-te'}</t>
  </si>
  <si>
    <t xml:space="preserve">{'item': 'agent_3 comps RCI', 'from': '6.45 / 11.8 / n/a (not shown on the cited pages)', 'to': '6.47 / 11.8 / EBITDA +1.3% (MarketScreener CY2027E vs CY2026E: 10,097 / 9,', 'source': 'after-lease: page 6.39x (EV 64,567 / EBITDA 10,097); EV less lease liabilities 3,118 (690 + 2,428, Rogers 40-F; inside Rogers adjusted net d'}</t>
  </si>
  <si>
    <t xml:space="preserve">{'item': 'agent_3 comps DTE', 'from': '4.98 / 10.4 / n/a (not shown on the cited pages)', 'to': '4.98 / 10.4 / EPS +16.3% / EBITDA +6.5% (MarketScreener CY2027E vs CY2026E', 'source': 'page figures (CY2027E column; EBITDA AL as DT reports it, FY2025 44.2B). EXCLUDED from the headline median: the EV omits the ~49% TMUS minor'}</t>
  </si>
  <si>
    <t xml:space="preserve">{'item': 'agent_3 comps ORA', 'from': '4.76 / 12.2 / n/a (not shown on the cited pages)', 'to': '4.76 / 12.2 / EPS -23.5% (2026 one-off) / EBITDA +7.5% (MarketScreener CY2', 'source': 'page figure, no lease adjustment applied: Orange reports EBITDAaL (FY2025 12,470M, net financial debt 22,526M, TelecomTV relaying the releas'}</t>
  </si>
  <si>
    <t xml:space="preserve">{'item': 'agent_3 comps TEF', 'from': '5.05 / 7.9 / n/a (not shown on the cited pages)', 'to': '5.05 / 7.9 / EPS +39% (low 2026 base) / EBITDA +4.0% (MarketScreener CY20', 'source': 'after-lease: page 3.99x (EV 49,268 / EBITDA 12,333); EBITDA x 0.7905 (FY2025 EBITDAaL 9,421 = adjusted OpCFaL 5,081 + capex 4,340, over adju'}</t>
  </si>
  <si>
    <t xml:space="preserve">{'item': 'agent_3 comps SCMN', 'from': '9.83 / 23.7 / n/a (not shown on the cited pages)', 'to': '7.41 / 23.7 / EPS +8.4% (MarketScreener CY2027E vs CY2026E: 28.90 / 26.67)', 'source': 'page figure (reverted from the after-lease 9.83x = 50,340 / (6,796 x 0.7532)): MarketScreener net debt equals Swisscom reported net debt, wh'}</t>
  </si>
  <si>
    <t xml:space="preserve">{'item': 'agent_3 comps VOD', 'from': '4.5 / 11.43 / n/a (not shown on the cited pages)', 'to': '4.5 / 11.4 / EBITDA +6.5% (MarketScreener FY Mar-28 vs Mar-27: 14,058 / 1', 'source': 'calendarised to CY2027 = 25% FY Mar-27 + 75% FY Mar-28 (MarketScreener page): EV 0.25 x 63,387 + 0.75 x 61,914 = 62,282; EBITDA (adjusted EB'}</t>
  </si>
  <si>
    <t xml:space="preserve">{'item': 'agent_3 comps_summary peer medians', 'from': 'EV/EBITDA 5.52x (12-peer) headline; range to 9.83x', 'to': 'headline ex-DT 5.98x; range 4.38-7.41x; P/E 10.55x indicative', 'source': 'recomputed from the fixed rows'}</t>
  </si>
  <si>
    <t xml:space="preserve">{'item': 'agent_3 guidance FY2026 EPS consensus', 'from': '2.3946 (Alpha Vantage; needs a key, not openable)', 'to': '2.38 (Zacks via the Nasdaq API)', 'source': 'https://api.nasdaq.com/api/analyst/T/earnings-forecast'}</t>
  </si>
  <si>
    <t xml:space="preserve">{'item': 'agent_3 guidance FY2028 EPS guide 2.82', 'from': 'labelled guidance', 'to': 'labelled estimate (2.12 x 1.1^3)', 'source': 'https://www.sec.gov/Archives/edgar/data/732717/000073271726000047/t-4q2025exhibit991.htm'}</t>
  </si>
  <si>
    <t xml:space="preserve">{'item': 'agent_3 guidance adjusted EBITDA growth FY2028 record counts', 'from': '1/1/0', 'to': '2/0/0 (3.2% and 3.6% vs the 3% point)', 'source': 'gate arithmetic'}</t>
  </si>
  <si>
    <t xml:space="preserve">{'item': 'agent_3 guidance Legacy FY2026 position', 'from': 'inside', 'to': 'below', 'source': 'gate arithmetic'}</t>
  </si>
  <si>
    <t xml:space="preserve">{'item': 'agent_4 source: Nasdaq consensus page (HTTP 503)', 'from': 'nasdaq.com/market-activity/stocks/t/earnings', 'to': 'https://api.nasdaq.com/api/analyst/T/earnings-forecast', 'source': 'gate opened the API (FY2026 2.38, FY2028 2.86)'}</t>
  </si>
  <si>
    <t xml:space="preserve">{'item': 'agent_4 comps VZ', 'from': '6.17 / 8.51 / EPS +5.2% (Zacks NTM, peers.md)', 'to': '6.17 / 8.51 / EPS +16.5% / EBITDA +3.2% (MarketScreener CY2027E vs CY2026E', 'source': 'page figures (CY2027E column)'}</t>
  </si>
  <si>
    <t xml:space="preserve">{'item': 'agent_4 comps TMUS', 'from': '5.98 / 10.5 / EPS +20.5% (Zacks NTM, peers.md)', 'to': '5.98 / 10.5 / EPS +27.2% / EBITDA +8.4% (MarketScreener CY2027E vs CY2026E', 'source': 'page figures (CY2027E column)'}</t>
  </si>
  <si>
    <t xml:space="preserve">{'item': 'agent_4 comps CMCSA', 'from': '4.79 / 7.4 / EPS +3.4% (Zacks NTM, peers.md)', 'to': '4.79 / 7.4 / EPS +4.3% / EBITDA -0.8% (MarketScreener CY2027E vs CY2026E:', 'source': 'page figures (CY2027E column)'}</t>
  </si>
  <si>
    <t xml:space="preserve">{'item': 'agent_4 comps CHTR', 'from': '4.38 / 2.43 / EPS +5.8% (Zacks NTM, peers.md)', 'to': '4.38 / 2.43 / EPS +10.6% / EBITDA +11.4% (MarketScreener CY2027E vs CY2026', 'source': 'page figures (CY2027E column); P/E 2.43x is distorted (small equity on ~$105B net debt) and is shown, not relied on'}</t>
  </si>
  <si>
    <t xml:space="preserve">{'item': 'agent_4 comps BCE', 'from': '6.43 / 10.6 / n/a (not taken from the page)', 'to': '6.27 / 10.6 / EPS +3.1% / EBITDA +2.1% (MarketScreener CY2027E vs CY2026E:', 'source': 'after-lease: page 6.14x (EV 67,501 / EBITDA 11,002); EV less lease liabilities 5,242 (BCE 40-F R34; BCE carries leases inside debt) = 62,259'}</t>
  </si>
  <si>
    <t xml:space="preserve">{'item': 'agent_4 comps TU', 'from': '6.75 / 21.7 / n/a (not taken from the page)', 'to': '6.86 / 21.7 / EBITDA +1.6% (MarketScreener CY2027E vs CY2026E: 7,256 / 7,1', 'source': 'after-lease: page 6.62x (EV 48,037 / EBITDA 7,256); EV less lease liabilities 3,300 (TELUS 2025 MD&amp;A; lease liabilities sit in TELUS long-te'}</t>
  </si>
  <si>
    <t xml:space="preserve">{'item': 'agent_4 comps RCI', 'from': '6.45 / 11.8 / n/a (not taken from the page)', 'to': '6.47 / 11.8 / EBITDA +1.3% (MarketScreener CY2027E vs CY2026E: 10,097 / 9,', 'source': 'after-lease: page 6.39x (EV 64,567 / EBITDA 10,097); EV less lease liabilities 3,118 (690 + 2,428, Rogers 40-F; inside Rogers adjusted net d'}</t>
  </si>
  <si>
    <t xml:space="preserve">{'item': 'agent_4 comps DTE', 'from': '4.98 / 10.4 / n/a (not taken from the page)', 'to': '4.98 / 10.4 / EPS +16.3% / EBITDA +6.5% (MarketScreener CY2027E vs CY2026E', 'source': 'page figures (CY2027E column; EBITDA AL as DT reports it, FY2025 44.2B). EXCLUDED from the headline median: the EV omits the ~49% TMUS minor'}</t>
  </si>
  <si>
    <t xml:space="preserve">{'item': 'agent_4 comps ORA', 'from': '4.76 / 12.2 / n/a (not taken from the page)', 'to': '4.76 / 12.2 / EPS -23.5% (2026 one-off) / EBITDA +7.5% (MarketScreener CY2', 'source': 'page figure, no lease adjustment applied: Orange reports EBITDAaL (FY2025 12,470M, net financial debt 22,526M, TelecomTV relaying the releas'}</t>
  </si>
  <si>
    <t xml:space="preserve">{'item': 'agent_4 comps TEF', 'from': '5.05 / 7.9 / n/a (not taken from the page)', 'to': '5.05 / 7.9 / EPS +39% (low 2026 base) / EBITDA +4.0% (MarketScreener CY20', 'source': 'after-lease: page 3.99x (EV 49,268 / EBITDA 12,333); EBITDA x 0.7905 (FY2025 EBITDAaL 9,421 = adjusted OpCFaL 5,081 + capex 4,340, over adju'}</t>
  </si>
  <si>
    <t xml:space="preserve">{'item': 'agent_4 comps SCMN', 'from': '9.83 / 23.7 / n/a (not taken from the page)', 'to': '7.41 / 23.7 / EPS +8.4% (MarketScreener CY2027E vs CY2026E: 28.90 / 26.67)', 'source': 'page figure (reverted from the after-lease 9.83x = 50,340 / (6,796 x 0.7532)): MarketScreener net debt equals Swisscom reported net debt, wh'}</t>
  </si>
  <si>
    <t xml:space="preserve">{'item': 'agent_4 comps VOD', 'from': '4.5 / 11.43 / n/a (not taken from the page)', 'to': '4.5 / 11.4 / EBITDA +6.5% (MarketScreener FY Mar-28 vs Mar-27: 14,058 / 1', 'source': 'calendarised to CY2027 = 25% FY Mar-27 + 75% FY Mar-28 (MarketScreener page): EV 0.25 x 63,387 + 0.75 x 61,914 = 62,282; EBITDA (adjusted EB'}</t>
  </si>
  <si>
    <t xml:space="preserve">{'item': 'agent_4 comps_summary peer medians', 'from': 'EV/EBITDA 5.52x (12-peer) headline; range to 9.83x', 'to': 'headline ex-DT 5.98x; range 4.38-7.41x; P/E 10.55x indicative', 'source': 'recomputed from the fixed rows'}</t>
  </si>
  <si>
    <t xml:space="preserve">{'item': 'agent_4 guidance adjusted EPS FY2026 FY2023 actual source', 'from': '4Q2024 release', 'to': '4Q2023 release (shows FY2023 adjusted EPS 2.41)', 'source': 'https://www.sec.gov/Archives/edgar/data/732717/000073271724000006/t-4q2023exhibit991.htm'}</t>
  </si>
  <si>
    <t xml:space="preserve">{'item': 'agent_4 guidance adjusted EPS FY2028 FY2023 actual source', 'from': '4Q2024 release', 'to': '4Q2023 release (shows FY2023 adjusted EPS 2.41)', 'source': 'https://www.sec.gov/Archives/edgar/data/732717/000073271724000006/t-4q2023exhibit991.htm'}</t>
  </si>
  <si>
    <t xml:space="preserve">{'item': 'agent_4 guidance FY2026 EPS guide 2.35-2.45 / FY2028 2.82-2.98', 'from': 'labelled guidance', 'to': 'labelled estimates (reading of "$2.40 range"; 2.12 x 1.10^3 to 1.12^3)', 'source': 'https://www.sec.gov/Archives/edgar/data/732717/000073271726000047/t-4q2025exhibit991.htm'}</t>
  </si>
  <si>
    <t xml:space="preserve">{'item': 'agent_4 guidance AC service revenue FY2027 record-adjusted guide', 'from': 0.05, 'to': 0.0595, 'source': 'gate arithmetic (0.05 x 1.19)'}</t>
  </si>
  <si>
    <t xml:space="preserve">{'item': 'agent_4 guidance Legacy FY2026', 'from': 'record-adjusted -0.2, inside', 'to': 'record-adjusted -0.238, below (-0.254 &lt; -0.2 point)', 'source': 'gate arithmetic'}</t>
  </si>
  <si>
    <t xml:space="preserve">{'item': 'agent_4 driver hi_subs FY2026', 'from': 14.248, 'to': 14.07, 'source': 'gate time-weighting'}</t>
  </si>
  <si>
    <t xml:space="preserve">{'item': 'agent_4 driver hi_arpu (revenue anchor 11,760 held; 2027 -1.5%, 2028 +1.0% kept)', 'from': [68.7816, 67.7499, 68.4274], 'to': [69.6517, 68.6069, 69.293], 'source': 'knock-on'}</t>
  </si>
  <si>
    <t xml:space="preserve">{'item': 'agent_4 net_debt_horizon FCF share', 'from': 0.72, 'to': 0.75, 'source': 'gate arithmetic: 0.67 + 23/92 x 0.33'}</t>
  </si>
  <si>
    <t xml:space="preserve">{'item': 'agent_4 balance.interest_rate', 'from': 0.054, 'to': 0.053, 'source': '7,916 / 149,819'}</t>
  </si>
  <si>
    <t xml:space="preserve">{'item': 'agent_4 da_pct_rev / capex_pct_rev', 'from': 'no confidence', 'to': 'confidence medium', 'source': 'gate mislabelled'}</t>
  </si>
  <si>
    <t xml:space="preserve">{'item': 'agent_4 segment base revenues FY2025', 'from': 'W&amp;H 99,617 labelled reported', 'to': '99,620 (sum of its components), basis estimate; Latin America cited to Q4 2025 Ex.99.2', 'source': 'https://www.sec.gov/Archives/edgar/data/732717/000073271726000047/t-4q2025exhibit992.htm'}</t>
  </si>
  <si>
    <t xml:space="preserve">{'item': 'agent_4 fair_value.value (engine base)', 'from': 23.37, 'to': 23.48, 'source': 'model_engine.py check after the arithmetic fixes'}</t>
  </si>
  <si>
    <t xml:space="preserve">{'item': 'agent_5 comps VZ', 'from': '6.17 / 8.51 / EPS +5.2%; EBITDA 2027 +3.2%', 'to': '6.17 / 8.51 / EPS +16.5% / EBITDA +3.2% (MarketScreener CY2027E vs CY2026E', 'source': 'page figures (CY2027E column)'}</t>
  </si>
  <si>
    <t xml:space="preserve">{'item': 'agent_5 comps TMUS', 'from': '5.98 / 10.5 / EPS +20.5%; EBITDA 2027 +8.4%', 'to': '5.98 / 10.5 / EPS +27.2% / EBITDA +8.4% (MarketScreener CY2027E vs CY2026E', 'source': 'page figures (CY2027E column)'}</t>
  </si>
  <si>
    <t xml:space="preserve">{'item': 'agent_5 comps CMCSA', 'from': '4.79 / 7.4 / EPS +3.4%; EBITDA 2027 -0.8%', 'to': '4.79 / 7.4 / EPS +4.3% / EBITDA -0.8% (MarketScreener CY2027E vs CY2026E:', 'source': 'page figures (CY2027E column)'}</t>
  </si>
  <si>
    <t xml:space="preserve">{'item': 'agent_5 comps CHTR', 'from': '4.38 / 2.43 / EPS +5.8%; EBITDA 2027 +11.4% (Cox)', 'to': '4.38 / 2.43 / EPS +10.6% / EBITDA +11.4% (MarketScreener CY2027E vs CY2026', 'source': 'page figures (CY2027E column); P/E 2.43x is distorted (small equity on ~$105B net debt) and is shown, not relied on'}</t>
  </si>
  <si>
    <t xml:space="preserve">{'item': 'agent_5 comps BCE', 'from': '6.43 / 10.6 / EPS +3.1%; EBITDA +2.1%', 'to': '6.27 / 10.6 / EPS +3.1% / EBITDA +2.1% (MarketScreener CY2027E vs CY2026E:', 'source': 'after-lease: page 6.14x (EV 67,501 / EBITDA 11,002); EV less lease liabilities 5,242 (BCE 40-F R34; BCE carries leases inside debt) = 62,259'}</t>
  </si>
  <si>
    <t xml:space="preserve">{'item': 'agent_5 comps TU', 'from': '6.75 / 21.7 / EPS 2026 negative -&gt; 2027 CAD 0.57 (n/m); EBITDA +1.6%', 'to': '6.86 / 21.7 / EBITDA +1.6% (MarketScreener CY2027E vs CY2026E: 7,256 / 7,1', 'source': 'after-lease: page 6.62x (EV 48,037 / EBITDA 7,256); EV less lease liabilities 3,300 (TELUS 2025 MD&amp;A; lease liabilities sit in TELUS long-te'}</t>
  </si>
  <si>
    <t xml:space="preserve">{'item': 'agent_5 comps RCI', 'from': '6.45 / 11.8 / EPS 2027 vs depressed 2026 (n/m); EBITDA +1.3%', 'to': '6.47 / 11.8 / EBITDA +1.3% (MarketScreener CY2027E vs CY2026E: 10,097 / 9,', 'source': 'after-lease: page 6.39x (EV 64,567 / EBITDA 10,097); EV less lease liabilities 3,118 (690 + 2,428, Rogers 40-F; inside Rogers adjusted net d'}</t>
  </si>
  <si>
    <t xml:space="preserve">{'item': 'agent_5 comps DTE', 'from': '4.98 / 10.4 / EPS +16.3%; EBITDA +6.5%', 'to': '4.98 / 10.4 / EPS +16.3% / EBITDA +6.5% (MarketScreener CY2027E vs CY2026E', 'source': 'page figures (CY2027E column; EBITDA AL as DT reports it, FY2025 44.2B). EXCLUDED from the headline median: the EV omits the ~49% TMUS minor'}</t>
  </si>
  <si>
    <t xml:space="preserve">{'item': 'agent_5 comps ORA', 'from': '4.76 / 12.2 / EPS -23.5% (2026 one-off); EBITDA +7.5%', 'to': '4.76 / 12.2 / EPS -23.5% (2026 one-off) / EBITDA +7.5% (MarketScreener CY2', 'source': 'page figure, no lease adjustment applied: Orange reports EBITDAaL (FY2025 12,470M, net financial debt 22,526M, TelecomTV relaying the releas'}</t>
  </si>
  <si>
    <t xml:space="preserve">{'item': 'agent_5 comps TEF', 'from': '5.05 / 7.9 / EPS +39% (low 2026 base); EBITDA +4.0%', 'to': '5.05 / 7.9 / EPS +39% (low 2026 base) / EBITDA +4.0% (MarketScreener CY20', 'source': 'after-lease: page 3.99x (EV 49,268 / EBITDA 12,333); EBITDA x 0.7905 (FY2025 EBITDAaL 9,421 = adjusted OpCFaL 5,081 + capex 4,340, over adju'}</t>
  </si>
  <si>
    <t xml:space="preserve">{'item': 'agent_5 comps SCMN', 'from': '9.83 / 23.7 / not taken', 'to': '7.41 / 23.7 / EPS +8.4% (MarketScreener CY2027E vs CY2026E: 28.90 / 26.67)', 'source': 'page figure (reverted from the after-lease 9.83x = 50,340 / (6,796 x 0.7532)): MarketScreener net debt equals Swisscom reported net debt, wh'}</t>
  </si>
  <si>
    <t xml:space="preserve">{'item': 'agent_5 comps VOD', 'from': '4.5 / 11.43 / EBITDA FY Mar-28 vs Mar-27 +6.5% (MarketScreener 14,058 / 13,204)', 'to': '4.5 / 11.4 / EBITDA +6.5% (MarketScreener FY Mar-28 vs Mar-27: 14,058 / 1', 'source': 'calendarised to CY2027 = 25% FY Mar-27 + 75% FY Mar-28 (MarketScreener page): EV 0.25 x 63,387 + 0.75 x 61,914 = 62,282; EBITDA (adjusted EB'}</t>
  </si>
  <si>
    <t xml:space="preserve">{'item': 'agent_5 comps_summary peer medians', 'from': 'EV/EBITDA 5.52x (12-peer) headline; range to 9.83x', 'to': 'headline ex-DT 5.98x; range 4.38-7.41x; P/E 10.55x indicative', 'source': 'recomputed from the fixed rows'}</t>
  </si>
  <si>
    <t xml:space="preserve">{'item': 'agent_5 guidance FY2026 EPS position', 'from': 'inside', 'to': 'above (2.41 &gt; the 2.40 point)', 'source': 'gate arithmetic'}</t>
  </si>
  <si>
    <t xml:space="preserve">{'item': 'agent_5 guidance AC EBITDA FY2026 (9M) pair', 'from': 'guide cited to Ex.99.3 (not shown there)', 'to': 'guide Q4 2025 release; actual Ex.99.3', 'source': 'https://www.sec.gov/Archives/edgar/data/732717/000073271726000047/t-4q2025exhibit991.htm'}</t>
  </si>
  <si>
    <t xml:space="preserve">{'item': 'agent_5 capex input', 'from': 'no confidence', 'to': 'confidence medium', 'source': 'gate mislabelled'}</t>
  </si>
  <si>
    <t xml:space="preserve">{'item': 'agent_5 D&amp;A % revenue', 'from': '15.20% / 15.42% / 15.60% (stated D&amp;A 19,640 / 19,770 / 20,181)', 'to': '15.05% / 15.42% / 15.60% (D&amp;A 19,450 / 19,884 / 20,364 by the stated formula; 2026 LatAm Q4 nil)', 'source': 'gate arithmetic'}</t>
  </si>
  <si>
    <t xml:space="preserve">{'item': 'agent_3 Preferred stock 2,950', 'from': 'basis reported; liquidation preference not on the cited 10-Q page', 'to': 'basis estimate: (48,000 + 70,000) x $25,000 (10-Q R6 shares; 10-K R26 liquidation preference)', 'source': 'https://www.sec.gov/Archives/edgar/data/732717/000073271726000120/R26.htm'}</t>
  </si>
  <si>
    <t xml:space="preserve">{'item': 'agent_4 balance.preferred 2,950', 'from': 'basis reported; liquidation preference not on the cited 10-Q page', 'to': 'basis estimate: (48,000 + 70,000) x $25,000 (10-Q R6 shares; 10-K R26 liquidation preference)', 'source': 'https://www.sec.gov/Archives/edgar/data/732717/000073271726000120/R26.htm'}</t>
  </si>
  <si>
    <t xml:space="preserve">Sizing</t>
  </si>
  <si>
    <t xml:space="preserve">max weight pct</t>
  </si>
  <si>
    <t xml:space="preserve">confidence</t>
  </si>
  <si>
    <t xml:space="preserve">entry</t>
  </si>
  <si>
    <t xml:space="preserve">2 tranches over ~4 weeks: half after the Verizon (Oct-26), T-Mobile (Oct-28) prints and the FCC Oct-29 meeting, half by late November if no SpaceX site deal is signed</t>
  </si>
  <si>
    <t xml:space="preserve">overlap</t>
  </si>
  <si>
    <t xml:space="preserve">Low: no telecom or high-yield holding; ABT is the only other defensive name; no shared driver with the AI/semis book (AMAT, NVDA) beyond the market factor.</t>
  </si>
  <si>
    <t xml:space="preserve">reason</t>
  </si>
  <si>
    <t xml:space="preserve">A liquid, low-beta, 5.3%-yield incumbent at an already de-rated multiple diversifies a tech-heavy book, but SpaceX headline risk is live and our build sits below the 2027-28 FCF floors, so the expected Sharpe edge over SPY is about nil; a mid-single-digit cap.</t>
  </si>
  <si>
    <t xml:space="preserve">open flags</t>
  </si>
  <si>
    <t xml:space="preserve">[]</t>
  </si>
  <si>
    <t xml:space="preserve">T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</si>
  <si>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</si>
  <si>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</si>
  <si>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</si>
  <si>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</si>
  <si>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</si>
  <si>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</si>
  <si>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AT&amp;T Form 10-Q for the quarter ended 2026-09-30</t>
  </si>
  <si>
    <t xml:space="preserve">2026-10-21</t>
  </si>
  <si>
    <t xml:space="preserve">https://www.sec.gov/Archives/edgar/data/732717/000073271726000372/t-20260930.htm</t>
  </si>
  <si>
    <t xml:space="preserve">A1.2</t>
  </si>
  <si>
    <t xml:space="preserve">AT&amp;T 8-K Ex.99.1: Q3 2026 earnings release</t>
  </si>
  <si>
    <t xml:space="preserve">https://www.sec.gov/Archives/edgar/data/0000732717/000073271726000370/t-3q2026exhibit991.htm</t>
  </si>
  <si>
    <t xml:space="preserve">A1.3</t>
  </si>
  <si>
    <t xml:space="preserve">AT&amp;T 8-K Ex.99.2: Q3 2026 selected financial statements and operating data</t>
  </si>
  <si>
    <t xml:space="preserve">https://www.sec.gov/Archives/edgar/data/0000732717/000073271726000370/t-3q2026exhibit992.htm</t>
  </si>
  <si>
    <t xml:space="preserve">A1.4</t>
  </si>
  <si>
    <t xml:space="preserve">AT&amp;T 8-K Ex.99.3: Q3 2026 non-GAAP reconciliations (adj. EBITDA, adj. EPS, FCF, net debt)</t>
  </si>
  <si>
    <t xml:space="preserve">https://www.sec.gov/Archives/edgar/data/0000732717/000073271726000370/t-3q2026exhibit993.htm</t>
  </si>
  <si>
    <t xml:space="preserve">A1.5</t>
  </si>
  <si>
    <t xml:space="preserve">AT&amp;T 8-K Ex.99.1: Q4 2025 earnings release (FY2025 actuals, first FY2026 guide, 2027-28 outlook)</t>
  </si>
  <si>
    <t xml:space="preserve">2026-01-28</t>
  </si>
  <si>
    <t xml:space="preserve">https://www.sec.gov/Archives/edgar/data/732717/000073271726000047/t-4q2025exhibit991.htm</t>
  </si>
  <si>
    <t xml:space="preserve">A1.6</t>
  </si>
  <si>
    <t xml:space="preserve">AT&amp;T 8-K Ex.99.2: Q4 2025 selected financial and operating data (subscribers, Latin America, vendor financing)</t>
  </si>
  <si>
    <t xml:space="preserve">https://www.sec.gov/Archives/edgar/data/732717/000073271726000047/t-4q2025exhibit992.htm</t>
  </si>
  <si>
    <t xml:space="preserve">A1.7</t>
  </si>
  <si>
    <t xml:space="preserve">AT&amp;T 8-K Ex.99.4: supplemental quarterly information recast to Advanced Connectivity / Legacy segments, 2023-2025</t>
  </si>
  <si>
    <t xml:space="preserve">https://www.sec.gov/Archives/edgar/data/732717/000073271726000047/t-4q2025exhibit994.htm</t>
  </si>
  <si>
    <t xml:space="preserve">A1.8</t>
  </si>
  <si>
    <t xml:space="preserve">AT&amp;T Form 10-K for FY2025</t>
  </si>
  <si>
    <t xml:space="preserve">2026-02-09</t>
  </si>
  <si>
    <t xml:space="preserve">https://www.sec.gov/Archives/edgar/data/732717/000073271726000120/t-20251231.htm</t>
  </si>
  <si>
    <t xml:space="preserve">A1.9</t>
  </si>
  <si>
    <t xml:space="preserve">AT&amp;T 8-K Ex.99.1: Q4 2024 earnings release (FY2024 actuals, first FY2025 guide)</t>
  </si>
  <si>
    <t xml:space="preserve">2025-01-27</t>
  </si>
  <si>
    <t xml:space="preserve">https://www.sec.gov/Archives/edgar/data/732717/000073271725000007/t-4q2024exhibit991.htm</t>
  </si>
  <si>
    <t xml:space="preserve">A1.10</t>
  </si>
  <si>
    <t xml:space="preserve">AT&amp;T 8-K Ex.99.1: Q4 2023 earnings release (FY2023 actuals, first FY2024 guide)</t>
  </si>
  <si>
    <t xml:space="preserve">2024-01-24</t>
  </si>
  <si>
    <t xml:space="preserve">https://www.sec.gov/Archives/edgar/data/732717/000073271724000006/t-4q2023exhibit991.htm</t>
  </si>
  <si>
    <t xml:space="preserve">A1.11</t>
  </si>
  <si>
    <t xml:space="preserve">AT&amp;T 8-K Ex.99.1: Q4 2022 earnings release (FY2022 actuals, first FY2023 guide)</t>
  </si>
  <si>
    <t xml:space="preserve">2023-01-25</t>
  </si>
  <si>
    <t xml:space="preserve">https://www.sec.gov/Archives/edgar/data/732717/000073271723000007/t-4q2022exhibit991.htm</t>
  </si>
  <si>
    <t xml:space="preserve">A1.12</t>
  </si>
  <si>
    <t xml:space="preserve">AT&amp;T 8-K Ex.99.1: Q2 2026 earnings release (guidance reiterated, buyback accelerated to ~$10B)</t>
  </si>
  <si>
    <t xml:space="preserve">2026-07-22</t>
  </si>
  <si>
    <t xml:space="preserve">https://www.sec.gov/Archives/edgar/data/732717/000073271726000294/t-2q2026exhibit991.htm</t>
  </si>
  <si>
    <t xml:space="preserve">A1.13</t>
  </si>
  <si>
    <t xml:space="preserve">AT&amp;T 8-K Ex.99.1: Q1 2026 earnings release</t>
  </si>
  <si>
    <t xml:space="preserve">2026-04-22</t>
  </si>
  <si>
    <t xml:space="preserve">https://www.sec.gov/Archives/edgar/data/732717/000073271726000203/t-1q2026exhibit991.htm</t>
  </si>
  <si>
    <t xml:space="preserve">A1.14</t>
  </si>
  <si>
    <t xml:space="preserve">AT&amp;T DEF 14A proxy statement 2026 (CD&amp;A: 2025 STI metrics, 2023-25 performance shares)</t>
  </si>
  <si>
    <t xml:space="preserve">2026-03-23</t>
  </si>
  <si>
    <t xml:space="preserve">https://www.sec.gov/Archives/edgar/data/732717/000119312526119888/d919223ddef14a.htm</t>
  </si>
  <si>
    <t xml:space="preserve">A1.15</t>
  </si>
  <si>
    <t xml:space="preserve">AT&amp;T 8-K (Items 5.02/8.01): agreement to sell Mexico wireless business; international executive role eliminated</t>
  </si>
  <si>
    <t xml:space="preserve">2026-10-16</t>
  </si>
  <si>
    <t xml:space="preserve">https://www.sec.gov/Archives/edgar/data/0000732717/000119312526424057/d905556d8k.htm</t>
  </si>
  <si>
    <t xml:space="preserve">A1.16</t>
  </si>
  <si>
    <t xml:space="preserve">MarketBeat: transcript summary, what AT&amp;T said on its Q3 2026 earnings call (Stankey, Desroches)</t>
  </si>
  <si>
    <t xml:space="preserve">https://www.marketbeat.com/instant-alerts/transcript-what-att-t-said-on-its-q3-earnings-call-2026-10-21/</t>
  </si>
  <si>
    <t xml:space="preserve">A1.17</t>
  </si>
  <si>
    <t xml:space="preserve">Latham &amp; Watkins: Grain Management definitive agreement to sell 800 MHz spectrum portfolio to SpaceX</t>
  </si>
  <si>
    <t xml:space="preserve">2026-10-09</t>
  </si>
  <si>
    <t xml:space="preserve">https://www.lw.com/en/news/2026/10/latham-watkins-advises-on-grain-management-definitive-agreement-to-sell-spectrum-portfolio-to-spacex</t>
  </si>
  <si>
    <t xml:space="preserve">A1.18</t>
  </si>
  <si>
    <t xml:space="preserve">Verizon: Verizon to report third-quarter 2026 earnings on October 26, 2026</t>
  </si>
  <si>
    <t xml:space="preserve">2026-09-28</t>
  </si>
  <si>
    <t xml:space="preserve">https://www.verizon.com/about/news/verizon-q3-2026-earnings-report-date</t>
  </si>
  <si>
    <t xml:space="preserve">A1.19</t>
  </si>
  <si>
    <t xml:space="preserve">T-Mobile (Business Wire): T-Mobile to host Q3 2026 earnings call on October 28, 2026</t>
  </si>
  <si>
    <t xml:space="preserve">2026-09-17</t>
  </si>
  <si>
    <t xml:space="preserve">https://secure.businesswire.com/news/home/20260917015300/en/T-Mobile-to-Host-Q3-2026-Earnings-Call-on-October-28-2026</t>
  </si>
  <si>
    <t xml:space="preserve">A1.20</t>
  </si>
  <si>
    <t xml:space="preserve">AT&amp;T 8-K Ex.99.1: Q2 2025 earnings release (OBBBA cash tax savings $6.5-8.0B 2025-27, $1.5B pension contribution, FCF $19B+ 2027)</t>
  </si>
  <si>
    <t xml:space="preserve">2025-07-23</t>
  </si>
  <si>
    <t xml:space="preserve">https://sec.gov/Archives/edgar/data/732717/000073271725000076/t-2qx2025exhibit991.htm</t>
  </si>
  <si>
    <t xml:space="preserve">A1.21</t>
  </si>
  <si>
    <t xml:space="preserve">Verizon news release: Verizon delivers record 2Q26 results (184k postpaid phone net adds; 2026 wireless service revenue ~flat; less device subsidy)</t>
  </si>
  <si>
    <t xml:space="preserve">2026-07-24</t>
  </si>
  <si>
    <t xml:space="preserve">https://www.verizon.com/about/news/verizon-delivers-record-2q26-results</t>
  </si>
  <si>
    <t xml:space="preserve">A1.22</t>
  </si>
  <si>
    <t xml:space="preserve">Trefis: What just happened to AT&amp;T stock? (moves of 2026-10-09, 10-21, 10-23)</t>
  </si>
  <si>
    <t xml:space="preserve">2026-10-25</t>
  </si>
  <si>
    <t xml:space="preserve">https://www.trefis.com/stock/t/articles/620542/what-just-happened-to-att-stock/2026-10-25</t>
  </si>
  <si>
    <t xml:space="preserve">A1.23</t>
  </si>
  <si>
    <t xml:space="preserve">Light Reading: AT&amp;T follows Telefonica out of Mexico with $2B sale</t>
  </si>
  <si>
    <t xml:space="preserve">2026-10-14</t>
  </si>
  <si>
    <t xml:space="preserve">https://www.lightreading.com/finance/at-t-follows-telef-nica-out-of-mexico-with-2b-sale</t>
  </si>
  <si>
    <t xml:space="preserve">A1.24</t>
  </si>
  <si>
    <t xml:space="preserve">Nasdaq.com analyst earnings-forecast API for T (Zacks consensus EPS*: FY2026 2.38, FY2027 2.54, FY2028 2.86), fetched 2026-10-25 (snapshot runs/2026-10-23/T/scratch_agent_5/nq_T.json)</t>
  </si>
  <si>
    <t xml:space="preserve">https://api.nasdaq.com/api/analyst/T/earnings-forecast</t>
  </si>
  <si>
    <t xml:space="preserve">A1.25</t>
  </si>
  <si>
    <t xml:space="preserve">MarketScreener: AT&amp;T forecasts (EBITDA, revenue, FCF, net debt consensus)</t>
  </si>
  <si>
    <t xml:space="preserve">2026-10-23</t>
  </si>
  <si>
    <t xml:space="preserve">https://www.marketscreener.com/quote/stock/AT-T-INC-14324/finances/</t>
  </si>
  <si>
    <t xml:space="preserve">A1.26</t>
  </si>
  <si>
    <t xml:space="preserve">MarketScreener: Verizon valuation (CY2027E EV/EBITDA 6.17x, P/E 8.51x)</t>
  </si>
  <si>
    <t xml:space="preserve">https://www.marketscreener.com/quote/stock/VERIZON-COMMUNICATIONS-IN-4830/valuation/</t>
  </si>
  <si>
    <t xml:space="preserve">A1.27</t>
  </si>
  <si>
    <t xml:space="preserve">MarketScreener: T-Mobile US valuation (CY2027E EV/EBITDA 5.98x, P/E 10.5x)</t>
  </si>
  <si>
    <t xml:space="preserve">https://www.marketscreener.com/quote/stock/T-MOBILE-US-INC-199910225/valuation/</t>
  </si>
  <si>
    <t xml:space="preserve">A1.28</t>
  </si>
  <si>
    <t xml:space="preserve">MarketScreener: Comcast valuation (CY2027E EV/EBITDA 4.79x, P/E 7.4x)</t>
  </si>
  <si>
    <t xml:space="preserve">https://www.marketscreener.com/quote/stock/COMCAST-CORPORATION-4864/valuation/</t>
  </si>
  <si>
    <t xml:space="preserve">A1.29</t>
  </si>
  <si>
    <t xml:space="preserve">MarketScreener: Charter valuation (CY2027E EV/EBITDA 4.38x, P/E 2.43x)</t>
  </si>
  <si>
    <t xml:space="preserve">https://www.marketscreener.com/quote/stock/CHARTER-COMMUNICATIONS-IN-27738754/valuation/</t>
  </si>
  <si>
    <t xml:space="preserve">A1.30</t>
  </si>
  <si>
    <t xml:space="preserve">MarketScreener: BCE valuation (CY2027E EV/EBITDA 6.14x pre-lease, P/E 10.6x)</t>
  </si>
  <si>
    <t xml:space="preserve">https://www.marketscreener.com/quote/stock/BCE-INC-11783/valuation/</t>
  </si>
  <si>
    <t xml:space="preserve">A1.31</t>
  </si>
  <si>
    <t xml:space="preserve">MarketScreener: Rogers valuation (CY2027E EV/EBITDA 6.39x pre-lease, P/E 11.8x)</t>
  </si>
  <si>
    <t xml:space="preserve">https://www.marketscreener.com/quote/stock/ROGERS-COMMUNICATIONS-INC-1411426/valuation/</t>
  </si>
  <si>
    <t xml:space="preserve">A1.32</t>
  </si>
  <si>
    <t xml:space="preserve">MarketScreener: TELUS valuation (CY2027E EBITDA 7,256, EV 48,037, P/E 21.7x)</t>
  </si>
  <si>
    <t xml:space="preserve">https://www.marketscreener.com/quote/stock/TELUS-CORPORATION-1411858/valuation/</t>
  </si>
  <si>
    <t xml:space="preserve">A1.33</t>
  </si>
  <si>
    <t xml:space="preserve">MarketScreener: Orange valuation (CY2027E EV/EBITDA 4.76x, P/E 12.2x)</t>
  </si>
  <si>
    <t xml:space="preserve">https://www.marketscreener.com/quote/stock/ORANGE-4649/valuation/</t>
  </si>
  <si>
    <t xml:space="preserve">A1.34</t>
  </si>
  <si>
    <t xml:space="preserve">MarketScreener: Vodafone valuation (FY Mar-27/Mar-28 EBITDA 13,204/14,058)</t>
  </si>
  <si>
    <t xml:space="preserve">https://www.marketscreener.com/quote/stock/VODAFONE-GROUP-PLC-15867071/valuation/</t>
  </si>
  <si>
    <t xml:space="preserve">A1.35</t>
  </si>
  <si>
    <t xml:space="preserve">Run peer table peers.md / secfacts.py peers output (filing EVs, market caps, Zacks P/E NTM)</t>
  </si>
  <si>
    <t xml:space="preserve">/mnt/attach/project-files/valuation/runs/2026-10-23/T/peers.md</t>
  </si>
  <si>
    <t xml:space="preserve">A1.36</t>
  </si>
  <si>
    <t xml:space="preserve">MarketScreener: Deutsche Telekom valuation (CY2027E EV/EBITDA 4.98x, P/E 10.4x)</t>
  </si>
  <si>
    <t xml:space="preserve">https://www.marketscreener.com/quote/stock/DEUTSCHE-TELEKOM-AG-444661/valuation/</t>
  </si>
  <si>
    <t xml:space="preserve">A1.37</t>
  </si>
  <si>
    <t xml:space="preserve">MarketScreener: Telefonica valuation (CY2027E EBITDA 12,333, EV 49,268, P/E 7.9x)</t>
  </si>
  <si>
    <t xml:space="preserve">https://www.marketscreener.com/quote/stock/TELEF-NICA-S-A-68962/valuation/</t>
  </si>
  <si>
    <t xml:space="preserve">A1.38</t>
  </si>
  <si>
    <t xml:space="preserve">MarketScreener: Swisscom valuation (CY2027E EBITDA 6,796, EV 50,340, P/E 23.7x)</t>
  </si>
  <si>
    <t xml:space="preserve">https://www.marketscreener.com/quote/stock/SWISSCOM-AG-441185/valuation/</t>
  </si>
  <si>
    <t xml:space="preserve">A1.39</t>
  </si>
  <si>
    <t xml:space="preserve">AT&amp;T Q3 2026 earnings call transcript (AT&amp;T investor relations PDF)</t>
  </si>
  <si>
    <t xml:space="preserve">https://investors.att.com/~/media/Files/A/ATT-IR-V2/financial-reports/quarterly-earnings/2026/3Q-2026/t-usq-transcript-2026-10-21.pdf</t>
  </si>
  <si>
    <t xml:space="preserve">A1.40</t>
  </si>
  <si>
    <t xml:space="preserve">AT&amp;T 10-Q Q3 2026, XBRL report R63: assets and liabilities of discontinued operations (Lumen Mass Markets)</t>
  </si>
  <si>
    <t xml:space="preserve">https://www.sec.gov/Archives/edgar/data/732717/000073271726000372/R63.htm</t>
  </si>
  <si>
    <t xml:space="preserve">A1.41</t>
  </si>
  <si>
    <t xml:space="preserve">AT&amp;T 10-Q Q3 2026, XBRL report R17: acquisitions, dispositions (Mexico held for sale, ~$2,000M cash at closing)</t>
  </si>
  <si>
    <t xml:space="preserve">https://www.sec.gov/Archives/edgar/data/732717/000073271726000372/R17.htm</t>
  </si>
  <si>
    <t xml:space="preserve">A1.42</t>
  </si>
  <si>
    <t xml:space="preserve">AT&amp;T declares dividends on common and preferred shares (record date 2026-10-12, payable 2026-11-02)</t>
  </si>
  <si>
    <t xml:space="preserve">2026-09-24</t>
  </si>
  <si>
    <t xml:space="preserve">https://finviz.com/news/395407/att-declares-dividends-on-common-and-preferred-shares</t>
  </si>
  <si>
    <t xml:space="preserve">A1.43</t>
  </si>
  <si>
    <t xml:space="preserve">SEC: shortening the securities transaction settlement cycle to T+1 (ex-dividend date = record date)</t>
  </si>
  <si>
    <t xml:space="preserve">2023-02-15</t>
  </si>
  <si>
    <t xml:space="preserve">https://www.sec.gov/newsroom/press-releases/2023-29</t>
  </si>
  <si>
    <t xml:space="preserve">A1.44</t>
  </si>
  <si>
    <t xml:space="preserve">Motley Fool: Why AT&amp;T stock plunged on Friday (relays Bloomberg: SpaceX seeks access to 80,000+ cell sites)</t>
  </si>
  <si>
    <t xml:space="preserve">https://fool.com/investing/2026/10/23/why-att-stock-plunged-on-friday</t>
  </si>
  <si>
    <t xml:space="preserve">A1.45</t>
  </si>
  <si>
    <t xml:space="preserve">Jones Walker: FCC opens the door to Auction 115 (upper C-band, 160 MHz, bidding scheduled to begin 2027-04-27)</t>
  </si>
  <si>
    <t xml:space="preserve">2026-08-04</t>
  </si>
  <si>
    <t xml:space="preserve">https://www.joneswalker.com/en/insights/blogs/perspectives/fcc-opens-the-door-to-auction-115-how-the-upper-c-band-auction-could-shape-the-n.html</t>
  </si>
  <si>
    <t xml:space="preserve">A1.46</t>
  </si>
  <si>
    <t xml:space="preserve">Phillips Lytle: FCC advances upper C-band auction under tight statutory timeline (July 4, 2027); AT&amp;T, Verizon, T-Mobile expected to participate</t>
  </si>
  <si>
    <t xml:space="preserve">2026-06-23</t>
  </si>
  <si>
    <t xml:space="preserve">https://phillipslytle.com/fcc-advances-upper-c-band-auction-under-tight-statutory-timeline-july-4-2027/clientalert-telecom-5g-2026-06-23-mobile/</t>
  </si>
  <si>
    <t xml:space="preserve">A1.47</t>
  </si>
  <si>
    <t xml:space="preserve">BCE 2025 annual report (Form 40-F exhibit): lease interest $194M, lease principal payments $1,127M</t>
  </si>
  <si>
    <t xml:space="preserve">2026-03</t>
  </si>
  <si>
    <t xml:space="preserve">https://www.sec.gov/Archives/edgar/data/718940/000119312526095004/d86374dex992.htm</t>
  </si>
  <si>
    <t xml:space="preserve">A1.48</t>
  </si>
  <si>
    <t xml:space="preserve">TELUS 2025 MD&amp;A and financial statements (lease liabilities ~$3.3B; net debt definition)</t>
  </si>
  <si>
    <t xml:space="preserve">2026-02</t>
  </si>
  <si>
    <t xml:space="preserve">https://assets.ctfassets.net/fltupc9ltp8m/5XMfEtySOfXg9mh25TUeS/2b711837335ec72e214a6130cae20392/TELUS_2025_MD_A_and_Financial_Statements__EN.pdf</t>
  </si>
  <si>
    <t xml:space="preserve">A1.49</t>
  </si>
  <si>
    <t xml:space="preserve">TELUS Q4 2025 IR supplemental (net debt 25,189; definition excludes leases)</t>
  </si>
  <si>
    <t xml:space="preserve">https://assets.ctfassets.net/fltupc9ltp8m/6yTBJyA0R6F67yWR3fnKfC/ad1a6418c93125dc78f3186ae32f4729/TELUS_Q4_2025_IR_Supplemental.pdf</t>
  </si>
  <si>
    <t xml:space="preserve">A1.50</t>
  </si>
  <si>
    <t xml:space="preserve">Rogers Form 40-F FY2025 (lease liabilities $3,118M; lease interest $147M)</t>
  </si>
  <si>
    <t xml:space="preserve">https://www.sec.gov/Archives/edgar/data/733099/000073309926000009/rci-20251231_d2.htm</t>
  </si>
  <si>
    <t xml:space="preserve">A1.51</t>
  </si>
  <si>
    <t xml:space="preserve">Deutsche Telekom FY2025 results (adjusted EBITDA AL EUR 44.2B)</t>
  </si>
  <si>
    <t xml:space="preserve">https://www.telekom.com/en/newsroom/latest-updates/media-information/2026/2/deutsche-telekom-outperforms-targets-for-2025</t>
  </si>
  <si>
    <t xml:space="preserve">A1.52</t>
  </si>
  <si>
    <t xml:space="preserve">Orange FY2025 results (EBITDAaL EUR 12,470M; net financial debt 22,526M)</t>
  </si>
  <si>
    <t xml:space="preserve">https://www.orange.com/en/press-release/success-of-lead-the-future-2023-2025-strategic-plan-2025-objectives-fully-achieved-440051</t>
  </si>
  <si>
    <t xml:space="preserve">A1.53</t>
  </si>
  <si>
    <t xml:space="preserve">Telefonica FY2025 results (adjusted EBITDA 11,918M; adjusted OpCFaL 5,081M; capex 4.34B)</t>
  </si>
  <si>
    <t xml:space="preserve">2026-02-24</t>
  </si>
  <si>
    <t xml:space="preserve">https://www.telefonica.com/en/communication-room/press-room/telefonica-accelerates-growth-quarter-2025-increases-revenues-adjusted-ebitda-free-cash-flow/</t>
  </si>
  <si>
    <t xml:space="preserve">A1.54</t>
  </si>
  <si>
    <t xml:space="preserve">Swisscom five-year overview 2021-2025 (EBITDA 6,617M; EBITDAaL 4,984M; net debt 15,633M)</t>
  </si>
  <si>
    <t xml:space="preserve">https://www.swisscom.ch/de/about/investoren/kennzahlen/fuenfjahresuebersicht.html</t>
  </si>
  <si>
    <t xml:space="preserve">A1.55</t>
  </si>
  <si>
    <t xml:space="preserve">Vodafone FY26 preliminary results (adjusted EBITDAaL ~EUR 11.6B; net debt 25,411M excl. leases)</t>
  </si>
  <si>
    <t xml:space="preserve">2026-05</t>
  </si>
  <si>
    <t xml:space="preserve">https://www.vodafone.com/~/media/Files/V/vodafone/corp/results-and-presentations/vodafone-fy26-preliminary-results.pdf</t>
  </si>
  <si>
    <t xml:space="preserve">A1.56</t>
  </si>
  <si>
    <t xml:space="preserve">BCE 40-F FY2025, XBRL R114: interest expense on lease liabilities $194M (2025)</t>
  </si>
  <si>
    <t xml:space="preserve">https://www.sec.gov/Archives/edgar/data/718940/000119312526095004/R114.htm</t>
  </si>
  <si>
    <t xml:space="preserve">A1.57</t>
  </si>
  <si>
    <t xml:space="preserve">BCE 40-F FY2025, XBRL R113: depreciation of right-of-use assets $874M (2025)</t>
  </si>
  <si>
    <t xml:space="preserve">https://www.sec.gov/Archives/edgar/data/718940/000119312526095004/R113.htm</t>
  </si>
  <si>
    <t xml:space="preserve">A1.58</t>
  </si>
  <si>
    <t xml:space="preserve">BCE 40-F FY2025, XBRL R34: lease liabilities $5,242M at 2025-12-31 (current 933 + long-term 4,309, inside debt)</t>
  </si>
  <si>
    <t xml:space="preserve">https://www.sec.gov/Archives/edgar/data/718940/000119312526095004/R34.htm</t>
  </si>
  <si>
    <t xml:space="preserve">A1.59</t>
  </si>
  <si>
    <t xml:space="preserve">TELUS 40-F FY2025, XBRL R125: depreciation of right-of-use lease assets $570M (2025)</t>
  </si>
  <si>
    <t xml:space="preserve">2026-02-12</t>
  </si>
  <si>
    <t xml:space="preserve">https://www.sec.gov/Archives/edgar/data/868675/000110465926013854/R125.htm</t>
  </si>
  <si>
    <t xml:space="preserve">A1.60</t>
  </si>
  <si>
    <t xml:space="preserve">TELUS 40-F FY2025, XBRL R97: financing costs, interest on lease liabilities $161M (2025)</t>
  </si>
  <si>
    <t xml:space="preserve">https://www.sec.gov/Archives/edgar/data/868675/000110465926013854/R97.htm</t>
  </si>
  <si>
    <t xml:space="preserve">A1.61</t>
  </si>
  <si>
    <t xml:space="preserve">TELUS 40-F FY2025, XBRL R75: net debt 25,189 = long-term debt 30,539 (lease liabilities are part of long-term debt, R152) less 3,625 junior subordinated equity credit and cash</t>
  </si>
  <si>
    <t xml:space="preserve">https://www.sec.gov/Archives/edgar/data/868675/000110465926013854/R75.htm</t>
  </si>
  <si>
    <t xml:space="preserve">A1.62</t>
  </si>
  <si>
    <t xml:space="preserve">Rogers 40-F FY2025, XBRL R104: finance costs, interest on lease liabilities $147M (2025)</t>
  </si>
  <si>
    <t xml:space="preserve">2026-03-06</t>
  </si>
  <si>
    <t xml:space="preserve">https://www.sec.gov/Archives/edgar/data/733099/000073309926000009/R104.htm</t>
  </si>
  <si>
    <t xml:space="preserve">A1.63</t>
  </si>
  <si>
    <t xml:space="preserve">TelecomTV relaying Orange FY2025 results (EBITDAaL EUR 12,470M; net financial debt EUR 22,526M)</t>
  </si>
  <si>
    <t xml:space="preserve">2026-02-18</t>
  </si>
  <si>
    <t xml:space="preserve">https://www.telecomtv.com/content/access-evolution/orange-2025-results-success-of-lead-the-future-2023-2025-strategic-plan-2025-objectives-fully-achieved-54885/</t>
  </si>
  <si>
    <t xml:space="preserve">A2.1</t>
  </si>
  <si>
    <t xml:space="preserve">AT&amp;T Form 10-Q for the quarter ended 2026-09-30 (Notes 4, 8; MD&amp;A; balance sheet)</t>
  </si>
  <si>
    <t xml:space="preserve">A2.2</t>
  </si>
  <si>
    <t xml:space="preserve">AT&amp;T 8-K Ex.99.1: Q3 2026 earnings press release (2026 guidance, 2026-2028 outlook)</t>
  </si>
  <si>
    <t xml:space="preserve">https://www.sec.gov/Archives/edgar/data/732717/000073271726000370/t-3q2026exhibit991.htm</t>
  </si>
  <si>
    <t xml:space="preserve">A2.3</t>
  </si>
  <si>
    <t xml:space="preserve">AT&amp;T 8-K Ex.99.2: Q3 2026 selected financial statements and operating data (segments, subscribers)</t>
  </si>
  <si>
    <t xml:space="preserve">https://www.sec.gov/Archives/edgar/data/732717/000073271726000370/t-3q2026exhibit992.htm</t>
  </si>
  <si>
    <t xml:space="preserve">A2.4</t>
  </si>
  <si>
    <t xml:space="preserve">AT&amp;T 8-K Ex.99.3: Q3 2026 non-GAAP reconciliations (adjusted EPS bridge, adjusted EBITDA, FCF, net debt 3.13x)</t>
  </si>
  <si>
    <t xml:space="preserve">https://www.sec.gov/Archives/edgar/data/732717/000073271726000370/t-3q2026exhibit993.htm</t>
  </si>
  <si>
    <t xml:space="preserve">A2.5</t>
  </si>
  <si>
    <t xml:space="preserve">AT&amp;T 8-K Ex.99.4: recast quarterly segment history 2023-2025 (Advanced Connectivity, Legacy)</t>
  </si>
  <si>
    <t xml:space="preserve">A2.6</t>
  </si>
  <si>
    <t xml:space="preserve">AT&amp;T 8-K Ex.99.1: Q4/FY2025 press release (FY2025 actuals; first 2026 guide and 2026-2028 outlook)</t>
  </si>
  <si>
    <t xml:space="preserve">A2.7</t>
  </si>
  <si>
    <t xml:space="preserve">AT&amp;T 8-K Ex.99.1: Q4/FY2024 press release (FY2024 actuals; 2025 guidance)</t>
  </si>
  <si>
    <t xml:space="preserve">A2.8</t>
  </si>
  <si>
    <t xml:space="preserve">AT&amp;T 8-K Ex.99.1: Q4/FY2023 press release (FY2023 actuals; 2024 guidance)</t>
  </si>
  <si>
    <t xml:space="preserve">A2.9</t>
  </si>
  <si>
    <t xml:space="preserve">AT&amp;T 8-K Ex.99.1: Q4/FY2022 press release (FY2022 actuals; 2023 guidance)</t>
  </si>
  <si>
    <t xml:space="preserve">A2.10</t>
  </si>
  <si>
    <t xml:space="preserve">AT&amp;T Q3 2026 earnings call transcript (LSEG StreetEvents, investors.att.com)</t>
  </si>
  <si>
    <t xml:space="preserve">A2.11</t>
  </si>
  <si>
    <t xml:space="preserve">AT&amp;T Form 10-K for FY2025 (preferred stock and subsidiary preferred interests notes)</t>
  </si>
  <si>
    <t xml:space="preserve">A2.12</t>
  </si>
  <si>
    <t xml:space="preserve">AT&amp;T 8-K Ex.99.1: Q1 2026 press release (outlook maintained)</t>
  </si>
  <si>
    <t xml:space="preserve">A2.13</t>
  </si>
  <si>
    <t xml:space="preserve">NBC News: Elon Musk's growing SpaceX empire sends AT&amp;T, Verizon and T-Mobile shares plunging (T -9.8%, VZ -8.7%, TMUS -13.3% on SpaceX spectrum purchase / 'major mobile carrier' statement)</t>
  </si>
  <si>
    <t xml:space="preserve">https://www.nbcnews.com/business/corporations/elon-musk-spacex-verizon-tmobile-att-rcna602525</t>
  </si>
  <si>
    <t xml:space="preserve">A2.14</t>
  </si>
  <si>
    <t xml:space="preserve">Motley Fool: Why AT&amp;T stock plunged on Friday (Bloomberg report: SpaceX in talks for access to 80,000+ US cell sites; T -7.96% to $20.93)</t>
  </si>
  <si>
    <t xml:space="preserve">A2.15</t>
  </si>
  <si>
    <t xml:space="preserve">Advanced Television: SpaceX targets US cellular entry (Q2 call: next-gen Starlink Mobile service by end-2027, 65 MHz EchoStar spectrum, Shotwell expects to take "quite a few" Big-3 customers)</t>
  </si>
  <si>
    <t xml:space="preserve">2026-08-05</t>
  </si>
  <si>
    <t xml:space="preserve">https://advanced-television.com/2026/08/05/spacex-targets-us-cellular-entry/</t>
  </si>
  <si>
    <t xml:space="preserve">A2.16</t>
  </si>
  <si>
    <t xml:space="preserve">MarketWatch via Tiger: AT&amp;T won't need to worry about SpaceX for 'years' (Wolfe Research, Supino; Oppenheimer, BNP, TD Cowen views)</t>
  </si>
  <si>
    <t xml:space="preserve">https://www.itiger.com/news/2653172711</t>
  </si>
  <si>
    <t xml:space="preserve">A2.17</t>
  </si>
  <si>
    <t xml:space="preserve">TIKR: Crown Castle soars 13% as SpaceX $8B Grain 800 MHz spectrum buy keeps tower-build option alive (AMT +7%, SBAC +6%; Bernstein, TMF Associates)</t>
  </si>
  <si>
    <t xml:space="preserve">https://www.tikr.com/blog/crown-castle-soars-13-as-spacexs-8-billion-spectrum-buy-keeps-tower-build-option-very-much-alive</t>
  </si>
  <si>
    <t xml:space="preserve">A2.18</t>
  </si>
  <si>
    <t xml:space="preserve">stock3: SpaceX Teil 2 - US tower operators rise (Bernstein: terrestrial Starlink Mobile network 30k-120k sites, $50-130B)</t>
  </si>
  <si>
    <t xml:space="preserve">https://stock3.com/news/spacex-teil-2-us-funkmastbetreiber-mit-kursaufschlaegen-17325458</t>
  </si>
  <si>
    <t xml:space="preserve">A2.19</t>
  </si>
  <si>
    <t xml:space="preserve">Verizon: Q3 2026 earnings report date (October 26, 2026)</t>
  </si>
  <si>
    <t xml:space="preserve">A2.20</t>
  </si>
  <si>
    <t xml:space="preserve">Benton Institute (Verizon release): Verizon delivers record 2Q26 results (184k postpaid phone net adds)</t>
  </si>
  <si>
    <t xml:space="preserve">https://benton.org/node/360058</t>
  </si>
  <si>
    <t xml:space="preserve">A2.21</t>
  </si>
  <si>
    <t xml:space="preserve">Broadband Breakfast: Comcast expecting more broadband losses than last year for Q3 (fiber "irrational pricing" $30-40 gig, overbuild 4-5%/yr, FWA taking share)</t>
  </si>
  <si>
    <t xml:space="preserve">2026-09-09</t>
  </si>
  <si>
    <t xml:space="preserve">https://broadbandbreakfast.com/comcast-expecting-more-broadband-losses-than-last-year-for-q3/</t>
  </si>
  <si>
    <t xml:space="preserve">A2.22</t>
  </si>
  <si>
    <t xml:space="preserve">Broadband Breakfast: Charter down 172,000 broadband subs in Q2 2026 (406k mobile lines; aggressive promotions by converged fiber operators)</t>
  </si>
  <si>
    <t xml:space="preserve">https://broadbandbreakfast.com/charter-down-172-000-broadband-subs</t>
  </si>
  <si>
    <t xml:space="preserve">A2.23</t>
  </si>
  <si>
    <t xml:space="preserve">Broadband Breakfast: FCC adopts copper retirement (network modernization) order - blanket grandfathering, narrowed preemption</t>
  </si>
  <si>
    <t xml:space="preserve">2026-03-26</t>
  </si>
  <si>
    <t xml:space="preserve">https://broadbandbreakfast.com/fcc-adopts-copper-retirement-call-center-onshoring-orders/</t>
  </si>
  <si>
    <t xml:space="preserve">A2.24</t>
  </si>
  <si>
    <t xml:space="preserve">Light Reading: AT&amp;T to pack Gigapower and Forged Fiber 37 into one JV with GIP and CPP (50/50, ~5M locations, &gt;1M subs, close 1H27)</t>
  </si>
  <si>
    <t xml:space="preserve">2026-10-06</t>
  </si>
  <si>
    <t xml:space="preserve">https://www.lightreading.com/broadband/at-t-to-pack-gigapower-and-forged-fiber-37-into-one-jv</t>
  </si>
  <si>
    <t xml:space="preserve">A2.25</t>
  </si>
  <si>
    <t xml:space="preserve">9to5Mac: Legacy AT&amp;T unlimited plans face price hikes (+$10 single line / +$20 multi-line per account)</t>
  </si>
  <si>
    <t xml:space="preserve">2026-04-01</t>
  </si>
  <si>
    <t xml:space="preserve">https://9to5mac.com/2026/04/01/psa-legacy-att-unlimited-plans-face-price-hikes-and-its-a-mess/</t>
  </si>
  <si>
    <t xml:space="preserve">A2.26</t>
  </si>
  <si>
    <t xml:space="preserve">Corning / AT&amp;T: multi-year fiber and cable supply agreement (supports 60M+ fiber locations by 2030)</t>
  </si>
  <si>
    <t xml:space="preserve">2026-09-29</t>
  </si>
  <si>
    <t xml:space="preserve">https://www.corning.com/worldwide/en/about-us/news-events/news-releases/2026/09/att-and-corning-team-up-to-engineer-the-connected-world-with-fiber.html</t>
  </si>
  <si>
    <t xml:space="preserve">A2.27</t>
  </si>
  <si>
    <t xml:space="preserve">Broadband Breakfast: AT&amp;T, Corning reach $3 billion fiber deal</t>
  </si>
  <si>
    <t xml:space="preserve">https://broadbandbreakfast.com/at-t-corning-reach-3-billion-fiber-deal/</t>
  </si>
  <si>
    <t xml:space="preserve">A2.28</t>
  </si>
  <si>
    <t xml:space="preserve">Fierce Network: AT&amp;T CFO Desroches to depart; Jennifer Biry named CFO from 2027-01-01</t>
  </si>
  <si>
    <t xml:space="preserve">2026-06-11</t>
  </si>
  <si>
    <t xml:space="preserve">https://www.fierce-network.com/broadband/att-cfo-desroches-depart-att-alum-jennifer-biry-named-new-cfo</t>
  </si>
  <si>
    <t xml:space="preserve">A2.29</t>
  </si>
  <si>
    <t xml:space="preserve">MarketScreener: AT&amp;T forecasts and valuation (EBITDA 2026E 48,254 / 2027E 49,750 / 2028E 51,989 $M; FCF; net debt; EV/EBITDA 2027E 5.78x)</t>
  </si>
  <si>
    <t xml:space="preserve">A2.30</t>
  </si>
  <si>
    <t xml:space="preserve">A2.31</t>
  </si>
  <si>
    <t xml:space="preserve">MarketScreener: Verizon valuation (2027E EBITDA 55,195; EV/EBITDA 6.17x; P/E 8.51x)</t>
  </si>
  <si>
    <t xml:space="preserve">A2.32</t>
  </si>
  <si>
    <t xml:space="preserve">MarketScreener: T-Mobile US valuation (2027E EBITDA 40,495; EV/EBITDA 5.98x; P/E 10.5x)</t>
  </si>
  <si>
    <t xml:space="preserve">A2.33</t>
  </si>
  <si>
    <t xml:space="preserve">MarketScreener: Comcast valuation (2027E EV/EBITDA 4.79x; P/E 7.4x)</t>
  </si>
  <si>
    <t xml:space="preserve">A2.34</t>
  </si>
  <si>
    <t xml:space="preserve">MarketScreener: Charter valuation (2027E EBITDA 26,773; EV/EBITDA 4.38x)</t>
  </si>
  <si>
    <t xml:space="preserve">A2.35</t>
  </si>
  <si>
    <t xml:space="preserve">MarketScreener: BCE valuation (2027E EBITDA 11,002; P/E 10.6x)</t>
  </si>
  <si>
    <t xml:space="preserve">A2.36</t>
  </si>
  <si>
    <t xml:space="preserve">MarketScreener: TELUS valuation (2027E EBITDA 7,256; EV 48,037; P/E 21.7x)</t>
  </si>
  <si>
    <t xml:space="preserve">A2.37</t>
  </si>
  <si>
    <t xml:space="preserve">MarketScreener: Rogers valuation (2027E EBITDA 10,101; P/E 11.8x)</t>
  </si>
  <si>
    <t xml:space="preserve">A2.38</t>
  </si>
  <si>
    <t xml:space="preserve">MarketScreener: Deutsche Telekom valuation (2027E EV/EBITDA 4.98x; P/E 10.4x)</t>
  </si>
  <si>
    <t xml:space="preserve">A2.39</t>
  </si>
  <si>
    <t xml:space="preserve">MarketScreener: Orange valuation (2027E EV/EBITDA 4.76x; P/E 12.2x)</t>
  </si>
  <si>
    <t xml:space="preserve">A2.40</t>
  </si>
  <si>
    <t xml:space="preserve">MarketScreener: Telefonica valuation (2027E EBITDA 12,333; EV 49,268; P/E 7.9x)</t>
  </si>
  <si>
    <t xml:space="preserve">A2.41</t>
  </si>
  <si>
    <t xml:space="preserve">MarketScreener: Swisscom valuation (2027E EBITDA 6,796; EV 50,340; P/E 23.7x)</t>
  </si>
  <si>
    <t xml:space="preserve">A2.42</t>
  </si>
  <si>
    <t xml:space="preserve">Run peer table peers.md (filings-based trailing multiples; Zacks NTM P/E via Nasdaq.com)</t>
  </si>
  <si>
    <t xml:space="preserve">file:///mnt/attach/project-files/valuation/runs/2026-10-23/T/peers.md</t>
  </si>
  <si>
    <t xml:space="preserve">A2.43</t>
  </si>
  <si>
    <t xml:space="preserve">Light Reading: FCC votes in rules for upper C-band auction (160 MHz, close by July 2027)</t>
  </si>
  <si>
    <t xml:space="preserve">https://www.lightreading.com/regulatory-politics/fcc-votes-in-rules-for-upper-c-band-auction</t>
  </si>
  <si>
    <t xml:space="preserve">A2.44</t>
  </si>
  <si>
    <t xml:space="preserve">TV Technology: FCC adopts plan for upper C-band auction in July 2027</t>
  </si>
  <si>
    <t xml:space="preserve">2026-07</t>
  </si>
  <si>
    <t xml:space="preserve">https://www.tvtechnology.com/regulatory-legal/fcc-adopts-plan-for-c-band-auction-in-july-2027</t>
  </si>
  <si>
    <t xml:space="preserve">A2.45</t>
  </si>
  <si>
    <t xml:space="preserve">NewscastStudio: FCC adopts rules for upper C-band auction (3.98-4.14 GHz)</t>
  </si>
  <si>
    <t xml:space="preserve">https://www.newscaststudio.com/2026/07/22/fcc-adopts-rules-for-upper-c-band-auction-sets-stage-for-440-mhz-super-band/</t>
  </si>
  <si>
    <t xml:space="preserve">A2.46</t>
  </si>
  <si>
    <t xml:space="preserve">Wireless Estimator: SpaceX wants to be a fourth major network, but it's building around towers, not on them</t>
  </si>
  <si>
    <t xml:space="preserve">2026-08-06</t>
  </si>
  <si>
    <t xml:space="preserve">https://wirelessestimator.com/articles/2026/spacex-wants-to-be-a-fourth-major-network-but-its-building-around-towers-not-on-them/</t>
  </si>
  <si>
    <t xml:space="preserve">A2.47</t>
  </si>
  <si>
    <t xml:space="preserve">TIKR: Verizon stock is 8% off its September peak - the Q3 test its CEO set (2026 phone net adds top of 750k-1M; no free phones)</t>
  </si>
  <si>
    <t xml:space="preserve">2026-09-26</t>
  </si>
  <si>
    <t xml:space="preserve">https://www.tikr.com/blog/verizon-stock-is-8-off-its-september-peak-heres-the-q3-test-its-ceo-set</t>
  </si>
  <si>
    <t xml:space="preserve">A2.48</t>
  </si>
  <si>
    <t xml:space="preserve">AT&amp;T 8-K Ex.99.2: Q4 2025 financial and operating data (postpaid phones 74,214k / 72,749k at year-ends; fiber 10,406k)</t>
  </si>
  <si>
    <t xml:space="preserve">A2.49</t>
  </si>
  <si>
    <t xml:space="preserve">AT&amp;T 10-Q Q3 2026, R63: Lumen Mass Markets discontinued operations (assets 4,781, liabilities 723)</t>
  </si>
  <si>
    <t xml:space="preserve">A2.50</t>
  </si>
  <si>
    <t xml:space="preserve">AT&amp;T 10-Q Q3 2026, R17: Mexico sale (~$2,000 cash at closing, Q1 2027) and 50% Composite Fiber 37 sale to GIP/CPP (H1 2027)</t>
  </si>
  <si>
    <t xml:space="preserve">A2.51</t>
  </si>
  <si>
    <t xml:space="preserve">A2.52</t>
  </si>
  <si>
    <t xml:space="preserve">A2.53</t>
  </si>
  <si>
    <t xml:space="preserve">TELUS Q4 2025 IR supplemental (net debt 25,189; excludes leases)</t>
  </si>
  <si>
    <t xml:space="preserve">A2.54</t>
  </si>
  <si>
    <t xml:space="preserve">A2.55</t>
  </si>
  <si>
    <t xml:space="preserve">A2.56</t>
  </si>
  <si>
    <t xml:space="preserve">A2.57</t>
  </si>
  <si>
    <t xml:space="preserve">A2.58</t>
  </si>
  <si>
    <t xml:space="preserve">Swisscom five-year overview 2021-2025 (EBITDA 6,617M; EBITDAaL 4,984M)</t>
  </si>
  <si>
    <t xml:space="preserve">A2.59</t>
  </si>
  <si>
    <t xml:space="preserve">A2.60</t>
  </si>
  <si>
    <t xml:space="preserve">A2.61</t>
  </si>
  <si>
    <t xml:space="preserve">AT&amp;T declares dividends on common and preferred shares (record 2026-10-12, payable 2026-11-02; preferred $312.50 / $296.875)</t>
  </si>
  <si>
    <t xml:space="preserve">A2.62</t>
  </si>
  <si>
    <t xml:space="preserve">A2.63</t>
  </si>
  <si>
    <t xml:space="preserve">A2.64</t>
  </si>
  <si>
    <t xml:space="preserve">A2.65</t>
  </si>
  <si>
    <t xml:space="preserve">A2.66</t>
  </si>
  <si>
    <t xml:space="preserve">A2.67</t>
  </si>
  <si>
    <t xml:space="preserve">A2.68</t>
  </si>
  <si>
    <t xml:space="preserve">A2.69</t>
  </si>
  <si>
    <t xml:space="preserve">A3.1</t>
  </si>
  <si>
    <t xml:space="preserve">AT&amp;T Q3 2026 earnings release (8-K EX-99.1)</t>
  </si>
  <si>
    <t xml:space="preserve">A3.2</t>
  </si>
  <si>
    <t xml:space="preserve">AT&amp;T Q3 2026 selected financial statements and operating data (8-K EX-99.2)</t>
  </si>
  <si>
    <t xml:space="preserve">A3.3</t>
  </si>
  <si>
    <t xml:space="preserve">AT&amp;T Q3 2026 non-GAAP reconciliations: FCF, adjusted EBITDA, adjusted EPS, net debt / adjusted EBITDA (8-K EX-99.3)</t>
  </si>
  <si>
    <t xml:space="preserve">A3.4</t>
  </si>
  <si>
    <t xml:space="preserve">AT&amp;T Form 10-Q for Q3 2026 (debt, term loans, rating-linked collateral triggers, Mexico held-for-sale impairment, fiber JV governance, satellite JV)</t>
  </si>
  <si>
    <t xml:space="preserve">A3.5</t>
  </si>
  <si>
    <t xml:space="preserve">AT&amp;T Q4 2025 earnings release and 2026-2028 outlook (8-K EX-99.1)</t>
  </si>
  <si>
    <t xml:space="preserve">A3.6</t>
  </si>
  <si>
    <t xml:space="preserve">AT&amp;T Q4 2025 financial and operating data (8-K EX-99.2)</t>
  </si>
  <si>
    <t xml:space="preserve">A3.7</t>
  </si>
  <si>
    <t xml:space="preserve">AT&amp;T Q4 2024 earnings release and 2025 outlook (8-K EX-99.1)</t>
  </si>
  <si>
    <t xml:space="preserve">A3.8</t>
  </si>
  <si>
    <t xml:space="preserve">AT&amp;T Q4 2023 earnings release and 2024 outlook (8-K EX-99.1)</t>
  </si>
  <si>
    <t xml:space="preserve">A3.9</t>
  </si>
  <si>
    <t xml:space="preserve">AT&amp;T Q4 2022 earnings release and 2023 outlook (8-K EX-99.1)</t>
  </si>
  <si>
    <t xml:space="preserve">A3.10</t>
  </si>
  <si>
    <t xml:space="preserve">AT&amp;T Form 10-K FY2025</t>
  </si>
  <si>
    <t xml:space="preserve">A3.11</t>
  </si>
  <si>
    <t xml:space="preserve">AT&amp;T Q3 2026 earnings call transcript (Earnings Whispers)</t>
  </si>
  <si>
    <t xml:space="preserve">https://www.earningswhispers.com/transcript/T/Q32026</t>
  </si>
  <si>
    <t xml:space="preserve">A3.12</t>
  </si>
  <si>
    <t xml:space="preserve">AT&amp;T beats and raises as service growth accelerates but fiber ARPU erosion and higher leverage temper the upgrade (Earnings Whispers via Finviz)</t>
  </si>
  <si>
    <t xml:space="preserve">https://finviz.com/news/405593/att-beats-and-raises-as-service-growth-accelerates-but-fiber-arpu-erosion-and-higher-leverage-temper-the-upgrade</t>
  </si>
  <si>
    <t xml:space="preserve">A3.13</t>
  </si>
  <si>
    <t xml:space="preserve">Telecom stocks fall as SpaceX eyes 80,000 cell sites (24/7 Wall St., citing Bloomberg)</t>
  </si>
  <si>
    <t xml:space="preserve">https://247wallst.com/investing/2026/10/23/telecom-stocks-fall-as-spacex-eyes-80000-cell-sites-t-mobile-sinks-5-att-drops-4-verizon-slides-3/</t>
  </si>
  <si>
    <t xml:space="preserve">A3.14</t>
  </si>
  <si>
    <t xml:space="preserve">SpaceX disrupts telecom market; AT&amp;T and Verizon stocks drop (GuruFocus)</t>
  </si>
  <si>
    <t xml:space="preserve">https://www.gurufocus.com/news/9117426/spacex-disrupts-telecom-market-att-t-and-verizon-vz-stocks-drop</t>
  </si>
  <si>
    <t xml:space="preserve">A3.15</t>
  </si>
  <si>
    <t xml:space="preserve">AT&amp;T stock falls 7.8% after analyst downgrade: JPMorgan, Barclays, Scotiabank target cuts (MarketBeat)</t>
  </si>
  <si>
    <t xml:space="preserve">https://www.marketbeat.com/instant-alerts/price-att-nyse-t-stock-falls-78-after-analyst-downgrade-2026-10-23/</t>
  </si>
  <si>
    <t xml:space="preserve">A3.16</t>
  </si>
  <si>
    <t xml:space="preserve">AT&amp;T stock was downgraded over SpaceX days before Q3 earnings (TIKR, on Bernstein's Oct 12 downgrade)</t>
  </si>
  <si>
    <t xml:space="preserve">2026-10-13</t>
  </si>
  <si>
    <t xml:space="preserve">https://www.tikr.com/blog/att-stock-was-downgraded-over-spacex-days-before-q3-earnings-heres-what-to-watch-on-october-21</t>
  </si>
  <si>
    <t xml:space="preserve">A3.17</t>
  </si>
  <si>
    <t xml:space="preserve">AT&amp;T stock falls 5% after raising its EPS outlook: why did investors wipe out $8 billion anyway? (TIKR)</t>
  </si>
  <si>
    <t xml:space="preserve">https://www.tikr.com/blog/att-stock-falls-5-after-raising-its-eps-outlook-why-did-investors-wipe-out-8-billion-anyway</t>
  </si>
  <si>
    <t xml:space="preserve">A3.18</t>
  </si>
  <si>
    <t xml:space="preserve">AT&amp;T stock slides as Starlink threat and Q4 cost hit rattle traders (Timothy Sykes news)</t>
  </si>
  <si>
    <t xml:space="preserve">https://www.timothysykes.com/news/attinc-t-news-2026_10_23-2/</t>
  </si>
  <si>
    <t xml:space="preserve">A3.19</t>
  </si>
  <si>
    <t xml:space="preserve">AT&amp;T investor relations: debt and credit ratings</t>
  </si>
  <si>
    <t xml:space="preserve">https://investors.att.com/financial-reports/debt</t>
  </si>
  <si>
    <t xml:space="preserve">A3.20</t>
  </si>
  <si>
    <t xml:space="preserve">Alpha Vantage EARNINGS_ESTIMATES for T (consensus EPS and revenue, FY2026/FY2027)</t>
  </si>
  <si>
    <t xml:space="preserve">https://www.alphavantage.co/query?function=EARNINGS_ESTIMATES&amp;symbol=T</t>
  </si>
  <si>
    <t xml:space="preserve">A3.21</t>
  </si>
  <si>
    <t xml:space="preserve">SpaceX to buy 800MHz spectrum rights from Grain Spectrum (Telco Magazine)</t>
  </si>
  <si>
    <t xml:space="preserve">https://telcomagazine.com/news/spacex-to-buy-800mhz-rights-from-grain-spectrum</t>
  </si>
  <si>
    <t xml:space="preserve">A3.22</t>
  </si>
  <si>
    <t xml:space="preserve">SpaceX tips Starlink Mobile carrier launch date and coverage with dish base stations (Notebookcheck)</t>
  </si>
  <si>
    <t xml:space="preserve">2026-08</t>
  </si>
  <si>
    <t xml:space="preserve">https://www.notebookcheck.net/SpaceX-tips-Starlink-Mobile-carrier-launch-date-and-coverage-with-dish-base-stations.1360525.0.html</t>
  </si>
  <si>
    <t xml:space="preserve">A3.23</t>
  </si>
  <si>
    <t xml:space="preserve">AT&amp;T Inc. free writing prospectus for EUR/GBP notes (trade date 2026-07-27): issuer ratings Moody's Baa2 (Stable), S&amp;P BBB (Stable), Fitch BBB+ (Negative Outlook); reoffer spreads +65 to +175bp over mid-swaps</t>
  </si>
  <si>
    <t xml:space="preserve">2026-07-27</t>
  </si>
  <si>
    <t xml:space="preserve">https://www.sec.gov/Archives/edgar/data/0000732717/000119312526318207/d101711dfwp.htm</t>
  </si>
  <si>
    <t xml:space="preserve">A3.24</t>
  </si>
  <si>
    <t xml:space="preserve">AT&amp;T short interest history (Equibles)</t>
  </si>
  <si>
    <t xml:space="preserve">2026-03-31</t>
  </si>
  <si>
    <t xml:space="preserve">https://equibles.com/stocks/t/shortinterest</t>
  </si>
  <si>
    <t xml:space="preserve">A3.25</t>
  </si>
  <si>
    <t xml:space="preserve">AT&amp;T and Verizon ask FCC to throw a wrench into Starlink's mobile plan (Benton Institute headlines)</t>
  </si>
  <si>
    <t xml:space="preserve">2026</t>
  </si>
  <si>
    <t xml:space="preserve">https://www.benton.org/headlines/att-and-verizon-ask-fcc-throw-wrench-starlink%E2%80%99s-mobile-plan</t>
  </si>
  <si>
    <t xml:space="preserve">A3.26</t>
  </si>
  <si>
    <t xml:space="preserve">AT&amp;T shares drop nearly 8% amid rising leverage concerns (GuruFocus)</t>
  </si>
  <si>
    <t xml:space="preserve">https://www.gurufocus.com/news/9140695/att-t-shares-drop-nearly-8-after-q3-earnings-amid-rising-leverage-concerns</t>
  </si>
  <si>
    <t xml:space="preserve">A3.27</t>
  </si>
  <si>
    <t xml:space="preserve">Run peer comps table (peers.md: trailing from SEC filings, NTM P/E from saved Nasdaq/Zacks consensus snapshot)</t>
  </si>
  <si>
    <t xml:space="preserve">valuation/runs/2026-10-23/T/peers.md</t>
  </si>
  <si>
    <t xml:space="preserve">A3.28</t>
  </si>
  <si>
    <t xml:space="preserve">Verizon's CEO admitted its pricing strategy cost the company 2.25 million customers (Motley Fool via AOL)</t>
  </si>
  <si>
    <t xml:space="preserve">https://www.aol.com/finance/verizons-ceo-just-admitted-pricing-132800129.html</t>
  </si>
  <si>
    <t xml:space="preserve">A3.29</t>
  </si>
  <si>
    <t xml:space="preserve">What just happened to AT&amp;T stock? (Trefis)</t>
  </si>
  <si>
    <t xml:space="preserve">A3.30</t>
  </si>
  <si>
    <t xml:space="preserve">MarketScreener: AT&amp;T consensus estimates (24 analysts)</t>
  </si>
  <si>
    <t xml:space="preserve">A3.31</t>
  </si>
  <si>
    <t xml:space="preserve">MarketScreener: Verizon valuation (2027E EV/EBITDA 6.17x, P/E 8.51x)</t>
  </si>
  <si>
    <t xml:space="preserve">A3.32</t>
  </si>
  <si>
    <t xml:space="preserve">MarketScreener: T-Mobile US valuation (2027E EV/EBITDA 5.98x)</t>
  </si>
  <si>
    <t xml:space="preserve">A3.33</t>
  </si>
  <si>
    <t xml:space="preserve">MarketScreener: Comcast valuation (2027E EV/EBITDA 4.79x)</t>
  </si>
  <si>
    <t xml:space="preserve">A3.34</t>
  </si>
  <si>
    <t xml:space="preserve">MarketScreener: Charter valuation (2027E EV/EBITDA 4.38x)</t>
  </si>
  <si>
    <t xml:space="preserve">A3.35</t>
  </si>
  <si>
    <t xml:space="preserve">MarketScreener: BCE valuation (2027E EV/EBITDA 6.14x; P/E 10.6x)</t>
  </si>
  <si>
    <t xml:space="preserve">A3.36</t>
  </si>
  <si>
    <t xml:space="preserve">A3.37</t>
  </si>
  <si>
    <t xml:space="preserve">MarketScreener: Rogers valuation (2027E EV/EBITDA 6.39x; P/E 11.8x)</t>
  </si>
  <si>
    <t xml:space="preserve">A3.38</t>
  </si>
  <si>
    <t xml:space="preserve">A3.39</t>
  </si>
  <si>
    <t xml:space="preserve">A3.40</t>
  </si>
  <si>
    <t xml:space="preserve">A3.41</t>
  </si>
  <si>
    <t xml:space="preserve">A3.42</t>
  </si>
  <si>
    <t xml:space="preserve">MarketScreener: Vodafone valuation (FY Mar-27/Mar-28 EBITDA 13,204/14,058; net debt 30,878/29,405; P/E 13.2x/10.9x)</t>
  </si>
  <si>
    <t xml:space="preserve">A3.43</t>
  </si>
  <si>
    <t xml:space="preserve">A3.44</t>
  </si>
  <si>
    <t xml:space="preserve">TELUS 2025 MD&amp;A and financial statements (lease liabilities $3.3B; net debt definition)</t>
  </si>
  <si>
    <t xml:space="preserve">A3.45</t>
  </si>
  <si>
    <t xml:space="preserve">A3.46</t>
  </si>
  <si>
    <t xml:space="preserve">A3.47</t>
  </si>
  <si>
    <t xml:space="preserve">A3.48</t>
  </si>
  <si>
    <t xml:space="preserve">A3.49</t>
  </si>
  <si>
    <t xml:space="preserve">A3.50</t>
  </si>
  <si>
    <t xml:space="preserve">A3.51</t>
  </si>
  <si>
    <t xml:space="preserve">A3.52</t>
  </si>
  <si>
    <t xml:space="preserve">AT&amp;T 10-Q Q3 2026, XBRL report R17: Acquisitions, Dispositions and Other Adjustments (Mexico sale, Composite Fiber 37 JV, EchoStar)</t>
  </si>
  <si>
    <t xml:space="preserve">A3.53</t>
  </si>
  <si>
    <t xml:space="preserve">AT&amp;T 10-Q Q3 2026, XBRL report R63: assets and liabilities of discontinued operations (Lumen Mass Markets / Forged Fiber)</t>
  </si>
  <si>
    <t xml:space="preserve">A3.54</t>
  </si>
  <si>
    <t xml:space="preserve">AT&amp;T 8-K Ex.99.4: FY2025 supplemental segment information recast to Advanced Connectivity / Legacy</t>
  </si>
  <si>
    <t xml:space="preserve">A3.55</t>
  </si>
  <si>
    <t xml:space="preserve">FCC Public Notice DA 26-769: Auction of flexible-use licences in the upper C-band (Auction 115) scheduled for April 27, 2027</t>
  </si>
  <si>
    <t xml:space="preserve">https://docs.fcc.gov/public/attachments/DA-26-769A1.txt</t>
  </si>
  <si>
    <t xml:space="preserve">A3.56</t>
  </si>
  <si>
    <t xml:space="preserve">NewscastStudio: FCC adopts rules for upper C-band auction (160 MHz, 3.98-4.14 GHz)</t>
  </si>
  <si>
    <t xml:space="preserve">A3.57</t>
  </si>
  <si>
    <t xml:space="preserve">AT&amp;T Q2 2025 earnings release (8-K EX-99.1): OBBBA cash tax savings $1.5-2.0B in 2025 and $2.5-3.0B in each of 2026 and 2027; FCF $18B+ 2026, $19B+ 2027</t>
  </si>
  <si>
    <t xml:space="preserve">https://www.sec.gov/Archives/edgar/data/732717/000073271725000076/t-2qx2025exhibit991.htm</t>
  </si>
  <si>
    <t xml:space="preserve">A3.58</t>
  </si>
  <si>
    <t xml:space="preserve">Motley Fool: Why AT&amp;T stock plunged on Friday (Bloomberg report: SpaceX seeks access to 80,000+ US cell sites)</t>
  </si>
  <si>
    <t xml:space="preserve">A3.59</t>
  </si>
  <si>
    <t xml:space="preserve">AT&amp;T declares dividends on common and preferred shares (PR Newswire via Finviz)</t>
  </si>
  <si>
    <t xml:space="preserve">A3.60</t>
  </si>
  <si>
    <t xml:space="preserve">Polymarket: SpaceX becomes a US mobile carrier by ___? (13% by 2027-06-30, 34.5% by 2027-12-31; thin volume)</t>
  </si>
  <si>
    <t xml:space="preserve">https://polymarket.com/event/spacex-becomes-a-us-mobile-carrier-by</t>
  </si>
  <si>
    <t xml:space="preserve">A3.61</t>
  </si>
  <si>
    <t xml:space="preserve">PhoneArena: TD Cowen consumer survey on switching to Starlink Mobile</t>
  </si>
  <si>
    <t xml:space="preserve">2026-10</t>
  </si>
  <si>
    <t xml:space="preserve">https://www.phonearena.com/news/at-t-t-mobile-verizon-starlink-consumer-survey-td-cowen_id183837</t>
  </si>
  <si>
    <t xml:space="preserve">A3.62</t>
  </si>
  <si>
    <t xml:space="preserve">A3.63</t>
  </si>
  <si>
    <t xml:space="preserve">A3.64</t>
  </si>
  <si>
    <t xml:space="preserve">A3.65</t>
  </si>
  <si>
    <t xml:space="preserve">A3.66</t>
  </si>
  <si>
    <t xml:space="preserve">A3.67</t>
  </si>
  <si>
    <t xml:space="preserve">A3.68</t>
  </si>
  <si>
    <t xml:space="preserve">A3.69</t>
  </si>
  <si>
    <t xml:space="preserve">A3.70</t>
  </si>
  <si>
    <t xml:space="preserve">A3.71</t>
  </si>
  <si>
    <t xml:space="preserve">A3.72</t>
  </si>
  <si>
    <t xml:space="preserve">AT&amp;T 10-Q Q3 2026, XBRL R6: balance sheet parenthetical (preferred Series A 48,000 and Series C 70,000 shares outstanding)</t>
  </si>
  <si>
    <t xml:space="preserve">https://www.sec.gov/Archives/edgar/data/732717/000073271726000372/R6.htm</t>
  </si>
  <si>
    <t xml:space="preserve">A3.73</t>
  </si>
  <si>
    <t xml:space="preserve">AT&amp;T 10-K FY2025, XBRL R26: Stockholders' and Mezzanine Equity (Series A and C, $25,000 per share liquidation preference)</t>
  </si>
  <si>
    <t xml:space="preserve">https://www.sec.gov/Archives/edgar/data/732717/000073271726000120/R26.htm</t>
  </si>
  <si>
    <t xml:space="preserve">A4.1</t>
  </si>
  <si>
    <t xml:space="preserve">AT&amp;T Inc. Form 10-Q for the quarter ended 2026-09-30</t>
  </si>
  <si>
    <t xml:space="preserve">A4.2</t>
  </si>
  <si>
    <t xml:space="preserve">AT&amp;T 3Q26 earnings release (8-K Ex. 99.1)</t>
  </si>
  <si>
    <t xml:space="preserve">A4.3</t>
  </si>
  <si>
    <t xml:space="preserve">AT&amp;T 3Q26 Discussion and Reconciliation of Non-GAAP Measures (8-K Ex. 99.3)</t>
  </si>
  <si>
    <t xml:space="preserve">A4.4</t>
  </si>
  <si>
    <t xml:space="preserve">AT&amp;T 4Q25 Supplemental Quarterly Financial Information, recast Advanced Connectivity/Legacy segments 2023-2025 (8-K Ex. 99.4)</t>
  </si>
  <si>
    <t xml:space="preserve">A4.5</t>
  </si>
  <si>
    <t xml:space="preserve">AT&amp;T 4Q25 earnings release with FY2025 results and 2026-2028 outlook (8-K Ex. 99.1)</t>
  </si>
  <si>
    <t xml:space="preserve">A4.6</t>
  </si>
  <si>
    <t xml:space="preserve">AT&amp;T 4Q25 selected financial statements and operating data (8-K Ex. 99.2)</t>
  </si>
  <si>
    <t xml:space="preserve">A4.7</t>
  </si>
  <si>
    <t xml:space="preserve">AT&amp;T 4Q24 earnings release with FY2024 results and 2025 outlook (8-K Ex. 99.1)</t>
  </si>
  <si>
    <t xml:space="preserve">A4.8</t>
  </si>
  <si>
    <t xml:space="preserve">AT&amp;T 4Q23 earnings release with FY2023 results and 2024 outlook (8-K Ex. 99.1)</t>
  </si>
  <si>
    <t xml:space="preserve">A4.9</t>
  </si>
  <si>
    <t xml:space="preserve">AT&amp;T 4Q22 earnings release with 2023 outlook (8-K Ex. 99.1)</t>
  </si>
  <si>
    <t xml:space="preserve">A4.10</t>
  </si>
  <si>
    <t xml:space="preserve">AT&amp;T Inc. Form 10-K for FY2025</t>
  </si>
  <si>
    <t xml:space="preserve">A4.11</t>
  </si>
  <si>
    <t xml:space="preserve">A4.12</t>
  </si>
  <si>
    <t xml:space="preserve">Yahoo Finance T daily history (closes 2026-10-08..23)</t>
  </si>
  <si>
    <t xml:space="preserve">https://finance.yahoo.com/quote/T/history/</t>
  </si>
  <si>
    <t xml:space="preserve">A4.13</t>
  </si>
  <si>
    <t xml:space="preserve">Polymarket: 'SpaceX becomes a US mobile carrier by ___?' (Jun-30-2027 Yes 13%, Dec-31-2027 Yes 34.5%; thin, ~$15k volume each)</t>
  </si>
  <si>
    <t xml:space="preserve">A4.14</t>
  </si>
  <si>
    <t xml:space="preserve">Polymarket: 'T-Mobile US &amp; SpaceX merger/acquisition announced in 2026?' (Yes 27.5%, vol ~$0.7k)</t>
  </si>
  <si>
    <t xml:space="preserve">https://polymarket.com/event/t-mobile-us-spacex-mergeracquisition-announced-in-2026-20260701221224490</t>
  </si>
  <si>
    <t xml:space="preserve">A4.15</t>
  </si>
  <si>
    <t xml:space="preserve">TIKR blog (Gian Estrada): AT&amp;T stock falls 5% after raising its EPS outlook</t>
  </si>
  <si>
    <t xml:space="preserve">A4.16</t>
  </si>
  <si>
    <t xml:space="preserve">TIKR blog (Roxanna Maglangit): SpaceX takes aim at AT&amp;T as its CEO insists nothing beats fiber</t>
  </si>
  <si>
    <t xml:space="preserve">2026-10-11</t>
  </si>
  <si>
    <t xml:space="preserve">https://www.tikr.com/blog/spacex-takes-aim-at-att-as-its-ceo-insists-nothing-beats-fiber</t>
  </si>
  <si>
    <t xml:space="preserve">A4.17</t>
  </si>
  <si>
    <t xml:space="preserve">Investing.com contributor analysis (Johan Shamshad, via DaveFinances): SpaceX's $80 billion wireless ambition</t>
  </si>
  <si>
    <t xml:space="preserve">https://www.investing.com/analysis/spacexs-80-billion-wireless-ambition-threatens-att-verizon-and-tmobile-200690161</t>
  </si>
  <si>
    <t xml:space="preserve">A4.18</t>
  </si>
  <si>
    <t xml:space="preserve">Earnings Whispers: AT&amp;T beats and raises as service growth accelerates, but fiber ARPU erosion and higher leverage temper the upgrade</t>
  </si>
  <si>
    <t xml:space="preserve">https://www.earningswhispers.com/article/T/r186</t>
  </si>
  <si>
    <t xml:space="preserve">A4.19</t>
  </si>
  <si>
    <t xml:space="preserve">Tesla North: AT&amp;T, Verizon and T-Mobile lobby FCC as Starlink Mobile closes in (SCS vote Oct 29)</t>
  </si>
  <si>
    <t xml:space="preserve">https://teslanorth.com/2026/10/23/carriers-fcc-starlink-mobile-5g-bands/</t>
  </si>
  <si>
    <t xml:space="preserve">A4.20</t>
  </si>
  <si>
    <t xml:space="preserve">SpaceX job posting: Sr. RAN Integration Engineer (Starlink Mobile), Redmond, posted 2026-10-06</t>
  </si>
  <si>
    <t xml:space="preserve">https://jobs.thrivecap.com/companies/spacex/jobs/95918895-sr-ran-integration-engineer-starlink-mobile</t>
  </si>
  <si>
    <t xml:space="preserve">A4.21</t>
  </si>
  <si>
    <t xml:space="preserve">SpaceX job posting: Sr. RAN Software Engineer (Starlink Mobile)</t>
  </si>
  <si>
    <t xml:space="preserve">https://jobs.thrivecap.com/companies/spacex/jobs/89029229-sr-ran-software-engineer-starlink-mobile</t>
  </si>
  <si>
    <t xml:space="preserve">A4.22</t>
  </si>
  <si>
    <t xml:space="preserve">SpaceX job posting (Greenhouse): Sr. 3GPP RAN Standardization Engineer (Starlink Mobile)</t>
  </si>
  <si>
    <t xml:space="preserve">https://job-boards.greenhouse.io/spacex/jobs/8480497002</t>
  </si>
  <si>
    <t xml:space="preserve">A4.23</t>
  </si>
  <si>
    <t xml:space="preserve">A4.24</t>
  </si>
  <si>
    <t xml:space="preserve">Fierce Network: Starlink Mobile faces consumer resistance, survey says</t>
  </si>
  <si>
    <t xml:space="preserve">https://www.fierce-network.com/wireless/starlink-mobile-faces-consumer-resistance-survey-says</t>
  </si>
  <si>
    <t xml:space="preserve">A4.25</t>
  </si>
  <si>
    <t xml:space="preserve">PhoneArena reader poll: what would make T-Mobile, AT&amp;T, Verizon users switch to Starlink Mobile</t>
  </si>
  <si>
    <t xml:space="preserve">https://www.phonearena.com/news/t-mobile-att-verizon-users-reveal-what-would-make-them-switch-to-starlink-mobile_id183864</t>
  </si>
  <si>
    <t xml:space="preserve">A4.26</t>
  </si>
  <si>
    <t xml:space="preserve">9to5Mac: legacy AT&amp;T unlimited plans face price hikes (from April 2026)</t>
  </si>
  <si>
    <t xml:space="preserve">A4.27</t>
  </si>
  <si>
    <t xml:space="preserve">Droid Life: your AT&amp;T bill is going up (admin fee $4 to $5 per line from Aug 2026)</t>
  </si>
  <si>
    <t xml:space="preserve">https://www.droid-life.com/2026/06/23/your-att-bill-is-going-up/</t>
  </si>
  <si>
    <t xml:space="preserve">A4.28</t>
  </si>
  <si>
    <t xml:space="preserve">IEEE ComSoc Technology Blog (Alan Weissberger): analysis of AT&amp;T 1Q26 results</t>
  </si>
  <si>
    <t xml:space="preserve">https://techblog.comsoc.org/2026/04/22/analysis-att-1q-2026-results-increased-fiber-penetration-fwa-momentum-d2d-deals-and-mobile-home-internet-bundle-adoption/</t>
  </si>
  <si>
    <t xml:space="preserve">A4.29</t>
  </si>
  <si>
    <t xml:space="preserve">Insider Monkey (Maham Fatima): AT&amp;T bulks up its spectrum as SpaceX fears ease</t>
  </si>
  <si>
    <t xml:space="preserve">https://www.insidermonkey.com/blog/att-t-bulks-up-its-spectrum-as-spacex-fears-ease-1807099/</t>
  </si>
  <si>
    <t xml:space="preserve">A4.30</t>
  </si>
  <si>
    <t xml:space="preserve">Android Authority: Ookla and Opensignal 1H26 US network reports (AT&amp;T top time-on-network, fastest speed growth)</t>
  </si>
  <si>
    <t xml:space="preserve">https://www.androidauthority.com/t-mobile-fastest-verizon-widest-ookla-opensignal-report-3690121/</t>
  </si>
  <si>
    <t xml:space="preserve">A4.31</t>
  </si>
  <si>
    <t xml:space="preserve">AT&amp;T 10-Q Q3 2026, XBRL R17: acquisitions and dispositions (Mexico sale: ~$2,000 cash expected at closing, Q1 2027; Composite Fiber 37 JV)</t>
  </si>
  <si>
    <t xml:space="preserve">A4.32</t>
  </si>
  <si>
    <t xml:space="preserve">AT&amp;T 10-Q Q3 2026, XBRL R63: assets 4,781 and liabilities 723 of discontinued operations (Forged Fiber)</t>
  </si>
  <si>
    <t xml:space="preserve">A4.33</t>
  </si>
  <si>
    <t xml:space="preserve">AT&amp;T declares dividends on common and preferred shares ($0.2775, record 2026-10-12, payable 2026-11-02; PR Newswire via Finviz)</t>
  </si>
  <si>
    <t xml:space="preserve">A4.34</t>
  </si>
  <si>
    <t xml:space="preserve">SEC: T+1 settlement cycle (ex-dividend date = record date from 2024-05-28)</t>
  </si>
  <si>
    <t xml:space="preserve">A4.35</t>
  </si>
  <si>
    <t xml:space="preserve">TV Technology: FCC adopts plan for upper C-band auction by July 2027 ('tens of billions' expected)</t>
  </si>
  <si>
    <t xml:space="preserve">A4.36</t>
  </si>
  <si>
    <t xml:space="preserve">A4.37</t>
  </si>
  <si>
    <t xml:space="preserve">Wccftech (Rohail Saleem): SpaceX can unleash a bidding war on AT&amp;T, Verizon and T-Mobile in the upper C-band auction</t>
  </si>
  <si>
    <t xml:space="preserve">2026-07-02</t>
  </si>
  <si>
    <t xml:space="preserve">https://wccftech.com/spacex-can-unleash-a-brutal-bidding-war-upon-att-verizon-and-t-mobile-as-the-fcc-dangles-160-mhz-of-prized-c-band-spectrum/</t>
  </si>
  <si>
    <t xml:space="preserve">A4.38</t>
  </si>
  <si>
    <t xml:space="preserve">AT&amp;T Q3 2026 earnings call transcript (Q4 FCF ~$6B; capex savings reallocated to working capital and interest)</t>
  </si>
  <si>
    <t xml:space="preserve">A4.39</t>
  </si>
  <si>
    <t xml:space="preserve">AT&amp;T 4Q25 Discussion and Reconciliation of Non-GAAP Measures (8-K Ex. 99.3): FY2025 CFO 40,284, capex 20,842, vendor financing 1,181, FCF 16,586</t>
  </si>
  <si>
    <t xml:space="preserve">https://www.sec.gov/Archives/edgar/data/732717/000073271726000047/t-4q2025exhibit993.htm</t>
  </si>
  <si>
    <t xml:space="preserve">A4.40</t>
  </si>
  <si>
    <t xml:space="preserve">MarketScreener: AT&amp;T consensus, 24 analysts (EBITDA 2026E 48,254 / 2027E 49,750 / 2028E 51,989; EPS 2.003 / 2.621 / 2.934; net debt 147,884 / 146,571 / 146,325)</t>
  </si>
  <si>
    <t xml:space="preserve">A4.41</t>
  </si>
  <si>
    <t xml:space="preserve">A4.42</t>
  </si>
  <si>
    <t xml:space="preserve">MarketScreener: T-Mobile US valuation (2027E EV/EBITDA 5.98x, P/E 10.5x)</t>
  </si>
  <si>
    <t xml:space="preserve">A4.43</t>
  </si>
  <si>
    <t xml:space="preserve">MarketScreener: Comcast valuation (2027E EV/EBITDA 4.79x, P/E 7.4x)</t>
  </si>
  <si>
    <t xml:space="preserve">A4.44</t>
  </si>
  <si>
    <t xml:space="preserve">MarketScreener: Charter valuation (2027E EV/EBITDA 4.38x, P/E 2.43x)</t>
  </si>
  <si>
    <t xml:space="preserve">A4.45</t>
  </si>
  <si>
    <t xml:space="preserve">MarketScreener: BCE valuation (2027E EBITDA 11,002, P/E 10.6x)</t>
  </si>
  <si>
    <t xml:space="preserve">A4.46</t>
  </si>
  <si>
    <t xml:space="preserve">MarketScreener: TELUS valuation (2027E EBITDA 7,256, P/E 21.7x)</t>
  </si>
  <si>
    <t xml:space="preserve">A4.47</t>
  </si>
  <si>
    <t xml:space="preserve">MarketScreener: Rogers valuation (2027E EBITDA 10,101, P/E 11.8x)</t>
  </si>
  <si>
    <t xml:space="preserve">A4.48</t>
  </si>
  <si>
    <t xml:space="preserve">MarketScreener: Deutsche Telekom valuation (2027E EV/EBITDA 4.98x, P/E 10.4x)</t>
  </si>
  <si>
    <t xml:space="preserve">A4.49</t>
  </si>
  <si>
    <t xml:space="preserve">MarketScreener: Orange valuation (2027E EV/EBITDA 4.76x, P/E 12.2x)</t>
  </si>
  <si>
    <t xml:space="preserve">A4.50</t>
  </si>
  <si>
    <t xml:space="preserve">MarketScreener: Telefonica valuation (2027E EBITDA 12,333, EV 49,268, P/E 7.9x)</t>
  </si>
  <si>
    <t xml:space="preserve">A4.51</t>
  </si>
  <si>
    <t xml:space="preserve">MarketScreener: Swisscom valuation (2027E EBITDA 6,796, EV 50,340, P/E 23.7x)</t>
  </si>
  <si>
    <t xml:space="preserve">A4.52</t>
  </si>
  <si>
    <t xml:space="preserve">MarketScreener: Vodafone valuation (FY Mar-27/Mar-28 EBITDA 13,204/14,058; P/E 13.2x/10.9x)</t>
  </si>
  <si>
    <t xml:space="preserve">A4.53</t>
  </si>
  <si>
    <t xml:space="preserve">Round-1 supervisor comps_review for T: one CY2027E basis, IFRS 16 peers after leases (lease figures from BCE, TELUS, Rogers, DT, Orange, Telefonica, Swisscom and Vodafone reports listed there)</t>
  </si>
  <si>
    <t xml:space="preserve">2026-10-26</t>
  </si>
  <si>
    <t xml:space="preserve">valuation/runs/2026-10-23/T/round1/supervisor.json</t>
  </si>
  <si>
    <t xml:space="preserve">A4.54</t>
  </si>
  <si>
    <t xml:space="preserve">A4.55</t>
  </si>
  <si>
    <t xml:space="preserve">A4.56</t>
  </si>
  <si>
    <t xml:space="preserve">A4.57</t>
  </si>
  <si>
    <t xml:space="preserve">A4.58</t>
  </si>
  <si>
    <t xml:space="preserve">A4.59</t>
  </si>
  <si>
    <t xml:space="preserve">A4.60</t>
  </si>
  <si>
    <t xml:space="preserve">TELUS 2025 MD&amp;A and financial statements (lease liabilities $3.3B)</t>
  </si>
  <si>
    <t xml:space="preserve">A4.61</t>
  </si>
  <si>
    <t xml:space="preserve">A4.62</t>
  </si>
  <si>
    <t xml:space="preserve">Rogers 40-F FY2025 financial statements (ROU depreciation $455M 2025; lease liabilities 690 + 2,428 = $3,118M)</t>
  </si>
  <si>
    <t xml:space="preserve">A4.63</t>
  </si>
  <si>
    <t xml:space="preserve">A4.64</t>
  </si>
  <si>
    <t xml:space="preserve">A4.65</t>
  </si>
  <si>
    <t xml:space="preserve">A5.1</t>
  </si>
  <si>
    <t xml:space="preserve">AT&amp;T Q3 2026 earnings release (Form 8-K exhibit 99.1)</t>
  </si>
  <si>
    <t xml:space="preserve">A5.2</t>
  </si>
  <si>
    <t xml:space="preserve">AT&amp;T Q3 2026 financial and operational data (8-K exhibit 99.2)</t>
  </si>
  <si>
    <t xml:space="preserve">A5.3</t>
  </si>
  <si>
    <t xml:space="preserve">AT&amp;T Q3 2026 non-GAAP reconciliations (8-K exhibit 99.3)</t>
  </si>
  <si>
    <t xml:space="preserve">A5.4</t>
  </si>
  <si>
    <t xml:space="preserve">A5.5</t>
  </si>
  <si>
    <t xml:space="preserve">AT&amp;T Q4 2025 earnings release with 2026-2028 outlook (8-K exhibit 99.1)</t>
  </si>
  <si>
    <t xml:space="preserve">A5.6</t>
  </si>
  <si>
    <t xml:space="preserve">AT&amp;T Q4 2025 financial data, old segment basis (8-K item 8.01 exhibit 99.1)</t>
  </si>
  <si>
    <t xml:space="preserve">https://www.sec.gov/Archives/edgar/data/732717/000073271726000046/t-4q20258xk801exhibit991.htm</t>
  </si>
  <si>
    <t xml:space="preserve">A5.7</t>
  </si>
  <si>
    <t xml:space="preserve">AT&amp;T Q4 2024 earnings release with 2025 guidance</t>
  </si>
  <si>
    <t xml:space="preserve">A5.8</t>
  </si>
  <si>
    <t xml:space="preserve">AT&amp;T Q4 2023 earnings release with 2024 guidance</t>
  </si>
  <si>
    <t xml:space="preserve">A5.9</t>
  </si>
  <si>
    <t xml:space="preserve">AT&amp;T Q4 2022 earnings release with 2023 guidance</t>
  </si>
  <si>
    <t xml:space="preserve">A5.10</t>
  </si>
  <si>
    <t xml:space="preserve">AT&amp;T Q1 2026 financial data, new segment basis (8-K item 8.01 exhibit 99.1)</t>
  </si>
  <si>
    <t xml:space="preserve">https://www.sec.gov/Archives/edgar/data/732717/000073271726000201/t-1q20268xk801exhibit991.htm</t>
  </si>
  <si>
    <t xml:space="preserve">A5.11</t>
  </si>
  <si>
    <t xml:space="preserve">AT&amp;T Form 10-K for 2025</t>
  </si>
  <si>
    <t xml:space="preserve">A5.12</t>
  </si>
  <si>
    <t xml:space="preserve">Nasdaq.com analyst earnings forecast for T (Zacks consensus EPS: 2026 $2.38 n=7, 2027 $2.54 n=10, 2028 $2.86 n=5)</t>
  </si>
  <si>
    <t xml:space="preserve">A5.13</t>
  </si>
  <si>
    <t xml:space="preserve">MarketScreener AT&amp;T financial estimates (consensus sales, EBITDA, FCF, net debt, EV/Sales)</t>
  </si>
  <si>
    <t xml:space="preserve">A5.14</t>
  </si>
  <si>
    <t xml:space="preserve">MarketScreener Verizon financial estimates</t>
  </si>
  <si>
    <t xml:space="preserve">https://www.marketscreener.com/quote/stock/VERIZON-COMMUNICATIONS-IN-4830/finances/</t>
  </si>
  <si>
    <t xml:space="preserve">A5.15</t>
  </si>
  <si>
    <t xml:space="preserve">MarketScreener T-Mobile US financial estimates</t>
  </si>
  <si>
    <t xml:space="preserve">https://www.marketscreener.com/quote/stock/T-MOBILE-US-INC-24717887/finances/</t>
  </si>
  <si>
    <t xml:space="preserve">A5.16</t>
  </si>
  <si>
    <t xml:space="preserve">MarketScreener Charter Communications financial estimates</t>
  </si>
  <si>
    <t xml:space="preserve">https://www.marketscreener.com/quote/stock/CHARTER-COMMUNICATIONS-IN-27738754/finances/</t>
  </si>
  <si>
    <t xml:space="preserve">A5.17</t>
  </si>
  <si>
    <t xml:space="preserve">MarketScreener Comcast financial estimates</t>
  </si>
  <si>
    <t xml:space="preserve">https://www.marketscreener.com/quote/stock/COMCAST-CORPORATION-4864/finances/</t>
  </si>
  <si>
    <t xml:space="preserve">A5.18</t>
  </si>
  <si>
    <t xml:space="preserve">MarketScreener BCE financial estimates</t>
  </si>
  <si>
    <t xml:space="preserve">https://www.marketscreener.com/quote/stock/BCE-INC-1409161/finances/</t>
  </si>
  <si>
    <t xml:space="preserve">A5.19</t>
  </si>
  <si>
    <t xml:space="preserve">MarketScreener TELUS financial estimates</t>
  </si>
  <si>
    <t xml:space="preserve">https://www.marketscreener.com/quote/stock/TELUS-CORPORATION-14408639/finances/</t>
  </si>
  <si>
    <t xml:space="preserve">A5.20</t>
  </si>
  <si>
    <t xml:space="preserve">MarketScreener Rogers Communications financial estimates</t>
  </si>
  <si>
    <t xml:space="preserve">https://www.marketscreener.com/quote/stock/ROGERS-COMMUNICATIONS-INC-1411426/finances/</t>
  </si>
  <si>
    <t xml:space="preserve">A5.21</t>
  </si>
  <si>
    <t xml:space="preserve">MarketScreener Telefonica financial estimates</t>
  </si>
  <si>
    <t xml:space="preserve">https://www.marketscreener.com/quote/stock/TELEF-NICA-S-A-68962/finances/</t>
  </si>
  <si>
    <t xml:space="preserve">A5.22</t>
  </si>
  <si>
    <t xml:space="preserve">MarketScreener Deutsche Telekom financial estimates</t>
  </si>
  <si>
    <t xml:space="preserve">https://www.marketscreener.com/quote/stock/DEUTSCHE-TELEKOM-AG-444661/finances/</t>
  </si>
  <si>
    <t xml:space="preserve">A5.23</t>
  </si>
  <si>
    <t xml:space="preserve">MarketScreener Orange financial estimates</t>
  </si>
  <si>
    <t xml:space="preserve">https://www.marketscreener.com/quote/stock/ORANGE-4649/finances/</t>
  </si>
  <si>
    <t xml:space="preserve">A5.24</t>
  </si>
  <si>
    <t xml:space="preserve">Run peer comps table (peers.md: filings EV, Zacks NTM P/E and EPS growth)</t>
  </si>
  <si>
    <t xml:space="preserve">A5.25</t>
  </si>
  <si>
    <t xml:space="preserve">Polymarket: SpaceX becomes a US mobile carrier by ___? (by 2027-06-30: 13% Yes, vol ~$15.3k; by 2027-12-31: 34.5% Yes, vol ~$15.3k)</t>
  </si>
  <si>
    <t xml:space="preserve">A5.26</t>
  </si>
  <si>
    <t xml:space="preserve">Polymarket: Fed rate cut by...? (cut by Jan 2027 meeting 9.8%, by Mar 2027 14%; event vol ~$3.8M)</t>
  </si>
  <si>
    <t xml:space="preserve">https://polymarket.com/event/fed-rate-cut-by-629</t>
  </si>
  <si>
    <t xml:space="preserve">A5.27</t>
  </si>
  <si>
    <t xml:space="preserve">Polymarket: T-Mobile US &amp; SpaceX merger/acquisition announced in 2026? (27.5% Yes, vol ~$0.7k, thin)</t>
  </si>
  <si>
    <t xml:space="preserve">A5.28</t>
  </si>
  <si>
    <t xml:space="preserve">Yahoo Finance chart feed, T daily closes 1990-2026 (base-rate study)</t>
  </si>
  <si>
    <t xml:space="preserve">https://query1.finance.yahoo.com/v8/finance/chart/T?period1=631152000&amp;period2=1793500000&amp;interval=1d</t>
  </si>
  <si>
    <t xml:space="preserve">A5.29</t>
  </si>
  <si>
    <t xml:space="preserve">Yahoo Finance chart feed, VZ daily closes (base-rate study)</t>
  </si>
  <si>
    <t xml:space="preserve">https://query1.finance.yahoo.com/v8/finance/chart/VZ?period1=631152000&amp;period2=1793500000&amp;interval=1d</t>
  </si>
  <si>
    <t xml:space="preserve">A5.30</t>
  </si>
  <si>
    <t xml:space="preserve">Yahoo Finance chart feed, CMCSA daily closes (base-rate study)</t>
  </si>
  <si>
    <t xml:space="preserve">https://query1.finance.yahoo.com/v8/finance/chart/CMCSA?period1=631152000&amp;period2=1793500000&amp;interval=1d</t>
  </si>
  <si>
    <t xml:space="preserve">A5.31</t>
  </si>
  <si>
    <t xml:space="preserve">Yahoo Finance chart feed, TMUS daily closes (base-rate study)</t>
  </si>
  <si>
    <t xml:space="preserve">https://query1.finance.yahoo.com/v8/finance/chart/TMUS?period1=631152000&amp;period2=1793500000&amp;interval=1d</t>
  </si>
  <si>
    <t xml:space="preserve">A5.32</t>
  </si>
  <si>
    <t xml:space="preserve">Yahoo Finance chart feed, BCE daily closes (base-rate study)</t>
  </si>
  <si>
    <t xml:space="preserve">https://query1.finance.yahoo.com/v8/finance/chart/BCE?period1=631152000&amp;period2=1793500000&amp;interval=1d</t>
  </si>
  <si>
    <t xml:space="preserve">A5.33</t>
  </si>
  <si>
    <t xml:space="preserve">Yahoo Finance chart feed, CHTR daily closes (base-rate study)</t>
  </si>
  <si>
    <t xml:space="preserve">https://query1.finance.yahoo.com/v8/finance/chart/CHTR?period1=631152000&amp;period2=1793500000&amp;interval=1d</t>
  </si>
  <si>
    <t xml:space="preserve">A5.34</t>
  </si>
  <si>
    <t xml:space="preserve">FRED 10-year Treasury constant maturity (DGS10): 4.96% on 2026-10-22, 5.09-5.21% mid-October</t>
  </si>
  <si>
    <t xml:space="preserve">2026-10-22</t>
  </si>
  <si>
    <t xml:space="preserve">https://fred.stlouisfed.org/series/DGS10</t>
  </si>
  <si>
    <t xml:space="preserve">A5.35</t>
  </si>
  <si>
    <t xml:space="preserve">Tickerleague: AT&amp;T EV/EBITDA history (year-end 2016-2025 6.2, 6.4, 5.4, 7.1, 9.7, 5.6, 13.4, 5.9, 6.9, 6.1x)</t>
  </si>
  <si>
    <t xml:space="preserve">2026-06-05</t>
  </si>
  <si>
    <t xml:space="preserve">https://tickerleague.com/companies/T/financials/ev-ebitda</t>
  </si>
  <si>
    <t xml:space="preserve">A5.36</t>
  </si>
  <si>
    <t xml:space="preserve">TIKR: AT&amp;T stock falls 5% after raising its EPS outlook (Oct 9 SpaceX drop ~6.6%; NTM P/E 9.70x vs 5-year average 9.11x)</t>
  </si>
  <si>
    <t xml:space="preserve">A5.37</t>
  </si>
  <si>
    <t xml:space="preserve">Mobility Arena: SpaceX's 800 MHz buy takes aim at AT&amp;T, Verizon and T-Mobile (Grain deal 2026-10-08, ~$8B per WSJ, up to 14 MHz paired; TD Cowen &gt;$80B build; FCC review)</t>
  </si>
  <si>
    <t xml:space="preserve">https://mobilityarena.com/spacex-800-mhz-spectrum-starlink-mobile/</t>
  </si>
  <si>
    <t xml:space="preserve">A5.38</t>
  </si>
  <si>
    <t xml:space="preserve">Yahoo Finance / 24/7 Wall St: Telecom stocks fall as SpaceX eyes 80,000 cell sites (Bloomberg report of tower talks)</t>
  </si>
  <si>
    <t xml:space="preserve">https://finance.yahoo.com/markets/stocks/articles/telecom-stocks-fall-spacex-eyes-134838815.html</t>
  </si>
  <si>
    <t xml:space="preserve">A5.39</t>
  </si>
  <si>
    <t xml:space="preserve">Light Reading: AT&amp;T follows Telefonica out of Mexico with $2B sale (close expected Q1 2027)</t>
  </si>
  <si>
    <t xml:space="preserve">A5.40</t>
  </si>
  <si>
    <t xml:space="preserve">Light Reading: T-Mobile rips into Starlink's mobile 'threat' (CFO Osvaldik at Citi TMT)</t>
  </si>
  <si>
    <t xml:space="preserve">2026-09-10</t>
  </si>
  <si>
    <t xml:space="preserve">https://www.lightreading.com/satellite/t-mobile-rips-into-starlink-s-mobile-threat-</t>
  </si>
  <si>
    <t xml:space="preserve">A5.41</t>
  </si>
  <si>
    <t xml:space="preserve">Stocktwits: AT&amp;T CEO says SpaceX low-band spectrum isn't cause to 'over-rotate' (Q3 call; postpaid phone ARPU $58.90)</t>
  </si>
  <si>
    <t xml:space="preserve">https://stocktwits.com/news-articles/markets/equity/at-and-t-ceo-says-spacex-low-band-spectrum-isnt-cause-to-over-rotate/cZxMPwKRBvh</t>
  </si>
  <si>
    <t xml:space="preserve">A5.42</t>
  </si>
  <si>
    <t xml:space="preserve">Journal du Net: Free Mobile effect cut French mobile prices 11.4% in 2012 (Arcep)</t>
  </si>
  <si>
    <t xml:space="preserve">2013-05-24</t>
  </si>
  <si>
    <t xml:space="preserve">https://www.journaldunet.com/ebusiness/telecoms-fai/1123868-l-effet-free-mobile-fait-fondre-les-factures-mobiles-de-11-4-en-2012/</t>
  </si>
  <si>
    <t xml:space="preserve">A5.43</t>
  </si>
  <si>
    <t xml:space="preserve">TelecomTalk: Jio entry hit Airtel, Vodafone, Idea revenue; industry ARPU down ~32% since Sept 2016 (Economic Survey)</t>
  </si>
  <si>
    <t xml:space="preserve">2017-08-12</t>
  </si>
  <si>
    <t xml:space="preserve">https://telecomtalk.info/?p=167001</t>
  </si>
  <si>
    <t xml:space="preserve">A5.44</t>
  </si>
  <si>
    <t xml:space="preserve">BusinessWire: T-Mobile to host Q3 2026 earnings call on October 28, 2026</t>
  </si>
  <si>
    <t xml:space="preserve">A5.45</t>
  </si>
  <si>
    <t xml:space="preserve">AT&amp;T 8-K Ex.99.4: FY2025 supplemental segment information recast to Advanced Connectivity / Legacy (AC revenue 112,424, AC EBITDA 44,547, AC D&amp;A 19,959; Legacy revenue 8,472, EBITDA 3,339)</t>
  </si>
  <si>
    <t xml:space="preserve">A5.46</t>
  </si>
  <si>
    <t xml:space="preserve">AT&amp;T 10-Q Q3 2026, XBRL R17: Acquisitions, dispositions (Mexico ~$2,000 cash at closing Q1 2027, HFS assets ~6,400 / liabilities ~5,900; 50% of Composite Fiber 37 to GIP/CPP, close H1 2027, AT&amp;T keeps 50%; EchoStar licences $22,650 closed 2026-07-28)</t>
  </si>
  <si>
    <t xml:space="preserve">A5.47</t>
  </si>
  <si>
    <t xml:space="preserve">AT&amp;T 10-Q Q3 2026, XBRL R63: Lumen Mass Markets discontinued operations, assets 4,781, liabilities 723</t>
  </si>
  <si>
    <t xml:space="preserve">A5.48</t>
  </si>
  <si>
    <t xml:space="preserve">AT&amp;T Q3 2026 earnings call transcript (Q4 FCF ~$6B, 2026 cash taxes ~$750M under OBBBA, $800M separation charge cash mainly 2027, postpaid phone ARPU +4%, growth 'driven by customer additions and not pricing', relatively stable fiber ARPU)</t>
  </si>
  <si>
    <t xml:space="preserve">A5.49</t>
  </si>
  <si>
    <t xml:space="preserve">AT&amp;T declares dividends on common and preferred shares (record date 2026-10-12, payable 2026-11-02; preferred A $312.50, C $296.875 per share)</t>
  </si>
  <si>
    <t xml:space="preserve">A5.50</t>
  </si>
  <si>
    <t xml:space="preserve">SEC: shortening the securities transaction settlement cycle to T+1 (ex-dividend date = record date from 2024-05-28)</t>
  </si>
  <si>
    <t xml:space="preserve">A5.51</t>
  </si>
  <si>
    <t xml:space="preserve">Jones Walker: FCC opens the door to Auction 115 (upper C-band, 160 MHz, 3,248 licences; scheduled to begin 2027-04-27)</t>
  </si>
  <si>
    <t xml:space="preserve">A5.52</t>
  </si>
  <si>
    <t xml:space="preserve">FCC 26-46 Upper C-band Report and Order (auction on track to close by July 2027; proceeds 'tens of billions of dollars')</t>
  </si>
  <si>
    <t xml:space="preserve">https://docs.fcc.gov/public/attachments/DOC-423286A1.txt</t>
  </si>
  <si>
    <t xml:space="preserve">A5.53</t>
  </si>
  <si>
    <t xml:space="preserve">Benton Institute: FCC announces winning bidders in C-band Auction 107 (gross $81.17B; Verizon $45.45B, AT&amp;T $23.41B, T-Mobile $9.3B)</t>
  </si>
  <si>
    <t xml:space="preserve">2021-02-24</t>
  </si>
  <si>
    <t xml:space="preserve">https://benton.org/headlines/fcc-announces-winning-bidders-c-band-auction</t>
  </si>
  <si>
    <t xml:space="preserve">A5.54</t>
  </si>
  <si>
    <t xml:space="preserve">TV Technology: FCC raises $3.5 billion in AWS-3 wireless auction (Auction 113, June 2026)</t>
  </si>
  <si>
    <t xml:space="preserve">2026-06</t>
  </si>
  <si>
    <t xml:space="preserve">https://www.tvtechnology.com/regulatory-legal/fcc/fcc-raises-usd3-5-billion-in-aws-3-wireless-auction</t>
  </si>
  <si>
    <t xml:space="preserve">A5.55</t>
  </si>
  <si>
    <t xml:space="preserve">Supervisor round-1 file, comps_review (12-incumbent CY2027E peer set; after-lease EBITDA adjustments for IFRS 16 reporters with their lease sources)</t>
  </si>
  <si>
    <t xml:space="preserve">/mnt/attach/project-files/valuation/runs/2026-10-23/T/round1/supervisor.json</t>
  </si>
  <si>
    <t xml:space="preserve">A5.56</t>
  </si>
  <si>
    <t xml:space="preserve">MarketScreener: Verizon valuation (CY2027E EV/EBITDA, P/E)</t>
  </si>
  <si>
    <t xml:space="preserve">A5.57</t>
  </si>
  <si>
    <t xml:space="preserve">MarketScreener: T-Mobile US valuation (CY2027E EV/EBITDA, P/E)</t>
  </si>
  <si>
    <t xml:space="preserve">A5.58</t>
  </si>
  <si>
    <t xml:space="preserve">MarketScreener: Comcast valuation (CY2027E EV/EBITDA, P/E)</t>
  </si>
  <si>
    <t xml:space="preserve">A5.59</t>
  </si>
  <si>
    <t xml:space="preserve">MarketScreener: Charter Communications valuation (CY2027E EV/EBITDA, P/E)</t>
  </si>
  <si>
    <t xml:space="preserve">A5.60</t>
  </si>
  <si>
    <t xml:space="preserve">MarketScreener: BCE valuation (CY2027E EV/EBITDA, P/E)</t>
  </si>
  <si>
    <t xml:space="preserve">A5.61</t>
  </si>
  <si>
    <t xml:space="preserve">MarketScreener: TELUS valuation (CY2027E EV/EBITDA, P/E)</t>
  </si>
  <si>
    <t xml:space="preserve">A5.62</t>
  </si>
  <si>
    <t xml:space="preserve">MarketScreener: Rogers Communications valuation (CY2027E EV/EBITDA, P/E)</t>
  </si>
  <si>
    <t xml:space="preserve">A5.63</t>
  </si>
  <si>
    <t xml:space="preserve">MarketScreener: Deutsche Telekom valuation (CY2027E EV/EBITDA, P/E)</t>
  </si>
  <si>
    <t xml:space="preserve">A5.64</t>
  </si>
  <si>
    <t xml:space="preserve">MarketScreener: Orange valuation (CY2027E EV/EBITDA, P/E)</t>
  </si>
  <si>
    <t xml:space="preserve">A5.65</t>
  </si>
  <si>
    <t xml:space="preserve">MarketScreener: Telefonica valuation (CY2027E EV/EBITDA, P/E)</t>
  </si>
  <si>
    <t xml:space="preserve">A5.66</t>
  </si>
  <si>
    <t xml:space="preserve">MarketScreener: Swisscom valuation (CY2027E EV/EBITDA, P/E)</t>
  </si>
  <si>
    <t xml:space="preserve">A5.67</t>
  </si>
  <si>
    <t xml:space="preserve">MarketScreener: Vodafone valuation (CY2027E EV/EBITDA, P/E)</t>
  </si>
  <si>
    <t xml:space="preserve">A5.68</t>
  </si>
  <si>
    <t xml:space="preserve">Berger, P. and Ofek, E. (1995), Diversification's effect on firm value, Journal of Financial Economics 37(1): 39-65 (13-15% discount)</t>
  </si>
  <si>
    <t xml:space="preserve">1995</t>
  </si>
  <si>
    <t xml:space="preserve">https://doi.org/10.1016/0304-405X(94)00798-6</t>
  </si>
  <si>
    <t xml:space="preserve">A5.69</t>
  </si>
  <si>
    <t xml:space="preserve">A5.70</t>
  </si>
  <si>
    <t xml:space="preserve">A5.71</t>
  </si>
  <si>
    <t xml:space="preserve">A5.72</t>
  </si>
  <si>
    <t xml:space="preserve">A5.73</t>
  </si>
  <si>
    <t xml:space="preserve">A5.74</t>
  </si>
  <si>
    <t xml:space="preserve">A5.75</t>
  </si>
  <si>
    <t xml:space="preserve">A5.76</t>
  </si>
  <si>
    <t xml:space="preserve">A5.77</t>
  </si>
  <si>
    <t xml:space="preserve">A5.78</t>
  </si>
  <si>
    <t xml:space="preserve">S.1</t>
  </si>
  <si>
    <t xml:space="preserve">supervisor</t>
  </si>
  <si>
    <t xml:space="preserve">S.2</t>
  </si>
  <si>
    <t xml:space="preserve">S.3</t>
  </si>
  <si>
    <t xml:space="preserve">S.4</t>
  </si>
  <si>
    <t xml:space="preserve">AT&amp;T 8-K Ex.99.1: Q3 2026 earnings release and outlook</t>
  </si>
  <si>
    <t xml:space="preserve">S.5</t>
  </si>
  <si>
    <t xml:space="preserve">AT&amp;T 8-K Ex.99.2: Q3 2026 financial and operating data</t>
  </si>
  <si>
    <t xml:space="preserve">S.6</t>
  </si>
  <si>
    <t xml:space="preserve">AT&amp;T 8-K Ex.99.3: Q3 2026 non-GAAP reconciliations (FCF, capital investment, adjusted EBITDA, net debt)</t>
  </si>
  <si>
    <t xml:space="preserve">S.7</t>
  </si>
  <si>
    <t xml:space="preserve">AT&amp;T Q3 2026 earnings call transcript (LSEG StreetEvents, AT&amp;T investor relations)</t>
  </si>
  <si>
    <t xml:space="preserve">S.8</t>
  </si>
  <si>
    <t xml:space="preserve">AT&amp;T 8-K Ex.99.1: Q4 2025 earnings release (FY2025 actuals; first 2026 and 2027-28 outlook)</t>
  </si>
  <si>
    <t xml:space="preserve">S.9</t>
  </si>
  <si>
    <t xml:space="preserve">S.10</t>
  </si>
  <si>
    <t xml:space="preserve">AT&amp;T 8-K Ex.99.2: Q4 2025 financial and operating data (year-end subscribers)</t>
  </si>
  <si>
    <t xml:space="preserve">S.11</t>
  </si>
  <si>
    <t xml:space="preserve">AT&amp;T 8-K Ex.99.1: Q4 2024 earnings release (FY2024 actuals; 2025 outlook)</t>
  </si>
  <si>
    <t xml:space="preserve">S.12</t>
  </si>
  <si>
    <t xml:space="preserve">AT&amp;T 8-K Ex.99.1: Q4 2023 earnings release (FY2023 actuals; 2024 outlook)</t>
  </si>
  <si>
    <t xml:space="preserve">S.13</t>
  </si>
  <si>
    <t xml:space="preserve">AT&amp;T Form 10-K for FY2025 (preferred stock note)</t>
  </si>
  <si>
    <t xml:space="preserve">S.14</t>
  </si>
  <si>
    <t xml:space="preserve">S.15</t>
  </si>
  <si>
    <t xml:space="preserve">S.16</t>
  </si>
  <si>
    <t xml:space="preserve">24/7 Wall St.: Telecom stocks fall as SpaceX eyes 80,000 cell sites</t>
  </si>
  <si>
    <t xml:space="preserve">S.17</t>
  </si>
  <si>
    <t xml:space="preserve">Benzinga: AT&amp;T falls 11% to $22.14 at midday on SpaceX 800 MHz spectrum purchase</t>
  </si>
  <si>
    <t xml:space="preserve">https://www.benzinga.com/node/62281475</t>
  </si>
  <si>
    <t xml:space="preserve">S.18</t>
  </si>
  <si>
    <t xml:space="preserve">S.19</t>
  </si>
  <si>
    <t xml:space="preserve">S.20</t>
  </si>
  <si>
    <t xml:space="preserve">S.21</t>
  </si>
  <si>
    <t xml:space="preserve">S.22</t>
  </si>
  <si>
    <t xml:space="preserve">Run peer comps table peers.md (SEC filings trailing; Zacks NTM P/E)</t>
  </si>
  <si>
    <t xml:space="preserve">S.23</t>
  </si>
  <si>
    <t xml:space="preserve">secfacts.py peers VZ TMUS CMCSA CHTR (filing-based trailing multiples)</t>
  </si>
  <si>
    <t xml:space="preserve">valuation/secfacts.py</t>
  </si>
  <si>
    <t xml:space="preserve">S.24</t>
  </si>
  <si>
    <t xml:space="preserve">S.25</t>
  </si>
  <si>
    <t xml:space="preserve">S.26</t>
  </si>
  <si>
    <t xml:space="preserve">S.27</t>
  </si>
  <si>
    <t xml:space="preserve">S.28</t>
  </si>
  <si>
    <t xml:space="preserve">S.29</t>
  </si>
  <si>
    <t xml:space="preserve">S.30</t>
  </si>
  <si>
    <t xml:space="preserve">S.31</t>
  </si>
  <si>
    <t xml:space="preserve">S.32</t>
  </si>
  <si>
    <t xml:space="preserve">S.33</t>
  </si>
  <si>
    <t xml:space="preserve">S.34</t>
  </si>
  <si>
    <t xml:space="preserve">S.35</t>
  </si>
  <si>
    <t xml:space="preserve">Berger, P. and Ofek, E. (1995), Diversification's effect on firm value, Journal of Financial Economics 37(1): 39-65 (13-15% diversification discount)</t>
  </si>
  <si>
    <t xml:space="preserve">S.36</t>
  </si>
  <si>
    <t xml:space="preserve">Verizon: Verizon to report third-quarter 2026 earnings on October 26</t>
  </si>
  <si>
    <t xml:space="preserve">S.37</t>
  </si>
  <si>
    <t xml:space="preserve">T-Mobile press release (Business Wire via Finviz, 2026-09-17): Q3 2026 earnings call Wednesday 2026-10-28, 4:30 p.m. ET</t>
  </si>
  <si>
    <t xml:space="preserve">https://finviz.com/news/393276/t-mobile-to-host-q3-2026-earnings-call-on-october-28-2026</t>
  </si>
  <si>
    <t xml:space="preserve">S.38</t>
  </si>
  <si>
    <t xml:space="preserve">S.39</t>
  </si>
  <si>
    <t xml:space="preserve">S.40</t>
  </si>
  <si>
    <t xml:space="preserve">S.41</t>
  </si>
  <si>
    <t xml:space="preserve">S.42</t>
  </si>
  <si>
    <t xml:space="preserve">S.43</t>
  </si>
  <si>
    <t xml:space="preserve">BCE 2025 annual report MD&amp;A (Form 40-F exhibit 99.2); lease figures are in the 40-F XBRL R113/R114/R115/R34</t>
  </si>
  <si>
    <t xml:space="preserve">S.44</t>
  </si>
  <si>
    <t xml:space="preserve">S.45</t>
  </si>
  <si>
    <t xml:space="preserve">TELUS Q4 2025 IR supplemental (net debt 25,189)</t>
  </si>
  <si>
    <t xml:space="preserve">S.46</t>
  </si>
  <si>
    <t xml:space="preserve">Rogers Form 40-F FY2025 (lease liabilities 690 + 2,428 = $3,118M; ROU depreciation $455M); lease interest $147M in R104</t>
  </si>
  <si>
    <t xml:space="preserve">S.47</t>
  </si>
  <si>
    <t xml:space="preserve">S.48</t>
  </si>
  <si>
    <t xml:space="preserve">S.49</t>
  </si>
  <si>
    <t xml:space="preserve">S.50</t>
  </si>
  <si>
    <t xml:space="preserve">S.51</t>
  </si>
  <si>
    <t xml:space="preserve">S.52</t>
  </si>
  <si>
    <t xml:space="preserve">FCC Public Notice DA 26-769: Auction 115 (Upper C-band, 3.98-4.14 GHz) comment on procedures; bidding tentatively from 2027-04-27</t>
  </si>
  <si>
    <t xml:space="preserve">https://docs.fcc.gov/public/attachments/DA-26-769A1.pdf</t>
  </si>
  <si>
    <t xml:space="preserve">S.53</t>
  </si>
  <si>
    <t xml:space="preserve">Jones Walker: FCC opens the door to Auction 115 (upper C-band; statutory completion by 2027-07-04)</t>
  </si>
  <si>
    <t xml:space="preserve">S.54</t>
  </si>
  <si>
    <t xml:space="preserve">Benton Institute: FCC tentative agenda for the October 29, 2026 open meeting (NPRM 'Modernizing the Supplemental Coverage from Space Rules', +482 MHz for SCS)</t>
  </si>
  <si>
    <t xml:space="preserve">https://benton.org/node/361225</t>
  </si>
  <si>
    <t xml:space="preserve">S.55</t>
  </si>
  <si>
    <t xml:space="preserve">Twelve Data: T daily OHLC 2026-10-06 to 2026-10-23 (closes 24.87 Oct-8, 22.18 Oct-9, 23.42 Oct-20, 21.91 Oct-21, 22.74 Oct-22, 20.93 Oct-23)</t>
  </si>
  <si>
    <t xml:space="preserve">https://twelvedata.com/markets/stocks/T</t>
  </si>
  <si>
    <t xml:space="preserve">S.56</t>
  </si>
  <si>
    <t xml:space="preserve">WRDS blend-weight study README (DCF vs forward-P/E blend weights; no EV/EBITDA vs P/E vs FCF-yield evidence)</t>
  </si>
  <si>
    <t xml:space="preserve">2026-10-20</t>
  </si>
  <si>
    <t xml:space="preserve">/mnt/project-files/wrds/results/blend_weights/README.md</t>
  </si>
  <si>
    <t xml:space="preserve">S.57</t>
  </si>
  <si>
    <t xml:space="preserve">TIKR: Verizon stock is 8% off its September peak - the Q3 test its CEO set (2026 phone net adds at the top of 750k-1M)</t>
  </si>
  <si>
    <t xml:space="preserve">S.58</t>
  </si>
  <si>
    <t xml:space="preserve">AT&amp;T 8-K Ex.99.1: Q4 2022 earnings release (FY2022 actuals; first FY2023 guide)</t>
  </si>
  <si>
    <t xml:space="preserve">S.59</t>
  </si>
  <si>
    <t xml:space="preserve">S.60</t>
  </si>
  <si>
    <t xml:space="preserve">S.61</t>
  </si>
  <si>
    <t xml:space="preserve">S.62</t>
  </si>
  <si>
    <t xml:space="preserve">S.63</t>
  </si>
  <si>
    <t xml:space="preserve">S.64</t>
  </si>
  <si>
    <t xml:space="preserve">S.65</t>
  </si>
  <si>
    <t xml:space="preserve">S.66</t>
  </si>
  <si>
    <t xml:space="preserve">S.67</t>
  </si>
  <si>
    <t xml:space="preserve">S.68</t>
  </si>
  <si>
    <t xml:space="preserve">S.69</t>
  </si>
  <si>
    <t xml:space="preserve">Light Reading: C-band (Auction 107) results - AT&amp;T $23.4B for 1,621 licences; ~80 MHz in 95% of the country (Evercore)</t>
  </si>
  <si>
    <t xml:space="preserve">2021-02</t>
  </si>
  <si>
    <t xml:space="preserve">https://www.lightreading.com/5g/verizon-at-t-t-mobile-here-are-the-c-band-auction-results</t>
  </si>
  <si>
    <t xml:space="preserve">S.70</t>
  </si>
  <si>
    <t xml:space="preserve">AT&amp;T FWP pricing term sheet 2026-07-27 (issuer ratings: Moody's Baa2 stable, S&amp;P BBB stable, Fitch BBB+ Negative Outlook)</t>
  </si>
  <si>
    <t xml:space="preserve">https://www.sec.gov/Archives/edgar/data/732717/000119312526318207/d101711dfwp.htm</t>
  </si>
  <si>
    <t xml:space="preserve">S.71</t>
  </si>
  <si>
    <t xml:space="preserve">Cord Cutters News (Luke Bouma): FCC Oct-29-2026 agenda, SCS NPRM would open an additional 482 MHz</t>
  </si>
  <si>
    <t xml:space="preserve">https://cordcuttersnews.com/fcc-agenda-targets-better-wireless-coverage-stronger-equipment-checks-and-rural-broadband-oversight/?amp=1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</si>
</sst>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732717/000073271726000372/t-20260930.htm" TargetMode="External"/><Relationship Id="rId2" Type="http://schemas.openxmlformats.org/officeDocument/2006/relationships/hyperlink" Target="https://www.sec.gov/Archives/edgar/data/0000732717/000073271726000370/t-3q2026exhibit991.htm" TargetMode="External"/><Relationship Id="rId3" Type="http://schemas.openxmlformats.org/officeDocument/2006/relationships/hyperlink" Target="https://www.sec.gov/Archives/edgar/data/0000732717/000073271726000370/t-3q2026exhibit992.htm" TargetMode="External"/><Relationship Id="rId4" Type="http://schemas.openxmlformats.org/officeDocument/2006/relationships/hyperlink" Target="https://www.sec.gov/Archives/edgar/data/0000732717/000073271726000370/t-3q2026exhibit993.htm" TargetMode="External"/><Relationship Id="rId5" Type="http://schemas.openxmlformats.org/officeDocument/2006/relationships/hyperlink" Target="https://www.sec.gov/Archives/edgar/data/732717/000073271726000047/t-4q2025exhibit991.htm" TargetMode="External"/><Relationship Id="rId6" Type="http://schemas.openxmlformats.org/officeDocument/2006/relationships/hyperlink" Target="https://www.sec.gov/Archives/edgar/data/732717/000073271726000047/t-4q2025exhibit992.htm" TargetMode="External"/><Relationship Id="rId7" Type="http://schemas.openxmlformats.org/officeDocument/2006/relationships/hyperlink" Target="https://www.sec.gov/Archives/edgar/data/732717/000073271726000047/t-4q2025exhibit994.htm" TargetMode="External"/><Relationship Id="rId8" Type="http://schemas.openxmlformats.org/officeDocument/2006/relationships/hyperlink" Target="https://www.sec.gov/Archives/edgar/data/732717/000073271726000120/t-20251231.htm" TargetMode="External"/><Relationship Id="rId9" Type="http://schemas.openxmlformats.org/officeDocument/2006/relationships/hyperlink" Target="https://www.sec.gov/Archives/edgar/data/732717/000073271725000007/t-4q2024exhibit991.htm" TargetMode="External"/><Relationship Id="rId10" Type="http://schemas.openxmlformats.org/officeDocument/2006/relationships/hyperlink" Target="https://www.sec.gov/Archives/edgar/data/732717/000073271724000006/t-4q2023exhibit991.htm" TargetMode="External"/><Relationship Id="rId11" Type="http://schemas.openxmlformats.org/officeDocument/2006/relationships/hyperlink" Target="https://www.sec.gov/Archives/edgar/data/732717/000073271723000007/t-4q2022exhibit991.htm" TargetMode="External"/><Relationship Id="rId12" Type="http://schemas.openxmlformats.org/officeDocument/2006/relationships/hyperlink" Target="https://www.sec.gov/Archives/edgar/data/732717/000073271726000294/t-2q2026exhibit991.htm" TargetMode="External"/><Relationship Id="rId13" Type="http://schemas.openxmlformats.org/officeDocument/2006/relationships/hyperlink" Target="https://www.sec.gov/Archives/edgar/data/732717/000073271726000203/t-1q2026exhibit991.htm" TargetMode="External"/><Relationship Id="rId14" Type="http://schemas.openxmlformats.org/officeDocument/2006/relationships/hyperlink" Target="https://www.sec.gov/Archives/edgar/data/732717/000119312526119888/d919223ddef14a.htm" TargetMode="External"/><Relationship Id="rId15" Type="http://schemas.openxmlformats.org/officeDocument/2006/relationships/hyperlink" Target="https://www.sec.gov/Archives/edgar/data/0000732717/000119312526424057/d905556d8k.htm" TargetMode="External"/><Relationship Id="rId16" Type="http://schemas.openxmlformats.org/officeDocument/2006/relationships/hyperlink" Target="https://www.marketbeat.com/instant-alerts/transcript-what-att-t-said-on-its-q3-earnings-call-2026-10-21/" TargetMode="External"/><Relationship Id="rId17" Type="http://schemas.openxmlformats.org/officeDocument/2006/relationships/hyperlink" Target="https://www.lw.com/en/news/2026/10/latham-watkins-advises-on-grain-management-definitive-agreement-to-sell-spectrum-portfolio-to-spacex" TargetMode="External"/><Relationship Id="rId18" Type="http://schemas.openxmlformats.org/officeDocument/2006/relationships/hyperlink" Target="https://www.verizon.com/about/news/verizon-q3-2026-earnings-report-date" TargetMode="External"/><Relationship Id="rId19" Type="http://schemas.openxmlformats.org/officeDocument/2006/relationships/hyperlink" Target="https://secure.businesswire.com/news/home/20260917015300/en/T-Mobile-to-Host-Q3-2026-Earnings-Call-on-October-28-2026" TargetMode="External"/><Relationship Id="rId20" Type="http://schemas.openxmlformats.org/officeDocument/2006/relationships/hyperlink" Target="https://sec.gov/Archives/edgar/data/732717/000073271725000076/t-2qx2025exhibit991.htm" TargetMode="External"/><Relationship Id="rId21" Type="http://schemas.openxmlformats.org/officeDocument/2006/relationships/hyperlink" Target="https://www.verizon.com/about/news/verizon-delivers-record-2q26-results" TargetMode="External"/><Relationship Id="rId22" Type="http://schemas.openxmlformats.org/officeDocument/2006/relationships/hyperlink" Target="https://www.trefis.com/stock/t/articles/620542/what-just-happened-to-att-stock/2026-10-25" TargetMode="External"/><Relationship Id="rId23" Type="http://schemas.openxmlformats.org/officeDocument/2006/relationships/hyperlink" Target="https://www.lightreading.com/finance/at-t-follows-telef-nica-out-of-mexico-with-2b-sale" TargetMode="External"/><Relationship Id="rId24" Type="http://schemas.openxmlformats.org/officeDocument/2006/relationships/hyperlink" Target="https://api.nasdaq.com/api/analyst/T/earnings-forecast" TargetMode="External"/><Relationship Id="rId25" Type="http://schemas.openxmlformats.org/officeDocument/2006/relationships/hyperlink" Target="https://www.marketscreener.com/quote/stock/AT-T-INC-14324/finances/" TargetMode="External"/><Relationship Id="rId26" Type="http://schemas.openxmlformats.org/officeDocument/2006/relationships/hyperlink" Target="https://www.marketscreener.com/quote/stock/VERIZON-COMMUNICATIONS-IN-4830/valuation/" TargetMode="External"/><Relationship Id="rId27" Type="http://schemas.openxmlformats.org/officeDocument/2006/relationships/hyperlink" Target="https://www.marketscreener.com/quote/stock/T-MOBILE-US-INC-199910225/valuation/" TargetMode="External"/><Relationship Id="rId28" Type="http://schemas.openxmlformats.org/officeDocument/2006/relationships/hyperlink" Target="https://www.marketscreener.com/quote/stock/COMCAST-CORPORATION-4864/valuation/" TargetMode="External"/><Relationship Id="rId29" Type="http://schemas.openxmlformats.org/officeDocument/2006/relationships/hyperlink" Target="https://www.marketscreener.com/quote/stock/CHARTER-COMMUNICATIONS-IN-27738754/valuation/" TargetMode="External"/><Relationship Id="rId30" Type="http://schemas.openxmlformats.org/officeDocument/2006/relationships/hyperlink" Target="https://www.marketscreener.com/quote/stock/BCE-INC-11783/valuation/" TargetMode="External"/><Relationship Id="rId31" Type="http://schemas.openxmlformats.org/officeDocument/2006/relationships/hyperlink" Target="https://www.marketscreener.com/quote/stock/ROGERS-COMMUNICATIONS-INC-1411426/valuation/" TargetMode="External"/><Relationship Id="rId32" Type="http://schemas.openxmlformats.org/officeDocument/2006/relationships/hyperlink" Target="https://www.marketscreener.com/quote/stock/TELUS-CORPORATION-1411858/valuation/" TargetMode="External"/><Relationship Id="rId33" Type="http://schemas.openxmlformats.org/officeDocument/2006/relationships/hyperlink" Target="https://www.marketscreener.com/quote/stock/ORANGE-4649/valuation/" TargetMode="External"/><Relationship Id="rId34" Type="http://schemas.openxmlformats.org/officeDocument/2006/relationships/hyperlink" Target="https://www.marketscreener.com/quote/stock/VODAFONE-GROUP-PLC-15867071/valuation/" TargetMode="External"/><Relationship Id="rId35" Type="http://schemas.openxmlformats.org/officeDocument/2006/relationships/hyperlink" Target="https://www.marketscreener.com/quote/stock/DEUTSCHE-TELEKOM-AG-444661/valuation/" TargetMode="External"/><Relationship Id="rId36" Type="http://schemas.openxmlformats.org/officeDocument/2006/relationships/hyperlink" Target="https://www.marketscreener.com/quote/stock/TELEF-NICA-S-A-68962/valuation/" TargetMode="External"/><Relationship Id="rId37" Type="http://schemas.openxmlformats.org/officeDocument/2006/relationships/hyperlink" Target="https://www.marketscreener.com/quote/stock/SWISSCOM-AG-441185/valuation/" TargetMode="External"/><Relationship Id="rId38" Type="http://schemas.openxmlformats.org/officeDocument/2006/relationships/hyperlink" Target="https://investors.att.com/~/media/Files/A/ATT-IR-V2/financial-reports/quarterly-earnings/2026/3Q-2026/t-usq-transcript-2026-10-21.pdf" TargetMode="External"/><Relationship Id="rId39" Type="http://schemas.openxmlformats.org/officeDocument/2006/relationships/hyperlink" Target="https://www.sec.gov/Archives/edgar/data/732717/000073271726000372/R63.htm" TargetMode="External"/><Relationship Id="rId40" Type="http://schemas.openxmlformats.org/officeDocument/2006/relationships/hyperlink" Target="https://www.sec.gov/Archives/edgar/data/732717/000073271726000372/R17.htm" TargetMode="External"/><Relationship Id="rId41" Type="http://schemas.openxmlformats.org/officeDocument/2006/relationships/hyperlink" Target="https://finviz.com/news/395407/att-declares-dividends-on-common-and-preferred-shares" TargetMode="External"/><Relationship Id="rId42" Type="http://schemas.openxmlformats.org/officeDocument/2006/relationships/hyperlink" Target="https://www.sec.gov/newsroom/press-releases/2023-29" TargetMode="External"/><Relationship Id="rId43" Type="http://schemas.openxmlformats.org/officeDocument/2006/relationships/hyperlink" Target="https://fool.com/investing/2026/10/23/why-att-stock-plunged-on-friday" TargetMode="External"/><Relationship Id="rId44" Type="http://schemas.openxmlformats.org/officeDocument/2006/relationships/hyperlink" Target="https://www.joneswalker.com/en/insights/blogs/perspectives/fcc-opens-the-door-to-auction-115-how-the-upper-c-band-auction-could-shape-the-n.html" TargetMode="External"/><Relationship Id="rId45" Type="http://schemas.openxmlformats.org/officeDocument/2006/relationships/hyperlink" Target="https://phillipslytle.com/fcc-advances-upper-c-band-auction-under-tight-statutory-timeline-july-4-2027/clientalert-telecom-5g-2026-06-23-mobile/" TargetMode="External"/><Relationship Id="rId46" Type="http://schemas.openxmlformats.org/officeDocument/2006/relationships/hyperlink" Target="https://www.sec.gov/Archives/edgar/data/718940/000119312526095004/d86374dex992.htm" TargetMode="External"/><Relationship Id="rId47" Type="http://schemas.openxmlformats.org/officeDocument/2006/relationships/hyperlink" Target="https://assets.ctfassets.net/fltupc9ltp8m/5XMfEtySOfXg9mh25TUeS/2b711837335ec72e214a6130cae20392/TELUS_2025_MD_A_and_Financial_Statements__EN.pdf" TargetMode="External"/><Relationship Id="rId48" Type="http://schemas.openxmlformats.org/officeDocument/2006/relationships/hyperlink" Target="https://assets.ctfassets.net/fltupc9ltp8m/6yTBJyA0R6F67yWR3fnKfC/ad1a6418c93125dc78f3186ae32f4729/TELUS_Q4_2025_IR_Supplemental.pdf" TargetMode="External"/><Relationship Id="rId49" Type="http://schemas.openxmlformats.org/officeDocument/2006/relationships/hyperlink" Target="https://www.sec.gov/Archives/edgar/data/733099/000073309926000009/rci-20251231_d2.htm" TargetMode="External"/><Relationship Id="rId50" Type="http://schemas.openxmlformats.org/officeDocument/2006/relationships/hyperlink" Target="https://www.telekom.com/en/newsroom/latest-updates/media-information/2026/2/deutsche-telekom-outperforms-targets-for-2025" TargetMode="External"/><Relationship Id="rId51" Type="http://schemas.openxmlformats.org/officeDocument/2006/relationships/hyperlink" Target="https://www.orange.com/en/press-release/success-of-lead-the-future-2023-2025-strategic-plan-2025-objectives-fully-achieved-440051" TargetMode="External"/><Relationship Id="rId52" Type="http://schemas.openxmlformats.org/officeDocument/2006/relationships/hyperlink" Target="https://www.telefonica.com/en/communication-room/press-room/telefonica-accelerates-growth-quarter-2025-increases-revenues-adjusted-ebitda-free-cash-flow/" TargetMode="External"/><Relationship Id="rId53" Type="http://schemas.openxmlformats.org/officeDocument/2006/relationships/hyperlink" Target="https://www.swisscom.ch/de/about/investoren/kennzahlen/fuenfjahresuebersicht.html" TargetMode="External"/><Relationship Id="rId54" Type="http://schemas.openxmlformats.org/officeDocument/2006/relationships/hyperlink" Target="https://www.vodafone.com/~/media/Files/V/vodafone/corp/results-and-presentations/vodafone-fy26-preliminary-results.pdf" TargetMode="External"/><Relationship Id="rId55" Type="http://schemas.openxmlformats.org/officeDocument/2006/relationships/hyperlink" Target="https://www.sec.gov/Archives/edgar/data/718940/000119312526095004/R114.htm" TargetMode="External"/><Relationship Id="rId56" Type="http://schemas.openxmlformats.org/officeDocument/2006/relationships/hyperlink" Target="https://www.sec.gov/Archives/edgar/data/718940/000119312526095004/R113.htm" TargetMode="External"/><Relationship Id="rId57" Type="http://schemas.openxmlformats.org/officeDocument/2006/relationships/hyperlink" Target="https://www.sec.gov/Archives/edgar/data/718940/000119312526095004/R34.htm" TargetMode="External"/><Relationship Id="rId58" Type="http://schemas.openxmlformats.org/officeDocument/2006/relationships/hyperlink" Target="https://www.sec.gov/Archives/edgar/data/868675/000110465926013854/R125.htm" TargetMode="External"/><Relationship Id="rId59" Type="http://schemas.openxmlformats.org/officeDocument/2006/relationships/hyperlink" Target="https://www.sec.gov/Archives/edgar/data/868675/000110465926013854/R97.htm" TargetMode="External"/><Relationship Id="rId60" Type="http://schemas.openxmlformats.org/officeDocument/2006/relationships/hyperlink" Target="https://www.sec.gov/Archives/edgar/data/868675/000110465926013854/R75.htm" TargetMode="External"/><Relationship Id="rId61" Type="http://schemas.openxmlformats.org/officeDocument/2006/relationships/hyperlink" Target="https://www.sec.gov/Archives/edgar/data/733099/000073309926000009/R104.htm" TargetMode="External"/><Relationship Id="rId62" Type="http://schemas.openxmlformats.org/officeDocument/2006/relationships/hyperlink" Target="https://www.telecomtv.com/content/access-evolution/orange-2025-results-success-of-lead-the-future-2023-2025-strategic-plan-2025-objectives-fully-achieved-54885/" TargetMode="External"/><Relationship Id="rId63" Type="http://schemas.openxmlformats.org/officeDocument/2006/relationships/hyperlink" Target="https://www.sec.gov/Archives/edgar/data/732717/000073271726000372/t-20260930.htm" TargetMode="External"/><Relationship Id="rId64" Type="http://schemas.openxmlformats.org/officeDocument/2006/relationships/hyperlink" Target="https://www.sec.gov/Archives/edgar/data/732717/000073271726000370/t-3q2026exhibit991.htm" TargetMode="External"/><Relationship Id="rId65" Type="http://schemas.openxmlformats.org/officeDocument/2006/relationships/hyperlink" Target="https://www.sec.gov/Archives/edgar/data/732717/000073271726000370/t-3q2026exhibit992.htm" TargetMode="External"/><Relationship Id="rId66" Type="http://schemas.openxmlformats.org/officeDocument/2006/relationships/hyperlink" Target="https://www.sec.gov/Archives/edgar/data/732717/000073271726000370/t-3q2026exhibit993.htm" TargetMode="External"/><Relationship Id="rId67" Type="http://schemas.openxmlformats.org/officeDocument/2006/relationships/hyperlink" Target="https://www.sec.gov/Archives/edgar/data/732717/000073271726000047/t-4q2025exhibit994.htm" TargetMode="External"/><Relationship Id="rId68" Type="http://schemas.openxmlformats.org/officeDocument/2006/relationships/hyperlink" Target="https://www.sec.gov/Archives/edgar/data/732717/000073271726000047/t-4q2025exhibit991.htm" TargetMode="External"/><Relationship Id="rId69" Type="http://schemas.openxmlformats.org/officeDocument/2006/relationships/hyperlink" Target="https://www.sec.gov/Archives/edgar/data/732717/000073271725000007/t-4q2024exhibit991.htm" TargetMode="External"/><Relationship Id="rId70" Type="http://schemas.openxmlformats.org/officeDocument/2006/relationships/hyperlink" Target="https://www.sec.gov/Archives/edgar/data/732717/000073271724000006/t-4q2023exhibit991.htm" TargetMode="External"/><Relationship Id="rId71" Type="http://schemas.openxmlformats.org/officeDocument/2006/relationships/hyperlink" Target="https://www.sec.gov/Archives/edgar/data/732717/000073271723000007/t-4q2022exhibit991.htm" TargetMode="External"/><Relationship Id="rId72" Type="http://schemas.openxmlformats.org/officeDocument/2006/relationships/hyperlink" Target="https://investors.att.com/~/media/Files/A/ATT-IR-V2/financial-reports/quarterly-earnings/2026/3Q-2026/t-usq-transcript-2026-10-21.pdf" TargetMode="External"/><Relationship Id="rId73" Type="http://schemas.openxmlformats.org/officeDocument/2006/relationships/hyperlink" Target="https://www.sec.gov/Archives/edgar/data/732717/000073271726000120/t-20251231.htm" TargetMode="External"/><Relationship Id="rId74" Type="http://schemas.openxmlformats.org/officeDocument/2006/relationships/hyperlink" Target="https://www.sec.gov/Archives/edgar/data/732717/000073271726000203/t-1q2026exhibit991.htm" TargetMode="External"/><Relationship Id="rId75" Type="http://schemas.openxmlformats.org/officeDocument/2006/relationships/hyperlink" Target="https://www.nbcnews.com/business/corporations/elon-musk-spacex-verizon-tmobile-att-rcna602525" TargetMode="External"/><Relationship Id="rId76" Type="http://schemas.openxmlformats.org/officeDocument/2006/relationships/hyperlink" Target="https://fool.com/investing/2026/10/23/why-att-stock-plunged-on-friday" TargetMode="External"/><Relationship Id="rId77" Type="http://schemas.openxmlformats.org/officeDocument/2006/relationships/hyperlink" Target="https://advanced-television.com/2026/08/05/spacex-targets-us-cellular-entry/" TargetMode="External"/><Relationship Id="rId78" Type="http://schemas.openxmlformats.org/officeDocument/2006/relationships/hyperlink" Target="https://www.itiger.com/news/2653172711" TargetMode="External"/><Relationship Id="rId79" Type="http://schemas.openxmlformats.org/officeDocument/2006/relationships/hyperlink" Target="https://www.tikr.com/blog/crown-castle-soars-13-as-spacexs-8-billion-spectrum-buy-keeps-tower-build-option-very-much-alive" TargetMode="External"/><Relationship Id="rId80" Type="http://schemas.openxmlformats.org/officeDocument/2006/relationships/hyperlink" Target="https://stock3.com/news/spacex-teil-2-us-funkmastbetreiber-mit-kursaufschlaegen-17325458" TargetMode="External"/><Relationship Id="rId81" Type="http://schemas.openxmlformats.org/officeDocument/2006/relationships/hyperlink" Target="https://www.verizon.com/about/news/verizon-q3-2026-earnings-report-date" TargetMode="External"/><Relationship Id="rId82" Type="http://schemas.openxmlformats.org/officeDocument/2006/relationships/hyperlink" Target="https://benton.org/node/360058" TargetMode="External"/><Relationship Id="rId83" Type="http://schemas.openxmlformats.org/officeDocument/2006/relationships/hyperlink" Target="https://broadbandbreakfast.com/comcast-expecting-more-broadband-losses-than-last-year-for-q3/" TargetMode="External"/><Relationship Id="rId84" Type="http://schemas.openxmlformats.org/officeDocument/2006/relationships/hyperlink" Target="https://broadbandbreakfast.com/charter-down-172-000-broadband-subs" TargetMode="External"/><Relationship Id="rId85" Type="http://schemas.openxmlformats.org/officeDocument/2006/relationships/hyperlink" Target="https://broadbandbreakfast.com/fcc-adopts-copper-retirement-call-center-onshoring-orders/" TargetMode="External"/><Relationship Id="rId86" Type="http://schemas.openxmlformats.org/officeDocument/2006/relationships/hyperlink" Target="https://www.lightreading.com/broadband/at-t-to-pack-gigapower-and-forged-fiber-37-into-one-jv" TargetMode="External"/><Relationship Id="rId87" Type="http://schemas.openxmlformats.org/officeDocument/2006/relationships/hyperlink" Target="https://9to5mac.com/2026/04/01/psa-legacy-att-unlimited-plans-face-price-hikes-and-its-a-mess/" TargetMode="External"/><Relationship Id="rId88" Type="http://schemas.openxmlformats.org/officeDocument/2006/relationships/hyperlink" Target="https://www.corning.com/worldwide/en/about-us/news-events/news-releases/2026/09/att-and-corning-team-up-to-engineer-the-connected-world-with-fiber.html" TargetMode="External"/><Relationship Id="rId89" Type="http://schemas.openxmlformats.org/officeDocument/2006/relationships/hyperlink" Target="https://broadbandbreakfast.com/at-t-corning-reach-3-billion-fiber-deal/" TargetMode="External"/><Relationship Id="rId90" Type="http://schemas.openxmlformats.org/officeDocument/2006/relationships/hyperlink" Target="https://www.fierce-network.com/broadband/att-cfo-desroches-depart-att-alum-jennifer-biry-named-new-cfo" TargetMode="External"/><Relationship Id="rId91" Type="http://schemas.openxmlformats.org/officeDocument/2006/relationships/hyperlink" Target="https://www.marketscreener.com/quote/stock/AT-T-INC-14324/finances/" TargetMode="External"/><Relationship Id="rId92" Type="http://schemas.openxmlformats.org/officeDocument/2006/relationships/hyperlink" Target="https://api.nasdaq.com/api/analyst/T/earnings-forecast" TargetMode="External"/><Relationship Id="rId93" Type="http://schemas.openxmlformats.org/officeDocument/2006/relationships/hyperlink" Target="https://www.marketscreener.com/quote/stock/VERIZON-COMMUNICATIONS-IN-4830/valuation/" TargetMode="External"/><Relationship Id="rId94" Type="http://schemas.openxmlformats.org/officeDocument/2006/relationships/hyperlink" Target="https://www.marketscreener.com/quote/stock/T-MOBILE-US-INC-199910225/valuation/" TargetMode="External"/><Relationship Id="rId95" Type="http://schemas.openxmlformats.org/officeDocument/2006/relationships/hyperlink" Target="https://www.marketscreener.com/quote/stock/COMCAST-CORPORATION-4864/valuation/" TargetMode="External"/><Relationship Id="rId96" Type="http://schemas.openxmlformats.org/officeDocument/2006/relationships/hyperlink" Target="https://www.marketscreener.com/quote/stock/CHARTER-COMMUNICATIONS-IN-27738754/valuation/" TargetMode="External"/><Relationship Id="rId97" Type="http://schemas.openxmlformats.org/officeDocument/2006/relationships/hyperlink" Target="https://www.marketscreener.com/quote/stock/BCE-INC-11783/valuation/" TargetMode="External"/><Relationship Id="rId98" Type="http://schemas.openxmlformats.org/officeDocument/2006/relationships/hyperlink" Target="https://www.marketscreener.com/quote/stock/TELUS-CORPORATION-1411858/valuation/" TargetMode="External"/><Relationship Id="rId99" Type="http://schemas.openxmlformats.org/officeDocument/2006/relationships/hyperlink" Target="https://www.marketscreener.com/quote/stock/ROGERS-COMMUNICATIONS-INC-1411426/valuation/" TargetMode="External"/><Relationship Id="rId100" Type="http://schemas.openxmlformats.org/officeDocument/2006/relationships/hyperlink" Target="https://www.marketscreener.com/quote/stock/DEUTSCHE-TELEKOM-AG-444661/valuation/" TargetMode="External"/><Relationship Id="rId101" Type="http://schemas.openxmlformats.org/officeDocument/2006/relationships/hyperlink" Target="https://www.marketscreener.com/quote/stock/ORANGE-4649/valuation/" TargetMode="External"/><Relationship Id="rId102" Type="http://schemas.openxmlformats.org/officeDocument/2006/relationships/hyperlink" Target="https://www.marketscreener.com/quote/stock/TELEF-NICA-S-A-68962/valuation/" TargetMode="External"/><Relationship Id="rId103" Type="http://schemas.openxmlformats.org/officeDocument/2006/relationships/hyperlink" Target="https://www.marketscreener.com/quote/stock/SWISSCOM-AG-441185/valuation/" TargetMode="External"/><Relationship Id="rId104" Type="http://schemas.openxmlformats.org/officeDocument/2006/relationships/hyperlink" Target="https://www.lightreading.com/regulatory-politics/fcc-votes-in-rules-for-upper-c-band-auction" TargetMode="External"/><Relationship Id="rId105" Type="http://schemas.openxmlformats.org/officeDocument/2006/relationships/hyperlink" Target="https://www.tvtechnology.com/regulatory-legal/fcc-adopts-plan-for-c-band-auction-in-july-2027" TargetMode="External"/><Relationship Id="rId106" Type="http://schemas.openxmlformats.org/officeDocument/2006/relationships/hyperlink" Target="https://www.newscaststudio.com/2026/07/22/fcc-adopts-rules-for-upper-c-band-auction-sets-stage-for-440-mhz-super-band/" TargetMode="External"/><Relationship Id="rId107" Type="http://schemas.openxmlformats.org/officeDocument/2006/relationships/hyperlink" Target="https://wirelessestimator.com/articles/2026/spacex-wants-to-be-a-fourth-major-network-but-its-building-around-towers-not-on-them/" TargetMode="External"/><Relationship Id="rId108" Type="http://schemas.openxmlformats.org/officeDocument/2006/relationships/hyperlink" Target="https://www.tikr.com/blog/verizon-stock-is-8-off-its-september-peak-heres-the-q3-test-its-ceo-set" TargetMode="External"/><Relationship Id="rId109" Type="http://schemas.openxmlformats.org/officeDocument/2006/relationships/hyperlink" Target="https://www.sec.gov/Archives/edgar/data/732717/000073271726000047/t-4q2025exhibit992.htm" TargetMode="External"/><Relationship Id="rId110" Type="http://schemas.openxmlformats.org/officeDocument/2006/relationships/hyperlink" Target="https://www.sec.gov/Archives/edgar/data/732717/000073271726000372/R63.htm" TargetMode="External"/><Relationship Id="rId111" Type="http://schemas.openxmlformats.org/officeDocument/2006/relationships/hyperlink" Target="https://www.sec.gov/Archives/edgar/data/732717/000073271726000372/R17.htm" TargetMode="External"/><Relationship Id="rId112" Type="http://schemas.openxmlformats.org/officeDocument/2006/relationships/hyperlink" Target="https://www.sec.gov/Archives/edgar/data/718940/000119312526095004/d86374dex992.htm" TargetMode="External"/><Relationship Id="rId113" Type="http://schemas.openxmlformats.org/officeDocument/2006/relationships/hyperlink" Target="https://assets.ctfassets.net/fltupc9ltp8m/5XMfEtySOfXg9mh25TUeS/2b711837335ec72e214a6130cae20392/TELUS_2025_MD_A_and_Financial_Statements__EN.pdf" TargetMode="External"/><Relationship Id="rId114" Type="http://schemas.openxmlformats.org/officeDocument/2006/relationships/hyperlink" Target="https://assets.ctfassets.net/fltupc9ltp8m/6yTBJyA0R6F67yWR3fnKfC/ad1a6418c93125dc78f3186ae32f4729/TELUS_Q4_2025_IR_Supplemental.pdf" TargetMode="External"/><Relationship Id="rId115" Type="http://schemas.openxmlformats.org/officeDocument/2006/relationships/hyperlink" Target="https://www.sec.gov/Archives/edgar/data/733099/000073309926000009/rci-20251231_d2.htm" TargetMode="External"/><Relationship Id="rId116" Type="http://schemas.openxmlformats.org/officeDocument/2006/relationships/hyperlink" Target="https://www.telekom.com/en/newsroom/latest-updates/media-information/2026/2/deutsche-telekom-outperforms-targets-for-2025" TargetMode="External"/><Relationship Id="rId117" Type="http://schemas.openxmlformats.org/officeDocument/2006/relationships/hyperlink" Target="https://www.orange.com/en/press-release/success-of-lead-the-future-2023-2025-strategic-plan-2025-objectives-fully-achieved-440051" TargetMode="External"/><Relationship Id="rId118" Type="http://schemas.openxmlformats.org/officeDocument/2006/relationships/hyperlink" Target="https://www.telefonica.com/en/communication-room/press-room/telefonica-accelerates-growth-quarter-2025-increases-revenues-adjusted-ebitda-free-cash-flow/" TargetMode="External"/><Relationship Id="rId119" Type="http://schemas.openxmlformats.org/officeDocument/2006/relationships/hyperlink" Target="https://www.swisscom.ch/de/about/investoren/kennzahlen/fuenfjahresuebersicht.html" TargetMode="External"/><Relationship Id="rId120" Type="http://schemas.openxmlformats.org/officeDocument/2006/relationships/hyperlink" Target="https://www.vodafone.com/~/media/Files/V/vodafone/corp/results-and-presentations/vodafone-fy26-preliminary-results.pdf" TargetMode="External"/><Relationship Id="rId121" Type="http://schemas.openxmlformats.org/officeDocument/2006/relationships/hyperlink" Target="https://www.marketscreener.com/quote/stock/VODAFONE-GROUP-PLC-15867071/valuation/" TargetMode="External"/><Relationship Id="rId122" Type="http://schemas.openxmlformats.org/officeDocument/2006/relationships/hyperlink" Target="https://finviz.com/news/395407/att-declares-dividends-on-common-and-preferred-shares" TargetMode="External"/><Relationship Id="rId123" Type="http://schemas.openxmlformats.org/officeDocument/2006/relationships/hyperlink" Target="https://www.sec.gov/Archives/edgar/data/718940/000119312526095004/R114.htm" TargetMode="External"/><Relationship Id="rId124" Type="http://schemas.openxmlformats.org/officeDocument/2006/relationships/hyperlink" Target="https://www.sec.gov/Archives/edgar/data/718940/000119312526095004/R113.htm" TargetMode="External"/><Relationship Id="rId125" Type="http://schemas.openxmlformats.org/officeDocument/2006/relationships/hyperlink" Target="https://www.sec.gov/Archives/edgar/data/718940/000119312526095004/R34.htm" TargetMode="External"/><Relationship Id="rId126" Type="http://schemas.openxmlformats.org/officeDocument/2006/relationships/hyperlink" Target="https://www.sec.gov/Archives/edgar/data/868675/000110465926013854/R125.htm" TargetMode="External"/><Relationship Id="rId127" Type="http://schemas.openxmlformats.org/officeDocument/2006/relationships/hyperlink" Target="https://www.sec.gov/Archives/edgar/data/868675/000110465926013854/R97.htm" TargetMode="External"/><Relationship Id="rId128" Type="http://schemas.openxmlformats.org/officeDocument/2006/relationships/hyperlink" Target="https://www.sec.gov/Archives/edgar/data/868675/000110465926013854/R75.htm" TargetMode="External"/><Relationship Id="rId129" Type="http://schemas.openxmlformats.org/officeDocument/2006/relationships/hyperlink" Target="https://www.sec.gov/Archives/edgar/data/733099/000073309926000009/R104.htm" TargetMode="External"/><Relationship Id="rId130" Type="http://schemas.openxmlformats.org/officeDocument/2006/relationships/hyperlink" Target="https://www.telecomtv.com/content/access-evolution/orange-2025-results-success-of-lead-the-future-2023-2025-strategic-plan-2025-objectives-fully-achieved-54885/" TargetMode="External"/><Relationship Id="rId131" Type="http://schemas.openxmlformats.org/officeDocument/2006/relationships/hyperlink" Target="https://www.sec.gov/Archives/edgar/data/732717/000073271726000370/t-3q2026exhibit991.htm" TargetMode="External"/><Relationship Id="rId132" Type="http://schemas.openxmlformats.org/officeDocument/2006/relationships/hyperlink" Target="https://www.sec.gov/Archives/edgar/data/732717/000073271726000370/t-3q2026exhibit992.htm" TargetMode="External"/><Relationship Id="rId133" Type="http://schemas.openxmlformats.org/officeDocument/2006/relationships/hyperlink" Target="https://www.sec.gov/Archives/edgar/data/732717/000073271726000370/t-3q2026exhibit993.htm" TargetMode="External"/><Relationship Id="rId134" Type="http://schemas.openxmlformats.org/officeDocument/2006/relationships/hyperlink" Target="https://www.sec.gov/Archives/edgar/data/732717/000073271726000372/t-20260930.htm" TargetMode="External"/><Relationship Id="rId135" Type="http://schemas.openxmlformats.org/officeDocument/2006/relationships/hyperlink" Target="https://www.sec.gov/Archives/edgar/data/732717/000073271726000047/t-4q2025exhibit991.htm" TargetMode="External"/><Relationship Id="rId136" Type="http://schemas.openxmlformats.org/officeDocument/2006/relationships/hyperlink" Target="https://www.sec.gov/Archives/edgar/data/732717/000073271726000047/t-4q2025exhibit992.htm" TargetMode="External"/><Relationship Id="rId137" Type="http://schemas.openxmlformats.org/officeDocument/2006/relationships/hyperlink" Target="https://www.sec.gov/Archives/edgar/data/732717/000073271725000007/t-4q2024exhibit991.htm" TargetMode="External"/><Relationship Id="rId138" Type="http://schemas.openxmlformats.org/officeDocument/2006/relationships/hyperlink" Target="https://www.sec.gov/Archives/edgar/data/732717/000073271724000006/t-4q2023exhibit991.htm" TargetMode="External"/><Relationship Id="rId139" Type="http://schemas.openxmlformats.org/officeDocument/2006/relationships/hyperlink" Target="https://www.sec.gov/Archives/edgar/data/732717/000073271723000007/t-4q2022exhibit991.htm" TargetMode="External"/><Relationship Id="rId140" Type="http://schemas.openxmlformats.org/officeDocument/2006/relationships/hyperlink" Target="https://www.sec.gov/Archives/edgar/data/732717/000073271726000120/t-20251231.htm" TargetMode="External"/><Relationship Id="rId141" Type="http://schemas.openxmlformats.org/officeDocument/2006/relationships/hyperlink" Target="https://www.earningswhispers.com/transcript/T/Q32026" TargetMode="External"/><Relationship Id="rId142" Type="http://schemas.openxmlformats.org/officeDocument/2006/relationships/hyperlink" Target="https://finviz.com/news/405593/att-beats-and-raises-as-service-growth-accelerates-but-fiber-arpu-erosion-and-higher-leverage-temper-the-upgrade" TargetMode="External"/><Relationship Id="rId143" Type="http://schemas.openxmlformats.org/officeDocument/2006/relationships/hyperlink" Target="https://247wallst.com/investing/2026/10/23/telecom-stocks-fall-as-spacex-eyes-80000-cell-sites-t-mobile-sinks-5-att-drops-4-verizon-slides-3/" TargetMode="External"/><Relationship Id="rId144" Type="http://schemas.openxmlformats.org/officeDocument/2006/relationships/hyperlink" Target="https://www.gurufocus.com/news/9117426/spacex-disrupts-telecom-market-att-t-and-verizon-vz-stocks-drop" TargetMode="External"/><Relationship Id="rId145" Type="http://schemas.openxmlformats.org/officeDocument/2006/relationships/hyperlink" Target="https://www.marketbeat.com/instant-alerts/price-att-nyse-t-stock-falls-78-after-analyst-downgrade-2026-10-23/" TargetMode="External"/><Relationship Id="rId146" Type="http://schemas.openxmlformats.org/officeDocument/2006/relationships/hyperlink" Target="https://www.tikr.com/blog/att-stock-was-downgraded-over-spacex-days-before-q3-earnings-heres-what-to-watch-on-october-21" TargetMode="External"/><Relationship Id="rId147" Type="http://schemas.openxmlformats.org/officeDocument/2006/relationships/hyperlink" Target="https://www.tikr.com/blog/att-stock-falls-5-after-raising-its-eps-outlook-why-did-investors-wipe-out-8-billion-anyway" TargetMode="External"/><Relationship Id="rId148" Type="http://schemas.openxmlformats.org/officeDocument/2006/relationships/hyperlink" Target="https://www.timothysykes.com/news/attinc-t-news-2026_10_23-2/" TargetMode="External"/><Relationship Id="rId149" Type="http://schemas.openxmlformats.org/officeDocument/2006/relationships/hyperlink" Target="https://investors.att.com/financial-reports/debt" TargetMode="External"/><Relationship Id="rId150" Type="http://schemas.openxmlformats.org/officeDocument/2006/relationships/hyperlink" Target="https://www.alphavantage.co/query?function=EARNINGS_ESTIMATES&amp;symbol=T" TargetMode="External"/><Relationship Id="rId151" Type="http://schemas.openxmlformats.org/officeDocument/2006/relationships/hyperlink" Target="https://telcomagazine.com/news/spacex-to-buy-800mhz-rights-from-grain-spectrum" TargetMode="External"/><Relationship Id="rId152" Type="http://schemas.openxmlformats.org/officeDocument/2006/relationships/hyperlink" Target="https://www.notebookcheck.net/SpaceX-tips-Starlink-Mobile-carrier-launch-date-and-coverage-with-dish-base-stations.1360525.0.html" TargetMode="External"/><Relationship Id="rId153" Type="http://schemas.openxmlformats.org/officeDocument/2006/relationships/hyperlink" Target="https://www.sec.gov/Archives/edgar/data/0000732717/000119312526318207/d101711dfwp.htm" TargetMode="External"/><Relationship Id="rId154" Type="http://schemas.openxmlformats.org/officeDocument/2006/relationships/hyperlink" Target="https://equibles.com/stocks/t/shortinterest" TargetMode="External"/><Relationship Id="rId155" Type="http://schemas.openxmlformats.org/officeDocument/2006/relationships/hyperlink" Target="https://www.benton.org/headlines/att-and-verizon-ask-fcc-throw-wrench-starlink&#8217;s-mobile-plan" TargetMode="External"/><Relationship Id="rId156" Type="http://schemas.openxmlformats.org/officeDocument/2006/relationships/hyperlink" Target="https://www.gurufocus.com/news/9140695/att-t-shares-drop-nearly-8-after-q3-earnings-amid-rising-leverage-concerns" TargetMode="External"/><Relationship Id="rId157" Type="http://schemas.openxmlformats.org/officeDocument/2006/relationships/hyperlink" Target="https://www.aol.com/finance/verizons-ceo-just-admitted-pricing-132800129.html" TargetMode="External"/><Relationship Id="rId158" Type="http://schemas.openxmlformats.org/officeDocument/2006/relationships/hyperlink" Target="https://www.trefis.com/stock/t/articles/620542/what-just-happened-to-att-stock/2026-10-25" TargetMode="External"/><Relationship Id="rId159" Type="http://schemas.openxmlformats.org/officeDocument/2006/relationships/hyperlink" Target="https://www.marketscreener.com/quote/stock/AT-T-INC-14324/finances/" TargetMode="External"/><Relationship Id="rId160" Type="http://schemas.openxmlformats.org/officeDocument/2006/relationships/hyperlink" Target="https://www.marketscreener.com/quote/stock/VERIZON-COMMUNICATIONS-IN-4830/valuation/" TargetMode="External"/><Relationship Id="rId161" Type="http://schemas.openxmlformats.org/officeDocument/2006/relationships/hyperlink" Target="https://www.marketscreener.com/quote/stock/T-MOBILE-US-INC-199910225/valuation/" TargetMode="External"/><Relationship Id="rId162" Type="http://schemas.openxmlformats.org/officeDocument/2006/relationships/hyperlink" Target="https://www.marketscreener.com/quote/stock/COMCAST-CORPORATION-4864/valuation/" TargetMode="External"/><Relationship Id="rId163" Type="http://schemas.openxmlformats.org/officeDocument/2006/relationships/hyperlink" Target="https://www.marketscreener.com/quote/stock/CHARTER-COMMUNICATIONS-IN-27738754/valuation/" TargetMode="External"/><Relationship Id="rId164" Type="http://schemas.openxmlformats.org/officeDocument/2006/relationships/hyperlink" Target="https://www.marketscreener.com/quote/stock/BCE-INC-11783/valuation/" TargetMode="External"/><Relationship Id="rId165" Type="http://schemas.openxmlformats.org/officeDocument/2006/relationships/hyperlink" Target="https://www.marketscreener.com/quote/stock/TELUS-CORPORATION-1411858/valuation/" TargetMode="External"/><Relationship Id="rId166" Type="http://schemas.openxmlformats.org/officeDocument/2006/relationships/hyperlink" Target="https://www.marketscreener.com/quote/stock/ROGERS-COMMUNICATIONS-INC-1411426/valuation/" TargetMode="External"/><Relationship Id="rId167" Type="http://schemas.openxmlformats.org/officeDocument/2006/relationships/hyperlink" Target="https://www.marketscreener.com/quote/stock/DEUTSCHE-TELEKOM-AG-444661/valuation/" TargetMode="External"/><Relationship Id="rId168" Type="http://schemas.openxmlformats.org/officeDocument/2006/relationships/hyperlink" Target="https://www.marketscreener.com/quote/stock/ORANGE-4649/valuation/" TargetMode="External"/><Relationship Id="rId169" Type="http://schemas.openxmlformats.org/officeDocument/2006/relationships/hyperlink" Target="https://www.marketscreener.com/quote/stock/TELEF-NICA-S-A-68962/valuation/" TargetMode="External"/><Relationship Id="rId170" Type="http://schemas.openxmlformats.org/officeDocument/2006/relationships/hyperlink" Target="https://www.marketscreener.com/quote/stock/SWISSCOM-AG-441185/valuation/" TargetMode="External"/><Relationship Id="rId171" Type="http://schemas.openxmlformats.org/officeDocument/2006/relationships/hyperlink" Target="https://www.marketscreener.com/quote/stock/VODAFONE-GROUP-PLC-15867071/valuation/" TargetMode="External"/><Relationship Id="rId172" Type="http://schemas.openxmlformats.org/officeDocument/2006/relationships/hyperlink" Target="https://www.sec.gov/Archives/edgar/data/718940/000119312526095004/d86374dex992.htm" TargetMode="External"/><Relationship Id="rId173" Type="http://schemas.openxmlformats.org/officeDocument/2006/relationships/hyperlink" Target="https://assets.ctfassets.net/fltupc9ltp8m/5XMfEtySOfXg9mh25TUeS/2b711837335ec72e214a6130cae20392/TELUS_2025_MD_A_and_Financial_Statements__EN.pdf" TargetMode="External"/><Relationship Id="rId174" Type="http://schemas.openxmlformats.org/officeDocument/2006/relationships/hyperlink" Target="https://assets.ctfassets.net/fltupc9ltp8m/6yTBJyA0R6F67yWR3fnKfC/ad1a6418c93125dc78f3186ae32f4729/TELUS_Q4_2025_IR_Supplemental.pdf" TargetMode="External"/><Relationship Id="rId175" Type="http://schemas.openxmlformats.org/officeDocument/2006/relationships/hyperlink" Target="https://www.sec.gov/Archives/edgar/data/733099/000073309926000009/rci-20251231_d2.htm" TargetMode="External"/><Relationship Id="rId176" Type="http://schemas.openxmlformats.org/officeDocument/2006/relationships/hyperlink" Target="https://www.telekom.com/en/newsroom/latest-updates/media-information/2026/2/deutsche-telekom-outperforms-targets-for-2025" TargetMode="External"/><Relationship Id="rId177" Type="http://schemas.openxmlformats.org/officeDocument/2006/relationships/hyperlink" Target="https://www.orange.com/en/press-release/success-of-lead-the-future-2023-2025-strategic-plan-2025-objectives-fully-achieved-440051" TargetMode="External"/><Relationship Id="rId178" Type="http://schemas.openxmlformats.org/officeDocument/2006/relationships/hyperlink" Target="https://www.telefonica.com/en/communication-room/press-room/telefonica-accelerates-growth-quarter-2025-increases-revenues-adjusted-ebitda-free-cash-flow/" TargetMode="External"/><Relationship Id="rId179" Type="http://schemas.openxmlformats.org/officeDocument/2006/relationships/hyperlink" Target="https://www.swisscom.ch/de/about/investoren/kennzahlen/fuenfjahresuebersicht.html" TargetMode="External"/><Relationship Id="rId180" Type="http://schemas.openxmlformats.org/officeDocument/2006/relationships/hyperlink" Target="https://www.vodafone.com/~/media/Files/V/vodafone/corp/results-and-presentations/vodafone-fy26-preliminary-results.pdf" TargetMode="External"/><Relationship Id="rId181" Type="http://schemas.openxmlformats.org/officeDocument/2006/relationships/hyperlink" Target="https://www.sec.gov/Archives/edgar/data/732717/000073271726000372/R17.htm" TargetMode="External"/><Relationship Id="rId182" Type="http://schemas.openxmlformats.org/officeDocument/2006/relationships/hyperlink" Target="https://www.sec.gov/Archives/edgar/data/732717/000073271726000372/R63.htm" TargetMode="External"/><Relationship Id="rId183" Type="http://schemas.openxmlformats.org/officeDocument/2006/relationships/hyperlink" Target="https://www.sec.gov/Archives/edgar/data/732717/000073271726000047/t-4q2025exhibit994.htm" TargetMode="External"/><Relationship Id="rId184" Type="http://schemas.openxmlformats.org/officeDocument/2006/relationships/hyperlink" Target="https://docs.fcc.gov/public/attachments/DA-26-769A1.txt" TargetMode="External"/><Relationship Id="rId185" Type="http://schemas.openxmlformats.org/officeDocument/2006/relationships/hyperlink" Target="https://www.newscaststudio.com/2026/07/22/fcc-adopts-rules-for-upper-c-band-auction-sets-stage-for-440-mhz-super-band/" TargetMode="External"/><Relationship Id="rId186" Type="http://schemas.openxmlformats.org/officeDocument/2006/relationships/hyperlink" Target="https://www.sec.gov/Archives/edgar/data/732717/000073271725000076/t-2qx2025exhibit991.htm" TargetMode="External"/><Relationship Id="rId187" Type="http://schemas.openxmlformats.org/officeDocument/2006/relationships/hyperlink" Target="https://fool.com/investing/2026/10/23/why-att-stock-plunged-on-friday" TargetMode="External"/><Relationship Id="rId188" Type="http://schemas.openxmlformats.org/officeDocument/2006/relationships/hyperlink" Target="https://finviz.com/news/395407/att-declares-dividends-on-common-and-preferred-shares" TargetMode="External"/><Relationship Id="rId189" Type="http://schemas.openxmlformats.org/officeDocument/2006/relationships/hyperlink" Target="https://polymarket.com/event/spacex-becomes-a-us-mobile-carrier-by" TargetMode="External"/><Relationship Id="rId190" Type="http://schemas.openxmlformats.org/officeDocument/2006/relationships/hyperlink" Target="https://www.phonearena.com/news/at-t-t-mobile-verizon-starlink-consumer-survey-td-cowen_id183837" TargetMode="External"/><Relationship Id="rId191" Type="http://schemas.openxmlformats.org/officeDocument/2006/relationships/hyperlink" Target="https://www.lw.com/en/news/2026/10/latham-watkins-advises-on-grain-management-definitive-agreement-to-sell-spectrum-portfolio-to-spacex" TargetMode="External"/><Relationship Id="rId192" Type="http://schemas.openxmlformats.org/officeDocument/2006/relationships/hyperlink" Target="https://api.nasdaq.com/api/analyst/T/earnings-forecast" TargetMode="External"/><Relationship Id="rId193" Type="http://schemas.openxmlformats.org/officeDocument/2006/relationships/hyperlink" Target="https://www.sec.gov/Archives/edgar/data/718940/000119312526095004/R114.htm" TargetMode="External"/><Relationship Id="rId194" Type="http://schemas.openxmlformats.org/officeDocument/2006/relationships/hyperlink" Target="https://www.sec.gov/Archives/edgar/data/718940/000119312526095004/R113.htm" TargetMode="External"/><Relationship Id="rId195" Type="http://schemas.openxmlformats.org/officeDocument/2006/relationships/hyperlink" Target="https://www.sec.gov/Archives/edgar/data/718940/000119312526095004/R34.htm" TargetMode="External"/><Relationship Id="rId196" Type="http://schemas.openxmlformats.org/officeDocument/2006/relationships/hyperlink" Target="https://www.sec.gov/Archives/edgar/data/868675/000110465926013854/R125.htm" TargetMode="External"/><Relationship Id="rId197" Type="http://schemas.openxmlformats.org/officeDocument/2006/relationships/hyperlink" Target="https://www.sec.gov/Archives/edgar/data/868675/000110465926013854/R97.htm" TargetMode="External"/><Relationship Id="rId198" Type="http://schemas.openxmlformats.org/officeDocument/2006/relationships/hyperlink" Target="https://www.sec.gov/Archives/edgar/data/868675/000110465926013854/R75.htm" TargetMode="External"/><Relationship Id="rId199" Type="http://schemas.openxmlformats.org/officeDocument/2006/relationships/hyperlink" Target="https://www.sec.gov/Archives/edgar/data/733099/000073309926000009/R104.htm" TargetMode="External"/><Relationship Id="rId200" Type="http://schemas.openxmlformats.org/officeDocument/2006/relationships/hyperlink" Target="https://www.telecomtv.com/content/access-evolution/orange-2025-results-success-of-lead-the-future-2023-2025-strategic-plan-2025-objectives-fully-achieved-54885/" TargetMode="External"/><Relationship Id="rId201" Type="http://schemas.openxmlformats.org/officeDocument/2006/relationships/hyperlink" Target="https://www.sec.gov/Archives/edgar/data/732717/000073271726000372/R6.htm" TargetMode="External"/><Relationship Id="rId202" Type="http://schemas.openxmlformats.org/officeDocument/2006/relationships/hyperlink" Target="https://www.sec.gov/Archives/edgar/data/732717/000073271726000120/R26.htm" TargetMode="External"/><Relationship Id="rId203" Type="http://schemas.openxmlformats.org/officeDocument/2006/relationships/hyperlink" Target="https://www.sec.gov/Archives/edgar/data/732717/000073271726000372/t-20260930.htm" TargetMode="External"/><Relationship Id="rId204" Type="http://schemas.openxmlformats.org/officeDocument/2006/relationships/hyperlink" Target="https://www.sec.gov/Archives/edgar/data/732717/000073271726000370/t-3q2026exhibit991.htm" TargetMode="External"/><Relationship Id="rId205" Type="http://schemas.openxmlformats.org/officeDocument/2006/relationships/hyperlink" Target="https://www.sec.gov/Archives/edgar/data/732717/000073271726000370/t-3q2026exhibit993.htm" TargetMode="External"/><Relationship Id="rId206" Type="http://schemas.openxmlformats.org/officeDocument/2006/relationships/hyperlink" Target="https://www.sec.gov/Archives/edgar/data/732717/000073271726000047/t-4q2025exhibit994.htm" TargetMode="External"/><Relationship Id="rId207" Type="http://schemas.openxmlformats.org/officeDocument/2006/relationships/hyperlink" Target="https://www.sec.gov/Archives/edgar/data/732717/000073271726000047/t-4q2025exhibit991.htm" TargetMode="External"/><Relationship Id="rId208" Type="http://schemas.openxmlformats.org/officeDocument/2006/relationships/hyperlink" Target="https://www.sec.gov/Archives/edgar/data/732717/000073271726000047/t-4q2025exhibit992.htm" TargetMode="External"/><Relationship Id="rId209" Type="http://schemas.openxmlformats.org/officeDocument/2006/relationships/hyperlink" Target="https://www.sec.gov/Archives/edgar/data/732717/000073271725000007/t-4q2024exhibit991.htm" TargetMode="External"/><Relationship Id="rId210" Type="http://schemas.openxmlformats.org/officeDocument/2006/relationships/hyperlink" Target="https://www.sec.gov/Archives/edgar/data/732717/000073271724000006/t-4q2023exhibit991.htm" TargetMode="External"/><Relationship Id="rId211" Type="http://schemas.openxmlformats.org/officeDocument/2006/relationships/hyperlink" Target="https://www.sec.gov/Archives/edgar/data/732717/000073271723000007/t-4q2022exhibit991.htm" TargetMode="External"/><Relationship Id="rId212" Type="http://schemas.openxmlformats.org/officeDocument/2006/relationships/hyperlink" Target="https://www.sec.gov/Archives/edgar/data/732717/000073271726000120/t-20251231.htm" TargetMode="External"/><Relationship Id="rId213" Type="http://schemas.openxmlformats.org/officeDocument/2006/relationships/hyperlink" Target="https://api.nasdaq.com/api/analyst/T/earnings-forecast" TargetMode="External"/><Relationship Id="rId214" Type="http://schemas.openxmlformats.org/officeDocument/2006/relationships/hyperlink" Target="https://finance.yahoo.com/quote/T/history/" TargetMode="External"/><Relationship Id="rId215" Type="http://schemas.openxmlformats.org/officeDocument/2006/relationships/hyperlink" Target="https://polymarket.com/event/spacex-becomes-a-us-mobile-carrier-by" TargetMode="External"/><Relationship Id="rId216" Type="http://schemas.openxmlformats.org/officeDocument/2006/relationships/hyperlink" Target="https://polymarket.com/event/t-mobile-us-spacex-mergeracquisition-announced-in-2026-20260701221224490" TargetMode="External"/><Relationship Id="rId217" Type="http://schemas.openxmlformats.org/officeDocument/2006/relationships/hyperlink" Target="https://www.tikr.com/blog/att-stock-falls-5-after-raising-its-eps-outlook-why-did-investors-wipe-out-8-billion-anyway" TargetMode="External"/><Relationship Id="rId218" Type="http://schemas.openxmlformats.org/officeDocument/2006/relationships/hyperlink" Target="https://www.tikr.com/blog/spacex-takes-aim-at-att-as-its-ceo-insists-nothing-beats-fiber" TargetMode="External"/><Relationship Id="rId219" Type="http://schemas.openxmlformats.org/officeDocument/2006/relationships/hyperlink" Target="https://www.investing.com/analysis/spacexs-80-billion-wireless-ambition-threatens-att-verizon-and-tmobile-200690161" TargetMode="External"/><Relationship Id="rId220" Type="http://schemas.openxmlformats.org/officeDocument/2006/relationships/hyperlink" Target="https://www.earningswhispers.com/article/T/r186" TargetMode="External"/><Relationship Id="rId221" Type="http://schemas.openxmlformats.org/officeDocument/2006/relationships/hyperlink" Target="https://teslanorth.com/2026/10/23/carriers-fcc-starlink-mobile-5g-bands/" TargetMode="External"/><Relationship Id="rId222" Type="http://schemas.openxmlformats.org/officeDocument/2006/relationships/hyperlink" Target="https://jobs.thrivecap.com/companies/spacex/jobs/95918895-sr-ran-integration-engineer-starlink-mobile" TargetMode="External"/><Relationship Id="rId223" Type="http://schemas.openxmlformats.org/officeDocument/2006/relationships/hyperlink" Target="https://jobs.thrivecap.com/companies/spacex/jobs/89029229-sr-ran-software-engineer-starlink-mobile" TargetMode="External"/><Relationship Id="rId224" Type="http://schemas.openxmlformats.org/officeDocument/2006/relationships/hyperlink" Target="https://job-boards.greenhouse.io/spacex/jobs/8480497002" TargetMode="External"/><Relationship Id="rId225" Type="http://schemas.openxmlformats.org/officeDocument/2006/relationships/hyperlink" Target="https://www.phonearena.com/news/at-t-t-mobile-verizon-starlink-consumer-survey-td-cowen_id183837" TargetMode="External"/><Relationship Id="rId226" Type="http://schemas.openxmlformats.org/officeDocument/2006/relationships/hyperlink" Target="https://www.fierce-network.com/wireless/starlink-mobile-faces-consumer-resistance-survey-says" TargetMode="External"/><Relationship Id="rId227" Type="http://schemas.openxmlformats.org/officeDocument/2006/relationships/hyperlink" Target="https://www.phonearena.com/news/t-mobile-att-verizon-users-reveal-what-would-make-them-switch-to-starlink-mobile_id183864" TargetMode="External"/><Relationship Id="rId228" Type="http://schemas.openxmlformats.org/officeDocument/2006/relationships/hyperlink" Target="https://9to5mac.com/2026/04/01/psa-legacy-att-unlimited-plans-face-price-hikes-and-its-a-mess/" TargetMode="External"/><Relationship Id="rId229" Type="http://schemas.openxmlformats.org/officeDocument/2006/relationships/hyperlink" Target="https://www.droid-life.com/2026/06/23/your-att-bill-is-going-up/" TargetMode="External"/><Relationship Id="rId230" Type="http://schemas.openxmlformats.org/officeDocument/2006/relationships/hyperlink" Target="https://techblog.comsoc.org/2026/04/22/analysis-att-1q-2026-results-increased-fiber-penetration-fwa-momentum-d2d-deals-and-mobile-home-internet-bundle-adoption/" TargetMode="External"/><Relationship Id="rId231" Type="http://schemas.openxmlformats.org/officeDocument/2006/relationships/hyperlink" Target="https://www.insidermonkey.com/blog/att-t-bulks-up-its-spectrum-as-spacex-fears-ease-1807099/" TargetMode="External"/><Relationship Id="rId232" Type="http://schemas.openxmlformats.org/officeDocument/2006/relationships/hyperlink" Target="https://www.androidauthority.com/t-mobile-fastest-verizon-widest-ookla-opensignal-report-3690121/" TargetMode="External"/><Relationship Id="rId233" Type="http://schemas.openxmlformats.org/officeDocument/2006/relationships/hyperlink" Target="https://www.sec.gov/Archives/edgar/data/732717/000073271726000372/R17.htm" TargetMode="External"/><Relationship Id="rId234" Type="http://schemas.openxmlformats.org/officeDocument/2006/relationships/hyperlink" Target="https://www.sec.gov/Archives/edgar/data/732717/000073271726000372/R63.htm" TargetMode="External"/><Relationship Id="rId235" Type="http://schemas.openxmlformats.org/officeDocument/2006/relationships/hyperlink" Target="https://finviz.com/news/395407/att-declares-dividends-on-common-and-preferred-shares" TargetMode="External"/><Relationship Id="rId236" Type="http://schemas.openxmlformats.org/officeDocument/2006/relationships/hyperlink" Target="https://www.sec.gov/newsroom/press-releases/2023-29" TargetMode="External"/><Relationship Id="rId237" Type="http://schemas.openxmlformats.org/officeDocument/2006/relationships/hyperlink" Target="https://www.tvtechnology.com/regulatory-legal/fcc-adopts-plan-for-c-band-auction-in-july-2027" TargetMode="External"/><Relationship Id="rId238" Type="http://schemas.openxmlformats.org/officeDocument/2006/relationships/hyperlink" Target="https://www.newscaststudio.com/2026/07/22/fcc-adopts-rules-for-upper-c-band-auction-sets-stage-for-440-mhz-super-band/" TargetMode="External"/><Relationship Id="rId239" Type="http://schemas.openxmlformats.org/officeDocument/2006/relationships/hyperlink" Target="https://wccftech.com/spacex-can-unleash-a-brutal-bidding-war-upon-att-verizon-and-t-mobile-as-the-fcc-dangles-160-mhz-of-prized-c-band-spectrum/" TargetMode="External"/><Relationship Id="rId240" Type="http://schemas.openxmlformats.org/officeDocument/2006/relationships/hyperlink" Target="https://investors.att.com/~/media/Files/A/ATT-IR-V2/financial-reports/quarterly-earnings/2026/3Q-2026/t-usq-transcript-2026-10-21.pdf" TargetMode="External"/><Relationship Id="rId241" Type="http://schemas.openxmlformats.org/officeDocument/2006/relationships/hyperlink" Target="https://www.sec.gov/Archives/edgar/data/732717/000073271726000047/t-4q2025exhibit993.htm" TargetMode="External"/><Relationship Id="rId242" Type="http://schemas.openxmlformats.org/officeDocument/2006/relationships/hyperlink" Target="https://www.marketscreener.com/quote/stock/AT-T-INC-14324/finances/" TargetMode="External"/><Relationship Id="rId243" Type="http://schemas.openxmlformats.org/officeDocument/2006/relationships/hyperlink" Target="https://www.marketscreener.com/quote/stock/VERIZON-COMMUNICATIONS-IN-4830/valuation/" TargetMode="External"/><Relationship Id="rId244" Type="http://schemas.openxmlformats.org/officeDocument/2006/relationships/hyperlink" Target="https://www.marketscreener.com/quote/stock/T-MOBILE-US-INC-199910225/valuation/" TargetMode="External"/><Relationship Id="rId245" Type="http://schemas.openxmlformats.org/officeDocument/2006/relationships/hyperlink" Target="https://www.marketscreener.com/quote/stock/COMCAST-CORPORATION-4864/valuation/" TargetMode="External"/><Relationship Id="rId246" Type="http://schemas.openxmlformats.org/officeDocument/2006/relationships/hyperlink" Target="https://www.marketscreener.com/quote/stock/CHARTER-COMMUNICATIONS-IN-27738754/valuation/" TargetMode="External"/><Relationship Id="rId247" Type="http://schemas.openxmlformats.org/officeDocument/2006/relationships/hyperlink" Target="https://www.marketscreener.com/quote/stock/BCE-INC-11783/valuation/" TargetMode="External"/><Relationship Id="rId248" Type="http://schemas.openxmlformats.org/officeDocument/2006/relationships/hyperlink" Target="https://www.marketscreener.com/quote/stock/TELUS-CORPORATION-1411858/valuation/" TargetMode="External"/><Relationship Id="rId249" Type="http://schemas.openxmlformats.org/officeDocument/2006/relationships/hyperlink" Target="https://www.marketscreener.com/quote/stock/ROGERS-COMMUNICATIONS-INC-1411426/valuation/" TargetMode="External"/><Relationship Id="rId250" Type="http://schemas.openxmlformats.org/officeDocument/2006/relationships/hyperlink" Target="https://www.marketscreener.com/quote/stock/DEUTSCHE-TELEKOM-AG-444661/valuation/" TargetMode="External"/><Relationship Id="rId251" Type="http://schemas.openxmlformats.org/officeDocument/2006/relationships/hyperlink" Target="https://www.marketscreener.com/quote/stock/ORANGE-4649/valuation/" TargetMode="External"/><Relationship Id="rId252" Type="http://schemas.openxmlformats.org/officeDocument/2006/relationships/hyperlink" Target="https://www.marketscreener.com/quote/stock/TELEF-NICA-S-A-68962/valuation/" TargetMode="External"/><Relationship Id="rId253" Type="http://schemas.openxmlformats.org/officeDocument/2006/relationships/hyperlink" Target="https://www.marketscreener.com/quote/stock/SWISSCOM-AG-441185/valuation/" TargetMode="External"/><Relationship Id="rId254" Type="http://schemas.openxmlformats.org/officeDocument/2006/relationships/hyperlink" Target="https://www.marketscreener.com/quote/stock/VODAFONE-GROUP-PLC-15867071/valuation/" TargetMode="External"/><Relationship Id="rId255" Type="http://schemas.openxmlformats.org/officeDocument/2006/relationships/hyperlink" Target="https://www.sec.gov/Archives/edgar/data/718940/000119312526095004/R114.htm" TargetMode="External"/><Relationship Id="rId256" Type="http://schemas.openxmlformats.org/officeDocument/2006/relationships/hyperlink" Target="https://www.sec.gov/Archives/edgar/data/718940/000119312526095004/R113.htm" TargetMode="External"/><Relationship Id="rId257" Type="http://schemas.openxmlformats.org/officeDocument/2006/relationships/hyperlink" Target="https://www.sec.gov/Archives/edgar/data/718940/000119312526095004/R34.htm" TargetMode="External"/><Relationship Id="rId258" Type="http://schemas.openxmlformats.org/officeDocument/2006/relationships/hyperlink" Target="https://www.sec.gov/Archives/edgar/data/868675/000110465926013854/R125.htm" TargetMode="External"/><Relationship Id="rId259" Type="http://schemas.openxmlformats.org/officeDocument/2006/relationships/hyperlink" Target="https://www.sec.gov/Archives/edgar/data/868675/000110465926013854/R97.htm" TargetMode="External"/><Relationship Id="rId260" Type="http://schemas.openxmlformats.org/officeDocument/2006/relationships/hyperlink" Target="https://www.sec.gov/Archives/edgar/data/868675/000110465926013854/R75.htm" TargetMode="External"/><Relationship Id="rId261" Type="http://schemas.openxmlformats.org/officeDocument/2006/relationships/hyperlink" Target="https://assets.ctfassets.net/fltupc9ltp8m/5XMfEtySOfXg9mh25TUeS/2b711837335ec72e214a6130cae20392/TELUS_2025_MD_A_and_Financial_Statements__EN.pdf" TargetMode="External"/><Relationship Id="rId262" Type="http://schemas.openxmlformats.org/officeDocument/2006/relationships/hyperlink" Target="https://www.sec.gov/Archives/edgar/data/733099/000073309926000009/R104.htm" TargetMode="External"/><Relationship Id="rId263" Type="http://schemas.openxmlformats.org/officeDocument/2006/relationships/hyperlink" Target="https://www.sec.gov/Archives/edgar/data/733099/000073309926000009/rci-20251231_d2.htm" TargetMode="External"/><Relationship Id="rId264" Type="http://schemas.openxmlformats.org/officeDocument/2006/relationships/hyperlink" Target="https://www.telecomtv.com/content/access-evolution/orange-2025-results-success-of-lead-the-future-2023-2025-strategic-plan-2025-objectives-fully-achieved-54885/" TargetMode="External"/><Relationship Id="rId265" Type="http://schemas.openxmlformats.org/officeDocument/2006/relationships/hyperlink" Target="https://www.sec.gov/Archives/edgar/data/732717/000073271726000372/R6.htm" TargetMode="External"/><Relationship Id="rId266" Type="http://schemas.openxmlformats.org/officeDocument/2006/relationships/hyperlink" Target="https://www.sec.gov/Archives/edgar/data/732717/000073271726000120/R26.htm" TargetMode="External"/><Relationship Id="rId267" Type="http://schemas.openxmlformats.org/officeDocument/2006/relationships/hyperlink" Target="https://www.sec.gov/Archives/edgar/data/732717/000073271726000370/t-3q2026exhibit991.htm" TargetMode="External"/><Relationship Id="rId268" Type="http://schemas.openxmlformats.org/officeDocument/2006/relationships/hyperlink" Target="https://www.sec.gov/Archives/edgar/data/732717/000073271726000370/t-3q2026exhibit992.htm" TargetMode="External"/><Relationship Id="rId269" Type="http://schemas.openxmlformats.org/officeDocument/2006/relationships/hyperlink" Target="https://www.sec.gov/Archives/edgar/data/732717/000073271726000370/t-3q2026exhibit993.htm" TargetMode="External"/><Relationship Id="rId270" Type="http://schemas.openxmlformats.org/officeDocument/2006/relationships/hyperlink" Target="https://www.sec.gov/Archives/edgar/data/732717/000073271726000372/t-20260930.htm" TargetMode="External"/><Relationship Id="rId271" Type="http://schemas.openxmlformats.org/officeDocument/2006/relationships/hyperlink" Target="https://www.sec.gov/Archives/edgar/data/732717/000073271726000047/t-4q2025exhibit991.htm" TargetMode="External"/><Relationship Id="rId272" Type="http://schemas.openxmlformats.org/officeDocument/2006/relationships/hyperlink" Target="https://www.sec.gov/Archives/edgar/data/732717/000073271726000046/t-4q20258xk801exhibit991.htm" TargetMode="External"/><Relationship Id="rId273" Type="http://schemas.openxmlformats.org/officeDocument/2006/relationships/hyperlink" Target="https://www.sec.gov/Archives/edgar/data/732717/000073271725000007/t-4q2024exhibit991.htm" TargetMode="External"/><Relationship Id="rId274" Type="http://schemas.openxmlformats.org/officeDocument/2006/relationships/hyperlink" Target="https://www.sec.gov/Archives/edgar/data/732717/000073271724000006/t-4q2023exhibit991.htm" TargetMode="External"/><Relationship Id="rId275" Type="http://schemas.openxmlformats.org/officeDocument/2006/relationships/hyperlink" Target="https://www.sec.gov/Archives/edgar/data/732717/000073271723000007/t-4q2022exhibit991.htm" TargetMode="External"/><Relationship Id="rId276" Type="http://schemas.openxmlformats.org/officeDocument/2006/relationships/hyperlink" Target="https://www.sec.gov/Archives/edgar/data/732717/000073271726000201/t-1q20268xk801exhibit991.htm" TargetMode="External"/><Relationship Id="rId277" Type="http://schemas.openxmlformats.org/officeDocument/2006/relationships/hyperlink" Target="https://www.sec.gov/Archives/edgar/data/732717/000073271726000120/t-20251231.htm" TargetMode="External"/><Relationship Id="rId278" Type="http://schemas.openxmlformats.org/officeDocument/2006/relationships/hyperlink" Target="https://api.nasdaq.com/api/analyst/T/earnings-forecast" TargetMode="External"/><Relationship Id="rId279" Type="http://schemas.openxmlformats.org/officeDocument/2006/relationships/hyperlink" Target="https://www.marketscreener.com/quote/stock/AT-T-INC-14324/finances/" TargetMode="External"/><Relationship Id="rId280" Type="http://schemas.openxmlformats.org/officeDocument/2006/relationships/hyperlink" Target="https://www.marketscreener.com/quote/stock/VERIZON-COMMUNICATIONS-IN-4830/finances/" TargetMode="External"/><Relationship Id="rId281" Type="http://schemas.openxmlformats.org/officeDocument/2006/relationships/hyperlink" Target="https://www.marketscreener.com/quote/stock/T-MOBILE-US-INC-24717887/finances/" TargetMode="External"/><Relationship Id="rId282" Type="http://schemas.openxmlformats.org/officeDocument/2006/relationships/hyperlink" Target="https://www.marketscreener.com/quote/stock/CHARTER-COMMUNICATIONS-IN-27738754/finances/" TargetMode="External"/><Relationship Id="rId283" Type="http://schemas.openxmlformats.org/officeDocument/2006/relationships/hyperlink" Target="https://www.marketscreener.com/quote/stock/COMCAST-CORPORATION-4864/finances/" TargetMode="External"/><Relationship Id="rId284" Type="http://schemas.openxmlformats.org/officeDocument/2006/relationships/hyperlink" Target="https://www.marketscreener.com/quote/stock/BCE-INC-1409161/finances/" TargetMode="External"/><Relationship Id="rId285" Type="http://schemas.openxmlformats.org/officeDocument/2006/relationships/hyperlink" Target="https://www.marketscreener.com/quote/stock/TELUS-CORPORATION-14408639/finances/" TargetMode="External"/><Relationship Id="rId286" Type="http://schemas.openxmlformats.org/officeDocument/2006/relationships/hyperlink" Target="https://www.marketscreener.com/quote/stock/ROGERS-COMMUNICATIONS-INC-1411426/finances/" TargetMode="External"/><Relationship Id="rId287" Type="http://schemas.openxmlformats.org/officeDocument/2006/relationships/hyperlink" Target="https://www.marketscreener.com/quote/stock/TELEF-NICA-S-A-68962/finances/" TargetMode="External"/><Relationship Id="rId288" Type="http://schemas.openxmlformats.org/officeDocument/2006/relationships/hyperlink" Target="https://www.marketscreener.com/quote/stock/DEUTSCHE-TELEKOM-AG-444661/finances/" TargetMode="External"/><Relationship Id="rId289" Type="http://schemas.openxmlformats.org/officeDocument/2006/relationships/hyperlink" Target="https://www.marketscreener.com/quote/stock/ORANGE-4649/finances/" TargetMode="External"/><Relationship Id="rId290" Type="http://schemas.openxmlformats.org/officeDocument/2006/relationships/hyperlink" Target="https://polymarket.com/event/spacex-becomes-a-us-mobile-carrier-by" TargetMode="External"/><Relationship Id="rId291" Type="http://schemas.openxmlformats.org/officeDocument/2006/relationships/hyperlink" Target="https://polymarket.com/event/fed-rate-cut-by-629" TargetMode="External"/><Relationship Id="rId292" Type="http://schemas.openxmlformats.org/officeDocument/2006/relationships/hyperlink" Target="https://polymarket.com/event/t-mobile-us-spacex-mergeracquisition-announced-in-2026-20260701221224490" TargetMode="External"/><Relationship Id="rId293" Type="http://schemas.openxmlformats.org/officeDocument/2006/relationships/hyperlink" Target="https://query1.finance.yahoo.com/v8/finance/chart/T?period1=631152000&amp;period2=1793500000&amp;interval=1d" TargetMode="External"/><Relationship Id="rId294" Type="http://schemas.openxmlformats.org/officeDocument/2006/relationships/hyperlink" Target="https://query1.finance.yahoo.com/v8/finance/chart/VZ?period1=631152000&amp;period2=1793500000&amp;interval=1d" TargetMode="External"/><Relationship Id="rId295" Type="http://schemas.openxmlformats.org/officeDocument/2006/relationships/hyperlink" Target="https://query1.finance.yahoo.com/v8/finance/chart/CMCSA?period1=631152000&amp;period2=1793500000&amp;interval=1d" TargetMode="External"/><Relationship Id="rId296" Type="http://schemas.openxmlformats.org/officeDocument/2006/relationships/hyperlink" Target="https://query1.finance.yahoo.com/v8/finance/chart/TMUS?period1=631152000&amp;period2=1793500000&amp;interval=1d" TargetMode="External"/><Relationship Id="rId297" Type="http://schemas.openxmlformats.org/officeDocument/2006/relationships/hyperlink" Target="https://query1.finance.yahoo.com/v8/finance/chart/BCE?period1=631152000&amp;period2=1793500000&amp;interval=1d" TargetMode="External"/><Relationship Id="rId298" Type="http://schemas.openxmlformats.org/officeDocument/2006/relationships/hyperlink" Target="https://query1.finance.yahoo.com/v8/finance/chart/CHTR?period1=631152000&amp;period2=1793500000&amp;interval=1d" TargetMode="External"/><Relationship Id="rId299" Type="http://schemas.openxmlformats.org/officeDocument/2006/relationships/hyperlink" Target="https://fred.stlouisfed.org/series/DGS10" TargetMode="External"/><Relationship Id="rId300" Type="http://schemas.openxmlformats.org/officeDocument/2006/relationships/hyperlink" Target="https://tickerleague.com/companies/T/financials/ev-ebitda" TargetMode="External"/><Relationship Id="rId301" Type="http://schemas.openxmlformats.org/officeDocument/2006/relationships/hyperlink" Target="https://www.tikr.com/blog/att-stock-falls-5-after-raising-its-eps-outlook-why-did-investors-wipe-out-8-billion-anyway" TargetMode="External"/><Relationship Id="rId302" Type="http://schemas.openxmlformats.org/officeDocument/2006/relationships/hyperlink" Target="https://mobilityarena.com/spacex-800-mhz-spectrum-starlink-mobile/" TargetMode="External"/><Relationship Id="rId303" Type="http://schemas.openxmlformats.org/officeDocument/2006/relationships/hyperlink" Target="https://finance.yahoo.com/markets/stocks/articles/telecom-stocks-fall-spacex-eyes-134838815.html" TargetMode="External"/><Relationship Id="rId304" Type="http://schemas.openxmlformats.org/officeDocument/2006/relationships/hyperlink" Target="https://www.lightreading.com/finance/at-t-follows-telef-nica-out-of-mexico-with-2b-sale" TargetMode="External"/><Relationship Id="rId305" Type="http://schemas.openxmlformats.org/officeDocument/2006/relationships/hyperlink" Target="https://www.lightreading.com/satellite/t-mobile-rips-into-starlink-s-mobile-threat-" TargetMode="External"/><Relationship Id="rId306" Type="http://schemas.openxmlformats.org/officeDocument/2006/relationships/hyperlink" Target="https://stocktwits.com/news-articles/markets/equity/at-and-t-ceo-says-spacex-low-band-spectrum-isnt-cause-to-over-rotate/cZxMPwKRBvh" TargetMode="External"/><Relationship Id="rId307" Type="http://schemas.openxmlformats.org/officeDocument/2006/relationships/hyperlink" Target="https://www.journaldunet.com/ebusiness/telecoms-fai/1123868-l-effet-free-mobile-fait-fondre-les-factures-mobiles-de-11-4-en-2012/" TargetMode="External"/><Relationship Id="rId308" Type="http://schemas.openxmlformats.org/officeDocument/2006/relationships/hyperlink" Target="https://telecomtalk.info/?p=167001" TargetMode="External"/><Relationship Id="rId309" Type="http://schemas.openxmlformats.org/officeDocument/2006/relationships/hyperlink" Target="https://secure.businesswire.com/news/home/20260917015300/en/T-Mobile-to-Host-Q3-2026-Earnings-Call-on-October-28-2026" TargetMode="External"/><Relationship Id="rId310" Type="http://schemas.openxmlformats.org/officeDocument/2006/relationships/hyperlink" Target="https://www.sec.gov/Archives/edgar/data/732717/000073271726000047/t-4q2025exhibit994.htm" TargetMode="External"/><Relationship Id="rId311" Type="http://schemas.openxmlformats.org/officeDocument/2006/relationships/hyperlink" Target="https://www.sec.gov/Archives/edgar/data/732717/000073271726000372/R17.htm" TargetMode="External"/><Relationship Id="rId312" Type="http://schemas.openxmlformats.org/officeDocument/2006/relationships/hyperlink" Target="https://www.sec.gov/Archives/edgar/data/732717/000073271726000372/R63.htm" TargetMode="External"/><Relationship Id="rId313" Type="http://schemas.openxmlformats.org/officeDocument/2006/relationships/hyperlink" Target="https://investors.att.com/~/media/Files/A/ATT-IR-V2/financial-reports/quarterly-earnings/2026/3Q-2026/t-usq-transcript-2026-10-21.pdf" TargetMode="External"/><Relationship Id="rId314" Type="http://schemas.openxmlformats.org/officeDocument/2006/relationships/hyperlink" Target="https://finviz.com/news/395407/att-declares-dividends-on-common-and-preferred-shares" TargetMode="External"/><Relationship Id="rId315" Type="http://schemas.openxmlformats.org/officeDocument/2006/relationships/hyperlink" Target="https://www.sec.gov/newsroom/press-releases/2023-29" TargetMode="External"/><Relationship Id="rId316" Type="http://schemas.openxmlformats.org/officeDocument/2006/relationships/hyperlink" Target="https://www.joneswalker.com/en/insights/blogs/perspectives/fcc-opens-the-door-to-auction-115-how-the-upper-c-band-auction-could-shape-the-n.html" TargetMode="External"/><Relationship Id="rId317" Type="http://schemas.openxmlformats.org/officeDocument/2006/relationships/hyperlink" Target="https://docs.fcc.gov/public/attachments/DOC-423286A1.txt" TargetMode="External"/><Relationship Id="rId318" Type="http://schemas.openxmlformats.org/officeDocument/2006/relationships/hyperlink" Target="https://benton.org/headlines/fcc-announces-winning-bidders-c-band-auction" TargetMode="External"/><Relationship Id="rId319" Type="http://schemas.openxmlformats.org/officeDocument/2006/relationships/hyperlink" Target="https://www.tvtechnology.com/regulatory-legal/fcc/fcc-raises-usd3-5-billion-in-aws-3-wireless-auction" TargetMode="External"/><Relationship Id="rId320" Type="http://schemas.openxmlformats.org/officeDocument/2006/relationships/hyperlink" Target="https://www.marketscreener.com/quote/stock/VERIZON-COMMUNICATIONS-IN-4830/valuation/" TargetMode="External"/><Relationship Id="rId321" Type="http://schemas.openxmlformats.org/officeDocument/2006/relationships/hyperlink" Target="https://www.marketscreener.com/quote/stock/T-MOBILE-US-INC-199910225/valuation/" TargetMode="External"/><Relationship Id="rId322" Type="http://schemas.openxmlformats.org/officeDocument/2006/relationships/hyperlink" Target="https://www.marketscreener.com/quote/stock/COMCAST-CORPORATION-4864/valuation/" TargetMode="External"/><Relationship Id="rId323" Type="http://schemas.openxmlformats.org/officeDocument/2006/relationships/hyperlink" Target="https://www.marketscreener.com/quote/stock/CHARTER-COMMUNICATIONS-IN-27738754/valuation/" TargetMode="External"/><Relationship Id="rId324" Type="http://schemas.openxmlformats.org/officeDocument/2006/relationships/hyperlink" Target="https://www.marketscreener.com/quote/stock/BCE-INC-11783/valuation/" TargetMode="External"/><Relationship Id="rId325" Type="http://schemas.openxmlformats.org/officeDocument/2006/relationships/hyperlink" Target="https://www.marketscreener.com/quote/stock/TELUS-CORPORATION-1411858/valuation/" TargetMode="External"/><Relationship Id="rId326" Type="http://schemas.openxmlformats.org/officeDocument/2006/relationships/hyperlink" Target="https://www.marketscreener.com/quote/stock/ROGERS-COMMUNICATIONS-INC-1411426/valuation/" TargetMode="External"/><Relationship Id="rId327" Type="http://schemas.openxmlformats.org/officeDocument/2006/relationships/hyperlink" Target="https://www.marketscreener.com/quote/stock/DEUTSCHE-TELEKOM-AG-444661/valuation/" TargetMode="External"/><Relationship Id="rId328" Type="http://schemas.openxmlformats.org/officeDocument/2006/relationships/hyperlink" Target="https://www.marketscreener.com/quote/stock/ORANGE-4649/valuation/" TargetMode="External"/><Relationship Id="rId329" Type="http://schemas.openxmlformats.org/officeDocument/2006/relationships/hyperlink" Target="https://www.marketscreener.com/quote/stock/TELEF-NICA-S-A-68962/valuation/" TargetMode="External"/><Relationship Id="rId330" Type="http://schemas.openxmlformats.org/officeDocument/2006/relationships/hyperlink" Target="https://www.marketscreener.com/quote/stock/SWISSCOM-AG-441185/valuation/" TargetMode="External"/><Relationship Id="rId331" Type="http://schemas.openxmlformats.org/officeDocument/2006/relationships/hyperlink" Target="https://www.marketscreener.com/quote/stock/VODAFONE-GROUP-PLC-15867071/valuation/" TargetMode="External"/><Relationship Id="rId332" Type="http://schemas.openxmlformats.org/officeDocument/2006/relationships/hyperlink" Target="https://doi.org/10.1016/0304-405X(94)00798-6" TargetMode="External"/><Relationship Id="rId333" Type="http://schemas.openxmlformats.org/officeDocument/2006/relationships/hyperlink" Target="https://www.sec.gov/Archives/edgar/data/718940/000119312526095004/R114.htm" TargetMode="External"/><Relationship Id="rId334" Type="http://schemas.openxmlformats.org/officeDocument/2006/relationships/hyperlink" Target="https://www.sec.gov/Archives/edgar/data/718940/000119312526095004/R113.htm" TargetMode="External"/><Relationship Id="rId335" Type="http://schemas.openxmlformats.org/officeDocument/2006/relationships/hyperlink" Target="https://www.sec.gov/Archives/edgar/data/718940/000119312526095004/R34.htm" TargetMode="External"/><Relationship Id="rId336" Type="http://schemas.openxmlformats.org/officeDocument/2006/relationships/hyperlink" Target="https://www.sec.gov/Archives/edgar/data/868675/000110465926013854/R125.htm" TargetMode="External"/><Relationship Id="rId337" Type="http://schemas.openxmlformats.org/officeDocument/2006/relationships/hyperlink" Target="https://www.sec.gov/Archives/edgar/data/868675/000110465926013854/R97.htm" TargetMode="External"/><Relationship Id="rId338" Type="http://schemas.openxmlformats.org/officeDocument/2006/relationships/hyperlink" Target="https://www.sec.gov/Archives/edgar/data/868675/000110465926013854/R75.htm" TargetMode="External"/><Relationship Id="rId339" Type="http://schemas.openxmlformats.org/officeDocument/2006/relationships/hyperlink" Target="https://assets.ctfassets.net/fltupc9ltp8m/5XMfEtySOfXg9mh25TUeS/2b711837335ec72e214a6130cae20392/TELUS_2025_MD_A_and_Financial_Statements__EN.pdf" TargetMode="External"/><Relationship Id="rId340" Type="http://schemas.openxmlformats.org/officeDocument/2006/relationships/hyperlink" Target="https://www.sec.gov/Archives/edgar/data/733099/000073309926000009/R104.htm" TargetMode="External"/><Relationship Id="rId341" Type="http://schemas.openxmlformats.org/officeDocument/2006/relationships/hyperlink" Target="https://www.sec.gov/Archives/edgar/data/733099/000073309926000009/rci-20251231_d2.htm" TargetMode="External"/><Relationship Id="rId342" Type="http://schemas.openxmlformats.org/officeDocument/2006/relationships/hyperlink" Target="https://www.telecomtv.com/content/access-evolution/orange-2025-results-success-of-lead-the-future-2023-2025-strategic-plan-2025-objectives-fully-achieved-54885/" TargetMode="External"/><Relationship Id="rId343" Type="http://schemas.openxmlformats.org/officeDocument/2006/relationships/hyperlink" Target="https://www.sec.gov/Archives/edgar/data/732717/000073271726000372/t-20260930.htm" TargetMode="External"/><Relationship Id="rId344" Type="http://schemas.openxmlformats.org/officeDocument/2006/relationships/hyperlink" Target="https://www.sec.gov/Archives/edgar/data/732717/000073271726000372/R17.htm" TargetMode="External"/><Relationship Id="rId345" Type="http://schemas.openxmlformats.org/officeDocument/2006/relationships/hyperlink" Target="https://www.sec.gov/Archives/edgar/data/732717/000073271726000372/R63.htm" TargetMode="External"/><Relationship Id="rId346" Type="http://schemas.openxmlformats.org/officeDocument/2006/relationships/hyperlink" Target="https://www.sec.gov/Archives/edgar/data/732717/000073271726000370/t-3q2026exhibit991.htm" TargetMode="External"/><Relationship Id="rId347" Type="http://schemas.openxmlformats.org/officeDocument/2006/relationships/hyperlink" Target="https://www.sec.gov/Archives/edgar/data/732717/000073271726000370/t-3q2026exhibit992.htm" TargetMode="External"/><Relationship Id="rId348" Type="http://schemas.openxmlformats.org/officeDocument/2006/relationships/hyperlink" Target="https://www.sec.gov/Archives/edgar/data/732717/000073271726000370/t-3q2026exhibit993.htm" TargetMode="External"/><Relationship Id="rId349" Type="http://schemas.openxmlformats.org/officeDocument/2006/relationships/hyperlink" Target="https://investors.att.com/~/media/Files/A/ATT-IR-V2/financial-reports/quarterly-earnings/2026/3Q-2026/t-usq-transcript-2026-10-21.pdf" TargetMode="External"/><Relationship Id="rId350" Type="http://schemas.openxmlformats.org/officeDocument/2006/relationships/hyperlink" Target="https://www.sec.gov/Archives/edgar/data/732717/000073271726000047/t-4q2025exhibit991.htm" TargetMode="External"/><Relationship Id="rId351" Type="http://schemas.openxmlformats.org/officeDocument/2006/relationships/hyperlink" Target="https://www.sec.gov/Archives/edgar/data/732717/000073271726000047/t-4q2025exhibit994.htm" TargetMode="External"/><Relationship Id="rId352" Type="http://schemas.openxmlformats.org/officeDocument/2006/relationships/hyperlink" Target="https://www.sec.gov/Archives/edgar/data/732717/000073271726000047/t-4q2025exhibit992.htm" TargetMode="External"/><Relationship Id="rId353" Type="http://schemas.openxmlformats.org/officeDocument/2006/relationships/hyperlink" Target="https://www.sec.gov/Archives/edgar/data/732717/000073271725000007/t-4q2024exhibit991.htm" TargetMode="External"/><Relationship Id="rId354" Type="http://schemas.openxmlformats.org/officeDocument/2006/relationships/hyperlink" Target="https://www.sec.gov/Archives/edgar/data/732717/000073271724000006/t-4q2023exhibit991.htm" TargetMode="External"/><Relationship Id="rId355" Type="http://schemas.openxmlformats.org/officeDocument/2006/relationships/hyperlink" Target="https://www.sec.gov/Archives/edgar/data/732717/000073271726000120/t-20251231.htm" TargetMode="External"/><Relationship Id="rId356" Type="http://schemas.openxmlformats.org/officeDocument/2006/relationships/hyperlink" Target="https://finviz.com/news/395407/att-declares-dividends-on-common-and-preferred-shares" TargetMode="External"/><Relationship Id="rId357" Type="http://schemas.openxmlformats.org/officeDocument/2006/relationships/hyperlink" Target="https://fool.com/investing/2026/10/23/why-att-stock-plunged-on-friday" TargetMode="External"/><Relationship Id="rId358" Type="http://schemas.openxmlformats.org/officeDocument/2006/relationships/hyperlink" Target="https://247wallst.com/investing/2026/10/23/telecom-stocks-fall-as-spacex-eyes-80000-cell-sites-t-mobile-sinks-5-att-drops-4-verizon-slides-3/" TargetMode="External"/><Relationship Id="rId359" Type="http://schemas.openxmlformats.org/officeDocument/2006/relationships/hyperlink" Target="https://www.benzinga.com/node/62281475" TargetMode="External"/><Relationship Id="rId360" Type="http://schemas.openxmlformats.org/officeDocument/2006/relationships/hyperlink" Target="https://www.lw.com/en/news/2026/10/latham-watkins-advises-on-grain-management-definitive-agreement-to-sell-spectrum-portfolio-to-spacex" TargetMode="External"/><Relationship Id="rId361" Type="http://schemas.openxmlformats.org/officeDocument/2006/relationships/hyperlink" Target="https://www.marketscreener.com/quote/stock/AT-T-INC-14324/finances/" TargetMode="External"/><Relationship Id="rId362" Type="http://schemas.openxmlformats.org/officeDocument/2006/relationships/hyperlink" Target="https://www.marketscreener.com/quote/stock/VERIZON-COMMUNICATIONS-IN-4830/valuation/" TargetMode="External"/><Relationship Id="rId363" Type="http://schemas.openxmlformats.org/officeDocument/2006/relationships/hyperlink" Target="https://api.nasdaq.com/api/analyst/T/earnings-forecast" TargetMode="External"/><Relationship Id="rId364" Type="http://schemas.openxmlformats.org/officeDocument/2006/relationships/hyperlink" Target="https://www.tvtechnology.com/regulatory-legal/fcc-adopts-plan-for-c-band-auction-in-july-2027" TargetMode="External"/><Relationship Id="rId365" Type="http://schemas.openxmlformats.org/officeDocument/2006/relationships/hyperlink" Target="https://www.newscaststudio.com/2026/07/22/fcc-adopts-rules-for-upper-c-band-auction-sets-stage-for-440-mhz-super-band/" TargetMode="External"/><Relationship Id="rId366" Type="http://schemas.openxmlformats.org/officeDocument/2006/relationships/hyperlink" Target="https://polymarket.com/event/spacex-becomes-a-us-mobile-carrier-by" TargetMode="External"/><Relationship Id="rId367" Type="http://schemas.openxmlformats.org/officeDocument/2006/relationships/hyperlink" Target="https://www.marketscreener.com/quote/stock/T-MOBILE-US-INC-199910225/valuation/" TargetMode="External"/><Relationship Id="rId368" Type="http://schemas.openxmlformats.org/officeDocument/2006/relationships/hyperlink" Target="https://www.marketscreener.com/quote/stock/COMCAST-CORPORATION-4864/valuation/" TargetMode="External"/><Relationship Id="rId369" Type="http://schemas.openxmlformats.org/officeDocument/2006/relationships/hyperlink" Target="https://www.marketscreener.com/quote/stock/CHARTER-COMMUNICATIONS-IN-27738754/valuation/" TargetMode="External"/><Relationship Id="rId370" Type="http://schemas.openxmlformats.org/officeDocument/2006/relationships/hyperlink" Target="https://www.marketscreener.com/quote/stock/BCE-INC-11783/valuation/" TargetMode="External"/><Relationship Id="rId371" Type="http://schemas.openxmlformats.org/officeDocument/2006/relationships/hyperlink" Target="https://www.marketscreener.com/quote/stock/ROGERS-COMMUNICATIONS-INC-1411426/valuation/" TargetMode="External"/><Relationship Id="rId372" Type="http://schemas.openxmlformats.org/officeDocument/2006/relationships/hyperlink" Target="https://www.marketscreener.com/quote/stock/DEUTSCHE-TELEKOM-AG-444661/valuation/" TargetMode="External"/><Relationship Id="rId373" Type="http://schemas.openxmlformats.org/officeDocument/2006/relationships/hyperlink" Target="https://www.marketscreener.com/quote/stock/ORANGE-4649/valuation/" TargetMode="External"/><Relationship Id="rId374" Type="http://schemas.openxmlformats.org/officeDocument/2006/relationships/hyperlink" Target="https://www.sec.gov/newsroom/press-releases/2023-29" TargetMode="External"/><Relationship Id="rId375" Type="http://schemas.openxmlformats.org/officeDocument/2006/relationships/hyperlink" Target="https://doi.org/10.1016/0304-405X(94)00798-6" TargetMode="External"/><Relationship Id="rId376" Type="http://schemas.openxmlformats.org/officeDocument/2006/relationships/hyperlink" Target="https://www.verizon.com/about/news/verizon-q3-2026-earnings-report-date" TargetMode="External"/><Relationship Id="rId377" Type="http://schemas.openxmlformats.org/officeDocument/2006/relationships/hyperlink" Target="https://finviz.com/news/393276/t-mobile-to-host-q3-2026-earnings-call-on-october-28-2026" TargetMode="External"/><Relationship Id="rId378" Type="http://schemas.openxmlformats.org/officeDocument/2006/relationships/hyperlink" Target="https://www.phonearena.com/news/at-t-t-mobile-verizon-starlink-consumer-survey-td-cowen_id183837" TargetMode="External"/><Relationship Id="rId379" Type="http://schemas.openxmlformats.org/officeDocument/2006/relationships/hyperlink" Target="https://www.marketscreener.com/quote/stock/TELEF-NICA-S-A-68962/valuation/" TargetMode="External"/><Relationship Id="rId380" Type="http://schemas.openxmlformats.org/officeDocument/2006/relationships/hyperlink" Target="https://www.marketscreener.com/quote/stock/SWISSCOM-AG-441185/valuation/" TargetMode="External"/><Relationship Id="rId381" Type="http://schemas.openxmlformats.org/officeDocument/2006/relationships/hyperlink" Target="https://www.marketscreener.com/quote/stock/VODAFONE-GROUP-PLC-15867071/valuation/" TargetMode="External"/><Relationship Id="rId382" Type="http://schemas.openxmlformats.org/officeDocument/2006/relationships/hyperlink" Target="https://www.marketscreener.com/quote/stock/TELUS-CORPORATION-1411858/valuation/" TargetMode="External"/><Relationship Id="rId383" Type="http://schemas.openxmlformats.org/officeDocument/2006/relationships/hyperlink" Target="https://www.sec.gov/Archives/edgar/data/718940/000119312526095004/d86374dex992.htm" TargetMode="External"/><Relationship Id="rId384" Type="http://schemas.openxmlformats.org/officeDocument/2006/relationships/hyperlink" Target="https://assets.ctfassets.net/fltupc9ltp8m/5XMfEtySOfXg9mh25TUeS/2b711837335ec72e214a6130cae20392/TELUS_2025_MD_A_and_Financial_Statements__EN.pdf" TargetMode="External"/><Relationship Id="rId385" Type="http://schemas.openxmlformats.org/officeDocument/2006/relationships/hyperlink" Target="https://assets.ctfassets.net/fltupc9ltp8m/6yTBJyA0R6F67yWR3fnKfC/ad1a6418c93125dc78f3186ae32f4729/TELUS_Q4_2025_IR_Supplemental.pdf" TargetMode="External"/><Relationship Id="rId386" Type="http://schemas.openxmlformats.org/officeDocument/2006/relationships/hyperlink" Target="https://www.sec.gov/Archives/edgar/data/733099/000073309926000009/rci-20251231_d2.htm" TargetMode="External"/><Relationship Id="rId387" Type="http://schemas.openxmlformats.org/officeDocument/2006/relationships/hyperlink" Target="https://www.telekom.com/en/newsroom/latest-updates/media-information/2026/2/deutsche-telekom-outperforms-targets-for-2025" TargetMode="External"/><Relationship Id="rId388" Type="http://schemas.openxmlformats.org/officeDocument/2006/relationships/hyperlink" Target="https://www.orange.com/en/press-release/success-of-lead-the-future-2023-2025-strategic-plan-2025-objectives-fully-achieved-440051" TargetMode="External"/><Relationship Id="rId389" Type="http://schemas.openxmlformats.org/officeDocument/2006/relationships/hyperlink" Target="https://www.telefonica.com/en/communication-room/press-room/telefonica-accelerates-growth-quarter-2025-increases-revenues-adjusted-ebitda-free-cash-flow/" TargetMode="External"/><Relationship Id="rId390" Type="http://schemas.openxmlformats.org/officeDocument/2006/relationships/hyperlink" Target="https://www.swisscom.ch/de/about/investoren/kennzahlen/fuenfjahresuebersicht.html" TargetMode="External"/><Relationship Id="rId391" Type="http://schemas.openxmlformats.org/officeDocument/2006/relationships/hyperlink" Target="https://www.vodafone.com/~/media/Files/V/vodafone/corp/results-and-presentations/vodafone-fy26-preliminary-results.pdf" TargetMode="External"/><Relationship Id="rId392" Type="http://schemas.openxmlformats.org/officeDocument/2006/relationships/hyperlink" Target="https://docs.fcc.gov/public/attachments/DA-26-769A1.pdf" TargetMode="External"/><Relationship Id="rId393" Type="http://schemas.openxmlformats.org/officeDocument/2006/relationships/hyperlink" Target="https://www.joneswalker.com/en/insights/blogs/perspectives/fcc-opens-the-door-to-auction-115-how-the-upper-c-band-auction-could-shape-the-n.html" TargetMode="External"/><Relationship Id="rId394" Type="http://schemas.openxmlformats.org/officeDocument/2006/relationships/hyperlink" Target="https://benton.org/node/361225" TargetMode="External"/><Relationship Id="rId395" Type="http://schemas.openxmlformats.org/officeDocument/2006/relationships/hyperlink" Target="https://twelvedata.com/markets/stocks/T" TargetMode="External"/><Relationship Id="rId396" Type="http://schemas.openxmlformats.org/officeDocument/2006/relationships/hyperlink" Target="https://www.tikr.com/blog/verizon-stock-is-8-off-its-september-peak-heres-the-q3-test-its-ceo-set" TargetMode="External"/><Relationship Id="rId397" Type="http://schemas.openxmlformats.org/officeDocument/2006/relationships/hyperlink" Target="https://www.sec.gov/Archives/edgar/data/732717/000073271723000007/t-4q2022exhibit991.htm" TargetMode="External"/><Relationship Id="rId398" Type="http://schemas.openxmlformats.org/officeDocument/2006/relationships/hyperlink" Target="https://www.sec.gov/Archives/edgar/data/732717/000073271726000372/R6.htm" TargetMode="External"/><Relationship Id="rId399" Type="http://schemas.openxmlformats.org/officeDocument/2006/relationships/hyperlink" Target="https://www.sec.gov/Archives/edgar/data/732717/000073271726000120/R26.htm" TargetMode="External"/><Relationship Id="rId400" Type="http://schemas.openxmlformats.org/officeDocument/2006/relationships/hyperlink" Target="https://www.sec.gov/Archives/edgar/data/718940/000119312526095004/R114.htm" TargetMode="External"/><Relationship Id="rId401" Type="http://schemas.openxmlformats.org/officeDocument/2006/relationships/hyperlink" Target="https://www.sec.gov/Archives/edgar/data/718940/000119312526095004/R113.htm" TargetMode="External"/><Relationship Id="rId402" Type="http://schemas.openxmlformats.org/officeDocument/2006/relationships/hyperlink" Target="https://www.sec.gov/Archives/edgar/data/718940/000119312526095004/R34.htm" TargetMode="External"/><Relationship Id="rId403" Type="http://schemas.openxmlformats.org/officeDocument/2006/relationships/hyperlink" Target="https://www.sec.gov/Archives/edgar/data/868675/000110465926013854/R125.htm" TargetMode="External"/><Relationship Id="rId404" Type="http://schemas.openxmlformats.org/officeDocument/2006/relationships/hyperlink" Target="https://www.sec.gov/Archives/edgar/data/868675/000110465926013854/R97.htm" TargetMode="External"/><Relationship Id="rId405" Type="http://schemas.openxmlformats.org/officeDocument/2006/relationships/hyperlink" Target="https://www.sec.gov/Archives/edgar/data/868675/000110465926013854/R75.htm" TargetMode="External"/><Relationship Id="rId406" Type="http://schemas.openxmlformats.org/officeDocument/2006/relationships/hyperlink" Target="https://www.sec.gov/Archives/edgar/data/733099/000073309926000009/R104.htm" TargetMode="External"/><Relationship Id="rId407" Type="http://schemas.openxmlformats.org/officeDocument/2006/relationships/hyperlink" Target="https://www.telecomtv.com/content/access-evolution/orange-2025-results-success-of-lead-the-future-2023-2025-strategic-plan-2025-objectives-fully-achieved-54885/" TargetMode="External"/><Relationship Id="rId408" Type="http://schemas.openxmlformats.org/officeDocument/2006/relationships/hyperlink" Target="https://www.lightreading.com/5g/verizon-at-t-t-mobile-here-are-the-c-band-auction-results" TargetMode="External"/><Relationship Id="rId409" Type="http://schemas.openxmlformats.org/officeDocument/2006/relationships/hyperlink" Target="https://www.sec.gov/Archives/edgar/data/732717/000119312526318207/d101711dfwp.htm" TargetMode="External"/><Relationship Id="rId410" Type="http://schemas.openxmlformats.org/officeDocument/2006/relationships/hyperlink" Target="https://cordcuttersnews.com/fcc-agenda-targets-better-wireless-coverage-stronger-equipment-checks-and-rural-broadband-oversight/?amp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21.41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28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16.5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0.2837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21.7403460040127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Methods!C10</f>
        <v>23.878</v>
      </c>
      <c r="C18" s="13" t="n">
        <f aca="false">Methods!E10</f>
        <v>24.39</v>
      </c>
    </row>
    <row r="19" customFormat="false" ht="15" hidden="false" customHeight="false" outlineLevel="0" collapsed="false">
      <c r="A19" s="5" t="s">
        <v>30</v>
      </c>
      <c r="B19" s="13" t="n">
        <f aca="false">Methods!C15</f>
        <v>22.2435</v>
      </c>
      <c r="C19" s="13" t="n">
        <f aca="false">Methods!E15</f>
        <v>22.24</v>
      </c>
    </row>
    <row r="20" customFormat="false" ht="15" hidden="false" customHeight="false" outlineLevel="0" collapsed="false">
      <c r="A20" s="5" t="s">
        <v>31</v>
      </c>
      <c r="B20" s="13" t="n">
        <f aca="false">Methods!C21</f>
        <v>22.4565</v>
      </c>
      <c r="C20" s="13" t="n">
        <f aca="false">Methods!E21</f>
        <v>22.46</v>
      </c>
    </row>
    <row r="21" customFormat="false" ht="15" hidden="false" customHeight="false" outlineLevel="0" collapsed="false">
      <c r="A21" s="5" t="s">
        <v>32</v>
      </c>
      <c r="B21" s="13" t="n">
        <f aca="false">Methods!C27</f>
        <v>23.365</v>
      </c>
      <c r="C21" s="13" t="n">
        <f aca="false">Methods!E27</f>
        <v>23.48</v>
      </c>
    </row>
    <row r="22" customFormat="false" ht="15" hidden="false" customHeight="false" outlineLevel="0" collapsed="false">
      <c r="A22" s="5" t="s">
        <v>33</v>
      </c>
      <c r="B22" s="13" t="n">
        <f aca="false">Methods!C33</f>
        <v>22.827</v>
      </c>
      <c r="C22" s="13" t="n">
        <f aca="false">Methods!E33</f>
        <v>22.83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22.954</v>
      </c>
      <c r="C23" s="15" t="n">
        <f aca="false">AVERAGE(C18:C22)</f>
        <v>23.08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22.827</v>
      </c>
      <c r="C24" s="16" t="n">
        <f aca="false">MEDIAN(C18:C22)</f>
        <v>22.83</v>
      </c>
    </row>
    <row r="25" customFormat="false" ht="79.85" hidden="false" customHeight="false" outlineLevel="0" collapsed="false">
      <c r="A25" s="14" t="s">
        <v>36</v>
      </c>
      <c r="C25" s="17" t="n">
        <v>23.16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0.0817375058383933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21.9053832773137</v>
      </c>
      <c r="C29" s="6" t="n">
        <v>22.4259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26.4627006100477</v>
      </c>
      <c r="C30" s="6" t="n">
        <v>23.29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16.0358030549708</v>
      </c>
      <c r="C31" s="6" t="n">
        <v>16.6547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18.1753054845669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16.5</v>
      </c>
      <c r="C33" s="21" t="n">
        <v>16.6547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0.0231379391552411</v>
      </c>
      <c r="C34" s="18" t="n">
        <f aca="false">C29/Spot-1</f>
        <v>0.0474497898178421</v>
      </c>
    </row>
    <row r="35" customFormat="false" ht="15" hidden="false" customHeight="false" outlineLevel="0" collapsed="false">
      <c r="A35" s="5" t="s">
        <v>54</v>
      </c>
      <c r="C35" s="12" t="n">
        <v>0.5676</v>
      </c>
    </row>
    <row r="36" customFormat="false" ht="23.85" hidden="false" customHeight="false" outlineLevel="0" collapsed="false">
      <c r="A36" s="5" t="s">
        <v>55</v>
      </c>
      <c r="C36" s="6" t="n">
        <v>23.0462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5.35</v>
      </c>
      <c r="B6" s="24" t="n">
        <f aca="false">LN(A6)</f>
        <v>1.67709656090792</v>
      </c>
      <c r="C6" s="25" t="n">
        <v>1</v>
      </c>
      <c r="D6" s="25" t="n">
        <v>0.9989</v>
      </c>
      <c r="E6" s="25" t="n">
        <v>0.9989</v>
      </c>
      <c r="F6" s="25" t="n">
        <v>0.9979</v>
      </c>
      <c r="G6" s="25" t="n">
        <v>0.999</v>
      </c>
      <c r="H6" s="25" t="n">
        <v>0.9989</v>
      </c>
      <c r="I6" s="24" t="n">
        <f aca="false">AVERAGE(D6:H6)</f>
        <v>0.99872</v>
      </c>
      <c r="J6" s="25" t="n">
        <v>0.9989</v>
      </c>
      <c r="K6" s="24" t="n">
        <f aca="false">IF(AND(Sup_Used=1,ISNUMBER(J6)),J6,I6)</f>
        <v>0.99872</v>
      </c>
      <c r="L6" s="24" t="n">
        <f aca="false">LN(MIN(MAX(K6,0.0001),0.9999)/(1-MIN(MAX(K6,0.0001),0.9999)))</f>
        <v>6.65961438115084</v>
      </c>
      <c r="M6" s="16" t="n">
        <f aca="false">A6*EXP(-Platt_Shift)</f>
        <v>5.35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0.99872</v>
      </c>
      <c r="P6" s="24" t="n">
        <f aca="false">LN(MIN(MAX(C6,0.0001),0.9999)/(1-MIN(MAX(C6,0.0001),0.9999)))</f>
        <v>9.21024036697596</v>
      </c>
      <c r="Q6" s="16" t="n">
        <f aca="false">IF(Analyst_Median&gt;0,A6*Market_Median/Analyst_Median,A6)</f>
        <v>4.15395896862385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0.999971063050481</v>
      </c>
      <c r="T6" s="24" t="n">
        <f aca="false">W_Mkt*C6+W_Agents*O6</f>
        <v>0.9995776</v>
      </c>
      <c r="U6" s="27" t="n">
        <f aca="false">(1-W_Analyst)*T6+W_Analyst*S6</f>
        <v>0.9995776</v>
      </c>
      <c r="V6" s="24" t="n">
        <f aca="false">LN(MIN(MAX(U6,0.0001),0.9999)/(1-MIN(MAX(U6,0.0001),0.9999)))</f>
        <v>7.76913533633637</v>
      </c>
      <c r="W6" s="25" t="n">
        <v>0.9999</v>
      </c>
    </row>
    <row r="7" customFormat="false" ht="15" hidden="false" customHeight="false" outlineLevel="0" collapsed="false">
      <c r="A7" s="6" t="n">
        <v>8.56</v>
      </c>
      <c r="B7" s="24" t="n">
        <f aca="false">LN(A7)</f>
        <v>2.14710019015365</v>
      </c>
      <c r="C7" s="25" t="n">
        <v>0.999</v>
      </c>
      <c r="D7" s="25" t="n">
        <v>0.9966</v>
      </c>
      <c r="E7" s="25" t="n">
        <v>0.9967</v>
      </c>
      <c r="F7" s="25" t="n">
        <v>0.9924</v>
      </c>
      <c r="G7" s="25" t="n">
        <v>0.9978</v>
      </c>
      <c r="H7" s="25" t="n">
        <v>0.9967</v>
      </c>
      <c r="I7" s="24" t="n">
        <f aca="false">AVERAGE(D7:H7)</f>
        <v>0.99604</v>
      </c>
      <c r="J7" s="25" t="n">
        <v>0.9957</v>
      </c>
      <c r="K7" s="24" t="n">
        <f aca="false">IF(AND(Sup_Used=1,ISNUMBER(J7)),J7,I7)</f>
        <v>0.99604</v>
      </c>
      <c r="L7" s="24" t="n">
        <f aca="false">LN(MIN(MAX(K7,0.0001),0.9999)/(1-MIN(MAX(K7,0.0001),0.9999)))</f>
        <v>5.52754339215437</v>
      </c>
      <c r="M7" s="16" t="n">
        <f aca="false">A7*EXP(-Platt_Shift)</f>
        <v>8.56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0.99604</v>
      </c>
      <c r="P7" s="24" t="n">
        <f aca="false">LN(MIN(MAX(C7,0.0001),0.9999)/(1-MIN(MAX(C7,0.0001),0.9999)))</f>
        <v>6.90675477864855</v>
      </c>
      <c r="Q7" s="16" t="n">
        <f aca="false">IF(Analyst_Median&gt;0,A7*Market_Median/Analyst_Median,A7)</f>
        <v>6.64633434979815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0.999710445296524</v>
      </c>
      <c r="T7" s="24" t="n">
        <f aca="false">W_Mkt*C7+W_Agents*O7</f>
        <v>0.9980232</v>
      </c>
      <c r="U7" s="27" t="n">
        <f aca="false">(1-W_Analyst)*T7+W_Analyst*S7</f>
        <v>0.9980232</v>
      </c>
      <c r="V7" s="24" t="n">
        <f aca="false">LN(MIN(MAX(U7,0.0001),0.9999)/(1-MIN(MAX(U7,0.0001),0.9999)))</f>
        <v>6.22429714684205</v>
      </c>
      <c r="W7" s="25" t="n">
        <v>0.9993</v>
      </c>
    </row>
    <row r="8" customFormat="false" ht="15" hidden="false" customHeight="false" outlineLevel="0" collapsed="false">
      <c r="A8" s="6" t="n">
        <v>10.71</v>
      </c>
      <c r="B8" s="24" t="n">
        <f aca="false">LN(A8)</f>
        <v>2.37117788445966</v>
      </c>
      <c r="C8" s="25" t="n">
        <v>0.9906</v>
      </c>
      <c r="D8" s="25" t="n">
        <v>0.9884</v>
      </c>
      <c r="E8" s="25" t="n">
        <v>0.9918</v>
      </c>
      <c r="F8" s="25" t="n">
        <v>0.982</v>
      </c>
      <c r="G8" s="25" t="n">
        <v>0.994</v>
      </c>
      <c r="H8" s="25" t="n">
        <v>0.9918</v>
      </c>
      <c r="I8" s="24" t="n">
        <f aca="false">AVERAGE(D8:H8)</f>
        <v>0.9896</v>
      </c>
      <c r="J8" s="25" t="n">
        <v>0.9896</v>
      </c>
      <c r="K8" s="24" t="n">
        <f aca="false">IF(AND(Sup_Used=1,ISNUMBER(J8)),J8,I8)</f>
        <v>0.9896</v>
      </c>
      <c r="L8" s="24" t="n">
        <f aca="false">LN(MIN(MAX(K8,0.0001),0.9999)/(1-MIN(MAX(K8,0.0001),0.9999)))</f>
        <v>4.55549501493096</v>
      </c>
      <c r="M8" s="16" t="n">
        <f aca="false">A8*EXP(-Platt_Shift)</f>
        <v>10.71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0.9896</v>
      </c>
      <c r="P8" s="24" t="n">
        <f aca="false">LN(MIN(MAX(C8,0.0001),0.9999)/(1-MIN(MAX(C8,0.0001),0.9999)))</f>
        <v>4.65760113087818</v>
      </c>
      <c r="Q8" s="16" t="n">
        <f aca="false">IF(Analyst_Median&gt;0,A8*Market_Median/Analyst_Median,A8)</f>
        <v>8.31568234653484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0.999132192963249</v>
      </c>
      <c r="T8" s="24" t="n">
        <f aca="false">W_Mkt*C8+W_Agents*O8</f>
        <v>0.99027</v>
      </c>
      <c r="U8" s="27" t="n">
        <f aca="false">(1-W_Analyst)*T8+W_Analyst*S8</f>
        <v>0.99027</v>
      </c>
      <c r="V8" s="24" t="n">
        <f aca="false">LN(MIN(MAX(U8,0.0001),0.9999)/(1-MIN(MAX(U8,0.0001),0.9999)))</f>
        <v>4.62276373702013</v>
      </c>
      <c r="W8" s="25" t="n">
        <v>0.9941</v>
      </c>
    </row>
    <row r="9" customFormat="false" ht="15" hidden="false" customHeight="false" outlineLevel="0" collapsed="false">
      <c r="A9" s="6" t="n">
        <v>12.85</v>
      </c>
      <c r="B9" s="24" t="n">
        <f aca="false">LN(A9)</f>
        <v>2.55334381134123</v>
      </c>
      <c r="C9" s="25" t="n">
        <v>0.9595</v>
      </c>
      <c r="D9" s="25" t="n">
        <v>0.9626</v>
      </c>
      <c r="E9" s="25" t="n">
        <v>0.9703</v>
      </c>
      <c r="F9" s="25" t="n">
        <v>0.9552</v>
      </c>
      <c r="G9" s="25" t="n">
        <v>0.9743</v>
      </c>
      <c r="H9" s="25" t="n">
        <v>0.9698</v>
      </c>
      <c r="I9" s="24" t="n">
        <f aca="false">AVERAGE(D9:H9)</f>
        <v>0.96644</v>
      </c>
      <c r="J9" s="25" t="n">
        <v>0.9659</v>
      </c>
      <c r="K9" s="24" t="n">
        <f aca="false">IF(AND(Sup_Used=1,ISNUMBER(J9)),J9,I9)</f>
        <v>0.96644</v>
      </c>
      <c r="L9" s="24" t="n">
        <f aca="false">LN(MIN(MAX(K9,0.0001),0.9999)/(1-MIN(MAX(K9,0.0001),0.9999)))</f>
        <v>3.36028433545345</v>
      </c>
      <c r="M9" s="16" t="n">
        <f aca="false">A9*EXP(-Platt_Shift)</f>
        <v>12.85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0.96644</v>
      </c>
      <c r="P9" s="24" t="n">
        <f aca="false">LN(MIN(MAX(C9,0.0001),0.9999)/(1-MIN(MAX(C9,0.0001),0.9999)))</f>
        <v>3.16511034133526</v>
      </c>
      <c r="Q9" s="16" t="n">
        <f aca="false">IF(Analyst_Median&gt;0,A9*Market_Median/Analyst_Median,A9)</f>
        <v>9.97726593398438</v>
      </c>
      <c r="R9" s="26" t="n">
        <f aca="false">MIN(MAX(IFERROR(MATCH(Q9,Distribution!$A$6:$A$20,1),1),1),14)</f>
        <v>2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0.995362531013069</v>
      </c>
      <c r="T9" s="24" t="n">
        <f aca="false">W_Mkt*C9+W_Agents*O9</f>
        <v>0.9617902</v>
      </c>
      <c r="U9" s="27" t="n">
        <f aca="false">(1-W_Analyst)*T9+W_Analyst*S9</f>
        <v>0.9617902</v>
      </c>
      <c r="V9" s="24" t="n">
        <f aca="false">LN(MIN(MAX(U9,0.0001),0.9999)/(1-MIN(MAX(U9,0.0001),0.9999)))</f>
        <v>3.22570431234989</v>
      </c>
      <c r="W9" s="25" t="n">
        <v>0.972</v>
      </c>
    </row>
    <row r="10" customFormat="false" ht="15" hidden="false" customHeight="false" outlineLevel="0" collapsed="false">
      <c r="A10" s="6" t="n">
        <v>14.99</v>
      </c>
      <c r="B10" s="24" t="n">
        <f aca="false">LN(A10)</f>
        <v>2.70738331211451</v>
      </c>
      <c r="C10" s="25" t="n">
        <v>0.8913</v>
      </c>
      <c r="D10" s="25" t="n">
        <v>0.8982</v>
      </c>
      <c r="E10" s="25" t="n">
        <v>0.9076</v>
      </c>
      <c r="F10" s="25" t="n">
        <v>0.9039</v>
      </c>
      <c r="G10" s="25" t="n">
        <v>0.9064</v>
      </c>
      <c r="H10" s="25" t="n">
        <v>0.8993</v>
      </c>
      <c r="I10" s="24" t="n">
        <f aca="false">AVERAGE(D10:H10)</f>
        <v>0.90308</v>
      </c>
      <c r="J10" s="25" t="n">
        <v>0.9031</v>
      </c>
      <c r="K10" s="24" t="n">
        <f aca="false">IF(AND(Sup_Used=1,ISNUMBER(J10)),J10,I10)</f>
        <v>0.90308</v>
      </c>
      <c r="L10" s="24" t="n">
        <f aca="false">LN(MIN(MAX(K10,0.0001),0.9999)/(1-MIN(MAX(K10,0.0001),0.9999)))</f>
        <v>2.23192524712145</v>
      </c>
      <c r="M10" s="16" t="n">
        <f aca="false">A10*EXP(-Platt_Shift)</f>
        <v>14.99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0.90308</v>
      </c>
      <c r="P10" s="24" t="n">
        <f aca="false">LN(MIN(MAX(C10,0.0001),0.9999)/(1-MIN(MAX(C10,0.0001),0.9999)))</f>
        <v>2.10408927700951</v>
      </c>
      <c r="Q10" s="16" t="n">
        <f aca="false">IF(Analyst_Median&gt;0,A10*Market_Median/Analyst_Median,A10)</f>
        <v>11.6388495214339</v>
      </c>
      <c r="R10" s="26" t="n">
        <f aca="false">MIN(MAX(IFERROR(MATCH(Q10,Distribution!$A$6:$A$20,1),1),1),14)</f>
        <v>3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0.981588216529171</v>
      </c>
      <c r="T10" s="24" t="n">
        <f aca="false">W_Mkt*C10+W_Agents*O10</f>
        <v>0.8951874</v>
      </c>
      <c r="U10" s="27" t="n">
        <f aca="false">(1-W_Analyst)*T10+W_Analyst*S10</f>
        <v>0.8951874</v>
      </c>
      <c r="V10" s="24" t="n">
        <f aca="false">LN(MIN(MAX(U10,0.0001),0.9999)/(1-MIN(MAX(U10,0.0001),0.9999)))</f>
        <v>2.14485908816399</v>
      </c>
      <c r="W10" s="25" t="n">
        <v>0.9179</v>
      </c>
    </row>
    <row r="11" customFormat="false" ht="15" hidden="false" customHeight="false" outlineLevel="0" collapsed="false">
      <c r="A11" s="6" t="n">
        <v>17.13</v>
      </c>
      <c r="B11" s="24" t="n">
        <f aca="false">LN(A11)</f>
        <v>2.84083131233603</v>
      </c>
      <c r="C11" s="25" t="n">
        <v>0.7854</v>
      </c>
      <c r="D11" s="25" t="n">
        <v>0.8023</v>
      </c>
      <c r="E11" s="25" t="n">
        <v>0.7993</v>
      </c>
      <c r="F11" s="25" t="n">
        <v>0.8096</v>
      </c>
      <c r="G11" s="25" t="n">
        <v>0.8114</v>
      </c>
      <c r="H11" s="25" t="n">
        <v>0.7945</v>
      </c>
      <c r="I11" s="24" t="n">
        <f aca="false">AVERAGE(D11:H11)</f>
        <v>0.80342</v>
      </c>
      <c r="J11" s="25" t="n">
        <v>0.8036</v>
      </c>
      <c r="K11" s="24" t="n">
        <f aca="false">IF(AND(Sup_Used=1,ISNUMBER(J11)),J11,I11)</f>
        <v>0.80342</v>
      </c>
      <c r="L11" s="24" t="n">
        <f aca="false">LN(MIN(MAX(K11,0.0001),0.9999)/(1-MIN(MAX(K11,0.0001),0.9999)))</f>
        <v>1.40780814267649</v>
      </c>
      <c r="M11" s="16" t="n">
        <f aca="false">A11*EXP(-Platt_Shift)</f>
        <v>17.13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0.80342</v>
      </c>
      <c r="P11" s="24" t="n">
        <f aca="false">LN(MIN(MAX(C11,0.0001),0.9999)/(1-MIN(MAX(C11,0.0001),0.9999)))</f>
        <v>1.29741731194731</v>
      </c>
      <c r="Q11" s="16" t="n">
        <f aca="false">IF(Analyst_Median&gt;0,A11*Market_Median/Analyst_Median,A11)</f>
        <v>13.3004331088835</v>
      </c>
      <c r="R11" s="26" t="n">
        <f aca="false">MIN(MAX(IFERROR(MATCH(Q11,Distribution!$A$6:$A$20,1),1),1),14)</f>
        <v>4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0.949203714828713</v>
      </c>
      <c r="T11" s="24" t="n">
        <f aca="false">W_Mkt*C11+W_Agents*O11</f>
        <v>0.7913466</v>
      </c>
      <c r="U11" s="27" t="n">
        <f aca="false">(1-W_Analyst)*T11+W_Analyst*S11</f>
        <v>0.7913466</v>
      </c>
      <c r="V11" s="24" t="n">
        <f aca="false">LN(MIN(MAX(U11,0.0001),0.9999)/(1-MIN(MAX(U11,0.0001),0.9999)))</f>
        <v>1.33306154917859</v>
      </c>
      <c r="W11" s="25" t="n">
        <v>0.8255</v>
      </c>
    </row>
    <row r="12" customFormat="false" ht="15" hidden="false" customHeight="false" outlineLevel="0" collapsed="false">
      <c r="A12" s="6" t="n">
        <v>19.27</v>
      </c>
      <c r="B12" s="24" t="n">
        <f aca="false">LN(A12)</f>
        <v>2.95854948242628</v>
      </c>
      <c r="C12" s="25" t="n">
        <v>0.6555</v>
      </c>
      <c r="D12" s="25" t="n">
        <v>0.6937</v>
      </c>
      <c r="E12" s="25" t="n">
        <v>0.6669</v>
      </c>
      <c r="F12" s="25" t="n">
        <v>0.6762</v>
      </c>
      <c r="G12" s="25" t="n">
        <v>0.7137</v>
      </c>
      <c r="H12" s="25" t="n">
        <v>0.6845</v>
      </c>
      <c r="I12" s="24" t="n">
        <f aca="false">AVERAGE(D12:H12)</f>
        <v>0.687</v>
      </c>
      <c r="J12" s="25" t="n">
        <v>0.6872</v>
      </c>
      <c r="K12" s="24" t="n">
        <f aca="false">IF(AND(Sup_Used=1,ISNUMBER(J12)),J12,I12)</f>
        <v>0.687</v>
      </c>
      <c r="L12" s="24" t="n">
        <f aca="false">LN(MIN(MAX(K12,0.0001),0.9999)/(1-MIN(MAX(K12,0.0001),0.9999)))</f>
        <v>0.786131101682197</v>
      </c>
      <c r="M12" s="16" t="n">
        <f aca="false">A12*EXP(-Platt_Shift)</f>
        <v>19.27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0.687</v>
      </c>
      <c r="P12" s="24" t="n">
        <f aca="false">LN(MIN(MAX(C12,0.0001),0.9999)/(1-MIN(MAX(C12,0.0001),0.9999)))</f>
        <v>0.643304212750041</v>
      </c>
      <c r="Q12" s="16" t="n">
        <f aca="false">IF(Analyst_Median&gt;0,A12*Market_Median/Analyst_Median,A12)</f>
        <v>14.962016696333</v>
      </c>
      <c r="R12" s="26" t="n">
        <f aca="false">MIN(MAX(IFERROR(MATCH(Q12,Distribution!$A$6:$A$20,1),1),1),14)</f>
        <v>4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0.892540682663055</v>
      </c>
      <c r="T12" s="24" t="n">
        <f aca="false">W_Mkt*C12+W_Agents*O12</f>
        <v>0.665895</v>
      </c>
      <c r="U12" s="27" t="n">
        <f aca="false">(1-W_Analyst)*T12+W_Analyst*S12</f>
        <v>0.665895</v>
      </c>
      <c r="V12" s="24" t="n">
        <f aca="false">LN(MIN(MAX(U12,0.0001),0.9999)/(1-MIN(MAX(U12,0.0001),0.9999)))</f>
        <v>0.689676685623561</v>
      </c>
      <c r="W12" s="25" t="n">
        <v>0.703</v>
      </c>
    </row>
    <row r="13" customFormat="false" ht="15" hidden="false" customHeight="false" outlineLevel="0" collapsed="false">
      <c r="A13" s="6" t="n">
        <v>21.41</v>
      </c>
      <c r="B13" s="24" t="n">
        <f aca="false">LN(A13)</f>
        <v>3.06385810260159</v>
      </c>
      <c r="C13" s="25" t="n">
        <v>0.5203</v>
      </c>
      <c r="D13" s="25" t="n">
        <v>0.5811</v>
      </c>
      <c r="E13" s="25" t="n">
        <v>0.5191</v>
      </c>
      <c r="F13" s="25" t="n">
        <v>0.5252</v>
      </c>
      <c r="G13" s="25" t="n">
        <v>0.5966</v>
      </c>
      <c r="H13" s="25" t="n">
        <v>0.5532</v>
      </c>
      <c r="I13" s="24" t="n">
        <f aca="false">AVERAGE(D13:H13)</f>
        <v>0.55504</v>
      </c>
      <c r="J13" s="25" t="n">
        <v>0.5549</v>
      </c>
      <c r="K13" s="24" t="n">
        <f aca="false">IF(AND(Sup_Used=1,ISNUMBER(J13)),J13,I13)</f>
        <v>0.55504</v>
      </c>
      <c r="L13" s="24" t="n">
        <f aca="false">LN(MIN(MAX(K13,0.0001),0.9999)/(1-MIN(MAX(K13,0.0001),0.9999)))</f>
        <v>0.221055792735785</v>
      </c>
      <c r="M13" s="16" t="n">
        <f aca="false">A13*EXP(-Platt_Shift)</f>
        <v>21.41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0.55504</v>
      </c>
      <c r="P13" s="24" t="n">
        <f aca="false">LN(MIN(MAX(C13,0.0001),0.9999)/(1-MIN(MAX(C13,0.0001),0.9999)))</f>
        <v>0.0812446597882394</v>
      </c>
      <c r="Q13" s="16" t="n">
        <f aca="false">IF(Analyst_Median&gt;0,A13*Market_Median/Analyst_Median,A13)</f>
        <v>16.6236002837825</v>
      </c>
      <c r="R13" s="26" t="n">
        <f aca="false">MIN(MAX(IFERROR(MATCH(Q13,Distribution!$A$6:$A$20,1),1),1),14)</f>
        <v>5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0.814392837295357</v>
      </c>
      <c r="T13" s="24" t="n">
        <f aca="false">W_Mkt*C13+W_Agents*O13</f>
        <v>0.5317642</v>
      </c>
      <c r="U13" s="27" t="n">
        <f aca="false">(1-W_Analyst)*T13+W_Analyst*S13</f>
        <v>0.5317642</v>
      </c>
      <c r="V13" s="24" t="n">
        <f aca="false">LN(MIN(MAX(U13,0.0001),0.9999)/(1-MIN(MAX(U13,0.0001),0.9999)))</f>
        <v>0.127228142818481</v>
      </c>
      <c r="W13" s="25" t="n">
        <v>0.5676</v>
      </c>
    </row>
    <row r="14" customFormat="false" ht="15" hidden="false" customHeight="false" outlineLevel="0" collapsed="false">
      <c r="A14" s="6" t="n">
        <v>23.55</v>
      </c>
      <c r="B14" s="24" t="n">
        <f aca="false">LN(A14)</f>
        <v>3.15912582046243</v>
      </c>
      <c r="C14" s="25" t="n">
        <v>0.3955</v>
      </c>
      <c r="D14" s="25" t="n">
        <v>0.4537</v>
      </c>
      <c r="E14" s="25" t="n">
        <v>0.3673</v>
      </c>
      <c r="F14" s="25" t="n">
        <v>0.3775</v>
      </c>
      <c r="G14" s="25" t="n">
        <v>0.451</v>
      </c>
      <c r="H14" s="25" t="n">
        <v>0.4064</v>
      </c>
      <c r="I14" s="24" t="n">
        <f aca="false">AVERAGE(D14:H14)</f>
        <v>0.41118</v>
      </c>
      <c r="J14" s="25" t="n">
        <v>0.4111</v>
      </c>
      <c r="K14" s="24" t="n">
        <f aca="false">IF(AND(Sup_Used=1,ISNUMBER(J14)),J14,I14)</f>
        <v>0.41118</v>
      </c>
      <c r="L14" s="24" t="n">
        <f aca="false">LN(MIN(MAX(K14,0.0001),0.9999)/(1-MIN(MAX(K14,0.0001),0.9999)))</f>
        <v>-0.359089459403305</v>
      </c>
      <c r="M14" s="16" t="n">
        <f aca="false">A14*EXP(-Platt_Shift)</f>
        <v>23.55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0.41118</v>
      </c>
      <c r="P14" s="24" t="n">
        <f aca="false">LN(MIN(MAX(C14,0.0001),0.9999)/(1-MIN(MAX(C14,0.0001),0.9999)))</f>
        <v>-0.424250882847139</v>
      </c>
      <c r="Q14" s="16" t="n">
        <f aca="false">IF(Analyst_Median&gt;0,A14*Market_Median/Analyst_Median,A14)</f>
        <v>18.2851838712321</v>
      </c>
      <c r="R14" s="26" t="n">
        <f aca="false">MIN(MAX(IFERROR(MATCH(Q14,Distribution!$A$6:$A$20,1),1),1),14)</f>
        <v>6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0.718046984567179</v>
      </c>
      <c r="T14" s="24" t="n">
        <f aca="false">W_Mkt*C14+W_Agents*O14</f>
        <v>0.4006744</v>
      </c>
      <c r="U14" s="27" t="n">
        <f aca="false">(1-W_Analyst)*T14+W_Analyst*S14</f>
        <v>0.4006744</v>
      </c>
      <c r="V14" s="24" t="n">
        <f aca="false">LN(MIN(MAX(U14,0.0001),0.9999)/(1-MIN(MAX(U14,0.0001),0.9999)))</f>
        <v>-0.402655895648898</v>
      </c>
      <c r="W14" s="25" t="n">
        <v>0.4286</v>
      </c>
    </row>
    <row r="15" customFormat="false" ht="15" hidden="false" customHeight="false" outlineLevel="0" collapsed="false">
      <c r="A15" s="6" t="n">
        <v>25.69</v>
      </c>
      <c r="B15" s="24" t="n">
        <f aca="false">LN(A15)</f>
        <v>3.24610181112179</v>
      </c>
      <c r="C15" s="25" t="n">
        <v>0.29</v>
      </c>
      <c r="D15" s="25" t="n">
        <v>0.3231</v>
      </c>
      <c r="E15" s="25" t="n">
        <v>0.2404</v>
      </c>
      <c r="F15" s="25" t="n">
        <v>0.2502</v>
      </c>
      <c r="G15" s="25" t="n">
        <v>0.3091</v>
      </c>
      <c r="H15" s="25" t="n">
        <v>0.2735</v>
      </c>
      <c r="I15" s="24" t="n">
        <f aca="false">AVERAGE(D15:H15)</f>
        <v>0.27926</v>
      </c>
      <c r="J15" s="25" t="n">
        <v>0.2794</v>
      </c>
      <c r="K15" s="24" t="n">
        <f aca="false">IF(AND(Sup_Used=1,ISNUMBER(J15)),J15,I15)</f>
        <v>0.27926</v>
      </c>
      <c r="L15" s="24" t="n">
        <f aca="false">LN(MIN(MAX(K15,0.0001),0.9999)/(1-MIN(MAX(K15,0.0001),0.9999)))</f>
        <v>-0.948135214471861</v>
      </c>
      <c r="M15" s="16" t="n">
        <f aca="false">A15*EXP(-Platt_Shift)</f>
        <v>25.69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0.27926</v>
      </c>
      <c r="P15" s="24" t="n">
        <f aca="false">LN(MIN(MAX(C15,0.0001),0.9999)/(1-MIN(MAX(C15,0.0001),0.9999)))</f>
        <v>-0.895384047054841</v>
      </c>
      <c r="Q15" s="16" t="n">
        <f aca="false">IF(Analyst_Median&gt;0,A15*Market_Median/Analyst_Median,A15)</f>
        <v>19.9467674586816</v>
      </c>
      <c r="R15" s="26" t="n">
        <f aca="false">MIN(MAX(IFERROR(MATCH(Q15,Distribution!$A$6:$A$20,1),1),1),14)</f>
        <v>7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0.612794646702492</v>
      </c>
      <c r="T15" s="24" t="n">
        <f aca="false">W_Mkt*C15+W_Agents*O15</f>
        <v>0.2864558</v>
      </c>
      <c r="U15" s="27" t="n">
        <f aca="false">(1-W_Analyst)*T15+W_Analyst*S15</f>
        <v>0.2864558</v>
      </c>
      <c r="V15" s="24" t="n">
        <f aca="false">LN(MIN(MAX(U15,0.0001),0.9999)/(1-MIN(MAX(U15,0.0001),0.9999)))</f>
        <v>-0.912660134629784</v>
      </c>
      <c r="W15" s="25" t="n">
        <v>0.2977</v>
      </c>
    </row>
    <row r="16" customFormat="false" ht="15" hidden="false" customHeight="false" outlineLevel="0" collapsed="false">
      <c r="A16" s="6" t="n">
        <v>28.9</v>
      </c>
      <c r="B16" s="24" t="n">
        <f aca="false">LN(A16)</f>
        <v>3.36384159511839</v>
      </c>
      <c r="C16" s="25" t="n">
        <v>0.1726</v>
      </c>
      <c r="D16" s="25" t="n">
        <v>0.1708</v>
      </c>
      <c r="E16" s="25" t="n">
        <v>0.1116</v>
      </c>
      <c r="F16" s="25" t="n">
        <v>0.1192</v>
      </c>
      <c r="G16" s="25" t="n">
        <v>0.152</v>
      </c>
      <c r="H16" s="25" t="n">
        <v>0.1323</v>
      </c>
      <c r="I16" s="24" t="n">
        <f aca="false">AVERAGE(D16:H16)</f>
        <v>0.13718</v>
      </c>
      <c r="J16" s="25" t="n">
        <v>0.1372</v>
      </c>
      <c r="K16" s="24" t="n">
        <f aca="false">IF(AND(Sup_Used=1,ISNUMBER(J16)),J16,I16)</f>
        <v>0.13718</v>
      </c>
      <c r="L16" s="24" t="n">
        <f aca="false">LN(MIN(MAX(K16,0.0001),0.9999)/(1-MIN(MAX(K16,0.0001),0.9999)))</f>
        <v>-1.83891216251824</v>
      </c>
      <c r="M16" s="16" t="n">
        <f aca="false">A16*EXP(-Platt_Shift)</f>
        <v>28.9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0.13718</v>
      </c>
      <c r="P16" s="24" t="n">
        <f aca="false">LN(MIN(MAX(C16,0.0001),0.9999)/(1-MIN(MAX(C16,0.0001),0.9999)))</f>
        <v>-1.56731147537798</v>
      </c>
      <c r="Q16" s="16" t="n">
        <f aca="false">IF(Analyst_Median&gt;0,A16*Market_Median/Analyst_Median,A16)</f>
        <v>22.4391428398559</v>
      </c>
      <c r="R16" s="26" t="n">
        <f aca="false">MIN(MAX(IFERROR(MATCH(Q16,Distribution!$A$6:$A$20,1),1),1),14)</f>
        <v>8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0.458131263573019</v>
      </c>
      <c r="T16" s="24" t="n">
        <f aca="false">W_Mkt*C16+W_Agents*O16</f>
        <v>0.1609114</v>
      </c>
      <c r="U16" s="27" t="n">
        <f aca="false">(1-W_Analyst)*T16+W_Analyst*S16</f>
        <v>0.1609114</v>
      </c>
      <c r="V16" s="24" t="n">
        <f aca="false">LN(MIN(MAX(U16,0.0001),0.9999)/(1-MIN(MAX(U16,0.0001),0.9999)))</f>
        <v>-1.65146239984972</v>
      </c>
      <c r="W16" s="25" t="n">
        <v>0.1588</v>
      </c>
    </row>
    <row r="17" customFormat="false" ht="15" hidden="false" customHeight="false" outlineLevel="0" collapsed="false">
      <c r="A17" s="6" t="n">
        <v>32.12</v>
      </c>
      <c r="B17" s="24" t="n">
        <f aca="false">LN(A17)</f>
        <v>3.46947888907856</v>
      </c>
      <c r="C17" s="25" t="n">
        <v>0.098</v>
      </c>
      <c r="D17" s="25" t="n">
        <v>0.0797</v>
      </c>
      <c r="E17" s="25" t="n">
        <v>0.0462</v>
      </c>
      <c r="F17" s="25" t="n">
        <v>0.0519</v>
      </c>
      <c r="G17" s="25" t="n">
        <v>0.0623</v>
      </c>
      <c r="H17" s="25" t="n">
        <v>0.0528</v>
      </c>
      <c r="I17" s="24" t="n">
        <f aca="false">AVERAGE(D17:H17)</f>
        <v>0.05858</v>
      </c>
      <c r="J17" s="25" t="n">
        <v>0.0584</v>
      </c>
      <c r="K17" s="24" t="n">
        <f aca="false">IF(AND(Sup_Used=1,ISNUMBER(J17)),J17,I17)</f>
        <v>0.05858</v>
      </c>
      <c r="L17" s="24" t="n">
        <f aca="false">LN(MIN(MAX(K17,0.0001),0.9999)/(1-MIN(MAX(K17,0.0001),0.9999)))</f>
        <v>-2.77699603229611</v>
      </c>
      <c r="M17" s="16" t="n">
        <f aca="false">A17*EXP(-Platt_Shift)</f>
        <v>32.12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0.05858</v>
      </c>
      <c r="P17" s="24" t="n">
        <f aca="false">LN(MIN(MAX(C17,0.0001),0.9999)/(1-MIN(MAX(C17,0.0001),0.9999)))</f>
        <v>-2.21964704139205</v>
      </c>
      <c r="Q17" s="16" t="n">
        <f aca="false">IF(Analyst_Median&gt;0,A17*Market_Median/Analyst_Median,A17)</f>
        <v>24.9392826303174</v>
      </c>
      <c r="R17" s="26" t="n">
        <f aca="false">MIN(MAX(IFERROR(MATCH(Q17,Distribution!$A$6:$A$20,1),1),1),14)</f>
        <v>9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0.324156740766714</v>
      </c>
      <c r="T17" s="24" t="n">
        <f aca="false">W_Mkt*C17+W_Agents*O17</f>
        <v>0.0849914</v>
      </c>
      <c r="U17" s="27" t="n">
        <f aca="false">(1-W_Analyst)*T17+W_Analyst*S17</f>
        <v>0.0849914</v>
      </c>
      <c r="V17" s="24" t="n">
        <f aca="false">LN(MIN(MAX(U17,0.0001),0.9999)/(1-MIN(MAX(U17,0.0001),0.9999)))</f>
        <v>-2.37638338923741</v>
      </c>
      <c r="W17" s="25" t="n">
        <v>0.0822</v>
      </c>
    </row>
    <row r="18" customFormat="false" ht="15" hidden="false" customHeight="false" outlineLevel="0" collapsed="false">
      <c r="A18" s="6" t="n">
        <v>37.47</v>
      </c>
      <c r="B18" s="24" t="n">
        <f aca="false">LN(A18)</f>
        <v>3.6235406128056</v>
      </c>
      <c r="C18" s="25" t="n">
        <v>0.0356</v>
      </c>
      <c r="D18" s="25" t="n">
        <v>0.0224</v>
      </c>
      <c r="E18" s="25" t="n">
        <v>0.0108</v>
      </c>
      <c r="F18" s="25" t="n">
        <v>0.0135</v>
      </c>
      <c r="G18" s="25" t="n">
        <v>0.0124</v>
      </c>
      <c r="H18" s="25" t="n">
        <v>0.0093</v>
      </c>
      <c r="I18" s="24" t="n">
        <f aca="false">AVERAGE(D18:H18)</f>
        <v>0.01368</v>
      </c>
      <c r="J18" s="25" t="n">
        <v>0.0135</v>
      </c>
      <c r="K18" s="24" t="n">
        <f aca="false">IF(AND(Sup_Used=1,ISNUMBER(J18)),J18,I18)</f>
        <v>0.01368</v>
      </c>
      <c r="L18" s="24" t="n">
        <f aca="false">LN(MIN(MAX(K18,0.0001),0.9999)/(1-MIN(MAX(K18,0.0001),0.9999)))</f>
        <v>-4.27804593336589</v>
      </c>
      <c r="M18" s="16" t="n">
        <f aca="false">A18*EXP(-Platt_Shift)</f>
        <v>37.47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0.01368</v>
      </c>
      <c r="P18" s="24" t="n">
        <f aca="false">LN(MIN(MAX(C18,0.0001),0.9999)/(1-MIN(MAX(C18,0.0001),0.9999)))</f>
        <v>-3.29916050844903</v>
      </c>
      <c r="Q18" s="16" t="n">
        <f aca="false">IF(Analyst_Median&gt;0,A18*Market_Median/Analyst_Median,A18)</f>
        <v>29.0932415989412</v>
      </c>
      <c r="R18" s="26" t="n">
        <f aca="false">MIN(MAX(IFERROR(MATCH(Q18,Distribution!$A$6:$A$20,1),1),1),14)</f>
        <v>11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0.166801816231779</v>
      </c>
      <c r="T18" s="24" t="n">
        <f aca="false">W_Mkt*C18+W_Agents*O18</f>
        <v>0.0283664</v>
      </c>
      <c r="U18" s="27" t="n">
        <f aca="false">(1-W_Analyst)*T18+W_Analyst*S18</f>
        <v>0.0283664</v>
      </c>
      <c r="V18" s="24" t="n">
        <f aca="false">LN(MIN(MAX(U18,0.0001),0.9999)/(1-MIN(MAX(U18,0.0001),0.9999)))</f>
        <v>-3.53377343250066</v>
      </c>
      <c r="W18" s="25" t="n">
        <v>0.028</v>
      </c>
    </row>
    <row r="19" customFormat="false" ht="15" hidden="false" customHeight="false" outlineLevel="0" collapsed="false">
      <c r="A19" s="6" t="n">
        <v>42.82</v>
      </c>
      <c r="B19" s="24" t="n">
        <f aca="false">LN(A19)</f>
        <v>3.75700528316154</v>
      </c>
      <c r="C19" s="25" t="n">
        <v>0.0123</v>
      </c>
      <c r="D19" s="25" t="n">
        <v>0.0071</v>
      </c>
      <c r="E19" s="25" t="n">
        <v>0.0035</v>
      </c>
      <c r="F19" s="25" t="n">
        <v>0.0043</v>
      </c>
      <c r="G19" s="25" t="n">
        <v>0.0035</v>
      </c>
      <c r="H19" s="25" t="n">
        <v>0.0018</v>
      </c>
      <c r="I19" s="24" t="n">
        <f aca="false">AVERAGE(D19:H19)</f>
        <v>0.00404</v>
      </c>
      <c r="J19" s="25" t="n">
        <v>0.0043</v>
      </c>
      <c r="K19" s="24" t="n">
        <f aca="false">IF(AND(Sup_Used=1,ISNUMBER(J19)),J19,I19)</f>
        <v>0.00404</v>
      </c>
      <c r="L19" s="24" t="n">
        <f aca="false">LN(MIN(MAX(K19,0.0001),0.9999)/(1-MIN(MAX(K19,0.0001),0.9999)))</f>
        <v>-5.50746240416251</v>
      </c>
      <c r="M19" s="16" t="n">
        <f aca="false">A19*EXP(-Platt_Shift)</f>
        <v>42.82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0.00404</v>
      </c>
      <c r="P19" s="24" t="n">
        <f aca="false">LN(MIN(MAX(C19,0.0001),0.9999)/(1-MIN(MAX(C19,0.0001),0.9999)))</f>
        <v>-4.38577974553571</v>
      </c>
      <c r="Q19" s="16" t="n">
        <f aca="false">IF(Analyst_Median&gt;0,A19*Market_Median/Analyst_Median,A19)</f>
        <v>33.2472005675651</v>
      </c>
      <c r="R19" s="26" t="n">
        <f aca="false">MIN(MAX(IFERROR(MATCH(Q19,Distribution!$A$6:$A$20,1),1),1),14)</f>
        <v>12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0.0786138799406863</v>
      </c>
      <c r="T19" s="24" t="n">
        <f aca="false">W_Mkt*C19+W_Agents*O19</f>
        <v>0.0095742</v>
      </c>
      <c r="U19" s="27" t="n">
        <f aca="false">(1-W_Analyst)*T19+W_Analyst*S19</f>
        <v>0.0095742</v>
      </c>
      <c r="V19" s="24" t="n">
        <f aca="false">LN(MIN(MAX(U19,0.0001),0.9999)/(1-MIN(MAX(U19,0.0001),0.9999)))</f>
        <v>-4.63906297100951</v>
      </c>
      <c r="W19" s="25" t="n">
        <v>0.0097</v>
      </c>
    </row>
    <row r="20" customFormat="false" ht="15" hidden="false" customHeight="false" outlineLevel="0" collapsed="false">
      <c r="A20" s="6" t="n">
        <v>53.52</v>
      </c>
      <c r="B20" s="24" t="n">
        <f aca="false">LN(A20)</f>
        <v>3.98005541581997</v>
      </c>
      <c r="C20" s="25" t="n">
        <v>0.0014</v>
      </c>
      <c r="D20" s="25" t="n">
        <v>0.0017</v>
      </c>
      <c r="E20" s="25" t="n">
        <v>0.0008</v>
      </c>
      <c r="F20" s="25" t="n">
        <v>0.0008</v>
      </c>
      <c r="G20" s="25" t="n">
        <v>0.0008</v>
      </c>
      <c r="H20" s="25" t="n">
        <v>0.0004</v>
      </c>
      <c r="I20" s="24" t="n">
        <f aca="false">AVERAGE(D20:H20)</f>
        <v>0.0009</v>
      </c>
      <c r="J20" s="25" t="n">
        <v>0.0008</v>
      </c>
      <c r="K20" s="24" t="n">
        <f aca="false">IF(AND(Sup_Used=1,ISNUMBER(J20)),J20,I20)</f>
        <v>0.0009</v>
      </c>
      <c r="L20" s="24" t="n">
        <f aca="false">LN(MIN(MAX(K20,0.0001),0.9999)/(1-MIN(MAX(K20,0.0001),0.9999)))</f>
        <v>-7.0122153893968</v>
      </c>
      <c r="M20" s="16" t="n">
        <f aca="false">A20*EXP(-Platt_Shift)</f>
        <v>53.52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0.0009</v>
      </c>
      <c r="P20" s="24" t="n">
        <f aca="false">LN(MIN(MAX(C20,0.0001),0.9999)/(1-MIN(MAX(C20,0.0001),0.9999)))</f>
        <v>-6.5698820614453</v>
      </c>
      <c r="Q20" s="16" t="n">
        <f aca="false">IF(Analyst_Median&gt;0,A20*Market_Median/Analyst_Median,A20)</f>
        <v>41.5551185048128</v>
      </c>
      <c r="R20" s="26" t="n">
        <f aca="false">MIN(MAX(IFERROR(MATCH(Q20,Distribution!$A$6:$A$20,1),1),1),14)</f>
        <v>13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0.0156477519164927</v>
      </c>
      <c r="T20" s="24" t="n">
        <f aca="false">W_Mkt*C20+W_Agents*O20</f>
        <v>0.001235</v>
      </c>
      <c r="U20" s="27" t="n">
        <f aca="false">(1-W_Analyst)*T20+W_Analyst*S20</f>
        <v>0.001235</v>
      </c>
      <c r="V20" s="24" t="n">
        <f aca="false">LN(MIN(MAX(U20,0.0001),0.9999)/(1-MIN(MAX(U20,0.0001),0.9999)))</f>
        <v>-6.69544854566123</v>
      </c>
      <c r="W20" s="25" t="n">
        <v>0.0012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35.05" hidden="false" customHeight="false" outlineLevel="0" collapsed="false">
      <c r="A5" s="5" t="s">
        <v>29</v>
      </c>
      <c r="B5" s="28" t="s">
        <v>112</v>
      </c>
      <c r="C5" s="6" t="n">
        <v>23.43</v>
      </c>
      <c r="D5" s="12" t="n">
        <v>0.5</v>
      </c>
      <c r="E5" s="16" t="n">
        <f aca="false">C5*D5</f>
        <v>11.715</v>
      </c>
      <c r="F5" s="28"/>
      <c r="G5" s="28" t="s">
        <v>113</v>
      </c>
    </row>
    <row r="6" customFormat="false" ht="23.85" hidden="false" customHeight="false" outlineLevel="0" collapsed="false">
      <c r="A6" s="5" t="s">
        <v>29</v>
      </c>
      <c r="B6" s="28" t="s">
        <v>114</v>
      </c>
      <c r="C6" s="6" t="n">
        <v>24.37</v>
      </c>
      <c r="D6" s="12" t="n">
        <v>0.3</v>
      </c>
      <c r="E6" s="16" t="n">
        <f aca="false">C6*D6</f>
        <v>7.311</v>
      </c>
      <c r="F6" s="28"/>
      <c r="G6" s="28" t="s">
        <v>115</v>
      </c>
    </row>
    <row r="7" customFormat="false" ht="23.85" hidden="false" customHeight="false" outlineLevel="0" collapsed="false">
      <c r="A7" s="5" t="s">
        <v>29</v>
      </c>
      <c r="B7" s="28" t="s">
        <v>116</v>
      </c>
      <c r="C7" s="6" t="n">
        <v>24.26</v>
      </c>
      <c r="D7" s="12" t="n">
        <v>0.2</v>
      </c>
      <c r="E7" s="16" t="n">
        <f aca="false">C7*D7</f>
        <v>4.852</v>
      </c>
      <c r="F7" s="28"/>
      <c r="G7" s="28" t="s">
        <v>117</v>
      </c>
    </row>
    <row r="8" customFormat="false" ht="23.85" hidden="false" customHeight="false" outlineLevel="0" collapsed="false">
      <c r="A8" s="5" t="s">
        <v>29</v>
      </c>
      <c r="B8" s="28" t="s">
        <v>118</v>
      </c>
      <c r="C8" s="6" t="n">
        <v>20.18</v>
      </c>
      <c r="D8" s="12" t="n">
        <v>0</v>
      </c>
      <c r="E8" s="16" t="n">
        <f aca="false">C8*D8</f>
        <v>0</v>
      </c>
      <c r="F8" s="28"/>
      <c r="G8" s="28" t="s">
        <v>119</v>
      </c>
    </row>
    <row r="9" customFormat="false" ht="35.05" hidden="false" customHeight="false" outlineLevel="0" collapsed="false">
      <c r="A9" s="5" t="s">
        <v>29</v>
      </c>
      <c r="B9" s="28" t="s">
        <v>114</v>
      </c>
      <c r="C9" s="6" t="n">
        <v>29.54</v>
      </c>
      <c r="D9" s="12" t="n">
        <v>0</v>
      </c>
      <c r="E9" s="16" t="n">
        <f aca="false">C9*D9</f>
        <v>0</v>
      </c>
      <c r="F9" s="28"/>
      <c r="G9" s="28" t="s">
        <v>120</v>
      </c>
    </row>
    <row r="10" customFormat="false" ht="46.25" hidden="false" customHeight="false" outlineLevel="0" collapsed="false">
      <c r="A10" s="29" t="s">
        <v>29</v>
      </c>
      <c r="B10" s="29" t="s">
        <v>121</v>
      </c>
      <c r="C10" s="30" t="n">
        <f aca="false">IF(SUM(D5:D9)&gt;0,SUMPRODUCT(C5:C9,D5:D9)/SUM(D5:D9),"")</f>
        <v>23.878</v>
      </c>
      <c r="D10" s="31" t="n">
        <f aca="false">SUM(D5:D9)</f>
        <v>1</v>
      </c>
      <c r="E10" s="32" t="n">
        <v>24.39</v>
      </c>
      <c r="F10" s="29" t="s">
        <v>122</v>
      </c>
      <c r="G10" s="33" t="s">
        <v>123</v>
      </c>
    </row>
    <row r="12" customFormat="false" ht="35.05" hidden="false" customHeight="false" outlineLevel="0" collapsed="false">
      <c r="A12" s="5" t="s">
        <v>30</v>
      </c>
      <c r="B12" s="28" t="s">
        <v>112</v>
      </c>
      <c r="C12" s="6" t="n">
        <v>21.6</v>
      </c>
      <c r="D12" s="12" t="n">
        <v>0.5</v>
      </c>
      <c r="E12" s="16" t="n">
        <f aca="false">C12*D12</f>
        <v>10.8</v>
      </c>
      <c r="F12" s="28"/>
      <c r="G12" s="28" t="s">
        <v>124</v>
      </c>
    </row>
    <row r="13" customFormat="false" ht="15" hidden="false" customHeight="false" outlineLevel="0" collapsed="false">
      <c r="A13" s="5" t="s">
        <v>30</v>
      </c>
      <c r="B13" s="28" t="s">
        <v>114</v>
      </c>
      <c r="C13" s="6" t="n">
        <v>22.8</v>
      </c>
      <c r="D13" s="12" t="n">
        <v>0.35</v>
      </c>
      <c r="E13" s="16" t="n">
        <f aca="false">C13*D13</f>
        <v>7.98</v>
      </c>
      <c r="F13" s="28"/>
      <c r="G13" s="28" t="s">
        <v>125</v>
      </c>
    </row>
    <row r="14" customFormat="false" ht="23.85" hidden="false" customHeight="false" outlineLevel="0" collapsed="false">
      <c r="A14" s="5" t="s">
        <v>30</v>
      </c>
      <c r="B14" s="28" t="s">
        <v>116</v>
      </c>
      <c r="C14" s="6" t="n">
        <v>23.09</v>
      </c>
      <c r="D14" s="12" t="n">
        <v>0.15</v>
      </c>
      <c r="E14" s="16" t="n">
        <f aca="false">C14*D14</f>
        <v>3.4635</v>
      </c>
      <c r="F14" s="28"/>
      <c r="G14" s="28" t="s">
        <v>126</v>
      </c>
    </row>
    <row r="15" customFormat="false" ht="46.25" hidden="false" customHeight="false" outlineLevel="0" collapsed="false">
      <c r="A15" s="29" t="s">
        <v>30</v>
      </c>
      <c r="B15" s="29" t="s">
        <v>121</v>
      </c>
      <c r="C15" s="30" t="n">
        <f aca="false">IF(SUM(D12:D14)&gt;0,SUMPRODUCT(C12:C14,D12:D14)/SUM(D12:D14),"")</f>
        <v>22.2435</v>
      </c>
      <c r="D15" s="31" t="n">
        <f aca="false">SUM(D12:D14)</f>
        <v>1</v>
      </c>
      <c r="E15" s="32" t="n">
        <v>22.24</v>
      </c>
      <c r="F15" s="29" t="s">
        <v>122</v>
      </c>
      <c r="G15" s="33" t="s">
        <v>127</v>
      </c>
    </row>
    <row r="17" customFormat="false" ht="23.85" hidden="false" customHeight="false" outlineLevel="0" collapsed="false">
      <c r="A17" s="5" t="s">
        <v>31</v>
      </c>
      <c r="B17" s="28" t="s">
        <v>112</v>
      </c>
      <c r="C17" s="6" t="n">
        <v>21.43</v>
      </c>
      <c r="D17" s="12" t="n">
        <v>0.45</v>
      </c>
      <c r="E17" s="16" t="n">
        <f aca="false">C17*D17</f>
        <v>9.6435</v>
      </c>
      <c r="F17" s="28"/>
      <c r="G17" s="28" t="s">
        <v>128</v>
      </c>
    </row>
    <row r="18" customFormat="false" ht="15" hidden="false" customHeight="false" outlineLevel="0" collapsed="false">
      <c r="A18" s="5" t="s">
        <v>31</v>
      </c>
      <c r="B18" s="28" t="s">
        <v>114</v>
      </c>
      <c r="C18" s="6" t="n">
        <v>23.1</v>
      </c>
      <c r="D18" s="12" t="n">
        <v>0.35</v>
      </c>
      <c r="E18" s="16" t="n">
        <f aca="false">C18*D18</f>
        <v>8.085</v>
      </c>
      <c r="F18" s="28"/>
      <c r="G18" s="28" t="s">
        <v>129</v>
      </c>
    </row>
    <row r="19" customFormat="false" ht="15" hidden="false" customHeight="false" outlineLevel="0" collapsed="false">
      <c r="A19" s="5" t="s">
        <v>31</v>
      </c>
      <c r="B19" s="28" t="s">
        <v>116</v>
      </c>
      <c r="C19" s="6" t="n">
        <v>23.64</v>
      </c>
      <c r="D19" s="12" t="n">
        <v>0.2</v>
      </c>
      <c r="E19" s="16" t="n">
        <f aca="false">C19*D19</f>
        <v>4.728</v>
      </c>
      <c r="F19" s="28"/>
      <c r="G19" s="28" t="s">
        <v>130</v>
      </c>
    </row>
    <row r="20" customFormat="false" ht="15" hidden="false" customHeight="false" outlineLevel="0" collapsed="false">
      <c r="A20" s="5" t="s">
        <v>31</v>
      </c>
      <c r="B20" s="28" t="s">
        <v>118</v>
      </c>
      <c r="C20" s="6" t="n">
        <v>22.2</v>
      </c>
      <c r="D20" s="12" t="n">
        <v>0</v>
      </c>
      <c r="E20" s="16" t="n">
        <f aca="false">C20*D20</f>
        <v>0</v>
      </c>
      <c r="F20" s="28"/>
      <c r="G20" s="28" t="s">
        <v>131</v>
      </c>
    </row>
    <row r="21" customFormat="false" ht="35.05" hidden="false" customHeight="false" outlineLevel="0" collapsed="false">
      <c r="A21" s="29" t="s">
        <v>31</v>
      </c>
      <c r="B21" s="29" t="s">
        <v>121</v>
      </c>
      <c r="C21" s="30" t="n">
        <f aca="false">IF(SUM(D17:D20)&gt;0,SUMPRODUCT(C17:C20,D17:D20)/SUM(D17:D20),"")</f>
        <v>22.4565</v>
      </c>
      <c r="D21" s="31" t="n">
        <f aca="false">SUM(D17:D20)</f>
        <v>1</v>
      </c>
      <c r="E21" s="32" t="n">
        <v>22.46</v>
      </c>
      <c r="F21" s="29" t="s">
        <v>122</v>
      </c>
      <c r="G21" s="33" t="s">
        <v>132</v>
      </c>
    </row>
    <row r="23" customFormat="false" ht="23.85" hidden="false" customHeight="false" outlineLevel="0" collapsed="false">
      <c r="A23" s="5" t="s">
        <v>32</v>
      </c>
      <c r="B23" s="28" t="s">
        <v>112</v>
      </c>
      <c r="C23" s="6" t="n">
        <v>23.2</v>
      </c>
      <c r="D23" s="12" t="n">
        <v>0.45</v>
      </c>
      <c r="E23" s="16" t="n">
        <f aca="false">C23*D23</f>
        <v>10.44</v>
      </c>
      <c r="F23" s="28"/>
      <c r="G23" s="28" t="s">
        <v>133</v>
      </c>
    </row>
    <row r="24" customFormat="false" ht="23.85" hidden="false" customHeight="false" outlineLevel="0" collapsed="false">
      <c r="A24" s="5" t="s">
        <v>32</v>
      </c>
      <c r="B24" s="28" t="s">
        <v>114</v>
      </c>
      <c r="C24" s="6" t="n">
        <v>23.5</v>
      </c>
      <c r="D24" s="12" t="n">
        <v>0.4</v>
      </c>
      <c r="E24" s="16" t="n">
        <f aca="false">C24*D24</f>
        <v>9.4</v>
      </c>
      <c r="F24" s="28"/>
      <c r="G24" s="28" t="s">
        <v>134</v>
      </c>
    </row>
    <row r="25" customFormat="false" ht="15" hidden="false" customHeight="false" outlineLevel="0" collapsed="false">
      <c r="A25" s="5" t="s">
        <v>32</v>
      </c>
      <c r="B25" s="28" t="s">
        <v>116</v>
      </c>
      <c r="C25" s="6" t="n">
        <v>23.5</v>
      </c>
      <c r="D25" s="12" t="n">
        <v>0.15</v>
      </c>
      <c r="E25" s="16" t="n">
        <f aca="false">C25*D25</f>
        <v>3.525</v>
      </c>
      <c r="F25" s="28"/>
      <c r="G25" s="28" t="s">
        <v>135</v>
      </c>
    </row>
    <row r="26" customFormat="false" ht="23.85" hidden="false" customHeight="false" outlineLevel="0" collapsed="false">
      <c r="A26" s="5" t="s">
        <v>32</v>
      </c>
      <c r="B26" s="28" t="s">
        <v>118</v>
      </c>
      <c r="C26" s="6" t="n">
        <v>22.2</v>
      </c>
      <c r="D26" s="12" t="n">
        <v>0</v>
      </c>
      <c r="E26" s="16" t="n">
        <f aca="false">C26*D26</f>
        <v>0</v>
      </c>
      <c r="F26" s="28"/>
      <c r="G26" s="28" t="s">
        <v>136</v>
      </c>
    </row>
    <row r="27" customFormat="false" ht="46.25" hidden="false" customHeight="false" outlineLevel="0" collapsed="false">
      <c r="A27" s="29" t="s">
        <v>32</v>
      </c>
      <c r="B27" s="29" t="s">
        <v>121</v>
      </c>
      <c r="C27" s="30" t="n">
        <f aca="false">IF(SUM(D23:D26)&gt;0,SUMPRODUCT(C23:C26,D23:D26)/SUM(D23:D26),"")</f>
        <v>23.365</v>
      </c>
      <c r="D27" s="31" t="n">
        <f aca="false">SUM(D23:D26)</f>
        <v>1</v>
      </c>
      <c r="E27" s="32" t="n">
        <v>23.48</v>
      </c>
      <c r="F27" s="29" t="s">
        <v>122</v>
      </c>
      <c r="G27" s="33" t="s">
        <v>137</v>
      </c>
    </row>
    <row r="29" customFormat="false" ht="35.05" hidden="false" customHeight="false" outlineLevel="0" collapsed="false">
      <c r="A29" s="5" t="s">
        <v>33</v>
      </c>
      <c r="B29" s="28" t="s">
        <v>112</v>
      </c>
      <c r="C29" s="6" t="n">
        <v>22.2</v>
      </c>
      <c r="D29" s="12" t="n">
        <v>0.5</v>
      </c>
      <c r="E29" s="16" t="n">
        <f aca="false">C29*D29</f>
        <v>11.1</v>
      </c>
      <c r="F29" s="28"/>
      <c r="G29" s="28" t="s">
        <v>138</v>
      </c>
    </row>
    <row r="30" customFormat="false" ht="23.85" hidden="false" customHeight="false" outlineLevel="0" collapsed="false">
      <c r="A30" s="5" t="s">
        <v>33</v>
      </c>
      <c r="B30" s="28" t="s">
        <v>114</v>
      </c>
      <c r="C30" s="6" t="n">
        <v>23.19</v>
      </c>
      <c r="D30" s="12" t="n">
        <v>0.35</v>
      </c>
      <c r="E30" s="16" t="n">
        <f aca="false">C30*D30</f>
        <v>8.1165</v>
      </c>
      <c r="F30" s="28"/>
      <c r="G30" s="28" t="s">
        <v>139</v>
      </c>
    </row>
    <row r="31" customFormat="false" ht="23.85" hidden="false" customHeight="false" outlineLevel="0" collapsed="false">
      <c r="A31" s="5" t="s">
        <v>33</v>
      </c>
      <c r="B31" s="28" t="s">
        <v>116</v>
      </c>
      <c r="C31" s="6" t="n">
        <v>24.07</v>
      </c>
      <c r="D31" s="12" t="n">
        <v>0.15</v>
      </c>
      <c r="E31" s="16" t="n">
        <f aca="false">C31*D31</f>
        <v>3.6105</v>
      </c>
      <c r="F31" s="28"/>
      <c r="G31" s="28" t="s">
        <v>140</v>
      </c>
    </row>
    <row r="32" customFormat="false" ht="23.85" hidden="false" customHeight="false" outlineLevel="0" collapsed="false">
      <c r="A32" s="5" t="s">
        <v>33</v>
      </c>
      <c r="B32" s="28" t="s">
        <v>118</v>
      </c>
      <c r="C32" s="6" t="n">
        <v>22.2</v>
      </c>
      <c r="D32" s="12" t="n">
        <v>0</v>
      </c>
      <c r="E32" s="16" t="n">
        <f aca="false">C32*D32</f>
        <v>0</v>
      </c>
      <c r="F32" s="28"/>
      <c r="G32" s="28" t="s">
        <v>141</v>
      </c>
    </row>
    <row r="33" customFormat="false" ht="46.25" hidden="false" customHeight="false" outlineLevel="0" collapsed="false">
      <c r="A33" s="29" t="s">
        <v>33</v>
      </c>
      <c r="B33" s="29" t="s">
        <v>121</v>
      </c>
      <c r="C33" s="30" t="n">
        <f aca="false">IF(SUM(D29:D32)&gt;0,SUMPRODUCT(C29:C32,D29:D32)/SUM(D29:D32),"")</f>
        <v>22.827</v>
      </c>
      <c r="D33" s="31" t="n">
        <f aca="false">SUM(D29:D32)</f>
        <v>1</v>
      </c>
      <c r="E33" s="32" t="n">
        <v>22.83</v>
      </c>
      <c r="F33" s="29" t="s">
        <v>122</v>
      </c>
      <c r="G33" s="33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23.85" hidden="false" customHeight="false" outlineLevel="0" collapsed="false">
      <c r="A4" s="23" t="s">
        <v>105</v>
      </c>
      <c r="B4" s="23" t="s">
        <v>145</v>
      </c>
      <c r="C4" s="23" t="s">
        <v>146</v>
      </c>
      <c r="D4" s="23" t="s">
        <v>147</v>
      </c>
      <c r="E4" s="23" t="s">
        <v>148</v>
      </c>
      <c r="F4" s="23" t="s">
        <v>149</v>
      </c>
      <c r="G4" s="23" t="s">
        <v>150</v>
      </c>
    </row>
    <row r="5" customFormat="false" ht="91" hidden="false" customHeight="false" outlineLevel="0" collapsed="false">
      <c r="A5" s="5" t="s">
        <v>29</v>
      </c>
      <c r="B5" s="6" t="n">
        <v>15.15</v>
      </c>
      <c r="C5" s="6" t="n">
        <v>23.88</v>
      </c>
      <c r="D5" s="6" t="n">
        <v>29.23</v>
      </c>
      <c r="E5" s="28" t="s">
        <v>151</v>
      </c>
      <c r="F5" s="28" t="s">
        <v>152</v>
      </c>
      <c r="G5" s="28" t="s">
        <v>153</v>
      </c>
    </row>
    <row r="6" customFormat="false" ht="57.45" hidden="false" customHeight="false" outlineLevel="0" collapsed="false">
      <c r="A6" s="5" t="s">
        <v>30</v>
      </c>
      <c r="B6" s="6" t="n">
        <v>16.31</v>
      </c>
      <c r="C6" s="6" t="n">
        <v>22.24</v>
      </c>
      <c r="D6" s="6" t="n">
        <v>27.51</v>
      </c>
      <c r="E6" s="28" t="s">
        <v>154</v>
      </c>
      <c r="F6" s="28" t="s">
        <v>155</v>
      </c>
      <c r="G6" s="28" t="s">
        <v>156</v>
      </c>
    </row>
    <row r="7" customFormat="false" ht="79.85" hidden="false" customHeight="false" outlineLevel="0" collapsed="false">
      <c r="A7" s="5" t="s">
        <v>31</v>
      </c>
      <c r="B7" s="6" t="n">
        <v>16.68</v>
      </c>
      <c r="C7" s="6" t="n">
        <v>22.46</v>
      </c>
      <c r="D7" s="6" t="n">
        <v>27.54</v>
      </c>
      <c r="E7" s="28" t="s">
        <v>157</v>
      </c>
      <c r="F7" s="28" t="s">
        <v>158</v>
      </c>
      <c r="G7" s="28" t="s">
        <v>159</v>
      </c>
    </row>
    <row r="8" customFormat="false" ht="79.85" hidden="false" customHeight="false" outlineLevel="0" collapsed="false">
      <c r="A8" s="5" t="s">
        <v>32</v>
      </c>
      <c r="B8" s="6" t="n">
        <v>15.82</v>
      </c>
      <c r="C8" s="6" t="n">
        <v>23.37</v>
      </c>
      <c r="D8" s="6" t="n">
        <v>28.91</v>
      </c>
      <c r="E8" s="28" t="s">
        <v>160</v>
      </c>
      <c r="F8" s="28" t="s">
        <v>161</v>
      </c>
      <c r="G8" s="28" t="s">
        <v>162</v>
      </c>
    </row>
    <row r="9" customFormat="false" ht="68.65" hidden="false" customHeight="false" outlineLevel="0" collapsed="false">
      <c r="A9" s="5" t="s">
        <v>33</v>
      </c>
      <c r="B9" s="6" t="n">
        <v>15.39</v>
      </c>
      <c r="C9" s="6" t="n">
        <v>22.83</v>
      </c>
      <c r="D9" s="6" t="n">
        <v>28.69</v>
      </c>
      <c r="E9" s="28" t="s">
        <v>163</v>
      </c>
      <c r="F9" s="28" t="s">
        <v>164</v>
      </c>
      <c r="G9" s="28" t="s">
        <v>165</v>
      </c>
    </row>
    <row r="10" customFormat="false" ht="15" hidden="false" customHeight="false" outlineLevel="0" collapsed="false">
      <c r="A10" s="14" t="s">
        <v>166</v>
      </c>
      <c r="B10" s="15" t="n">
        <f aca="false">AVERAGE(B5:B9)</f>
        <v>15.87</v>
      </c>
      <c r="C10" s="15" t="n">
        <f aca="false">AVERAGE(C5:C9)</f>
        <v>22.956</v>
      </c>
      <c r="D10" s="15" t="n">
        <f aca="false">AVERAGE(D5:D9)</f>
        <v>28.376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5.05" hidden="false" customHeight="false" outlineLevel="0" collapsed="false">
      <c r="A4" s="23" t="s">
        <v>105</v>
      </c>
      <c r="B4" s="23" t="s">
        <v>169</v>
      </c>
      <c r="C4" s="23" t="s">
        <v>170</v>
      </c>
      <c r="D4" s="23" t="s">
        <v>171</v>
      </c>
      <c r="E4" s="23" t="s">
        <v>66</v>
      </c>
      <c r="F4" s="23" t="s">
        <v>172</v>
      </c>
      <c r="G4" s="23" t="s">
        <v>173</v>
      </c>
      <c r="H4" s="23" t="s">
        <v>174</v>
      </c>
    </row>
    <row r="5" customFormat="false" ht="550" hidden="false" customHeight="false" outlineLevel="0" collapsed="false">
      <c r="A5" s="5" t="s">
        <v>29</v>
      </c>
      <c r="B5" s="6" t="n">
        <v>24.19</v>
      </c>
      <c r="C5" s="6" t="n">
        <v>24.39</v>
      </c>
      <c r="D5" s="6" t="n">
        <v>16.5</v>
      </c>
      <c r="E5" s="28" t="s">
        <v>175</v>
      </c>
      <c r="F5" s="28" t="s">
        <v>176</v>
      </c>
      <c r="G5" s="28" t="s">
        <v>177</v>
      </c>
      <c r="H5" s="28" t="s">
        <v>178</v>
      </c>
    </row>
    <row r="6" customFormat="false" ht="550" hidden="false" customHeight="false" outlineLevel="0" collapsed="false">
      <c r="A6" s="5" t="s">
        <v>30</v>
      </c>
      <c r="B6" s="6" t="n">
        <v>22.31</v>
      </c>
      <c r="C6" s="6" t="n">
        <v>22.24</v>
      </c>
      <c r="D6" s="6" t="n">
        <v>16</v>
      </c>
      <c r="E6" s="28" t="s">
        <v>179</v>
      </c>
      <c r="F6" s="28" t="s">
        <v>180</v>
      </c>
      <c r="G6" s="28" t="s">
        <v>181</v>
      </c>
      <c r="H6" s="28" t="s">
        <v>182</v>
      </c>
    </row>
    <row r="7" customFormat="false" ht="460.4" hidden="false" customHeight="false" outlineLevel="0" collapsed="false">
      <c r="A7" s="5" t="s">
        <v>31</v>
      </c>
      <c r="B7" s="6" t="n">
        <v>22.8</v>
      </c>
      <c r="C7" s="6" t="n">
        <v>22.46</v>
      </c>
      <c r="D7" s="6" t="n">
        <v>16</v>
      </c>
      <c r="E7" s="28" t="s">
        <v>183</v>
      </c>
      <c r="F7" s="28" t="s">
        <v>184</v>
      </c>
      <c r="G7" s="28" t="s">
        <v>185</v>
      </c>
      <c r="H7" s="28" t="s">
        <v>186</v>
      </c>
    </row>
    <row r="8" customFormat="false" ht="605.95" hidden="false" customHeight="false" outlineLevel="0" collapsed="false">
      <c r="A8" s="5" t="s">
        <v>32</v>
      </c>
      <c r="B8" s="6" t="n">
        <v>23.09</v>
      </c>
      <c r="C8" s="6" t="n">
        <v>23.48</v>
      </c>
      <c r="D8" s="6" t="n">
        <v>16.5</v>
      </c>
      <c r="E8" s="28" t="s">
        <v>187</v>
      </c>
      <c r="F8" s="28" t="s">
        <v>188</v>
      </c>
      <c r="G8" s="28" t="s">
        <v>189</v>
      </c>
      <c r="H8" s="28" t="s">
        <v>190</v>
      </c>
    </row>
    <row r="9" customFormat="false" ht="538.8" hidden="false" customHeight="false" outlineLevel="0" collapsed="false">
      <c r="A9" s="5" t="s">
        <v>33</v>
      </c>
      <c r="B9" s="6" t="n">
        <v>22.44</v>
      </c>
      <c r="C9" s="6" t="n">
        <v>22.83</v>
      </c>
      <c r="D9" s="6" t="n">
        <v>16.5</v>
      </c>
      <c r="E9" s="28" t="s">
        <v>191</v>
      </c>
      <c r="F9" s="28" t="s">
        <v>192</v>
      </c>
      <c r="G9" s="28" t="s">
        <v>193</v>
      </c>
      <c r="H9" s="2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57.45" hidden="false" customHeight="true" outlineLevel="0" collapsed="false">
      <c r="A4" s="14" t="s">
        <v>197</v>
      </c>
      <c r="B4" s="34" t="s">
        <v>198</v>
      </c>
      <c r="C4" s="34"/>
      <c r="D4" s="34"/>
    </row>
    <row r="5" customFormat="false" ht="35.05" hidden="false" customHeight="true" outlineLevel="0" collapsed="false">
      <c r="A5" s="14" t="s">
        <v>199</v>
      </c>
      <c r="B5" s="34" t="s">
        <v>37</v>
      </c>
      <c r="C5" s="34"/>
      <c r="D5" s="34"/>
    </row>
    <row r="6" customFormat="false" ht="68.65" hidden="false" customHeight="true" outlineLevel="0" collapsed="false">
      <c r="A6" s="14" t="s">
        <v>200</v>
      </c>
      <c r="B6" s="34" t="s">
        <v>201</v>
      </c>
      <c r="C6" s="34"/>
      <c r="D6" s="34"/>
    </row>
    <row r="8" customFormat="false" ht="15" hidden="false" customHeight="false" outlineLevel="0" collapsed="false">
      <c r="A8" s="35" t="s">
        <v>202</v>
      </c>
    </row>
    <row r="9" customFormat="false" ht="15" hidden="false" customHeight="false" outlineLevel="0" collapsed="false">
      <c r="A9" s="36" t="s">
        <v>203</v>
      </c>
      <c r="B9" s="36" t="s">
        <v>204</v>
      </c>
      <c r="C9" s="36" t="s">
        <v>205</v>
      </c>
      <c r="D9" s="36" t="s">
        <v>206</v>
      </c>
    </row>
    <row r="10" customFormat="false" ht="68.65" hidden="false" customHeight="false" outlineLevel="0" collapsed="false">
      <c r="A10" s="28" t="s">
        <v>207</v>
      </c>
      <c r="B10" s="28" t="s">
        <v>208</v>
      </c>
      <c r="C10" s="28" t="s">
        <v>209</v>
      </c>
      <c r="D10" s="28" t="s">
        <v>210</v>
      </c>
    </row>
    <row r="11" customFormat="false" ht="68.65" hidden="false" customHeight="false" outlineLevel="0" collapsed="false">
      <c r="A11" s="28" t="s">
        <v>211</v>
      </c>
      <c r="B11" s="28" t="s">
        <v>212</v>
      </c>
      <c r="C11" s="28" t="s">
        <v>213</v>
      </c>
      <c r="D11" s="28" t="s">
        <v>214</v>
      </c>
    </row>
    <row r="12" customFormat="false" ht="57.45" hidden="false" customHeight="false" outlineLevel="0" collapsed="false">
      <c r="A12" s="28" t="s">
        <v>215</v>
      </c>
      <c r="B12" s="28" t="s">
        <v>216</v>
      </c>
      <c r="C12" s="28" t="s">
        <v>217</v>
      </c>
      <c r="D12" s="28" t="s">
        <v>218</v>
      </c>
    </row>
    <row r="13" customFormat="false" ht="68.65" hidden="false" customHeight="false" outlineLevel="0" collapsed="false">
      <c r="A13" s="28" t="s">
        <v>219</v>
      </c>
      <c r="B13" s="28" t="s">
        <v>220</v>
      </c>
      <c r="C13" s="28" t="s">
        <v>221</v>
      </c>
      <c r="D13" s="28" t="s">
        <v>222</v>
      </c>
    </row>
    <row r="14" customFormat="false" ht="46.25" hidden="false" customHeight="false" outlineLevel="0" collapsed="false">
      <c r="A14" s="28" t="s">
        <v>223</v>
      </c>
      <c r="B14" s="28" t="s">
        <v>224</v>
      </c>
      <c r="C14" s="28" t="s">
        <v>225</v>
      </c>
      <c r="D14" s="28" t="s">
        <v>226</v>
      </c>
    </row>
    <row r="15" customFormat="false" ht="46.25" hidden="false" customHeight="false" outlineLevel="0" collapsed="false">
      <c r="A15" s="28" t="s">
        <v>227</v>
      </c>
      <c r="B15" s="28" t="s">
        <v>228</v>
      </c>
      <c r="C15" s="28" t="s">
        <v>229</v>
      </c>
      <c r="D15" s="28" t="s">
        <v>230</v>
      </c>
    </row>
    <row r="16" customFormat="false" ht="46.25" hidden="false" customHeight="false" outlineLevel="0" collapsed="false">
      <c r="A16" s="28" t="s">
        <v>231</v>
      </c>
      <c r="B16" s="28" t="s">
        <v>232</v>
      </c>
      <c r="C16" s="28" t="s">
        <v>233</v>
      </c>
      <c r="D16" s="28" t="s">
        <v>234</v>
      </c>
    </row>
    <row r="17" customFormat="false" ht="57.45" hidden="false" customHeight="false" outlineLevel="0" collapsed="false">
      <c r="A17" s="28" t="s">
        <v>235</v>
      </c>
      <c r="B17" s="28" t="s">
        <v>236</v>
      </c>
      <c r="C17" s="28" t="s">
        <v>237</v>
      </c>
      <c r="D17" s="28" t="s">
        <v>238</v>
      </c>
    </row>
    <row r="18" customFormat="false" ht="68.65" hidden="false" customHeight="false" outlineLevel="0" collapsed="false">
      <c r="A18" s="28" t="s">
        <v>239</v>
      </c>
      <c r="B18" s="28" t="s">
        <v>240</v>
      </c>
      <c r="C18" s="28" t="s">
        <v>241</v>
      </c>
      <c r="D18" s="28" t="s">
        <v>242</v>
      </c>
    </row>
    <row r="19" customFormat="false" ht="35.05" hidden="false" customHeight="false" outlineLevel="0" collapsed="false">
      <c r="A19" s="28" t="s">
        <v>243</v>
      </c>
      <c r="B19" s="28" t="s">
        <v>244</v>
      </c>
      <c r="C19" s="28" t="s">
        <v>245</v>
      </c>
      <c r="D19" s="28" t="s">
        <v>246</v>
      </c>
    </row>
    <row r="20" customFormat="false" ht="57.45" hidden="false" customHeight="false" outlineLevel="0" collapsed="false">
      <c r="A20" s="28" t="s">
        <v>247</v>
      </c>
      <c r="B20" s="28" t="s">
        <v>248</v>
      </c>
      <c r="C20" s="28" t="s">
        <v>249</v>
      </c>
      <c r="D20" s="28" t="s">
        <v>250</v>
      </c>
    </row>
    <row r="22" customFormat="false" ht="15" hidden="false" customHeight="false" outlineLevel="0" collapsed="false">
      <c r="A22" s="35" t="s">
        <v>251</v>
      </c>
    </row>
    <row r="23" customFormat="false" ht="15" hidden="false" customHeight="false" outlineLevel="0" collapsed="false">
      <c r="A23" s="36" t="s">
        <v>203</v>
      </c>
      <c r="B23" s="36" t="s">
        <v>204</v>
      </c>
      <c r="C23" s="36" t="s">
        <v>205</v>
      </c>
      <c r="D23" s="36" t="s">
        <v>206</v>
      </c>
    </row>
    <row r="24" customFormat="false" ht="46.25" hidden="false" customHeight="false" outlineLevel="0" collapsed="false">
      <c r="A24" s="28" t="s">
        <v>252</v>
      </c>
      <c r="B24" s="28" t="s">
        <v>253</v>
      </c>
      <c r="C24" s="28" t="s">
        <v>254</v>
      </c>
      <c r="D24" s="28" t="s">
        <v>255</v>
      </c>
    </row>
    <row r="25" customFormat="false" ht="35.05" hidden="false" customHeight="false" outlineLevel="0" collapsed="false">
      <c r="A25" s="28" t="s">
        <v>256</v>
      </c>
      <c r="B25" s="28" t="s">
        <v>257</v>
      </c>
      <c r="C25" s="28" t="s">
        <v>258</v>
      </c>
      <c r="D25" s="28" t="s">
        <v>259</v>
      </c>
    </row>
    <row r="26" customFormat="false" ht="46.25" hidden="false" customHeight="false" outlineLevel="0" collapsed="false">
      <c r="A26" s="28" t="s">
        <v>260</v>
      </c>
      <c r="B26" s="28" t="s">
        <v>261</v>
      </c>
      <c r="C26" s="28" t="s">
        <v>262</v>
      </c>
      <c r="D26" s="28" t="s">
        <v>263</v>
      </c>
    </row>
    <row r="27" customFormat="false" ht="57.45" hidden="false" customHeight="false" outlineLevel="0" collapsed="false">
      <c r="A27" s="28" t="s">
        <v>264</v>
      </c>
      <c r="B27" s="28" t="s">
        <v>265</v>
      </c>
      <c r="C27" s="28" t="s">
        <v>266</v>
      </c>
      <c r="D27" s="28" t="s">
        <v>267</v>
      </c>
    </row>
    <row r="28" customFormat="false" ht="35.05" hidden="false" customHeight="false" outlineLevel="0" collapsed="false">
      <c r="A28" s="28" t="s">
        <v>268</v>
      </c>
      <c r="B28" s="28" t="s">
        <v>269</v>
      </c>
      <c r="C28" s="28" t="s">
        <v>270</v>
      </c>
      <c r="D28" s="28" t="s">
        <v>271</v>
      </c>
    </row>
    <row r="29" customFormat="false" ht="23.85" hidden="false" customHeight="false" outlineLevel="0" collapsed="false">
      <c r="A29" s="28" t="s">
        <v>272</v>
      </c>
      <c r="B29" s="28" t="s">
        <v>273</v>
      </c>
      <c r="C29" s="28" t="s">
        <v>274</v>
      </c>
      <c r="D29" s="28" t="s">
        <v>275</v>
      </c>
    </row>
    <row r="30" customFormat="false" ht="35.05" hidden="false" customHeight="false" outlineLevel="0" collapsed="false">
      <c r="A30" s="28" t="s">
        <v>276</v>
      </c>
      <c r="B30" s="28" t="s">
        <v>277</v>
      </c>
      <c r="C30" s="28" t="s">
        <v>278</v>
      </c>
      <c r="D30" s="28" t="s">
        <v>279</v>
      </c>
    </row>
    <row r="31" customFormat="false" ht="46.25" hidden="false" customHeight="false" outlineLevel="0" collapsed="false">
      <c r="A31" s="28" t="s">
        <v>280</v>
      </c>
      <c r="B31" s="28" t="s">
        <v>281</v>
      </c>
      <c r="C31" s="28" t="s">
        <v>282</v>
      </c>
      <c r="D31" s="28" t="s">
        <v>283</v>
      </c>
    </row>
    <row r="32" customFormat="false" ht="23.85" hidden="false" customHeight="false" outlineLevel="0" collapsed="false">
      <c r="A32" s="28" t="s">
        <v>284</v>
      </c>
      <c r="B32" s="28" t="s">
        <v>285</v>
      </c>
      <c r="C32" s="28" t="s">
        <v>286</v>
      </c>
      <c r="D32" s="28" t="s">
        <v>287</v>
      </c>
    </row>
    <row r="33" customFormat="false" ht="23.85" hidden="false" customHeight="false" outlineLevel="0" collapsed="false">
      <c r="A33" s="28" t="s">
        <v>288</v>
      </c>
      <c r="B33" s="28" t="s">
        <v>289</v>
      </c>
      <c r="C33" s="28" t="s">
        <v>290</v>
      </c>
      <c r="D33" s="28" t="s">
        <v>291</v>
      </c>
    </row>
    <row r="34" customFormat="false" ht="23.85" hidden="false" customHeight="false" outlineLevel="0" collapsed="false">
      <c r="A34" s="28" t="s">
        <v>292</v>
      </c>
      <c r="B34" s="28" t="s">
        <v>293</v>
      </c>
      <c r="C34" s="28" t="s">
        <v>294</v>
      </c>
      <c r="D34" s="28" t="s">
        <v>295</v>
      </c>
    </row>
    <row r="36" customFormat="false" ht="15" hidden="false" customHeight="false" outlineLevel="0" collapsed="false">
      <c r="A36" s="35" t="s">
        <v>296</v>
      </c>
    </row>
    <row r="37" customFormat="false" ht="15" hidden="false" customHeight="false" outlineLevel="0" collapsed="false">
      <c r="A37" s="36" t="s">
        <v>297</v>
      </c>
      <c r="B37" s="36" t="s">
        <v>298</v>
      </c>
      <c r="C37" s="36" t="s">
        <v>299</v>
      </c>
      <c r="D37" s="36" t="s">
        <v>300</v>
      </c>
    </row>
    <row r="38" customFormat="false" ht="46.25" hidden="false" customHeight="false" outlineLevel="0" collapsed="false">
      <c r="A38" s="28" t="s">
        <v>301</v>
      </c>
      <c r="B38" s="28" t="s">
        <v>302</v>
      </c>
      <c r="C38" s="28" t="s">
        <v>303</v>
      </c>
      <c r="D38" s="28" t="s">
        <v>304</v>
      </c>
    </row>
    <row r="39" customFormat="false" ht="35.05" hidden="false" customHeight="false" outlineLevel="0" collapsed="false">
      <c r="A39" s="28" t="s">
        <v>305</v>
      </c>
      <c r="B39" s="28" t="s">
        <v>306</v>
      </c>
      <c r="C39" s="28" t="s">
        <v>307</v>
      </c>
      <c r="D39" s="28" t="s">
        <v>308</v>
      </c>
    </row>
    <row r="40" customFormat="false" ht="23.85" hidden="false" customHeight="false" outlineLevel="0" collapsed="false">
      <c r="A40" s="28" t="s">
        <v>309</v>
      </c>
      <c r="B40" s="28" t="s">
        <v>310</v>
      </c>
      <c r="C40" s="28" t="s">
        <v>311</v>
      </c>
      <c r="D40" s="28" t="s">
        <v>312</v>
      </c>
    </row>
    <row r="41" customFormat="false" ht="23.85" hidden="false" customHeight="false" outlineLevel="0" collapsed="false">
      <c r="A41" s="28" t="s">
        <v>313</v>
      </c>
      <c r="B41" s="28" t="s">
        <v>314</v>
      </c>
      <c r="C41" s="28" t="s">
        <v>311</v>
      </c>
      <c r="D41" s="28" t="s">
        <v>315</v>
      </c>
    </row>
    <row r="42" customFormat="false" ht="35.05" hidden="false" customHeight="false" outlineLevel="0" collapsed="false">
      <c r="A42" s="28" t="s">
        <v>316</v>
      </c>
      <c r="B42" s="28" t="s">
        <v>317</v>
      </c>
      <c r="C42" s="28" t="s">
        <v>318</v>
      </c>
      <c r="D42" s="28" t="s">
        <v>319</v>
      </c>
    </row>
    <row r="43" customFormat="false" ht="35.05" hidden="false" customHeight="false" outlineLevel="0" collapsed="false">
      <c r="A43" s="28" t="s">
        <v>320</v>
      </c>
      <c r="B43" s="28" t="s">
        <v>321</v>
      </c>
      <c r="C43" s="28" t="s">
        <v>322</v>
      </c>
      <c r="D43" s="28" t="s">
        <v>323</v>
      </c>
    </row>
    <row r="44" customFormat="false" ht="23.85" hidden="false" customHeight="false" outlineLevel="0" collapsed="false">
      <c r="A44" s="28" t="s">
        <v>324</v>
      </c>
      <c r="B44" s="28" t="s">
        <v>325</v>
      </c>
      <c r="C44" s="28" t="s">
        <v>326</v>
      </c>
      <c r="D44" s="28" t="s">
        <v>327</v>
      </c>
    </row>
    <row r="45" customFormat="false" ht="23.85" hidden="false" customHeight="false" outlineLevel="0" collapsed="false">
      <c r="A45" s="28" t="s">
        <v>328</v>
      </c>
      <c r="B45" s="28" t="s">
        <v>329</v>
      </c>
      <c r="C45" s="28" t="s">
        <v>330</v>
      </c>
      <c r="D45" s="28" t="s">
        <v>331</v>
      </c>
    </row>
    <row r="46" customFormat="false" ht="35.05" hidden="false" customHeight="false" outlineLevel="0" collapsed="false">
      <c r="A46" s="28" t="s">
        <v>332</v>
      </c>
      <c r="B46" s="28" t="s">
        <v>333</v>
      </c>
      <c r="C46" s="28" t="s">
        <v>334</v>
      </c>
      <c r="D46" s="28" t="s">
        <v>335</v>
      </c>
    </row>
    <row r="47" customFormat="false" ht="35.05" hidden="false" customHeight="false" outlineLevel="0" collapsed="false">
      <c r="A47" s="28" t="s">
        <v>336</v>
      </c>
      <c r="B47" s="28" t="s">
        <v>337</v>
      </c>
      <c r="C47" s="28" t="s">
        <v>338</v>
      </c>
      <c r="D47" s="28" t="s">
        <v>339</v>
      </c>
    </row>
    <row r="48" customFormat="false" ht="23.85" hidden="false" customHeight="false" outlineLevel="0" collapsed="false">
      <c r="A48" s="28" t="s">
        <v>340</v>
      </c>
      <c r="B48" s="28" t="s">
        <v>341</v>
      </c>
      <c r="C48" s="28" t="s">
        <v>342</v>
      </c>
      <c r="D48" s="28" t="s">
        <v>343</v>
      </c>
    </row>
    <row r="49" customFormat="false" ht="23.85" hidden="false" customHeight="false" outlineLevel="0" collapsed="false">
      <c r="A49" s="28" t="s">
        <v>344</v>
      </c>
      <c r="B49" s="28" t="s">
        <v>345</v>
      </c>
      <c r="C49" s="28" t="s">
        <v>346</v>
      </c>
      <c r="D49" s="28" t="s">
        <v>347</v>
      </c>
    </row>
    <row r="50" customFormat="false" ht="23.85" hidden="false" customHeight="false" outlineLevel="0" collapsed="false">
      <c r="A50" s="28" t="s">
        <v>348</v>
      </c>
      <c r="B50" s="28" t="s">
        <v>349</v>
      </c>
      <c r="C50" s="28" t="s">
        <v>350</v>
      </c>
      <c r="D50" s="28" t="s">
        <v>351</v>
      </c>
    </row>
    <row r="51" customFormat="false" ht="23.85" hidden="false" customHeight="false" outlineLevel="0" collapsed="false">
      <c r="A51" s="28" t="s">
        <v>352</v>
      </c>
      <c r="B51" s="28" t="s">
        <v>353</v>
      </c>
      <c r="C51" s="28" t="s">
        <v>354</v>
      </c>
      <c r="D51" s="28" t="s">
        <v>355</v>
      </c>
    </row>
    <row r="52" customFormat="false" ht="46.25" hidden="false" customHeight="false" outlineLevel="0" collapsed="false">
      <c r="A52" s="28" t="s">
        <v>301</v>
      </c>
      <c r="B52" s="28" t="s">
        <v>356</v>
      </c>
      <c r="C52" s="28" t="s">
        <v>357</v>
      </c>
      <c r="D52" s="28" t="s">
        <v>358</v>
      </c>
    </row>
    <row r="53" customFormat="false" ht="46.25" hidden="false" customHeight="false" outlineLevel="0" collapsed="false">
      <c r="A53" s="28" t="s">
        <v>359</v>
      </c>
      <c r="B53" s="28" t="s">
        <v>360</v>
      </c>
      <c r="C53" s="28" t="s">
        <v>361</v>
      </c>
      <c r="D53" s="28" t="s">
        <v>362</v>
      </c>
    </row>
    <row r="54" customFormat="false" ht="46.25" hidden="false" customHeight="false" outlineLevel="0" collapsed="false">
      <c r="A54" s="28" t="s">
        <v>305</v>
      </c>
      <c r="B54" s="28" t="s">
        <v>306</v>
      </c>
      <c r="C54" s="28" t="s">
        <v>307</v>
      </c>
      <c r="D54" s="28" t="s">
        <v>363</v>
      </c>
    </row>
    <row r="55" customFormat="false" ht="23.85" hidden="false" customHeight="false" outlineLevel="0" collapsed="false">
      <c r="A55" s="28" t="s">
        <v>364</v>
      </c>
      <c r="B55" s="28" t="s">
        <v>365</v>
      </c>
      <c r="C55" s="28" t="s">
        <v>366</v>
      </c>
      <c r="D55" s="28" t="s">
        <v>367</v>
      </c>
    </row>
    <row r="56" customFormat="false" ht="23.85" hidden="false" customHeight="false" outlineLevel="0" collapsed="false">
      <c r="A56" s="28" t="s">
        <v>368</v>
      </c>
      <c r="B56" s="28" t="s">
        <v>369</v>
      </c>
      <c r="C56" s="28" t="s">
        <v>370</v>
      </c>
      <c r="D56" s="28" t="s">
        <v>371</v>
      </c>
    </row>
    <row r="57" customFormat="false" ht="23.85" hidden="false" customHeight="false" outlineLevel="0" collapsed="false">
      <c r="A57" s="28" t="s">
        <v>372</v>
      </c>
      <c r="B57" s="28" t="s">
        <v>373</v>
      </c>
      <c r="C57" s="28" t="s">
        <v>374</v>
      </c>
      <c r="D57" s="28" t="s">
        <v>375</v>
      </c>
    </row>
    <row r="58" customFormat="false" ht="23.85" hidden="false" customHeight="false" outlineLevel="0" collapsed="false">
      <c r="A58" s="28" t="s">
        <v>376</v>
      </c>
      <c r="B58" s="28" t="s">
        <v>377</v>
      </c>
      <c r="C58" s="28" t="s">
        <v>337</v>
      </c>
      <c r="D58" s="28" t="s">
        <v>378</v>
      </c>
    </row>
    <row r="59" customFormat="false" ht="23.85" hidden="false" customHeight="false" outlineLevel="0" collapsed="false">
      <c r="A59" s="28" t="s">
        <v>379</v>
      </c>
      <c r="B59" s="28" t="s">
        <v>380</v>
      </c>
      <c r="C59" s="28" t="s">
        <v>381</v>
      </c>
      <c r="D59" s="28" t="s">
        <v>382</v>
      </c>
    </row>
    <row r="60" customFormat="false" ht="23.85" hidden="false" customHeight="false" outlineLevel="0" collapsed="false">
      <c r="A60" s="28" t="s">
        <v>383</v>
      </c>
      <c r="B60" s="28" t="s">
        <v>384</v>
      </c>
      <c r="C60" s="28" t="s">
        <v>385</v>
      </c>
      <c r="D60" s="28" t="s">
        <v>386</v>
      </c>
    </row>
    <row r="61" customFormat="false" ht="23.85" hidden="false" customHeight="false" outlineLevel="0" collapsed="false">
      <c r="A61" s="28" t="s">
        <v>387</v>
      </c>
      <c r="B61" s="28" t="s">
        <v>388</v>
      </c>
      <c r="C61" s="28" t="s">
        <v>389</v>
      </c>
      <c r="D61" s="28" t="s">
        <v>390</v>
      </c>
    </row>
    <row r="62" customFormat="false" ht="23.85" hidden="false" customHeight="false" outlineLevel="0" collapsed="false">
      <c r="A62" s="28" t="s">
        <v>391</v>
      </c>
      <c r="B62" s="28" t="s">
        <v>392</v>
      </c>
      <c r="C62" s="28" t="s">
        <v>393</v>
      </c>
      <c r="D62" s="28" t="s">
        <v>394</v>
      </c>
    </row>
    <row r="64" customFormat="false" ht="15" hidden="false" customHeight="false" outlineLevel="0" collapsed="false">
      <c r="A64" s="35" t="s">
        <v>395</v>
      </c>
    </row>
    <row r="65" customFormat="false" ht="15" hidden="false" customHeight="false" outlineLevel="0" collapsed="false">
      <c r="A65" s="36" t="s">
        <v>105</v>
      </c>
      <c r="B65" s="36" t="s">
        <v>396</v>
      </c>
      <c r="C65" s="36" t="s">
        <v>397</v>
      </c>
    </row>
    <row r="66" customFormat="false" ht="270.1" hidden="false" customHeight="false" outlineLevel="0" collapsed="false">
      <c r="A66" s="5" t="s">
        <v>398</v>
      </c>
      <c r="B66" s="28" t="s">
        <v>399</v>
      </c>
      <c r="C66" s="28" t="s">
        <v>400</v>
      </c>
    </row>
    <row r="67" customFormat="false" ht="236.55" hidden="false" customHeight="false" outlineLevel="0" collapsed="false">
      <c r="A67" s="5" t="s">
        <v>401</v>
      </c>
      <c r="B67" s="28" t="s">
        <v>402</v>
      </c>
      <c r="C67" s="28" t="s">
        <v>403</v>
      </c>
    </row>
    <row r="68" customFormat="false" ht="236.55" hidden="false" customHeight="false" outlineLevel="0" collapsed="false">
      <c r="A68" s="5" t="s">
        <v>404</v>
      </c>
      <c r="B68" s="28" t="s">
        <v>405</v>
      </c>
      <c r="C68" s="28" t="s">
        <v>406</v>
      </c>
    </row>
    <row r="69" customFormat="false" ht="258.95" hidden="false" customHeight="false" outlineLevel="0" collapsed="false">
      <c r="A69" s="5" t="s">
        <v>407</v>
      </c>
      <c r="B69" s="28" t="s">
        <v>408</v>
      </c>
      <c r="C69" s="28" t="s">
        <v>409</v>
      </c>
    </row>
    <row r="70" customFormat="false" ht="225.35" hidden="false" customHeight="false" outlineLevel="0" collapsed="false">
      <c r="A70" s="5" t="s">
        <v>410</v>
      </c>
      <c r="B70" s="28" t="s">
        <v>411</v>
      </c>
      <c r="C70" s="28" t="s">
        <v>412</v>
      </c>
    </row>
    <row r="72" customFormat="false" ht="15" hidden="false" customHeight="false" outlineLevel="0" collapsed="false">
      <c r="A72" s="35" t="s">
        <v>413</v>
      </c>
    </row>
    <row r="73" customFormat="false" ht="23.85" hidden="false" customHeight="true" outlineLevel="0" collapsed="false">
      <c r="B73" s="34" t="s">
        <v>414</v>
      </c>
      <c r="C73" s="34"/>
      <c r="D73" s="34"/>
    </row>
    <row r="74" customFormat="false" ht="15" hidden="false" customHeight="true" outlineLevel="0" collapsed="false">
      <c r="B74" s="34" t="s">
        <v>415</v>
      </c>
      <c r="C74" s="34"/>
      <c r="D74" s="34"/>
    </row>
    <row r="75" customFormat="false" ht="23.85" hidden="false" customHeight="true" outlineLevel="0" collapsed="false">
      <c r="B75" s="34" t="s">
        <v>416</v>
      </c>
      <c r="C75" s="34"/>
      <c r="D75" s="34"/>
    </row>
    <row r="76" customFormat="false" ht="23.85" hidden="false" customHeight="true" outlineLevel="0" collapsed="false">
      <c r="B76" s="34" t="s">
        <v>417</v>
      </c>
      <c r="C76" s="34"/>
      <c r="D76" s="34"/>
    </row>
    <row r="77" customFormat="false" ht="23.85" hidden="false" customHeight="true" outlineLevel="0" collapsed="false">
      <c r="B77" s="34" t="s">
        <v>418</v>
      </c>
      <c r="C77" s="34"/>
      <c r="D77" s="34"/>
    </row>
    <row r="78" customFormat="false" ht="23.85" hidden="false" customHeight="true" outlineLevel="0" collapsed="false">
      <c r="B78" s="34" t="s">
        <v>419</v>
      </c>
      <c r="C78" s="34"/>
      <c r="D78" s="34"/>
    </row>
    <row r="79" customFormat="false" ht="23.85" hidden="false" customHeight="true" outlineLevel="0" collapsed="false">
      <c r="B79" s="34" t="s">
        <v>420</v>
      </c>
      <c r="C79" s="34"/>
      <c r="D79" s="34"/>
    </row>
    <row r="80" customFormat="false" ht="23.85" hidden="false" customHeight="true" outlineLevel="0" collapsed="false">
      <c r="B80" s="34" t="s">
        <v>421</v>
      </c>
      <c r="C80" s="34"/>
      <c r="D80" s="34"/>
    </row>
    <row r="81" customFormat="false" ht="15" hidden="false" customHeight="true" outlineLevel="0" collapsed="false">
      <c r="B81" s="34" t="s">
        <v>422</v>
      </c>
      <c r="C81" s="34"/>
      <c r="D81" s="34"/>
    </row>
    <row r="82" customFormat="false" ht="15" hidden="false" customHeight="true" outlineLevel="0" collapsed="false">
      <c r="B82" s="34" t="s">
        <v>423</v>
      </c>
      <c r="C82" s="34"/>
      <c r="D82" s="34"/>
    </row>
    <row r="83" customFormat="false" ht="15" hidden="false" customHeight="true" outlineLevel="0" collapsed="false">
      <c r="B83" s="34" t="s">
        <v>424</v>
      </c>
      <c r="C83" s="34"/>
      <c r="D83" s="34"/>
    </row>
    <row r="84" customFormat="false" ht="15" hidden="false" customHeight="true" outlineLevel="0" collapsed="false">
      <c r="B84" s="34" t="s">
        <v>425</v>
      </c>
      <c r="C84" s="34"/>
      <c r="D84" s="34"/>
    </row>
    <row r="85" customFormat="false" ht="23.85" hidden="false" customHeight="true" outlineLevel="0" collapsed="false">
      <c r="B85" s="34" t="s">
        <v>426</v>
      </c>
      <c r="C85" s="34"/>
      <c r="D85" s="34"/>
    </row>
    <row r="86" customFormat="false" ht="23.85" hidden="false" customHeight="true" outlineLevel="0" collapsed="false">
      <c r="B86" s="34" t="s">
        <v>427</v>
      </c>
      <c r="C86" s="34"/>
      <c r="D86" s="34"/>
    </row>
    <row r="87" customFormat="false" ht="23.85" hidden="false" customHeight="true" outlineLevel="0" collapsed="false">
      <c r="B87" s="34" t="s">
        <v>428</v>
      </c>
      <c r="C87" s="34"/>
      <c r="D87" s="34"/>
    </row>
    <row r="88" customFormat="false" ht="23.85" hidden="false" customHeight="true" outlineLevel="0" collapsed="false">
      <c r="B88" s="34" t="s">
        <v>429</v>
      </c>
      <c r="C88" s="34"/>
      <c r="D88" s="34"/>
    </row>
    <row r="89" customFormat="false" ht="23.85" hidden="false" customHeight="true" outlineLevel="0" collapsed="false">
      <c r="B89" s="34" t="s">
        <v>430</v>
      </c>
      <c r="C89" s="34"/>
      <c r="D89" s="34"/>
    </row>
    <row r="90" customFormat="false" ht="23.85" hidden="false" customHeight="true" outlineLevel="0" collapsed="false">
      <c r="B90" s="34" t="s">
        <v>431</v>
      </c>
      <c r="C90" s="34"/>
      <c r="D90" s="34"/>
    </row>
    <row r="91" customFormat="false" ht="15" hidden="false" customHeight="true" outlineLevel="0" collapsed="false">
      <c r="B91" s="34" t="s">
        <v>432</v>
      </c>
      <c r="C91" s="34"/>
      <c r="D91" s="34"/>
    </row>
    <row r="92" customFormat="false" ht="15" hidden="false" customHeight="true" outlineLevel="0" collapsed="false">
      <c r="B92" s="34" t="s">
        <v>433</v>
      </c>
      <c r="C92" s="34"/>
      <c r="D92" s="34"/>
    </row>
    <row r="93" customFormat="false" ht="23.85" hidden="false" customHeight="true" outlineLevel="0" collapsed="false">
      <c r="B93" s="34" t="s">
        <v>434</v>
      </c>
      <c r="C93" s="34"/>
      <c r="D93" s="34"/>
    </row>
    <row r="94" customFormat="false" ht="15" hidden="false" customHeight="true" outlineLevel="0" collapsed="false">
      <c r="B94" s="34" t="s">
        <v>435</v>
      </c>
      <c r="C94" s="34"/>
      <c r="D94" s="34"/>
    </row>
    <row r="95" customFormat="false" ht="23.85" hidden="false" customHeight="true" outlineLevel="0" collapsed="false">
      <c r="B95" s="34" t="s">
        <v>436</v>
      </c>
      <c r="C95" s="34"/>
      <c r="D95" s="34"/>
    </row>
    <row r="96" customFormat="false" ht="15" hidden="false" customHeight="true" outlineLevel="0" collapsed="false">
      <c r="B96" s="34" t="s">
        <v>437</v>
      </c>
      <c r="C96" s="34"/>
      <c r="D96" s="34"/>
    </row>
    <row r="97" customFormat="false" ht="23.85" hidden="false" customHeight="true" outlineLevel="0" collapsed="false">
      <c r="B97" s="34" t="s">
        <v>438</v>
      </c>
      <c r="C97" s="34"/>
      <c r="D97" s="34"/>
    </row>
    <row r="98" customFormat="false" ht="23.85" hidden="false" customHeight="true" outlineLevel="0" collapsed="false">
      <c r="B98" s="34" t="s">
        <v>439</v>
      </c>
      <c r="C98" s="34"/>
      <c r="D98" s="34"/>
    </row>
    <row r="99" customFormat="false" ht="23.85" hidden="false" customHeight="true" outlineLevel="0" collapsed="false">
      <c r="B99" s="34" t="s">
        <v>440</v>
      </c>
      <c r="C99" s="34"/>
      <c r="D99" s="34"/>
    </row>
    <row r="100" customFormat="false" ht="23.85" hidden="false" customHeight="true" outlineLevel="0" collapsed="false">
      <c r="B100" s="34" t="s">
        <v>441</v>
      </c>
      <c r="C100" s="34"/>
      <c r="D100" s="34"/>
    </row>
    <row r="101" customFormat="false" ht="15" hidden="false" customHeight="true" outlineLevel="0" collapsed="false">
      <c r="B101" s="34" t="s">
        <v>442</v>
      </c>
      <c r="C101" s="34"/>
      <c r="D101" s="34"/>
    </row>
    <row r="102" customFormat="false" ht="23.85" hidden="false" customHeight="true" outlineLevel="0" collapsed="false">
      <c r="B102" s="34" t="s">
        <v>443</v>
      </c>
      <c r="C102" s="34"/>
      <c r="D102" s="34"/>
    </row>
    <row r="103" customFormat="false" ht="15" hidden="false" customHeight="true" outlineLevel="0" collapsed="false">
      <c r="B103" s="34" t="s">
        <v>444</v>
      </c>
      <c r="C103" s="34"/>
      <c r="D103" s="34"/>
    </row>
    <row r="104" customFormat="false" ht="23.85" hidden="false" customHeight="true" outlineLevel="0" collapsed="false">
      <c r="B104" s="34" t="s">
        <v>445</v>
      </c>
      <c r="C104" s="34"/>
      <c r="D104" s="34"/>
    </row>
    <row r="105" customFormat="false" ht="23.85" hidden="false" customHeight="true" outlineLevel="0" collapsed="false">
      <c r="B105" s="34" t="s">
        <v>446</v>
      </c>
      <c r="C105" s="34"/>
      <c r="D105" s="34"/>
    </row>
    <row r="106" customFormat="false" ht="23.85" hidden="false" customHeight="true" outlineLevel="0" collapsed="false">
      <c r="B106" s="34" t="s">
        <v>447</v>
      </c>
      <c r="C106" s="34"/>
      <c r="D106" s="34"/>
    </row>
    <row r="107" customFormat="false" ht="23.85" hidden="false" customHeight="true" outlineLevel="0" collapsed="false">
      <c r="B107" s="34" t="s">
        <v>448</v>
      </c>
      <c r="C107" s="34"/>
      <c r="D107" s="34"/>
    </row>
    <row r="108" customFormat="false" ht="23.85" hidden="false" customHeight="true" outlineLevel="0" collapsed="false">
      <c r="B108" s="34" t="s">
        <v>449</v>
      </c>
      <c r="C108" s="34"/>
      <c r="D108" s="34"/>
    </row>
    <row r="109" customFormat="false" ht="23.85" hidden="false" customHeight="true" outlineLevel="0" collapsed="false">
      <c r="B109" s="34" t="s">
        <v>450</v>
      </c>
      <c r="C109" s="34"/>
      <c r="D109" s="34"/>
    </row>
    <row r="110" customFormat="false" ht="23.85" hidden="false" customHeight="true" outlineLevel="0" collapsed="false">
      <c r="B110" s="34" t="s">
        <v>451</v>
      </c>
      <c r="C110" s="34"/>
      <c r="D110" s="34"/>
    </row>
    <row r="111" customFormat="false" ht="23.85" hidden="false" customHeight="true" outlineLevel="0" collapsed="false">
      <c r="B111" s="34" t="s">
        <v>452</v>
      </c>
      <c r="C111" s="34"/>
      <c r="D111" s="34"/>
    </row>
    <row r="112" customFormat="false" ht="23.85" hidden="false" customHeight="true" outlineLevel="0" collapsed="false">
      <c r="B112" s="34" t="s">
        <v>453</v>
      </c>
      <c r="C112" s="34"/>
      <c r="D112" s="34"/>
    </row>
    <row r="113" customFormat="false" ht="23.85" hidden="false" customHeight="true" outlineLevel="0" collapsed="false">
      <c r="B113" s="34" t="s">
        <v>454</v>
      </c>
      <c r="C113" s="34"/>
      <c r="D113" s="34"/>
    </row>
    <row r="114" customFormat="false" ht="23.85" hidden="false" customHeight="true" outlineLevel="0" collapsed="false">
      <c r="B114" s="34" t="s">
        <v>455</v>
      </c>
      <c r="C114" s="34"/>
      <c r="D114" s="34"/>
    </row>
    <row r="115" customFormat="false" ht="15" hidden="false" customHeight="true" outlineLevel="0" collapsed="false">
      <c r="B115" s="34" t="s">
        <v>456</v>
      </c>
      <c r="C115" s="34"/>
      <c r="D115" s="34"/>
    </row>
    <row r="116" customFormat="false" ht="15" hidden="false" customHeight="true" outlineLevel="0" collapsed="false">
      <c r="B116" s="34" t="s">
        <v>457</v>
      </c>
      <c r="C116" s="34"/>
      <c r="D116" s="34"/>
    </row>
    <row r="117" customFormat="false" ht="15" hidden="false" customHeight="true" outlineLevel="0" collapsed="false">
      <c r="B117" s="34" t="s">
        <v>458</v>
      </c>
      <c r="C117" s="34"/>
      <c r="D117" s="34"/>
    </row>
    <row r="118" customFormat="false" ht="23.85" hidden="false" customHeight="true" outlineLevel="0" collapsed="false">
      <c r="B118" s="34" t="s">
        <v>459</v>
      </c>
      <c r="C118" s="34"/>
      <c r="D118" s="34"/>
    </row>
    <row r="119" customFormat="false" ht="15" hidden="false" customHeight="true" outlineLevel="0" collapsed="false">
      <c r="B119" s="34" t="s">
        <v>460</v>
      </c>
      <c r="C119" s="34"/>
      <c r="D119" s="34"/>
    </row>
    <row r="120" customFormat="false" ht="15" hidden="false" customHeight="true" outlineLevel="0" collapsed="false">
      <c r="B120" s="34" t="s">
        <v>461</v>
      </c>
      <c r="C120" s="34"/>
      <c r="D120" s="34"/>
    </row>
    <row r="121" customFormat="false" ht="15" hidden="false" customHeight="true" outlineLevel="0" collapsed="false">
      <c r="B121" s="34" t="s">
        <v>462</v>
      </c>
      <c r="C121" s="34"/>
      <c r="D121" s="34"/>
    </row>
    <row r="122" customFormat="false" ht="15" hidden="false" customHeight="true" outlineLevel="0" collapsed="false">
      <c r="B122" s="34" t="s">
        <v>463</v>
      </c>
      <c r="C122" s="34"/>
      <c r="D122" s="34"/>
    </row>
    <row r="123" customFormat="false" ht="23.85" hidden="false" customHeight="true" outlineLevel="0" collapsed="false">
      <c r="B123" s="34" t="s">
        <v>464</v>
      </c>
      <c r="C123" s="34"/>
      <c r="D123" s="34"/>
    </row>
    <row r="124" customFormat="false" ht="15" hidden="false" customHeight="true" outlineLevel="0" collapsed="false">
      <c r="B124" s="34" t="s">
        <v>465</v>
      </c>
      <c r="C124" s="34"/>
      <c r="D124" s="34"/>
    </row>
    <row r="125" customFormat="false" ht="23.85" hidden="false" customHeight="true" outlineLevel="0" collapsed="false">
      <c r="B125" s="34" t="s">
        <v>466</v>
      </c>
      <c r="C125" s="34"/>
      <c r="D125" s="34"/>
    </row>
    <row r="126" customFormat="false" ht="15" hidden="false" customHeight="true" outlineLevel="0" collapsed="false">
      <c r="B126" s="34" t="s">
        <v>467</v>
      </c>
      <c r="C126" s="34"/>
      <c r="D126" s="34"/>
    </row>
    <row r="127" customFormat="false" ht="23.85" hidden="false" customHeight="true" outlineLevel="0" collapsed="false">
      <c r="B127" s="34" t="s">
        <v>468</v>
      </c>
      <c r="C127" s="34"/>
      <c r="D127" s="34"/>
    </row>
    <row r="128" customFormat="false" ht="23.85" hidden="false" customHeight="true" outlineLevel="0" collapsed="false">
      <c r="B128" s="34" t="s">
        <v>469</v>
      </c>
      <c r="C128" s="34"/>
      <c r="D128" s="34"/>
    </row>
    <row r="129" customFormat="false" ht="23.85" hidden="false" customHeight="true" outlineLevel="0" collapsed="false">
      <c r="B129" s="34" t="s">
        <v>470</v>
      </c>
      <c r="C129" s="34"/>
      <c r="D129" s="34"/>
    </row>
    <row r="130" customFormat="false" ht="23.85" hidden="false" customHeight="true" outlineLevel="0" collapsed="false">
      <c r="B130" s="34" t="s">
        <v>471</v>
      </c>
      <c r="C130" s="34"/>
      <c r="D130" s="34"/>
    </row>
    <row r="131" customFormat="false" ht="23.85" hidden="false" customHeight="true" outlineLevel="0" collapsed="false">
      <c r="B131" s="34" t="s">
        <v>472</v>
      </c>
      <c r="C131" s="34"/>
      <c r="D131" s="34"/>
    </row>
    <row r="132" customFormat="false" ht="23.85" hidden="false" customHeight="true" outlineLevel="0" collapsed="false">
      <c r="B132" s="34" t="s">
        <v>473</v>
      </c>
      <c r="C132" s="34"/>
      <c r="D132" s="34"/>
    </row>
    <row r="133" customFormat="false" ht="23.85" hidden="false" customHeight="true" outlineLevel="0" collapsed="false">
      <c r="B133" s="34" t="s">
        <v>474</v>
      </c>
      <c r="C133" s="34"/>
      <c r="D133" s="34"/>
    </row>
    <row r="134" customFormat="false" ht="23.85" hidden="false" customHeight="true" outlineLevel="0" collapsed="false">
      <c r="B134" s="34" t="s">
        <v>475</v>
      </c>
      <c r="C134" s="34"/>
      <c r="D134" s="34"/>
    </row>
    <row r="135" customFormat="false" ht="23.85" hidden="false" customHeight="true" outlineLevel="0" collapsed="false">
      <c r="B135" s="34" t="s">
        <v>476</v>
      </c>
      <c r="C135" s="34"/>
      <c r="D135" s="34"/>
    </row>
    <row r="136" customFormat="false" ht="23.85" hidden="false" customHeight="true" outlineLevel="0" collapsed="false">
      <c r="B136" s="34" t="s">
        <v>477</v>
      </c>
      <c r="C136" s="34"/>
      <c r="D136" s="34"/>
    </row>
    <row r="137" customFormat="false" ht="15" hidden="false" customHeight="true" outlineLevel="0" collapsed="false">
      <c r="B137" s="34" t="s">
        <v>478</v>
      </c>
      <c r="C137" s="34"/>
      <c r="D137" s="34"/>
    </row>
    <row r="138" customFormat="false" ht="23.85" hidden="false" customHeight="true" outlineLevel="0" collapsed="false">
      <c r="B138" s="34" t="s">
        <v>479</v>
      </c>
      <c r="C138" s="34"/>
      <c r="D138" s="34"/>
    </row>
    <row r="139" customFormat="false" ht="23.85" hidden="false" customHeight="true" outlineLevel="0" collapsed="false">
      <c r="B139" s="34" t="s">
        <v>480</v>
      </c>
      <c r="C139" s="34"/>
      <c r="D139" s="34"/>
    </row>
    <row r="140" customFormat="false" ht="23.85" hidden="false" customHeight="true" outlineLevel="0" collapsed="false">
      <c r="B140" s="34" t="s">
        <v>481</v>
      </c>
      <c r="C140" s="34"/>
      <c r="D140" s="34"/>
    </row>
    <row r="141" customFormat="false" ht="23.85" hidden="false" customHeight="true" outlineLevel="0" collapsed="false">
      <c r="B141" s="34" t="s">
        <v>482</v>
      </c>
      <c r="C141" s="34"/>
      <c r="D141" s="34"/>
    </row>
    <row r="142" customFormat="false" ht="23.85" hidden="false" customHeight="true" outlineLevel="0" collapsed="false">
      <c r="B142" s="34" t="s">
        <v>483</v>
      </c>
      <c r="C142" s="34"/>
      <c r="D142" s="34"/>
    </row>
    <row r="143" customFormat="false" ht="23.85" hidden="false" customHeight="true" outlineLevel="0" collapsed="false">
      <c r="B143" s="34" t="s">
        <v>484</v>
      </c>
      <c r="C143" s="34"/>
      <c r="D143" s="34"/>
    </row>
    <row r="144" customFormat="false" ht="23.85" hidden="false" customHeight="true" outlineLevel="0" collapsed="false">
      <c r="B144" s="34" t="s">
        <v>485</v>
      </c>
      <c r="C144" s="34"/>
      <c r="D144" s="34"/>
    </row>
    <row r="145" customFormat="false" ht="23.85" hidden="false" customHeight="true" outlineLevel="0" collapsed="false">
      <c r="B145" s="34" t="s">
        <v>486</v>
      </c>
      <c r="C145" s="34"/>
      <c r="D145" s="34"/>
    </row>
    <row r="146" customFormat="false" ht="23.85" hidden="false" customHeight="true" outlineLevel="0" collapsed="false">
      <c r="B146" s="34" t="s">
        <v>487</v>
      </c>
      <c r="C146" s="34"/>
      <c r="D146" s="34"/>
    </row>
    <row r="147" customFormat="false" ht="23.85" hidden="false" customHeight="true" outlineLevel="0" collapsed="false">
      <c r="B147" s="34" t="s">
        <v>488</v>
      </c>
      <c r="C147" s="34"/>
      <c r="D147" s="34"/>
    </row>
    <row r="148" customFormat="false" ht="23.85" hidden="false" customHeight="true" outlineLevel="0" collapsed="false">
      <c r="B148" s="34" t="s">
        <v>489</v>
      </c>
      <c r="C148" s="34"/>
      <c r="D148" s="34"/>
    </row>
    <row r="149" customFormat="false" ht="23.85" hidden="false" customHeight="true" outlineLevel="0" collapsed="false">
      <c r="B149" s="34" t="s">
        <v>490</v>
      </c>
      <c r="C149" s="34"/>
      <c r="D149" s="34"/>
    </row>
    <row r="150" customFormat="false" ht="23.85" hidden="false" customHeight="true" outlineLevel="0" collapsed="false">
      <c r="B150" s="34" t="s">
        <v>491</v>
      </c>
      <c r="C150" s="34"/>
      <c r="D150" s="34"/>
    </row>
    <row r="151" customFormat="false" ht="23.85" hidden="false" customHeight="true" outlineLevel="0" collapsed="false">
      <c r="B151" s="34" t="s">
        <v>492</v>
      </c>
      <c r="C151" s="34"/>
      <c r="D151" s="34"/>
    </row>
    <row r="152" customFormat="false" ht="23.85" hidden="false" customHeight="true" outlineLevel="0" collapsed="false">
      <c r="B152" s="34" t="s">
        <v>493</v>
      </c>
      <c r="C152" s="34"/>
      <c r="D152" s="34"/>
    </row>
    <row r="153" customFormat="false" ht="23.85" hidden="false" customHeight="true" outlineLevel="0" collapsed="false">
      <c r="B153" s="34" t="s">
        <v>494</v>
      </c>
      <c r="C153" s="34"/>
      <c r="D153" s="34"/>
    </row>
    <row r="154" customFormat="false" ht="23.85" hidden="false" customHeight="true" outlineLevel="0" collapsed="false">
      <c r="B154" s="34" t="s">
        <v>495</v>
      </c>
      <c r="C154" s="34"/>
      <c r="D154" s="34"/>
    </row>
    <row r="155" customFormat="false" ht="15" hidden="false" customHeight="true" outlineLevel="0" collapsed="false">
      <c r="B155" s="34" t="s">
        <v>496</v>
      </c>
      <c r="C155" s="34"/>
      <c r="D155" s="34"/>
    </row>
    <row r="156" customFormat="false" ht="15" hidden="false" customHeight="true" outlineLevel="0" collapsed="false">
      <c r="B156" s="34" t="s">
        <v>497</v>
      </c>
      <c r="C156" s="34"/>
      <c r="D156" s="34"/>
    </row>
    <row r="157" customFormat="false" ht="23.85" hidden="false" customHeight="true" outlineLevel="0" collapsed="false">
      <c r="B157" s="34" t="s">
        <v>498</v>
      </c>
      <c r="C157" s="34"/>
      <c r="D157" s="34"/>
    </row>
    <row r="158" customFormat="false" ht="23.85" hidden="false" customHeight="true" outlineLevel="0" collapsed="false">
      <c r="B158" s="34" t="s">
        <v>499</v>
      </c>
      <c r="C158" s="34"/>
      <c r="D158" s="34"/>
    </row>
    <row r="159" customFormat="false" ht="23.85" hidden="false" customHeight="true" outlineLevel="0" collapsed="false">
      <c r="B159" s="34" t="s">
        <v>500</v>
      </c>
      <c r="C159" s="34"/>
      <c r="D159" s="34"/>
    </row>
    <row r="160" customFormat="false" ht="23.85" hidden="false" customHeight="true" outlineLevel="0" collapsed="false">
      <c r="B160" s="34" t="s">
        <v>501</v>
      </c>
      <c r="C160" s="34"/>
      <c r="D160" s="34"/>
    </row>
    <row r="161" customFormat="false" ht="23.85" hidden="false" customHeight="true" outlineLevel="0" collapsed="false">
      <c r="B161" s="34" t="s">
        <v>502</v>
      </c>
      <c r="C161" s="34"/>
      <c r="D161" s="34"/>
    </row>
    <row r="162" customFormat="false" ht="23.85" hidden="false" customHeight="true" outlineLevel="0" collapsed="false">
      <c r="B162" s="34" t="s">
        <v>503</v>
      </c>
      <c r="C162" s="34"/>
      <c r="D162" s="34"/>
    </row>
    <row r="163" customFormat="false" ht="23.85" hidden="false" customHeight="true" outlineLevel="0" collapsed="false">
      <c r="B163" s="34" t="s">
        <v>504</v>
      </c>
      <c r="C163" s="34"/>
      <c r="D163" s="34"/>
    </row>
    <row r="164" customFormat="false" ht="23.85" hidden="false" customHeight="true" outlineLevel="0" collapsed="false">
      <c r="B164" s="34" t="s">
        <v>505</v>
      </c>
      <c r="C164" s="34"/>
      <c r="D164" s="34"/>
    </row>
    <row r="165" customFormat="false" ht="23.85" hidden="false" customHeight="true" outlineLevel="0" collapsed="false">
      <c r="B165" s="34" t="s">
        <v>506</v>
      </c>
      <c r="C165" s="34"/>
      <c r="D165" s="34"/>
    </row>
    <row r="166" customFormat="false" ht="23.85" hidden="false" customHeight="true" outlineLevel="0" collapsed="false">
      <c r="B166" s="34" t="s">
        <v>507</v>
      </c>
      <c r="C166" s="34"/>
      <c r="D166" s="34"/>
    </row>
    <row r="167" customFormat="false" ht="23.85" hidden="false" customHeight="true" outlineLevel="0" collapsed="false">
      <c r="B167" s="34" t="s">
        <v>508</v>
      </c>
      <c r="C167" s="34"/>
      <c r="D167" s="34"/>
    </row>
    <row r="168" customFormat="false" ht="23.85" hidden="false" customHeight="true" outlineLevel="0" collapsed="false">
      <c r="B168" s="34" t="s">
        <v>509</v>
      </c>
      <c r="C168" s="34"/>
      <c r="D168" s="34"/>
    </row>
    <row r="169" customFormat="false" ht="23.85" hidden="false" customHeight="true" outlineLevel="0" collapsed="false">
      <c r="B169" s="34" t="s">
        <v>510</v>
      </c>
      <c r="C169" s="34"/>
      <c r="D169" s="34"/>
    </row>
    <row r="170" customFormat="false" ht="23.85" hidden="false" customHeight="true" outlineLevel="0" collapsed="false">
      <c r="B170" s="34" t="s">
        <v>511</v>
      </c>
      <c r="C170" s="34"/>
      <c r="D170" s="34"/>
    </row>
    <row r="171" customFormat="false" ht="23.85" hidden="false" customHeight="true" outlineLevel="0" collapsed="false">
      <c r="B171" s="34" t="s">
        <v>512</v>
      </c>
      <c r="C171" s="34"/>
      <c r="D171" s="34"/>
    </row>
    <row r="172" customFormat="false" ht="23.85" hidden="false" customHeight="true" outlineLevel="0" collapsed="false">
      <c r="B172" s="34" t="s">
        <v>513</v>
      </c>
      <c r="C172" s="34"/>
      <c r="D172" s="34"/>
    </row>
    <row r="173" customFormat="false" ht="23.85" hidden="false" customHeight="true" outlineLevel="0" collapsed="false">
      <c r="B173" s="34" t="s">
        <v>514</v>
      </c>
      <c r="C173" s="34"/>
      <c r="D173" s="34"/>
    </row>
    <row r="174" customFormat="false" ht="15" hidden="false" customHeight="true" outlineLevel="0" collapsed="false">
      <c r="B174" s="34" t="s">
        <v>515</v>
      </c>
      <c r="C174" s="34"/>
      <c r="D174" s="34"/>
    </row>
    <row r="175" customFormat="false" ht="15" hidden="false" customHeight="true" outlineLevel="0" collapsed="false">
      <c r="B175" s="34" t="s">
        <v>516</v>
      </c>
      <c r="C175" s="34"/>
      <c r="D175" s="34"/>
    </row>
    <row r="176" customFormat="false" ht="15" hidden="false" customHeight="true" outlineLevel="0" collapsed="false">
      <c r="B176" s="34" t="s">
        <v>517</v>
      </c>
      <c r="C176" s="34"/>
      <c r="D176" s="34"/>
    </row>
    <row r="177" customFormat="false" ht="15" hidden="false" customHeight="true" outlineLevel="0" collapsed="false">
      <c r="B177" s="34" t="s">
        <v>518</v>
      </c>
      <c r="C177" s="34"/>
      <c r="D177" s="34"/>
    </row>
    <row r="178" customFormat="false" ht="15" hidden="false" customHeight="true" outlineLevel="0" collapsed="false">
      <c r="B178" s="34" t="s">
        <v>519</v>
      </c>
      <c r="C178" s="34"/>
      <c r="D178" s="34"/>
    </row>
    <row r="179" customFormat="false" ht="15" hidden="false" customHeight="true" outlineLevel="0" collapsed="false">
      <c r="B179" s="34" t="s">
        <v>520</v>
      </c>
      <c r="C179" s="34"/>
      <c r="D179" s="34"/>
    </row>
    <row r="180" customFormat="false" ht="15" hidden="false" customHeight="true" outlineLevel="0" collapsed="false">
      <c r="B180" s="34" t="s">
        <v>521</v>
      </c>
      <c r="C180" s="34"/>
      <c r="D180" s="34"/>
    </row>
    <row r="181" customFormat="false" ht="23.85" hidden="false" customHeight="true" outlineLevel="0" collapsed="false">
      <c r="B181" s="34" t="s">
        <v>522</v>
      </c>
      <c r="C181" s="34"/>
      <c r="D181" s="34"/>
    </row>
    <row r="182" customFormat="false" ht="15" hidden="false" customHeight="true" outlineLevel="0" collapsed="false">
      <c r="B182" s="34" t="s">
        <v>523</v>
      </c>
      <c r="C182" s="34"/>
      <c r="D182" s="34"/>
    </row>
    <row r="183" customFormat="false" ht="23.85" hidden="false" customHeight="true" outlineLevel="0" collapsed="false">
      <c r="B183" s="34" t="s">
        <v>524</v>
      </c>
      <c r="C183" s="34"/>
      <c r="D183" s="34"/>
    </row>
    <row r="184" customFormat="false" ht="23.85" hidden="false" customHeight="true" outlineLevel="0" collapsed="false">
      <c r="B184" s="34" t="s">
        <v>525</v>
      </c>
      <c r="C184" s="34"/>
      <c r="D184" s="34"/>
    </row>
    <row r="185" customFormat="false" ht="23.85" hidden="false" customHeight="true" outlineLevel="0" collapsed="false">
      <c r="B185" s="34" t="s">
        <v>526</v>
      </c>
      <c r="C185" s="34"/>
      <c r="D185" s="34"/>
    </row>
    <row r="186" customFormat="false" ht="23.85" hidden="false" customHeight="true" outlineLevel="0" collapsed="false">
      <c r="B186" s="34" t="s">
        <v>527</v>
      </c>
      <c r="C186" s="34"/>
      <c r="D186" s="34"/>
    </row>
    <row r="187" customFormat="false" ht="23.85" hidden="false" customHeight="true" outlineLevel="0" collapsed="false">
      <c r="B187" s="34" t="s">
        <v>528</v>
      </c>
      <c r="C187" s="34"/>
      <c r="D187" s="34"/>
    </row>
    <row r="188" customFormat="false" ht="23.85" hidden="false" customHeight="true" outlineLevel="0" collapsed="false">
      <c r="B188" s="34" t="s">
        <v>529</v>
      </c>
      <c r="C188" s="34"/>
      <c r="D188" s="34"/>
    </row>
    <row r="189" customFormat="false" ht="23.85" hidden="false" customHeight="true" outlineLevel="0" collapsed="false">
      <c r="B189" s="34" t="s">
        <v>530</v>
      </c>
      <c r="C189" s="34"/>
      <c r="D189" s="34"/>
    </row>
    <row r="190" customFormat="false" ht="23.85" hidden="false" customHeight="true" outlineLevel="0" collapsed="false">
      <c r="B190" s="34" t="s">
        <v>531</v>
      </c>
      <c r="C190" s="34"/>
      <c r="D190" s="34"/>
    </row>
    <row r="191" customFormat="false" ht="23.85" hidden="false" customHeight="true" outlineLevel="0" collapsed="false">
      <c r="B191" s="34" t="s">
        <v>532</v>
      </c>
      <c r="C191" s="34"/>
      <c r="D191" s="34"/>
    </row>
    <row r="192" customFormat="false" ht="23.85" hidden="false" customHeight="true" outlineLevel="0" collapsed="false">
      <c r="B192" s="34" t="s">
        <v>533</v>
      </c>
      <c r="C192" s="34"/>
      <c r="D192" s="34"/>
    </row>
    <row r="193" customFormat="false" ht="23.85" hidden="false" customHeight="true" outlineLevel="0" collapsed="false">
      <c r="B193" s="34" t="s">
        <v>534</v>
      </c>
      <c r="C193" s="34"/>
      <c r="D193" s="34"/>
    </row>
    <row r="194" customFormat="false" ht="23.85" hidden="false" customHeight="true" outlineLevel="0" collapsed="false">
      <c r="B194" s="34" t="s">
        <v>535</v>
      </c>
      <c r="C194" s="34"/>
      <c r="D194" s="34"/>
    </row>
    <row r="195" customFormat="false" ht="23.85" hidden="false" customHeight="true" outlineLevel="0" collapsed="false">
      <c r="B195" s="34" t="s">
        <v>536</v>
      </c>
      <c r="C195" s="34"/>
      <c r="D195" s="34"/>
    </row>
    <row r="196" customFormat="false" ht="15" hidden="false" customHeight="true" outlineLevel="0" collapsed="false">
      <c r="B196" s="34" t="s">
        <v>537</v>
      </c>
      <c r="C196" s="34"/>
      <c r="D196" s="34"/>
    </row>
    <row r="197" customFormat="false" ht="23.85" hidden="false" customHeight="true" outlineLevel="0" collapsed="false">
      <c r="B197" s="34" t="s">
        <v>538</v>
      </c>
      <c r="C197" s="34"/>
      <c r="D197" s="34"/>
    </row>
    <row r="198" customFormat="false" ht="15" hidden="false" customHeight="true" outlineLevel="0" collapsed="false">
      <c r="B198" s="34" t="s">
        <v>539</v>
      </c>
      <c r="C198" s="34"/>
      <c r="D198" s="34"/>
    </row>
    <row r="199" customFormat="false" ht="23.85" hidden="false" customHeight="true" outlineLevel="0" collapsed="false">
      <c r="B199" s="34" t="s">
        <v>540</v>
      </c>
      <c r="C199" s="34"/>
      <c r="D199" s="34"/>
    </row>
    <row r="200" customFormat="false" ht="23.85" hidden="false" customHeight="true" outlineLevel="0" collapsed="false">
      <c r="B200" s="34" t="s">
        <v>541</v>
      </c>
      <c r="C200" s="34"/>
      <c r="D200" s="34"/>
    </row>
    <row r="201" customFormat="false" ht="23.85" hidden="false" customHeight="true" outlineLevel="0" collapsed="false">
      <c r="B201" s="34" t="s">
        <v>542</v>
      </c>
      <c r="C201" s="34"/>
      <c r="D201" s="34"/>
    </row>
    <row r="203" customFormat="false" ht="15" hidden="false" customHeight="false" outlineLevel="0" collapsed="false">
      <c r="A203" s="35" t="s">
        <v>543</v>
      </c>
    </row>
    <row r="204" customFormat="false" ht="15" hidden="false" customHeight="false" outlineLevel="0" collapsed="false">
      <c r="A204" s="5" t="s">
        <v>544</v>
      </c>
      <c r="B204" s="28" t="n">
        <v>6</v>
      </c>
    </row>
    <row r="205" customFormat="false" ht="15" hidden="false" customHeight="false" outlineLevel="0" collapsed="false">
      <c r="A205" s="5" t="s">
        <v>545</v>
      </c>
      <c r="B205" s="28" t="n">
        <v>0.47</v>
      </c>
    </row>
    <row r="206" customFormat="false" ht="35.05" hidden="false" customHeight="false" outlineLevel="0" collapsed="false">
      <c r="A206" s="5" t="s">
        <v>546</v>
      </c>
      <c r="B206" s="28" t="s">
        <v>547</v>
      </c>
    </row>
    <row r="207" customFormat="false" ht="35.05" hidden="false" customHeight="false" outlineLevel="0" collapsed="false">
      <c r="A207" s="5" t="s">
        <v>548</v>
      </c>
      <c r="B207" s="28" t="s">
        <v>549</v>
      </c>
    </row>
    <row r="208" customFormat="false" ht="46.25" hidden="false" customHeight="false" outlineLevel="0" collapsed="false">
      <c r="A208" s="5" t="s">
        <v>550</v>
      </c>
      <c r="B208" s="28" t="s">
        <v>551</v>
      </c>
    </row>
    <row r="209" customFormat="false" ht="15" hidden="false" customHeight="false" outlineLevel="0" collapsed="false">
      <c r="A209" s="5" t="s">
        <v>552</v>
      </c>
      <c r="B209" s="28" t="s">
        <v>553</v>
      </c>
    </row>
  </sheetData>
  <mergeCells count="132">
    <mergeCell ref="B4:D4"/>
    <mergeCell ref="B5:D5"/>
    <mergeCell ref="B6:D6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554</v>
      </c>
    </row>
    <row r="2" customFormat="false" ht="15" hidden="false" customHeight="false" outlineLevel="0" collapsed="false">
      <c r="A2" s="2" t="s">
        <v>555</v>
      </c>
    </row>
    <row r="4" customFormat="false" ht="15" hidden="false" customHeight="false" outlineLevel="0" collapsed="false">
      <c r="A4" s="23" t="s">
        <v>74</v>
      </c>
      <c r="B4" s="23" t="s">
        <v>556</v>
      </c>
      <c r="C4" s="23" t="s">
        <v>557</v>
      </c>
      <c r="D4" s="23" t="s">
        <v>558</v>
      </c>
      <c r="E4" s="23" t="s">
        <v>559</v>
      </c>
    </row>
    <row r="5" customFormat="false" ht="15" hidden="false" customHeight="false" outlineLevel="0" collapsed="false">
      <c r="A5" s="5" t="s">
        <v>560</v>
      </c>
      <c r="B5" s="5" t="s">
        <v>398</v>
      </c>
      <c r="C5" s="28" t="s">
        <v>561</v>
      </c>
      <c r="D5" s="5" t="s">
        <v>562</v>
      </c>
      <c r="E5" s="22" t="s">
        <v>563</v>
      </c>
    </row>
    <row r="6" customFormat="false" ht="15" hidden="false" customHeight="false" outlineLevel="0" collapsed="false">
      <c r="A6" s="5" t="s">
        <v>564</v>
      </c>
      <c r="B6" s="5" t="s">
        <v>398</v>
      </c>
      <c r="C6" s="28" t="s">
        <v>565</v>
      </c>
      <c r="D6" s="5" t="s">
        <v>562</v>
      </c>
      <c r="E6" s="22" t="s">
        <v>566</v>
      </c>
    </row>
    <row r="7" customFormat="false" ht="15" hidden="false" customHeight="false" outlineLevel="0" collapsed="false">
      <c r="A7" s="5" t="s">
        <v>567</v>
      </c>
      <c r="B7" s="5" t="s">
        <v>398</v>
      </c>
      <c r="C7" s="28" t="s">
        <v>568</v>
      </c>
      <c r="D7" s="5" t="s">
        <v>562</v>
      </c>
      <c r="E7" s="22" t="s">
        <v>569</v>
      </c>
    </row>
    <row r="8" customFormat="false" ht="23.85" hidden="false" customHeight="false" outlineLevel="0" collapsed="false">
      <c r="A8" s="5" t="s">
        <v>570</v>
      </c>
      <c r="B8" s="5" t="s">
        <v>398</v>
      </c>
      <c r="C8" s="28" t="s">
        <v>571</v>
      </c>
      <c r="D8" s="5" t="s">
        <v>562</v>
      </c>
      <c r="E8" s="22" t="s">
        <v>572</v>
      </c>
    </row>
    <row r="9" customFormat="false" ht="23.85" hidden="false" customHeight="false" outlineLevel="0" collapsed="false">
      <c r="A9" s="5" t="s">
        <v>573</v>
      </c>
      <c r="B9" s="5" t="s">
        <v>398</v>
      </c>
      <c r="C9" s="28" t="s">
        <v>574</v>
      </c>
      <c r="D9" s="5" t="s">
        <v>575</v>
      </c>
      <c r="E9" s="22" t="s">
        <v>576</v>
      </c>
    </row>
    <row r="10" customFormat="false" ht="23.85" hidden="false" customHeight="false" outlineLevel="0" collapsed="false">
      <c r="A10" s="5" t="s">
        <v>577</v>
      </c>
      <c r="B10" s="5" t="s">
        <v>398</v>
      </c>
      <c r="C10" s="28" t="s">
        <v>578</v>
      </c>
      <c r="D10" s="5" t="s">
        <v>575</v>
      </c>
      <c r="E10" s="22" t="s">
        <v>579</v>
      </c>
    </row>
    <row r="11" customFormat="false" ht="23.85" hidden="false" customHeight="false" outlineLevel="0" collapsed="false">
      <c r="A11" s="5" t="s">
        <v>580</v>
      </c>
      <c r="B11" s="5" t="s">
        <v>398</v>
      </c>
      <c r="C11" s="28" t="s">
        <v>581</v>
      </c>
      <c r="D11" s="5" t="s">
        <v>575</v>
      </c>
      <c r="E11" s="22" t="s">
        <v>582</v>
      </c>
    </row>
    <row r="12" customFormat="false" ht="15" hidden="false" customHeight="false" outlineLevel="0" collapsed="false">
      <c r="A12" s="5" t="s">
        <v>583</v>
      </c>
      <c r="B12" s="5" t="s">
        <v>398</v>
      </c>
      <c r="C12" s="28" t="s">
        <v>584</v>
      </c>
      <c r="D12" s="5" t="s">
        <v>585</v>
      </c>
      <c r="E12" s="22" t="s">
        <v>586</v>
      </c>
    </row>
    <row r="13" customFormat="false" ht="15" hidden="false" customHeight="false" outlineLevel="0" collapsed="false">
      <c r="A13" s="5" t="s">
        <v>587</v>
      </c>
      <c r="B13" s="5" t="s">
        <v>398</v>
      </c>
      <c r="C13" s="28" t="s">
        <v>588</v>
      </c>
      <c r="D13" s="5" t="s">
        <v>589</v>
      </c>
      <c r="E13" s="22" t="s">
        <v>590</v>
      </c>
    </row>
    <row r="14" customFormat="false" ht="15" hidden="false" customHeight="false" outlineLevel="0" collapsed="false">
      <c r="A14" s="5" t="s">
        <v>591</v>
      </c>
      <c r="B14" s="5" t="s">
        <v>398</v>
      </c>
      <c r="C14" s="28" t="s">
        <v>592</v>
      </c>
      <c r="D14" s="5" t="s">
        <v>593</v>
      </c>
      <c r="E14" s="22" t="s">
        <v>594</v>
      </c>
    </row>
    <row r="15" customFormat="false" ht="15" hidden="false" customHeight="false" outlineLevel="0" collapsed="false">
      <c r="A15" s="5" t="s">
        <v>595</v>
      </c>
      <c r="B15" s="5" t="s">
        <v>398</v>
      </c>
      <c r="C15" s="28" t="s">
        <v>596</v>
      </c>
      <c r="D15" s="5" t="s">
        <v>597</v>
      </c>
      <c r="E15" s="22" t="s">
        <v>598</v>
      </c>
    </row>
    <row r="16" customFormat="false" ht="23.85" hidden="false" customHeight="false" outlineLevel="0" collapsed="false">
      <c r="A16" s="5" t="s">
        <v>599</v>
      </c>
      <c r="B16" s="5" t="s">
        <v>398</v>
      </c>
      <c r="C16" s="28" t="s">
        <v>600</v>
      </c>
      <c r="D16" s="5" t="s">
        <v>601</v>
      </c>
      <c r="E16" s="22" t="s">
        <v>602</v>
      </c>
    </row>
    <row r="17" customFormat="false" ht="15" hidden="false" customHeight="false" outlineLevel="0" collapsed="false">
      <c r="A17" s="5" t="s">
        <v>603</v>
      </c>
      <c r="B17" s="5" t="s">
        <v>398</v>
      </c>
      <c r="C17" s="28" t="s">
        <v>604</v>
      </c>
      <c r="D17" s="5" t="s">
        <v>605</v>
      </c>
      <c r="E17" s="22" t="s">
        <v>606</v>
      </c>
    </row>
    <row r="18" customFormat="false" ht="23.85" hidden="false" customHeight="false" outlineLevel="0" collapsed="false">
      <c r="A18" s="5" t="s">
        <v>607</v>
      </c>
      <c r="B18" s="5" t="s">
        <v>398</v>
      </c>
      <c r="C18" s="28" t="s">
        <v>608</v>
      </c>
      <c r="D18" s="5" t="s">
        <v>609</v>
      </c>
      <c r="E18" s="22" t="s">
        <v>610</v>
      </c>
    </row>
    <row r="19" customFormat="false" ht="23.85" hidden="false" customHeight="false" outlineLevel="0" collapsed="false">
      <c r="A19" s="5" t="s">
        <v>611</v>
      </c>
      <c r="B19" s="5" t="s">
        <v>398</v>
      </c>
      <c r="C19" s="28" t="s">
        <v>612</v>
      </c>
      <c r="D19" s="5" t="s">
        <v>613</v>
      </c>
      <c r="E19" s="22" t="s">
        <v>614</v>
      </c>
    </row>
    <row r="20" customFormat="false" ht="23.85" hidden="false" customHeight="false" outlineLevel="0" collapsed="false">
      <c r="A20" s="5" t="s">
        <v>615</v>
      </c>
      <c r="B20" s="5" t="s">
        <v>398</v>
      </c>
      <c r="C20" s="28" t="s">
        <v>616</v>
      </c>
      <c r="D20" s="5" t="s">
        <v>562</v>
      </c>
      <c r="E20" s="22" t="s">
        <v>617</v>
      </c>
    </row>
    <row r="21" customFormat="false" ht="23.85" hidden="false" customHeight="false" outlineLevel="0" collapsed="false">
      <c r="A21" s="5" t="s">
        <v>618</v>
      </c>
      <c r="B21" s="5" t="s">
        <v>398</v>
      </c>
      <c r="C21" s="28" t="s">
        <v>619</v>
      </c>
      <c r="D21" s="5" t="s">
        <v>620</v>
      </c>
      <c r="E21" s="22" t="s">
        <v>621</v>
      </c>
    </row>
    <row r="22" customFormat="false" ht="15" hidden="false" customHeight="false" outlineLevel="0" collapsed="false">
      <c r="A22" s="5" t="s">
        <v>622</v>
      </c>
      <c r="B22" s="5" t="s">
        <v>398</v>
      </c>
      <c r="C22" s="28" t="s">
        <v>623</v>
      </c>
      <c r="D22" s="5" t="s">
        <v>624</v>
      </c>
      <c r="E22" s="22" t="s">
        <v>625</v>
      </c>
    </row>
    <row r="23" customFormat="false" ht="15" hidden="false" customHeight="false" outlineLevel="0" collapsed="false">
      <c r="A23" s="5" t="s">
        <v>626</v>
      </c>
      <c r="B23" s="5" t="s">
        <v>398</v>
      </c>
      <c r="C23" s="28" t="s">
        <v>627</v>
      </c>
      <c r="D23" s="5" t="s">
        <v>628</v>
      </c>
      <c r="E23" s="22" t="s">
        <v>629</v>
      </c>
    </row>
    <row r="24" customFormat="false" ht="23.85" hidden="false" customHeight="false" outlineLevel="0" collapsed="false">
      <c r="A24" s="5" t="s">
        <v>630</v>
      </c>
      <c r="B24" s="5" t="s">
        <v>398</v>
      </c>
      <c r="C24" s="28" t="s">
        <v>631</v>
      </c>
      <c r="D24" s="5" t="s">
        <v>632</v>
      </c>
      <c r="E24" s="22" t="s">
        <v>633</v>
      </c>
    </row>
    <row r="25" customFormat="false" ht="23.85" hidden="false" customHeight="false" outlineLevel="0" collapsed="false">
      <c r="A25" s="5" t="s">
        <v>634</v>
      </c>
      <c r="B25" s="5" t="s">
        <v>398</v>
      </c>
      <c r="C25" s="28" t="s">
        <v>635</v>
      </c>
      <c r="D25" s="5" t="s">
        <v>636</v>
      </c>
      <c r="E25" s="22" t="s">
        <v>637</v>
      </c>
    </row>
    <row r="26" customFormat="false" ht="15" hidden="false" customHeight="false" outlineLevel="0" collapsed="false">
      <c r="A26" s="5" t="s">
        <v>638</v>
      </c>
      <c r="B26" s="5" t="s">
        <v>398</v>
      </c>
      <c r="C26" s="28" t="s">
        <v>639</v>
      </c>
      <c r="D26" s="5" t="s">
        <v>640</v>
      </c>
      <c r="E26" s="22" t="s">
        <v>641</v>
      </c>
    </row>
    <row r="27" customFormat="false" ht="15" hidden="false" customHeight="false" outlineLevel="0" collapsed="false">
      <c r="A27" s="5" t="s">
        <v>642</v>
      </c>
      <c r="B27" s="5" t="s">
        <v>398</v>
      </c>
      <c r="C27" s="28" t="s">
        <v>643</v>
      </c>
      <c r="D27" s="5" t="s">
        <v>644</v>
      </c>
      <c r="E27" s="22" t="s">
        <v>645</v>
      </c>
    </row>
    <row r="28" customFormat="false" ht="35.05" hidden="false" customHeight="false" outlineLevel="0" collapsed="false">
      <c r="A28" s="5" t="s">
        <v>646</v>
      </c>
      <c r="B28" s="5" t="s">
        <v>398</v>
      </c>
      <c r="C28" s="28" t="s">
        <v>647</v>
      </c>
      <c r="D28" s="5" t="s">
        <v>640</v>
      </c>
      <c r="E28" s="22" t="s">
        <v>648</v>
      </c>
    </row>
    <row r="29" customFormat="false" ht="15" hidden="false" customHeight="false" outlineLevel="0" collapsed="false">
      <c r="A29" s="5" t="s">
        <v>649</v>
      </c>
      <c r="B29" s="5" t="s">
        <v>398</v>
      </c>
      <c r="C29" s="28" t="s">
        <v>650</v>
      </c>
      <c r="D29" s="5" t="s">
        <v>651</v>
      </c>
      <c r="E29" s="22" t="s">
        <v>652</v>
      </c>
    </row>
    <row r="30" customFormat="false" ht="15" hidden="false" customHeight="false" outlineLevel="0" collapsed="false">
      <c r="A30" s="5" t="s">
        <v>653</v>
      </c>
      <c r="B30" s="5" t="s">
        <v>398</v>
      </c>
      <c r="C30" s="28" t="s">
        <v>654</v>
      </c>
      <c r="D30" s="5" t="s">
        <v>651</v>
      </c>
      <c r="E30" s="22" t="s">
        <v>655</v>
      </c>
    </row>
    <row r="31" customFormat="false" ht="15" hidden="false" customHeight="false" outlineLevel="0" collapsed="false">
      <c r="A31" s="5" t="s">
        <v>656</v>
      </c>
      <c r="B31" s="5" t="s">
        <v>398</v>
      </c>
      <c r="C31" s="28" t="s">
        <v>657</v>
      </c>
      <c r="D31" s="5" t="s">
        <v>651</v>
      </c>
      <c r="E31" s="22" t="s">
        <v>658</v>
      </c>
    </row>
    <row r="32" customFormat="false" ht="15" hidden="false" customHeight="false" outlineLevel="0" collapsed="false">
      <c r="A32" s="5" t="s">
        <v>659</v>
      </c>
      <c r="B32" s="5" t="s">
        <v>398</v>
      </c>
      <c r="C32" s="28" t="s">
        <v>660</v>
      </c>
      <c r="D32" s="5" t="s">
        <v>651</v>
      </c>
      <c r="E32" s="22" t="s">
        <v>661</v>
      </c>
    </row>
    <row r="33" customFormat="false" ht="15" hidden="false" customHeight="false" outlineLevel="0" collapsed="false">
      <c r="A33" s="5" t="s">
        <v>662</v>
      </c>
      <c r="B33" s="5" t="s">
        <v>398</v>
      </c>
      <c r="C33" s="28" t="s">
        <v>663</v>
      </c>
      <c r="D33" s="5" t="s">
        <v>651</v>
      </c>
      <c r="E33" s="22" t="s">
        <v>664</v>
      </c>
    </row>
    <row r="34" customFormat="false" ht="15" hidden="false" customHeight="false" outlineLevel="0" collapsed="false">
      <c r="A34" s="5" t="s">
        <v>665</v>
      </c>
      <c r="B34" s="5" t="s">
        <v>398</v>
      </c>
      <c r="C34" s="28" t="s">
        <v>666</v>
      </c>
      <c r="D34" s="5" t="s">
        <v>651</v>
      </c>
      <c r="E34" s="22" t="s">
        <v>667</v>
      </c>
    </row>
    <row r="35" customFormat="false" ht="15" hidden="false" customHeight="false" outlineLevel="0" collapsed="false">
      <c r="A35" s="5" t="s">
        <v>668</v>
      </c>
      <c r="B35" s="5" t="s">
        <v>398</v>
      </c>
      <c r="C35" s="28" t="s">
        <v>669</v>
      </c>
      <c r="D35" s="5" t="s">
        <v>651</v>
      </c>
      <c r="E35" s="22" t="s">
        <v>670</v>
      </c>
    </row>
    <row r="36" customFormat="false" ht="15" hidden="false" customHeight="false" outlineLevel="0" collapsed="false">
      <c r="A36" s="5" t="s">
        <v>671</v>
      </c>
      <c r="B36" s="5" t="s">
        <v>398</v>
      </c>
      <c r="C36" s="28" t="s">
        <v>672</v>
      </c>
      <c r="D36" s="5" t="s">
        <v>651</v>
      </c>
      <c r="E36" s="22" t="s">
        <v>673</v>
      </c>
    </row>
    <row r="37" customFormat="false" ht="15" hidden="false" customHeight="false" outlineLevel="0" collapsed="false">
      <c r="A37" s="5" t="s">
        <v>674</v>
      </c>
      <c r="B37" s="5" t="s">
        <v>398</v>
      </c>
      <c r="C37" s="28" t="s">
        <v>675</v>
      </c>
      <c r="D37" s="5" t="s">
        <v>651</v>
      </c>
      <c r="E37" s="22" t="s">
        <v>676</v>
      </c>
    </row>
    <row r="38" customFormat="false" ht="15" hidden="false" customHeight="false" outlineLevel="0" collapsed="false">
      <c r="A38" s="5" t="s">
        <v>677</v>
      </c>
      <c r="B38" s="5" t="s">
        <v>398</v>
      </c>
      <c r="C38" s="28" t="s">
        <v>678</v>
      </c>
      <c r="D38" s="5" t="s">
        <v>651</v>
      </c>
      <c r="E38" s="22" t="s">
        <v>679</v>
      </c>
    </row>
    <row r="39" customFormat="false" ht="23.85" hidden="false" customHeight="false" outlineLevel="0" collapsed="false">
      <c r="A39" s="5" t="s">
        <v>680</v>
      </c>
      <c r="B39" s="5" t="s">
        <v>398</v>
      </c>
      <c r="C39" s="28" t="s">
        <v>681</v>
      </c>
      <c r="D39" s="5" t="s">
        <v>640</v>
      </c>
      <c r="E39" s="5" t="s">
        <v>682</v>
      </c>
    </row>
    <row r="40" customFormat="false" ht="23.85" hidden="false" customHeight="false" outlineLevel="0" collapsed="false">
      <c r="A40" s="5" t="s">
        <v>683</v>
      </c>
      <c r="B40" s="5" t="s">
        <v>398</v>
      </c>
      <c r="C40" s="28" t="s">
        <v>684</v>
      </c>
      <c r="D40" s="5" t="s">
        <v>651</v>
      </c>
      <c r="E40" s="22" t="s">
        <v>685</v>
      </c>
    </row>
    <row r="41" customFormat="false" ht="23.85" hidden="false" customHeight="false" outlineLevel="0" collapsed="false">
      <c r="A41" s="5" t="s">
        <v>686</v>
      </c>
      <c r="B41" s="5" t="s">
        <v>398</v>
      </c>
      <c r="C41" s="28" t="s">
        <v>687</v>
      </c>
      <c r="D41" s="5" t="s">
        <v>651</v>
      </c>
      <c r="E41" s="22" t="s">
        <v>688</v>
      </c>
    </row>
    <row r="42" customFormat="false" ht="23.85" hidden="false" customHeight="false" outlineLevel="0" collapsed="false">
      <c r="A42" s="5" t="s">
        <v>689</v>
      </c>
      <c r="B42" s="5" t="s">
        <v>398</v>
      </c>
      <c r="C42" s="28" t="s">
        <v>690</v>
      </c>
      <c r="D42" s="5" t="s">
        <v>651</v>
      </c>
      <c r="E42" s="22" t="s">
        <v>691</v>
      </c>
    </row>
    <row r="43" customFormat="false" ht="15" hidden="false" customHeight="false" outlineLevel="0" collapsed="false">
      <c r="A43" s="5" t="s">
        <v>692</v>
      </c>
      <c r="B43" s="5" t="s">
        <v>398</v>
      </c>
      <c r="C43" s="28" t="s">
        <v>693</v>
      </c>
      <c r="D43" s="5" t="s">
        <v>562</v>
      </c>
      <c r="E43" s="22" t="s">
        <v>694</v>
      </c>
    </row>
    <row r="44" customFormat="false" ht="23.85" hidden="false" customHeight="false" outlineLevel="0" collapsed="false">
      <c r="A44" s="5" t="s">
        <v>695</v>
      </c>
      <c r="B44" s="5" t="s">
        <v>398</v>
      </c>
      <c r="C44" s="28" t="s">
        <v>696</v>
      </c>
      <c r="D44" s="5" t="s">
        <v>562</v>
      </c>
      <c r="E44" s="22" t="s">
        <v>697</v>
      </c>
    </row>
    <row r="45" customFormat="false" ht="23.85" hidden="false" customHeight="false" outlineLevel="0" collapsed="false">
      <c r="A45" s="5" t="s">
        <v>698</v>
      </c>
      <c r="B45" s="5" t="s">
        <v>398</v>
      </c>
      <c r="C45" s="28" t="s">
        <v>699</v>
      </c>
      <c r="D45" s="5" t="s">
        <v>562</v>
      </c>
      <c r="E45" s="22" t="s">
        <v>700</v>
      </c>
    </row>
    <row r="46" customFormat="false" ht="23.85" hidden="false" customHeight="false" outlineLevel="0" collapsed="false">
      <c r="A46" s="5" t="s">
        <v>701</v>
      </c>
      <c r="B46" s="5" t="s">
        <v>398</v>
      </c>
      <c r="C46" s="28" t="s">
        <v>702</v>
      </c>
      <c r="D46" s="5" t="s">
        <v>703</v>
      </c>
      <c r="E46" s="22" t="s">
        <v>704</v>
      </c>
    </row>
    <row r="47" customFormat="false" ht="23.85" hidden="false" customHeight="false" outlineLevel="0" collapsed="false">
      <c r="A47" s="5" t="s">
        <v>705</v>
      </c>
      <c r="B47" s="5" t="s">
        <v>398</v>
      </c>
      <c r="C47" s="28" t="s">
        <v>706</v>
      </c>
      <c r="D47" s="5" t="s">
        <v>707</v>
      </c>
      <c r="E47" s="22" t="s">
        <v>708</v>
      </c>
    </row>
    <row r="48" customFormat="false" ht="23.85" hidden="false" customHeight="false" outlineLevel="0" collapsed="false">
      <c r="A48" s="5" t="s">
        <v>709</v>
      </c>
      <c r="B48" s="5" t="s">
        <v>398</v>
      </c>
      <c r="C48" s="28" t="s">
        <v>710</v>
      </c>
      <c r="D48" s="5" t="s">
        <v>651</v>
      </c>
      <c r="E48" s="22" t="s">
        <v>711</v>
      </c>
    </row>
    <row r="49" customFormat="false" ht="23.85" hidden="false" customHeight="false" outlineLevel="0" collapsed="false">
      <c r="A49" s="5" t="s">
        <v>712</v>
      </c>
      <c r="B49" s="5" t="s">
        <v>398</v>
      </c>
      <c r="C49" s="28" t="s">
        <v>713</v>
      </c>
      <c r="D49" s="5" t="s">
        <v>714</v>
      </c>
      <c r="E49" s="22" t="s">
        <v>715</v>
      </c>
    </row>
    <row r="50" customFormat="false" ht="23.85" hidden="false" customHeight="false" outlineLevel="0" collapsed="false">
      <c r="A50" s="5" t="s">
        <v>716</v>
      </c>
      <c r="B50" s="5" t="s">
        <v>398</v>
      </c>
      <c r="C50" s="28" t="s">
        <v>717</v>
      </c>
      <c r="D50" s="5" t="s">
        <v>718</v>
      </c>
      <c r="E50" s="22" t="s">
        <v>719</v>
      </c>
    </row>
    <row r="51" customFormat="false" ht="23.85" hidden="false" customHeight="false" outlineLevel="0" collapsed="false">
      <c r="A51" s="5" t="s">
        <v>720</v>
      </c>
      <c r="B51" s="5" t="s">
        <v>398</v>
      </c>
      <c r="C51" s="28" t="s">
        <v>721</v>
      </c>
      <c r="D51" s="5" t="s">
        <v>722</v>
      </c>
      <c r="E51" s="22" t="s">
        <v>723</v>
      </c>
    </row>
    <row r="52" customFormat="false" ht="23.85" hidden="false" customHeight="false" outlineLevel="0" collapsed="false">
      <c r="A52" s="5" t="s">
        <v>724</v>
      </c>
      <c r="B52" s="5" t="s">
        <v>398</v>
      </c>
      <c r="C52" s="28" t="s">
        <v>725</v>
      </c>
      <c r="D52" s="5" t="s">
        <v>726</v>
      </c>
      <c r="E52" s="22" t="s">
        <v>727</v>
      </c>
    </row>
    <row r="53" customFormat="false" ht="15" hidden="false" customHeight="false" outlineLevel="0" collapsed="false">
      <c r="A53" s="5" t="s">
        <v>728</v>
      </c>
      <c r="B53" s="5" t="s">
        <v>398</v>
      </c>
      <c r="C53" s="28" t="s">
        <v>729</v>
      </c>
      <c r="D53" s="5" t="s">
        <v>726</v>
      </c>
      <c r="E53" s="22" t="s">
        <v>730</v>
      </c>
    </row>
    <row r="54" customFormat="false" ht="15" hidden="false" customHeight="false" outlineLevel="0" collapsed="false">
      <c r="A54" s="5" t="s">
        <v>731</v>
      </c>
      <c r="B54" s="5" t="s">
        <v>398</v>
      </c>
      <c r="C54" s="28" t="s">
        <v>732</v>
      </c>
      <c r="D54" s="5" t="s">
        <v>722</v>
      </c>
      <c r="E54" s="22" t="s">
        <v>733</v>
      </c>
    </row>
    <row r="55" customFormat="false" ht="15" hidden="false" customHeight="false" outlineLevel="0" collapsed="false">
      <c r="A55" s="5" t="s">
        <v>734</v>
      </c>
      <c r="B55" s="5" t="s">
        <v>398</v>
      </c>
      <c r="C55" s="28" t="s">
        <v>735</v>
      </c>
      <c r="D55" s="5" t="s">
        <v>726</v>
      </c>
      <c r="E55" s="22" t="s">
        <v>736</v>
      </c>
    </row>
    <row r="56" customFormat="false" ht="15" hidden="false" customHeight="false" outlineLevel="0" collapsed="false">
      <c r="A56" s="5" t="s">
        <v>737</v>
      </c>
      <c r="B56" s="5" t="s">
        <v>398</v>
      </c>
      <c r="C56" s="28" t="s">
        <v>738</v>
      </c>
      <c r="D56" s="5" t="s">
        <v>726</v>
      </c>
      <c r="E56" s="22" t="s">
        <v>739</v>
      </c>
    </row>
    <row r="57" customFormat="false" ht="23.85" hidden="false" customHeight="false" outlineLevel="0" collapsed="false">
      <c r="A57" s="5" t="s">
        <v>740</v>
      </c>
      <c r="B57" s="5" t="s">
        <v>398</v>
      </c>
      <c r="C57" s="28" t="s">
        <v>741</v>
      </c>
      <c r="D57" s="5" t="s">
        <v>742</v>
      </c>
      <c r="E57" s="22" t="s">
        <v>743</v>
      </c>
    </row>
    <row r="58" customFormat="false" ht="23.85" hidden="false" customHeight="false" outlineLevel="0" collapsed="false">
      <c r="A58" s="5" t="s">
        <v>744</v>
      </c>
      <c r="B58" s="5" t="s">
        <v>398</v>
      </c>
      <c r="C58" s="28" t="s">
        <v>745</v>
      </c>
      <c r="D58" s="5" t="s">
        <v>726</v>
      </c>
      <c r="E58" s="22" t="s">
        <v>746</v>
      </c>
    </row>
    <row r="59" customFormat="false" ht="23.85" hidden="false" customHeight="false" outlineLevel="0" collapsed="false">
      <c r="A59" s="5" t="s">
        <v>747</v>
      </c>
      <c r="B59" s="5" t="s">
        <v>398</v>
      </c>
      <c r="C59" s="28" t="s">
        <v>748</v>
      </c>
      <c r="D59" s="5" t="s">
        <v>749</v>
      </c>
      <c r="E59" s="22" t="s">
        <v>750</v>
      </c>
    </row>
    <row r="60" customFormat="false" ht="15" hidden="false" customHeight="false" outlineLevel="0" collapsed="false">
      <c r="A60" s="5" t="s">
        <v>751</v>
      </c>
      <c r="B60" s="5" t="s">
        <v>398</v>
      </c>
      <c r="C60" s="28" t="s">
        <v>752</v>
      </c>
      <c r="D60" s="5" t="s">
        <v>722</v>
      </c>
      <c r="E60" s="22" t="s">
        <v>753</v>
      </c>
    </row>
    <row r="61" customFormat="false" ht="15" hidden="false" customHeight="false" outlineLevel="0" collapsed="false">
      <c r="A61" s="5" t="s">
        <v>754</v>
      </c>
      <c r="B61" s="5" t="s">
        <v>398</v>
      </c>
      <c r="C61" s="28" t="s">
        <v>755</v>
      </c>
      <c r="D61" s="5" t="s">
        <v>722</v>
      </c>
      <c r="E61" s="22" t="s">
        <v>756</v>
      </c>
    </row>
    <row r="62" customFormat="false" ht="23.85" hidden="false" customHeight="false" outlineLevel="0" collapsed="false">
      <c r="A62" s="5" t="s">
        <v>757</v>
      </c>
      <c r="B62" s="5" t="s">
        <v>398</v>
      </c>
      <c r="C62" s="28" t="s">
        <v>758</v>
      </c>
      <c r="D62" s="5" t="s">
        <v>722</v>
      </c>
      <c r="E62" s="22" t="s">
        <v>759</v>
      </c>
    </row>
    <row r="63" customFormat="false" ht="23.85" hidden="false" customHeight="false" outlineLevel="0" collapsed="false">
      <c r="A63" s="5" t="s">
        <v>760</v>
      </c>
      <c r="B63" s="5" t="s">
        <v>398</v>
      </c>
      <c r="C63" s="28" t="s">
        <v>761</v>
      </c>
      <c r="D63" s="5" t="s">
        <v>762</v>
      </c>
      <c r="E63" s="22" t="s">
        <v>763</v>
      </c>
    </row>
    <row r="64" customFormat="false" ht="23.85" hidden="false" customHeight="false" outlineLevel="0" collapsed="false">
      <c r="A64" s="5" t="s">
        <v>764</v>
      </c>
      <c r="B64" s="5" t="s">
        <v>398</v>
      </c>
      <c r="C64" s="28" t="s">
        <v>765</v>
      </c>
      <c r="D64" s="5" t="s">
        <v>762</v>
      </c>
      <c r="E64" s="22" t="s">
        <v>766</v>
      </c>
    </row>
    <row r="65" customFormat="false" ht="35.05" hidden="false" customHeight="false" outlineLevel="0" collapsed="false">
      <c r="A65" s="5" t="s">
        <v>767</v>
      </c>
      <c r="B65" s="5" t="s">
        <v>398</v>
      </c>
      <c r="C65" s="28" t="s">
        <v>768</v>
      </c>
      <c r="D65" s="5" t="s">
        <v>762</v>
      </c>
      <c r="E65" s="22" t="s">
        <v>769</v>
      </c>
    </row>
    <row r="66" customFormat="false" ht="23.85" hidden="false" customHeight="false" outlineLevel="0" collapsed="false">
      <c r="A66" s="5" t="s">
        <v>770</v>
      </c>
      <c r="B66" s="5" t="s">
        <v>398</v>
      </c>
      <c r="C66" s="28" t="s">
        <v>771</v>
      </c>
      <c r="D66" s="5" t="s">
        <v>772</v>
      </c>
      <c r="E66" s="22" t="s">
        <v>773</v>
      </c>
    </row>
    <row r="67" customFormat="false" ht="23.85" hidden="false" customHeight="false" outlineLevel="0" collapsed="false">
      <c r="A67" s="5" t="s">
        <v>774</v>
      </c>
      <c r="B67" s="5" t="s">
        <v>398</v>
      </c>
      <c r="C67" s="28" t="s">
        <v>775</v>
      </c>
      <c r="D67" s="5" t="s">
        <v>776</v>
      </c>
      <c r="E67" s="22" t="s">
        <v>777</v>
      </c>
    </row>
    <row r="68" customFormat="false" ht="15" hidden="false" customHeight="false" outlineLevel="0" collapsed="false">
      <c r="A68" s="5" t="s">
        <v>778</v>
      </c>
      <c r="B68" s="5" t="s">
        <v>401</v>
      </c>
      <c r="C68" s="28" t="s">
        <v>779</v>
      </c>
      <c r="D68" s="5" t="s">
        <v>562</v>
      </c>
      <c r="E68" s="22" t="s">
        <v>563</v>
      </c>
    </row>
    <row r="69" customFormat="false" ht="23.85" hidden="false" customHeight="false" outlineLevel="0" collapsed="false">
      <c r="A69" s="5" t="s">
        <v>780</v>
      </c>
      <c r="B69" s="5" t="s">
        <v>401</v>
      </c>
      <c r="C69" s="28" t="s">
        <v>781</v>
      </c>
      <c r="D69" s="5" t="s">
        <v>562</v>
      </c>
      <c r="E69" s="22" t="s">
        <v>782</v>
      </c>
    </row>
    <row r="70" customFormat="false" ht="23.85" hidden="false" customHeight="false" outlineLevel="0" collapsed="false">
      <c r="A70" s="5" t="s">
        <v>783</v>
      </c>
      <c r="B70" s="5" t="s">
        <v>401</v>
      </c>
      <c r="C70" s="28" t="s">
        <v>784</v>
      </c>
      <c r="D70" s="5" t="s">
        <v>562</v>
      </c>
      <c r="E70" s="22" t="s">
        <v>785</v>
      </c>
    </row>
    <row r="71" customFormat="false" ht="23.85" hidden="false" customHeight="false" outlineLevel="0" collapsed="false">
      <c r="A71" s="5" t="s">
        <v>786</v>
      </c>
      <c r="B71" s="5" t="s">
        <v>401</v>
      </c>
      <c r="C71" s="28" t="s">
        <v>787</v>
      </c>
      <c r="D71" s="5" t="s">
        <v>562</v>
      </c>
      <c r="E71" s="22" t="s">
        <v>788</v>
      </c>
    </row>
    <row r="72" customFormat="false" ht="23.85" hidden="false" customHeight="false" outlineLevel="0" collapsed="false">
      <c r="A72" s="5" t="s">
        <v>789</v>
      </c>
      <c r="B72" s="5" t="s">
        <v>401</v>
      </c>
      <c r="C72" s="28" t="s">
        <v>790</v>
      </c>
      <c r="D72" s="5" t="s">
        <v>575</v>
      </c>
      <c r="E72" s="22" t="s">
        <v>582</v>
      </c>
    </row>
    <row r="73" customFormat="false" ht="23.85" hidden="false" customHeight="false" outlineLevel="0" collapsed="false">
      <c r="A73" s="5" t="s">
        <v>791</v>
      </c>
      <c r="B73" s="5" t="s">
        <v>401</v>
      </c>
      <c r="C73" s="28" t="s">
        <v>792</v>
      </c>
      <c r="D73" s="5" t="s">
        <v>575</v>
      </c>
      <c r="E73" s="22" t="s">
        <v>576</v>
      </c>
    </row>
    <row r="74" customFormat="false" ht="15" hidden="false" customHeight="false" outlineLevel="0" collapsed="false">
      <c r="A74" s="5" t="s">
        <v>793</v>
      </c>
      <c r="B74" s="5" t="s">
        <v>401</v>
      </c>
      <c r="C74" s="28" t="s">
        <v>794</v>
      </c>
      <c r="D74" s="5" t="s">
        <v>589</v>
      </c>
      <c r="E74" s="22" t="s">
        <v>590</v>
      </c>
    </row>
    <row r="75" customFormat="false" ht="15" hidden="false" customHeight="false" outlineLevel="0" collapsed="false">
      <c r="A75" s="5" t="s">
        <v>795</v>
      </c>
      <c r="B75" s="5" t="s">
        <v>401</v>
      </c>
      <c r="C75" s="28" t="s">
        <v>796</v>
      </c>
      <c r="D75" s="5" t="s">
        <v>593</v>
      </c>
      <c r="E75" s="22" t="s">
        <v>594</v>
      </c>
    </row>
    <row r="76" customFormat="false" ht="15" hidden="false" customHeight="false" outlineLevel="0" collapsed="false">
      <c r="A76" s="5" t="s">
        <v>797</v>
      </c>
      <c r="B76" s="5" t="s">
        <v>401</v>
      </c>
      <c r="C76" s="28" t="s">
        <v>798</v>
      </c>
      <c r="D76" s="5" t="s">
        <v>597</v>
      </c>
      <c r="E76" s="22" t="s">
        <v>598</v>
      </c>
    </row>
    <row r="77" customFormat="false" ht="15" hidden="false" customHeight="false" outlineLevel="0" collapsed="false">
      <c r="A77" s="5" t="s">
        <v>799</v>
      </c>
      <c r="B77" s="5" t="s">
        <v>401</v>
      </c>
      <c r="C77" s="28" t="s">
        <v>800</v>
      </c>
      <c r="D77" s="5" t="s">
        <v>562</v>
      </c>
      <c r="E77" s="22" t="s">
        <v>694</v>
      </c>
    </row>
    <row r="78" customFormat="false" ht="15" hidden="false" customHeight="false" outlineLevel="0" collapsed="false">
      <c r="A78" s="5" t="s">
        <v>801</v>
      </c>
      <c r="B78" s="5" t="s">
        <v>401</v>
      </c>
      <c r="C78" s="28" t="s">
        <v>802</v>
      </c>
      <c r="D78" s="5" t="s">
        <v>585</v>
      </c>
      <c r="E78" s="22" t="s">
        <v>586</v>
      </c>
    </row>
    <row r="79" customFormat="false" ht="15" hidden="false" customHeight="false" outlineLevel="0" collapsed="false">
      <c r="A79" s="5" t="s">
        <v>803</v>
      </c>
      <c r="B79" s="5" t="s">
        <v>401</v>
      </c>
      <c r="C79" s="28" t="s">
        <v>804</v>
      </c>
      <c r="D79" s="5" t="s">
        <v>605</v>
      </c>
      <c r="E79" s="22" t="s">
        <v>606</v>
      </c>
    </row>
    <row r="80" customFormat="false" ht="35.05" hidden="false" customHeight="false" outlineLevel="0" collapsed="false">
      <c r="A80" s="5" t="s">
        <v>805</v>
      </c>
      <c r="B80" s="5" t="s">
        <v>401</v>
      </c>
      <c r="C80" s="28" t="s">
        <v>806</v>
      </c>
      <c r="D80" s="5" t="s">
        <v>620</v>
      </c>
      <c r="E80" s="22" t="s">
        <v>807</v>
      </c>
    </row>
    <row r="81" customFormat="false" ht="23.85" hidden="false" customHeight="false" outlineLevel="0" collapsed="false">
      <c r="A81" s="5" t="s">
        <v>808</v>
      </c>
      <c r="B81" s="5" t="s">
        <v>401</v>
      </c>
      <c r="C81" s="28" t="s">
        <v>809</v>
      </c>
      <c r="D81" s="5" t="s">
        <v>651</v>
      </c>
      <c r="E81" s="22" t="s">
        <v>711</v>
      </c>
    </row>
    <row r="82" customFormat="false" ht="35.05" hidden="false" customHeight="false" outlineLevel="0" collapsed="false">
      <c r="A82" s="5" t="s">
        <v>810</v>
      </c>
      <c r="B82" s="5" t="s">
        <v>401</v>
      </c>
      <c r="C82" s="28" t="s">
        <v>811</v>
      </c>
      <c r="D82" s="5" t="s">
        <v>812</v>
      </c>
      <c r="E82" s="22" t="s">
        <v>813</v>
      </c>
    </row>
    <row r="83" customFormat="false" ht="23.85" hidden="false" customHeight="false" outlineLevel="0" collapsed="false">
      <c r="A83" s="5" t="s">
        <v>814</v>
      </c>
      <c r="B83" s="5" t="s">
        <v>401</v>
      </c>
      <c r="C83" s="28" t="s">
        <v>815</v>
      </c>
      <c r="D83" s="5" t="s">
        <v>636</v>
      </c>
      <c r="E83" s="22" t="s">
        <v>816</v>
      </c>
    </row>
    <row r="84" customFormat="false" ht="23.85" hidden="false" customHeight="false" outlineLevel="0" collapsed="false">
      <c r="A84" s="5" t="s">
        <v>817</v>
      </c>
      <c r="B84" s="5" t="s">
        <v>401</v>
      </c>
      <c r="C84" s="28" t="s">
        <v>818</v>
      </c>
      <c r="D84" s="5" t="s">
        <v>620</v>
      </c>
      <c r="E84" s="22" t="s">
        <v>819</v>
      </c>
    </row>
    <row r="85" customFormat="false" ht="23.85" hidden="false" customHeight="false" outlineLevel="0" collapsed="false">
      <c r="A85" s="5" t="s">
        <v>820</v>
      </c>
      <c r="B85" s="5" t="s">
        <v>401</v>
      </c>
      <c r="C85" s="28" t="s">
        <v>821</v>
      </c>
      <c r="D85" s="5" t="s">
        <v>620</v>
      </c>
      <c r="E85" s="22" t="s">
        <v>822</v>
      </c>
    </row>
    <row r="86" customFormat="false" ht="15" hidden="false" customHeight="false" outlineLevel="0" collapsed="false">
      <c r="A86" s="5" t="s">
        <v>823</v>
      </c>
      <c r="B86" s="5" t="s">
        <v>401</v>
      </c>
      <c r="C86" s="28" t="s">
        <v>824</v>
      </c>
      <c r="D86" s="5" t="s">
        <v>624</v>
      </c>
      <c r="E86" s="22" t="s">
        <v>625</v>
      </c>
    </row>
    <row r="87" customFormat="false" ht="23.85" hidden="false" customHeight="false" outlineLevel="0" collapsed="false">
      <c r="A87" s="5" t="s">
        <v>825</v>
      </c>
      <c r="B87" s="5" t="s">
        <v>401</v>
      </c>
      <c r="C87" s="28" t="s">
        <v>826</v>
      </c>
      <c r="D87" s="5" t="s">
        <v>636</v>
      </c>
      <c r="E87" s="22" t="s">
        <v>827</v>
      </c>
    </row>
    <row r="88" customFormat="false" ht="23.85" hidden="false" customHeight="false" outlineLevel="0" collapsed="false">
      <c r="A88" s="5" t="s">
        <v>828</v>
      </c>
      <c r="B88" s="5" t="s">
        <v>401</v>
      </c>
      <c r="C88" s="28" t="s">
        <v>829</v>
      </c>
      <c r="D88" s="5" t="s">
        <v>830</v>
      </c>
      <c r="E88" s="22" t="s">
        <v>831</v>
      </c>
    </row>
    <row r="89" customFormat="false" ht="23.85" hidden="false" customHeight="false" outlineLevel="0" collapsed="false">
      <c r="A89" s="5" t="s">
        <v>832</v>
      </c>
      <c r="B89" s="5" t="s">
        <v>401</v>
      </c>
      <c r="C89" s="28" t="s">
        <v>833</v>
      </c>
      <c r="D89" s="5" t="s">
        <v>636</v>
      </c>
      <c r="E89" s="22" t="s">
        <v>834</v>
      </c>
    </row>
    <row r="90" customFormat="false" ht="23.85" hidden="false" customHeight="false" outlineLevel="0" collapsed="false">
      <c r="A90" s="5" t="s">
        <v>835</v>
      </c>
      <c r="B90" s="5" t="s">
        <v>401</v>
      </c>
      <c r="C90" s="28" t="s">
        <v>836</v>
      </c>
      <c r="D90" s="5" t="s">
        <v>837</v>
      </c>
      <c r="E90" s="22" t="s">
        <v>838</v>
      </c>
    </row>
    <row r="91" customFormat="false" ht="23.85" hidden="false" customHeight="false" outlineLevel="0" collapsed="false">
      <c r="A91" s="5" t="s">
        <v>839</v>
      </c>
      <c r="B91" s="5" t="s">
        <v>401</v>
      </c>
      <c r="C91" s="28" t="s">
        <v>840</v>
      </c>
      <c r="D91" s="5" t="s">
        <v>841</v>
      </c>
      <c r="E91" s="22" t="s">
        <v>842</v>
      </c>
    </row>
    <row r="92" customFormat="false" ht="23.85" hidden="false" customHeight="false" outlineLevel="0" collapsed="false">
      <c r="A92" s="5" t="s">
        <v>843</v>
      </c>
      <c r="B92" s="5" t="s">
        <v>401</v>
      </c>
      <c r="C92" s="28" t="s">
        <v>844</v>
      </c>
      <c r="D92" s="5" t="s">
        <v>845</v>
      </c>
      <c r="E92" s="22" t="s">
        <v>846</v>
      </c>
    </row>
    <row r="93" customFormat="false" ht="23.85" hidden="false" customHeight="false" outlineLevel="0" collapsed="false">
      <c r="A93" s="5" t="s">
        <v>847</v>
      </c>
      <c r="B93" s="5" t="s">
        <v>401</v>
      </c>
      <c r="C93" s="28" t="s">
        <v>848</v>
      </c>
      <c r="D93" s="5" t="s">
        <v>849</v>
      </c>
      <c r="E93" s="22" t="s">
        <v>850</v>
      </c>
    </row>
    <row r="94" customFormat="false" ht="15" hidden="false" customHeight="false" outlineLevel="0" collapsed="false">
      <c r="A94" s="5" t="s">
        <v>851</v>
      </c>
      <c r="B94" s="5" t="s">
        <v>401</v>
      </c>
      <c r="C94" s="28" t="s">
        <v>852</v>
      </c>
      <c r="D94" s="5" t="s">
        <v>849</v>
      </c>
      <c r="E94" s="22" t="s">
        <v>853</v>
      </c>
    </row>
    <row r="95" customFormat="false" ht="23.85" hidden="false" customHeight="false" outlineLevel="0" collapsed="false">
      <c r="A95" s="5" t="s">
        <v>854</v>
      </c>
      <c r="B95" s="5" t="s">
        <v>401</v>
      </c>
      <c r="C95" s="28" t="s">
        <v>855</v>
      </c>
      <c r="D95" s="5" t="s">
        <v>856</v>
      </c>
      <c r="E95" s="22" t="s">
        <v>857</v>
      </c>
    </row>
    <row r="96" customFormat="false" ht="23.85" hidden="false" customHeight="false" outlineLevel="0" collapsed="false">
      <c r="A96" s="5" t="s">
        <v>858</v>
      </c>
      <c r="B96" s="5" t="s">
        <v>401</v>
      </c>
      <c r="C96" s="28" t="s">
        <v>859</v>
      </c>
      <c r="D96" s="5" t="s">
        <v>651</v>
      </c>
      <c r="E96" s="22" t="s">
        <v>652</v>
      </c>
    </row>
    <row r="97" customFormat="false" ht="35.05" hidden="false" customHeight="false" outlineLevel="0" collapsed="false">
      <c r="A97" s="5" t="s">
        <v>860</v>
      </c>
      <c r="B97" s="5" t="s">
        <v>401</v>
      </c>
      <c r="C97" s="28" t="s">
        <v>647</v>
      </c>
      <c r="D97" s="5" t="s">
        <v>640</v>
      </c>
      <c r="E97" s="22" t="s">
        <v>648</v>
      </c>
    </row>
    <row r="98" customFormat="false" ht="23.85" hidden="false" customHeight="false" outlineLevel="0" collapsed="false">
      <c r="A98" s="5" t="s">
        <v>861</v>
      </c>
      <c r="B98" s="5" t="s">
        <v>401</v>
      </c>
      <c r="C98" s="28" t="s">
        <v>862</v>
      </c>
      <c r="D98" s="5" t="s">
        <v>651</v>
      </c>
      <c r="E98" s="22" t="s">
        <v>655</v>
      </c>
    </row>
    <row r="99" customFormat="false" ht="23.85" hidden="false" customHeight="false" outlineLevel="0" collapsed="false">
      <c r="A99" s="5" t="s">
        <v>863</v>
      </c>
      <c r="B99" s="5" t="s">
        <v>401</v>
      </c>
      <c r="C99" s="28" t="s">
        <v>864</v>
      </c>
      <c r="D99" s="5" t="s">
        <v>651</v>
      </c>
      <c r="E99" s="22" t="s">
        <v>658</v>
      </c>
    </row>
    <row r="100" customFormat="false" ht="15" hidden="false" customHeight="false" outlineLevel="0" collapsed="false">
      <c r="A100" s="5" t="s">
        <v>865</v>
      </c>
      <c r="B100" s="5" t="s">
        <v>401</v>
      </c>
      <c r="C100" s="28" t="s">
        <v>866</v>
      </c>
      <c r="D100" s="5" t="s">
        <v>651</v>
      </c>
      <c r="E100" s="22" t="s">
        <v>661</v>
      </c>
    </row>
    <row r="101" customFormat="false" ht="15" hidden="false" customHeight="false" outlineLevel="0" collapsed="false">
      <c r="A101" s="5" t="s">
        <v>867</v>
      </c>
      <c r="B101" s="5" t="s">
        <v>401</v>
      </c>
      <c r="C101" s="28" t="s">
        <v>868</v>
      </c>
      <c r="D101" s="5" t="s">
        <v>651</v>
      </c>
      <c r="E101" s="22" t="s">
        <v>664</v>
      </c>
    </row>
    <row r="102" customFormat="false" ht="15" hidden="false" customHeight="false" outlineLevel="0" collapsed="false">
      <c r="A102" s="5" t="s">
        <v>869</v>
      </c>
      <c r="B102" s="5" t="s">
        <v>401</v>
      </c>
      <c r="C102" s="28" t="s">
        <v>870</v>
      </c>
      <c r="D102" s="5" t="s">
        <v>651</v>
      </c>
      <c r="E102" s="22" t="s">
        <v>667</v>
      </c>
    </row>
    <row r="103" customFormat="false" ht="15" hidden="false" customHeight="false" outlineLevel="0" collapsed="false">
      <c r="A103" s="5" t="s">
        <v>871</v>
      </c>
      <c r="B103" s="5" t="s">
        <v>401</v>
      </c>
      <c r="C103" s="28" t="s">
        <v>872</v>
      </c>
      <c r="D103" s="5" t="s">
        <v>651</v>
      </c>
      <c r="E103" s="22" t="s">
        <v>673</v>
      </c>
    </row>
    <row r="104" customFormat="false" ht="15" hidden="false" customHeight="false" outlineLevel="0" collapsed="false">
      <c r="A104" s="5" t="s">
        <v>873</v>
      </c>
      <c r="B104" s="5" t="s">
        <v>401</v>
      </c>
      <c r="C104" s="28" t="s">
        <v>874</v>
      </c>
      <c r="D104" s="5" t="s">
        <v>651</v>
      </c>
      <c r="E104" s="22" t="s">
        <v>670</v>
      </c>
    </row>
    <row r="105" customFormat="false" ht="15" hidden="false" customHeight="false" outlineLevel="0" collapsed="false">
      <c r="A105" s="5" t="s">
        <v>875</v>
      </c>
      <c r="B105" s="5" t="s">
        <v>401</v>
      </c>
      <c r="C105" s="28" t="s">
        <v>876</v>
      </c>
      <c r="D105" s="5" t="s">
        <v>651</v>
      </c>
      <c r="E105" s="22" t="s">
        <v>685</v>
      </c>
    </row>
    <row r="106" customFormat="false" ht="15" hidden="false" customHeight="false" outlineLevel="0" collapsed="false">
      <c r="A106" s="5" t="s">
        <v>877</v>
      </c>
      <c r="B106" s="5" t="s">
        <v>401</v>
      </c>
      <c r="C106" s="28" t="s">
        <v>878</v>
      </c>
      <c r="D106" s="5" t="s">
        <v>651</v>
      </c>
      <c r="E106" s="22" t="s">
        <v>676</v>
      </c>
    </row>
    <row r="107" customFormat="false" ht="15" hidden="false" customHeight="false" outlineLevel="0" collapsed="false">
      <c r="A107" s="5" t="s">
        <v>879</v>
      </c>
      <c r="B107" s="5" t="s">
        <v>401</v>
      </c>
      <c r="C107" s="28" t="s">
        <v>880</v>
      </c>
      <c r="D107" s="5" t="s">
        <v>651</v>
      </c>
      <c r="E107" s="22" t="s">
        <v>688</v>
      </c>
    </row>
    <row r="108" customFormat="false" ht="15" hidden="false" customHeight="false" outlineLevel="0" collapsed="false">
      <c r="A108" s="5" t="s">
        <v>881</v>
      </c>
      <c r="B108" s="5" t="s">
        <v>401</v>
      </c>
      <c r="C108" s="28" t="s">
        <v>882</v>
      </c>
      <c r="D108" s="5" t="s">
        <v>651</v>
      </c>
      <c r="E108" s="22" t="s">
        <v>691</v>
      </c>
    </row>
    <row r="109" customFormat="false" ht="23.85" hidden="false" customHeight="false" outlineLevel="0" collapsed="false">
      <c r="A109" s="5" t="s">
        <v>883</v>
      </c>
      <c r="B109" s="5" t="s">
        <v>401</v>
      </c>
      <c r="C109" s="28" t="s">
        <v>884</v>
      </c>
      <c r="D109" s="5" t="s">
        <v>640</v>
      </c>
      <c r="E109" s="5" t="s">
        <v>885</v>
      </c>
    </row>
    <row r="110" customFormat="false" ht="23.85" hidden="false" customHeight="false" outlineLevel="0" collapsed="false">
      <c r="A110" s="5" t="s">
        <v>886</v>
      </c>
      <c r="B110" s="5" t="s">
        <v>401</v>
      </c>
      <c r="C110" s="28" t="s">
        <v>887</v>
      </c>
      <c r="D110" s="5" t="s">
        <v>601</v>
      </c>
      <c r="E110" s="22" t="s">
        <v>888</v>
      </c>
    </row>
    <row r="111" customFormat="false" ht="15" hidden="false" customHeight="false" outlineLevel="0" collapsed="false">
      <c r="A111" s="5" t="s">
        <v>889</v>
      </c>
      <c r="B111" s="5" t="s">
        <v>401</v>
      </c>
      <c r="C111" s="28" t="s">
        <v>890</v>
      </c>
      <c r="D111" s="5" t="s">
        <v>891</v>
      </c>
      <c r="E111" s="22" t="s">
        <v>892</v>
      </c>
    </row>
    <row r="112" customFormat="false" ht="15" hidden="false" customHeight="false" outlineLevel="0" collapsed="false">
      <c r="A112" s="5" t="s">
        <v>893</v>
      </c>
      <c r="B112" s="5" t="s">
        <v>401</v>
      </c>
      <c r="C112" s="28" t="s">
        <v>894</v>
      </c>
      <c r="D112" s="5" t="s">
        <v>601</v>
      </c>
      <c r="E112" s="22" t="s">
        <v>895</v>
      </c>
    </row>
    <row r="113" customFormat="false" ht="23.85" hidden="false" customHeight="false" outlineLevel="0" collapsed="false">
      <c r="A113" s="5" t="s">
        <v>896</v>
      </c>
      <c r="B113" s="5" t="s">
        <v>401</v>
      </c>
      <c r="C113" s="28" t="s">
        <v>897</v>
      </c>
      <c r="D113" s="5" t="s">
        <v>898</v>
      </c>
      <c r="E113" s="22" t="s">
        <v>899</v>
      </c>
    </row>
    <row r="114" customFormat="false" ht="23.85" hidden="false" customHeight="false" outlineLevel="0" collapsed="false">
      <c r="A114" s="5" t="s">
        <v>900</v>
      </c>
      <c r="B114" s="5" t="s">
        <v>401</v>
      </c>
      <c r="C114" s="28" t="s">
        <v>901</v>
      </c>
      <c r="D114" s="5" t="s">
        <v>902</v>
      </c>
      <c r="E114" s="22" t="s">
        <v>903</v>
      </c>
    </row>
    <row r="115" customFormat="false" ht="23.85" hidden="false" customHeight="false" outlineLevel="0" collapsed="false">
      <c r="A115" s="5" t="s">
        <v>904</v>
      </c>
      <c r="B115" s="5" t="s">
        <v>401</v>
      </c>
      <c r="C115" s="28" t="s">
        <v>905</v>
      </c>
      <c r="D115" s="5" t="s">
        <v>575</v>
      </c>
      <c r="E115" s="22" t="s">
        <v>579</v>
      </c>
    </row>
    <row r="116" customFormat="false" ht="23.85" hidden="false" customHeight="false" outlineLevel="0" collapsed="false">
      <c r="A116" s="5" t="s">
        <v>906</v>
      </c>
      <c r="B116" s="5" t="s">
        <v>401</v>
      </c>
      <c r="C116" s="28" t="s">
        <v>907</v>
      </c>
      <c r="D116" s="5" t="s">
        <v>562</v>
      </c>
      <c r="E116" s="22" t="s">
        <v>697</v>
      </c>
    </row>
    <row r="117" customFormat="false" ht="23.85" hidden="false" customHeight="false" outlineLevel="0" collapsed="false">
      <c r="A117" s="5" t="s">
        <v>908</v>
      </c>
      <c r="B117" s="5" t="s">
        <v>401</v>
      </c>
      <c r="C117" s="28" t="s">
        <v>909</v>
      </c>
      <c r="D117" s="5" t="s">
        <v>562</v>
      </c>
      <c r="E117" s="22" t="s">
        <v>700</v>
      </c>
    </row>
    <row r="118" customFormat="false" ht="23.85" hidden="false" customHeight="false" outlineLevel="0" collapsed="false">
      <c r="A118" s="5" t="s">
        <v>910</v>
      </c>
      <c r="B118" s="5" t="s">
        <v>401</v>
      </c>
      <c r="C118" s="28" t="s">
        <v>721</v>
      </c>
      <c r="D118" s="5" t="s">
        <v>722</v>
      </c>
      <c r="E118" s="22" t="s">
        <v>723</v>
      </c>
    </row>
    <row r="119" customFormat="false" ht="23.85" hidden="false" customHeight="false" outlineLevel="0" collapsed="false">
      <c r="A119" s="5" t="s">
        <v>911</v>
      </c>
      <c r="B119" s="5" t="s">
        <v>401</v>
      </c>
      <c r="C119" s="28" t="s">
        <v>725</v>
      </c>
      <c r="D119" s="5" t="s">
        <v>726</v>
      </c>
      <c r="E119" s="22" t="s">
        <v>727</v>
      </c>
    </row>
    <row r="120" customFormat="false" ht="15" hidden="false" customHeight="false" outlineLevel="0" collapsed="false">
      <c r="A120" s="5" t="s">
        <v>912</v>
      </c>
      <c r="B120" s="5" t="s">
        <v>401</v>
      </c>
      <c r="C120" s="28" t="s">
        <v>913</v>
      </c>
      <c r="D120" s="5" t="s">
        <v>726</v>
      </c>
      <c r="E120" s="22" t="s">
        <v>730</v>
      </c>
    </row>
    <row r="121" customFormat="false" ht="15" hidden="false" customHeight="false" outlineLevel="0" collapsed="false">
      <c r="A121" s="5" t="s">
        <v>914</v>
      </c>
      <c r="B121" s="5" t="s">
        <v>401</v>
      </c>
      <c r="C121" s="28" t="s">
        <v>732</v>
      </c>
      <c r="D121" s="5" t="s">
        <v>722</v>
      </c>
      <c r="E121" s="22" t="s">
        <v>733</v>
      </c>
    </row>
    <row r="122" customFormat="false" ht="15" hidden="false" customHeight="false" outlineLevel="0" collapsed="false">
      <c r="A122" s="5" t="s">
        <v>915</v>
      </c>
      <c r="B122" s="5" t="s">
        <v>401</v>
      </c>
      <c r="C122" s="28" t="s">
        <v>735</v>
      </c>
      <c r="D122" s="5" t="s">
        <v>726</v>
      </c>
      <c r="E122" s="22" t="s">
        <v>736</v>
      </c>
    </row>
    <row r="123" customFormat="false" ht="15" hidden="false" customHeight="false" outlineLevel="0" collapsed="false">
      <c r="A123" s="5" t="s">
        <v>916</v>
      </c>
      <c r="B123" s="5" t="s">
        <v>401</v>
      </c>
      <c r="C123" s="28" t="s">
        <v>738</v>
      </c>
      <c r="D123" s="5" t="s">
        <v>726</v>
      </c>
      <c r="E123" s="22" t="s">
        <v>739</v>
      </c>
    </row>
    <row r="124" customFormat="false" ht="23.85" hidden="false" customHeight="false" outlineLevel="0" collapsed="false">
      <c r="A124" s="5" t="s">
        <v>917</v>
      </c>
      <c r="B124" s="5" t="s">
        <v>401</v>
      </c>
      <c r="C124" s="28" t="s">
        <v>741</v>
      </c>
      <c r="D124" s="5" t="s">
        <v>742</v>
      </c>
      <c r="E124" s="22" t="s">
        <v>743</v>
      </c>
    </row>
    <row r="125" customFormat="false" ht="15" hidden="false" customHeight="false" outlineLevel="0" collapsed="false">
      <c r="A125" s="5" t="s">
        <v>918</v>
      </c>
      <c r="B125" s="5" t="s">
        <v>401</v>
      </c>
      <c r="C125" s="28" t="s">
        <v>919</v>
      </c>
      <c r="D125" s="5" t="s">
        <v>726</v>
      </c>
      <c r="E125" s="22" t="s">
        <v>746</v>
      </c>
    </row>
    <row r="126" customFormat="false" ht="23.85" hidden="false" customHeight="false" outlineLevel="0" collapsed="false">
      <c r="A126" s="5" t="s">
        <v>920</v>
      </c>
      <c r="B126" s="5" t="s">
        <v>401</v>
      </c>
      <c r="C126" s="28" t="s">
        <v>748</v>
      </c>
      <c r="D126" s="5" t="s">
        <v>749</v>
      </c>
      <c r="E126" s="22" t="s">
        <v>750</v>
      </c>
    </row>
    <row r="127" customFormat="false" ht="15" hidden="false" customHeight="false" outlineLevel="0" collapsed="false">
      <c r="A127" s="5" t="s">
        <v>921</v>
      </c>
      <c r="B127" s="5" t="s">
        <v>401</v>
      </c>
      <c r="C127" s="28" t="s">
        <v>678</v>
      </c>
      <c r="D127" s="5" t="s">
        <v>651</v>
      </c>
      <c r="E127" s="22" t="s">
        <v>679</v>
      </c>
    </row>
    <row r="128" customFormat="false" ht="23.85" hidden="false" customHeight="false" outlineLevel="0" collapsed="false">
      <c r="A128" s="5" t="s">
        <v>922</v>
      </c>
      <c r="B128" s="5" t="s">
        <v>401</v>
      </c>
      <c r="C128" s="28" t="s">
        <v>923</v>
      </c>
      <c r="D128" s="5" t="s">
        <v>703</v>
      </c>
      <c r="E128" s="22" t="s">
        <v>704</v>
      </c>
    </row>
    <row r="129" customFormat="false" ht="15" hidden="false" customHeight="false" outlineLevel="0" collapsed="false">
      <c r="A129" s="5" t="s">
        <v>924</v>
      </c>
      <c r="B129" s="5" t="s">
        <v>401</v>
      </c>
      <c r="C129" s="28" t="s">
        <v>752</v>
      </c>
      <c r="D129" s="5" t="s">
        <v>722</v>
      </c>
      <c r="E129" s="22" t="s">
        <v>753</v>
      </c>
    </row>
    <row r="130" customFormat="false" ht="15" hidden="false" customHeight="false" outlineLevel="0" collapsed="false">
      <c r="A130" s="5" t="s">
        <v>925</v>
      </c>
      <c r="B130" s="5" t="s">
        <v>401</v>
      </c>
      <c r="C130" s="28" t="s">
        <v>755</v>
      </c>
      <c r="D130" s="5" t="s">
        <v>722</v>
      </c>
      <c r="E130" s="22" t="s">
        <v>756</v>
      </c>
    </row>
    <row r="131" customFormat="false" ht="23.85" hidden="false" customHeight="false" outlineLevel="0" collapsed="false">
      <c r="A131" s="5" t="s">
        <v>926</v>
      </c>
      <c r="B131" s="5" t="s">
        <v>401</v>
      </c>
      <c r="C131" s="28" t="s">
        <v>758</v>
      </c>
      <c r="D131" s="5" t="s">
        <v>722</v>
      </c>
      <c r="E131" s="22" t="s">
        <v>759</v>
      </c>
    </row>
    <row r="132" customFormat="false" ht="23.85" hidden="false" customHeight="false" outlineLevel="0" collapsed="false">
      <c r="A132" s="5" t="s">
        <v>927</v>
      </c>
      <c r="B132" s="5" t="s">
        <v>401</v>
      </c>
      <c r="C132" s="28" t="s">
        <v>761</v>
      </c>
      <c r="D132" s="5" t="s">
        <v>762</v>
      </c>
      <c r="E132" s="22" t="s">
        <v>763</v>
      </c>
    </row>
    <row r="133" customFormat="false" ht="23.85" hidden="false" customHeight="false" outlineLevel="0" collapsed="false">
      <c r="A133" s="5" t="s">
        <v>928</v>
      </c>
      <c r="B133" s="5" t="s">
        <v>401</v>
      </c>
      <c r="C133" s="28" t="s">
        <v>765</v>
      </c>
      <c r="D133" s="5" t="s">
        <v>762</v>
      </c>
      <c r="E133" s="22" t="s">
        <v>766</v>
      </c>
    </row>
    <row r="134" customFormat="false" ht="35.05" hidden="false" customHeight="false" outlineLevel="0" collapsed="false">
      <c r="A134" s="5" t="s">
        <v>929</v>
      </c>
      <c r="B134" s="5" t="s">
        <v>401</v>
      </c>
      <c r="C134" s="28" t="s">
        <v>768</v>
      </c>
      <c r="D134" s="5" t="s">
        <v>762</v>
      </c>
      <c r="E134" s="22" t="s">
        <v>769</v>
      </c>
    </row>
    <row r="135" customFormat="false" ht="23.85" hidden="false" customHeight="false" outlineLevel="0" collapsed="false">
      <c r="A135" s="5" t="s">
        <v>930</v>
      </c>
      <c r="B135" s="5" t="s">
        <v>401</v>
      </c>
      <c r="C135" s="28" t="s">
        <v>771</v>
      </c>
      <c r="D135" s="5" t="s">
        <v>772</v>
      </c>
      <c r="E135" s="22" t="s">
        <v>773</v>
      </c>
    </row>
    <row r="136" customFormat="false" ht="23.85" hidden="false" customHeight="false" outlineLevel="0" collapsed="false">
      <c r="A136" s="5" t="s">
        <v>931</v>
      </c>
      <c r="B136" s="5" t="s">
        <v>401</v>
      </c>
      <c r="C136" s="28" t="s">
        <v>775</v>
      </c>
      <c r="D136" s="5" t="s">
        <v>776</v>
      </c>
      <c r="E136" s="22" t="s">
        <v>777</v>
      </c>
    </row>
    <row r="137" customFormat="false" ht="15" hidden="false" customHeight="false" outlineLevel="0" collapsed="false">
      <c r="A137" s="5" t="s">
        <v>932</v>
      </c>
      <c r="B137" s="5" t="s">
        <v>404</v>
      </c>
      <c r="C137" s="28" t="s">
        <v>933</v>
      </c>
      <c r="D137" s="5" t="s">
        <v>562</v>
      </c>
      <c r="E137" s="22" t="s">
        <v>782</v>
      </c>
    </row>
    <row r="138" customFormat="false" ht="15" hidden="false" customHeight="false" outlineLevel="0" collapsed="false">
      <c r="A138" s="5" t="s">
        <v>934</v>
      </c>
      <c r="B138" s="5" t="s">
        <v>404</v>
      </c>
      <c r="C138" s="28" t="s">
        <v>935</v>
      </c>
      <c r="D138" s="5" t="s">
        <v>562</v>
      </c>
      <c r="E138" s="22" t="s">
        <v>785</v>
      </c>
    </row>
    <row r="139" customFormat="false" ht="23.85" hidden="false" customHeight="false" outlineLevel="0" collapsed="false">
      <c r="A139" s="5" t="s">
        <v>936</v>
      </c>
      <c r="B139" s="5" t="s">
        <v>404</v>
      </c>
      <c r="C139" s="28" t="s">
        <v>937</v>
      </c>
      <c r="D139" s="5" t="s">
        <v>562</v>
      </c>
      <c r="E139" s="22" t="s">
        <v>788</v>
      </c>
    </row>
    <row r="140" customFormat="false" ht="23.85" hidden="false" customHeight="false" outlineLevel="0" collapsed="false">
      <c r="A140" s="5" t="s">
        <v>938</v>
      </c>
      <c r="B140" s="5" t="s">
        <v>404</v>
      </c>
      <c r="C140" s="28" t="s">
        <v>939</v>
      </c>
      <c r="D140" s="5" t="s">
        <v>562</v>
      </c>
      <c r="E140" s="22" t="s">
        <v>563</v>
      </c>
    </row>
    <row r="141" customFormat="false" ht="15" hidden="false" customHeight="false" outlineLevel="0" collapsed="false">
      <c r="A141" s="5" t="s">
        <v>940</v>
      </c>
      <c r="B141" s="5" t="s">
        <v>404</v>
      </c>
      <c r="C141" s="28" t="s">
        <v>941</v>
      </c>
      <c r="D141" s="5" t="s">
        <v>575</v>
      </c>
      <c r="E141" s="22" t="s">
        <v>576</v>
      </c>
    </row>
    <row r="142" customFormat="false" ht="15" hidden="false" customHeight="false" outlineLevel="0" collapsed="false">
      <c r="A142" s="5" t="s">
        <v>942</v>
      </c>
      <c r="B142" s="5" t="s">
        <v>404</v>
      </c>
      <c r="C142" s="28" t="s">
        <v>943</v>
      </c>
      <c r="D142" s="5" t="s">
        <v>575</v>
      </c>
      <c r="E142" s="22" t="s">
        <v>579</v>
      </c>
    </row>
    <row r="143" customFormat="false" ht="15" hidden="false" customHeight="false" outlineLevel="0" collapsed="false">
      <c r="A143" s="5" t="s">
        <v>944</v>
      </c>
      <c r="B143" s="5" t="s">
        <v>404</v>
      </c>
      <c r="C143" s="28" t="s">
        <v>945</v>
      </c>
      <c r="D143" s="5" t="s">
        <v>589</v>
      </c>
      <c r="E143" s="22" t="s">
        <v>590</v>
      </c>
    </row>
    <row r="144" customFormat="false" ht="15" hidden="false" customHeight="false" outlineLevel="0" collapsed="false">
      <c r="A144" s="5" t="s">
        <v>946</v>
      </c>
      <c r="B144" s="5" t="s">
        <v>404</v>
      </c>
      <c r="C144" s="28" t="s">
        <v>947</v>
      </c>
      <c r="D144" s="5" t="s">
        <v>593</v>
      </c>
      <c r="E144" s="22" t="s">
        <v>594</v>
      </c>
    </row>
    <row r="145" customFormat="false" ht="15" hidden="false" customHeight="false" outlineLevel="0" collapsed="false">
      <c r="A145" s="5" t="s">
        <v>948</v>
      </c>
      <c r="B145" s="5" t="s">
        <v>404</v>
      </c>
      <c r="C145" s="28" t="s">
        <v>949</v>
      </c>
      <c r="D145" s="5" t="s">
        <v>597</v>
      </c>
      <c r="E145" s="22" t="s">
        <v>598</v>
      </c>
    </row>
    <row r="146" customFormat="false" ht="15" hidden="false" customHeight="false" outlineLevel="0" collapsed="false">
      <c r="A146" s="5" t="s">
        <v>950</v>
      </c>
      <c r="B146" s="5" t="s">
        <v>404</v>
      </c>
      <c r="C146" s="28" t="s">
        <v>951</v>
      </c>
      <c r="D146" s="5" t="s">
        <v>585</v>
      </c>
      <c r="E146" s="22" t="s">
        <v>586</v>
      </c>
    </row>
    <row r="147" customFormat="false" ht="15" hidden="false" customHeight="false" outlineLevel="0" collapsed="false">
      <c r="A147" s="5" t="s">
        <v>952</v>
      </c>
      <c r="B147" s="5" t="s">
        <v>404</v>
      </c>
      <c r="C147" s="28" t="s">
        <v>953</v>
      </c>
      <c r="D147" s="5" t="s">
        <v>562</v>
      </c>
      <c r="E147" s="22" t="s">
        <v>954</v>
      </c>
    </row>
    <row r="148" customFormat="false" ht="23.85" hidden="false" customHeight="false" outlineLevel="0" collapsed="false">
      <c r="A148" s="5" t="s">
        <v>955</v>
      </c>
      <c r="B148" s="5" t="s">
        <v>404</v>
      </c>
      <c r="C148" s="28" t="s">
        <v>956</v>
      </c>
      <c r="D148" s="5" t="s">
        <v>562</v>
      </c>
      <c r="E148" s="22" t="s">
        <v>957</v>
      </c>
    </row>
    <row r="149" customFormat="false" ht="15" hidden="false" customHeight="false" outlineLevel="0" collapsed="false">
      <c r="A149" s="5" t="s">
        <v>958</v>
      </c>
      <c r="B149" s="5" t="s">
        <v>404</v>
      </c>
      <c r="C149" s="28" t="s">
        <v>959</v>
      </c>
      <c r="D149" s="5" t="s">
        <v>651</v>
      </c>
      <c r="E149" s="22" t="s">
        <v>960</v>
      </c>
    </row>
    <row r="150" customFormat="false" ht="15" hidden="false" customHeight="false" outlineLevel="0" collapsed="false">
      <c r="A150" s="5" t="s">
        <v>961</v>
      </c>
      <c r="B150" s="5" t="s">
        <v>404</v>
      </c>
      <c r="C150" s="28" t="s">
        <v>962</v>
      </c>
      <c r="D150" s="5" t="s">
        <v>620</v>
      </c>
      <c r="E150" s="22" t="s">
        <v>963</v>
      </c>
    </row>
    <row r="151" customFormat="false" ht="23.85" hidden="false" customHeight="false" outlineLevel="0" collapsed="false">
      <c r="A151" s="5" t="s">
        <v>964</v>
      </c>
      <c r="B151" s="5" t="s">
        <v>404</v>
      </c>
      <c r="C151" s="28" t="s">
        <v>965</v>
      </c>
      <c r="D151" s="5" t="s">
        <v>651</v>
      </c>
      <c r="E151" s="22" t="s">
        <v>966</v>
      </c>
    </row>
    <row r="152" customFormat="false" ht="23.85" hidden="false" customHeight="false" outlineLevel="0" collapsed="false">
      <c r="A152" s="5" t="s">
        <v>967</v>
      </c>
      <c r="B152" s="5" t="s">
        <v>404</v>
      </c>
      <c r="C152" s="28" t="s">
        <v>968</v>
      </c>
      <c r="D152" s="5" t="s">
        <v>969</v>
      </c>
      <c r="E152" s="22" t="s">
        <v>970</v>
      </c>
    </row>
    <row r="153" customFormat="false" ht="23.85" hidden="false" customHeight="false" outlineLevel="0" collapsed="false">
      <c r="A153" s="5" t="s">
        <v>971</v>
      </c>
      <c r="B153" s="5" t="s">
        <v>404</v>
      </c>
      <c r="C153" s="28" t="s">
        <v>972</v>
      </c>
      <c r="D153" s="5" t="s">
        <v>562</v>
      </c>
      <c r="E153" s="22" t="s">
        <v>973</v>
      </c>
    </row>
    <row r="154" customFormat="false" ht="23.85" hidden="false" customHeight="false" outlineLevel="0" collapsed="false">
      <c r="A154" s="5" t="s">
        <v>974</v>
      </c>
      <c r="B154" s="5" t="s">
        <v>404</v>
      </c>
      <c r="C154" s="28" t="s">
        <v>975</v>
      </c>
      <c r="D154" s="5" t="s">
        <v>651</v>
      </c>
      <c r="E154" s="22" t="s">
        <v>976</v>
      </c>
    </row>
    <row r="155" customFormat="false" ht="15" hidden="false" customHeight="false" outlineLevel="0" collapsed="false">
      <c r="A155" s="5" t="s">
        <v>977</v>
      </c>
      <c r="B155" s="5" t="s">
        <v>404</v>
      </c>
      <c r="C155" s="28" t="s">
        <v>978</v>
      </c>
      <c r="D155" s="5" t="s">
        <v>640</v>
      </c>
      <c r="E155" s="22" t="s">
        <v>979</v>
      </c>
    </row>
    <row r="156" customFormat="false" ht="23.85" hidden="false" customHeight="false" outlineLevel="0" collapsed="false">
      <c r="A156" s="5" t="s">
        <v>980</v>
      </c>
      <c r="B156" s="5" t="s">
        <v>404</v>
      </c>
      <c r="C156" s="28" t="s">
        <v>981</v>
      </c>
      <c r="D156" s="5" t="s">
        <v>640</v>
      </c>
      <c r="E156" s="22" t="s">
        <v>982</v>
      </c>
    </row>
    <row r="157" customFormat="false" ht="15" hidden="false" customHeight="false" outlineLevel="0" collapsed="false">
      <c r="A157" s="5" t="s">
        <v>983</v>
      </c>
      <c r="B157" s="5" t="s">
        <v>404</v>
      </c>
      <c r="C157" s="28" t="s">
        <v>984</v>
      </c>
      <c r="D157" s="5" t="s">
        <v>620</v>
      </c>
      <c r="E157" s="22" t="s">
        <v>985</v>
      </c>
    </row>
    <row r="158" customFormat="false" ht="23.85" hidden="false" customHeight="false" outlineLevel="0" collapsed="false">
      <c r="A158" s="5" t="s">
        <v>986</v>
      </c>
      <c r="B158" s="5" t="s">
        <v>404</v>
      </c>
      <c r="C158" s="28" t="s">
        <v>987</v>
      </c>
      <c r="D158" s="5" t="s">
        <v>988</v>
      </c>
      <c r="E158" s="22" t="s">
        <v>989</v>
      </c>
    </row>
    <row r="159" customFormat="false" ht="35.05" hidden="false" customHeight="false" outlineLevel="0" collapsed="false">
      <c r="A159" s="5" t="s">
        <v>990</v>
      </c>
      <c r="B159" s="5" t="s">
        <v>404</v>
      </c>
      <c r="C159" s="28" t="s">
        <v>991</v>
      </c>
      <c r="D159" s="5" t="s">
        <v>992</v>
      </c>
      <c r="E159" s="22" t="s">
        <v>993</v>
      </c>
    </row>
    <row r="160" customFormat="false" ht="15" hidden="false" customHeight="false" outlineLevel="0" collapsed="false">
      <c r="A160" s="5" t="s">
        <v>994</v>
      </c>
      <c r="B160" s="5" t="s">
        <v>404</v>
      </c>
      <c r="C160" s="28" t="s">
        <v>995</v>
      </c>
      <c r="D160" s="5" t="s">
        <v>996</v>
      </c>
      <c r="E160" s="22" t="s">
        <v>997</v>
      </c>
    </row>
    <row r="161" customFormat="false" ht="23.85" hidden="false" customHeight="false" outlineLevel="0" collapsed="false">
      <c r="A161" s="5" t="s">
        <v>998</v>
      </c>
      <c r="B161" s="5" t="s">
        <v>404</v>
      </c>
      <c r="C161" s="28" t="s">
        <v>999</v>
      </c>
      <c r="D161" s="5" t="s">
        <v>1000</v>
      </c>
      <c r="E161" s="22" t="s">
        <v>1001</v>
      </c>
    </row>
    <row r="162" customFormat="false" ht="15" hidden="false" customHeight="false" outlineLevel="0" collapsed="false">
      <c r="A162" s="5" t="s">
        <v>1002</v>
      </c>
      <c r="B162" s="5" t="s">
        <v>404</v>
      </c>
      <c r="C162" s="28" t="s">
        <v>1003</v>
      </c>
      <c r="D162" s="5" t="s">
        <v>651</v>
      </c>
      <c r="E162" s="22" t="s">
        <v>1004</v>
      </c>
    </row>
    <row r="163" customFormat="false" ht="23.85" hidden="false" customHeight="false" outlineLevel="0" collapsed="false">
      <c r="A163" s="5" t="s">
        <v>1005</v>
      </c>
      <c r="B163" s="5" t="s">
        <v>404</v>
      </c>
      <c r="C163" s="28" t="s">
        <v>1006</v>
      </c>
      <c r="D163" s="5" t="s">
        <v>640</v>
      </c>
      <c r="E163" s="5" t="s">
        <v>1007</v>
      </c>
    </row>
    <row r="164" customFormat="false" ht="23.85" hidden="false" customHeight="false" outlineLevel="0" collapsed="false">
      <c r="A164" s="5" t="s">
        <v>1008</v>
      </c>
      <c r="B164" s="5" t="s">
        <v>404</v>
      </c>
      <c r="C164" s="28" t="s">
        <v>1009</v>
      </c>
      <c r="D164" s="5" t="s">
        <v>1000</v>
      </c>
      <c r="E164" s="22" t="s">
        <v>1010</v>
      </c>
    </row>
    <row r="165" customFormat="false" ht="15" hidden="false" customHeight="false" outlineLevel="0" collapsed="false">
      <c r="A165" s="5" t="s">
        <v>1011</v>
      </c>
      <c r="B165" s="5" t="s">
        <v>404</v>
      </c>
      <c r="C165" s="28" t="s">
        <v>1012</v>
      </c>
      <c r="D165" s="5" t="s">
        <v>640</v>
      </c>
      <c r="E165" s="22" t="s">
        <v>641</v>
      </c>
    </row>
    <row r="166" customFormat="false" ht="15" hidden="false" customHeight="false" outlineLevel="0" collapsed="false">
      <c r="A166" s="5" t="s">
        <v>1013</v>
      </c>
      <c r="B166" s="5" t="s">
        <v>404</v>
      </c>
      <c r="C166" s="28" t="s">
        <v>1014</v>
      </c>
      <c r="D166" s="5" t="s">
        <v>651</v>
      </c>
      <c r="E166" s="22" t="s">
        <v>652</v>
      </c>
    </row>
    <row r="167" customFormat="false" ht="15" hidden="false" customHeight="false" outlineLevel="0" collapsed="false">
      <c r="A167" s="5" t="s">
        <v>1015</v>
      </c>
      <c r="B167" s="5" t="s">
        <v>404</v>
      </c>
      <c r="C167" s="28" t="s">
        <v>1016</v>
      </c>
      <c r="D167" s="5" t="s">
        <v>651</v>
      </c>
      <c r="E167" s="22" t="s">
        <v>655</v>
      </c>
    </row>
    <row r="168" customFormat="false" ht="15" hidden="false" customHeight="false" outlineLevel="0" collapsed="false">
      <c r="A168" s="5" t="s">
        <v>1017</v>
      </c>
      <c r="B168" s="5" t="s">
        <v>404</v>
      </c>
      <c r="C168" s="28" t="s">
        <v>1018</v>
      </c>
      <c r="D168" s="5" t="s">
        <v>651</v>
      </c>
      <c r="E168" s="22" t="s">
        <v>658</v>
      </c>
    </row>
    <row r="169" customFormat="false" ht="15" hidden="false" customHeight="false" outlineLevel="0" collapsed="false">
      <c r="A169" s="5" t="s">
        <v>1019</v>
      </c>
      <c r="B169" s="5" t="s">
        <v>404</v>
      </c>
      <c r="C169" s="28" t="s">
        <v>1020</v>
      </c>
      <c r="D169" s="5" t="s">
        <v>651</v>
      </c>
      <c r="E169" s="22" t="s">
        <v>661</v>
      </c>
    </row>
    <row r="170" customFormat="false" ht="15" hidden="false" customHeight="false" outlineLevel="0" collapsed="false">
      <c r="A170" s="5" t="s">
        <v>1021</v>
      </c>
      <c r="B170" s="5" t="s">
        <v>404</v>
      </c>
      <c r="C170" s="28" t="s">
        <v>1022</v>
      </c>
      <c r="D170" s="5" t="s">
        <v>651</v>
      </c>
      <c r="E170" s="22" t="s">
        <v>664</v>
      </c>
    </row>
    <row r="171" customFormat="false" ht="15" hidden="false" customHeight="false" outlineLevel="0" collapsed="false">
      <c r="A171" s="5" t="s">
        <v>1023</v>
      </c>
      <c r="B171" s="5" t="s">
        <v>404</v>
      </c>
      <c r="C171" s="28" t="s">
        <v>1024</v>
      </c>
      <c r="D171" s="5" t="s">
        <v>651</v>
      </c>
      <c r="E171" s="22" t="s">
        <v>667</v>
      </c>
    </row>
    <row r="172" customFormat="false" ht="15" hidden="false" customHeight="false" outlineLevel="0" collapsed="false">
      <c r="A172" s="5" t="s">
        <v>1025</v>
      </c>
      <c r="B172" s="5" t="s">
        <v>404</v>
      </c>
      <c r="C172" s="28" t="s">
        <v>872</v>
      </c>
      <c r="D172" s="5" t="s">
        <v>651</v>
      </c>
      <c r="E172" s="22" t="s">
        <v>673</v>
      </c>
    </row>
    <row r="173" customFormat="false" ht="15" hidden="false" customHeight="false" outlineLevel="0" collapsed="false">
      <c r="A173" s="5" t="s">
        <v>1026</v>
      </c>
      <c r="B173" s="5" t="s">
        <v>404</v>
      </c>
      <c r="C173" s="28" t="s">
        <v>1027</v>
      </c>
      <c r="D173" s="5" t="s">
        <v>651</v>
      </c>
      <c r="E173" s="22" t="s">
        <v>670</v>
      </c>
    </row>
    <row r="174" customFormat="false" ht="15" hidden="false" customHeight="false" outlineLevel="0" collapsed="false">
      <c r="A174" s="5" t="s">
        <v>1028</v>
      </c>
      <c r="B174" s="5" t="s">
        <v>404</v>
      </c>
      <c r="C174" s="28" t="s">
        <v>876</v>
      </c>
      <c r="D174" s="5" t="s">
        <v>651</v>
      </c>
      <c r="E174" s="22" t="s">
        <v>685</v>
      </c>
    </row>
    <row r="175" customFormat="false" ht="15" hidden="false" customHeight="false" outlineLevel="0" collapsed="false">
      <c r="A175" s="5" t="s">
        <v>1029</v>
      </c>
      <c r="B175" s="5" t="s">
        <v>404</v>
      </c>
      <c r="C175" s="28" t="s">
        <v>878</v>
      </c>
      <c r="D175" s="5" t="s">
        <v>651</v>
      </c>
      <c r="E175" s="22" t="s">
        <v>676</v>
      </c>
    </row>
    <row r="176" customFormat="false" ht="15" hidden="false" customHeight="false" outlineLevel="0" collapsed="false">
      <c r="A176" s="5" t="s">
        <v>1030</v>
      </c>
      <c r="B176" s="5" t="s">
        <v>404</v>
      </c>
      <c r="C176" s="28" t="s">
        <v>880</v>
      </c>
      <c r="D176" s="5" t="s">
        <v>651</v>
      </c>
      <c r="E176" s="22" t="s">
        <v>688</v>
      </c>
    </row>
    <row r="177" customFormat="false" ht="15" hidden="false" customHeight="false" outlineLevel="0" collapsed="false">
      <c r="A177" s="5" t="s">
        <v>1031</v>
      </c>
      <c r="B177" s="5" t="s">
        <v>404</v>
      </c>
      <c r="C177" s="28" t="s">
        <v>882</v>
      </c>
      <c r="D177" s="5" t="s">
        <v>651</v>
      </c>
      <c r="E177" s="22" t="s">
        <v>691</v>
      </c>
    </row>
    <row r="178" customFormat="false" ht="23.85" hidden="false" customHeight="false" outlineLevel="0" collapsed="false">
      <c r="A178" s="5" t="s">
        <v>1032</v>
      </c>
      <c r="B178" s="5" t="s">
        <v>404</v>
      </c>
      <c r="C178" s="28" t="s">
        <v>1033</v>
      </c>
      <c r="D178" s="5" t="s">
        <v>651</v>
      </c>
      <c r="E178" s="22" t="s">
        <v>679</v>
      </c>
    </row>
    <row r="179" customFormat="false" ht="23.85" hidden="false" customHeight="false" outlineLevel="0" collapsed="false">
      <c r="A179" s="5" t="s">
        <v>1034</v>
      </c>
      <c r="B179" s="5" t="s">
        <v>404</v>
      </c>
      <c r="C179" s="28" t="s">
        <v>721</v>
      </c>
      <c r="D179" s="5" t="s">
        <v>722</v>
      </c>
      <c r="E179" s="22" t="s">
        <v>723</v>
      </c>
    </row>
    <row r="180" customFormat="false" ht="23.85" hidden="false" customHeight="false" outlineLevel="0" collapsed="false">
      <c r="A180" s="5" t="s">
        <v>1035</v>
      </c>
      <c r="B180" s="5" t="s">
        <v>404</v>
      </c>
      <c r="C180" s="28" t="s">
        <v>1036</v>
      </c>
      <c r="D180" s="5" t="s">
        <v>726</v>
      </c>
      <c r="E180" s="22" t="s">
        <v>727</v>
      </c>
    </row>
    <row r="181" customFormat="false" ht="15" hidden="false" customHeight="false" outlineLevel="0" collapsed="false">
      <c r="A181" s="5" t="s">
        <v>1037</v>
      </c>
      <c r="B181" s="5" t="s">
        <v>404</v>
      </c>
      <c r="C181" s="28" t="s">
        <v>729</v>
      </c>
      <c r="D181" s="5" t="s">
        <v>726</v>
      </c>
      <c r="E181" s="22" t="s">
        <v>730</v>
      </c>
    </row>
    <row r="182" customFormat="false" ht="15" hidden="false" customHeight="false" outlineLevel="0" collapsed="false">
      <c r="A182" s="5" t="s">
        <v>1038</v>
      </c>
      <c r="B182" s="5" t="s">
        <v>404</v>
      </c>
      <c r="C182" s="28" t="s">
        <v>732</v>
      </c>
      <c r="D182" s="5" t="s">
        <v>722</v>
      </c>
      <c r="E182" s="22" t="s">
        <v>733</v>
      </c>
    </row>
    <row r="183" customFormat="false" ht="15" hidden="false" customHeight="false" outlineLevel="0" collapsed="false">
      <c r="A183" s="5" t="s">
        <v>1039</v>
      </c>
      <c r="B183" s="5" t="s">
        <v>404</v>
      </c>
      <c r="C183" s="28" t="s">
        <v>735</v>
      </c>
      <c r="D183" s="5" t="s">
        <v>726</v>
      </c>
      <c r="E183" s="22" t="s">
        <v>736</v>
      </c>
    </row>
    <row r="184" customFormat="false" ht="15" hidden="false" customHeight="false" outlineLevel="0" collapsed="false">
      <c r="A184" s="5" t="s">
        <v>1040</v>
      </c>
      <c r="B184" s="5" t="s">
        <v>404</v>
      </c>
      <c r="C184" s="28" t="s">
        <v>738</v>
      </c>
      <c r="D184" s="5" t="s">
        <v>726</v>
      </c>
      <c r="E184" s="22" t="s">
        <v>739</v>
      </c>
    </row>
    <row r="185" customFormat="false" ht="23.85" hidden="false" customHeight="false" outlineLevel="0" collapsed="false">
      <c r="A185" s="5" t="s">
        <v>1041</v>
      </c>
      <c r="B185" s="5" t="s">
        <v>404</v>
      </c>
      <c r="C185" s="28" t="s">
        <v>741</v>
      </c>
      <c r="D185" s="5" t="s">
        <v>742</v>
      </c>
      <c r="E185" s="22" t="s">
        <v>743</v>
      </c>
    </row>
    <row r="186" customFormat="false" ht="23.85" hidden="false" customHeight="false" outlineLevel="0" collapsed="false">
      <c r="A186" s="5" t="s">
        <v>1042</v>
      </c>
      <c r="B186" s="5" t="s">
        <v>404</v>
      </c>
      <c r="C186" s="28" t="s">
        <v>745</v>
      </c>
      <c r="D186" s="5" t="s">
        <v>726</v>
      </c>
      <c r="E186" s="22" t="s">
        <v>746</v>
      </c>
    </row>
    <row r="187" customFormat="false" ht="23.85" hidden="false" customHeight="false" outlineLevel="0" collapsed="false">
      <c r="A187" s="5" t="s">
        <v>1043</v>
      </c>
      <c r="B187" s="5" t="s">
        <v>404</v>
      </c>
      <c r="C187" s="28" t="s">
        <v>748</v>
      </c>
      <c r="D187" s="5" t="s">
        <v>749</v>
      </c>
      <c r="E187" s="22" t="s">
        <v>750</v>
      </c>
    </row>
    <row r="188" customFormat="false" ht="23.85" hidden="false" customHeight="false" outlineLevel="0" collapsed="false">
      <c r="A188" s="5" t="s">
        <v>1044</v>
      </c>
      <c r="B188" s="5" t="s">
        <v>404</v>
      </c>
      <c r="C188" s="28" t="s">
        <v>1045</v>
      </c>
      <c r="D188" s="5" t="s">
        <v>562</v>
      </c>
      <c r="E188" s="22" t="s">
        <v>700</v>
      </c>
    </row>
    <row r="189" customFormat="false" ht="23.85" hidden="false" customHeight="false" outlineLevel="0" collapsed="false">
      <c r="A189" s="5" t="s">
        <v>1046</v>
      </c>
      <c r="B189" s="5" t="s">
        <v>404</v>
      </c>
      <c r="C189" s="28" t="s">
        <v>1047</v>
      </c>
      <c r="D189" s="5" t="s">
        <v>562</v>
      </c>
      <c r="E189" s="22" t="s">
        <v>697</v>
      </c>
    </row>
    <row r="190" customFormat="false" ht="23.85" hidden="false" customHeight="false" outlineLevel="0" collapsed="false">
      <c r="A190" s="5" t="s">
        <v>1048</v>
      </c>
      <c r="B190" s="5" t="s">
        <v>404</v>
      </c>
      <c r="C190" s="28" t="s">
        <v>1049</v>
      </c>
      <c r="D190" s="5" t="s">
        <v>575</v>
      </c>
      <c r="E190" s="22" t="s">
        <v>582</v>
      </c>
    </row>
    <row r="191" customFormat="false" ht="23.85" hidden="false" customHeight="false" outlineLevel="0" collapsed="false">
      <c r="A191" s="5" t="s">
        <v>1050</v>
      </c>
      <c r="B191" s="5" t="s">
        <v>404</v>
      </c>
      <c r="C191" s="28" t="s">
        <v>1051</v>
      </c>
      <c r="D191" s="5" t="s">
        <v>636</v>
      </c>
      <c r="E191" s="22" t="s">
        <v>1052</v>
      </c>
    </row>
    <row r="192" customFormat="false" ht="23.85" hidden="false" customHeight="false" outlineLevel="0" collapsed="false">
      <c r="A192" s="5" t="s">
        <v>1053</v>
      </c>
      <c r="B192" s="5" t="s">
        <v>404</v>
      </c>
      <c r="C192" s="28" t="s">
        <v>1054</v>
      </c>
      <c r="D192" s="5" t="s">
        <v>601</v>
      </c>
      <c r="E192" s="22" t="s">
        <v>895</v>
      </c>
    </row>
    <row r="193" customFormat="false" ht="23.85" hidden="false" customHeight="false" outlineLevel="0" collapsed="false">
      <c r="A193" s="5" t="s">
        <v>1055</v>
      </c>
      <c r="B193" s="5" t="s">
        <v>404</v>
      </c>
      <c r="C193" s="28" t="s">
        <v>1056</v>
      </c>
      <c r="D193" s="5" t="s">
        <v>632</v>
      </c>
      <c r="E193" s="22" t="s">
        <v>1057</v>
      </c>
    </row>
    <row r="194" customFormat="false" ht="23.85" hidden="false" customHeight="false" outlineLevel="0" collapsed="false">
      <c r="A194" s="5" t="s">
        <v>1058</v>
      </c>
      <c r="B194" s="5" t="s">
        <v>404</v>
      </c>
      <c r="C194" s="28" t="s">
        <v>1059</v>
      </c>
      <c r="D194" s="5" t="s">
        <v>651</v>
      </c>
      <c r="E194" s="22" t="s">
        <v>711</v>
      </c>
    </row>
    <row r="195" customFormat="false" ht="15" hidden="false" customHeight="false" outlineLevel="0" collapsed="false">
      <c r="A195" s="5" t="s">
        <v>1060</v>
      </c>
      <c r="B195" s="5" t="s">
        <v>404</v>
      </c>
      <c r="C195" s="28" t="s">
        <v>1061</v>
      </c>
      <c r="D195" s="5" t="s">
        <v>703</v>
      </c>
      <c r="E195" s="22" t="s">
        <v>704</v>
      </c>
    </row>
    <row r="196" customFormat="false" ht="23.85" hidden="false" customHeight="false" outlineLevel="0" collapsed="false">
      <c r="A196" s="5" t="s">
        <v>1062</v>
      </c>
      <c r="B196" s="5" t="s">
        <v>404</v>
      </c>
      <c r="C196" s="28" t="s">
        <v>1063</v>
      </c>
      <c r="D196" s="5" t="s">
        <v>640</v>
      </c>
      <c r="E196" s="22" t="s">
        <v>1064</v>
      </c>
    </row>
    <row r="197" customFormat="false" ht="15" hidden="false" customHeight="false" outlineLevel="0" collapsed="false">
      <c r="A197" s="5" t="s">
        <v>1065</v>
      </c>
      <c r="B197" s="5" t="s">
        <v>404</v>
      </c>
      <c r="C197" s="28" t="s">
        <v>1066</v>
      </c>
      <c r="D197" s="5" t="s">
        <v>1067</v>
      </c>
      <c r="E197" s="22" t="s">
        <v>1068</v>
      </c>
    </row>
    <row r="198" customFormat="false" ht="23.85" hidden="false" customHeight="false" outlineLevel="0" collapsed="false">
      <c r="A198" s="5" t="s">
        <v>1069</v>
      </c>
      <c r="B198" s="5" t="s">
        <v>404</v>
      </c>
      <c r="C198" s="28" t="s">
        <v>619</v>
      </c>
      <c r="D198" s="5" t="s">
        <v>620</v>
      </c>
      <c r="E198" s="22" t="s">
        <v>621</v>
      </c>
    </row>
    <row r="199" customFormat="false" ht="35.05" hidden="false" customHeight="false" outlineLevel="0" collapsed="false">
      <c r="A199" s="5" t="s">
        <v>1070</v>
      </c>
      <c r="B199" s="5" t="s">
        <v>404</v>
      </c>
      <c r="C199" s="28" t="s">
        <v>647</v>
      </c>
      <c r="D199" s="5" t="s">
        <v>640</v>
      </c>
      <c r="E199" s="22" t="s">
        <v>648</v>
      </c>
    </row>
    <row r="200" customFormat="false" ht="15" hidden="false" customHeight="false" outlineLevel="0" collapsed="false">
      <c r="A200" s="5" t="s">
        <v>1071</v>
      </c>
      <c r="B200" s="5" t="s">
        <v>404</v>
      </c>
      <c r="C200" s="28" t="s">
        <v>752</v>
      </c>
      <c r="D200" s="5" t="s">
        <v>722</v>
      </c>
      <c r="E200" s="22" t="s">
        <v>753</v>
      </c>
    </row>
    <row r="201" customFormat="false" ht="15" hidden="false" customHeight="false" outlineLevel="0" collapsed="false">
      <c r="A201" s="5" t="s">
        <v>1072</v>
      </c>
      <c r="B201" s="5" t="s">
        <v>404</v>
      </c>
      <c r="C201" s="28" t="s">
        <v>755</v>
      </c>
      <c r="D201" s="5" t="s">
        <v>722</v>
      </c>
      <c r="E201" s="22" t="s">
        <v>756</v>
      </c>
    </row>
    <row r="202" customFormat="false" ht="23.85" hidden="false" customHeight="false" outlineLevel="0" collapsed="false">
      <c r="A202" s="5" t="s">
        <v>1073</v>
      </c>
      <c r="B202" s="5" t="s">
        <v>404</v>
      </c>
      <c r="C202" s="28" t="s">
        <v>758</v>
      </c>
      <c r="D202" s="5" t="s">
        <v>722</v>
      </c>
      <c r="E202" s="22" t="s">
        <v>759</v>
      </c>
    </row>
    <row r="203" customFormat="false" ht="23.85" hidden="false" customHeight="false" outlineLevel="0" collapsed="false">
      <c r="A203" s="5" t="s">
        <v>1074</v>
      </c>
      <c r="B203" s="5" t="s">
        <v>404</v>
      </c>
      <c r="C203" s="28" t="s">
        <v>761</v>
      </c>
      <c r="D203" s="5" t="s">
        <v>762</v>
      </c>
      <c r="E203" s="22" t="s">
        <v>763</v>
      </c>
    </row>
    <row r="204" customFormat="false" ht="23.85" hidden="false" customHeight="false" outlineLevel="0" collapsed="false">
      <c r="A204" s="5" t="s">
        <v>1075</v>
      </c>
      <c r="B204" s="5" t="s">
        <v>404</v>
      </c>
      <c r="C204" s="28" t="s">
        <v>765</v>
      </c>
      <c r="D204" s="5" t="s">
        <v>762</v>
      </c>
      <c r="E204" s="22" t="s">
        <v>766</v>
      </c>
    </row>
    <row r="205" customFormat="false" ht="35.05" hidden="false" customHeight="false" outlineLevel="0" collapsed="false">
      <c r="A205" s="5" t="s">
        <v>1076</v>
      </c>
      <c r="B205" s="5" t="s">
        <v>404</v>
      </c>
      <c r="C205" s="28" t="s">
        <v>768</v>
      </c>
      <c r="D205" s="5" t="s">
        <v>762</v>
      </c>
      <c r="E205" s="22" t="s">
        <v>769</v>
      </c>
    </row>
    <row r="206" customFormat="false" ht="23.85" hidden="false" customHeight="false" outlineLevel="0" collapsed="false">
      <c r="A206" s="5" t="s">
        <v>1077</v>
      </c>
      <c r="B206" s="5" t="s">
        <v>404</v>
      </c>
      <c r="C206" s="28" t="s">
        <v>771</v>
      </c>
      <c r="D206" s="5" t="s">
        <v>772</v>
      </c>
      <c r="E206" s="22" t="s">
        <v>773</v>
      </c>
    </row>
    <row r="207" customFormat="false" ht="23.85" hidden="false" customHeight="false" outlineLevel="0" collapsed="false">
      <c r="A207" s="5" t="s">
        <v>1078</v>
      </c>
      <c r="B207" s="5" t="s">
        <v>404</v>
      </c>
      <c r="C207" s="28" t="s">
        <v>775</v>
      </c>
      <c r="D207" s="5" t="s">
        <v>776</v>
      </c>
      <c r="E207" s="22" t="s">
        <v>777</v>
      </c>
    </row>
    <row r="208" customFormat="false" ht="23.85" hidden="false" customHeight="false" outlineLevel="0" collapsed="false">
      <c r="A208" s="5" t="s">
        <v>1079</v>
      </c>
      <c r="B208" s="5" t="s">
        <v>404</v>
      </c>
      <c r="C208" s="28" t="s">
        <v>1080</v>
      </c>
      <c r="D208" s="5" t="s">
        <v>562</v>
      </c>
      <c r="E208" s="22" t="s">
        <v>1081</v>
      </c>
    </row>
    <row r="209" customFormat="false" ht="23.85" hidden="false" customHeight="false" outlineLevel="0" collapsed="false">
      <c r="A209" s="5" t="s">
        <v>1082</v>
      </c>
      <c r="B209" s="5" t="s">
        <v>404</v>
      </c>
      <c r="C209" s="28" t="s">
        <v>1083</v>
      </c>
      <c r="D209" s="5" t="s">
        <v>585</v>
      </c>
      <c r="E209" s="22" t="s">
        <v>1084</v>
      </c>
    </row>
    <row r="210" customFormat="false" ht="15" hidden="false" customHeight="false" outlineLevel="0" collapsed="false">
      <c r="A210" s="5" t="s">
        <v>1085</v>
      </c>
      <c r="B210" s="5" t="s">
        <v>407</v>
      </c>
      <c r="C210" s="28" t="s">
        <v>1086</v>
      </c>
      <c r="D210" s="5" t="s">
        <v>562</v>
      </c>
      <c r="E210" s="22" t="s">
        <v>563</v>
      </c>
    </row>
    <row r="211" customFormat="false" ht="15" hidden="false" customHeight="false" outlineLevel="0" collapsed="false">
      <c r="A211" s="5" t="s">
        <v>1087</v>
      </c>
      <c r="B211" s="5" t="s">
        <v>407</v>
      </c>
      <c r="C211" s="28" t="s">
        <v>1088</v>
      </c>
      <c r="D211" s="5" t="s">
        <v>562</v>
      </c>
      <c r="E211" s="22" t="s">
        <v>782</v>
      </c>
    </row>
    <row r="212" customFormat="false" ht="15" hidden="false" customHeight="false" outlineLevel="0" collapsed="false">
      <c r="A212" s="5" t="s">
        <v>1089</v>
      </c>
      <c r="B212" s="5" t="s">
        <v>407</v>
      </c>
      <c r="C212" s="28" t="s">
        <v>1090</v>
      </c>
      <c r="D212" s="5" t="s">
        <v>562</v>
      </c>
      <c r="E212" s="22" t="s">
        <v>788</v>
      </c>
    </row>
    <row r="213" customFormat="false" ht="23.85" hidden="false" customHeight="false" outlineLevel="0" collapsed="false">
      <c r="A213" s="5" t="s">
        <v>1091</v>
      </c>
      <c r="B213" s="5" t="s">
        <v>407</v>
      </c>
      <c r="C213" s="28" t="s">
        <v>1092</v>
      </c>
      <c r="D213" s="5" t="s">
        <v>575</v>
      </c>
      <c r="E213" s="22" t="s">
        <v>582</v>
      </c>
    </row>
    <row r="214" customFormat="false" ht="23.85" hidden="false" customHeight="false" outlineLevel="0" collapsed="false">
      <c r="A214" s="5" t="s">
        <v>1093</v>
      </c>
      <c r="B214" s="5" t="s">
        <v>407</v>
      </c>
      <c r="C214" s="28" t="s">
        <v>1094</v>
      </c>
      <c r="D214" s="5" t="s">
        <v>575</v>
      </c>
      <c r="E214" s="22" t="s">
        <v>576</v>
      </c>
    </row>
    <row r="215" customFormat="false" ht="15" hidden="false" customHeight="false" outlineLevel="0" collapsed="false">
      <c r="A215" s="5" t="s">
        <v>1095</v>
      </c>
      <c r="B215" s="5" t="s">
        <v>407</v>
      </c>
      <c r="C215" s="28" t="s">
        <v>1096</v>
      </c>
      <c r="D215" s="5" t="s">
        <v>575</v>
      </c>
      <c r="E215" s="22" t="s">
        <v>579</v>
      </c>
    </row>
    <row r="216" customFormat="false" ht="15" hidden="false" customHeight="false" outlineLevel="0" collapsed="false">
      <c r="A216" s="5" t="s">
        <v>1097</v>
      </c>
      <c r="B216" s="5" t="s">
        <v>407</v>
      </c>
      <c r="C216" s="28" t="s">
        <v>1098</v>
      </c>
      <c r="D216" s="5" t="s">
        <v>589</v>
      </c>
      <c r="E216" s="22" t="s">
        <v>590</v>
      </c>
    </row>
    <row r="217" customFormat="false" ht="15" hidden="false" customHeight="false" outlineLevel="0" collapsed="false">
      <c r="A217" s="5" t="s">
        <v>1099</v>
      </c>
      <c r="B217" s="5" t="s">
        <v>407</v>
      </c>
      <c r="C217" s="28" t="s">
        <v>1100</v>
      </c>
      <c r="D217" s="5" t="s">
        <v>593</v>
      </c>
      <c r="E217" s="22" t="s">
        <v>594</v>
      </c>
    </row>
    <row r="218" customFormat="false" ht="15" hidden="false" customHeight="false" outlineLevel="0" collapsed="false">
      <c r="A218" s="5" t="s">
        <v>1101</v>
      </c>
      <c r="B218" s="5" t="s">
        <v>407</v>
      </c>
      <c r="C218" s="28" t="s">
        <v>1102</v>
      </c>
      <c r="D218" s="5" t="s">
        <v>597</v>
      </c>
      <c r="E218" s="22" t="s">
        <v>598</v>
      </c>
    </row>
    <row r="219" customFormat="false" ht="15" hidden="false" customHeight="false" outlineLevel="0" collapsed="false">
      <c r="A219" s="5" t="s">
        <v>1103</v>
      </c>
      <c r="B219" s="5" t="s">
        <v>407</v>
      </c>
      <c r="C219" s="28" t="s">
        <v>1104</v>
      </c>
      <c r="D219" s="5" t="s">
        <v>585</v>
      </c>
      <c r="E219" s="22" t="s">
        <v>586</v>
      </c>
    </row>
    <row r="220" customFormat="false" ht="35.05" hidden="false" customHeight="false" outlineLevel="0" collapsed="false">
      <c r="A220" s="5" t="s">
        <v>1105</v>
      </c>
      <c r="B220" s="5" t="s">
        <v>407</v>
      </c>
      <c r="C220" s="28" t="s">
        <v>647</v>
      </c>
      <c r="D220" s="5" t="s">
        <v>640</v>
      </c>
      <c r="E220" s="22" t="s">
        <v>648</v>
      </c>
    </row>
    <row r="221" customFormat="false" ht="15" hidden="false" customHeight="false" outlineLevel="0" collapsed="false">
      <c r="A221" s="5" t="s">
        <v>1106</v>
      </c>
      <c r="B221" s="5" t="s">
        <v>407</v>
      </c>
      <c r="C221" s="28" t="s">
        <v>1107</v>
      </c>
      <c r="D221" s="5" t="s">
        <v>640</v>
      </c>
      <c r="E221" s="22" t="s">
        <v>1108</v>
      </c>
    </row>
    <row r="222" customFormat="false" ht="23.85" hidden="false" customHeight="false" outlineLevel="0" collapsed="false">
      <c r="A222" s="5" t="s">
        <v>1109</v>
      </c>
      <c r="B222" s="5" t="s">
        <v>407</v>
      </c>
      <c r="C222" s="28" t="s">
        <v>1110</v>
      </c>
      <c r="D222" s="5" t="s">
        <v>640</v>
      </c>
      <c r="E222" s="22" t="s">
        <v>1064</v>
      </c>
    </row>
    <row r="223" customFormat="false" ht="23.85" hidden="false" customHeight="false" outlineLevel="0" collapsed="false">
      <c r="A223" s="5" t="s">
        <v>1111</v>
      </c>
      <c r="B223" s="5" t="s">
        <v>407</v>
      </c>
      <c r="C223" s="28" t="s">
        <v>1112</v>
      </c>
      <c r="D223" s="5" t="s">
        <v>640</v>
      </c>
      <c r="E223" s="22" t="s">
        <v>1113</v>
      </c>
    </row>
    <row r="224" customFormat="false" ht="15" hidden="false" customHeight="false" outlineLevel="0" collapsed="false">
      <c r="A224" s="5" t="s">
        <v>1114</v>
      </c>
      <c r="B224" s="5" t="s">
        <v>407</v>
      </c>
      <c r="C224" s="28" t="s">
        <v>1115</v>
      </c>
      <c r="D224" s="5" t="s">
        <v>562</v>
      </c>
      <c r="E224" s="22" t="s">
        <v>973</v>
      </c>
    </row>
    <row r="225" customFormat="false" ht="23.85" hidden="false" customHeight="false" outlineLevel="0" collapsed="false">
      <c r="A225" s="5" t="s">
        <v>1116</v>
      </c>
      <c r="B225" s="5" t="s">
        <v>407</v>
      </c>
      <c r="C225" s="28" t="s">
        <v>1117</v>
      </c>
      <c r="D225" s="5" t="s">
        <v>1118</v>
      </c>
      <c r="E225" s="22" t="s">
        <v>1119</v>
      </c>
    </row>
    <row r="226" customFormat="false" ht="23.85" hidden="false" customHeight="false" outlineLevel="0" collapsed="false">
      <c r="A226" s="5" t="s">
        <v>1120</v>
      </c>
      <c r="B226" s="5" t="s">
        <v>407</v>
      </c>
      <c r="C226" s="28" t="s">
        <v>1121</v>
      </c>
      <c r="D226" s="5" t="s">
        <v>651</v>
      </c>
      <c r="E226" s="22" t="s">
        <v>1122</v>
      </c>
    </row>
    <row r="227" customFormat="false" ht="23.85" hidden="false" customHeight="false" outlineLevel="0" collapsed="false">
      <c r="A227" s="5" t="s">
        <v>1123</v>
      </c>
      <c r="B227" s="5" t="s">
        <v>407</v>
      </c>
      <c r="C227" s="28" t="s">
        <v>1124</v>
      </c>
      <c r="D227" s="5" t="s">
        <v>562</v>
      </c>
      <c r="E227" s="22" t="s">
        <v>1125</v>
      </c>
    </row>
    <row r="228" customFormat="false" ht="23.85" hidden="false" customHeight="false" outlineLevel="0" collapsed="false">
      <c r="A228" s="5" t="s">
        <v>1126</v>
      </c>
      <c r="B228" s="5" t="s">
        <v>407</v>
      </c>
      <c r="C228" s="28" t="s">
        <v>1127</v>
      </c>
      <c r="D228" s="5" t="s">
        <v>651</v>
      </c>
      <c r="E228" s="22" t="s">
        <v>1128</v>
      </c>
    </row>
    <row r="229" customFormat="false" ht="23.85" hidden="false" customHeight="false" outlineLevel="0" collapsed="false">
      <c r="A229" s="5" t="s">
        <v>1129</v>
      </c>
      <c r="B229" s="5" t="s">
        <v>407</v>
      </c>
      <c r="C229" s="28" t="s">
        <v>1130</v>
      </c>
      <c r="D229" s="5" t="s">
        <v>841</v>
      </c>
      <c r="E229" s="22" t="s">
        <v>1131</v>
      </c>
    </row>
    <row r="230" customFormat="false" ht="15" hidden="false" customHeight="false" outlineLevel="0" collapsed="false">
      <c r="A230" s="5" t="s">
        <v>1132</v>
      </c>
      <c r="B230" s="5" t="s">
        <v>407</v>
      </c>
      <c r="C230" s="28" t="s">
        <v>1133</v>
      </c>
      <c r="D230" s="5" t="s">
        <v>898</v>
      </c>
      <c r="E230" s="22" t="s">
        <v>1134</v>
      </c>
    </row>
    <row r="231" customFormat="false" ht="23.85" hidden="false" customHeight="false" outlineLevel="0" collapsed="false">
      <c r="A231" s="5" t="s">
        <v>1135</v>
      </c>
      <c r="B231" s="5" t="s">
        <v>407</v>
      </c>
      <c r="C231" s="28" t="s">
        <v>1136</v>
      </c>
      <c r="D231" s="5" t="s">
        <v>1067</v>
      </c>
      <c r="E231" s="22" t="s">
        <v>1137</v>
      </c>
    </row>
    <row r="232" customFormat="false" ht="15" hidden="false" customHeight="false" outlineLevel="0" collapsed="false">
      <c r="A232" s="5" t="s">
        <v>1138</v>
      </c>
      <c r="B232" s="5" t="s">
        <v>407</v>
      </c>
      <c r="C232" s="28" t="s">
        <v>1066</v>
      </c>
      <c r="D232" s="5" t="s">
        <v>1067</v>
      </c>
      <c r="E232" s="22" t="s">
        <v>1068</v>
      </c>
    </row>
    <row r="233" customFormat="false" ht="15" hidden="false" customHeight="false" outlineLevel="0" collapsed="false">
      <c r="A233" s="5" t="s">
        <v>1139</v>
      </c>
      <c r="B233" s="5" t="s">
        <v>407</v>
      </c>
      <c r="C233" s="28" t="s">
        <v>1140</v>
      </c>
      <c r="D233" s="5" t="s">
        <v>1067</v>
      </c>
      <c r="E233" s="22" t="s">
        <v>1141</v>
      </c>
    </row>
    <row r="234" customFormat="false" ht="23.85" hidden="false" customHeight="false" outlineLevel="0" collapsed="false">
      <c r="A234" s="5" t="s">
        <v>1142</v>
      </c>
      <c r="B234" s="5" t="s">
        <v>407</v>
      </c>
      <c r="C234" s="28" t="s">
        <v>1143</v>
      </c>
      <c r="D234" s="5" t="s">
        <v>1067</v>
      </c>
      <c r="E234" s="22" t="s">
        <v>1144</v>
      </c>
    </row>
    <row r="235" customFormat="false" ht="15" hidden="false" customHeight="false" outlineLevel="0" collapsed="false">
      <c r="A235" s="5" t="s">
        <v>1145</v>
      </c>
      <c r="B235" s="5" t="s">
        <v>407</v>
      </c>
      <c r="C235" s="28" t="s">
        <v>1146</v>
      </c>
      <c r="D235" s="5" t="s">
        <v>845</v>
      </c>
      <c r="E235" s="22" t="s">
        <v>846</v>
      </c>
    </row>
    <row r="236" customFormat="false" ht="15" hidden="false" customHeight="false" outlineLevel="0" collapsed="false">
      <c r="A236" s="5" t="s">
        <v>1147</v>
      </c>
      <c r="B236" s="5" t="s">
        <v>407</v>
      </c>
      <c r="C236" s="28" t="s">
        <v>1148</v>
      </c>
      <c r="D236" s="5" t="s">
        <v>718</v>
      </c>
      <c r="E236" s="22" t="s">
        <v>1149</v>
      </c>
    </row>
    <row r="237" customFormat="false" ht="15" hidden="false" customHeight="false" outlineLevel="0" collapsed="false">
      <c r="A237" s="5" t="s">
        <v>1150</v>
      </c>
      <c r="B237" s="5" t="s">
        <v>407</v>
      </c>
      <c r="C237" s="28" t="s">
        <v>1151</v>
      </c>
      <c r="D237" s="5" t="s">
        <v>605</v>
      </c>
      <c r="E237" s="22" t="s">
        <v>1152</v>
      </c>
    </row>
    <row r="238" customFormat="false" ht="15" hidden="false" customHeight="false" outlineLevel="0" collapsed="false">
      <c r="A238" s="5" t="s">
        <v>1153</v>
      </c>
      <c r="B238" s="5" t="s">
        <v>407</v>
      </c>
      <c r="C238" s="28" t="s">
        <v>1154</v>
      </c>
      <c r="D238" s="5" t="s">
        <v>898</v>
      </c>
      <c r="E238" s="22" t="s">
        <v>1155</v>
      </c>
    </row>
    <row r="239" customFormat="false" ht="23.85" hidden="false" customHeight="false" outlineLevel="0" collapsed="false">
      <c r="A239" s="5" t="s">
        <v>1156</v>
      </c>
      <c r="B239" s="5" t="s">
        <v>407</v>
      </c>
      <c r="C239" s="28" t="s">
        <v>1157</v>
      </c>
      <c r="D239" s="5" t="s">
        <v>601</v>
      </c>
      <c r="E239" s="22" t="s">
        <v>1158</v>
      </c>
    </row>
    <row r="240" customFormat="false" ht="23.85" hidden="false" customHeight="false" outlineLevel="0" collapsed="false">
      <c r="A240" s="5" t="s">
        <v>1159</v>
      </c>
      <c r="B240" s="5" t="s">
        <v>407</v>
      </c>
      <c r="C240" s="28" t="s">
        <v>1160</v>
      </c>
      <c r="D240" s="5" t="s">
        <v>562</v>
      </c>
      <c r="E240" s="22" t="s">
        <v>700</v>
      </c>
    </row>
    <row r="241" customFormat="false" ht="23.85" hidden="false" customHeight="false" outlineLevel="0" collapsed="false">
      <c r="A241" s="5" t="s">
        <v>1161</v>
      </c>
      <c r="B241" s="5" t="s">
        <v>407</v>
      </c>
      <c r="C241" s="28" t="s">
        <v>1162</v>
      </c>
      <c r="D241" s="5" t="s">
        <v>562</v>
      </c>
      <c r="E241" s="22" t="s">
        <v>697</v>
      </c>
    </row>
    <row r="242" customFormat="false" ht="23.85" hidden="false" customHeight="false" outlineLevel="0" collapsed="false">
      <c r="A242" s="5" t="s">
        <v>1163</v>
      </c>
      <c r="B242" s="5" t="s">
        <v>407</v>
      </c>
      <c r="C242" s="28" t="s">
        <v>1164</v>
      </c>
      <c r="D242" s="5" t="s">
        <v>703</v>
      </c>
      <c r="E242" s="22" t="s">
        <v>704</v>
      </c>
    </row>
    <row r="243" customFormat="false" ht="15" hidden="false" customHeight="false" outlineLevel="0" collapsed="false">
      <c r="A243" s="5" t="s">
        <v>1165</v>
      </c>
      <c r="B243" s="5" t="s">
        <v>407</v>
      </c>
      <c r="C243" s="28" t="s">
        <v>1166</v>
      </c>
      <c r="D243" s="5" t="s">
        <v>707</v>
      </c>
      <c r="E243" s="22" t="s">
        <v>708</v>
      </c>
    </row>
    <row r="244" customFormat="false" ht="23.85" hidden="false" customHeight="false" outlineLevel="0" collapsed="false">
      <c r="A244" s="5" t="s">
        <v>1167</v>
      </c>
      <c r="B244" s="5" t="s">
        <v>407</v>
      </c>
      <c r="C244" s="28" t="s">
        <v>1168</v>
      </c>
      <c r="D244" s="5" t="s">
        <v>601</v>
      </c>
      <c r="E244" s="22" t="s">
        <v>892</v>
      </c>
    </row>
    <row r="245" customFormat="false" ht="23.85" hidden="false" customHeight="false" outlineLevel="0" collapsed="false">
      <c r="A245" s="5" t="s">
        <v>1169</v>
      </c>
      <c r="B245" s="5" t="s">
        <v>407</v>
      </c>
      <c r="C245" s="28" t="s">
        <v>1054</v>
      </c>
      <c r="D245" s="5" t="s">
        <v>601</v>
      </c>
      <c r="E245" s="22" t="s">
        <v>895</v>
      </c>
    </row>
    <row r="246" customFormat="false" ht="23.85" hidden="false" customHeight="false" outlineLevel="0" collapsed="false">
      <c r="A246" s="5" t="s">
        <v>1170</v>
      </c>
      <c r="B246" s="5" t="s">
        <v>407</v>
      </c>
      <c r="C246" s="28" t="s">
        <v>1171</v>
      </c>
      <c r="D246" s="5" t="s">
        <v>1172</v>
      </c>
      <c r="E246" s="22" t="s">
        <v>1173</v>
      </c>
    </row>
    <row r="247" customFormat="false" ht="23.85" hidden="false" customHeight="false" outlineLevel="0" collapsed="false">
      <c r="A247" s="5" t="s">
        <v>1174</v>
      </c>
      <c r="B247" s="5" t="s">
        <v>407</v>
      </c>
      <c r="C247" s="28" t="s">
        <v>1175</v>
      </c>
      <c r="D247" s="5" t="s">
        <v>562</v>
      </c>
      <c r="E247" s="22" t="s">
        <v>694</v>
      </c>
    </row>
    <row r="248" customFormat="false" ht="23.85" hidden="false" customHeight="false" outlineLevel="0" collapsed="false">
      <c r="A248" s="5" t="s">
        <v>1176</v>
      </c>
      <c r="B248" s="5" t="s">
        <v>407</v>
      </c>
      <c r="C248" s="28" t="s">
        <v>1177</v>
      </c>
      <c r="D248" s="5" t="s">
        <v>575</v>
      </c>
      <c r="E248" s="22" t="s">
        <v>1178</v>
      </c>
    </row>
    <row r="249" customFormat="false" ht="35.05" hidden="false" customHeight="false" outlineLevel="0" collapsed="false">
      <c r="A249" s="5" t="s">
        <v>1179</v>
      </c>
      <c r="B249" s="5" t="s">
        <v>407</v>
      </c>
      <c r="C249" s="28" t="s">
        <v>1180</v>
      </c>
      <c r="D249" s="5" t="s">
        <v>651</v>
      </c>
      <c r="E249" s="22" t="s">
        <v>652</v>
      </c>
    </row>
    <row r="250" customFormat="false" ht="15" hidden="false" customHeight="false" outlineLevel="0" collapsed="false">
      <c r="A250" s="5" t="s">
        <v>1181</v>
      </c>
      <c r="B250" s="5" t="s">
        <v>407</v>
      </c>
      <c r="C250" s="28" t="s">
        <v>1016</v>
      </c>
      <c r="D250" s="5" t="s">
        <v>651</v>
      </c>
      <c r="E250" s="22" t="s">
        <v>655</v>
      </c>
    </row>
    <row r="251" customFormat="false" ht="15" hidden="false" customHeight="false" outlineLevel="0" collapsed="false">
      <c r="A251" s="5" t="s">
        <v>1182</v>
      </c>
      <c r="B251" s="5" t="s">
        <v>407</v>
      </c>
      <c r="C251" s="28" t="s">
        <v>1183</v>
      </c>
      <c r="D251" s="5" t="s">
        <v>651</v>
      </c>
      <c r="E251" s="22" t="s">
        <v>658</v>
      </c>
    </row>
    <row r="252" customFormat="false" ht="15" hidden="false" customHeight="false" outlineLevel="0" collapsed="false">
      <c r="A252" s="5" t="s">
        <v>1184</v>
      </c>
      <c r="B252" s="5" t="s">
        <v>407</v>
      </c>
      <c r="C252" s="28" t="s">
        <v>1185</v>
      </c>
      <c r="D252" s="5" t="s">
        <v>651</v>
      </c>
      <c r="E252" s="22" t="s">
        <v>661</v>
      </c>
    </row>
    <row r="253" customFormat="false" ht="15" hidden="false" customHeight="false" outlineLevel="0" collapsed="false">
      <c r="A253" s="5" t="s">
        <v>1186</v>
      </c>
      <c r="B253" s="5" t="s">
        <v>407</v>
      </c>
      <c r="C253" s="28" t="s">
        <v>1187</v>
      </c>
      <c r="D253" s="5" t="s">
        <v>651</v>
      </c>
      <c r="E253" s="22" t="s">
        <v>664</v>
      </c>
    </row>
    <row r="254" customFormat="false" ht="15" hidden="false" customHeight="false" outlineLevel="0" collapsed="false">
      <c r="A254" s="5" t="s">
        <v>1188</v>
      </c>
      <c r="B254" s="5" t="s">
        <v>407</v>
      </c>
      <c r="C254" s="28" t="s">
        <v>1189</v>
      </c>
      <c r="D254" s="5" t="s">
        <v>651</v>
      </c>
      <c r="E254" s="22" t="s">
        <v>667</v>
      </c>
    </row>
    <row r="255" customFormat="false" ht="15" hidden="false" customHeight="false" outlineLevel="0" collapsed="false">
      <c r="A255" s="5" t="s">
        <v>1190</v>
      </c>
      <c r="B255" s="5" t="s">
        <v>407</v>
      </c>
      <c r="C255" s="28" t="s">
        <v>1191</v>
      </c>
      <c r="D255" s="5" t="s">
        <v>651</v>
      </c>
      <c r="E255" s="22" t="s">
        <v>673</v>
      </c>
    </row>
    <row r="256" customFormat="false" ht="15" hidden="false" customHeight="false" outlineLevel="0" collapsed="false">
      <c r="A256" s="5" t="s">
        <v>1192</v>
      </c>
      <c r="B256" s="5" t="s">
        <v>407</v>
      </c>
      <c r="C256" s="28" t="s">
        <v>1193</v>
      </c>
      <c r="D256" s="5" t="s">
        <v>651</v>
      </c>
      <c r="E256" s="22" t="s">
        <v>670</v>
      </c>
    </row>
    <row r="257" customFormat="false" ht="15" hidden="false" customHeight="false" outlineLevel="0" collapsed="false">
      <c r="A257" s="5" t="s">
        <v>1194</v>
      </c>
      <c r="B257" s="5" t="s">
        <v>407</v>
      </c>
      <c r="C257" s="28" t="s">
        <v>1195</v>
      </c>
      <c r="D257" s="5" t="s">
        <v>651</v>
      </c>
      <c r="E257" s="22" t="s">
        <v>685</v>
      </c>
    </row>
    <row r="258" customFormat="false" ht="15" hidden="false" customHeight="false" outlineLevel="0" collapsed="false">
      <c r="A258" s="5" t="s">
        <v>1196</v>
      </c>
      <c r="B258" s="5" t="s">
        <v>407</v>
      </c>
      <c r="C258" s="28" t="s">
        <v>1197</v>
      </c>
      <c r="D258" s="5" t="s">
        <v>651</v>
      </c>
      <c r="E258" s="22" t="s">
        <v>676</v>
      </c>
    </row>
    <row r="259" customFormat="false" ht="15" hidden="false" customHeight="false" outlineLevel="0" collapsed="false">
      <c r="A259" s="5" t="s">
        <v>1198</v>
      </c>
      <c r="B259" s="5" t="s">
        <v>407</v>
      </c>
      <c r="C259" s="28" t="s">
        <v>1199</v>
      </c>
      <c r="D259" s="5" t="s">
        <v>651</v>
      </c>
      <c r="E259" s="22" t="s">
        <v>688</v>
      </c>
    </row>
    <row r="260" customFormat="false" ht="15" hidden="false" customHeight="false" outlineLevel="0" collapsed="false">
      <c r="A260" s="5" t="s">
        <v>1200</v>
      </c>
      <c r="B260" s="5" t="s">
        <v>407</v>
      </c>
      <c r="C260" s="28" t="s">
        <v>1201</v>
      </c>
      <c r="D260" s="5" t="s">
        <v>651</v>
      </c>
      <c r="E260" s="22" t="s">
        <v>691</v>
      </c>
    </row>
    <row r="261" customFormat="false" ht="23.85" hidden="false" customHeight="false" outlineLevel="0" collapsed="false">
      <c r="A261" s="5" t="s">
        <v>1202</v>
      </c>
      <c r="B261" s="5" t="s">
        <v>407</v>
      </c>
      <c r="C261" s="28" t="s">
        <v>1203</v>
      </c>
      <c r="D261" s="5" t="s">
        <v>651</v>
      </c>
      <c r="E261" s="22" t="s">
        <v>679</v>
      </c>
    </row>
    <row r="262" customFormat="false" ht="35.05" hidden="false" customHeight="false" outlineLevel="0" collapsed="false">
      <c r="A262" s="5" t="s">
        <v>1204</v>
      </c>
      <c r="B262" s="5" t="s">
        <v>407</v>
      </c>
      <c r="C262" s="28" t="s">
        <v>1205</v>
      </c>
      <c r="D262" s="5" t="s">
        <v>1206</v>
      </c>
      <c r="E262" s="5" t="s">
        <v>1207</v>
      </c>
    </row>
    <row r="263" customFormat="false" ht="15" hidden="false" customHeight="false" outlineLevel="0" collapsed="false">
      <c r="A263" s="5" t="s">
        <v>1208</v>
      </c>
      <c r="B263" s="5" t="s">
        <v>407</v>
      </c>
      <c r="C263" s="28" t="s">
        <v>752</v>
      </c>
      <c r="D263" s="5" t="s">
        <v>722</v>
      </c>
      <c r="E263" s="22" t="s">
        <v>753</v>
      </c>
    </row>
    <row r="264" customFormat="false" ht="15" hidden="false" customHeight="false" outlineLevel="0" collapsed="false">
      <c r="A264" s="5" t="s">
        <v>1209</v>
      </c>
      <c r="B264" s="5" t="s">
        <v>407</v>
      </c>
      <c r="C264" s="28" t="s">
        <v>755</v>
      </c>
      <c r="D264" s="5" t="s">
        <v>722</v>
      </c>
      <c r="E264" s="22" t="s">
        <v>756</v>
      </c>
    </row>
    <row r="265" customFormat="false" ht="23.85" hidden="false" customHeight="false" outlineLevel="0" collapsed="false">
      <c r="A265" s="5" t="s">
        <v>1210</v>
      </c>
      <c r="B265" s="5" t="s">
        <v>407</v>
      </c>
      <c r="C265" s="28" t="s">
        <v>758</v>
      </c>
      <c r="D265" s="5" t="s">
        <v>722</v>
      </c>
      <c r="E265" s="22" t="s">
        <v>759</v>
      </c>
    </row>
    <row r="266" customFormat="false" ht="23.85" hidden="false" customHeight="false" outlineLevel="0" collapsed="false">
      <c r="A266" s="5" t="s">
        <v>1211</v>
      </c>
      <c r="B266" s="5" t="s">
        <v>407</v>
      </c>
      <c r="C266" s="28" t="s">
        <v>761</v>
      </c>
      <c r="D266" s="5" t="s">
        <v>762</v>
      </c>
      <c r="E266" s="22" t="s">
        <v>763</v>
      </c>
    </row>
    <row r="267" customFormat="false" ht="23.85" hidden="false" customHeight="false" outlineLevel="0" collapsed="false">
      <c r="A267" s="5" t="s">
        <v>1212</v>
      </c>
      <c r="B267" s="5" t="s">
        <v>407</v>
      </c>
      <c r="C267" s="28" t="s">
        <v>765</v>
      </c>
      <c r="D267" s="5" t="s">
        <v>762</v>
      </c>
      <c r="E267" s="22" t="s">
        <v>766</v>
      </c>
    </row>
    <row r="268" customFormat="false" ht="35.05" hidden="false" customHeight="false" outlineLevel="0" collapsed="false">
      <c r="A268" s="5" t="s">
        <v>1213</v>
      </c>
      <c r="B268" s="5" t="s">
        <v>407</v>
      </c>
      <c r="C268" s="28" t="s">
        <v>768</v>
      </c>
      <c r="D268" s="5" t="s">
        <v>762</v>
      </c>
      <c r="E268" s="22" t="s">
        <v>769</v>
      </c>
    </row>
    <row r="269" customFormat="false" ht="15" hidden="false" customHeight="false" outlineLevel="0" collapsed="false">
      <c r="A269" s="5" t="s">
        <v>1214</v>
      </c>
      <c r="B269" s="5" t="s">
        <v>407</v>
      </c>
      <c r="C269" s="28" t="s">
        <v>1215</v>
      </c>
      <c r="D269" s="5" t="s">
        <v>726</v>
      </c>
      <c r="E269" s="22" t="s">
        <v>727</v>
      </c>
    </row>
    <row r="270" customFormat="false" ht="23.85" hidden="false" customHeight="false" outlineLevel="0" collapsed="false">
      <c r="A270" s="5" t="s">
        <v>1216</v>
      </c>
      <c r="B270" s="5" t="s">
        <v>407</v>
      </c>
      <c r="C270" s="28" t="s">
        <v>771</v>
      </c>
      <c r="D270" s="5" t="s">
        <v>772</v>
      </c>
      <c r="E270" s="22" t="s">
        <v>773</v>
      </c>
    </row>
    <row r="271" customFormat="false" ht="23.85" hidden="false" customHeight="false" outlineLevel="0" collapsed="false">
      <c r="A271" s="5" t="s">
        <v>1217</v>
      </c>
      <c r="B271" s="5" t="s">
        <v>407</v>
      </c>
      <c r="C271" s="28" t="s">
        <v>1218</v>
      </c>
      <c r="D271" s="5" t="s">
        <v>722</v>
      </c>
      <c r="E271" s="22" t="s">
        <v>733</v>
      </c>
    </row>
    <row r="272" customFormat="false" ht="23.85" hidden="false" customHeight="false" outlineLevel="0" collapsed="false">
      <c r="A272" s="5" t="s">
        <v>1219</v>
      </c>
      <c r="B272" s="5" t="s">
        <v>407</v>
      </c>
      <c r="C272" s="28" t="s">
        <v>775</v>
      </c>
      <c r="D272" s="5" t="s">
        <v>776</v>
      </c>
      <c r="E272" s="22" t="s">
        <v>777</v>
      </c>
    </row>
    <row r="273" customFormat="false" ht="23.85" hidden="false" customHeight="false" outlineLevel="0" collapsed="false">
      <c r="A273" s="5" t="s">
        <v>1220</v>
      </c>
      <c r="B273" s="5" t="s">
        <v>407</v>
      </c>
      <c r="C273" s="28" t="s">
        <v>1080</v>
      </c>
      <c r="D273" s="5" t="s">
        <v>562</v>
      </c>
      <c r="E273" s="22" t="s">
        <v>1081</v>
      </c>
    </row>
    <row r="274" customFormat="false" ht="23.85" hidden="false" customHeight="false" outlineLevel="0" collapsed="false">
      <c r="A274" s="5" t="s">
        <v>1221</v>
      </c>
      <c r="B274" s="5" t="s">
        <v>407</v>
      </c>
      <c r="C274" s="28" t="s">
        <v>1083</v>
      </c>
      <c r="D274" s="5" t="s">
        <v>585</v>
      </c>
      <c r="E274" s="22" t="s">
        <v>1084</v>
      </c>
    </row>
    <row r="275" customFormat="false" ht="15" hidden="false" customHeight="false" outlineLevel="0" collapsed="false">
      <c r="A275" s="5" t="s">
        <v>1222</v>
      </c>
      <c r="B275" s="5" t="s">
        <v>410</v>
      </c>
      <c r="C275" s="28" t="s">
        <v>1223</v>
      </c>
      <c r="D275" s="5" t="s">
        <v>562</v>
      </c>
      <c r="E275" s="22" t="s">
        <v>782</v>
      </c>
    </row>
    <row r="276" customFormat="false" ht="15" hidden="false" customHeight="false" outlineLevel="0" collapsed="false">
      <c r="A276" s="5" t="s">
        <v>1224</v>
      </c>
      <c r="B276" s="5" t="s">
        <v>410</v>
      </c>
      <c r="C276" s="28" t="s">
        <v>1225</v>
      </c>
      <c r="D276" s="5" t="s">
        <v>562</v>
      </c>
      <c r="E276" s="22" t="s">
        <v>785</v>
      </c>
    </row>
    <row r="277" customFormat="false" ht="15" hidden="false" customHeight="false" outlineLevel="0" collapsed="false">
      <c r="A277" s="5" t="s">
        <v>1226</v>
      </c>
      <c r="B277" s="5" t="s">
        <v>410</v>
      </c>
      <c r="C277" s="28" t="s">
        <v>1227</v>
      </c>
      <c r="D277" s="5" t="s">
        <v>562</v>
      </c>
      <c r="E277" s="22" t="s">
        <v>788</v>
      </c>
    </row>
    <row r="278" customFormat="false" ht="15" hidden="false" customHeight="false" outlineLevel="0" collapsed="false">
      <c r="A278" s="5" t="s">
        <v>1228</v>
      </c>
      <c r="B278" s="5" t="s">
        <v>410</v>
      </c>
      <c r="C278" s="28" t="s">
        <v>561</v>
      </c>
      <c r="D278" s="5" t="s">
        <v>562</v>
      </c>
      <c r="E278" s="22" t="s">
        <v>563</v>
      </c>
    </row>
    <row r="279" customFormat="false" ht="15" hidden="false" customHeight="false" outlineLevel="0" collapsed="false">
      <c r="A279" s="5" t="s">
        <v>1229</v>
      </c>
      <c r="B279" s="5" t="s">
        <v>410</v>
      </c>
      <c r="C279" s="28" t="s">
        <v>1230</v>
      </c>
      <c r="D279" s="5" t="s">
        <v>575</v>
      </c>
      <c r="E279" s="22" t="s">
        <v>576</v>
      </c>
    </row>
    <row r="280" customFormat="false" ht="15" hidden="false" customHeight="false" outlineLevel="0" collapsed="false">
      <c r="A280" s="5" t="s">
        <v>1231</v>
      </c>
      <c r="B280" s="5" t="s">
        <v>410</v>
      </c>
      <c r="C280" s="28" t="s">
        <v>1232</v>
      </c>
      <c r="D280" s="5" t="s">
        <v>575</v>
      </c>
      <c r="E280" s="22" t="s">
        <v>1233</v>
      </c>
    </row>
    <row r="281" customFormat="false" ht="15" hidden="false" customHeight="false" outlineLevel="0" collapsed="false">
      <c r="A281" s="5" t="s">
        <v>1234</v>
      </c>
      <c r="B281" s="5" t="s">
        <v>410</v>
      </c>
      <c r="C281" s="28" t="s">
        <v>1235</v>
      </c>
      <c r="D281" s="5" t="s">
        <v>589</v>
      </c>
      <c r="E281" s="22" t="s">
        <v>590</v>
      </c>
    </row>
    <row r="282" customFormat="false" ht="15" hidden="false" customHeight="false" outlineLevel="0" collapsed="false">
      <c r="A282" s="5" t="s">
        <v>1236</v>
      </c>
      <c r="B282" s="5" t="s">
        <v>410</v>
      </c>
      <c r="C282" s="28" t="s">
        <v>1237</v>
      </c>
      <c r="D282" s="5" t="s">
        <v>593</v>
      </c>
      <c r="E282" s="22" t="s">
        <v>594</v>
      </c>
    </row>
    <row r="283" customFormat="false" ht="15" hidden="false" customHeight="false" outlineLevel="0" collapsed="false">
      <c r="A283" s="5" t="s">
        <v>1238</v>
      </c>
      <c r="B283" s="5" t="s">
        <v>410</v>
      </c>
      <c r="C283" s="28" t="s">
        <v>1239</v>
      </c>
      <c r="D283" s="5" t="s">
        <v>597</v>
      </c>
      <c r="E283" s="22" t="s">
        <v>598</v>
      </c>
    </row>
    <row r="284" customFormat="false" ht="15" hidden="false" customHeight="false" outlineLevel="0" collapsed="false">
      <c r="A284" s="5" t="s">
        <v>1240</v>
      </c>
      <c r="B284" s="5" t="s">
        <v>410</v>
      </c>
      <c r="C284" s="28" t="s">
        <v>1241</v>
      </c>
      <c r="D284" s="5" t="s">
        <v>605</v>
      </c>
      <c r="E284" s="22" t="s">
        <v>1242</v>
      </c>
    </row>
    <row r="285" customFormat="false" ht="15" hidden="false" customHeight="false" outlineLevel="0" collapsed="false">
      <c r="A285" s="5" t="s">
        <v>1243</v>
      </c>
      <c r="B285" s="5" t="s">
        <v>410</v>
      </c>
      <c r="C285" s="28" t="s">
        <v>1244</v>
      </c>
      <c r="D285" s="5" t="s">
        <v>585</v>
      </c>
      <c r="E285" s="22" t="s">
        <v>586</v>
      </c>
    </row>
    <row r="286" customFormat="false" ht="23.85" hidden="false" customHeight="false" outlineLevel="0" collapsed="false">
      <c r="A286" s="5" t="s">
        <v>1245</v>
      </c>
      <c r="B286" s="5" t="s">
        <v>410</v>
      </c>
      <c r="C286" s="28" t="s">
        <v>1246</v>
      </c>
      <c r="D286" s="5" t="s">
        <v>640</v>
      </c>
      <c r="E286" s="22" t="s">
        <v>648</v>
      </c>
    </row>
    <row r="287" customFormat="false" ht="23.85" hidden="false" customHeight="false" outlineLevel="0" collapsed="false">
      <c r="A287" s="5" t="s">
        <v>1247</v>
      </c>
      <c r="B287" s="5" t="s">
        <v>410</v>
      </c>
      <c r="C287" s="28" t="s">
        <v>1248</v>
      </c>
      <c r="D287" s="5" t="s">
        <v>651</v>
      </c>
      <c r="E287" s="22" t="s">
        <v>652</v>
      </c>
    </row>
    <row r="288" customFormat="false" ht="15" hidden="false" customHeight="false" outlineLevel="0" collapsed="false">
      <c r="A288" s="5" t="s">
        <v>1249</v>
      </c>
      <c r="B288" s="5" t="s">
        <v>410</v>
      </c>
      <c r="C288" s="28" t="s">
        <v>1250</v>
      </c>
      <c r="D288" s="5" t="s">
        <v>651</v>
      </c>
      <c r="E288" s="22" t="s">
        <v>1251</v>
      </c>
    </row>
    <row r="289" customFormat="false" ht="15" hidden="false" customHeight="false" outlineLevel="0" collapsed="false">
      <c r="A289" s="5" t="s">
        <v>1252</v>
      </c>
      <c r="B289" s="5" t="s">
        <v>410</v>
      </c>
      <c r="C289" s="28" t="s">
        <v>1253</v>
      </c>
      <c r="D289" s="5" t="s">
        <v>651</v>
      </c>
      <c r="E289" s="22" t="s">
        <v>1254</v>
      </c>
    </row>
    <row r="290" customFormat="false" ht="15" hidden="false" customHeight="false" outlineLevel="0" collapsed="false">
      <c r="A290" s="5" t="s">
        <v>1255</v>
      </c>
      <c r="B290" s="5" t="s">
        <v>410</v>
      </c>
      <c r="C290" s="28" t="s">
        <v>1256</v>
      </c>
      <c r="D290" s="5" t="s">
        <v>651</v>
      </c>
      <c r="E290" s="22" t="s">
        <v>1257</v>
      </c>
    </row>
    <row r="291" customFormat="false" ht="15" hidden="false" customHeight="false" outlineLevel="0" collapsed="false">
      <c r="A291" s="5" t="s">
        <v>1258</v>
      </c>
      <c r="B291" s="5" t="s">
        <v>410</v>
      </c>
      <c r="C291" s="28" t="s">
        <v>1259</v>
      </c>
      <c r="D291" s="5" t="s">
        <v>651</v>
      </c>
      <c r="E291" s="22" t="s">
        <v>1260</v>
      </c>
    </row>
    <row r="292" customFormat="false" ht="15" hidden="false" customHeight="false" outlineLevel="0" collapsed="false">
      <c r="A292" s="5" t="s">
        <v>1261</v>
      </c>
      <c r="B292" s="5" t="s">
        <v>410</v>
      </c>
      <c r="C292" s="28" t="s">
        <v>1262</v>
      </c>
      <c r="D292" s="5" t="s">
        <v>651</v>
      </c>
      <c r="E292" s="22" t="s">
        <v>1263</v>
      </c>
    </row>
    <row r="293" customFormat="false" ht="15" hidden="false" customHeight="false" outlineLevel="0" collapsed="false">
      <c r="A293" s="5" t="s">
        <v>1264</v>
      </c>
      <c r="B293" s="5" t="s">
        <v>410</v>
      </c>
      <c r="C293" s="28" t="s">
        <v>1265</v>
      </c>
      <c r="D293" s="5" t="s">
        <v>651</v>
      </c>
      <c r="E293" s="22" t="s">
        <v>1266</v>
      </c>
    </row>
    <row r="294" customFormat="false" ht="15" hidden="false" customHeight="false" outlineLevel="0" collapsed="false">
      <c r="A294" s="5" t="s">
        <v>1267</v>
      </c>
      <c r="B294" s="5" t="s">
        <v>410</v>
      </c>
      <c r="C294" s="28" t="s">
        <v>1268</v>
      </c>
      <c r="D294" s="5" t="s">
        <v>651</v>
      </c>
      <c r="E294" s="22" t="s">
        <v>1269</v>
      </c>
    </row>
    <row r="295" customFormat="false" ht="15" hidden="false" customHeight="false" outlineLevel="0" collapsed="false">
      <c r="A295" s="5" t="s">
        <v>1270</v>
      </c>
      <c r="B295" s="5" t="s">
        <v>410</v>
      </c>
      <c r="C295" s="28" t="s">
        <v>1271</v>
      </c>
      <c r="D295" s="5" t="s">
        <v>651</v>
      </c>
      <c r="E295" s="22" t="s">
        <v>1272</v>
      </c>
    </row>
    <row r="296" customFormat="false" ht="15" hidden="false" customHeight="false" outlineLevel="0" collapsed="false">
      <c r="A296" s="5" t="s">
        <v>1273</v>
      </c>
      <c r="B296" s="5" t="s">
        <v>410</v>
      </c>
      <c r="C296" s="28" t="s">
        <v>1274</v>
      </c>
      <c r="D296" s="5" t="s">
        <v>651</v>
      </c>
      <c r="E296" s="22" t="s">
        <v>1275</v>
      </c>
    </row>
    <row r="297" customFormat="false" ht="15" hidden="false" customHeight="false" outlineLevel="0" collapsed="false">
      <c r="A297" s="5" t="s">
        <v>1276</v>
      </c>
      <c r="B297" s="5" t="s">
        <v>410</v>
      </c>
      <c r="C297" s="28" t="s">
        <v>1277</v>
      </c>
      <c r="D297" s="5" t="s">
        <v>651</v>
      </c>
      <c r="E297" s="22" t="s">
        <v>1278</v>
      </c>
    </row>
    <row r="298" customFormat="false" ht="15" hidden="false" customHeight="false" outlineLevel="0" collapsed="false">
      <c r="A298" s="5" t="s">
        <v>1279</v>
      </c>
      <c r="B298" s="5" t="s">
        <v>410</v>
      </c>
      <c r="C298" s="28" t="s">
        <v>1280</v>
      </c>
      <c r="D298" s="5" t="s">
        <v>640</v>
      </c>
      <c r="E298" s="5" t="s">
        <v>682</v>
      </c>
    </row>
    <row r="299" customFormat="false" ht="23.85" hidden="false" customHeight="false" outlineLevel="0" collapsed="false">
      <c r="A299" s="5" t="s">
        <v>1281</v>
      </c>
      <c r="B299" s="5" t="s">
        <v>410</v>
      </c>
      <c r="C299" s="28" t="s">
        <v>1282</v>
      </c>
      <c r="D299" s="5" t="s">
        <v>640</v>
      </c>
      <c r="E299" s="22" t="s">
        <v>1064</v>
      </c>
    </row>
    <row r="300" customFormat="false" ht="23.85" hidden="false" customHeight="false" outlineLevel="0" collapsed="false">
      <c r="A300" s="5" t="s">
        <v>1283</v>
      </c>
      <c r="B300" s="5" t="s">
        <v>410</v>
      </c>
      <c r="C300" s="28" t="s">
        <v>1284</v>
      </c>
      <c r="D300" s="5" t="s">
        <v>640</v>
      </c>
      <c r="E300" s="22" t="s">
        <v>1285</v>
      </c>
    </row>
    <row r="301" customFormat="false" ht="23.85" hidden="false" customHeight="false" outlineLevel="0" collapsed="false">
      <c r="A301" s="5" t="s">
        <v>1286</v>
      </c>
      <c r="B301" s="5" t="s">
        <v>410</v>
      </c>
      <c r="C301" s="28" t="s">
        <v>1287</v>
      </c>
      <c r="D301" s="5" t="s">
        <v>640</v>
      </c>
      <c r="E301" s="22" t="s">
        <v>1113</v>
      </c>
    </row>
    <row r="302" customFormat="false" ht="15" hidden="false" customHeight="false" outlineLevel="0" collapsed="false">
      <c r="A302" s="5" t="s">
        <v>1288</v>
      </c>
      <c r="B302" s="5" t="s">
        <v>410</v>
      </c>
      <c r="C302" s="28" t="s">
        <v>1289</v>
      </c>
      <c r="D302" s="5" t="s">
        <v>640</v>
      </c>
      <c r="E302" s="22" t="s">
        <v>1290</v>
      </c>
    </row>
    <row r="303" customFormat="false" ht="15" hidden="false" customHeight="false" outlineLevel="0" collapsed="false">
      <c r="A303" s="5" t="s">
        <v>1291</v>
      </c>
      <c r="B303" s="5" t="s">
        <v>410</v>
      </c>
      <c r="C303" s="28" t="s">
        <v>1292</v>
      </c>
      <c r="D303" s="5" t="s">
        <v>640</v>
      </c>
      <c r="E303" s="22" t="s">
        <v>1293</v>
      </c>
    </row>
    <row r="304" customFormat="false" ht="15" hidden="false" customHeight="false" outlineLevel="0" collapsed="false">
      <c r="A304" s="5" t="s">
        <v>1294</v>
      </c>
      <c r="B304" s="5" t="s">
        <v>410</v>
      </c>
      <c r="C304" s="28" t="s">
        <v>1295</v>
      </c>
      <c r="D304" s="5" t="s">
        <v>640</v>
      </c>
      <c r="E304" s="22" t="s">
        <v>1296</v>
      </c>
    </row>
    <row r="305" customFormat="false" ht="15" hidden="false" customHeight="false" outlineLevel="0" collapsed="false">
      <c r="A305" s="5" t="s">
        <v>1297</v>
      </c>
      <c r="B305" s="5" t="s">
        <v>410</v>
      </c>
      <c r="C305" s="28" t="s">
        <v>1298</v>
      </c>
      <c r="D305" s="5" t="s">
        <v>640</v>
      </c>
      <c r="E305" s="22" t="s">
        <v>1299</v>
      </c>
    </row>
    <row r="306" customFormat="false" ht="15" hidden="false" customHeight="false" outlineLevel="0" collapsed="false">
      <c r="A306" s="5" t="s">
        <v>1300</v>
      </c>
      <c r="B306" s="5" t="s">
        <v>410</v>
      </c>
      <c r="C306" s="28" t="s">
        <v>1301</v>
      </c>
      <c r="D306" s="5" t="s">
        <v>640</v>
      </c>
      <c r="E306" s="22" t="s">
        <v>1302</v>
      </c>
    </row>
    <row r="307" customFormat="false" ht="15" hidden="false" customHeight="false" outlineLevel="0" collapsed="false">
      <c r="A307" s="5" t="s">
        <v>1303</v>
      </c>
      <c r="B307" s="5" t="s">
        <v>410</v>
      </c>
      <c r="C307" s="28" t="s">
        <v>1304</v>
      </c>
      <c r="D307" s="5" t="s">
        <v>640</v>
      </c>
      <c r="E307" s="22" t="s">
        <v>1305</v>
      </c>
    </row>
    <row r="308" customFormat="false" ht="23.85" hidden="false" customHeight="false" outlineLevel="0" collapsed="false">
      <c r="A308" s="5" t="s">
        <v>1306</v>
      </c>
      <c r="B308" s="5" t="s">
        <v>410</v>
      </c>
      <c r="C308" s="28" t="s">
        <v>1307</v>
      </c>
      <c r="D308" s="5" t="s">
        <v>1308</v>
      </c>
      <c r="E308" s="22" t="s">
        <v>1309</v>
      </c>
    </row>
    <row r="309" customFormat="false" ht="23.85" hidden="false" customHeight="false" outlineLevel="0" collapsed="false">
      <c r="A309" s="5" t="s">
        <v>1310</v>
      </c>
      <c r="B309" s="5" t="s">
        <v>410</v>
      </c>
      <c r="C309" s="28" t="s">
        <v>1311</v>
      </c>
      <c r="D309" s="5" t="s">
        <v>1312</v>
      </c>
      <c r="E309" s="22" t="s">
        <v>1313</v>
      </c>
    </row>
    <row r="310" customFormat="false" ht="23.85" hidden="false" customHeight="false" outlineLevel="0" collapsed="false">
      <c r="A310" s="5" t="s">
        <v>1314</v>
      </c>
      <c r="B310" s="5" t="s">
        <v>410</v>
      </c>
      <c r="C310" s="28" t="s">
        <v>1315</v>
      </c>
      <c r="D310" s="5" t="s">
        <v>562</v>
      </c>
      <c r="E310" s="22" t="s">
        <v>973</v>
      </c>
    </row>
    <row r="311" customFormat="false" ht="35.05" hidden="false" customHeight="false" outlineLevel="0" collapsed="false">
      <c r="A311" s="5" t="s">
        <v>1316</v>
      </c>
      <c r="B311" s="5" t="s">
        <v>410</v>
      </c>
      <c r="C311" s="28" t="s">
        <v>1317</v>
      </c>
      <c r="D311" s="5" t="s">
        <v>620</v>
      </c>
      <c r="E311" s="22" t="s">
        <v>1318</v>
      </c>
    </row>
    <row r="312" customFormat="false" ht="23.85" hidden="false" customHeight="false" outlineLevel="0" collapsed="false">
      <c r="A312" s="5" t="s">
        <v>1319</v>
      </c>
      <c r="B312" s="5" t="s">
        <v>410</v>
      </c>
      <c r="C312" s="28" t="s">
        <v>1320</v>
      </c>
      <c r="D312" s="5" t="s">
        <v>651</v>
      </c>
      <c r="E312" s="22" t="s">
        <v>1321</v>
      </c>
    </row>
    <row r="313" customFormat="false" ht="23.85" hidden="false" customHeight="false" outlineLevel="0" collapsed="false">
      <c r="A313" s="5" t="s">
        <v>1322</v>
      </c>
      <c r="B313" s="5" t="s">
        <v>410</v>
      </c>
      <c r="C313" s="28" t="s">
        <v>1323</v>
      </c>
      <c r="D313" s="5" t="s">
        <v>644</v>
      </c>
      <c r="E313" s="22" t="s">
        <v>645</v>
      </c>
    </row>
    <row r="314" customFormat="false" ht="15" hidden="false" customHeight="false" outlineLevel="0" collapsed="false">
      <c r="A314" s="5" t="s">
        <v>1324</v>
      </c>
      <c r="B314" s="5" t="s">
        <v>410</v>
      </c>
      <c r="C314" s="28" t="s">
        <v>1325</v>
      </c>
      <c r="D314" s="5" t="s">
        <v>1326</v>
      </c>
      <c r="E314" s="22" t="s">
        <v>1327</v>
      </c>
    </row>
    <row r="315" customFormat="false" ht="23.85" hidden="false" customHeight="false" outlineLevel="0" collapsed="false">
      <c r="A315" s="5" t="s">
        <v>1328</v>
      </c>
      <c r="B315" s="5" t="s">
        <v>410</v>
      </c>
      <c r="C315" s="28" t="s">
        <v>1329</v>
      </c>
      <c r="D315" s="5" t="s">
        <v>562</v>
      </c>
      <c r="E315" s="22" t="s">
        <v>1330</v>
      </c>
    </row>
    <row r="316" customFormat="false" ht="15" hidden="false" customHeight="false" outlineLevel="0" collapsed="false">
      <c r="A316" s="5" t="s">
        <v>1331</v>
      </c>
      <c r="B316" s="5" t="s">
        <v>410</v>
      </c>
      <c r="C316" s="28" t="s">
        <v>1332</v>
      </c>
      <c r="D316" s="5" t="s">
        <v>1333</v>
      </c>
      <c r="E316" s="22" t="s">
        <v>1334</v>
      </c>
    </row>
    <row r="317" customFormat="false" ht="23.85" hidden="false" customHeight="false" outlineLevel="0" collapsed="false">
      <c r="A317" s="5" t="s">
        <v>1335</v>
      </c>
      <c r="B317" s="5" t="s">
        <v>410</v>
      </c>
      <c r="C317" s="28" t="s">
        <v>1336</v>
      </c>
      <c r="D317" s="5" t="s">
        <v>1337</v>
      </c>
      <c r="E317" s="22" t="s">
        <v>1338</v>
      </c>
    </row>
    <row r="318" customFormat="false" ht="15" hidden="false" customHeight="false" outlineLevel="0" collapsed="false">
      <c r="A318" s="5" t="s">
        <v>1339</v>
      </c>
      <c r="B318" s="5" t="s">
        <v>410</v>
      </c>
      <c r="C318" s="28" t="s">
        <v>1340</v>
      </c>
      <c r="D318" s="5" t="s">
        <v>628</v>
      </c>
      <c r="E318" s="22" t="s">
        <v>629</v>
      </c>
    </row>
    <row r="319" customFormat="false" ht="35.05" hidden="false" customHeight="false" outlineLevel="0" collapsed="false">
      <c r="A319" s="5" t="s">
        <v>1341</v>
      </c>
      <c r="B319" s="5" t="s">
        <v>410</v>
      </c>
      <c r="C319" s="28" t="s">
        <v>1342</v>
      </c>
      <c r="D319" s="5" t="s">
        <v>575</v>
      </c>
      <c r="E319" s="22" t="s">
        <v>582</v>
      </c>
    </row>
    <row r="320" customFormat="false" ht="46.25" hidden="false" customHeight="false" outlineLevel="0" collapsed="false">
      <c r="A320" s="5" t="s">
        <v>1343</v>
      </c>
      <c r="B320" s="5" t="s">
        <v>410</v>
      </c>
      <c r="C320" s="28" t="s">
        <v>1344</v>
      </c>
      <c r="D320" s="5" t="s">
        <v>562</v>
      </c>
      <c r="E320" s="22" t="s">
        <v>700</v>
      </c>
    </row>
    <row r="321" customFormat="false" ht="23.85" hidden="false" customHeight="false" outlineLevel="0" collapsed="false">
      <c r="A321" s="5" t="s">
        <v>1345</v>
      </c>
      <c r="B321" s="5" t="s">
        <v>410</v>
      </c>
      <c r="C321" s="28" t="s">
        <v>1346</v>
      </c>
      <c r="D321" s="5" t="s">
        <v>562</v>
      </c>
      <c r="E321" s="22" t="s">
        <v>697</v>
      </c>
    </row>
    <row r="322" customFormat="false" ht="35.05" hidden="false" customHeight="false" outlineLevel="0" collapsed="false">
      <c r="A322" s="5" t="s">
        <v>1347</v>
      </c>
      <c r="B322" s="5" t="s">
        <v>410</v>
      </c>
      <c r="C322" s="28" t="s">
        <v>1348</v>
      </c>
      <c r="D322" s="5" t="s">
        <v>562</v>
      </c>
      <c r="E322" s="22" t="s">
        <v>694</v>
      </c>
    </row>
    <row r="323" customFormat="false" ht="23.85" hidden="false" customHeight="false" outlineLevel="0" collapsed="false">
      <c r="A323" s="5" t="s">
        <v>1349</v>
      </c>
      <c r="B323" s="5" t="s">
        <v>410</v>
      </c>
      <c r="C323" s="28" t="s">
        <v>1350</v>
      </c>
      <c r="D323" s="5" t="s">
        <v>703</v>
      </c>
      <c r="E323" s="22" t="s">
        <v>704</v>
      </c>
    </row>
    <row r="324" customFormat="false" ht="23.85" hidden="false" customHeight="false" outlineLevel="0" collapsed="false">
      <c r="A324" s="5" t="s">
        <v>1351</v>
      </c>
      <c r="B324" s="5" t="s">
        <v>410</v>
      </c>
      <c r="C324" s="28" t="s">
        <v>1352</v>
      </c>
      <c r="D324" s="5" t="s">
        <v>707</v>
      </c>
      <c r="E324" s="22" t="s">
        <v>708</v>
      </c>
    </row>
    <row r="325" customFormat="false" ht="23.85" hidden="false" customHeight="false" outlineLevel="0" collapsed="false">
      <c r="A325" s="5" t="s">
        <v>1353</v>
      </c>
      <c r="B325" s="5" t="s">
        <v>410</v>
      </c>
      <c r="C325" s="28" t="s">
        <v>1354</v>
      </c>
      <c r="D325" s="5" t="s">
        <v>714</v>
      </c>
      <c r="E325" s="22" t="s">
        <v>715</v>
      </c>
    </row>
    <row r="326" customFormat="false" ht="23.85" hidden="false" customHeight="false" outlineLevel="0" collapsed="false">
      <c r="A326" s="5" t="s">
        <v>1355</v>
      </c>
      <c r="B326" s="5" t="s">
        <v>410</v>
      </c>
      <c r="C326" s="28" t="s">
        <v>1356</v>
      </c>
      <c r="D326" s="5" t="s">
        <v>601</v>
      </c>
      <c r="E326" s="22" t="s">
        <v>1357</v>
      </c>
    </row>
    <row r="327" customFormat="false" ht="23.85" hidden="false" customHeight="false" outlineLevel="0" collapsed="false">
      <c r="A327" s="5" t="s">
        <v>1358</v>
      </c>
      <c r="B327" s="5" t="s">
        <v>410</v>
      </c>
      <c r="C327" s="28" t="s">
        <v>1359</v>
      </c>
      <c r="D327" s="5" t="s">
        <v>1360</v>
      </c>
      <c r="E327" s="22" t="s">
        <v>1361</v>
      </c>
    </row>
    <row r="328" customFormat="false" ht="23.85" hidden="false" customHeight="false" outlineLevel="0" collapsed="false">
      <c r="A328" s="5" t="s">
        <v>1362</v>
      </c>
      <c r="B328" s="5" t="s">
        <v>410</v>
      </c>
      <c r="C328" s="28" t="s">
        <v>1363</v>
      </c>
      <c r="D328" s="5" t="s">
        <v>1364</v>
      </c>
      <c r="E328" s="22" t="s">
        <v>1365</v>
      </c>
    </row>
    <row r="329" customFormat="false" ht="23.85" hidden="false" customHeight="false" outlineLevel="0" collapsed="false">
      <c r="A329" s="5" t="s">
        <v>1366</v>
      </c>
      <c r="B329" s="5" t="s">
        <v>410</v>
      </c>
      <c r="C329" s="28" t="s">
        <v>1367</v>
      </c>
      <c r="D329" s="5" t="s">
        <v>1206</v>
      </c>
      <c r="E329" s="5" t="s">
        <v>1368</v>
      </c>
    </row>
    <row r="330" customFormat="false" ht="15" hidden="false" customHeight="false" outlineLevel="0" collapsed="false">
      <c r="A330" s="5" t="s">
        <v>1369</v>
      </c>
      <c r="B330" s="5" t="s">
        <v>410</v>
      </c>
      <c r="C330" s="28" t="s">
        <v>1370</v>
      </c>
      <c r="D330" s="5" t="s">
        <v>651</v>
      </c>
      <c r="E330" s="22" t="s">
        <v>655</v>
      </c>
    </row>
    <row r="331" customFormat="false" ht="15" hidden="false" customHeight="false" outlineLevel="0" collapsed="false">
      <c r="A331" s="5" t="s">
        <v>1371</v>
      </c>
      <c r="B331" s="5" t="s">
        <v>410</v>
      </c>
      <c r="C331" s="28" t="s">
        <v>1372</v>
      </c>
      <c r="D331" s="5" t="s">
        <v>651</v>
      </c>
      <c r="E331" s="22" t="s">
        <v>658</v>
      </c>
    </row>
    <row r="332" customFormat="false" ht="15" hidden="false" customHeight="false" outlineLevel="0" collapsed="false">
      <c r="A332" s="5" t="s">
        <v>1373</v>
      </c>
      <c r="B332" s="5" t="s">
        <v>410</v>
      </c>
      <c r="C332" s="28" t="s">
        <v>1374</v>
      </c>
      <c r="D332" s="5" t="s">
        <v>651</v>
      </c>
      <c r="E332" s="22" t="s">
        <v>661</v>
      </c>
    </row>
    <row r="333" customFormat="false" ht="15" hidden="false" customHeight="false" outlineLevel="0" collapsed="false">
      <c r="A333" s="5" t="s">
        <v>1375</v>
      </c>
      <c r="B333" s="5" t="s">
        <v>410</v>
      </c>
      <c r="C333" s="28" t="s">
        <v>1376</v>
      </c>
      <c r="D333" s="5" t="s">
        <v>651</v>
      </c>
      <c r="E333" s="22" t="s">
        <v>664</v>
      </c>
    </row>
    <row r="334" customFormat="false" ht="15" hidden="false" customHeight="false" outlineLevel="0" collapsed="false">
      <c r="A334" s="5" t="s">
        <v>1377</v>
      </c>
      <c r="B334" s="5" t="s">
        <v>410</v>
      </c>
      <c r="C334" s="28" t="s">
        <v>1378</v>
      </c>
      <c r="D334" s="5" t="s">
        <v>651</v>
      </c>
      <c r="E334" s="22" t="s">
        <v>667</v>
      </c>
    </row>
    <row r="335" customFormat="false" ht="15" hidden="false" customHeight="false" outlineLevel="0" collapsed="false">
      <c r="A335" s="5" t="s">
        <v>1379</v>
      </c>
      <c r="B335" s="5" t="s">
        <v>410</v>
      </c>
      <c r="C335" s="28" t="s">
        <v>1380</v>
      </c>
      <c r="D335" s="5" t="s">
        <v>651</v>
      </c>
      <c r="E335" s="22" t="s">
        <v>673</v>
      </c>
    </row>
    <row r="336" customFormat="false" ht="15" hidden="false" customHeight="false" outlineLevel="0" collapsed="false">
      <c r="A336" s="5" t="s">
        <v>1381</v>
      </c>
      <c r="B336" s="5" t="s">
        <v>410</v>
      </c>
      <c r="C336" s="28" t="s">
        <v>1382</v>
      </c>
      <c r="D336" s="5" t="s">
        <v>651</v>
      </c>
      <c r="E336" s="22" t="s">
        <v>670</v>
      </c>
    </row>
    <row r="337" customFormat="false" ht="15" hidden="false" customHeight="false" outlineLevel="0" collapsed="false">
      <c r="A337" s="5" t="s">
        <v>1383</v>
      </c>
      <c r="B337" s="5" t="s">
        <v>410</v>
      </c>
      <c r="C337" s="28" t="s">
        <v>1384</v>
      </c>
      <c r="D337" s="5" t="s">
        <v>651</v>
      </c>
      <c r="E337" s="22" t="s">
        <v>685</v>
      </c>
    </row>
    <row r="338" customFormat="false" ht="15" hidden="false" customHeight="false" outlineLevel="0" collapsed="false">
      <c r="A338" s="5" t="s">
        <v>1385</v>
      </c>
      <c r="B338" s="5" t="s">
        <v>410</v>
      </c>
      <c r="C338" s="28" t="s">
        <v>1386</v>
      </c>
      <c r="D338" s="5" t="s">
        <v>651</v>
      </c>
      <c r="E338" s="22" t="s">
        <v>676</v>
      </c>
    </row>
    <row r="339" customFormat="false" ht="15" hidden="false" customHeight="false" outlineLevel="0" collapsed="false">
      <c r="A339" s="5" t="s">
        <v>1387</v>
      </c>
      <c r="B339" s="5" t="s">
        <v>410</v>
      </c>
      <c r="C339" s="28" t="s">
        <v>1388</v>
      </c>
      <c r="D339" s="5" t="s">
        <v>651</v>
      </c>
      <c r="E339" s="22" t="s">
        <v>688</v>
      </c>
    </row>
    <row r="340" customFormat="false" ht="15" hidden="false" customHeight="false" outlineLevel="0" collapsed="false">
      <c r="A340" s="5" t="s">
        <v>1389</v>
      </c>
      <c r="B340" s="5" t="s">
        <v>410</v>
      </c>
      <c r="C340" s="28" t="s">
        <v>1390</v>
      </c>
      <c r="D340" s="5" t="s">
        <v>651</v>
      </c>
      <c r="E340" s="22" t="s">
        <v>691</v>
      </c>
    </row>
    <row r="341" customFormat="false" ht="15" hidden="false" customHeight="false" outlineLevel="0" collapsed="false">
      <c r="A341" s="5" t="s">
        <v>1391</v>
      </c>
      <c r="B341" s="5" t="s">
        <v>410</v>
      </c>
      <c r="C341" s="28" t="s">
        <v>1392</v>
      </c>
      <c r="D341" s="5" t="s">
        <v>651</v>
      </c>
      <c r="E341" s="22" t="s">
        <v>679</v>
      </c>
    </row>
    <row r="342" customFormat="false" ht="23.85" hidden="false" customHeight="false" outlineLevel="0" collapsed="false">
      <c r="A342" s="5" t="s">
        <v>1393</v>
      </c>
      <c r="B342" s="5" t="s">
        <v>410</v>
      </c>
      <c r="C342" s="28" t="s">
        <v>1394</v>
      </c>
      <c r="D342" s="5" t="s">
        <v>1395</v>
      </c>
      <c r="E342" s="22" t="s">
        <v>1396</v>
      </c>
    </row>
    <row r="343" customFormat="false" ht="15" hidden="false" customHeight="false" outlineLevel="0" collapsed="false">
      <c r="A343" s="5" t="s">
        <v>1397</v>
      </c>
      <c r="B343" s="5" t="s">
        <v>410</v>
      </c>
      <c r="C343" s="28" t="s">
        <v>752</v>
      </c>
      <c r="D343" s="5" t="s">
        <v>722</v>
      </c>
      <c r="E343" s="22" t="s">
        <v>753</v>
      </c>
    </row>
    <row r="344" customFormat="false" ht="15" hidden="false" customHeight="false" outlineLevel="0" collapsed="false">
      <c r="A344" s="5" t="s">
        <v>1398</v>
      </c>
      <c r="B344" s="5" t="s">
        <v>410</v>
      </c>
      <c r="C344" s="28" t="s">
        <v>755</v>
      </c>
      <c r="D344" s="5" t="s">
        <v>722</v>
      </c>
      <c r="E344" s="22" t="s">
        <v>756</v>
      </c>
    </row>
    <row r="345" customFormat="false" ht="23.85" hidden="false" customHeight="false" outlineLevel="0" collapsed="false">
      <c r="A345" s="5" t="s">
        <v>1399</v>
      </c>
      <c r="B345" s="5" t="s">
        <v>410</v>
      </c>
      <c r="C345" s="28" t="s">
        <v>758</v>
      </c>
      <c r="D345" s="5" t="s">
        <v>722</v>
      </c>
      <c r="E345" s="22" t="s">
        <v>759</v>
      </c>
    </row>
    <row r="346" customFormat="false" ht="23.85" hidden="false" customHeight="false" outlineLevel="0" collapsed="false">
      <c r="A346" s="5" t="s">
        <v>1400</v>
      </c>
      <c r="B346" s="5" t="s">
        <v>410</v>
      </c>
      <c r="C346" s="28" t="s">
        <v>761</v>
      </c>
      <c r="D346" s="5" t="s">
        <v>762</v>
      </c>
      <c r="E346" s="22" t="s">
        <v>763</v>
      </c>
    </row>
    <row r="347" customFormat="false" ht="23.85" hidden="false" customHeight="false" outlineLevel="0" collapsed="false">
      <c r="A347" s="5" t="s">
        <v>1401</v>
      </c>
      <c r="B347" s="5" t="s">
        <v>410</v>
      </c>
      <c r="C347" s="28" t="s">
        <v>765</v>
      </c>
      <c r="D347" s="5" t="s">
        <v>762</v>
      </c>
      <c r="E347" s="22" t="s">
        <v>766</v>
      </c>
    </row>
    <row r="348" customFormat="false" ht="35.05" hidden="false" customHeight="false" outlineLevel="0" collapsed="false">
      <c r="A348" s="5" t="s">
        <v>1402</v>
      </c>
      <c r="B348" s="5" t="s">
        <v>410</v>
      </c>
      <c r="C348" s="28" t="s">
        <v>768</v>
      </c>
      <c r="D348" s="5" t="s">
        <v>762</v>
      </c>
      <c r="E348" s="22" t="s">
        <v>769</v>
      </c>
    </row>
    <row r="349" customFormat="false" ht="15" hidden="false" customHeight="false" outlineLevel="0" collapsed="false">
      <c r="A349" s="5" t="s">
        <v>1403</v>
      </c>
      <c r="B349" s="5" t="s">
        <v>410</v>
      </c>
      <c r="C349" s="28" t="s">
        <v>1215</v>
      </c>
      <c r="D349" s="5" t="s">
        <v>726</v>
      </c>
      <c r="E349" s="22" t="s">
        <v>727</v>
      </c>
    </row>
    <row r="350" customFormat="false" ht="23.85" hidden="false" customHeight="false" outlineLevel="0" collapsed="false">
      <c r="A350" s="5" t="s">
        <v>1404</v>
      </c>
      <c r="B350" s="5" t="s">
        <v>410</v>
      </c>
      <c r="C350" s="28" t="s">
        <v>771</v>
      </c>
      <c r="D350" s="5" t="s">
        <v>772</v>
      </c>
      <c r="E350" s="22" t="s">
        <v>773</v>
      </c>
    </row>
    <row r="351" customFormat="false" ht="23.85" hidden="false" customHeight="false" outlineLevel="0" collapsed="false">
      <c r="A351" s="5" t="s">
        <v>1405</v>
      </c>
      <c r="B351" s="5" t="s">
        <v>410</v>
      </c>
      <c r="C351" s="28" t="s">
        <v>1218</v>
      </c>
      <c r="D351" s="5" t="s">
        <v>722</v>
      </c>
      <c r="E351" s="22" t="s">
        <v>733</v>
      </c>
    </row>
    <row r="352" customFormat="false" ht="23.85" hidden="false" customHeight="false" outlineLevel="0" collapsed="false">
      <c r="A352" s="5" t="s">
        <v>1406</v>
      </c>
      <c r="B352" s="5" t="s">
        <v>410</v>
      </c>
      <c r="C352" s="28" t="s">
        <v>775</v>
      </c>
      <c r="D352" s="5" t="s">
        <v>776</v>
      </c>
      <c r="E352" s="22" t="s">
        <v>777</v>
      </c>
    </row>
    <row r="353" customFormat="false" ht="15" hidden="false" customHeight="false" outlineLevel="0" collapsed="false">
      <c r="A353" s="5" t="s">
        <v>1407</v>
      </c>
      <c r="B353" s="5" t="s">
        <v>1408</v>
      </c>
      <c r="C353" s="28" t="s">
        <v>561</v>
      </c>
      <c r="D353" s="5" t="s">
        <v>562</v>
      </c>
      <c r="E353" s="22" t="s">
        <v>563</v>
      </c>
    </row>
    <row r="354" customFormat="false" ht="23.85" hidden="false" customHeight="false" outlineLevel="0" collapsed="false">
      <c r="A354" s="5" t="s">
        <v>1409</v>
      </c>
      <c r="B354" s="5" t="s">
        <v>1408</v>
      </c>
      <c r="C354" s="28" t="s">
        <v>1045</v>
      </c>
      <c r="D354" s="5" t="s">
        <v>562</v>
      </c>
      <c r="E354" s="22" t="s">
        <v>700</v>
      </c>
    </row>
    <row r="355" customFormat="false" ht="23.85" hidden="false" customHeight="false" outlineLevel="0" collapsed="false">
      <c r="A355" s="5" t="s">
        <v>1410</v>
      </c>
      <c r="B355" s="5" t="s">
        <v>1408</v>
      </c>
      <c r="C355" s="28" t="s">
        <v>1047</v>
      </c>
      <c r="D355" s="5" t="s">
        <v>562</v>
      </c>
      <c r="E355" s="22" t="s">
        <v>697</v>
      </c>
    </row>
    <row r="356" customFormat="false" ht="15" hidden="false" customHeight="false" outlineLevel="0" collapsed="false">
      <c r="A356" s="5" t="s">
        <v>1411</v>
      </c>
      <c r="B356" s="5" t="s">
        <v>1408</v>
      </c>
      <c r="C356" s="28" t="s">
        <v>1412</v>
      </c>
      <c r="D356" s="5" t="s">
        <v>562</v>
      </c>
      <c r="E356" s="22" t="s">
        <v>782</v>
      </c>
    </row>
    <row r="357" customFormat="false" ht="15" hidden="false" customHeight="false" outlineLevel="0" collapsed="false">
      <c r="A357" s="5" t="s">
        <v>1413</v>
      </c>
      <c r="B357" s="5" t="s">
        <v>1408</v>
      </c>
      <c r="C357" s="28" t="s">
        <v>1414</v>
      </c>
      <c r="D357" s="5" t="s">
        <v>562</v>
      </c>
      <c r="E357" s="22" t="s">
        <v>785</v>
      </c>
    </row>
    <row r="358" customFormat="false" ht="23.85" hidden="false" customHeight="false" outlineLevel="0" collapsed="false">
      <c r="A358" s="5" t="s">
        <v>1415</v>
      </c>
      <c r="B358" s="5" t="s">
        <v>1408</v>
      </c>
      <c r="C358" s="28" t="s">
        <v>1416</v>
      </c>
      <c r="D358" s="5" t="s">
        <v>562</v>
      </c>
      <c r="E358" s="22" t="s">
        <v>788</v>
      </c>
    </row>
    <row r="359" customFormat="false" ht="15" hidden="false" customHeight="false" outlineLevel="0" collapsed="false">
      <c r="A359" s="5" t="s">
        <v>1417</v>
      </c>
      <c r="B359" s="5" t="s">
        <v>1408</v>
      </c>
      <c r="C359" s="28" t="s">
        <v>1418</v>
      </c>
      <c r="D359" s="5" t="s">
        <v>562</v>
      </c>
      <c r="E359" s="22" t="s">
        <v>694</v>
      </c>
    </row>
    <row r="360" customFormat="false" ht="23.85" hidden="false" customHeight="false" outlineLevel="0" collapsed="false">
      <c r="A360" s="5" t="s">
        <v>1419</v>
      </c>
      <c r="B360" s="5" t="s">
        <v>1408</v>
      </c>
      <c r="C360" s="28" t="s">
        <v>1420</v>
      </c>
      <c r="D360" s="5" t="s">
        <v>575</v>
      </c>
      <c r="E360" s="22" t="s">
        <v>576</v>
      </c>
    </row>
    <row r="361" customFormat="false" ht="23.85" hidden="false" customHeight="false" outlineLevel="0" collapsed="false">
      <c r="A361" s="5" t="s">
        <v>1421</v>
      </c>
      <c r="B361" s="5" t="s">
        <v>1408</v>
      </c>
      <c r="C361" s="28" t="s">
        <v>1049</v>
      </c>
      <c r="D361" s="5" t="s">
        <v>575</v>
      </c>
      <c r="E361" s="22" t="s">
        <v>582</v>
      </c>
    </row>
    <row r="362" customFormat="false" ht="15" hidden="false" customHeight="false" outlineLevel="0" collapsed="false">
      <c r="A362" s="5" t="s">
        <v>1422</v>
      </c>
      <c r="B362" s="5" t="s">
        <v>1408</v>
      </c>
      <c r="C362" s="28" t="s">
        <v>1423</v>
      </c>
      <c r="D362" s="5" t="s">
        <v>575</v>
      </c>
      <c r="E362" s="22" t="s">
        <v>579</v>
      </c>
    </row>
    <row r="363" customFormat="false" ht="15" hidden="false" customHeight="false" outlineLevel="0" collapsed="false">
      <c r="A363" s="5" t="s">
        <v>1424</v>
      </c>
      <c r="B363" s="5" t="s">
        <v>1408</v>
      </c>
      <c r="C363" s="28" t="s">
        <v>1425</v>
      </c>
      <c r="D363" s="5" t="s">
        <v>589</v>
      </c>
      <c r="E363" s="22" t="s">
        <v>590</v>
      </c>
    </row>
    <row r="364" customFormat="false" ht="15" hidden="false" customHeight="false" outlineLevel="0" collapsed="false">
      <c r="A364" s="5" t="s">
        <v>1426</v>
      </c>
      <c r="B364" s="5" t="s">
        <v>1408</v>
      </c>
      <c r="C364" s="28" t="s">
        <v>1427</v>
      </c>
      <c r="D364" s="5" t="s">
        <v>593</v>
      </c>
      <c r="E364" s="22" t="s">
        <v>594</v>
      </c>
    </row>
    <row r="365" customFormat="false" ht="15" hidden="false" customHeight="false" outlineLevel="0" collapsed="false">
      <c r="A365" s="5" t="s">
        <v>1428</v>
      </c>
      <c r="B365" s="5" t="s">
        <v>1408</v>
      </c>
      <c r="C365" s="28" t="s">
        <v>1429</v>
      </c>
      <c r="D365" s="5" t="s">
        <v>585</v>
      </c>
      <c r="E365" s="22" t="s">
        <v>586</v>
      </c>
    </row>
    <row r="366" customFormat="false" ht="15" hidden="false" customHeight="false" outlineLevel="0" collapsed="false">
      <c r="A366" s="5" t="s">
        <v>1430</v>
      </c>
      <c r="B366" s="5" t="s">
        <v>1408</v>
      </c>
      <c r="C366" s="28" t="s">
        <v>1061</v>
      </c>
      <c r="D366" s="5" t="s">
        <v>703</v>
      </c>
      <c r="E366" s="22" t="s">
        <v>704</v>
      </c>
    </row>
    <row r="367" customFormat="false" ht="23.85" hidden="false" customHeight="false" outlineLevel="0" collapsed="false">
      <c r="A367" s="5" t="s">
        <v>1431</v>
      </c>
      <c r="B367" s="5" t="s">
        <v>1408</v>
      </c>
      <c r="C367" s="28" t="s">
        <v>1059</v>
      </c>
      <c r="D367" s="5" t="s">
        <v>651</v>
      </c>
      <c r="E367" s="22" t="s">
        <v>711</v>
      </c>
    </row>
    <row r="368" customFormat="false" ht="15" hidden="false" customHeight="false" outlineLevel="0" collapsed="false">
      <c r="A368" s="5" t="s">
        <v>1432</v>
      </c>
      <c r="B368" s="5" t="s">
        <v>1408</v>
      </c>
      <c r="C368" s="28" t="s">
        <v>1433</v>
      </c>
      <c r="D368" s="5" t="s">
        <v>651</v>
      </c>
      <c r="E368" s="22" t="s">
        <v>960</v>
      </c>
    </row>
    <row r="369" customFormat="false" ht="23.85" hidden="false" customHeight="false" outlineLevel="0" collapsed="false">
      <c r="A369" s="5" t="s">
        <v>1434</v>
      </c>
      <c r="B369" s="5" t="s">
        <v>1408</v>
      </c>
      <c r="C369" s="28" t="s">
        <v>1435</v>
      </c>
      <c r="D369" s="5" t="s">
        <v>620</v>
      </c>
      <c r="E369" s="22" t="s">
        <v>1436</v>
      </c>
    </row>
    <row r="370" customFormat="false" ht="23.85" hidden="false" customHeight="false" outlineLevel="0" collapsed="false">
      <c r="A370" s="5" t="s">
        <v>1437</v>
      </c>
      <c r="B370" s="5" t="s">
        <v>1408</v>
      </c>
      <c r="C370" s="28" t="s">
        <v>619</v>
      </c>
      <c r="D370" s="5" t="s">
        <v>620</v>
      </c>
      <c r="E370" s="22" t="s">
        <v>621</v>
      </c>
    </row>
    <row r="371" customFormat="false" ht="15" hidden="false" customHeight="false" outlineLevel="0" collapsed="false">
      <c r="A371" s="5" t="s">
        <v>1438</v>
      </c>
      <c r="B371" s="5" t="s">
        <v>1408</v>
      </c>
      <c r="C371" s="28" t="s">
        <v>1014</v>
      </c>
      <c r="D371" s="5" t="s">
        <v>651</v>
      </c>
      <c r="E371" s="22" t="s">
        <v>652</v>
      </c>
    </row>
    <row r="372" customFormat="false" ht="15" hidden="false" customHeight="false" outlineLevel="0" collapsed="false">
      <c r="A372" s="5" t="s">
        <v>1439</v>
      </c>
      <c r="B372" s="5" t="s">
        <v>1408</v>
      </c>
      <c r="C372" s="28" t="s">
        <v>1016</v>
      </c>
      <c r="D372" s="5" t="s">
        <v>651</v>
      </c>
      <c r="E372" s="22" t="s">
        <v>655</v>
      </c>
    </row>
    <row r="373" customFormat="false" ht="35.05" hidden="false" customHeight="false" outlineLevel="0" collapsed="false">
      <c r="A373" s="5" t="s">
        <v>1440</v>
      </c>
      <c r="B373" s="5" t="s">
        <v>1408</v>
      </c>
      <c r="C373" s="28" t="s">
        <v>647</v>
      </c>
      <c r="D373" s="5" t="s">
        <v>640</v>
      </c>
      <c r="E373" s="22" t="s">
        <v>648</v>
      </c>
    </row>
    <row r="374" customFormat="false" ht="15" hidden="false" customHeight="false" outlineLevel="0" collapsed="false">
      <c r="A374" s="5" t="s">
        <v>1441</v>
      </c>
      <c r="B374" s="5" t="s">
        <v>1408</v>
      </c>
      <c r="C374" s="28" t="s">
        <v>1442</v>
      </c>
      <c r="D374" s="5" t="s">
        <v>640</v>
      </c>
      <c r="E374" s="5" t="s">
        <v>1007</v>
      </c>
    </row>
    <row r="375" customFormat="false" ht="15" hidden="false" customHeight="false" outlineLevel="0" collapsed="false">
      <c r="A375" s="5" t="s">
        <v>1443</v>
      </c>
      <c r="B375" s="5" t="s">
        <v>1408</v>
      </c>
      <c r="C375" s="28" t="s">
        <v>1444</v>
      </c>
      <c r="D375" s="5" t="s">
        <v>1206</v>
      </c>
      <c r="E375" s="5" t="s">
        <v>1445</v>
      </c>
    </row>
    <row r="376" customFormat="false" ht="15" hidden="false" customHeight="false" outlineLevel="0" collapsed="false">
      <c r="A376" s="5" t="s">
        <v>1446</v>
      </c>
      <c r="B376" s="5" t="s">
        <v>1408</v>
      </c>
      <c r="C376" s="28" t="s">
        <v>890</v>
      </c>
      <c r="D376" s="5" t="s">
        <v>891</v>
      </c>
      <c r="E376" s="22" t="s">
        <v>892</v>
      </c>
    </row>
    <row r="377" customFormat="false" ht="23.85" hidden="false" customHeight="false" outlineLevel="0" collapsed="false">
      <c r="A377" s="5" t="s">
        <v>1447</v>
      </c>
      <c r="B377" s="5" t="s">
        <v>1408</v>
      </c>
      <c r="C377" s="28" t="s">
        <v>1054</v>
      </c>
      <c r="D377" s="5" t="s">
        <v>601</v>
      </c>
      <c r="E377" s="22" t="s">
        <v>895</v>
      </c>
    </row>
    <row r="378" customFormat="false" ht="23.85" hidden="false" customHeight="false" outlineLevel="0" collapsed="false">
      <c r="A378" s="5" t="s">
        <v>1448</v>
      </c>
      <c r="B378" s="5" t="s">
        <v>1408</v>
      </c>
      <c r="C378" s="28" t="s">
        <v>1063</v>
      </c>
      <c r="D378" s="5" t="s">
        <v>640</v>
      </c>
      <c r="E378" s="22" t="s">
        <v>1064</v>
      </c>
    </row>
    <row r="379" customFormat="false" ht="15" hidden="false" customHeight="false" outlineLevel="0" collapsed="false">
      <c r="A379" s="5" t="s">
        <v>1449</v>
      </c>
      <c r="B379" s="5" t="s">
        <v>1408</v>
      </c>
      <c r="C379" s="28" t="s">
        <v>1018</v>
      </c>
      <c r="D379" s="5" t="s">
        <v>651</v>
      </c>
      <c r="E379" s="22" t="s">
        <v>658</v>
      </c>
    </row>
    <row r="380" customFormat="false" ht="15" hidden="false" customHeight="false" outlineLevel="0" collapsed="false">
      <c r="A380" s="5" t="s">
        <v>1450</v>
      </c>
      <c r="B380" s="5" t="s">
        <v>1408</v>
      </c>
      <c r="C380" s="28" t="s">
        <v>1020</v>
      </c>
      <c r="D380" s="5" t="s">
        <v>651</v>
      </c>
      <c r="E380" s="22" t="s">
        <v>661</v>
      </c>
    </row>
    <row r="381" customFormat="false" ht="15" hidden="false" customHeight="false" outlineLevel="0" collapsed="false">
      <c r="A381" s="5" t="s">
        <v>1451</v>
      </c>
      <c r="B381" s="5" t="s">
        <v>1408</v>
      </c>
      <c r="C381" s="28" t="s">
        <v>1022</v>
      </c>
      <c r="D381" s="5" t="s">
        <v>651</v>
      </c>
      <c r="E381" s="22" t="s">
        <v>664</v>
      </c>
    </row>
    <row r="382" customFormat="false" ht="15" hidden="false" customHeight="false" outlineLevel="0" collapsed="false">
      <c r="A382" s="5" t="s">
        <v>1452</v>
      </c>
      <c r="B382" s="5" t="s">
        <v>1408</v>
      </c>
      <c r="C382" s="28" t="s">
        <v>1024</v>
      </c>
      <c r="D382" s="5" t="s">
        <v>651</v>
      </c>
      <c r="E382" s="22" t="s">
        <v>667</v>
      </c>
    </row>
    <row r="383" customFormat="false" ht="15" hidden="false" customHeight="false" outlineLevel="0" collapsed="false">
      <c r="A383" s="5" t="s">
        <v>1453</v>
      </c>
      <c r="B383" s="5" t="s">
        <v>1408</v>
      </c>
      <c r="C383" s="28" t="s">
        <v>1027</v>
      </c>
      <c r="D383" s="5" t="s">
        <v>651</v>
      </c>
      <c r="E383" s="22" t="s">
        <v>670</v>
      </c>
    </row>
    <row r="384" customFormat="false" ht="15" hidden="false" customHeight="false" outlineLevel="0" collapsed="false">
      <c r="A384" s="5" t="s">
        <v>1454</v>
      </c>
      <c r="B384" s="5" t="s">
        <v>1408</v>
      </c>
      <c r="C384" s="28" t="s">
        <v>876</v>
      </c>
      <c r="D384" s="5" t="s">
        <v>651</v>
      </c>
      <c r="E384" s="22" t="s">
        <v>685</v>
      </c>
    </row>
    <row r="385" customFormat="false" ht="15" hidden="false" customHeight="false" outlineLevel="0" collapsed="false">
      <c r="A385" s="5" t="s">
        <v>1455</v>
      </c>
      <c r="B385" s="5" t="s">
        <v>1408</v>
      </c>
      <c r="C385" s="28" t="s">
        <v>878</v>
      </c>
      <c r="D385" s="5" t="s">
        <v>651</v>
      </c>
      <c r="E385" s="22" t="s">
        <v>676</v>
      </c>
    </row>
    <row r="386" customFormat="false" ht="23.85" hidden="false" customHeight="false" outlineLevel="0" collapsed="false">
      <c r="A386" s="5" t="s">
        <v>1456</v>
      </c>
      <c r="B386" s="5" t="s">
        <v>1408</v>
      </c>
      <c r="C386" s="28" t="s">
        <v>1352</v>
      </c>
      <c r="D386" s="5" t="s">
        <v>707</v>
      </c>
      <c r="E386" s="22" t="s">
        <v>708</v>
      </c>
    </row>
    <row r="387" customFormat="false" ht="23.85" hidden="false" customHeight="false" outlineLevel="0" collapsed="false">
      <c r="A387" s="5" t="s">
        <v>1457</v>
      </c>
      <c r="B387" s="5" t="s">
        <v>1408</v>
      </c>
      <c r="C387" s="28" t="s">
        <v>1458</v>
      </c>
      <c r="D387" s="5" t="s">
        <v>1395</v>
      </c>
      <c r="E387" s="22" t="s">
        <v>1396</v>
      </c>
    </row>
    <row r="388" customFormat="false" ht="15" hidden="false" customHeight="false" outlineLevel="0" collapsed="false">
      <c r="A388" s="5" t="s">
        <v>1459</v>
      </c>
      <c r="B388" s="5" t="s">
        <v>1408</v>
      </c>
      <c r="C388" s="28" t="s">
        <v>1460</v>
      </c>
      <c r="D388" s="5" t="s">
        <v>624</v>
      </c>
      <c r="E388" s="22" t="s">
        <v>625</v>
      </c>
    </row>
    <row r="389" customFormat="false" ht="23.85" hidden="false" customHeight="false" outlineLevel="0" collapsed="false">
      <c r="A389" s="5" t="s">
        <v>1461</v>
      </c>
      <c r="B389" s="5" t="s">
        <v>1408</v>
      </c>
      <c r="C389" s="28" t="s">
        <v>1462</v>
      </c>
      <c r="D389" s="5" t="s">
        <v>628</v>
      </c>
      <c r="E389" s="22" t="s">
        <v>1463</v>
      </c>
    </row>
    <row r="390" customFormat="false" ht="15" hidden="false" customHeight="false" outlineLevel="0" collapsed="false">
      <c r="A390" s="5" t="s">
        <v>1464</v>
      </c>
      <c r="B390" s="5" t="s">
        <v>1408</v>
      </c>
      <c r="C390" s="28" t="s">
        <v>1066</v>
      </c>
      <c r="D390" s="5" t="s">
        <v>1067</v>
      </c>
      <c r="E390" s="22" t="s">
        <v>1068</v>
      </c>
    </row>
    <row r="391" customFormat="false" ht="15" hidden="false" customHeight="false" outlineLevel="0" collapsed="false">
      <c r="A391" s="5" t="s">
        <v>1465</v>
      </c>
      <c r="B391" s="5" t="s">
        <v>1408</v>
      </c>
      <c r="C391" s="28" t="s">
        <v>880</v>
      </c>
      <c r="D391" s="5" t="s">
        <v>651</v>
      </c>
      <c r="E391" s="22" t="s">
        <v>688</v>
      </c>
    </row>
    <row r="392" customFormat="false" ht="15" hidden="false" customHeight="false" outlineLevel="0" collapsed="false">
      <c r="A392" s="5" t="s">
        <v>1466</v>
      </c>
      <c r="B392" s="5" t="s">
        <v>1408</v>
      </c>
      <c r="C392" s="28" t="s">
        <v>882</v>
      </c>
      <c r="D392" s="5" t="s">
        <v>651</v>
      </c>
      <c r="E392" s="22" t="s">
        <v>691</v>
      </c>
    </row>
    <row r="393" customFormat="false" ht="23.85" hidden="false" customHeight="false" outlineLevel="0" collapsed="false">
      <c r="A393" s="5" t="s">
        <v>1467</v>
      </c>
      <c r="B393" s="5" t="s">
        <v>1408</v>
      </c>
      <c r="C393" s="28" t="s">
        <v>1033</v>
      </c>
      <c r="D393" s="5" t="s">
        <v>651</v>
      </c>
      <c r="E393" s="22" t="s">
        <v>679</v>
      </c>
    </row>
    <row r="394" customFormat="false" ht="15" hidden="false" customHeight="false" outlineLevel="0" collapsed="false">
      <c r="A394" s="5" t="s">
        <v>1468</v>
      </c>
      <c r="B394" s="5" t="s">
        <v>1408</v>
      </c>
      <c r="C394" s="28" t="s">
        <v>872</v>
      </c>
      <c r="D394" s="5" t="s">
        <v>651</v>
      </c>
      <c r="E394" s="22" t="s">
        <v>673</v>
      </c>
    </row>
    <row r="395" customFormat="false" ht="23.85" hidden="false" customHeight="false" outlineLevel="0" collapsed="false">
      <c r="A395" s="5" t="s">
        <v>1469</v>
      </c>
      <c r="B395" s="5" t="s">
        <v>1408</v>
      </c>
      <c r="C395" s="28" t="s">
        <v>1470</v>
      </c>
      <c r="D395" s="5" t="s">
        <v>722</v>
      </c>
      <c r="E395" s="22" t="s">
        <v>723</v>
      </c>
    </row>
    <row r="396" customFormat="false" ht="23.85" hidden="false" customHeight="false" outlineLevel="0" collapsed="false">
      <c r="A396" s="5" t="s">
        <v>1471</v>
      </c>
      <c r="B396" s="5" t="s">
        <v>1408</v>
      </c>
      <c r="C396" s="28" t="s">
        <v>1036</v>
      </c>
      <c r="D396" s="5" t="s">
        <v>726</v>
      </c>
      <c r="E396" s="22" t="s">
        <v>727</v>
      </c>
    </row>
    <row r="397" customFormat="false" ht="15" hidden="false" customHeight="false" outlineLevel="0" collapsed="false">
      <c r="A397" s="5" t="s">
        <v>1472</v>
      </c>
      <c r="B397" s="5" t="s">
        <v>1408</v>
      </c>
      <c r="C397" s="28" t="s">
        <v>1473</v>
      </c>
      <c r="D397" s="5" t="s">
        <v>726</v>
      </c>
      <c r="E397" s="22" t="s">
        <v>730</v>
      </c>
    </row>
    <row r="398" customFormat="false" ht="23.85" hidden="false" customHeight="false" outlineLevel="0" collapsed="false">
      <c r="A398" s="5" t="s">
        <v>1474</v>
      </c>
      <c r="B398" s="5" t="s">
        <v>1408</v>
      </c>
      <c r="C398" s="28" t="s">
        <v>1475</v>
      </c>
      <c r="D398" s="5" t="s">
        <v>722</v>
      </c>
      <c r="E398" s="22" t="s">
        <v>733</v>
      </c>
    </row>
    <row r="399" customFormat="false" ht="15" hidden="false" customHeight="false" outlineLevel="0" collapsed="false">
      <c r="A399" s="5" t="s">
        <v>1476</v>
      </c>
      <c r="B399" s="5" t="s">
        <v>1408</v>
      </c>
      <c r="C399" s="28" t="s">
        <v>735</v>
      </c>
      <c r="D399" s="5" t="s">
        <v>726</v>
      </c>
      <c r="E399" s="22" t="s">
        <v>736</v>
      </c>
    </row>
    <row r="400" customFormat="false" ht="15" hidden="false" customHeight="false" outlineLevel="0" collapsed="false">
      <c r="A400" s="5" t="s">
        <v>1477</v>
      </c>
      <c r="B400" s="5" t="s">
        <v>1408</v>
      </c>
      <c r="C400" s="28" t="s">
        <v>738</v>
      </c>
      <c r="D400" s="5" t="s">
        <v>726</v>
      </c>
      <c r="E400" s="22" t="s">
        <v>739</v>
      </c>
    </row>
    <row r="401" customFormat="false" ht="23.85" hidden="false" customHeight="false" outlineLevel="0" collapsed="false">
      <c r="A401" s="5" t="s">
        <v>1478</v>
      </c>
      <c r="B401" s="5" t="s">
        <v>1408</v>
      </c>
      <c r="C401" s="28" t="s">
        <v>741</v>
      </c>
      <c r="D401" s="5" t="s">
        <v>742</v>
      </c>
      <c r="E401" s="22" t="s">
        <v>743</v>
      </c>
    </row>
    <row r="402" customFormat="false" ht="23.85" hidden="false" customHeight="false" outlineLevel="0" collapsed="false">
      <c r="A402" s="5" t="s">
        <v>1479</v>
      </c>
      <c r="B402" s="5" t="s">
        <v>1408</v>
      </c>
      <c r="C402" s="28" t="s">
        <v>745</v>
      </c>
      <c r="D402" s="5" t="s">
        <v>726</v>
      </c>
      <c r="E402" s="22" t="s">
        <v>746</v>
      </c>
    </row>
    <row r="403" customFormat="false" ht="23.85" hidden="false" customHeight="false" outlineLevel="0" collapsed="false">
      <c r="A403" s="5" t="s">
        <v>1480</v>
      </c>
      <c r="B403" s="5" t="s">
        <v>1408</v>
      </c>
      <c r="C403" s="28" t="s">
        <v>748</v>
      </c>
      <c r="D403" s="5" t="s">
        <v>749</v>
      </c>
      <c r="E403" s="22" t="s">
        <v>750</v>
      </c>
    </row>
    <row r="404" customFormat="false" ht="23.85" hidden="false" customHeight="false" outlineLevel="0" collapsed="false">
      <c r="A404" s="5" t="s">
        <v>1481</v>
      </c>
      <c r="B404" s="5" t="s">
        <v>1408</v>
      </c>
      <c r="C404" s="28" t="s">
        <v>1482</v>
      </c>
      <c r="D404" s="5" t="s">
        <v>636</v>
      </c>
      <c r="E404" s="22" t="s">
        <v>1483</v>
      </c>
    </row>
    <row r="405" customFormat="false" ht="23.85" hidden="false" customHeight="false" outlineLevel="0" collapsed="false">
      <c r="A405" s="5" t="s">
        <v>1484</v>
      </c>
      <c r="B405" s="5" t="s">
        <v>1408</v>
      </c>
      <c r="C405" s="28" t="s">
        <v>1485</v>
      </c>
      <c r="D405" s="5" t="s">
        <v>988</v>
      </c>
      <c r="E405" s="22" t="s">
        <v>715</v>
      </c>
    </row>
    <row r="406" customFormat="false" ht="23.85" hidden="false" customHeight="false" outlineLevel="0" collapsed="false">
      <c r="A406" s="5" t="s">
        <v>1486</v>
      </c>
      <c r="B406" s="5" t="s">
        <v>1408</v>
      </c>
      <c r="C406" s="28" t="s">
        <v>1487</v>
      </c>
      <c r="D406" s="5" t="s">
        <v>1067</v>
      </c>
      <c r="E406" s="22" t="s">
        <v>1488</v>
      </c>
    </row>
    <row r="407" customFormat="false" ht="23.85" hidden="false" customHeight="false" outlineLevel="0" collapsed="false">
      <c r="A407" s="5" t="s">
        <v>1489</v>
      </c>
      <c r="B407" s="5" t="s">
        <v>1408</v>
      </c>
      <c r="C407" s="28" t="s">
        <v>1490</v>
      </c>
      <c r="D407" s="5" t="s">
        <v>1206</v>
      </c>
      <c r="E407" s="22" t="s">
        <v>1491</v>
      </c>
    </row>
    <row r="408" customFormat="false" ht="23.85" hidden="false" customHeight="false" outlineLevel="0" collapsed="false">
      <c r="A408" s="5" t="s">
        <v>1492</v>
      </c>
      <c r="B408" s="5" t="s">
        <v>1408</v>
      </c>
      <c r="C408" s="28" t="s">
        <v>1493</v>
      </c>
      <c r="D408" s="5" t="s">
        <v>1494</v>
      </c>
      <c r="E408" s="5" t="s">
        <v>1495</v>
      </c>
    </row>
    <row r="409" customFormat="false" ht="23.85" hidden="false" customHeight="false" outlineLevel="0" collapsed="false">
      <c r="A409" s="5" t="s">
        <v>1496</v>
      </c>
      <c r="B409" s="5" t="s">
        <v>1408</v>
      </c>
      <c r="C409" s="28" t="s">
        <v>1497</v>
      </c>
      <c r="D409" s="5" t="s">
        <v>902</v>
      </c>
      <c r="E409" s="22" t="s">
        <v>903</v>
      </c>
    </row>
    <row r="410" customFormat="false" ht="15" hidden="false" customHeight="false" outlineLevel="0" collapsed="false">
      <c r="A410" s="5" t="s">
        <v>1498</v>
      </c>
      <c r="B410" s="5" t="s">
        <v>1408</v>
      </c>
      <c r="C410" s="28" t="s">
        <v>1499</v>
      </c>
      <c r="D410" s="5" t="s">
        <v>597</v>
      </c>
      <c r="E410" s="22" t="s">
        <v>598</v>
      </c>
    </row>
    <row r="411" customFormat="false" ht="23.85" hidden="false" customHeight="false" outlineLevel="0" collapsed="false">
      <c r="A411" s="5" t="s">
        <v>1500</v>
      </c>
      <c r="B411" s="5" t="s">
        <v>1408</v>
      </c>
      <c r="C411" s="28" t="s">
        <v>1080</v>
      </c>
      <c r="D411" s="5" t="s">
        <v>562</v>
      </c>
      <c r="E411" s="22" t="s">
        <v>1081</v>
      </c>
    </row>
    <row r="412" customFormat="false" ht="23.85" hidden="false" customHeight="false" outlineLevel="0" collapsed="false">
      <c r="A412" s="5" t="s">
        <v>1501</v>
      </c>
      <c r="B412" s="5" t="s">
        <v>1408</v>
      </c>
      <c r="C412" s="28" t="s">
        <v>1083</v>
      </c>
      <c r="D412" s="5" t="s">
        <v>585</v>
      </c>
      <c r="E412" s="22" t="s">
        <v>1084</v>
      </c>
    </row>
    <row r="413" customFormat="false" ht="15" hidden="false" customHeight="false" outlineLevel="0" collapsed="false">
      <c r="A413" s="5" t="s">
        <v>1502</v>
      </c>
      <c r="B413" s="5" t="s">
        <v>1408</v>
      </c>
      <c r="C413" s="28" t="s">
        <v>752</v>
      </c>
      <c r="D413" s="5" t="s">
        <v>722</v>
      </c>
      <c r="E413" s="22" t="s">
        <v>753</v>
      </c>
    </row>
    <row r="414" customFormat="false" ht="15" hidden="false" customHeight="false" outlineLevel="0" collapsed="false">
      <c r="A414" s="5" t="s">
        <v>1503</v>
      </c>
      <c r="B414" s="5" t="s">
        <v>1408</v>
      </c>
      <c r="C414" s="28" t="s">
        <v>755</v>
      </c>
      <c r="D414" s="5" t="s">
        <v>722</v>
      </c>
      <c r="E414" s="22" t="s">
        <v>756</v>
      </c>
    </row>
    <row r="415" customFormat="false" ht="23.85" hidden="false" customHeight="false" outlineLevel="0" collapsed="false">
      <c r="A415" s="5" t="s">
        <v>1504</v>
      </c>
      <c r="B415" s="5" t="s">
        <v>1408</v>
      </c>
      <c r="C415" s="28" t="s">
        <v>758</v>
      </c>
      <c r="D415" s="5" t="s">
        <v>722</v>
      </c>
      <c r="E415" s="22" t="s">
        <v>759</v>
      </c>
    </row>
    <row r="416" customFormat="false" ht="23.85" hidden="false" customHeight="false" outlineLevel="0" collapsed="false">
      <c r="A416" s="5" t="s">
        <v>1505</v>
      </c>
      <c r="B416" s="5" t="s">
        <v>1408</v>
      </c>
      <c r="C416" s="28" t="s">
        <v>761</v>
      </c>
      <c r="D416" s="5" t="s">
        <v>762</v>
      </c>
      <c r="E416" s="22" t="s">
        <v>763</v>
      </c>
    </row>
    <row r="417" customFormat="false" ht="23.85" hidden="false" customHeight="false" outlineLevel="0" collapsed="false">
      <c r="A417" s="5" t="s">
        <v>1506</v>
      </c>
      <c r="B417" s="5" t="s">
        <v>1408</v>
      </c>
      <c r="C417" s="28" t="s">
        <v>765</v>
      </c>
      <c r="D417" s="5" t="s">
        <v>762</v>
      </c>
      <c r="E417" s="22" t="s">
        <v>766</v>
      </c>
    </row>
    <row r="418" customFormat="false" ht="35.05" hidden="false" customHeight="false" outlineLevel="0" collapsed="false">
      <c r="A418" s="5" t="s">
        <v>1507</v>
      </c>
      <c r="B418" s="5" t="s">
        <v>1408</v>
      </c>
      <c r="C418" s="28" t="s">
        <v>768</v>
      </c>
      <c r="D418" s="5" t="s">
        <v>762</v>
      </c>
      <c r="E418" s="22" t="s">
        <v>769</v>
      </c>
    </row>
    <row r="419" customFormat="false" ht="23.85" hidden="false" customHeight="false" outlineLevel="0" collapsed="false">
      <c r="A419" s="5" t="s">
        <v>1508</v>
      </c>
      <c r="B419" s="5" t="s">
        <v>1408</v>
      </c>
      <c r="C419" s="28" t="s">
        <v>771</v>
      </c>
      <c r="D419" s="5" t="s">
        <v>772</v>
      </c>
      <c r="E419" s="22" t="s">
        <v>773</v>
      </c>
    </row>
    <row r="420" customFormat="false" ht="23.85" hidden="false" customHeight="false" outlineLevel="0" collapsed="false">
      <c r="A420" s="5" t="s">
        <v>1509</v>
      </c>
      <c r="B420" s="5" t="s">
        <v>1408</v>
      </c>
      <c r="C420" s="28" t="s">
        <v>775</v>
      </c>
      <c r="D420" s="5" t="s">
        <v>776</v>
      </c>
      <c r="E420" s="22" t="s">
        <v>777</v>
      </c>
    </row>
    <row r="421" customFormat="false" ht="23.85" hidden="false" customHeight="false" outlineLevel="0" collapsed="false">
      <c r="A421" s="5" t="s">
        <v>1510</v>
      </c>
      <c r="B421" s="5" t="s">
        <v>1408</v>
      </c>
      <c r="C421" s="28" t="s">
        <v>1511</v>
      </c>
      <c r="D421" s="5" t="s">
        <v>1512</v>
      </c>
      <c r="E421" s="22" t="s">
        <v>1513</v>
      </c>
    </row>
    <row r="422" customFormat="false" ht="23.85" hidden="false" customHeight="false" outlineLevel="0" collapsed="false">
      <c r="A422" s="5" t="s">
        <v>1514</v>
      </c>
      <c r="B422" s="5" t="s">
        <v>1408</v>
      </c>
      <c r="C422" s="28" t="s">
        <v>1515</v>
      </c>
      <c r="D422" s="5" t="s">
        <v>992</v>
      </c>
      <c r="E422" s="22" t="s">
        <v>1516</v>
      </c>
    </row>
    <row r="423" customFormat="false" ht="23.85" hidden="false" customHeight="false" outlineLevel="0" collapsed="false">
      <c r="A423" s="5" t="s">
        <v>1517</v>
      </c>
      <c r="B423" s="5" t="s">
        <v>1408</v>
      </c>
      <c r="C423" s="28" t="s">
        <v>1518</v>
      </c>
      <c r="D423" s="5" t="s">
        <v>1067</v>
      </c>
      <c r="E423" s="22" t="s">
        <v>1519</v>
      </c>
    </row>
  </sheetData>
  <hyperlinks>
    <hyperlink ref="E5" r:id="rId1" display="https://www.sec.gov/Archives/edgar/data/732717/000073271726000372/t-20260930.htm"/>
    <hyperlink ref="E6" r:id="rId2" display="https://www.sec.gov/Archives/edgar/data/0000732717/000073271726000370/t-3q2026exhibit991.htm"/>
    <hyperlink ref="E7" r:id="rId3" display="https://www.sec.gov/Archives/edgar/data/0000732717/000073271726000370/t-3q2026exhibit992.htm"/>
    <hyperlink ref="E8" r:id="rId4" display="https://www.sec.gov/Archives/edgar/data/0000732717/000073271726000370/t-3q2026exhibit993.htm"/>
    <hyperlink ref="E9" r:id="rId5" display="https://www.sec.gov/Archives/edgar/data/732717/000073271726000047/t-4q2025exhibit991.htm"/>
    <hyperlink ref="E10" r:id="rId6" display="https://www.sec.gov/Archives/edgar/data/732717/000073271726000047/t-4q2025exhibit992.htm"/>
    <hyperlink ref="E11" r:id="rId7" display="https://www.sec.gov/Archives/edgar/data/732717/000073271726000047/t-4q2025exhibit994.htm"/>
    <hyperlink ref="E12" r:id="rId8" display="https://www.sec.gov/Archives/edgar/data/732717/000073271726000120/t-20251231.htm"/>
    <hyperlink ref="E13" r:id="rId9" display="https://www.sec.gov/Archives/edgar/data/732717/000073271725000007/t-4q2024exhibit991.htm"/>
    <hyperlink ref="E14" r:id="rId10" display="https://www.sec.gov/Archives/edgar/data/732717/000073271724000006/t-4q2023exhibit991.htm"/>
    <hyperlink ref="E15" r:id="rId11" display="https://www.sec.gov/Archives/edgar/data/732717/000073271723000007/t-4q2022exhibit991.htm"/>
    <hyperlink ref="E16" r:id="rId12" display="https://www.sec.gov/Archives/edgar/data/732717/000073271726000294/t-2q2026exhibit991.htm"/>
    <hyperlink ref="E17" r:id="rId13" display="https://www.sec.gov/Archives/edgar/data/732717/000073271726000203/t-1q2026exhibit991.htm"/>
    <hyperlink ref="E18" r:id="rId14" display="https://www.sec.gov/Archives/edgar/data/732717/000119312526119888/d919223ddef14a.htm"/>
    <hyperlink ref="E19" r:id="rId15" display="https://www.sec.gov/Archives/edgar/data/0000732717/000119312526424057/d905556d8k.htm"/>
    <hyperlink ref="E20" r:id="rId16" display="https://www.marketbeat.com/instant-alerts/transcript-what-att-t-said-on-its-q3-earnings-call-2026-10-21/"/>
    <hyperlink ref="E21" r:id="rId17" display="https://www.lw.com/en/news/2026/10/latham-watkins-advises-on-grain-management-definitive-agreement-to-sell-spectrum-portfolio-to-spacex"/>
    <hyperlink ref="E22" r:id="rId18" display="https://www.verizon.com/about/news/verizon-q3-2026-earnings-report-date"/>
    <hyperlink ref="E23" r:id="rId19" display="https://secure.businesswire.com/news/home/20260917015300/en/T-Mobile-to-Host-Q3-2026-Earnings-Call-on-October-28-2026"/>
    <hyperlink ref="E24" r:id="rId20" display="https://sec.gov/Archives/edgar/data/732717/000073271725000076/t-2qx2025exhibit991.htm"/>
    <hyperlink ref="E25" r:id="rId21" display="https://www.verizon.com/about/news/verizon-delivers-record-2q26-results"/>
    <hyperlink ref="E26" r:id="rId22" display="https://www.trefis.com/stock/t/articles/620542/what-just-happened-to-att-stock/2026-10-25"/>
    <hyperlink ref="E27" r:id="rId23" display="https://www.lightreading.com/finance/at-t-follows-telef-nica-out-of-mexico-with-2b-sale"/>
    <hyperlink ref="E28" r:id="rId24" display="https://api.nasdaq.com/api/analyst/T/earnings-forecast"/>
    <hyperlink ref="E29" r:id="rId25" display="https://www.marketscreener.com/quote/stock/AT-T-INC-14324/finances/"/>
    <hyperlink ref="E30" r:id="rId26" display="https://www.marketscreener.com/quote/stock/VERIZON-COMMUNICATIONS-IN-4830/valuation/"/>
    <hyperlink ref="E31" r:id="rId27" display="https://www.marketscreener.com/quote/stock/T-MOBILE-US-INC-199910225/valuation/"/>
    <hyperlink ref="E32" r:id="rId28" display="https://www.marketscreener.com/quote/stock/COMCAST-CORPORATION-4864/valuation/"/>
    <hyperlink ref="E33" r:id="rId29" display="https://www.marketscreener.com/quote/stock/CHARTER-COMMUNICATIONS-IN-27738754/valuation/"/>
    <hyperlink ref="E34" r:id="rId30" display="https://www.marketscreener.com/quote/stock/BCE-INC-11783/valuation/"/>
    <hyperlink ref="E35" r:id="rId31" display="https://www.marketscreener.com/quote/stock/ROGERS-COMMUNICATIONS-INC-1411426/valuation/"/>
    <hyperlink ref="E36" r:id="rId32" display="https://www.marketscreener.com/quote/stock/TELUS-CORPORATION-1411858/valuation/"/>
    <hyperlink ref="E37" r:id="rId33" display="https://www.marketscreener.com/quote/stock/ORANGE-4649/valuation/"/>
    <hyperlink ref="E38" r:id="rId34" display="https://www.marketscreener.com/quote/stock/VODAFONE-GROUP-PLC-15867071/valuation/"/>
    <hyperlink ref="E40" r:id="rId35" display="https://www.marketscreener.com/quote/stock/DEUTSCHE-TELEKOM-AG-444661/valuation/"/>
    <hyperlink ref="E41" r:id="rId36" display="https://www.marketscreener.com/quote/stock/TELEF-NICA-S-A-68962/valuation/"/>
    <hyperlink ref="E42" r:id="rId37" display="https://www.marketscreener.com/quote/stock/SWISSCOM-AG-441185/valuation/"/>
    <hyperlink ref="E43" r:id="rId38" display="https://investors.att.com/~/media/Files/A/ATT-IR-V2/financial-reports/quarterly-earnings/2026/3Q-2026/t-usq-transcript-2026-10-21.pdf"/>
    <hyperlink ref="E44" r:id="rId39" display="https://www.sec.gov/Archives/edgar/data/732717/000073271726000372/R63.htm"/>
    <hyperlink ref="E45" r:id="rId40" display="https://www.sec.gov/Archives/edgar/data/732717/000073271726000372/R17.htm"/>
    <hyperlink ref="E46" r:id="rId41" display="https://finviz.com/news/395407/att-declares-dividends-on-common-and-preferred-shares"/>
    <hyperlink ref="E47" r:id="rId42" display="https://www.sec.gov/newsroom/press-releases/2023-29"/>
    <hyperlink ref="E48" r:id="rId43" display="https://fool.com/investing/2026/10/23/why-att-stock-plunged-on-friday"/>
    <hyperlink ref="E49" r:id="rId44" display="https://www.joneswalker.com/en/insights/blogs/perspectives/fcc-opens-the-door-to-auction-115-how-the-upper-c-band-auction-could-shape-the-n.html"/>
    <hyperlink ref="E50" r:id="rId45" display="https://phillipslytle.com/fcc-advances-upper-c-band-auction-under-tight-statutory-timeline-july-4-2027/clientalert-telecom-5g-2026-06-23-mobile/"/>
    <hyperlink ref="E51" r:id="rId46" display="https://www.sec.gov/Archives/edgar/data/718940/000119312526095004/d86374dex992.htm"/>
    <hyperlink ref="E52" r:id="rId47" display="https://assets.ctfassets.net/fltupc9ltp8m/5XMfEtySOfXg9mh25TUeS/2b711837335ec72e214a6130cae20392/TELUS_2025_MD_A_and_Financial_Statements__EN.pdf"/>
    <hyperlink ref="E53" r:id="rId48" display="https://assets.ctfassets.net/fltupc9ltp8m/6yTBJyA0R6F67yWR3fnKfC/ad1a6418c93125dc78f3186ae32f4729/TELUS_Q4_2025_IR_Supplemental.pdf"/>
    <hyperlink ref="E54" r:id="rId49" display="https://www.sec.gov/Archives/edgar/data/733099/000073309926000009/rci-20251231_d2.htm"/>
    <hyperlink ref="E55" r:id="rId50" display="https://www.telekom.com/en/newsroom/latest-updates/media-information/2026/2/deutsche-telekom-outperforms-targets-for-2025"/>
    <hyperlink ref="E56" r:id="rId51" display="https://www.orange.com/en/press-release/success-of-lead-the-future-2023-2025-strategic-plan-2025-objectives-fully-achieved-440051"/>
    <hyperlink ref="E57" r:id="rId52" display="https://www.telefonica.com/en/communication-room/press-room/telefonica-accelerates-growth-quarter-2025-increases-revenues-adjusted-ebitda-free-cash-flow/"/>
    <hyperlink ref="E58" r:id="rId53" display="https://www.swisscom.ch/de/about/investoren/kennzahlen/fuenfjahresuebersicht.html"/>
    <hyperlink ref="E59" r:id="rId54" display="https://www.vodafone.com/~/media/Files/V/vodafone/corp/results-and-presentations/vodafone-fy26-preliminary-results.pdf"/>
    <hyperlink ref="E60" r:id="rId55" display="https://www.sec.gov/Archives/edgar/data/718940/000119312526095004/R114.htm"/>
    <hyperlink ref="E61" r:id="rId56" display="https://www.sec.gov/Archives/edgar/data/718940/000119312526095004/R113.htm"/>
    <hyperlink ref="E62" r:id="rId57" display="https://www.sec.gov/Archives/edgar/data/718940/000119312526095004/R34.htm"/>
    <hyperlink ref="E63" r:id="rId58" display="https://www.sec.gov/Archives/edgar/data/868675/000110465926013854/R125.htm"/>
    <hyperlink ref="E64" r:id="rId59" display="https://www.sec.gov/Archives/edgar/data/868675/000110465926013854/R97.htm"/>
    <hyperlink ref="E65" r:id="rId60" display="https://www.sec.gov/Archives/edgar/data/868675/000110465926013854/R75.htm"/>
    <hyperlink ref="E66" r:id="rId61" display="https://www.sec.gov/Archives/edgar/data/733099/000073309926000009/R104.htm"/>
    <hyperlink ref="E67" r:id="rId62" display="https://www.telecomtv.com/content/access-evolution/orange-2025-results-success-of-lead-the-future-2023-2025-strategic-plan-2025-objectives-fully-achieved-54885/"/>
    <hyperlink ref="E68" r:id="rId63" display="https://www.sec.gov/Archives/edgar/data/732717/000073271726000372/t-20260930.htm"/>
    <hyperlink ref="E69" r:id="rId64" display="https://www.sec.gov/Archives/edgar/data/732717/000073271726000370/t-3q2026exhibit991.htm"/>
    <hyperlink ref="E70" r:id="rId65" display="https://www.sec.gov/Archives/edgar/data/732717/000073271726000370/t-3q2026exhibit992.htm"/>
    <hyperlink ref="E71" r:id="rId66" display="https://www.sec.gov/Archives/edgar/data/732717/000073271726000370/t-3q2026exhibit993.htm"/>
    <hyperlink ref="E72" r:id="rId67" display="https://www.sec.gov/Archives/edgar/data/732717/000073271726000047/t-4q2025exhibit994.htm"/>
    <hyperlink ref="E73" r:id="rId68" display="https://www.sec.gov/Archives/edgar/data/732717/000073271726000047/t-4q2025exhibit991.htm"/>
    <hyperlink ref="E74" r:id="rId69" display="https://www.sec.gov/Archives/edgar/data/732717/000073271725000007/t-4q2024exhibit991.htm"/>
    <hyperlink ref="E75" r:id="rId70" display="https://www.sec.gov/Archives/edgar/data/732717/000073271724000006/t-4q2023exhibit991.htm"/>
    <hyperlink ref="E76" r:id="rId71" display="https://www.sec.gov/Archives/edgar/data/732717/000073271723000007/t-4q2022exhibit991.htm"/>
    <hyperlink ref="E77" r:id="rId72" display="https://investors.att.com/~/media/Files/A/ATT-IR-V2/financial-reports/quarterly-earnings/2026/3Q-2026/t-usq-transcript-2026-10-21.pdf"/>
    <hyperlink ref="E78" r:id="rId73" display="https://www.sec.gov/Archives/edgar/data/732717/000073271726000120/t-20251231.htm"/>
    <hyperlink ref="E79" r:id="rId74" display="https://www.sec.gov/Archives/edgar/data/732717/000073271726000203/t-1q2026exhibit991.htm"/>
    <hyperlink ref="E80" r:id="rId75" display="https://www.nbcnews.com/business/corporations/elon-musk-spacex-verizon-tmobile-att-rcna602525"/>
    <hyperlink ref="E81" r:id="rId76" display="https://fool.com/investing/2026/10/23/why-att-stock-plunged-on-friday"/>
    <hyperlink ref="E82" r:id="rId77" display="https://advanced-television.com/2026/08/05/spacex-targets-us-cellular-entry/"/>
    <hyperlink ref="E83" r:id="rId78" display="https://www.itiger.com/news/2653172711"/>
    <hyperlink ref="E84" r:id="rId79" display="https://www.tikr.com/blog/crown-castle-soars-13-as-spacexs-8-billion-spectrum-buy-keeps-tower-build-option-very-much-alive"/>
    <hyperlink ref="E85" r:id="rId80" display="https://stock3.com/news/spacex-teil-2-us-funkmastbetreiber-mit-kursaufschlaegen-17325458"/>
    <hyperlink ref="E86" r:id="rId81" display="https://www.verizon.com/about/news/verizon-q3-2026-earnings-report-date"/>
    <hyperlink ref="E87" r:id="rId82" display="https://benton.org/node/360058"/>
    <hyperlink ref="E88" r:id="rId83" display="https://broadbandbreakfast.com/comcast-expecting-more-broadband-losses-than-last-year-for-q3/"/>
    <hyperlink ref="E89" r:id="rId84" display="https://broadbandbreakfast.com/charter-down-172-000-broadband-subs"/>
    <hyperlink ref="E90" r:id="rId85" display="https://broadbandbreakfast.com/fcc-adopts-copper-retirement-call-center-onshoring-orders/"/>
    <hyperlink ref="E91" r:id="rId86" display="https://www.lightreading.com/broadband/at-t-to-pack-gigapower-and-forged-fiber-37-into-one-jv"/>
    <hyperlink ref="E92" r:id="rId87" display="https://9to5mac.com/2026/04/01/psa-legacy-att-unlimited-plans-face-price-hikes-and-its-a-mess/"/>
    <hyperlink ref="E93" r:id="rId88" display="https://www.corning.com/worldwide/en/about-us/news-events/news-releases/2026/09/att-and-corning-team-up-to-engineer-the-connected-world-with-fiber.html"/>
    <hyperlink ref="E94" r:id="rId89" display="https://broadbandbreakfast.com/at-t-corning-reach-3-billion-fiber-deal/"/>
    <hyperlink ref="E95" r:id="rId90" display="https://www.fierce-network.com/broadband/att-cfo-desroches-depart-att-alum-jennifer-biry-named-new-cfo"/>
    <hyperlink ref="E96" r:id="rId91" display="https://www.marketscreener.com/quote/stock/AT-T-INC-14324/finances/"/>
    <hyperlink ref="E97" r:id="rId92" display="https://api.nasdaq.com/api/analyst/T/earnings-forecast"/>
    <hyperlink ref="E98" r:id="rId93" display="https://www.marketscreener.com/quote/stock/VERIZON-COMMUNICATIONS-IN-4830/valuation/"/>
    <hyperlink ref="E99" r:id="rId94" display="https://www.marketscreener.com/quote/stock/T-MOBILE-US-INC-199910225/valuation/"/>
    <hyperlink ref="E100" r:id="rId95" display="https://www.marketscreener.com/quote/stock/COMCAST-CORPORATION-4864/valuation/"/>
    <hyperlink ref="E101" r:id="rId96" display="https://www.marketscreener.com/quote/stock/CHARTER-COMMUNICATIONS-IN-27738754/valuation/"/>
    <hyperlink ref="E102" r:id="rId97" display="https://www.marketscreener.com/quote/stock/BCE-INC-11783/valuation/"/>
    <hyperlink ref="E103" r:id="rId98" display="https://www.marketscreener.com/quote/stock/TELUS-CORPORATION-1411858/valuation/"/>
    <hyperlink ref="E104" r:id="rId99" display="https://www.marketscreener.com/quote/stock/ROGERS-COMMUNICATIONS-INC-1411426/valuation/"/>
    <hyperlink ref="E105" r:id="rId100" display="https://www.marketscreener.com/quote/stock/DEUTSCHE-TELEKOM-AG-444661/valuation/"/>
    <hyperlink ref="E106" r:id="rId101" display="https://www.marketscreener.com/quote/stock/ORANGE-4649/valuation/"/>
    <hyperlink ref="E107" r:id="rId102" display="https://www.marketscreener.com/quote/stock/TELEF-NICA-S-A-68962/valuation/"/>
    <hyperlink ref="E108" r:id="rId103" display="https://www.marketscreener.com/quote/stock/SWISSCOM-AG-441185/valuation/"/>
    <hyperlink ref="E110" r:id="rId104" display="https://www.lightreading.com/regulatory-politics/fcc-votes-in-rules-for-upper-c-band-auction"/>
    <hyperlink ref="E111" r:id="rId105" display="https://www.tvtechnology.com/regulatory-legal/fcc-adopts-plan-for-c-band-auction-in-july-2027"/>
    <hyperlink ref="E112" r:id="rId106" display="https://www.newscaststudio.com/2026/07/22/fcc-adopts-rules-for-upper-c-band-auction-sets-stage-for-440-mhz-super-band/"/>
    <hyperlink ref="E113" r:id="rId107" display="https://wirelessestimator.com/articles/2026/spacex-wants-to-be-a-fourth-major-network-but-its-building-around-towers-not-on-them/"/>
    <hyperlink ref="E114" r:id="rId108" display="https://www.tikr.com/blog/verizon-stock-is-8-off-its-september-peak-heres-the-q3-test-its-ceo-set"/>
    <hyperlink ref="E115" r:id="rId109" display="https://www.sec.gov/Archives/edgar/data/732717/000073271726000047/t-4q2025exhibit992.htm"/>
    <hyperlink ref="E116" r:id="rId110" display="https://www.sec.gov/Archives/edgar/data/732717/000073271726000372/R63.htm"/>
    <hyperlink ref="E117" r:id="rId111" display="https://www.sec.gov/Archives/edgar/data/732717/000073271726000372/R17.htm"/>
    <hyperlink ref="E118" r:id="rId112" display="https://www.sec.gov/Archives/edgar/data/718940/000119312526095004/d86374dex992.htm"/>
    <hyperlink ref="E119" r:id="rId113" display="https://assets.ctfassets.net/fltupc9ltp8m/5XMfEtySOfXg9mh25TUeS/2b711837335ec72e214a6130cae20392/TELUS_2025_MD_A_and_Financial_Statements__EN.pdf"/>
    <hyperlink ref="E120" r:id="rId114" display="https://assets.ctfassets.net/fltupc9ltp8m/6yTBJyA0R6F67yWR3fnKfC/ad1a6418c93125dc78f3186ae32f4729/TELUS_Q4_2025_IR_Supplemental.pdf"/>
    <hyperlink ref="E121" r:id="rId115" display="https://www.sec.gov/Archives/edgar/data/733099/000073309926000009/rci-20251231_d2.htm"/>
    <hyperlink ref="E122" r:id="rId116" display="https://www.telekom.com/en/newsroom/latest-updates/media-information/2026/2/deutsche-telekom-outperforms-targets-for-2025"/>
    <hyperlink ref="E123" r:id="rId117" display="https://www.orange.com/en/press-release/success-of-lead-the-future-2023-2025-strategic-plan-2025-objectives-fully-achieved-440051"/>
    <hyperlink ref="E124" r:id="rId118" display="https://www.telefonica.com/en/communication-room/press-room/telefonica-accelerates-growth-quarter-2025-increases-revenues-adjusted-ebitda-free-cash-flow/"/>
    <hyperlink ref="E125" r:id="rId119" display="https://www.swisscom.ch/de/about/investoren/kennzahlen/fuenfjahresuebersicht.html"/>
    <hyperlink ref="E126" r:id="rId120" display="https://www.vodafone.com/~/media/Files/V/vodafone/corp/results-and-presentations/vodafone-fy26-preliminary-results.pdf"/>
    <hyperlink ref="E127" r:id="rId121" display="https://www.marketscreener.com/quote/stock/VODAFONE-GROUP-PLC-15867071/valuation/"/>
    <hyperlink ref="E128" r:id="rId122" display="https://finviz.com/news/395407/att-declares-dividends-on-common-and-preferred-shares"/>
    <hyperlink ref="E129" r:id="rId123" display="https://www.sec.gov/Archives/edgar/data/718940/000119312526095004/R114.htm"/>
    <hyperlink ref="E130" r:id="rId124" display="https://www.sec.gov/Archives/edgar/data/718940/000119312526095004/R113.htm"/>
    <hyperlink ref="E131" r:id="rId125" display="https://www.sec.gov/Archives/edgar/data/718940/000119312526095004/R34.htm"/>
    <hyperlink ref="E132" r:id="rId126" display="https://www.sec.gov/Archives/edgar/data/868675/000110465926013854/R125.htm"/>
    <hyperlink ref="E133" r:id="rId127" display="https://www.sec.gov/Archives/edgar/data/868675/000110465926013854/R97.htm"/>
    <hyperlink ref="E134" r:id="rId128" display="https://www.sec.gov/Archives/edgar/data/868675/000110465926013854/R75.htm"/>
    <hyperlink ref="E135" r:id="rId129" display="https://www.sec.gov/Archives/edgar/data/733099/000073309926000009/R104.htm"/>
    <hyperlink ref="E136" r:id="rId130" display="https://www.telecomtv.com/content/access-evolution/orange-2025-results-success-of-lead-the-future-2023-2025-strategic-plan-2025-objectives-fully-achieved-54885/"/>
    <hyperlink ref="E137" r:id="rId131" display="https://www.sec.gov/Archives/edgar/data/732717/000073271726000370/t-3q2026exhibit991.htm"/>
    <hyperlink ref="E138" r:id="rId132" display="https://www.sec.gov/Archives/edgar/data/732717/000073271726000370/t-3q2026exhibit992.htm"/>
    <hyperlink ref="E139" r:id="rId133" display="https://www.sec.gov/Archives/edgar/data/732717/000073271726000370/t-3q2026exhibit993.htm"/>
    <hyperlink ref="E140" r:id="rId134" display="https://www.sec.gov/Archives/edgar/data/732717/000073271726000372/t-20260930.htm"/>
    <hyperlink ref="E141" r:id="rId135" display="https://www.sec.gov/Archives/edgar/data/732717/000073271726000047/t-4q2025exhibit991.htm"/>
    <hyperlink ref="E142" r:id="rId136" display="https://www.sec.gov/Archives/edgar/data/732717/000073271726000047/t-4q2025exhibit992.htm"/>
    <hyperlink ref="E143" r:id="rId137" display="https://www.sec.gov/Archives/edgar/data/732717/000073271725000007/t-4q2024exhibit991.htm"/>
    <hyperlink ref="E144" r:id="rId138" display="https://www.sec.gov/Archives/edgar/data/732717/000073271724000006/t-4q2023exhibit991.htm"/>
    <hyperlink ref="E145" r:id="rId139" display="https://www.sec.gov/Archives/edgar/data/732717/000073271723000007/t-4q2022exhibit991.htm"/>
    <hyperlink ref="E146" r:id="rId140" display="https://www.sec.gov/Archives/edgar/data/732717/000073271726000120/t-20251231.htm"/>
    <hyperlink ref="E147" r:id="rId141" display="https://www.earningswhispers.com/transcript/T/Q32026"/>
    <hyperlink ref="E148" r:id="rId142" display="https://finviz.com/news/405593/att-beats-and-raises-as-service-growth-accelerates-but-fiber-arpu-erosion-and-higher-leverage-temper-the-upgrade"/>
    <hyperlink ref="E149" r:id="rId143" display="https://247wallst.com/investing/2026/10/23/telecom-stocks-fall-as-spacex-eyes-80000-cell-sites-t-mobile-sinks-5-att-drops-4-verizon-slides-3/"/>
    <hyperlink ref="E150" r:id="rId144" display="https://www.gurufocus.com/news/9117426/spacex-disrupts-telecom-market-att-t-and-verizon-vz-stocks-drop"/>
    <hyperlink ref="E151" r:id="rId145" display="https://www.marketbeat.com/instant-alerts/price-att-nyse-t-stock-falls-78-after-analyst-downgrade-2026-10-23/"/>
    <hyperlink ref="E152" r:id="rId146" display="https://www.tikr.com/blog/att-stock-was-downgraded-over-spacex-days-before-q3-earnings-heres-what-to-watch-on-october-21"/>
    <hyperlink ref="E153" r:id="rId147" display="https://www.tikr.com/blog/att-stock-falls-5-after-raising-its-eps-outlook-why-did-investors-wipe-out-8-billion-anyway"/>
    <hyperlink ref="E154" r:id="rId148" display="https://www.timothysykes.com/news/attinc-t-news-2026_10_23-2/"/>
    <hyperlink ref="E155" r:id="rId149" display="https://investors.att.com/financial-reports/debt"/>
    <hyperlink ref="E156" r:id="rId150" display="https://www.alphavantage.co/query?function=EARNINGS_ESTIMATES&amp;symbol=T"/>
    <hyperlink ref="E157" r:id="rId151" display="https://telcomagazine.com/news/spacex-to-buy-800mhz-rights-from-grain-spectrum"/>
    <hyperlink ref="E158" r:id="rId152" display="https://www.notebookcheck.net/SpaceX-tips-Starlink-Mobile-carrier-launch-date-and-coverage-with-dish-base-stations.1360525.0.html"/>
    <hyperlink ref="E159" r:id="rId153" display="https://www.sec.gov/Archives/edgar/data/0000732717/000119312526318207/d101711dfwp.htm"/>
    <hyperlink ref="E160" r:id="rId154" display="https://equibles.com/stocks/t/shortinterest"/>
    <hyperlink ref="E161" r:id="rId155" display="https://www.benton.org/headlines/att-and-verizon-ask-fcc-throw-wrench-starlink%E2%80%99s-mobile-plan"/>
    <hyperlink ref="E162" r:id="rId156" display="https://www.gurufocus.com/news/9140695/att-t-shares-drop-nearly-8-after-q3-earnings-amid-rising-leverage-concerns"/>
    <hyperlink ref="E164" r:id="rId157" display="https://www.aol.com/finance/verizons-ceo-just-admitted-pricing-132800129.html"/>
    <hyperlink ref="E165" r:id="rId158" display="https://www.trefis.com/stock/t/articles/620542/what-just-happened-to-att-stock/2026-10-25"/>
    <hyperlink ref="E166" r:id="rId159" display="https://www.marketscreener.com/quote/stock/AT-T-INC-14324/finances/"/>
    <hyperlink ref="E167" r:id="rId160" display="https://www.marketscreener.com/quote/stock/VERIZON-COMMUNICATIONS-IN-4830/valuation/"/>
    <hyperlink ref="E168" r:id="rId161" display="https://www.marketscreener.com/quote/stock/T-MOBILE-US-INC-199910225/valuation/"/>
    <hyperlink ref="E169" r:id="rId162" display="https://www.marketscreener.com/quote/stock/COMCAST-CORPORATION-4864/valuation/"/>
    <hyperlink ref="E170" r:id="rId163" display="https://www.marketscreener.com/quote/stock/CHARTER-COMMUNICATIONS-IN-27738754/valuation/"/>
    <hyperlink ref="E171" r:id="rId164" display="https://www.marketscreener.com/quote/stock/BCE-INC-11783/valuation/"/>
    <hyperlink ref="E172" r:id="rId165" display="https://www.marketscreener.com/quote/stock/TELUS-CORPORATION-1411858/valuation/"/>
    <hyperlink ref="E173" r:id="rId166" display="https://www.marketscreener.com/quote/stock/ROGERS-COMMUNICATIONS-INC-1411426/valuation/"/>
    <hyperlink ref="E174" r:id="rId167" display="https://www.marketscreener.com/quote/stock/DEUTSCHE-TELEKOM-AG-444661/valuation/"/>
    <hyperlink ref="E175" r:id="rId168" display="https://www.marketscreener.com/quote/stock/ORANGE-4649/valuation/"/>
    <hyperlink ref="E176" r:id="rId169" display="https://www.marketscreener.com/quote/stock/TELEF-NICA-S-A-68962/valuation/"/>
    <hyperlink ref="E177" r:id="rId170" display="https://www.marketscreener.com/quote/stock/SWISSCOM-AG-441185/valuation/"/>
    <hyperlink ref="E178" r:id="rId171" display="https://www.marketscreener.com/quote/stock/VODAFONE-GROUP-PLC-15867071/valuation/"/>
    <hyperlink ref="E179" r:id="rId172" display="https://www.sec.gov/Archives/edgar/data/718940/000119312526095004/d86374dex992.htm"/>
    <hyperlink ref="E180" r:id="rId173" display="https://assets.ctfassets.net/fltupc9ltp8m/5XMfEtySOfXg9mh25TUeS/2b711837335ec72e214a6130cae20392/TELUS_2025_MD_A_and_Financial_Statements__EN.pdf"/>
    <hyperlink ref="E181" r:id="rId174" display="https://assets.ctfassets.net/fltupc9ltp8m/6yTBJyA0R6F67yWR3fnKfC/ad1a6418c93125dc78f3186ae32f4729/TELUS_Q4_2025_IR_Supplemental.pdf"/>
    <hyperlink ref="E182" r:id="rId175" display="https://www.sec.gov/Archives/edgar/data/733099/000073309926000009/rci-20251231_d2.htm"/>
    <hyperlink ref="E183" r:id="rId176" display="https://www.telekom.com/en/newsroom/latest-updates/media-information/2026/2/deutsche-telekom-outperforms-targets-for-2025"/>
    <hyperlink ref="E184" r:id="rId177" display="https://www.orange.com/en/press-release/success-of-lead-the-future-2023-2025-strategic-plan-2025-objectives-fully-achieved-440051"/>
    <hyperlink ref="E185" r:id="rId178" display="https://www.telefonica.com/en/communication-room/press-room/telefonica-accelerates-growth-quarter-2025-increases-revenues-adjusted-ebitda-free-cash-flow/"/>
    <hyperlink ref="E186" r:id="rId179" display="https://www.swisscom.ch/de/about/investoren/kennzahlen/fuenfjahresuebersicht.html"/>
    <hyperlink ref="E187" r:id="rId180" display="https://www.vodafone.com/~/media/Files/V/vodafone/corp/results-and-presentations/vodafone-fy26-preliminary-results.pdf"/>
    <hyperlink ref="E188" r:id="rId181" display="https://www.sec.gov/Archives/edgar/data/732717/000073271726000372/R17.htm"/>
    <hyperlink ref="E189" r:id="rId182" display="https://www.sec.gov/Archives/edgar/data/732717/000073271726000372/R63.htm"/>
    <hyperlink ref="E190" r:id="rId183" display="https://www.sec.gov/Archives/edgar/data/732717/000073271726000047/t-4q2025exhibit994.htm"/>
    <hyperlink ref="E191" r:id="rId184" display="https://docs.fcc.gov/public/attachments/DA-26-769A1.txt"/>
    <hyperlink ref="E192" r:id="rId185" display="https://www.newscaststudio.com/2026/07/22/fcc-adopts-rules-for-upper-c-band-auction-sets-stage-for-440-mhz-super-band/"/>
    <hyperlink ref="E193" r:id="rId186" display="https://www.sec.gov/Archives/edgar/data/732717/000073271725000076/t-2qx2025exhibit991.htm"/>
    <hyperlink ref="E194" r:id="rId187" display="https://fool.com/investing/2026/10/23/why-att-stock-plunged-on-friday"/>
    <hyperlink ref="E195" r:id="rId188" display="https://finviz.com/news/395407/att-declares-dividends-on-common-and-preferred-shares"/>
    <hyperlink ref="E196" r:id="rId189" display="https://polymarket.com/event/spacex-becomes-a-us-mobile-carrier-by"/>
    <hyperlink ref="E197" r:id="rId190" display="https://www.phonearena.com/news/at-t-t-mobile-verizon-starlink-consumer-survey-td-cowen_id183837"/>
    <hyperlink ref="E198" r:id="rId191" display="https://www.lw.com/en/news/2026/10/latham-watkins-advises-on-grain-management-definitive-agreement-to-sell-spectrum-portfolio-to-spacex"/>
    <hyperlink ref="E199" r:id="rId192" display="https://api.nasdaq.com/api/analyst/T/earnings-forecast"/>
    <hyperlink ref="E200" r:id="rId193" display="https://www.sec.gov/Archives/edgar/data/718940/000119312526095004/R114.htm"/>
    <hyperlink ref="E201" r:id="rId194" display="https://www.sec.gov/Archives/edgar/data/718940/000119312526095004/R113.htm"/>
    <hyperlink ref="E202" r:id="rId195" display="https://www.sec.gov/Archives/edgar/data/718940/000119312526095004/R34.htm"/>
    <hyperlink ref="E203" r:id="rId196" display="https://www.sec.gov/Archives/edgar/data/868675/000110465926013854/R125.htm"/>
    <hyperlink ref="E204" r:id="rId197" display="https://www.sec.gov/Archives/edgar/data/868675/000110465926013854/R97.htm"/>
    <hyperlink ref="E205" r:id="rId198" display="https://www.sec.gov/Archives/edgar/data/868675/000110465926013854/R75.htm"/>
    <hyperlink ref="E206" r:id="rId199" display="https://www.sec.gov/Archives/edgar/data/733099/000073309926000009/R104.htm"/>
    <hyperlink ref="E207" r:id="rId200" display="https://www.telecomtv.com/content/access-evolution/orange-2025-results-success-of-lead-the-future-2023-2025-strategic-plan-2025-objectives-fully-achieved-54885/"/>
    <hyperlink ref="E208" r:id="rId201" display="https://www.sec.gov/Archives/edgar/data/732717/000073271726000372/R6.htm"/>
    <hyperlink ref="E209" r:id="rId202" display="https://www.sec.gov/Archives/edgar/data/732717/000073271726000120/R26.htm"/>
    <hyperlink ref="E210" r:id="rId203" display="https://www.sec.gov/Archives/edgar/data/732717/000073271726000372/t-20260930.htm"/>
    <hyperlink ref="E211" r:id="rId204" display="https://www.sec.gov/Archives/edgar/data/732717/000073271726000370/t-3q2026exhibit991.htm"/>
    <hyperlink ref="E212" r:id="rId205" display="https://www.sec.gov/Archives/edgar/data/732717/000073271726000370/t-3q2026exhibit993.htm"/>
    <hyperlink ref="E213" r:id="rId206" display="https://www.sec.gov/Archives/edgar/data/732717/000073271726000047/t-4q2025exhibit994.htm"/>
    <hyperlink ref="E214" r:id="rId207" display="https://www.sec.gov/Archives/edgar/data/732717/000073271726000047/t-4q2025exhibit991.htm"/>
    <hyperlink ref="E215" r:id="rId208" display="https://www.sec.gov/Archives/edgar/data/732717/000073271726000047/t-4q2025exhibit992.htm"/>
    <hyperlink ref="E216" r:id="rId209" display="https://www.sec.gov/Archives/edgar/data/732717/000073271725000007/t-4q2024exhibit991.htm"/>
    <hyperlink ref="E217" r:id="rId210" display="https://www.sec.gov/Archives/edgar/data/732717/000073271724000006/t-4q2023exhibit991.htm"/>
    <hyperlink ref="E218" r:id="rId211" display="https://www.sec.gov/Archives/edgar/data/732717/000073271723000007/t-4q2022exhibit991.htm"/>
    <hyperlink ref="E219" r:id="rId212" display="https://www.sec.gov/Archives/edgar/data/732717/000073271726000120/t-20251231.htm"/>
    <hyperlink ref="E220" r:id="rId213" display="https://api.nasdaq.com/api/analyst/T/earnings-forecast"/>
    <hyperlink ref="E221" r:id="rId214" display="https://finance.yahoo.com/quote/T/history/"/>
    <hyperlink ref="E222" r:id="rId215" display="https://polymarket.com/event/spacex-becomes-a-us-mobile-carrier-by"/>
    <hyperlink ref="E223" r:id="rId216" display="https://polymarket.com/event/t-mobile-us-spacex-mergeracquisition-announced-in-2026-20260701221224490"/>
    <hyperlink ref="E224" r:id="rId217" display="https://www.tikr.com/blog/att-stock-falls-5-after-raising-its-eps-outlook-why-did-investors-wipe-out-8-billion-anyway"/>
    <hyperlink ref="E225" r:id="rId218" display="https://www.tikr.com/blog/spacex-takes-aim-at-att-as-its-ceo-insists-nothing-beats-fiber"/>
    <hyperlink ref="E226" r:id="rId219" display="https://www.investing.com/analysis/spacexs-80-billion-wireless-ambition-threatens-att-verizon-and-tmobile-200690161"/>
    <hyperlink ref="E227" r:id="rId220" display="https://www.earningswhispers.com/article/T/r186"/>
    <hyperlink ref="E228" r:id="rId221" display="https://teslanorth.com/2026/10/23/carriers-fcc-starlink-mobile-5g-bands/"/>
    <hyperlink ref="E229" r:id="rId222" display="https://jobs.thrivecap.com/companies/spacex/jobs/95918895-sr-ran-integration-engineer-starlink-mobile"/>
    <hyperlink ref="E230" r:id="rId223" display="https://jobs.thrivecap.com/companies/spacex/jobs/89029229-sr-ran-software-engineer-starlink-mobile"/>
    <hyperlink ref="E231" r:id="rId224" display="https://job-boards.greenhouse.io/spacex/jobs/8480497002"/>
    <hyperlink ref="E232" r:id="rId225" display="https://www.phonearena.com/news/at-t-t-mobile-verizon-starlink-consumer-survey-td-cowen_id183837"/>
    <hyperlink ref="E233" r:id="rId226" display="https://www.fierce-network.com/wireless/starlink-mobile-faces-consumer-resistance-survey-says"/>
    <hyperlink ref="E234" r:id="rId227" display="https://www.phonearena.com/news/t-mobile-att-verizon-users-reveal-what-would-make-them-switch-to-starlink-mobile_id183864"/>
    <hyperlink ref="E235" r:id="rId228" display="https://9to5mac.com/2026/04/01/psa-legacy-att-unlimited-plans-face-price-hikes-and-its-a-mess/"/>
    <hyperlink ref="E236" r:id="rId229" display="https://www.droid-life.com/2026/06/23/your-att-bill-is-going-up/"/>
    <hyperlink ref="E237" r:id="rId230" display="https://techblog.comsoc.org/2026/04/22/analysis-att-1q-2026-results-increased-fiber-penetration-fwa-momentum-d2d-deals-and-mobile-home-internet-bundle-adoption/"/>
    <hyperlink ref="E238" r:id="rId231" display="https://www.insidermonkey.com/blog/att-t-bulks-up-its-spectrum-as-spacex-fears-ease-1807099/"/>
    <hyperlink ref="E239" r:id="rId232" display="https://www.androidauthority.com/t-mobile-fastest-verizon-widest-ookla-opensignal-report-3690121/"/>
    <hyperlink ref="E240" r:id="rId233" display="https://www.sec.gov/Archives/edgar/data/732717/000073271726000372/R17.htm"/>
    <hyperlink ref="E241" r:id="rId234" display="https://www.sec.gov/Archives/edgar/data/732717/000073271726000372/R63.htm"/>
    <hyperlink ref="E242" r:id="rId235" display="https://finviz.com/news/395407/att-declares-dividends-on-common-and-preferred-shares"/>
    <hyperlink ref="E243" r:id="rId236" display="https://www.sec.gov/newsroom/press-releases/2023-29"/>
    <hyperlink ref="E244" r:id="rId237" display="https://www.tvtechnology.com/regulatory-legal/fcc-adopts-plan-for-c-band-auction-in-july-2027"/>
    <hyperlink ref="E245" r:id="rId238" display="https://www.newscaststudio.com/2026/07/22/fcc-adopts-rules-for-upper-c-band-auction-sets-stage-for-440-mhz-super-band/"/>
    <hyperlink ref="E246" r:id="rId239" display="https://wccftech.com/spacex-can-unleash-a-brutal-bidding-war-upon-att-verizon-and-t-mobile-as-the-fcc-dangles-160-mhz-of-prized-c-band-spectrum/"/>
    <hyperlink ref="E247" r:id="rId240" display="https://investors.att.com/~/media/Files/A/ATT-IR-V2/financial-reports/quarterly-earnings/2026/3Q-2026/t-usq-transcript-2026-10-21.pdf"/>
    <hyperlink ref="E248" r:id="rId241" display="https://www.sec.gov/Archives/edgar/data/732717/000073271726000047/t-4q2025exhibit993.htm"/>
    <hyperlink ref="E249" r:id="rId242" display="https://www.marketscreener.com/quote/stock/AT-T-INC-14324/finances/"/>
    <hyperlink ref="E250" r:id="rId243" display="https://www.marketscreener.com/quote/stock/VERIZON-COMMUNICATIONS-IN-4830/valuation/"/>
    <hyperlink ref="E251" r:id="rId244" display="https://www.marketscreener.com/quote/stock/T-MOBILE-US-INC-199910225/valuation/"/>
    <hyperlink ref="E252" r:id="rId245" display="https://www.marketscreener.com/quote/stock/COMCAST-CORPORATION-4864/valuation/"/>
    <hyperlink ref="E253" r:id="rId246" display="https://www.marketscreener.com/quote/stock/CHARTER-COMMUNICATIONS-IN-27738754/valuation/"/>
    <hyperlink ref="E254" r:id="rId247" display="https://www.marketscreener.com/quote/stock/BCE-INC-11783/valuation/"/>
    <hyperlink ref="E255" r:id="rId248" display="https://www.marketscreener.com/quote/stock/TELUS-CORPORATION-1411858/valuation/"/>
    <hyperlink ref="E256" r:id="rId249" display="https://www.marketscreener.com/quote/stock/ROGERS-COMMUNICATIONS-INC-1411426/valuation/"/>
    <hyperlink ref="E257" r:id="rId250" display="https://www.marketscreener.com/quote/stock/DEUTSCHE-TELEKOM-AG-444661/valuation/"/>
    <hyperlink ref="E258" r:id="rId251" display="https://www.marketscreener.com/quote/stock/ORANGE-4649/valuation/"/>
    <hyperlink ref="E259" r:id="rId252" display="https://www.marketscreener.com/quote/stock/TELEF-NICA-S-A-68962/valuation/"/>
    <hyperlink ref="E260" r:id="rId253" display="https://www.marketscreener.com/quote/stock/SWISSCOM-AG-441185/valuation/"/>
    <hyperlink ref="E261" r:id="rId254" display="https://www.marketscreener.com/quote/stock/VODAFONE-GROUP-PLC-15867071/valuation/"/>
    <hyperlink ref="E263" r:id="rId255" display="https://www.sec.gov/Archives/edgar/data/718940/000119312526095004/R114.htm"/>
    <hyperlink ref="E264" r:id="rId256" display="https://www.sec.gov/Archives/edgar/data/718940/000119312526095004/R113.htm"/>
    <hyperlink ref="E265" r:id="rId257" display="https://www.sec.gov/Archives/edgar/data/718940/000119312526095004/R34.htm"/>
    <hyperlink ref="E266" r:id="rId258" display="https://www.sec.gov/Archives/edgar/data/868675/000110465926013854/R125.htm"/>
    <hyperlink ref="E267" r:id="rId259" display="https://www.sec.gov/Archives/edgar/data/868675/000110465926013854/R97.htm"/>
    <hyperlink ref="E268" r:id="rId260" display="https://www.sec.gov/Archives/edgar/data/868675/000110465926013854/R75.htm"/>
    <hyperlink ref="E269" r:id="rId261" display="https://assets.ctfassets.net/fltupc9ltp8m/5XMfEtySOfXg9mh25TUeS/2b711837335ec72e214a6130cae20392/TELUS_2025_MD_A_and_Financial_Statements__EN.pdf"/>
    <hyperlink ref="E270" r:id="rId262" display="https://www.sec.gov/Archives/edgar/data/733099/000073309926000009/R104.htm"/>
    <hyperlink ref="E271" r:id="rId263" display="https://www.sec.gov/Archives/edgar/data/733099/000073309926000009/rci-20251231_d2.htm"/>
    <hyperlink ref="E272" r:id="rId264" display="https://www.telecomtv.com/content/access-evolution/orange-2025-results-success-of-lead-the-future-2023-2025-strategic-plan-2025-objectives-fully-achieved-54885/"/>
    <hyperlink ref="E273" r:id="rId265" display="https://www.sec.gov/Archives/edgar/data/732717/000073271726000372/R6.htm"/>
    <hyperlink ref="E274" r:id="rId266" display="https://www.sec.gov/Archives/edgar/data/732717/000073271726000120/R26.htm"/>
    <hyperlink ref="E275" r:id="rId267" display="https://www.sec.gov/Archives/edgar/data/732717/000073271726000370/t-3q2026exhibit991.htm"/>
    <hyperlink ref="E276" r:id="rId268" display="https://www.sec.gov/Archives/edgar/data/732717/000073271726000370/t-3q2026exhibit992.htm"/>
    <hyperlink ref="E277" r:id="rId269" display="https://www.sec.gov/Archives/edgar/data/732717/000073271726000370/t-3q2026exhibit993.htm"/>
    <hyperlink ref="E278" r:id="rId270" display="https://www.sec.gov/Archives/edgar/data/732717/000073271726000372/t-20260930.htm"/>
    <hyperlink ref="E279" r:id="rId271" display="https://www.sec.gov/Archives/edgar/data/732717/000073271726000047/t-4q2025exhibit991.htm"/>
    <hyperlink ref="E280" r:id="rId272" display="https://www.sec.gov/Archives/edgar/data/732717/000073271726000046/t-4q20258xk801exhibit991.htm"/>
    <hyperlink ref="E281" r:id="rId273" display="https://www.sec.gov/Archives/edgar/data/732717/000073271725000007/t-4q2024exhibit991.htm"/>
    <hyperlink ref="E282" r:id="rId274" display="https://www.sec.gov/Archives/edgar/data/732717/000073271724000006/t-4q2023exhibit991.htm"/>
    <hyperlink ref="E283" r:id="rId275" display="https://www.sec.gov/Archives/edgar/data/732717/000073271723000007/t-4q2022exhibit991.htm"/>
    <hyperlink ref="E284" r:id="rId276" display="https://www.sec.gov/Archives/edgar/data/732717/000073271726000201/t-1q20268xk801exhibit991.htm"/>
    <hyperlink ref="E285" r:id="rId277" display="https://www.sec.gov/Archives/edgar/data/732717/000073271726000120/t-20251231.htm"/>
    <hyperlink ref="E286" r:id="rId278" display="https://api.nasdaq.com/api/analyst/T/earnings-forecast"/>
    <hyperlink ref="E287" r:id="rId279" display="https://www.marketscreener.com/quote/stock/AT-T-INC-14324/finances/"/>
    <hyperlink ref="E288" r:id="rId280" display="https://www.marketscreener.com/quote/stock/VERIZON-COMMUNICATIONS-IN-4830/finances/"/>
    <hyperlink ref="E289" r:id="rId281" display="https://www.marketscreener.com/quote/stock/T-MOBILE-US-INC-24717887/finances/"/>
    <hyperlink ref="E290" r:id="rId282" display="https://www.marketscreener.com/quote/stock/CHARTER-COMMUNICATIONS-IN-27738754/finances/"/>
    <hyperlink ref="E291" r:id="rId283" display="https://www.marketscreener.com/quote/stock/COMCAST-CORPORATION-4864/finances/"/>
    <hyperlink ref="E292" r:id="rId284" display="https://www.marketscreener.com/quote/stock/BCE-INC-1409161/finances/"/>
    <hyperlink ref="E293" r:id="rId285" display="https://www.marketscreener.com/quote/stock/TELUS-CORPORATION-14408639/finances/"/>
    <hyperlink ref="E294" r:id="rId286" display="https://www.marketscreener.com/quote/stock/ROGERS-COMMUNICATIONS-INC-1411426/finances/"/>
    <hyperlink ref="E295" r:id="rId287" display="https://www.marketscreener.com/quote/stock/TELEF-NICA-S-A-68962/finances/"/>
    <hyperlink ref="E296" r:id="rId288" display="https://www.marketscreener.com/quote/stock/DEUTSCHE-TELEKOM-AG-444661/finances/"/>
    <hyperlink ref="E297" r:id="rId289" display="https://www.marketscreener.com/quote/stock/ORANGE-4649/finances/"/>
    <hyperlink ref="E299" r:id="rId290" display="https://polymarket.com/event/spacex-becomes-a-us-mobile-carrier-by"/>
    <hyperlink ref="E300" r:id="rId291" display="https://polymarket.com/event/fed-rate-cut-by-629"/>
    <hyperlink ref="E301" r:id="rId292" display="https://polymarket.com/event/t-mobile-us-spacex-mergeracquisition-announced-in-2026-20260701221224490"/>
    <hyperlink ref="E302" r:id="rId293" display="https://query1.finance.yahoo.com/v8/finance/chart/T?period1=631152000&amp;period2=1793500000&amp;interval=1d"/>
    <hyperlink ref="E303" r:id="rId294" display="https://query1.finance.yahoo.com/v8/finance/chart/VZ?period1=631152000&amp;period2=1793500000&amp;interval=1d"/>
    <hyperlink ref="E304" r:id="rId295" display="https://query1.finance.yahoo.com/v8/finance/chart/CMCSA?period1=631152000&amp;period2=1793500000&amp;interval=1d"/>
    <hyperlink ref="E305" r:id="rId296" display="https://query1.finance.yahoo.com/v8/finance/chart/TMUS?period1=631152000&amp;period2=1793500000&amp;interval=1d"/>
    <hyperlink ref="E306" r:id="rId297" display="https://query1.finance.yahoo.com/v8/finance/chart/BCE?period1=631152000&amp;period2=1793500000&amp;interval=1d"/>
    <hyperlink ref="E307" r:id="rId298" display="https://query1.finance.yahoo.com/v8/finance/chart/CHTR?period1=631152000&amp;period2=1793500000&amp;interval=1d"/>
    <hyperlink ref="E308" r:id="rId299" display="https://fred.stlouisfed.org/series/DGS10"/>
    <hyperlink ref="E309" r:id="rId300" display="https://tickerleague.com/companies/T/financials/ev-ebitda"/>
    <hyperlink ref="E310" r:id="rId301" display="https://www.tikr.com/blog/att-stock-falls-5-after-raising-its-eps-outlook-why-did-investors-wipe-out-8-billion-anyway"/>
    <hyperlink ref="E311" r:id="rId302" display="https://mobilityarena.com/spacex-800-mhz-spectrum-starlink-mobile/"/>
    <hyperlink ref="E312" r:id="rId303" display="https://finance.yahoo.com/markets/stocks/articles/telecom-stocks-fall-spacex-eyes-134838815.html"/>
    <hyperlink ref="E313" r:id="rId304" display="https://www.lightreading.com/finance/at-t-follows-telef-nica-out-of-mexico-with-2b-sale"/>
    <hyperlink ref="E314" r:id="rId305" display="https://www.lightreading.com/satellite/t-mobile-rips-into-starlink-s-mobile-threat-"/>
    <hyperlink ref="E315" r:id="rId306" display="https://stocktwits.com/news-articles/markets/equity/at-and-t-ceo-says-spacex-low-band-spectrum-isnt-cause-to-over-rotate/cZxMPwKRBvh"/>
    <hyperlink ref="E316" r:id="rId307" display="https://www.journaldunet.com/ebusiness/telecoms-fai/1123868-l-effet-free-mobile-fait-fondre-les-factures-mobiles-de-11-4-en-2012/"/>
    <hyperlink ref="E317" r:id="rId308" display="https://telecomtalk.info/?p=167001"/>
    <hyperlink ref="E318" r:id="rId309" display="https://secure.businesswire.com/news/home/20260917015300/en/T-Mobile-to-Host-Q3-2026-Earnings-Call-on-October-28-2026"/>
    <hyperlink ref="E319" r:id="rId310" display="https://www.sec.gov/Archives/edgar/data/732717/000073271726000047/t-4q2025exhibit994.htm"/>
    <hyperlink ref="E320" r:id="rId311" display="https://www.sec.gov/Archives/edgar/data/732717/000073271726000372/R17.htm"/>
    <hyperlink ref="E321" r:id="rId312" display="https://www.sec.gov/Archives/edgar/data/732717/000073271726000372/R63.htm"/>
    <hyperlink ref="E322" r:id="rId313" display="https://investors.att.com/~/media/Files/A/ATT-IR-V2/financial-reports/quarterly-earnings/2026/3Q-2026/t-usq-transcript-2026-10-21.pdf"/>
    <hyperlink ref="E323" r:id="rId314" display="https://finviz.com/news/395407/att-declares-dividends-on-common-and-preferred-shares"/>
    <hyperlink ref="E324" r:id="rId315" display="https://www.sec.gov/newsroom/press-releases/2023-29"/>
    <hyperlink ref="E325" r:id="rId316" display="https://www.joneswalker.com/en/insights/blogs/perspectives/fcc-opens-the-door-to-auction-115-how-the-upper-c-band-auction-could-shape-the-n.html"/>
    <hyperlink ref="E326" r:id="rId317" display="https://docs.fcc.gov/public/attachments/DOC-423286A1.txt"/>
    <hyperlink ref="E327" r:id="rId318" display="https://benton.org/headlines/fcc-announces-winning-bidders-c-band-auction"/>
    <hyperlink ref="E328" r:id="rId319" display="https://www.tvtechnology.com/regulatory-legal/fcc/fcc-raises-usd3-5-billion-in-aws-3-wireless-auction"/>
    <hyperlink ref="E330" r:id="rId320" display="https://www.marketscreener.com/quote/stock/VERIZON-COMMUNICATIONS-IN-4830/valuation/"/>
    <hyperlink ref="E331" r:id="rId321" display="https://www.marketscreener.com/quote/stock/T-MOBILE-US-INC-199910225/valuation/"/>
    <hyperlink ref="E332" r:id="rId322" display="https://www.marketscreener.com/quote/stock/COMCAST-CORPORATION-4864/valuation/"/>
    <hyperlink ref="E333" r:id="rId323" display="https://www.marketscreener.com/quote/stock/CHARTER-COMMUNICATIONS-IN-27738754/valuation/"/>
    <hyperlink ref="E334" r:id="rId324" display="https://www.marketscreener.com/quote/stock/BCE-INC-11783/valuation/"/>
    <hyperlink ref="E335" r:id="rId325" display="https://www.marketscreener.com/quote/stock/TELUS-CORPORATION-1411858/valuation/"/>
    <hyperlink ref="E336" r:id="rId326" display="https://www.marketscreener.com/quote/stock/ROGERS-COMMUNICATIONS-INC-1411426/valuation/"/>
    <hyperlink ref="E337" r:id="rId327" display="https://www.marketscreener.com/quote/stock/DEUTSCHE-TELEKOM-AG-444661/valuation/"/>
    <hyperlink ref="E338" r:id="rId328" display="https://www.marketscreener.com/quote/stock/ORANGE-4649/valuation/"/>
    <hyperlink ref="E339" r:id="rId329" display="https://www.marketscreener.com/quote/stock/TELEF-NICA-S-A-68962/valuation/"/>
    <hyperlink ref="E340" r:id="rId330" display="https://www.marketscreener.com/quote/stock/SWISSCOM-AG-441185/valuation/"/>
    <hyperlink ref="E341" r:id="rId331" display="https://www.marketscreener.com/quote/stock/VODAFONE-GROUP-PLC-15867071/valuation/"/>
    <hyperlink ref="E342" r:id="rId332" display="https://doi.org/10.1016/0304-405X(94)00798-6"/>
    <hyperlink ref="E343" r:id="rId333" display="https://www.sec.gov/Archives/edgar/data/718940/000119312526095004/R114.htm"/>
    <hyperlink ref="E344" r:id="rId334" display="https://www.sec.gov/Archives/edgar/data/718940/000119312526095004/R113.htm"/>
    <hyperlink ref="E345" r:id="rId335" display="https://www.sec.gov/Archives/edgar/data/718940/000119312526095004/R34.htm"/>
    <hyperlink ref="E346" r:id="rId336" display="https://www.sec.gov/Archives/edgar/data/868675/000110465926013854/R125.htm"/>
    <hyperlink ref="E347" r:id="rId337" display="https://www.sec.gov/Archives/edgar/data/868675/000110465926013854/R97.htm"/>
    <hyperlink ref="E348" r:id="rId338" display="https://www.sec.gov/Archives/edgar/data/868675/000110465926013854/R75.htm"/>
    <hyperlink ref="E349" r:id="rId339" display="https://assets.ctfassets.net/fltupc9ltp8m/5XMfEtySOfXg9mh25TUeS/2b711837335ec72e214a6130cae20392/TELUS_2025_MD_A_and_Financial_Statements__EN.pdf"/>
    <hyperlink ref="E350" r:id="rId340" display="https://www.sec.gov/Archives/edgar/data/733099/000073309926000009/R104.htm"/>
    <hyperlink ref="E351" r:id="rId341" display="https://www.sec.gov/Archives/edgar/data/733099/000073309926000009/rci-20251231_d2.htm"/>
    <hyperlink ref="E352" r:id="rId342" display="https://www.telecomtv.com/content/access-evolution/orange-2025-results-success-of-lead-the-future-2023-2025-strategic-plan-2025-objectives-fully-achieved-54885/"/>
    <hyperlink ref="E353" r:id="rId343" display="https://www.sec.gov/Archives/edgar/data/732717/000073271726000372/t-20260930.htm"/>
    <hyperlink ref="E354" r:id="rId344" display="https://www.sec.gov/Archives/edgar/data/732717/000073271726000372/R17.htm"/>
    <hyperlink ref="E355" r:id="rId345" display="https://www.sec.gov/Archives/edgar/data/732717/000073271726000372/R63.htm"/>
    <hyperlink ref="E356" r:id="rId346" display="https://www.sec.gov/Archives/edgar/data/732717/000073271726000370/t-3q2026exhibit991.htm"/>
    <hyperlink ref="E357" r:id="rId347" display="https://www.sec.gov/Archives/edgar/data/732717/000073271726000370/t-3q2026exhibit992.htm"/>
    <hyperlink ref="E358" r:id="rId348" display="https://www.sec.gov/Archives/edgar/data/732717/000073271726000370/t-3q2026exhibit993.htm"/>
    <hyperlink ref="E359" r:id="rId349" display="https://investors.att.com/~/media/Files/A/ATT-IR-V2/financial-reports/quarterly-earnings/2026/3Q-2026/t-usq-transcript-2026-10-21.pdf"/>
    <hyperlink ref="E360" r:id="rId350" display="https://www.sec.gov/Archives/edgar/data/732717/000073271726000047/t-4q2025exhibit991.htm"/>
    <hyperlink ref="E361" r:id="rId351" display="https://www.sec.gov/Archives/edgar/data/732717/000073271726000047/t-4q2025exhibit994.htm"/>
    <hyperlink ref="E362" r:id="rId352" display="https://www.sec.gov/Archives/edgar/data/732717/000073271726000047/t-4q2025exhibit992.htm"/>
    <hyperlink ref="E363" r:id="rId353" display="https://www.sec.gov/Archives/edgar/data/732717/000073271725000007/t-4q2024exhibit991.htm"/>
    <hyperlink ref="E364" r:id="rId354" display="https://www.sec.gov/Archives/edgar/data/732717/000073271724000006/t-4q2023exhibit991.htm"/>
    <hyperlink ref="E365" r:id="rId355" display="https://www.sec.gov/Archives/edgar/data/732717/000073271726000120/t-20251231.htm"/>
    <hyperlink ref="E366" r:id="rId356" display="https://finviz.com/news/395407/att-declares-dividends-on-common-and-preferred-shares"/>
    <hyperlink ref="E367" r:id="rId357" display="https://fool.com/investing/2026/10/23/why-att-stock-plunged-on-friday"/>
    <hyperlink ref="E368" r:id="rId358" display="https://247wallst.com/investing/2026/10/23/telecom-stocks-fall-as-spacex-eyes-80000-cell-sites-t-mobile-sinks-5-att-drops-4-verizon-slides-3/"/>
    <hyperlink ref="E369" r:id="rId359" display="https://www.benzinga.com/node/62281475"/>
    <hyperlink ref="E370" r:id="rId360" display="https://www.lw.com/en/news/2026/10/latham-watkins-advises-on-grain-management-definitive-agreement-to-sell-spectrum-portfolio-to-spacex"/>
    <hyperlink ref="E371" r:id="rId361" display="https://www.marketscreener.com/quote/stock/AT-T-INC-14324/finances/"/>
    <hyperlink ref="E372" r:id="rId362" display="https://www.marketscreener.com/quote/stock/VERIZON-COMMUNICATIONS-IN-4830/valuation/"/>
    <hyperlink ref="E373" r:id="rId363" display="https://api.nasdaq.com/api/analyst/T/earnings-forecast"/>
    <hyperlink ref="E376" r:id="rId364" display="https://www.tvtechnology.com/regulatory-legal/fcc-adopts-plan-for-c-band-auction-in-july-2027"/>
    <hyperlink ref="E377" r:id="rId365" display="https://www.newscaststudio.com/2026/07/22/fcc-adopts-rules-for-upper-c-band-auction-sets-stage-for-440-mhz-super-band/"/>
    <hyperlink ref="E378" r:id="rId366" display="https://polymarket.com/event/spacex-becomes-a-us-mobile-carrier-by"/>
    <hyperlink ref="E379" r:id="rId367" display="https://www.marketscreener.com/quote/stock/T-MOBILE-US-INC-199910225/valuation/"/>
    <hyperlink ref="E380" r:id="rId368" display="https://www.marketscreener.com/quote/stock/COMCAST-CORPORATION-4864/valuation/"/>
    <hyperlink ref="E381" r:id="rId369" display="https://www.marketscreener.com/quote/stock/CHARTER-COMMUNICATIONS-IN-27738754/valuation/"/>
    <hyperlink ref="E382" r:id="rId370" display="https://www.marketscreener.com/quote/stock/BCE-INC-11783/valuation/"/>
    <hyperlink ref="E383" r:id="rId371" display="https://www.marketscreener.com/quote/stock/ROGERS-COMMUNICATIONS-INC-1411426/valuation/"/>
    <hyperlink ref="E384" r:id="rId372" display="https://www.marketscreener.com/quote/stock/DEUTSCHE-TELEKOM-AG-444661/valuation/"/>
    <hyperlink ref="E385" r:id="rId373" display="https://www.marketscreener.com/quote/stock/ORANGE-4649/valuation/"/>
    <hyperlink ref="E386" r:id="rId374" display="https://www.sec.gov/newsroom/press-releases/2023-29"/>
    <hyperlink ref="E387" r:id="rId375" display="https://doi.org/10.1016/0304-405X(94)00798-6"/>
    <hyperlink ref="E388" r:id="rId376" display="https://www.verizon.com/about/news/verizon-q3-2026-earnings-report-date"/>
    <hyperlink ref="E389" r:id="rId377" display="https://finviz.com/news/393276/t-mobile-to-host-q3-2026-earnings-call-on-october-28-2026"/>
    <hyperlink ref="E390" r:id="rId378" display="https://www.phonearena.com/news/at-t-t-mobile-verizon-starlink-consumer-survey-td-cowen_id183837"/>
    <hyperlink ref="E391" r:id="rId379" display="https://www.marketscreener.com/quote/stock/TELEF-NICA-S-A-68962/valuation/"/>
    <hyperlink ref="E392" r:id="rId380" display="https://www.marketscreener.com/quote/stock/SWISSCOM-AG-441185/valuation/"/>
    <hyperlink ref="E393" r:id="rId381" display="https://www.marketscreener.com/quote/stock/VODAFONE-GROUP-PLC-15867071/valuation/"/>
    <hyperlink ref="E394" r:id="rId382" display="https://www.marketscreener.com/quote/stock/TELUS-CORPORATION-1411858/valuation/"/>
    <hyperlink ref="E395" r:id="rId383" display="https://www.sec.gov/Archives/edgar/data/718940/000119312526095004/d86374dex992.htm"/>
    <hyperlink ref="E396" r:id="rId384" display="https://assets.ctfassets.net/fltupc9ltp8m/5XMfEtySOfXg9mh25TUeS/2b711837335ec72e214a6130cae20392/TELUS_2025_MD_A_and_Financial_Statements__EN.pdf"/>
    <hyperlink ref="E397" r:id="rId385" display="https://assets.ctfassets.net/fltupc9ltp8m/6yTBJyA0R6F67yWR3fnKfC/ad1a6418c93125dc78f3186ae32f4729/TELUS_Q4_2025_IR_Supplemental.pdf"/>
    <hyperlink ref="E398" r:id="rId386" display="https://www.sec.gov/Archives/edgar/data/733099/000073309926000009/rci-20251231_d2.htm"/>
    <hyperlink ref="E399" r:id="rId387" display="https://www.telekom.com/en/newsroom/latest-updates/media-information/2026/2/deutsche-telekom-outperforms-targets-for-2025"/>
    <hyperlink ref="E400" r:id="rId388" display="https://www.orange.com/en/press-release/success-of-lead-the-future-2023-2025-strategic-plan-2025-objectives-fully-achieved-440051"/>
    <hyperlink ref="E401" r:id="rId389" display="https://www.telefonica.com/en/communication-room/press-room/telefonica-accelerates-growth-quarter-2025-increases-revenues-adjusted-ebitda-free-cash-flow/"/>
    <hyperlink ref="E402" r:id="rId390" display="https://www.swisscom.ch/de/about/investoren/kennzahlen/fuenfjahresuebersicht.html"/>
    <hyperlink ref="E403" r:id="rId391" display="https://www.vodafone.com/~/media/Files/V/vodafone/corp/results-and-presentations/vodafone-fy26-preliminary-results.pdf"/>
    <hyperlink ref="E404" r:id="rId392" display="https://docs.fcc.gov/public/attachments/DA-26-769A1.pdf"/>
    <hyperlink ref="E405" r:id="rId393" display="https://www.joneswalker.com/en/insights/blogs/perspectives/fcc-opens-the-door-to-auction-115-how-the-upper-c-band-auction-could-shape-the-n.html"/>
    <hyperlink ref="E406" r:id="rId394" display="https://benton.org/node/361225"/>
    <hyperlink ref="E407" r:id="rId395" display="https://twelvedata.com/markets/stocks/T"/>
    <hyperlink ref="E409" r:id="rId396" display="https://www.tikr.com/blog/verizon-stock-is-8-off-its-september-peak-heres-the-q3-test-its-ceo-set"/>
    <hyperlink ref="E410" r:id="rId397" display="https://www.sec.gov/Archives/edgar/data/732717/000073271723000007/t-4q2022exhibit991.htm"/>
    <hyperlink ref="E411" r:id="rId398" display="https://www.sec.gov/Archives/edgar/data/732717/000073271726000372/R6.htm"/>
    <hyperlink ref="E412" r:id="rId399" display="https://www.sec.gov/Archives/edgar/data/732717/000073271726000120/R26.htm"/>
    <hyperlink ref="E413" r:id="rId400" display="https://www.sec.gov/Archives/edgar/data/718940/000119312526095004/R114.htm"/>
    <hyperlink ref="E414" r:id="rId401" display="https://www.sec.gov/Archives/edgar/data/718940/000119312526095004/R113.htm"/>
    <hyperlink ref="E415" r:id="rId402" display="https://www.sec.gov/Archives/edgar/data/718940/000119312526095004/R34.htm"/>
    <hyperlink ref="E416" r:id="rId403" display="https://www.sec.gov/Archives/edgar/data/868675/000110465926013854/R125.htm"/>
    <hyperlink ref="E417" r:id="rId404" display="https://www.sec.gov/Archives/edgar/data/868675/000110465926013854/R97.htm"/>
    <hyperlink ref="E418" r:id="rId405" display="https://www.sec.gov/Archives/edgar/data/868675/000110465926013854/R75.htm"/>
    <hyperlink ref="E419" r:id="rId406" display="https://www.sec.gov/Archives/edgar/data/733099/000073309926000009/R104.htm"/>
    <hyperlink ref="E420" r:id="rId407" display="https://www.telecomtv.com/content/access-evolution/orange-2025-results-success-of-lead-the-future-2023-2025-strategic-plan-2025-objectives-fully-achieved-54885/"/>
    <hyperlink ref="E421" r:id="rId408" display="https://www.lightreading.com/5g/verizon-at-t-t-mobile-here-are-the-c-band-auction-results"/>
    <hyperlink ref="E422" r:id="rId409" display="https://www.sec.gov/Archives/edgar/data/732717/000119312526318207/d101711dfwp.htm"/>
    <hyperlink ref="E423" r:id="rId410" display="https://cordcuttersnews.com/fcc-agenda-targets-better-wireless-coverage-stronger-equipment-checks-and-rural-broadband-oversight/?amp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2026-10-30T22:16:31Z</dcterms:created>
  <dc:creator>openpyxl</dc:creator>
  <dc:description/>
  <dc:language>en-US</dc:language>
  <cp:lastModifiedBy/>
  <dcterms:modified xsi:type="dcterms:W3CDTF">2026-10-30T22:16:31Z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