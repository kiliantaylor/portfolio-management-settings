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Distribution" sheetId="3" state="visible" r:id="rId5"/>
    <sheet name="Methods" sheetId="4" state="visible" r:id="rId6"/>
    <sheet name="Scenarios" sheetId="5" state="visible" r:id="rId7"/>
    <sheet name="Reasoning" sheetId="6" state="visible" r:id="rId8"/>
    <sheet name="Supervisor" sheetId="7" state="visible" r:id="rId9"/>
    <sheet name="Sources" sheetId="8" state="visible" r:id="rId10"/>
  </sheets>
  <definedNames>
    <definedName function="false" hidden="false" name="Analyst_Median" vbProcedure="false">Summary!$B$9</definedName>
    <definedName function="false" hidden="false" name="IV30" vbProcedure="false">Summary!$B$13</definedName>
    <definedName function="false" hidden="false" name="Market_Median" vbProcedure="false">Summary!$B$15</definedName>
    <definedName function="false" hidden="false" name="Platt_Shift" vbProcedure="false">Summary!$B$11</definedName>
    <definedName function="false" hidden="false" name="Spot" vbProcedure="false">Summary!$B$5</definedName>
    <definedName function="false" hidden="false" name="Sup_Used" vbProcedure="false">Summary!$B$10</definedName>
    <definedName function="false" hidden="false" name="Thesis_Break" vbProcedure="false">Summary!$B$12</definedName>
    <definedName function="false" hidden="false" name="W_Agents" vbProcedure="false">Summary!$B$7</definedName>
    <definedName function="false" hidden="false" name="W_Analyst" vbProcedure="false">Summary!$B$8</definedName>
    <definedName function="false" hidden="false" name="W_Mkt" vbProcedure="false">Summary!$B$6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<sst xmlns="http://schemas.openxmlformats.org/spreadsheetml/2006/main" count="859" uniqueCount="601">
  <si>
    <t xml:space="preserve">CRDO 12-month price target model</t>
  </si>
  <si>
    <t xml:space="preserve">Close 2026-10-30 · agents' research 2026-10-26 · horizon 2027-10-30. Blue = input you can change, black = formula, green = link to another sheet. Yellow = key assumption.</t>
  </si>
  <si>
    <t xml:space="preserve">Inputs</t>
  </si>
  <si>
    <t xml:space="preserve">Value</t>
  </si>
  <si>
    <t xml:space="preserve">Where it comes from</t>
  </si>
  <si>
    <t xml:space="preserve">Last close</t>
  </si>
  <si>
    <t xml:space="preserve">Close on 2026-10-30</t>
  </si>
  <si>
    <t xml:space="preserve">Weight: options market</t>
  </si>
  <si>
    <t xml:space="preserve">AIA Forecaster default (market 67%); flips to 33% when the option chain is thin</t>
  </si>
  <si>
    <t xml:space="preserve">Weight: agents</t>
  </si>
  <si>
    <t xml:space="preserve">AIA Forecaster default (agents 33%)</t>
  </si>
  <si>
    <t xml:space="preserve">Weight: analyst consensus</t>
  </si>
  <si>
    <t xml:space="preserve">Taken pro rata from the two above; 0 when there are no targets or in a special situation</t>
  </si>
  <si>
    <t xml:space="preserve">Analysts' median target</t>
  </si>
  <si>
    <t xml:space="preserve">18 analysts, https://stockanalysis.com/stocks/crdo/forecast/ as of 2026-10-30</t>
  </si>
  <si>
    <t xml:space="preserve">Use supervisor ladder (1 = yes)</t>
  </si>
  <si>
    <t xml:space="preserve">Supervisor confidence: low; its ladder replaces the agents' mean only when high</t>
  </si>
  <si>
    <t xml:space="preserve">Platt log shift of the agents' curve</t>
  </si>
  <si>
    <t xml:space="preserve">combine.py: P(close &gt;= spot) 0.763 Platt-scaled (a = 1.732) to 0.763, then the whole agents' curve is shifted in log price by this amount</t>
  </si>
  <si>
    <t xml:space="preserve">Thesis-break price (supervisor)</t>
  </si>
  <si>
    <t xml:space="preserve">Supervisor's reconciled thesis break (agents' values on the Reasoning sheet)</t>
  </si>
  <si>
    <t xml:space="preserve">30-day implied vol</t>
  </si>
  <si>
    <t xml:space="preserve">Cboe model-free 30D IV as of None; sets the stop noise floor (2 one-month moves)</t>
  </si>
  <si>
    <t xml:space="preserve">Options-market median</t>
  </si>
  <si>
    <t xml:space="preserve">Median of the options-implied distribution (Distribution sheet); the analyst curve is this curve re-centred on the analysts' median</t>
  </si>
  <si>
    <t xml:space="preserve">Research target (12m) per share</t>
  </si>
  <si>
    <t xml:space="preserve">Method blend</t>
  </si>
  <si>
    <t xml:space="preserve">Stated</t>
  </si>
  <si>
    <t xml:space="preserve">Note</t>
  </si>
  <si>
    <t xml:space="preserve">Agent 1</t>
  </si>
  <si>
    <t xml:space="preserve">Agent 2</t>
  </si>
  <si>
    <t xml:space="preserve">Agent 3</t>
  </si>
  <si>
    <t xml:space="preserve">Agent 4</t>
  </si>
  <si>
    <t xml:space="preserve">Agent 5</t>
  </si>
  <si>
    <t xml:space="preserve">Agents' average</t>
  </si>
  <si>
    <t xml:space="preserve">Agents' median</t>
  </si>
  <si>
    <t xml:space="preserve">Supervisor's reconciled research target (12m)</t>
  </si>
  <si>
    <t xml:space="preserve">Model update 2026-10-26 (update): drivers rebuilt at Kilian's request into copper and optical segments (each TAM x Credo share with its own gross margin) plus a top-customer concentration term; Kilian (2026-10-27 17:21Z) then held copper share at the FY27 level and set the CY2028 optical market from LightCounting's optics-to-capex ratio; revenue $2.50B / $3.86B / $4.84B, blended gross margin 68.0% / 66.9% / 66.2%, research target (12m) 221.18 -&gt; 223.00 (+0.8%). Model update 2026-10-23 (build): driver-led set (Big-4 capex x capture, gross margin, opex), valued at 23.5x NTM EPS and 11x NTM sales with a 15% tax from FY28; research target (12m) 221.18 vs the 2026-09-25 supervisor's 227.00. </t>
  </si>
  <si>
    <t xml:space="preserve">Research target (12m) vs last close</t>
  </si>
  <si>
    <t xml:space="preserve">Levels</t>
  </si>
  <si>
    <t xml:space="preserve">This model</t>
  </si>
  <si>
    <t xml:space="preserve">Published</t>
  </si>
  <si>
    <t xml:space="preserve">How</t>
  </si>
  <si>
    <t xml:space="preserve">NTM target (median)</t>
  </si>
  <si>
    <t xml:space="preserve">Price with a 50% chance of closing above it on the horizon date</t>
  </si>
  <si>
    <t xml:space="preserve">Take-profit (75th percentile)</t>
  </si>
  <si>
    <t xml:space="preserve">25% chance of closing above</t>
  </si>
  <si>
    <t xml:space="preserve">15th percentile</t>
  </si>
  <si>
    <t xml:space="preserve">85% chance of closing above</t>
  </si>
  <si>
    <t xml:space="preserve">Stop noise floor</t>
  </si>
  <si>
    <t xml:space="preserve">Two one-month implied moves below the last close; the stop is never tighter than this</t>
  </si>
  <si>
    <t xml:space="preserve">Stop-loss</t>
  </si>
  <si>
    <t xml:space="preserve">Higher of the 15th percentile and the thesis break, capped at the noise floor (published basis: noise floor (2 x 1M IV))</t>
  </si>
  <si>
    <t xml:space="preserve">Target vs last close</t>
  </si>
  <si>
    <t xml:space="preserve">P(close above last)</t>
  </si>
  <si>
    <t xml:space="preserve">Expected price (mean)</t>
  </si>
  <si>
    <t xml:space="preserve">Mean of the blended distribution (combine.py integrates the full curve); above the median when right-skewed</t>
  </si>
  <si>
    <t xml:space="preserve">Sheets</t>
  </si>
  <si>
    <t xml:space="preserve">Assumptions</t>
  </si>
  <si>
    <t xml:space="preserve">The supervisor's table of every driver: each agent's value, reasoning and linked sources</t>
  </si>
  <si>
    <t xml:space="preserve">Methods</t>
  </si>
  <si>
    <t xml:space="preserve">Each agent's valuation methods, values and weights</t>
  </si>
  <si>
    <t xml:space="preserve">Scenarios</t>
  </si>
  <si>
    <t xml:space="preserve">Downside (10th pct) / base / upside (90th pct) price per agent</t>
  </si>
  <si>
    <t xml:space="preserve">Distribution</t>
  </si>
  <si>
    <t xml:space="preserve">The probability ladder and the blend, as formulas</t>
  </si>
  <si>
    <t xml:space="preserve">Reasoning</t>
  </si>
  <si>
    <t xml:space="preserve">Each agent's written reasoning, thesis break and what changed from round 1</t>
  </si>
  <si>
    <t xml:space="preserve">Supervisor</t>
  </si>
  <si>
    <t xml:space="preserve">Disagreements, fact-checks and changes</t>
  </si>
  <si>
    <t xml:space="preserve">Sources</t>
  </si>
  <si>
    <t xml:space="preserve">Every cited source with its link</t>
  </si>
  <si>
    <t xml:space="preserve">CRDO key assumptions, aggregated by the supervisor</t>
  </si>
  <si>
    <t xml:space="preserve">Each driver of the valuation: the supervisor's reconciled value (grey rows), then what each agent assumed, why, and its sources. Blue values are the agents' own numbers; blank means the agent did not use that driver.</t>
  </si>
  <si>
    <t xml:space="preserve">ID</t>
  </si>
  <si>
    <t xml:space="preserve">Assumption / who</t>
  </si>
  <si>
    <t xml:space="preserve">Source 1</t>
  </si>
  <si>
    <t xml:space="preserve">Source 2</t>
  </si>
  <si>
    <t xml:space="preserve">Source 3</t>
  </si>
  <si>
    <t xml:space="preserve">All sources</t>
  </si>
  <si>
    <t xml:space="preserve">Agents low</t>
  </si>
  <si>
    <t xml:space="preserve">Agents high</t>
  </si>
  <si>
    <t xml:space="preserve">Used in</t>
  </si>
  <si>
    <t xml:space="preserve">The supervisor has not aggregated this round yet (model_assumptions.json); see Methods and Reasoning.</t>
  </si>
  <si>
    <t xml:space="preserve">CRDO probability of closing at or above each price on 2027-10-30</t>
  </si>
  <si>
    <t xml:space="preserve">Each column is P(close &gt;= K). Agents' curve is Platt-shifted, blended with the options market, then analysts at W_Analyst (0 since 2026-10-05). Interpolation is linear in logit(p) vs log(K), as in combine.py.</t>
  </si>
  <si>
    <t xml:space="preserve">Price K</t>
  </si>
  <si>
    <t xml:space="preserve">ln K</t>
  </si>
  <si>
    <t xml:space="preserve">Options market</t>
  </si>
  <si>
    <t xml:space="preserve">Agents' mean</t>
  </si>
  <si>
    <t xml:space="preserve">Agents' curve used</t>
  </si>
  <si>
    <t xml:space="preserve">logit(used)</t>
  </si>
  <si>
    <t xml:space="preserve">K shifted</t>
  </si>
  <si>
    <t xml:space="preserve">seg</t>
  </si>
  <si>
    <t xml:space="preserve">Agents Platt-shifted</t>
  </si>
  <si>
    <t xml:space="preserve">logit(market)</t>
  </si>
  <si>
    <t xml:space="preserve">K re-centred</t>
  </si>
  <si>
    <t xml:space="preserve">Analyst curve</t>
  </si>
  <si>
    <t xml:space="preserve">Blend ex analysts</t>
  </si>
  <si>
    <t xml:space="preserve">Final blend</t>
  </si>
  <si>
    <t xml:space="preserve">logit(final)</t>
  </si>
  <si>
    <t xml:space="preserve">Published (combine.py)</t>
  </si>
  <si>
    <t xml:space="preserve">Agents' curves are their final-round answers (Reasoning sheet shows round 1). Market and published columns come from combine.py; the model reproduces the final blend within rounding (combine.py also enforces a non-increasing curve).</t>
  </si>
  <si>
    <t xml:space="preserve">CRDO valuation methods by agent</t>
  </si>
  <si>
    <t xml:space="preserve">Each agent's methods, the value per share and the weight it gave each. Blended value = weight-averaged methods; stated value = what the agent reported (it may round or add a deduction).</t>
  </si>
  <si>
    <t xml:space="preserve">Agent</t>
  </si>
  <si>
    <t xml:space="preserve">Method</t>
  </si>
  <si>
    <t xml:space="preserve">Value / share</t>
  </si>
  <si>
    <t xml:space="preserve">Weight</t>
  </si>
  <si>
    <t xml:space="preserve">Value x weight</t>
  </si>
  <si>
    <t xml:space="preserve">Calculation (assumption IDs on the Assumptions sheet)</t>
  </si>
  <si>
    <t xml:space="preserve">Inputs and reasoning</t>
  </si>
  <si>
    <t xml:space="preserve">P/E</t>
  </si>
  <si>
    <t xml:space="preserve">NTM non-GAAP EPS at Sep-2027 of about $10.0 (my FY28 $9.0 vs consensus $9.63; FY29 about $11.0) x 23.5x, cut from 24x. The discount to today's ~29x forward reflects decelerating growth, one direct customer at 43% of revenue and 57% of receivables, Marvell 1.6T AEC price competition, and peer multiple compression (Mizuho cut its target to $245 on lower peer multiples).</t>
  </si>
  <si>
    <t xml:space="preserve">EV/sales</t>
  </si>
  <si>
    <t xml:space="preserve">NTM revenue at Sep-2027 of about $4.3B (FY28 about $3.8-3.9B, +55%, consistent with consensus EPS; FY29 about $5B) x 10x = $43B, plus about $1.8B net cash (not $2B; cash plus investments is $764M post-DustPhotonics and Q1 OCF was only $90M), divided by about 200M diluted shares.</t>
  </si>
  <si>
    <t xml:space="preserve">DCF</t>
  </si>
  <si>
    <t xml:space="preserve">FY28 FCF $1.25B (cut from $1.4B for the inventory build and working-capital drag; Q1 OCF $90M vs $236M non-GAAP NI, SBC about $88M/qtr). Growth 35/25/20/15/12/10/8% over years 2-8, then 4% terminal growth. WACC 11%. EV about $39.2B, plus $1.8B net cash, divided by 200M shares = about $205.</t>
  </si>
  <si>
    <t xml:space="preserve">Blended value</t>
  </si>
  <si>
    <t xml:space="preserve">Stated research target (12m)</t>
  </si>
  <si>
    <t xml:space="preserve">Blend of forward P/E (50%), EV/sales (20%) and an FCF DCF (30%). The P/E leg is NTM EPS at Sep-2027 of about $10 (FY28 about $9.0 vs $9.63 consensus; FY29 about $11) x 23.5x = $235. EV/sales is $224 and the DCF is $205 after cutting FCF conversion and net cash, so the blend is about $224, down from $233 in round 1.</t>
  </si>
  <si>
    <t xml:space="preserve">NTM non-GAAP EPS at Sep 2027 ~$10.4 (H2 FY28 + H1 FY29; FY28 consensus ~$9.63, FY29 ~$12; ~198M diluted shares incl. up to ~2.8M DustPhotonics earnout shares) x 24x. The multiple is trimmed from 25x because one direct customer is 43% of revenue and 57% of receivables, and Marvell reportedly prices 1.6T AECs 15-20% below Credo.</t>
  </si>
  <si>
    <t xml:space="preserve">FY28 FCF $1.45B (was $1.6B; Q1 FY27 OCF of $90M on $236M non-GAAP NI because the inventory build to $313M continues through the ramp), growing 40/30/22/16/12% over FY29-33, terminal growth 4%, WACC 12% (beta ~3), plus ~$1.8B net cash by Sep-2027 (was $2.3B; $764M today plus ~5 quarters of FCF, less ~$32M earnout cash), over 205M diluted shares.</t>
  </si>
  <si>
    <t xml:space="preserve">NTM revenue at Sep 2027 ~$4.2B (FY27 ~$2.5B, FY28 ~$3.7-3.8B, consistent with the $9.63 consensus EPS at ~49% net margin) x 11x EV/sales = $46.2B, plus $1.8B net cash, over 205M shares.</t>
  </si>
  <si>
    <t xml:space="preserve">Blend of forward P/E (24x Sep-2027 NTM non-GAAP EPS ~$10.4 = $250, 50%), a 5-year DCF at 12% WACC on a lower FY28 FCF of $1.45B ($197, 30%) and EV/NTM sales of 11x on ~$4.2B ($234, 20%). The result is about $231, roughly 9% above the $210.97 close (down from $244 in round 1 after cutting the net-cash, FCF-conversion and concentration assumptions).</t>
  </si>
  <si>
    <t xml:space="preserve">NTM non-GAAP EPS as of Sep-2027 ~$11.3 (blend of FY28 ~$9.4, a small haircut to $9.63 consensus for optical-mix margin, and FY29 ~$12.3); 21x multiple (was 22x: trimmed for peer multiple compression per Mizuho's $290-&gt;$245 cut, a 43%-of-revenue direct customer, and Marvell pricing 1.6T AEC silicon below Credo).</t>
  </si>
  <si>
    <t xml:space="preserve">FCF after SBC burden: FY28 ~$1.35B (revenue ~$3.7B, ~48% non-GAAP net margin, less ~$0.4B SBC and a working-capital drag given Q1 OCF of only $90M on $236M non-GAAP NI) growing 25%/yr to FY32; WACC 11%; terminal growth 4%; EV ~$38.0B + ~$1.7B net cash by Sep-2027; / 200M shares.</t>
  </si>
  <si>
    <t xml:space="preserve">FY28 (May-2028) revenue ~$3.7B (+48% on ~$2.5B FY27, between my old +35% and the supervisor's consensus-implied +55%); 11x EV/sales (vs ~16x FY27 today) as growth decelerates; + ~$1.7B net cash by Sep-2027 (from $764M cash+investments post-DustPhotonics); / 200M shares.</t>
  </si>
  <si>
    <t xml:space="preserve">Blend of forward P/E (NTM EPS ~$11.3 at Sep-2027 x 21x = $237, weight 0.5), DCF (~$198, weight 0.3) and EV/sales (FY28 revenue ~$3.7B x 11x + ~$1.7B net cash = ~$212, weight 0.2) on ~200M diluted shares incl. DustPhotonics earn-out shares; blended ~$220.</t>
  </si>
  <si>
    <t xml:space="preserve">NTM (Q3 FY28-Q2 FY29) non-GAAP EPS ~$10.2 at Sep 2027: FY28 EPS ~$8.8-9.2 (modest haircut to $9.63 consensus, which implies ~+55% FY28 revenue; management guides 'outsized growth again' in FY28), FY29 +25%; multiple 22x (today ~22x FY28 consensus). Held flat, not raised, because peer multiples are compressing (Mizuho cut its target to $245 from $290 on lower peer multiples) and growth decelerates</t>
  </si>
  <si>
    <t xml:space="preserve">NTM revenue at Sep 2027 ~$4.0B (FY27 ~$2.5B, FY28 ~+50-55%); 9x EV/sales (vs ~11x forward today); net cash ~$1.8B by Sep 2027, down from $2.5B in round 1 (cash+investments $764M after the $735.6M DustPhotonics outlay; Q1 OCF only $90M); 205M diluted shares: (36.0+1.8)/0.205 = ~$184</t>
  </si>
  <si>
    <t xml:space="preserve">FY28 FCF ~$1.5B (cut from $1.6B for inventory/receivables build: Q1 FY27 FCF ~$83M on $236M non-GAAP NI, inventory $313M), then +35%/25%/20%/15%/12%; WACC 11%; terminal growth 4%; PV of FCF plus TV ~$45.4B + net cash ~$1.8B = ~$47.2B / 205M shares</t>
  </si>
  <si>
    <t xml:space="preserve">Blend as of Sep 2027 of forward P/E (50%), EV/sales (25%) and a 5-year FCF DCF (25%): 22x ~$10.2 NTM non-GAAP EPS = $225; 9x ~$4.0B NTM sales plus ~$1.8B net cash = $184; DCF at 11% WACC from a lower $1.5B FY28 FCF base = $230; blended ~$216 on ~205M diluted shares. Down from $220 because net cash and cash conversion were too optimistic in round 1.</t>
  </si>
  <si>
    <t xml:space="preserve">NTM non-GAAP EPS at Sep-2027 ~$9.90 (~0.7 x FY28 $8.90 + ~0.3 x FY29 $11.80, back-loaded). FY28 $8.90 = revenue $3.65B (+46%) x ~48.5% non-GAAP net margin / ~199M shares, a ~8% haircut to $9.63-9.70 consensus for concentration and Marvell pricing. Multiple 24x, down from ~33x FY27 today, as growth slows toward ~30%.</t>
  </si>
  <si>
    <t xml:space="preserve">NTM revenue at Sep-2027 ~$4.0B (0.7 x FY28 $3.65B + 0.3 x FY29 $4.7B) x 11.5x EV/sales = $46B EV, + ~$1.8B net cash (cut from $2.0B: $764M today after DustPhotonics and weak Q1 OCF of $90M), / 199M diluted shares</t>
  </si>
  <si>
    <t xml:space="preserve">Valuation date Sep-2027. FY28 revenue base $3.65B (was $3.4B), then growth of 30/22/16/12/9% for FY29-FY33. FCF margin 38% (vs ~49% non-GAAP net margin, less working capital and inventory build). WACC 11% (high beta, concentrated customers), terminal growth 4%. EV ~$36.0B + $1.8B net cash, / 199M shares.</t>
  </si>
  <si>
    <t xml:space="preserve">Blend of forward P/E (24x on ~$9.90 NTM non-GAAP EPS as of Sep-2027 = $238), EV/NTM sales (11.5x on ~$4.0B + ~$1.8B net cash = $240) and a DCF ($190), weighted 45/25/30 -&gt; ~$224 per share on ~199M diluted shares.</t>
  </si>
  <si>
    <t xml:space="preserve">CRDO cases by agent</t>
  </si>
  <si>
    <t xml:space="preserve">Base case = median; downside = 10th percentile, upside = 90th percentile (no probabilities; older rounds' bear/bull shown as downside/upside).</t>
  </si>
  <si>
    <t xml:space="preserve">Downside (P10)</t>
  </si>
  <si>
    <t xml:space="preserve">Base (median)</t>
  </si>
  <si>
    <t xml:space="preserve">Upside (P90)</t>
  </si>
  <si>
    <t xml:space="preserve">Downside story</t>
  </si>
  <si>
    <t xml:space="preserve">Base story</t>
  </si>
  <si>
    <t xml:space="preserve">Upside story</t>
  </si>
  <si>
    <t xml:space="preserve">The H2 FY27 ramp (H1 about $1.01B, so H2 needs about $1.47B, or ~23% q/q) slips, or the 43% direct customer (Amazon, Trn3) dual-sources 1.6T AECs to Marvell at 15-20% lower prices. FY28 EPS comes in around $7.5 and the multiple compresses to about 14-15x amid AI capex digestion talk.</t>
  </si>
  <si>
    <t xml:space="preserve">FY27 revenue of about $2.5B (+85%) is delivered, and FY28 grows about 50-55% (about $3.8B) on optics, Active LED Cables and OmniConnect. Non-GAAP GM holds at 67-68%, but cash conversion lags on inventory. NTM EPS of about $10 at 23x.</t>
  </si>
  <si>
    <t xml:space="preserve">The 'outsized growth again' in FY28 beats the $9.63 consensus (EPS over $11). Amazon Trn3 ramps strongly in 2027 (Mizuho checks), and Microsoft, Meta and Oracle broaden the base. NTM EPS of about $13 at 27x, and the stock breaks the $308 high.</t>
  </si>
  <si>
    <t xml:space="preserve">The dominant customer (43% direct / 33% end, likely Amazon Trainium) dual-sources 1.6T AECs to Marvell, which is cheaper and ahead on 1.6T retimers, or TE/Broadcom; or hyperscalers digest 2027 capex. The H2 FY27 optical ramp slips, so the ~23% sequential H2 growth needed is missed. FY28 EPS lands at ~$6.5, gross margin falls toward 62-64%, working capital keeps absorbing cash and the multiple compresses to ~18x, near or below the $150 Sep-2026 panic low.</t>
  </si>
  <si>
    <t xml:space="preserve">FY27 revenue of ~$2.5B (+85-90%) and &gt;$600M optical are delivered, and FY28 grows ~50% (the 'outsized growth again' guide). Non-GAAP GM holds at ~67% and FY28 EPS is ~$9.5-10, but cash conversion stays mediocre through the ramp and sector multiples compress (Mizuho-style cuts). The stock trades at ~22-24x NTM EPS.</t>
  </si>
  <si>
    <t xml:space="preserve">Hyperscaler 2027 capex reaches ~$1.2-1.3T. Amazon Trn3 ramps strongly (Mizuho channel checks) with Credo keeping share at 1.6T, ZeroFlap optics, PICs and optical DSPs scale, ALC/OmniConnect add FY28 revenue and diversification to 3-4 &gt;10% customers improves the quality of revenue. NTM EPS is ~$13.5 at ~27x, and the stock clears the $309 high.</t>
  </si>
  <si>
    <t xml:space="preserve">AI capex digestion, or Amazon (the 43% direct customer; Trn3 ramp) dual-sources 1.6T AECs to cheaper Marvell-based cables; H2 FY27 ramp slips on supply or inventory digestion (inventory already $313M); gross margin erodes on optical mix; FY28 EPS ~$7.5 x ~14.5x.</t>
  </si>
  <si>
    <t xml:space="preserve">FY27 delivers ~$2.5B (+85-90%) with the guided ~23% q/q H2 ramp and &gt;$600M optical; FY28 grows ~45-50% to ~$3.7B as management's 'outsized growth again' plays out (ALC and OmniConnect start contributing, Trn3/GB300/MSFT/META ramps); non-GAAP EPS ~$9.4 FY28 / ~$11.3 NTM at ~21x.</t>
  </si>
  <si>
    <t xml:space="preserve">FY28 lands at or above consensus-implied ~$3.9B+, optical (ZeroFlap, DustPhotonics SiPho, DSPs) scales past $1B run-rate, 3-4 customers &gt;10% ease concentration, Credo holds 1.6T AEC share; FY28 EPS $11+ and NTM ~$13.5 at ~27x.</t>
  </si>
  <si>
    <t xml:space="preserve">The H2 FY27 ramp (~$1.47B needed, ~23% q/q vs ~10% recently) falls short, or the dominant customer (43% of direct billings, 57% of receivables; likely Amazon Trainium) dual-sources 1.6T AECs to Marvell, which is ahead on 3nm retimers and partnered with Amphenol. Opex growth and weak cash conversion compress margins; FY28 EPS is cut to ~$6-6.5 and the multiple de-rates to ~15-16x in an AI-capex digestion.</t>
  </si>
  <si>
    <t xml:space="preserve">FY27 lands near $2.4-2.5B with optical &gt;$600M. FY28 grows ~50% ('outsized growth again', plus first ALC and OmniConnect revenue), a bit under consensus. The stock trades ~22x NTM EPS of ~$10, so it ends roughly flat to modestly up from $211. Cash conversion normalizes once the inventory build unwinds.</t>
  </si>
  <si>
    <t xml:space="preserve">Amazon Trn3 ramps strongly in 2027 (Mizuho checks), AEC wins broaden across hyperscalers and neoclouds, and 1.6T AEC, optical DSP and DustPhotonics SiPho ramp early. FY28 EPS beats $10.5 and FY29 visibility supports ~27x on ~$12.5-13 NTM EPS, taking the stock past the $308 June 2026 high. Capped a little below round 1 because peer multiples are compressing.</t>
  </si>
  <si>
    <t xml:space="preserve">AI capex digestion, or a lost or dual-sourced socket at the top customer (Amazon Trainium; one direct customer is 43% of revenue and 57% of receivables). Marvell 1.6T AECs, priced 15-20% below Credo, take share. The H2 FY27 ramp (~23% q/q) misses and FY28 growth falls to ~20%. The multiple compresses to ~15x on ~$7.5 NTM EPS, a revisit of and break below the $150 September low.</t>
  </si>
  <si>
    <t xml:space="preserve">FY27 revenue of ~$2.5B is delivered. FY28 grows ~45% to ~$3.65B ('outsized growth again', with ALC, OmniConnect and first DustPhotonics NPO revenue) at ~68% non-GAAP GM. Optics above $600M diversifies revenue away from AECs. The stock de-rates to ~24x NTM EPS of ~$9.9, a modest gain.</t>
  </si>
  <si>
    <t xml:space="preserve">Trn3 plus hyperscaler and neocloud ramps, ALCs and scale-up optics drive FY28 revenue above $4.2B and NTM EPS to ~$12.5. The market pays ~30x and the stock clears its June-2026 high of $308.</t>
  </si>
  <si>
    <t xml:space="preserve">Average</t>
  </si>
  <si>
    <t xml:space="preserve">CRDO each agent's reasoning</t>
  </si>
  <si>
    <t xml:space="preserve">Final round, with round 1 for comparison. Revisions list what each agent changed after the supervisor's feedback.</t>
  </si>
  <si>
    <t xml:space="preserve">Research target (12m) r1</t>
  </si>
  <si>
    <t xml:space="preserve">Research target (12m) r2</t>
  </si>
  <si>
    <t xml:space="preserve">Thesis break</t>
  </si>
  <si>
    <t xml:space="preserve">Thesis break reason</t>
  </si>
  <si>
    <t xml:space="preserve">Key uncertainties</t>
  </si>
  <si>
    <t xml:space="preserve">Revisions after feedback</t>
  </si>
  <si>
    <t xml:space="preserve">Round 1 facts stand: FY26 revenue $1.34B; Q1 FY27 $479M (+115%) at 68% non-GAAP GM; Q2 guided to $525-535M; FY27 &gt;85% (about $2.5B; EPS consensus $6.31); FY28 consensus EPS about $9.63. The supervisor's checks endorsed my FY28 growth assumption (+50-60%, 'outsized growth again'), so I kept the EPS path. It also established three things that cut against my round-1 numbers, and I verified them. First, weak cash conversion: Q1 OCF was only $90.2M because inventory rose $62M to $313M. I therefore cut FY28 FCF to $1.25B and Sep-2027 net cash to about $1.8B, which lowers the DCF to $205 and EV/sales to $224. Second, heavier concentration: one direct customer is 43% of revenue. Third, credible Marvell competition on 1.6T AECs, with Mizuho cutting its target on lower peer multiples. Those justified trimming the P/E multiple to 23.5x ($235). The blended fair value falls from $233 to $224, about 6% above the $210.97 close. Scenarios are $110/$228/$350 at 27/48/25, a mean of about $226, with the bear weight raised for concentration and competition. For the ladder I used a lognormal with a median of about $214 (below fair value for execution risk) and a sigma of about 0.68, then trimmed the far right tail as in round 1 so the mean matches the scenarios. That gives P(&gt;=211) of 0.51, P(&lt;127) of 0.23 (slightly fatter than round 1's 0.21), and P(&gt;=422) of 0.10. The analyst average target of about $280 (range $185-350) remains optimistic evidence. I used no options data; round 2 added 5 searches and fetches.</t>
  </si>
  <si>
    <t xml:space="preserve">$125 is about 17% below the verified $150.09 closing low of 2026-09-14 (intraday $149.14). That low came from a sentiment-only selloff after a beat-and-raise. $125 is also about 13x FY28 consensus EPS of $9.63. I moved down from $130 because, with ~90%+ realized vol, a level only ~13% under a recent capitulation low can be hit by noise alone. A close at $125 would most likely mean a top customer paused or dual-sourced (e.g. to Marvell 1.6T AECs), the H2 FY27 optical ramp failed, or a hyperscaler cut capex.</t>
  </si>
  <si>
    <t xml:space="preserve">• Whether H2 FY27 delivers about $1.47B of revenue (about 23% q/q growth) on the optical ramp
• Customer concentration: end customers 33/28/13/10%; one direct customer is 43% of revenue and 57% of receivables
• Marvell's 1.6T AEC/retimer lead and 15-20% lower pricing at Amazon; Amazon's warrants effectively rebate its AEC price
• Cash conversion: Q1 OCF of $90M vs $236M non-GAAP NI, inventory at $313M, SBC about $88M per quarter
• Pace of co-packaged optics adoption vs AEC/pluggable demand
• Multiple regime: peer multiples are compressing, and the stock fell 52% then rebounded 41% in 9 sessions</t>
  </si>
  <si>
    <t xml:space="preserve">• a fact: Net cash rebuilds to about $2B by Sep-2027 → About $1.8B (Supervisor finding, verified in the 10-Q summary: cash plus investments $764M post-deal, Q1 OCF $90.2M, inventory up $62M to $313M.)
• a method: DCF $220 (FY28 FCF $1.4B, $2B cash) → DCF $205 (FY28 FCF $1.25B, $1.8B cash) (Weak cash conversion and SBC of about $88M/qtr from the supervisor's cash-flow finding.)
• a method: EV/sales $235 (NTM revenue $4.5B) → EV/sales $224 (NTM revenue $4.3B, $1.8B cash) (Aligned NTM revenue to a consensus-consistent FY28 of about $3.8-3.9B (the supervisor's EPS-to-revenue check) and lowered net cash.)
• a method: P/E $240 at 24x → P/E $235 at 23.5x (43% direct-customer concentration, Marvell 1.6T AEC price competition and Mizuho's peer-multiple target cut. EPS is kept because the supervisor endorsed my FY28 growth view.)
• fair value: $233 → $224 (Net of the three method changes above.)
• a scenario: Bear $115 / 25%; base $235 / 50%; bull $360 / 25% → Bear $110 / 27%; base $228 / 48%; bull $350 / 25% (Heavier concentration and competition fatten the bear case; lower cash and multiple trim the base and bull.)
• P(close &gt;= K): 127: 0.79, 148: 0.72, 211: 0.52, 253: 0.40, 316: 0.25 → 127: 0.77, 148: 0.70, 211: 0.51, 253: 0.39, 316: 0.245 (The median moves down to about $214 with the lower fair value, and the left tail is slightly fatter for concentration. The far tails (369/422/527) are unchanged. I stay a little below the supervisor's centre ($220 median) because its own cash-conversion and competition findings argue for a lower fair value than its ladder shows.)
• thesis break: $130 → $125 (Supervisor verified the $150.09 closing low. A level only ~13% below it is too close for a ~90%-vol stock, so I moved to about 17% below it (about 13x FY28 consensus).)</t>
  </si>
  <si>
    <t xml:space="preserve">Round 2. The supervisor confirmed my core facts (Q1 FY27 $479M, Q2 guide $525-535M, FY27 &gt;85% growth with &gt;$600M optical, ~22x FY28 consensus EPS of $9.63, a $150.09 closing low on 9/14, FY28 revenue +50-55% as consensus-consistent). It corrected my net-cash assumption and sharpened concentration and competition risk. I verified in the Q1 10-Q summary: cash plus short-term investments of $764M after the $770M DustPhotonics cash outlay, Q1 OCF $90.2M and FCF ~$83M, inventory up to $313M, and Customer A at 43% of revenue and 57% of AR. The DustPhotonics earnout is mostly shares (up to ~2.8M) plus ~$32M cash. So I cut Sep-2027 net cash from $2.3B to ~$1.8B (slightly below the midpoint of the supervisor's $1.6-2.0B, since I expect conversion to improve as the ramp matures) and FY28 FCF from $1.6B to $1.45B. That takes the DCF from $219 to $197. I trimmed the P/E multiple from 25x to 24x for the worse direct concentration and Marvell's pricing at 1.6T ($262 to $250), and EV/sales moves from $237 to $234 on lower cash. Blended fair value falls from $244 to $231. Consensus target is ~$270 (evidence only). I agree with the supervisor that FY28 growth of ~50% is the right base, which I already had, so there is no upward change there. The distribution is a three-scenario lognormal mixture: bear $120 (33%, sigma 0.45), base $232 (45%, sigma 0.25), bull $370 (22%, sigma 0.32). Compared with round 1, I lowered the base centre and slightly widened both tails. The left tail widens for concentration and competition. The right tail widens because the stock went from $86 to $309 within the past year, so my round-1 P(&gt;=$527) of 0.028 was too thin. The resulting median is ~$220 (was ~$228), P(&gt;=$211) is 0.537 (was 0.565), P(&lt;$127) is ~18.5% and P(&gt;=$422) is 8%. My left tail is somewhat thinner than the supervisor's ~21% below $127 because the thesis-break at $125 already requires a genuine fundamental break, and the Q2 guide beat plus FY28 consensus rising (from $8.62 to $9.63) argue for momentum. Research was about 4 additional searches and fetches this round.</t>
  </si>
  <si>
    <t xml:space="preserve">Unchanged at $125. That is ~13x FY28 consensus EPS of $9.63 and ~17% below the verified $150.09 close of 2026-09-14, which was reached in a sentiment-only selloff after a beat-and-raise. Trading there would most likely mean a fundamental break: the 43% direct customer cutting or dual-sourcing (e.g. Marvell 1.6T AECs), a failed H2 FY27 optical ramp or guide-down, or a hyperscaler capex cut, rather than ordinary ~96% volatility.</t>
  </si>
  <si>
    <t xml:space="preserve">• Customer concentration: end customers 33/28/13/10% (top 4 = 84%), and on a direct-billing basis one customer is 43% of revenue and 57% of receivables
• 1.6T AEC share: Marvell reportedly ahead on 1.6T retimers and 15-20% cheaper, and Amazon holds Credo warrants that effectively rebate its AEC price
• Whether the H2 FY27 optical ramp (&gt;$600M optical, ~$1.47B H2 revenue) arrives on time, and its gross-margin mix effect
• Cash conversion: Q1 OCF of $90M against $236M non-GAAP NI; persistent working-capital absorption undercuts the DCF and the net-cash rebuild
• Durability of hyperscaler AI capex into 2027-28 and the sector multiple regime (peer multiples compressing)</t>
  </si>
  <si>
    <t xml:space="preserve">• a fact: Net cash ~$2.3B by mid/Sep-2027 → ~$1.8B (Supervisor net-cash finding, verified in the Q1 10-Q: cash plus ST investments $764M post-deal, Q1 OCF $90.2M, inventory up to $313M.)
• a method: DCF $219 (FY28 FCF $1.6B, $2.3B cash) → DCF $197 (FY28 FCF $1.45B, $1.8B cash) (Weak cash conversion during the ramp (supervisor 'Cash conversion' driver) and lower net cash.)
• a method: P/E $262 (25x NTM EPS $10.5) → P/E $250 (24x NTM EPS $10.4) (Direct-basis concentration of 43% of revenue / 57% of AR, Marvell 1.6T pricing 15-20% below Credo, and earnout share dilution (supervisor concentration resolution).)
• a method: EV/sales $237 → EV/sales $234 (Same 11x on ~$4.2B NTM revenue, with net cash lowered to $1.8B.)
• fair value: $244 → $231 (Combined effect of the three method changes above. I keep my FY28 +50% revenue path, which the supervisor endorsed.)
• a scenario: Bear $120 / 32%, base $240 / 45%, bull $380 / 23% → Bear $120 / 33% (sigma 0.45), base $232 / 45%, bull $370 / 22% (sigma 0.32) (Slightly more bear weight for concentration and competition. The base is lowered to match the new fair value. The bull tail is widened because the $86-to-$309 range makes 2.5x moves plausible (supervisor right-tail note).)
• P(close &gt;= K): 211: 0.565, 232: 0.486, 253: 0.411, 285: 0.311, 527: 0.028 → 211: 0.537, 232: 0.453, 253: 0.374, 285: 0.276, 527: 0.03 (Lower fair value shifts the centre down (median ~$228 to ~$220). The far right tail is slightly fatter; the left tail is roughly unchanged (P&lt;$127 ~18.5%). I stay a bit thinner there than the supervisor's ~21% because the Q2 guide beat and rising FY28 consensus support momentum.)
• thesis break: $125 → $125 (Unchanged. The verified $150.09 closing low confirms the anchor.)</t>
  </si>
  <si>
    <t xml:space="preserve">Round 2 revision. Core facts unchanged and re-verified: Q1 FY27 revenue $479M (+115% y/y), non-GAAP NI $236M, Q2 guide $525-535M, FY27 growth &gt;85% with &gt;$600M optical, FY28 consensus EPS ~$9.63, post-print low close $150.09 then +41% in 9 sessions to $210.97, ~22x FY28 consensus. The supervisor correctly flagged that my +35% FY28 revenue path (~$3.4B) was inconsistent with using near-consensus EPS; consensus EPS at ~49% net margin implies ~$3.8-3.9B, and management said it expects 'outsized growth again' in FY28. I accept most of that but not all: I move to ~$3.7B (+48%), keeping a margin/haircut for optical-mix dilution and the risk that FY28 is carried by one or two customers. I also fixed my own inconsistency on net cash (EV/sales leg used $0.8-1.0B, DCF $1.8B) to a single ~$1.7B, reflecting $764M post-deal cash and weak Q1 OCF ($90M) from the inventory build to $313M. Offsetting these, new evidence is mildly negative for the multiple: Mizuho cut its target to $245 from $290 on lower peer multiples (while keeping positive Trn3/GB300 channel checks), the direct-customer concentration is 43% (57% of receivables), and Marvell is reportedly ahead and cheaper on 1.6T AEC retimers; so I trim the P/E multiple from 22x to 21x. Net: P/E 240-&gt;237, DCF 192-&gt;198, EV/sales 195-&gt;212, blended 217-&gt;220. Scenario mean ~$238 (bear 108/25%, base 240/50%, bull 365/25%), median ~$224. Dispersion unchanged: lognormal sigma ~0.66 (below 96% realized vol, which is inflated by the earnings crash and rebound, far above the 25-35% large-cap base rate), left tail kept fat because the concentration and competition findings make a customer-loss path at least as likely as I thought, far right trimmed slightly vs pure lognormal. The ladder shifts up ~0.5-1 point in the middle only; P(&gt;= $211) 0.54, P(&lt; $127) ~21%, P(&gt;= $422) ~14.5%. I did not copy the supervisor's ladder; it happens to land close because the corrections roughly offset. Round 2 used 4 additional searches; no option data or priors consulted.</t>
  </si>
  <si>
    <t xml:space="preserve">At ~$125 the stock would be ~17% below the verified $150.09 capitulation close of 2026-09-14 (a sentiment-only selloff after a beat-and-raise) and ~13x FY28 consensus EPS of ~$9.6 for a company guiding &gt;85% growth. Trading there would most likely mean a fundamental break: a lost/paused or dual-sourced top customer program (e.g. Amazon Trn3 moving 1.6T AECs to Marvell-based cables), a guide-down showing the H2 FY27 optical/AEC ramp failed, or a hyperscaler capex cut, rather than ordinary volatility.</t>
  </si>
  <si>
    <t xml:space="preserve">• Customer concentration: end customers 33/28/13/10%, and on a direct-billing basis one customer is 43% of revenue and 57% of receivables; one program change moves the whole model
• Whether the ~$1.47B H2 FY27 (vs ~$1.01B H1) materializes on time amid foundry and 224G cable-manufacturing constraints
• FY28 growth magnitude: +35% vs +55% is worth roughly $20-25/share of fair value; no quantitative guide yet
• Marvell competition in 1.6T AEC retimers (reportedly ahead on 3nm and priced 15-20% lower) and Amazon warrants that effectively rebate AEC pricing
• Cash conversion: Q1 OCF $90M vs $236M non-GAAP NI on the inventory build; SBC ~$88M/quarter
• Pace of copper-to-optical/CPO transition and gross margin under optical mix and DustPhotonics integration
• AI capex cycle durability into 2027-28 and the multiple regime for AI semis (peer multiples compressing)</t>
  </si>
  <si>
    <t xml:space="preserve">• a fact: FY28 revenue ~$3.4B (+35%) → ~$3.7B (+48%) (Supervisor: management expects 'outsized growth again' in FY28 and $9.63 consensus EPS at ~49% net margin implies ~$3.8-3.9B; my old path was inconsistent with near-consensus EPS. I stop short of $3.8-3.9B for optical-mix margin dilution and concentration risk.)
• a fact: Net cash by Sep-2027 $0.8-1.0B (EV/sales) and $1.8B (DCF) → ~$1.7B in both legs (Supervisor flagged the internal inconsistency; $764M post-deal cash plus weak Q1 OCF ($90.2M, inventory build to $313M, verified) points to ~$1.6-2.0B.)
• a fact: Top customer 33% of revenue → 33% end-customer; one direct customer 43% of revenue and 57% of receivables (Supervisor's Q1 FY27 10-Q finding; supports keeping the fat left tail.)
• a method: P/E $240 (NTM EPS $11.0 x 22x) → P/E $237 (NTM EPS $11.3 x 21x) (Higher FY28/FY29 EPS from the growth correction, offset by a lower multiple for peer multiple compression (Mizuho $290-&gt;$245, verified), 43% direct-customer concentration and Marvell 1.6T AEC pricing pressure.)
• a method: DCF $192 → DCF $198 (FY28 FCF base raised to $1.35B on the higher revenue path, partly haircut for weak cash conversion; net cash $1.7B.)
• a method: EV/sales $195 → EV/sales $212 (FY28 revenue $3.7B instead of $3.4B and net cash fixed at $1.7B.)
• fair value: $217 → $220 (Net of the method changes above.)
• a scenario: bear $110, base $235, bull $360 → bear $108, base $240, bull $365 (Base/bull lifted by the FY28 growth correction; bear lowered slightly because Amazon Trn3 dual-sourcing to cheaper Marvell-based AECs is a concrete path given 43% direct concentration. Probabilities unchanged (25/50/25).)
• P(close &gt;= K): 148-422: 0.72/0.65/0.59/0.53/0.47/0.41/0.34/0.28/0.20/0.14 → 0.725/0.66/0.60/0.54/0.48/0.42/0.345/0.285/0.205/0.145 (Median moves ~$222 -&gt; ~$224 on the growth correction; tails below $127 and at $527 kept unchanged because concentration and competition findings argue against thinning the left tail and multiple compression argues against fattening the far right.)
• thesis break: $125 → $125 (unchanged) (Now anchored explicitly to the verified $150.09 close low of 2026-09-14; ~17% below it and ~13x FY28 consensus EPS.)</t>
  </si>
  <si>
    <t xml:space="preserve">Round 2. The supervisor's fact-checks, which I verified, changed three inputs. (1) Net cash: cash plus investments is only $764M after the $735.6M DustPhotonics outlay, and Q1 FY27 OCF was $90.2M (FCF ~$83M) against $236M non-GAAP NI because inventory rose to $313M. I cut Sep-2027 net cash from $2.5B to ~$1.8B and FY28 FCF from $1.6B to $1.5B, which lowers EV/sales from $188 to $184 and the DCF from $245 to $230. (2) FY28 growth: management expects 'outsized growth again' in FY28, and $9.63 consensus EPS implies ~+55% revenue. That supports my round-1 +45-55% path, so the P/E leg stays at $225 (22x ~$10.2). I do not raise the multiple, because Mizuho cut its target to $245 on lower peer multiples. (3) Concentration is worse than I stated: one direct customer is 43% of revenue and 57% of receivables, and Marvell is ahead on 1.6T AEC retimers. That argues for keeping my fat left tail (P(&lt;$127) ~25%, slightly more than the supervisor's ~21%, which I think is too thin given a single-customer sourcing decision can cut revenue by a third). On the right tail, my round-1 P(&gt;=$527) of 0.11 was the highest of the panel. With multiples compressing and cash conversion weak, I trimmed the right tail (P(&gt;=$527) 0.08, P(&gt;=$422) 0.15, P(&gt;=$369) 0.21). I kept it above the panel mean because the stock went $86 to $309 inside 12 months. Blended fair value is $216 vs $211 spot, so the median sits at ~$211 (P&gt;=$211 = 0.50), with modest earnings-driven drift offset by de-rating risk. Width reflects an effective ~70-75% lognormal sigma with a slightly fatter left tail: well below the 96% realized vol (inflated by event gaps) but far above the 25-35% large-cap base rate. The scenario mix (25% $100 / 50% $220 / 25% $345; mean ~$221) is consistent with the ladder. No option data or priors were consulted.</t>
  </si>
  <si>
    <t xml:space="preserve">At ~$125 the stock would trade at ~13x FY28 consensus EPS of $9.63 and ~17% below the verified $150.09 closing low of 2026-09-14, itself a sentiment-only selloff after a beat-and-raise. A close there would most likely reflect a genuine estimate reset, not ordinary volatility in a ~90%-vol stock. Candidate causes are a loss, pause or dual-source at the 43%-of-billings customer (e.g. Marvell 1.6T AECs), a failed H2 FY27 ramp with a guide-down, or a hyperscaler capex cut.</t>
  </si>
  <si>
    <t xml:space="preserve">• Whether the steep back-half FY27 ramp (~$1.47B in H2 vs ~$1.01B in H1) materializes
• Customer concentration: top two end customers 61%, top four 84%; one direct customer is 43% of revenue and 57% of receivables
• Marvell competition in 1.6T AEC retimers (ahead on 3nm, partnered with Amphenol, reportedly priced below Credo)
• Cash conversion: Q1 OCF $90M and FCF ~$83M against $236M non-GAAP NI because of inventory and receivables build
• Pace of CPO/optical displacement of copper AECs at 1.6T and beyond vs Credo's own optical ramp
• AI capex cycle durability, compressing peer multiples and the stock's extreme beta (96% realized vol, -52% peak-to-trough in 2026)</t>
  </si>
  <si>
    <t xml:space="preserve">• a fact: Net cash ~$2.5B by Sep 2027 → ~$1.8B (Supervisor finding, verified in the 10-Q: cash plus investments is $764M after the DustPhotonics outlay, and Q1 OCF was $90.2M because inventory rose to $313M)
• a method: EV/sales $188 → $184 (Lower net cash ($1.8B vs $2.5B); 9x on ~$4.0B NTM sales unchanged)
• a method: DCF $245 (FY28 FCF $1.6B, cash $2.5B) → $230 (FY28 FCF $1.5B, cash $1.8B) (Weak cash conversion (Q1 FCF ~$83M vs $236M non-GAAP NI) and lower net cash)
• a method: P/E $225 → $225 (unchanged) (The supervisor's FY28 finding ('outsized growth again', $9.63 consensus implies ~+55% revenue) supports my existing path. I keep the modest EPS haircut and do not raise the 22x multiple, given Mizuho's peer-multiple cut)
• fair value: $220 → $216 (The EV/sales and DCF changes above)
• a fact: Top customer 33% of revenue → 33% end-customer basis, but 43% of direct revenue and 57% of receivables (Supervisor finding, verified in the Q1 FY27 10-Q)
• a scenario: base $225; bull $360 → base $220; bull $345 (Lower fair value; Mizuho cut its target on lower peer multiples, so I capped the bull multiple at ~27x instead of 28x)
• P(close &gt;= K): K=211 0.51, 232 0.46, 253 0.41 → 0.50, 0.45, 0.40 (Median moves to ~spot with the $216 fair value)
• P(close &gt;= K): K=285 0.35, 316 0.30, 369 0.23, 422 0.18, 527 0.11 → 0.33, 0.28, 0.21, 0.15, 0.08 (My right tail was the fattest on the panel. Compressing peer multiples and weak cash conversion argue for trimming it. I stay above the supervisor's 0.062 at $527 given the $86-to-$309 run within the past year)
• P(close &gt;= K): K=84 0.88, 105 0.81, 127 0.74 → 0.89, 0.82, 0.75 (Slight tightening of the far-left tail after the consensus-consistent FY28 growth check. I keep P(&lt;$127) ~25%, above the supervisor's ~21%, because 43% direct-customer concentration and Marvell 1.6T competition make a single sourcing decision a big risk)
• thesis break: $125 → $125 (unchanged; rationale updated) (Anchored now to the verified $150.09 closing low of 2026-09-14 and ~13x FY28 consensus EPS of $9.63)</t>
  </si>
  <si>
    <t xml:space="preserve">Round 2 revision. The supervisor's fact-checks, which I verified, changed three inputs. (1) FY28 revenue growth: my round-1 $3.4B (+35%) path did not fit my own near-consensus EPS of $9.00, which implied a ~52% net margin. Management said it expects 'outsized growth again for another year' in FY28 (Motley Fool transcript), and FY28 EPS consensus has risen to ~$9.63-9.70 (24/7 Wall St: from $8.69 90 days ago, 14 up-revisions). I raised base FY28 revenue to $3.65B (+46%) but kept EPS at ~$8.90, still below consensus, because I still discount concentration (a 43% direct customer) and Marvell 1.6T AEC pricing. I did not go all the way to the supervisor's $3.8-3.9B because no quantitative guide exists and competitive pricing pressure is real. (2) Net cash: I cut it to ~$1.8B by Sep-2027. Cash is $764M after DustPhotonics, and Q1 OCF was only $90.2M on the inventory build, which I confirmed. (3) The September low was $150.09, not $167-170. That confirms a deeper sentiment drawdown than I had assumed and supports keeping a fat left tail. Methods: P/E $238 (from $235), EV/sales $240 (from $227; higher NTM revenue and 11.5x vs 12x, less net cash), DCF $190 (from $175; higher revenue base and 38% FCF margin vs 36%, a margin I had understated against a ~49% non-GAAP net margin). The blend rises to ~$224 from $215. Distribution: median ~$222 (from ~$214) and sigma ~0.6, which is below the 96% trailing realized vol but far above large-cap base rates. I kept the left tail near round 1, P(&lt;$127) ~19%, because concentration is worse than I had stated. Mid strikes rise ~2-3 points. The right tail is only slightly higher because peer multiples are compressing. Scenarios: $115/$240/$380 at 25/50/25, probability-weighted ~$244, a mean above the median consistent with a lognormal-like skew. As of 2026-09-26 the stock closed at $210.12 (Trefis) with analyst targets averaging $280 (19 analysts, range $185-350). I treat those targets as evidence, not the answer. No option data or priors consulted. Research was ~6 follow-up searches/fetches on top of round 1.</t>
  </si>
  <si>
    <t xml:space="preserve">The verified post-earnings low was a $150.09 close on 2026-09-14. That was a sentiment-only selloff after a beat and raise. $125 is ~17% below it and ~13x FY28 consensus EPS (~$9.65). A close there would most likely mean a fundamental break rather than ordinary 90%+ volatility: a top-2 customer pause or dual-source (e.g. Marvell 1.6T AECs at Amazon), a failed H2 FY27 ramp or guide cut, or a hyperscaler capex cut.</t>
  </si>
  <si>
    <t xml:space="preserve">• Customer concentration: end customers 33/28/13/10% (84% top four), one direct customer 43% of revenue and 57% of receivables
• Whether H2 FY27 delivers ~$1.47B (~23% q/q) to meet the &gt;85% guide
• FY28 growth: consensus-consistent ~+50-55% vs my +46% vs a +35% downside path (~$20-25/share swing)
• Marvell/Broadcom AEC competition (Marvell reportedly ahead on 1.6T AEC retimers, 15-20% cheaper) and copper-to-optics/CPO timing
• Cash conversion: Q1 OCF $90M vs $236M non-GAAP NI on inventory build to $313M; SBC ~$88M/quarter
• AI capex cycle durability and semiconductor multiple regime (peer multiples compressing; Mizuho cut to $245)</t>
  </si>
  <si>
    <t xml:space="preserve">• a fact: post-earnings selloff bottomed around $167-170 → $150.09 close on 2026-09-14 (intraday $149.14); rebound +41% over 9 sessions (Supervisor disagreement #2 (Twelve Data OHLC); confirmed by Trefis 9-day/41% article)
• a fact: FY28 revenue ~$3.4B (+35%) → ~$3.65B (+46%) (Supervisor disagreement #1: management's 'outsized growth again' and FY28 EPS consensus of ~$9.63-9.70 imply ~$3.8B. I only move partway because there is no quantitative guide and Marvell pricing pressure. This also fixes my round-1 inconsistency (EPS $9.00 on $3.4B implied a 52% net margin))
• a fact: net cash ~$2.0B by Sep-2027 → ~$1.8B (Supervisor disagreement #3: $764M cash after DustPhotonics, Q1 OCF $90.2M on inventory build to $313M (verified))
• a fact: top customer 33% → 33% end-customer; one direct customer 43% of revenue and 57% of receivables (Supervisor disagreement #4 (Q1 FY27 10-Q))
• a method: P/E $235 (24x $9.80) → P/E $238 (24x $9.90) (Slightly higher FY29 EPS off the higher FY28 revenue base)
• a method: EV/sales $227 (12x $3.6B NTM + $2.0B cash) → EV/sales $240 (11.5x $4.0B NTM + $1.8B cash) (FY28 growth correction raises NTM revenue; multiple trimmed for Marvell competition and peer multiple compression; lower net cash)
• a method: DCF $175 ($3.4B base, 36% FCF margin) → DCF $190 ($3.65B base, 38% FCF margin, 30/22/16/12/9% growth) (FY28 growth correction; FCF margin raised slightly toward the 49% non-GAAP net margin but held well below it for working capital and inventory (weak Q1 OCF))
• fair value: $215 → $224 (Net effect of the three method changes above)
• a scenario: bear $110 / base $235 / bull $370 → bear $115 / base $240 / bull $380 (probabilities unchanged 25/50/25) (Higher FY28 revenue path lifts each case modestly; bear probability kept because concentration (43% direct customer) and Marvell pricing are worse than I had stated)
• P(close &gt;= K): 169: 0.65, 190: 0.575, 211: 0.505, 232: 0.44, 253: 0.385, 285: 0.31, 316: 0.25 → 169: 0.67, 190: 0.60, 211: 0.535, 232: 0.47, 253: 0.41, 285: 0.335, 316: 0.27 (Median moves from ~$214 to ~$222 on the FY28 growth correction)
• P(close &gt;= K): 53: 0.985, 127: 0.805, 148: 0.73, 369: 0.175, 422: 0.12, 527: 0.06 → 53: 0.982, 127: 0.81, 148: 0.74, 369: 0.19, 422: 0.13, 527: 0.065 (Left tail kept fat (supervisor found concentration worse; the $150 low shows how far sentiment alone can take the stock); right tail nudged up with the centre, restrained by peer multiple compression)
• thesis break: $125 (anchored on a mistaken $167-170 low) → $125 (anchored on the verified $150 low, ~17% below it, ~13x FY28 consensus EPS) (Level unchanged, rationale corrected per supervisor disagreement #2)</t>
  </si>
  <si>
    <t xml:space="preserve">CRDO supervisor</t>
  </si>
  <si>
    <t xml:space="preserve">Confidence: low. This round's searches found no new fact that clearly moves the forecast. The consensus revenue check (StockAnalysis FY28 $3.88B, read 2026-10-26) supports the round-1 supervisor's $3.8-3.9B; the $3.69B figure first used here could not be verified and is dropped. My fair-value changes are internal-consistency fixes to two agents (agents 4 and 5) worth ~$3 on the mean, and they move the ladder by under one point. That is too small and too model-dependent to replace the mean.</t>
  </si>
  <si>
    <t xml:space="preserve">Summary</t>
  </si>
  <si>
    <t xml:space="preserve">The revised forecasts have converged: fair values of $216-231 (mean $223), a unanimous $125 thesis break, and ladders within a few points of each other. StockAnalysis shows FY28 consensus revenue of $3.88B (read 2026-10-26), in line with the round-1 supervisor's $3.8-3.9B; the $3.69B/$4.80B figures first used here could not be verified and are dropped. Fixing two agents' internal inconsistencies lifted the 2026-09-25 supervisor's value to ~$227; the current research target (12m) is the model_engine value 223.00. The ladder moves under one point: median ~$222, P(&gt;= $211) ~53%, ~21% odds below $127 and ~12% above $422. The deciding event is the 2026-12-02 Q2 print and Q3 guide, which must show the ~23% sequential H2 ramp without a concentration scare.</t>
  </si>
  <si>
    <t xml:space="preserve">Research target (12m)</t>
  </si>
  <si>
    <t xml:space="preserve">Key drivers</t>
  </si>
  <si>
    <t xml:space="preserve">• Capturable copper connectivity spend (AECs + electrical retimers / line-card PHYs / SerDes chiplets / OmniConnect), calendar year paired with the fiscal year: 2.46 -&gt; 4.398/6.48/7.98 (estimate; quarterly, mean)
• Credo's share of the copper TAM (copper revenue / copper_tam): 0.5183 -&gt; 0.4275/0.4275/0.4275 (estimate; quarterly, mean)
• Non-GAAP gross margin, copper (AECs, electrical ICs, SerDes IP): 0.683 -&gt; 0.69/0.685/0.68 (estimate; quarterly, wmean:copper_tam*copper_share)
• AI-cluster Ethernet optical transceivers (100G+) and CPO, scale-out and scale-up (LightCounting definition), calendar year paired with the fiscal year: 16.5 -&gt; 36.3/63.89/83.44 (estimate; quarterly, mean)
• Credo's share of the optical TAM (optical revenue / optical_tam): 0.003636 -&gt; 0.01708/0.01708/0.01708 (estimate; quarterly, mean)
• Non-GAAP gross margin, optical (DSPs, SiPh PICs, ZeroFlap transceivers, ALC): 0.65 -&gt; 0.65/0.63/0.62 (estimate; quarterly, wmean:optical_tam*optical_share)
• Non-GAAP operating expenses (R&amp;D + SG&amp;A ex SBC, acquisition costs, amortisation): 270.9 -&gt; 443.2/640/790 (estimate; quarterly, sum)
• Largest end customer's share of revenue (end-customer basis), as a concentration term: 0.33 -&gt; 0.33/0.33/0.33 (filing; quarterly, mean)</t>
  </si>
  <si>
    <t xml:space="preserve">Disagreements (final round)</t>
  </si>
  <si>
    <t xml:space="preserve">Topic</t>
  </si>
  <si>
    <t xml:space="preserve">Positions</t>
  </si>
  <si>
    <t xml:space="preserve">Resolution</t>
  </si>
  <si>
    <t xml:space="preserve">Evidence</t>
  </si>
  <si>
    <t xml:space="preserve">FY28 revenue base (and the round-1 supervisor's own figure)</t>
  </si>
  <si>
    <t xml:space="preserve">Agent 1 uses FY28 ~$3.8-3.9B (+55%) and agent 2 ~$3.7-3.8B, both following the round-1 supervisor's '$3.8-3.9B implied by consensus EPS'. Agents 3 and 5 moved only part way, to $3.7B (+48%) and $3.65B (+46%). Agent 4 uses +50-55%.</t>
  </si>
  <si>
    <t xml:space="preserve">StockAnalysis (S&amp;P Global consensus, read 2026-10-26) shows next-year (FY28) revenue $3.88B (+55% on FY27 $2.50B) and EPS $9.71; $9.71 x ~197.5M shares / $3.88B = ~49% non-GAAP net margin. The $3.69B FY28 / $4.80B FY29 figures this round first used could not be verified and are dropped, and no public FY29 consensus was found. On $3.88B, the round-1 supervisor's $3.8-3.9B was right: agents 1 and 2 are on consensus and agents 3 and 5 ($3.7B, $3.65B) are ~5-6% below it. What matters at the horizon is NTM revenue at Sep-2027 (H2 FY28 + H1 FY29), which cannot be pinned to a public consensus. Net effect on the mean fair value is small.</t>
  </si>
  <si>
    <t xml:space="preserve">StockAnalysis forecast page (FY27 $2.50B / EPS $6.31; FY28 $3.88B / EPS $9.71; read 2026-10-26); 24/7 Wall St (FY28 EPS $8.69 -&gt; $9.70 in 90 days, 14 up-revisions).</t>
  </si>
  <si>
    <t xml:space="preserve">NTM EPS weighting at the horizon (agent 5)</t>
  </si>
  <si>
    <t xml:space="preserve">Agent 5 builds Sep-2027 NTM EPS as 0.7 x FY28 + 0.3 x FY29 and states ~$9.90; on its own FY28 $8.90 and FY29 $11.80 that weighting gives $9.77 (0.7 x 8.90 + 0.3 x 11.80), and its $238 P/E leg is 24 x the stated $9.90. Agents 1, 2 and 4 use ~$10.0-10.4 and agent 3 uses $11.3.</t>
  </si>
  <si>
    <t xml:space="preserve">Credo's fiscal year ends around 1 May, so on 2027-09-25 Q1 FY28 has been reported and the NTM window is Q3-Q4 FY28 plus Q1-Q2 FY29, about 50/50 FY28/FY29. On agent 5's own FY28 $8.90 and FY29 $11.80, NTM EPS is ~$10.35 (0.5 x 8.90 + 0.5 x 11.80), not $9.77 (its 0.7/0.3 weighting) or the ~$9.90 it states. At its 24x, its P/E leg becomes ~$248 (from $238), which lifts its blend by ~$4-5. On consensus FY28 EPS $9.71 and an assumed ~30% FY29 growth (no public FY29 consensus was found), NTM EPS is ~$11 ((9.71 + 12.62) / 2 = 11.2). Every agent except agent 3 haircuts consensus 7-10% in its base case and also carries a separate 25-33% bear scenario, which partly double-counts the same concentration and competition risk.</t>
  </si>
  <si>
    <t xml:space="preserve">Q1 FY27 reported 2026-09-01 for the quarter ended ~Aug 1; StockAnalysis FY28 EPS $9.71 (read 2026-10-26).</t>
  </si>
  <si>
    <t xml:space="preserve">EV/sales multiple (agent 4's outlier leg)</t>
  </si>
  <si>
    <t xml:space="preserve">Agent 4 applies 9x NTM sales ($184). Agents 2, 3 and 5 use 11-11.5x and agent 1 uses 10x ($212-240).</t>
  </si>
  <si>
    <t xml:space="preserve">At the consensus ~50% non-GAAP net margin, agent 4's own 22x P/E leg is equivalent to ~11x sales. A 9x sales multiple implies ~18x earnings, so the two legs contradict each other. At 11x on its own $4.0B NTM revenue plus $1.8B cash over 205M shares, the leg is ~$223, which lifts agent 4's blend from $216 to ~$226. The multiple regime is compressing (Mizuho cut its target to $245 from $290 on lower peer multiples), so I do not push anyone above 11.5x.</t>
  </si>
  <si>
    <t xml:space="preserve">Agent 4 method inputs; Investing.com on the Mizuho note; consensus margin arithmetic ($9.71 x ~197.5M shares / $3.88B = ~49%).</t>
  </si>
  <si>
    <t xml:space="preserve">Left-tail width (P(close &lt; $127))</t>
  </si>
  <si>
    <t xml:space="preserve">Agent 2 ~18.5%, agent 5 ~19%, agents 1 and 3 ~21-23%, agent 4 ~25%.</t>
  </si>
  <si>
    <t xml:space="preserve">Not settled by search, so I keep the mean (~21%). The concentration is real: end customers are 33% and 28% and one direct customer is 43% of revenue and 57% of receivables, and the three-month crash was driven by concentration fears, not by fundamentals. The funding backdrop cuts both ways. S&amp;P sees six hyperscalers spending ~$1.3T in 2027, but only Microsoft is forecast to be free-cash-flow positive, so a 2027 digestion is a live risk. My searches did not confirm a documented Marvell share win at Amazon for 1.6T AECs.</t>
  </si>
  <si>
    <t xml:space="preserve">24/7 Wall St crash analysis; Motley Fool on 2027 hyperscaler capex and FCF.</t>
  </si>
  <si>
    <t xml:space="preserve">Catalyst timing and last close</t>
  </si>
  <si>
    <t xml:space="preserve">Agent 5 dates Q2 FY27 earnings to 2026-12-02 while the others say 'early December'. Agent 5 also cites a '$210.12 close on 2026-09-26'.</t>
  </si>
  <si>
    <t xml:space="preserve">Q2 FY27 earnings are confirmed for 2026-12-02 after the close. 2026-09-26 was a Saturday, so there was no close that day. The Trefis piece dated 9/26 describes the 9/25 close of $210.97, and the brief's anchor is right.</t>
  </si>
  <si>
    <t xml:space="preserve">TipRanks earnings calendar (confirmed); Trefis 9-day/41% article dated 2026-09-26.</t>
  </si>
  <si>
    <t xml:space="preserve">Changes the supervisor made</t>
  </si>
  <si>
    <t xml:space="preserve">Item</t>
  </si>
  <si>
    <t xml:space="preserve">From</t>
  </si>
  <si>
    <t xml:space="preserve">To</t>
  </si>
  <si>
    <t xml:space="preserve">Why</t>
  </si>
  <si>
    <t xml:space="preserve">Fact: FY28 consensus revenue (round-1 supervisor finding used by agents 1 and 2)</t>
  </si>
  <si>
    <t xml:space="preserve">~$3.8-3.9B (+55%), inferred from EPS at a 49% net margin</t>
  </si>
  <si>
    <t xml:space="preserve">~$3.88B (+55%) StockAnalysis/S&amp;P Global consensus, read 2026-10-26 (the $3.69B / $4.80B figures first used here could not be verified; no public FY29 consensus found)</t>
  </si>
  <si>
    <t xml:space="preserve">StockAnalysis shows next-year (FY28) revenue $3.88B from FY27 $2.50B and EPS $9.71; $9.71 x ~197.5M shares / $3.88B = ~49% net margin, so the round-1 inference holds.</t>
  </si>
  <si>
    <t xml:space="preserve">Agent 4 EV/sales leg</t>
  </si>
  <si>
    <t xml:space="preserve">$184 (9x NTM sales)</t>
  </si>
  <si>
    <t xml:space="preserve">~$223 (11x on the same $4.0B plus $1.8B cash over 205M shares)</t>
  </si>
  <si>
    <t xml:space="preserve">9x sales implies ~18x earnings at a ~50% net margin, which contradicts agent 4's own 22x P/E leg.</t>
  </si>
  <si>
    <t xml:space="preserve">Agent 5 NTM EPS at Sep-2027</t>
  </si>
  <si>
    <t xml:space="preserve">~$9.90 as stated by agent 5 (its 0.7 x FY28 + 0.3 x FY29 weighting computes to 0.7 x 8.90 + 0.3 x 11.80 = $9.77; its $238 P/E leg = 24 x 9.90)</t>
  </si>
  <si>
    <t xml:space="preserve">~$10.35 (0.5/0.5), so the P/E leg goes $238 -&gt; ~$248</t>
  </si>
  <si>
    <t xml:space="preserve">On 2027-09-25 the NTM window is Q3-Q4 FY28 plus Q1-Q2 FY29, because the fiscal year ends in early May.</t>
  </si>
  <si>
    <t xml:space="preserve">Fact: last close / date (agent 5)</t>
  </si>
  <si>
    <t xml:space="preserve">$210.12 close on 2026-09-26</t>
  </si>
  <si>
    <t xml:space="preserve">$210.97 close on 2026-09-25 (9/26 was a Saturday)</t>
  </si>
  <si>
    <t xml:space="preserve">The Trefis article dated 9/26 reports the Friday 9/25 close; no effect on numbers.</t>
  </si>
  <si>
    <t xml:space="preserve">Research target (12m), 2026-09-25 supervisor round</t>
  </si>
  <si>
    <t xml:space="preserve">$223.0 (forecaster mean)</t>
  </si>
  <si>
    <t xml:space="preserve">$227 (the 2026-09-25 supervisor's value; superseded by the model_engine research target (12m) 223.00 of this round)</t>
  </si>
  <si>
    <t xml:space="preserve">Agent 4 and 5 consistency fixes lift the mean to ~$226, plus ~$1 because base cases haircut consensus EPS while bear scenarios already price concentration.</t>
  </si>
  <si>
    <t xml:space="preserve">P(close &gt;= K) at K = 169, 190, 211, 232</t>
  </si>
  <si>
    <t xml:space="preserve">0.655 / 0.590 / 0.524 / 0.461</t>
  </si>
  <si>
    <t xml:space="preserve">0.660 / 0.597 / 0.533 / 0.469</t>
  </si>
  <si>
    <t xml:space="preserve">The centre shifts ~$3 up with the corrected fair value; the median moves from ~$219 to ~$222.</t>
  </si>
  <si>
    <t xml:space="preserve">P(close &gt;= K) at K = 253, 285, 316</t>
  </si>
  <si>
    <t xml:space="preserve">0.399 / 0.320 / 0.257</t>
  </si>
  <si>
    <t xml:space="preserve">0.406 / 0.326 / 0.261</t>
  </si>
  <si>
    <t xml:space="preserve">Same centre shift, fading toward the right tail.</t>
  </si>
  <si>
    <t xml:space="preserve">P(close &gt;= K) at K = 53, 84, 105, 127, 148, 369, 422, 527</t>
  </si>
  <si>
    <t xml:space="preserve">0.974 / 0.918 / 0.857 / 0.787 / 0.721 / 0.178 / 0.121 / 0.057</t>
  </si>
  <si>
    <t xml:space="preserve">0.975 / 0.918 / 0.857 / 0.788 / 0.723 / 0.180 / 0.122 / 0.057</t>
  </si>
  <si>
    <t xml:space="preserve">Essentially unchanged: the tail disagreements (P&lt;$127 of 18.5-25%, P&gt;=$527 of 3-8%) were not settled by search, so I keep the mean.</t>
  </si>
  <si>
    <t xml:space="preserve">$125 (all five agents)</t>
  </si>
  <si>
    <t xml:space="preserve">$125 (unchanged)</t>
  </si>
  <si>
    <t xml:space="preserve">Unanimous and well anchored to the $150.09 2026-09-14 close (Yahoo daily history [src 29]) and ~13x FY28 consensus EPS.</t>
  </si>
  <si>
    <t xml:space="preserve">Citation audit (2026-10-26)</t>
  </si>
  <si>
    <t xml:space="preserve">{'item': 'guidance_check non-GAAP net margin track record (8 periods)', 'from': 'labelled non-GAAP net margin first guides (point) vs actuals GM - opex/revenue from rounded figures (0.1138, 0.3136, 0.3681, 0.4317, 0.4632, 0.4958, 0.496, 0.4813); median 0.1414', 'to': 'relabelled as non-GAAP operating-margin proxy, basis estimate, arithmetic per period; actuals = reported non-GAAP operating income margins (0.115, 0.314, 0.368, 0.431, 0.463, 0.496, 0.496, 0.482); 7/0/1, median 0.1409', 'source': 'Credo 8-K Ex-99.1 releases Q2 FY25-Q1 FY27 [src 20, 19, 18, 17, 16, 14, 13, 10]'}</t>
  </si>
  <si>
    <t xml:space="preserve">{'item': 'guidance_check non-GAAP net margin record_adjusted_guide', 'from': 0.5707, 'to': 0.5705, 'source': '0.50 x (1 + 0.1409)'}</t>
  </si>
  <si>
    <t xml:space="preserve">{'item': 'guidance_check non-GAAP net margin position', 'from': 'inside', 'to': 'above', 'source': 'ours 0.5029 &gt; point guide 0.50 (beat &gt; high)'}</t>
  </si>
  <si>
    <t xml:space="preserve">{'item': 'driver:opex record median overspend', 'from': '1.95%', 'to': '1.91%', 'source': 'guidance_check opex track record median (no value change: 419.96 x 1.0191 = 428.0, rounded to 430)'}</t>
  </si>
  <si>
    <t xml:space="preserve">{'item': 'driver:opex agents-implied FY28 opex', 'from': '~19.6% (~$725M) at ~1% tax and 67.5% GM', 'to': '18.5% (~$685M) with no interest income, ~19.6% (~$725M) with ~1.1pt interest income netted', 'source': '0.675 - 0.485/0.99 = 0.185'}</t>
  </si>
  <si>
    <t xml:space="preserve">{'item': 'driver:opex FV effect', 'from': '-2.7%', 'to': '-3.0% ($725M: 214.45 vs 221.18); -2.4% ($685M: 215.92)', 'source': 'model_engine.py check on variant copies, 2026-10-26'}</t>
  </si>
  <si>
    <t xml:space="preserve">{'item': 'driver:capture_bps consensus check', 'from': 'FY28 consensus $3.69B / FY29 $4.80B [src 2, Seeking Alpha via search summary]', 'to': 'FY28 $3.88B (StockAnalysis, S&amp;P Global, read 2026-10-26); FY29 claim removed', 'source': 'https://stockanalysis.com/stocks/crdo/forecast/'}</t>
  </si>
  <si>
    <t xml:space="preserve">{'item': 'reference.consensus FY2028 revenue', 'from': 3690.0, 'to': 3880.0, 'source': 'https://stockanalysis.com/stocks/crdo/forecast/'}</t>
  </si>
  <si>
    <t xml:space="preserve">{'item': 'reference.consensus FY2029 revenue', 'from': 4800.0, 'to': 'removed (not verifiable)', 'source': 'Seeking Alpha 403; no other public source'}</t>
  </si>
  <si>
    <t xml:space="preserve">{'item': 'inputs_detail nwc Q1 FY27 working-capital changes', 'from': 'Q1 FY27 receivables +55.4, inventories +62.2', 'to': 'Q1 FY27 receivables +54.5, inventories +61.5 (10-Q cash flow statement)', 'source': '10-Q [src 11] https://www.sec.gov/Archives/edgar/data/1807794/000162828026060111/crdo-20260801.htm'}</t>
  </si>
  <si>
    <t xml:space="preserve">{'item': 'inputs_detail shares Q1 FY27 non-GAAP diluted', 'from': 'Q1 FY27 non-GAAP diluted 196.9M (236.3 / 1.20) [src 10]', 'to': 'Q1 FY27 non-GAAP weighted-average diluted shares 197.5M (197,505K, release reconciliation) [src 10]', 'source': 'Q1 FY27 8-K Ex-99.1 [src 10]'}</t>
  </si>
  <si>
    <t xml:space="preserve">{'item': 'model.reasoning net-margin position', 'from': 'FY27 net margin ~50%, ours 50.3% before interest income (inside)', 'to': 'FY27 net margin ~50% (point), ours 50.3% before interest income (above)', 'source': 'guidance_check'}</t>
  </si>
  <si>
    <t xml:space="preserve">{'item': 'model.reasoning FY28 consensus revenue', 'from': 'FY28 revenue $3.69B vs $3.70B', 'to': 'FY28 revenue $3.88B (StockAnalysis, read 2026-10-26) vs $3.70B (-4.6%)', 'source': 'https://stockanalysis.com/stocks/crdo/forecast/'}</t>
  </si>
  <si>
    <t xml:space="preserve">{'item': 'Zacks via Nasdaq FY27 $5.02 / FY28 $8.30 source', 'from': 'https://api.nasdaq.com/api/analyst/CRDO/earnings-forecast (503 at check)', 'to': 'saved snapshot data/estimates/CRDO.json (retrieved 2026-10-26T06:02:23Z; 5.02 / 8.30, 6 estimates)', 'source': '/mnt/project-files/valuation/data/estimates/CRDO.json'}</t>
  </si>
  <si>
    <t xml:space="preserve">{'item': 'fair_value.method round-1 multiple sentence', 'from': 'That is ~21x a consensus-implied Sep-2027 NTM EPS of ~$11 plus ~$1.8B net cash, ~8% above the $210.97 close.', 'to': 'That was ~8% above the $210.97 close (227 / 210.97 - 1 = 7.6%).', 'source': 'arithmetic: (227 - 1800/200) / 11 = 19.8x ex-cash, so the ~21x sentence is dropped'}</t>
  </si>
  <si>
    <t xml:space="preserve">{'item': 'thesis_break_reason $150.09 low', 'from': 'It is ~17% below the verified $150.09 closing low of 2026-09-14, a sentiment-only selloff after a beat-and-raise,', 'to': 'It is ~17% below the $150.09 close of 2026-09-14 (125 / 150.09 - 1 = -16.7%), the low close of the September post-earnings selloff, a sentiment-only selloff after a beat-and-raise (Yahoo Finance daily history [src 29]; the 2026-10-23 close of $147.29 is lower, and $125 is ~15% below it),', 'source': 'https://query1.finance.yahoo.com/v8/finance/chart/CRDO?period1=1788220800&amp;period2=1792972800&amp;interval=1d'}</t>
  </si>
  <si>
    <t xml:space="preserve">{'item': 'changes[8] thesis-break anchor', 'from': 'the verified $150.09 low', 'to': 'the $150.09 2026-09-14 close (Yahoo daily history [src 29])', 'source': 'https://query1.finance.yahoo.com/v8/finance/chart/CRDO?period1=1788220800&amp;period2=1792972800&amp;interval=1d'}</t>
  </si>
  <si>
    <t xml:space="preserve">{'item': 'disagreements[0] FY28/FY29 consensus revenue and ~17x forward sales', 'from': '$3.69B / $4.80B; ~17x fwd sales', 'to': '$3.88B FY28 (StockAnalysis, read 2026-10-26); FY29 and ~17x removed', 'source': 'https://stockanalysis.com/stocks/crdo/forecast/'}</t>
  </si>
  <si>
    <t xml:space="preserve">{'item': 'disagreements[1] consensus-implied NTM EPS basis', 'from': 'Consensus-implied NTM EPS is ~$11 (Q1 FY28 consensus $2.43, FY29 ~+30%).', 'to': 'On consensus FY28 EPS $9.71 and an assumed ~30% FY29 growth (no public FY29 consensus was found), NTM EPS is ~$11 ((9.71 + 12.62) / 2 = 11.2).', 'source': 'https://stockanalysis.com/stocks/crdo/forecast/'}</t>
  </si>
  <si>
    <t xml:space="preserve">{'item': 'disagreements[1] AL Capital 21.7x fwd P/E', 'from': 'AL Capital Advisory page (Q1 FY28 EPS consensus ~$2.43, forward P/E 21.7x); consensus revenue path above.', 'to': 'StockAnalysis FY28 EPS $9.71 (read 2026-10-26).', 'source': 'removed: AL Capital page now shows 17.5x at a later price; 21.7x not verifiable'}</t>
  </si>
  <si>
    <t xml:space="preserve">{'item': 'disagreements[2] consensus margin arithmetic', 'from': '($9.65 x ~197M shares / $3.69B)', 'to': '($9.71 x ~197.5M shares / $3.88B = ~49%)', 'source': 'https://stockanalysis.com/stocks/crdo/forecast/'}</t>
  </si>
  <si>
    <t xml:space="preserve">{'item': "disagreements[3] Moody's ~$1T by 2027", 'from': "S&amp;P sees six hyperscalers spending ~$1.3T in 2027, and Moody's sees ~$1T, but", 'to': 'S&amp;P sees six hyperscalers spending ~$1.3T in 2027, but', 'source': 'removed: DCD page HTTP 403, not readable'}</t>
  </si>
  <si>
    <t xml:space="preserve">{'item': "disagreements[3] evidence DCD/Moody's", 'from': "; DCD/Moody's.", 'to': '.', 'source': 'removed (403)'}</t>
  </si>
  <si>
    <t xml:space="preserve">{'item': 'confidence_reason consensus revenue', 'from': "The consensus revenue check corrected the round-1 supervisor's $3.8-3.9B figure down to $3.69B, which cuts against agents 1 and 2 but leaves NTM revenue at the horizon roughly where they had it.", 'to': "The consensus revenue check (StockAnalysis FY28 $3.88B, read 2026-10-26) supports the round-1 supervisor's $3.8-3.9B; the $3.69B figure first used here could not be verified and is dropped.", 'source': 'https://stockanalysis.com/stocks/crdo/forecast/'}</t>
  </si>
  <si>
    <t xml:space="preserve">{'item': 'summary consensus revenue', 'from': "My checks found published FY28/FY29 consensus of $3.69B/$4.80B, which is lower than the round-1 supervisor's $3.8-3.9B but leaves Sep-2027 NTM revenue and EPS (~$4.2B, ~$11) where most agents had them.", 'to': "StockAnalysis shows FY28 consensus revenue of $3.88B (read 2026-10-26), in line with the round-1 supervisor's $3.8-3.9B; the $3.69B/$4.80B figures first used here could not be verified and are dropped.", 'source': 'https://stockanalysis.com/stocks/crdo/forecast/'}</t>
  </si>
  <si>
    <t xml:space="preserve">{'item': 'changes[0] FY28 consensus revenue', 'from': '~$3.69B (+48%); FY29 ~$4.80B', 'to': '~$3.88B (+55%); FY29 removed', 'source': 'https://stockanalysis.com/stocks/crdo/forecast/'}</t>
  </si>
  <si>
    <t xml:space="preserve">{'item': 'guidance_check non-GAAP net margin track record (8 periods, operating-margin proxy)', 'from': "periods without a confidence; implied guides read as 'guidance'", 'to': "each period: basis estimate (implied guide from first-guide midpoints; Credo gave no margin guide) / reported actual non-GAAP operating income margin, derivation prefixed 'estimate:', confidence medium; values unchanged", 'source': "Credo 8-K Ex-99.1 releases (e.g. Q2 FY25 reports 'Non-GAAP operating income (loss) margin' 11.5% [src 20])"}</t>
  </si>
  <si>
    <t xml:space="preserve">{'item': 'sizing.reason (stale spot)', 'from': 'view ~5-8% above spot (227/222 vs $210.97); thesis-break loss ~1.7% of the portfolio at 4%; cap ~$1,350', 'to': "research target (12m) $218.06 is +44.3% vs the round's $151.15 spot; loss at $125 = 4% x 17.3% = 0.69% of the portfolio; stale dollar amount removed", 'source': 'allocation.json spot 151.15 (2026-10-26); engine check 218.06'}</t>
  </si>
  <si>
    <t xml:space="preserve">{'item': "driver:copper_tam claim 'third-party AEC forecasts are smaller than Credo's FY2026 AEC revenue'", 'from': 'unsourced claim', 'to': 'removed (fed no number)', 'source': 'no publisher named'}</t>
  </si>
  <si>
    <t xml:space="preserve">{'item': 'driver:copper_tam cross-check: optics 2.7% of top-5 cloud capex (2025)', 'from': 'LightCounting Jan 2026 newsletter [src 31] (HTTP 403)', 'to': "same 2.7%, cited to Lightwave 2026-03-10 on LightCounting's 'Optics for AI Clusters' [src 33]; 0.6 / 2.7 = 0.22", 'source': 'https://lightwaveonline.com/home/article/55362899/ai-scale-up-raises-the-stakes-for-transceivers-and-cpo-adoption'}</t>
  </si>
  <si>
    <t xml:space="preserve">{'item': 'driver:copper_share FY29', 'from': 0.3901, 'to': 0.38897, 'source': 'own inputs: (4,872 - 1,768) / 7,980 = 0.38897; FY29 copper $3,104M, revenue $4,872M'}</t>
  </si>
  <si>
    <t xml:space="preserve">{'item': 'driver:optical_tam CY2025 base $16.5B and January +60% vintage', 'from': 'LightCounting Jan 2026 newsletter [src 31] (HTTP 403)', 'to': "$16.5B and ~+60% unchanged, cited to POET Technologies FY2025 Form 20-F Item 4.B quoting LightCounting's January 2026 forecast [src 31, replaced]; Lightwave 2026-03-10 prints $8B for 2025 (noted; base level cancels via optical_share)", 'source': 'https://www.sec.gov/Archives/edgar/data/1437424/000149315226014253/form20-f.htm'}</t>
  </si>
  <si>
    <t xml:space="preserve">{'item': 'driver:optical_tam April-vintage +65% (2026)', 'from': 'LightCounting April 2026 newsletter [src 33] (HTTP 403)', 'to': "removed; 'raised twice (60 -&gt; 65 -&gt; 120%)' now 'raised from +60% (January) to +120% (October)'; src 33 slot now the Lightwave 2026-03-10 article", 'source': 'POET 20-F [src 31]; Lightwave 2026-10-08 [src 32]'}</t>
  </si>
  <si>
    <t xml:space="preserve">{'item': "driver:optical_share 'DustPhotonics PICs a full year in FY28'", 'from': 'stated as management [src 22]', 'to': "PICs 'ramp throughout' FY27 [src 22]; full year in FY28 labelled our inference", 'source': 'https://www.fool.com/earnings/call-transcripts/2026/09/08/credo-crdo-q1-2027-earnings-call-transcript/'}</t>
  </si>
  <si>
    <t xml:space="preserve">{'item': 'driver:gm_optical blended GM FY28/FY29 (prose; guidance_check drivers_note, base story, reasoning)', 'from': '67.4% / 66.9%', 'to': '66.9% / 65.8% (drivers unchanged)', 'source': '(2,608 x 0.685 + 1,091 x 0.63) / 3,699 = 66.9%; (3,104 x 0.68 + 1,768 x 0.62) / 4,872 = 65.8%'}</t>
  </si>
  <si>
    <t xml:space="preserve">{'item': 'years.tax_rate variant: consensus FY28 net margin', 'from': '~52%', 'to': "'near 50%'", 'source': '247wallst.com 2026-09-21 [src 1]'}</t>
  </si>
  <si>
    <t xml:space="preserve">{'item': 'shares.annual_change: DustPhotonics earn-out shares', 'from': 'up to ~2.8M (agent_2 src 4)', 'to': 'up to ~3.21M (Credo release [src 34]); ~0.6M a year assumed in the window (judgment): 2.4M + 0.6M = 3.0M / 200M = +1.5%; value unchanged, confidence low', 'source': 'Credo DustPhotonics release 2026-04-13'}</t>
  </si>
  <si>
    <t xml:space="preserve">{'item': 'research target (12m)', 'from': 218.34, 'to': 218.06, 'source': 'model_engine.py check after the copper_share FY29 fix (-0.13%)'}</t>
  </si>
  <si>
    <t xml:space="preserve">{'item': 'judgment calls: optical TAM CY2028 / copper share hold', 'from': '206.24 (-5.54%) / 232.77 (+6.61%)', 'to': '205.98 (-5.54%) / 232.78 (+6.75%)', 'source': 'model_engine.py check on the variant sets'}</t>
  </si>
  <si>
    <t xml:space="preserve">{'item': 'driver:optical_share FY29 optical revenue (derivation text)', 'from': 'FY29 103.499 x 1.708% = $1,768M', 'to': 'FY29 83.438 x 1.708% = $1,425M', 'source': 'current optical_tam CY2028 83.438 (LightCounting optics-to-capex ratio) x 1.708%; 83.438 x 0.01708 = 1.425'}</t>
  </si>
  <si>
    <t xml:space="preserve">{'item': 'driver:copper_share variant view (derivation text)', 'from': "erode to the agents' median total revenue (40.25% FY28, 38.90% FY29), research target (12m) 208.29 (-6.6%)", 'to': "the earlier eroded path (40.25% FY28, 38.90% FY29, set to the forecasters' median total revenue under the old optical path) applied to the current set gives research target (12m) 208.29 (-6.6%)", 'source': 'model_engine.py check on a variant copy of the current set (verified by Kilian); 38.90% = (4,872 - 1,768) / 7,980 was built on the old FY29 optical $1,768M, so it is restated as the earlier path, not a match to the median under the current optical path'}</t>
  </si>
  <si>
    <t xml:space="preserve">{'item': 'shares.annual_change variant (inputs_detail)', 'from': '+2.8% -&gt; 202.9M', 'to': '+2.8% -&gt; 205.6M (200 x 1.028)', 'source': 'arithmetic: 200 x 1.028 = 205.6; 202.9 would be +1.45%'}</t>
  </si>
  <si>
    <t xml:space="preserve">{'item': 'agent 5 NTM EPS arithmetic (disagreements[1], changes[2])', 'from': '0.7 x FY28 + 0.3 x FY29 = $9.90', 'to': '0.7 x 8.90 + 0.3 x 11.80 = $9.77 (agent 5 states ~$9.90 and uses it for its $238 leg); 0.5/0.5 = $10.35 unchanged', 'source': 'agent_5.json own FY28 $8.90 / FY29 $11.80; arithmetic'}</t>
  </si>
  <si>
    <t xml:space="preserve">{'item': "horizon_multiples[P/E] cross-check '~22x Zacks'", 'from': '~22x Zacks [src 28] (mixed with the non-GAAP 18.6x)', 'to': '~22x on Zacks consensus EPS, EPS basis (GAAP or adjusted) labelled unstated and not comparable with the non-GAAP 18.6x; reference only, feeds no number', 'source': 'data/estimates/CRDO.json (Nasdaq.com/Zacks snapshot 2026-10-26: 5.02 / 8.30, no basis label); StockAnalysis non-GAAP 6.31 / 9.71 [src 3]'}</t>
  </si>
  <si>
    <t xml:space="preserve">{'item': 'fair_value.method / changes[4] / summary: 227 stated as current', 'from': '$227 as the current value', 'to': "$227 labelled as the 2026-09-25 supervisor's value; current research target (12m) 223.00 (model_engine)", 'source': 'model_engine.py check 2026-10-26 = 223.00; fair_value.reason'}</t>
  </si>
  <si>
    <t xml:space="preserve">{'item': 'driver:optical_tam CY2026 vintage difference (derivation text)', 'from': 'not stated', 'to': 'CY2026 $36.3B (October vintage, +120%) vs $26B (January vintage via POET 20-F); October is newer and used', 'source': '[src 31] POET FY2025 20-F; [src 32] Lightwave 2026-10-08'}</t>
  </si>
  <si>
    <t xml:space="preserve">Sizing</t>
  </si>
  <si>
    <t xml:space="preserve">max weight pct</t>
  </si>
  <si>
    <t xml:space="preserve">conviction</t>
  </si>
  <si>
    <t xml:space="preserve">low</t>
  </si>
  <si>
    <t xml:space="preserve">entry</t>
  </si>
  <si>
    <t xml:space="preserve">2 tranches over ~10 weeks: half now, half after the 2026-12-02 Q2 FY27 print and Q3 guide</t>
  </si>
  <si>
    <t xml:space="preserve">overlap</t>
  </si>
  <si>
    <t xml:space="preserve">GOOGL and META (their AI capex is Credo's revenue; ~35% of the portfolio already), TSLA (high-beta AI/momentum factor); AAPL only loosely</t>
  </si>
  <si>
    <t xml:space="preserve">reason</t>
  </si>
  <si>
    <t xml:space="preserve">After fact-checking, the research target (12m) of $223.00 is ~48% above the round's $151.15 spot (allocation.json, 2026-10-26: 223.00 / 151.15 - 1 = 47.5%), but on a ~90%-vol name with 61% top-two customer concentration and a binary H2 ramp test on 2026-12-02. Liquidity is ample and the stock has been listed since 2022, with no lock-up overhang beyond 10b5-1 insider sales and DustPhotonics earn-out shares. The portfolio is already heavy in the hyperscalers whose capex drives Credo, so a cap of ~4% keeps a thesis-break loss (a close at $125, 17.3% below $151.15) near 0.7% of the portfolio (4% x 17.3% = 0.69%).</t>
  </si>
  <si>
    <t xml:space="preserve">CRDO sources</t>
  </si>
  <si>
    <t xml:space="preserve">Every source the forecasters and the supervisor cited. IDs: A1.3 = agent 1, source 3; S.2 = supervisor, source 2; X.4 = found by the supervisor for an assumption the agent left unsourced.</t>
  </si>
  <si>
    <t xml:space="preserve">Cited by</t>
  </si>
  <si>
    <t xml:space="preserve">Title</t>
  </si>
  <si>
    <t xml:space="preserve">Date</t>
  </si>
  <si>
    <t xml:space="preserve">Link</t>
  </si>
  <si>
    <t xml:space="preserve">A1.1</t>
  </si>
  <si>
    <t xml:space="preserve">agent_1</t>
  </si>
  <si>
    <t xml:space="preserve">Credo Reports First Quarter of Fiscal Year 2027 Financial Results (8-K Ex 99.1)</t>
  </si>
  <si>
    <t xml:space="preserve">2026-09-01</t>
  </si>
  <si>
    <t xml:space="preserve">https://www.sec.gov/Archives/edgar/data/0001807794/000162828026059795/credoq12027ex-991.htm</t>
  </si>
  <si>
    <t xml:space="preserve">A1.2</t>
  </si>
  <si>
    <t xml:space="preserve">Credo revenue jumps 115% to $479M on AI demand (10-Q summary, StockTitan)</t>
  </si>
  <si>
    <t xml:space="preserve">2026-09</t>
  </si>
  <si>
    <t xml:space="preserve">https://www.stocktitan.net/sec-filings/CRDO/10-q-credo-technology-group-holding-ltd-quarterly-earnings-report-e3835cfa9203.html</t>
  </si>
  <si>
    <t xml:space="preserve">A1.3</t>
  </si>
  <si>
    <t xml:space="preserve">Credo (CRDO) Q1 2027 Earnings Call Transcript (Motley Fool)</t>
  </si>
  <si>
    <t xml:space="preserve">2026-09-08</t>
  </si>
  <si>
    <t xml:space="preserve">https://www.fool.com/earnings/call-transcripts/2026/09/08/credo-crdo-q1-2027-earnings-call-transcript/</t>
  </si>
  <si>
    <t xml:space="preserve">A1.4</t>
  </si>
  <si>
    <t xml:space="preserve">Why is Credo Technology stock rallying today? (Investing.com; Mizuho target cut, Trn3 checks)</t>
  </si>
  <si>
    <t xml:space="preserve">2026-09-21</t>
  </si>
  <si>
    <t xml:space="preserve">https://ca.investing.com/news/stock-market-news/why-is-credo-technology-stock-rallying-today-93CH-4846693</t>
  </si>
  <si>
    <t xml:space="preserve">A1.5</t>
  </si>
  <si>
    <t xml:space="preserve">AWS Trainium3 Deep Dive (SemiAnalysis)</t>
  </si>
  <si>
    <t xml:space="preserve">2025</t>
  </si>
  <si>
    <t xml:space="preserve">https://newsletter.semianalysis.com/p/aws-trainium3-deep-dive-a-potential</t>
  </si>
  <si>
    <t xml:space="preserve">A1.6</t>
  </si>
  <si>
    <t xml:space="preserve">Credo Technology Group vs. Marvell Technology (Motley Fool)</t>
  </si>
  <si>
    <t xml:space="preserve">2026-09-14</t>
  </si>
  <si>
    <t xml:space="preserve">https://www.fool.com/coverage/better-buy/2026/09/14/credo-technology-group-vs-marvell-technology-which-semiconductor-stock-is-a-better-buy-in-2026/</t>
  </si>
  <si>
    <t xml:space="preserve">A1.7</t>
  </si>
  <si>
    <t xml:space="preserve">CRDO forecast and consensus estimates (StockAnalysis)</t>
  </si>
  <si>
    <t xml:space="preserve">2026-09-27</t>
  </si>
  <si>
    <t xml:space="preserve">https://stockanalysis.com/stocks/crdo/forecast/</t>
  </si>
  <si>
    <t xml:space="preserve">A1.8</t>
  </si>
  <si>
    <t xml:space="preserve">Credo Reports Fourth Quarter and Fiscal Year 2026 Financial Results (Business Wire)</t>
  </si>
  <si>
    <t xml:space="preserve">2026-06-01</t>
  </si>
  <si>
    <t xml:space="preserve">https://www.businesswire.com/news/home/20260601641616/en/Credo-Technology-Group-Holding-Ltd-Reports-Fourth-Quarter-and-Fiscal-Year-2026-Financial-Results</t>
  </si>
  <si>
    <t xml:space="preserve">A1.9</t>
  </si>
  <si>
    <t xml:space="preserve">Credo Technology Crashed for 3 Months (24/7 Wall St.)</t>
  </si>
  <si>
    <t xml:space="preserve">https://247wallst.com/investing/2026/09/21/credo-technology-crashed-for-3-months-this-wall-street-pro-says-its-about-to-double/</t>
  </si>
  <si>
    <t xml:space="preserve">A1.10</t>
  </si>
  <si>
    <t xml:space="preserve">Goldman Sees Hyperscaler AI Capex Rising 50% to $1.2 Trillion (Bloomberg)</t>
  </si>
  <si>
    <t xml:space="preserve">2026-09-25</t>
  </si>
  <si>
    <t xml:space="preserve">https://www.bloomberg.com/news/articles/2026-09-25/goldman-sees-hyperscaler-ai-capex-rising-50-to-1-2-trillion</t>
  </si>
  <si>
    <t xml:space="preserve">A2.1</t>
  </si>
  <si>
    <t xml:space="preserve">agent_2</t>
  </si>
  <si>
    <t xml:space="preserve">Credo Q1 FY2027 results press release (8-K Ex-99.1)</t>
  </si>
  <si>
    <t xml:space="preserve">A2.2</t>
  </si>
  <si>
    <t xml:space="preserve">Credo Q1 FY27 10-Q summary (cash, OCF, inventory, customer concentration, DustPhotonics consideration) - StockTitan</t>
  </si>
  <si>
    <t xml:space="preserve">A2.3</t>
  </si>
  <si>
    <t xml:space="preserve">Credo (CRDO) Q1 2027 Earnings Call Transcript - Motley Fool</t>
  </si>
  <si>
    <t xml:space="preserve">A2.4</t>
  </si>
  <si>
    <t xml:space="preserve">Credo Agrees to Acquire DustPhotonics (earnout terms)</t>
  </si>
  <si>
    <t xml:space="preserve">2026-04</t>
  </si>
  <si>
    <t xml:space="preserve">https://investors.credosemi.com/news-events/news/news-details/2026/Credo-Agrees-to-Acquire-DustPhotonics-Accelerating-Expansion-into-Silicon-Photonics-and-Next-Generation-Optical-Connectivity/default.aspx</t>
  </si>
  <si>
    <t xml:space="preserve">A2.5</t>
  </si>
  <si>
    <t xml:space="preserve">Credo Q4 and FY2026 results (8-K Ex-99.1)</t>
  </si>
  <si>
    <t xml:space="preserve">https://www.sec.gov/Archives/edgar/data/0001807794/000162828026039474/credoq42026ex-991.htm</t>
  </si>
  <si>
    <t xml:space="preserve">A2.6</t>
  </si>
  <si>
    <t xml:space="preserve">A 9-Day Winning Streak Has Credo Technology Stock Up 41% - Trefis</t>
  </si>
  <si>
    <t xml:space="preserve">2026-09-26</t>
  </si>
  <si>
    <t xml:space="preserve">https://www.trefis.com/stock/crdo/articles/616737/a-9-day-winning-streak-has-credo-technology-stock-up-41/2026-09-26</t>
  </si>
  <si>
    <t xml:space="preserve">A2.7</t>
  </si>
  <si>
    <t xml:space="preserve">Why is Credo Technology stock rallying today? (Mizuho target cut, Trn3 checks) - Investing.com</t>
  </si>
  <si>
    <t xml:space="preserve">A2.8</t>
  </si>
  <si>
    <t xml:space="preserve">Credo (CRDO): The AEC Monopoly With a 12-Month Expiration Date</t>
  </si>
  <si>
    <t xml:space="preserve">2026</t>
  </si>
  <si>
    <t xml:space="preserve">https://spheniscidae007.substack.com/p/credo-technology-group-holding-ltd</t>
  </si>
  <si>
    <t xml:space="preserve">A2.9</t>
  </si>
  <si>
    <t xml:space="preserve">CRDO Stock: Will the 1.6T Optical Transition Destroy Credo's AEC Moat? - Stockpicker</t>
  </si>
  <si>
    <t xml:space="preserve">https://stockpicker.tech/analysis/crdo-stock-will-the-1-6t-optical-transition-destroy-credos-aec-moat</t>
  </si>
  <si>
    <t xml:space="preserve">A2.10</t>
  </si>
  <si>
    <t xml:space="preserve">Why Credo Technology Stock Plunged 20% Today - Motley Fool</t>
  </si>
  <si>
    <t xml:space="preserve">2026-09-02</t>
  </si>
  <si>
    <t xml:space="preserve">https://www.fool.com/investing/2026/09/02/why-credo-technology-stock-plunged-20-today/</t>
  </si>
  <si>
    <t xml:space="preserve">A2.11</t>
  </si>
  <si>
    <t xml:space="preserve">Goldman Sees Hyperscaler AI Capex Rising 50% to $1.2 Trillion - Bloomberg</t>
  </si>
  <si>
    <t xml:space="preserve">A3.1</t>
  </si>
  <si>
    <t xml:space="preserve">agent_3</t>
  </si>
  <si>
    <t xml:space="preserve">Credo Reports First Quarter of Fiscal Year 2027 Financial Results</t>
  </si>
  <si>
    <t xml:space="preserve">https://investors.credosemi.com/news-events/news/news-details/2026/Credo-Technology-Group-Holding-Ltd-Reports-First-Quarter-of-Fiscal-Year-2027-Financial-Results/</t>
  </si>
  <si>
    <t xml:space="preserve">A3.2</t>
  </si>
  <si>
    <t xml:space="preserve">A3.3</t>
  </si>
  <si>
    <t xml:space="preserve">Credo Technology Group Holding Ltd (CRDO) (Q1 2027) Earnings Call Highlights - Yahoo Finance</t>
  </si>
  <si>
    <t xml:space="preserve">https://finance.yahoo.com/markets/stocks/articles/credo-technology-group-holding-ltd-050030303.html</t>
  </si>
  <si>
    <t xml:space="preserve">A3.4</t>
  </si>
  <si>
    <t xml:space="preserve">Credo Q1 FY27 8-K Ex-99.1</t>
  </si>
  <si>
    <t xml:space="preserve">A3.5</t>
  </si>
  <si>
    <t xml:space="preserve">Credo Q1 FY27 10-Q summary (customer concentration, cash flow) - StockTitan</t>
  </si>
  <si>
    <t xml:space="preserve">A3.6</t>
  </si>
  <si>
    <t xml:space="preserve">What's Going On With Credo Technology Stock Thursday? - Benzinga</t>
  </si>
  <si>
    <t xml:space="preserve">https://www.benzinga.com/markets/tech/26/09/61597084/whats-going-on-with-credo-technology-stock-thursday</t>
  </si>
  <si>
    <t xml:space="preserve">A3.7</t>
  </si>
  <si>
    <t xml:space="preserve">Credo Technology Group Holding stock forecast - Simply Wall St</t>
  </si>
  <si>
    <t xml:space="preserve">https://simplywall.st/stocks/us/semiconductors/nasdaq-crdo/credo-technology-group-holding/future</t>
  </si>
  <si>
    <t xml:space="preserve">A3.8</t>
  </si>
  <si>
    <t xml:space="preserve">Credo Tech stock price target lowered to $245 by Mizuho on valuation - Investing.com</t>
  </si>
  <si>
    <t xml:space="preserve">https://uk.investing.com/news/stock-market-news/credo-tech-stock-price-target-lowered-to-245-by-mizuho-on-valuation-93CH-4875589</t>
  </si>
  <si>
    <t xml:space="preserve">A3.9</t>
  </si>
  <si>
    <t xml:space="preserve">Mizuho Slashes Credo Technology Stock Price Target. Here's Why It Is Still Bullish - TipRanks</t>
  </si>
  <si>
    <t xml:space="preserve">https://www.tipranks.com/news/article/mizuho-slashes-credo-technology-stock-price-target-heres-why-it-is-still-bullish</t>
  </si>
  <si>
    <t xml:space="preserve">A3.10</t>
  </si>
  <si>
    <t xml:space="preserve">Active Electrical Cable (AEC) Fundamentals - Semifundamental</t>
  </si>
  <si>
    <t xml:space="preserve">https://semifundamental.substack.com/p/active-electrical-cable-aec-fundamentals</t>
  </si>
  <si>
    <t xml:space="preserve">A3.11</t>
  </si>
  <si>
    <t xml:space="preserve">The Golden Cable Initiative - Marvell</t>
  </si>
  <si>
    <t xml:space="preserve">https://www.marvell.com/blogs/golden-cable-initiative-hyperscale-cable-partner-ecosystem.html</t>
  </si>
  <si>
    <t xml:space="preserve">A3.12</t>
  </si>
  <si>
    <t xml:space="preserve">A3.13</t>
  </si>
  <si>
    <t xml:space="preserve">A3.14</t>
  </si>
  <si>
    <t xml:space="preserve">Credo Agrees to Acquire DustPhotonics - BusinessWire</t>
  </si>
  <si>
    <t xml:space="preserve">2026-04-13</t>
  </si>
  <si>
    <t xml:space="preserve">https://www.businesswire.com/news/home/20260413933103/en/Credo-Agrees-to-Acquire-DustPhotonics-Accelerating-Expansion-into-Silicon-Photonics-and-Next-Generation-Optical-Connectivity</t>
  </si>
  <si>
    <t xml:space="preserve">A3.15</t>
  </si>
  <si>
    <t xml:space="preserve">CRDO Stock Forecast &amp; Price Targets - StockAnalysis</t>
  </si>
  <si>
    <t xml:space="preserve">2026-09-18</t>
  </si>
  <si>
    <t xml:space="preserve">A4.1</t>
  </si>
  <si>
    <t xml:space="preserve">agent_4</t>
  </si>
  <si>
    <t xml:space="preserve">Credo Q1 FY2027 results press release (8-K Ex. 99.1)</t>
  </si>
  <si>
    <t xml:space="preserve">A4.2</t>
  </si>
  <si>
    <t xml:space="preserve">Credo Q1 FY2027 Form 10-Q</t>
  </si>
  <si>
    <t xml:space="preserve">https://www.sec.gov/Archives/edgar/data/0001807794/000162828026060111/crdo-20260801.htm</t>
  </si>
  <si>
    <t xml:space="preserve">A4.3</t>
  </si>
  <si>
    <t xml:space="preserve">Credo's $236 Million Adjusted Profit Came With Just $83 Million in Free Cash Flow (Yahoo Finance)</t>
  </si>
  <si>
    <t xml:space="preserve">https://finance.yahoo.com/markets/stocks/articles/credo-236-million-adjusted-profit-154239820.html</t>
  </si>
  <si>
    <t xml:space="preserve">A4.4</t>
  </si>
  <si>
    <t xml:space="preserve">A4.5</t>
  </si>
  <si>
    <t xml:space="preserve">Credo Tech price target lowered to $245 by Mizuho on valuation (Investing.com)</t>
  </si>
  <si>
    <t xml:space="preserve">A4.6</t>
  </si>
  <si>
    <t xml:space="preserve">Mizuho Slashes Credo Technology Stock Price Target. Here's Why It Is Still Bullish (TipRanks)</t>
  </si>
  <si>
    <t xml:space="preserve">A4.7</t>
  </si>
  <si>
    <t xml:space="preserve">Marvell Technology: The 1.6T Transition and the DSP Battlefield</t>
  </si>
  <si>
    <t xml:space="preserve">https://iamfabian.substack.com/p/my-pre-earnings-deep-dive-marvell</t>
  </si>
  <si>
    <t xml:space="preserve">A4.8</t>
  </si>
  <si>
    <t xml:space="preserve">Credo Q4 and FY2026 results</t>
  </si>
  <si>
    <t xml:space="preserve">A4.9</t>
  </si>
  <si>
    <t xml:space="preserve">Why Credo Technology Stock Plunged 20% Today (Motley Fool)</t>
  </si>
  <si>
    <t xml:space="preserve">A4.10</t>
  </si>
  <si>
    <t xml:space="preserve">A 9-Day Winning Streak Has Credo Technology Stock Up 41% (Trefis)</t>
  </si>
  <si>
    <t xml:space="preserve">A4.11</t>
  </si>
  <si>
    <t xml:space="preserve">Credo Completes Acquisition of DustPhotonics</t>
  </si>
  <si>
    <t xml:space="preserve">2026-05-28</t>
  </si>
  <si>
    <t xml:space="preserve">https://investors.credosemi.com/news-events/news/news-details/2026/Credo-Completes-Acquisition-of-DustPhotonics/default.aspx</t>
  </si>
  <si>
    <t xml:space="preserve">A4.12</t>
  </si>
  <si>
    <t xml:space="preserve">CPO Fears, Credo, and Role of AEC in 1.6T Networking</t>
  </si>
  <si>
    <t xml:space="preserve">https://www.viksnewsletter.com/p/cpo-fears-credo-and-role-of-aec-in-cpo-era</t>
  </si>
  <si>
    <t xml:space="preserve">A5.1</t>
  </si>
  <si>
    <t xml:space="preserve">agent_5</t>
  </si>
  <si>
    <t xml:space="preserve">Credo Reports First Quarter of Fiscal Year 2027 Financial Results (8-K Ex-99.1)</t>
  </si>
  <si>
    <t xml:space="preserve">A5.2</t>
  </si>
  <si>
    <t xml:space="preserve">A5.3</t>
  </si>
  <si>
    <t xml:space="preserve">Credo Technology Group Holding Ltd (CRDO) Q1 2027 Earnings Call Highlights - Yahoo Finance</t>
  </si>
  <si>
    <t xml:space="preserve">A5.4</t>
  </si>
  <si>
    <t xml:space="preserve">Credo Technology Crashed for 3 Months: This Wall Street Pro Says It's About to Double - 24/7 Wall St. (FY28 EPS consensus $9.70)</t>
  </si>
  <si>
    <t xml:space="preserve">A5.5</t>
  </si>
  <si>
    <t xml:space="preserve">Credo Technology's Scale-Up Push: Can it Drive Long-Term Growth? (FY28 ALC/OmniConnect/NPO ramps)</t>
  </si>
  <si>
    <t xml:space="preserve">https://finance.yahoo.com/technology/articles/credo-technologys-scale-push-drive-160000696.html</t>
  </si>
  <si>
    <t xml:space="preserve">A5.6</t>
  </si>
  <si>
    <t xml:space="preserve">A5.7</t>
  </si>
  <si>
    <t xml:space="preserve">A5.8</t>
  </si>
  <si>
    <t xml:space="preserve">AWS Trainium3 Deep Dive - SemiAnalysis</t>
  </si>
  <si>
    <t xml:space="preserve">A5.9</t>
  </si>
  <si>
    <t xml:space="preserve">CRDO vs. MRVL: Which AI Connectivity Stock Is the Better Buy? - Yahoo Finance</t>
  </si>
  <si>
    <t xml:space="preserve">https://finance.yahoo.com/markets/stocks/articles/crdo-vs-mrvl-ai-connectivity-141300659.html</t>
  </si>
  <si>
    <t xml:space="preserve">A5.10</t>
  </si>
  <si>
    <t xml:space="preserve">Why is Credo Technology stock rallying today? - Investing.com</t>
  </si>
  <si>
    <t xml:space="preserve">A5.11</t>
  </si>
  <si>
    <t xml:space="preserve">Simply Wall St CRDO forecast (FY28 EPS estimate)</t>
  </si>
  <si>
    <t xml:space="preserve">A5.12</t>
  </si>
  <si>
    <t xml:space="preserve">S.1</t>
  </si>
  <si>
    <t xml:space="preserve">supervisor</t>
  </si>
  <si>
    <t xml:space="preserve">Credo Technology Crashed for 3 Months: This Wall Street Pro Says It's About to Double - 24/7 Wall St.</t>
  </si>
  <si>
    <t xml:space="preserve">S.2</t>
  </si>
  <si>
    <t xml:space="preserve">Credo Is Entering Its Hardest Test - Seeking Alpha (HTTP 403; its consensus figures could not be verified and are not used)</t>
  </si>
  <si>
    <t xml:space="preserve">https://seekingalpha.com/article/4940940-credo-is-entering-its-hardest-test</t>
  </si>
  <si>
    <t xml:space="preserve">S.3</t>
  </si>
  <si>
    <t xml:space="preserve">CRDO Stock Forecast &amp; Price Targets - StockAnalysis (S&amp;P Global consensus: FY27 revenue $2.50B / EPS $6.31; next year (FY28) revenue $3.88B / EPS $9.71; page updated 2026-10-05)</t>
  </si>
  <si>
    <t xml:space="preserve">2026-10-26</t>
  </si>
  <si>
    <t xml:space="preserve">S.4</t>
  </si>
  <si>
    <t xml:space="preserve">Credo Technology Group Holding Ltd (CRDO) - Quantitative Forecast &amp; Factor Scores - AL Capital Advisory</t>
  </si>
  <si>
    <t xml:space="preserve">https://alcapitaladvisory.com/research/equities/crdo.html</t>
  </si>
  <si>
    <t xml:space="preserve">S.5</t>
  </si>
  <si>
    <t xml:space="preserve">Credo Technology Group Holding Ltd earnings date - TipRanks</t>
  </si>
  <si>
    <t xml:space="preserve">https://www.tipranks.com/stocks/crdo/earnings</t>
  </si>
  <si>
    <t xml:space="preserve">S.6</t>
  </si>
  <si>
    <t xml:space="preserve">Why is Credo Technology stock rallying today? (Mizuho note) - Investing.com</t>
  </si>
  <si>
    <t xml:space="preserve">S.7</t>
  </si>
  <si>
    <t xml:space="preserve">S.8</t>
  </si>
  <si>
    <t xml:space="preserve">6 Hyperscalers Are Projected to Spend $1.3 Trillion on Capex in 2027 - Motley Fool</t>
  </si>
  <si>
    <t xml:space="preserve">2026-09-06</t>
  </si>
  <si>
    <t xml:space="preserve">https://www.fool.com/investing/2026/09/06/hyperscalers-driving-ai-capex-cash-flow/</t>
  </si>
  <si>
    <t xml:space="preserve">S.9</t>
  </si>
  <si>
    <t xml:space="preserve">Moody's: Hyperscaler capex forecasts close in on $1trn by 2027 - DCD (HTTP 403; not read, not used)</t>
  </si>
  <si>
    <t xml:space="preserve">https://www.datacenterdynamics.com/en/news/moodys-hyperscaler-capex-forecasts-marked-up-by-85bn-to-close-in-on-1trn-by-2027/</t>
  </si>
  <si>
    <t xml:space="preserve">S.10</t>
  </si>
  <si>
    <t xml:space="preserve">S.11</t>
  </si>
  <si>
    <t xml:space="preserve">Credo Form 10-Q for the quarter ended 2026-08-01</t>
  </si>
  <si>
    <t xml:space="preserve">https://www.sec.gov/Archives/edgar/data/1807794/000162828026060111/crdo-20260801.htm</t>
  </si>
  <si>
    <t xml:space="preserve">S.12</t>
  </si>
  <si>
    <t xml:space="preserve">Credo Form 10-K for fiscal 2026 (ended 2026-05-02)</t>
  </si>
  <si>
    <t xml:space="preserve">2026-06-15</t>
  </si>
  <si>
    <t xml:space="preserve">https://www.sec.gov/Archives/edgar/data/1807794/000162828026043303/crdo-20260502.htm</t>
  </si>
  <si>
    <t xml:space="preserve">S.13</t>
  </si>
  <si>
    <t xml:space="preserve">https://www.sec.gov/Archives/edgar/data/1807794/000162828026039474/credoq42026ex-991.htm</t>
  </si>
  <si>
    <t xml:space="preserve">S.14</t>
  </si>
  <si>
    <t xml:space="preserve">Credo Q3 FY2026 results (8-K Ex-99.1)</t>
  </si>
  <si>
    <t xml:space="preserve">2026-03-02</t>
  </si>
  <si>
    <t xml:space="preserve">https://www.sec.gov/Archives/edgar/data/1807794/000162828026013205/credoq32026ex-9911.htm</t>
  </si>
  <si>
    <t xml:space="preserve">S.15</t>
  </si>
  <si>
    <t xml:space="preserve">Credo preliminary Q3 FY2026 revenue and updated guidance (8-K Ex-99.1)</t>
  </si>
  <si>
    <t xml:space="preserve">2026-02-09</t>
  </si>
  <si>
    <t xml:space="preserve">https://www.sec.gov/Archives/edgar/data/1807794/000162828026006370/feb20268-kex991.htm</t>
  </si>
  <si>
    <t xml:space="preserve">S.16</t>
  </si>
  <si>
    <t xml:space="preserve">Credo Q2 FY2026 results (8-K Ex-99.1)</t>
  </si>
  <si>
    <t xml:space="preserve">2025-12-01</t>
  </si>
  <si>
    <t xml:space="preserve">https://www.sec.gov/Archives/edgar/data/1807794/000162828025054428/credoq22026ex-991.htm</t>
  </si>
  <si>
    <t xml:space="preserve">S.17</t>
  </si>
  <si>
    <t xml:space="preserve">Credo Q1 FY2026 results (8-K Ex-99.1)</t>
  </si>
  <si>
    <t xml:space="preserve">2025-09-03</t>
  </si>
  <si>
    <t xml:space="preserve">https://www.sec.gov/Archives/edgar/data/1807794/000180779425000018/credoq12026ex-991.htm</t>
  </si>
  <si>
    <t xml:space="preserve">S.18</t>
  </si>
  <si>
    <t xml:space="preserve">Credo Q4 FY2025 results (8-K Ex-99.1)</t>
  </si>
  <si>
    <t xml:space="preserve">2025-06-02</t>
  </si>
  <si>
    <t xml:space="preserve">https://www.sec.gov/Archives/edgar/data/1807794/000162828025028827/credoq42025ex-991.htm</t>
  </si>
  <si>
    <t xml:space="preserve">S.19</t>
  </si>
  <si>
    <t xml:space="preserve">Credo Q3 FY2025 results (8-K Ex-99.1)</t>
  </si>
  <si>
    <t xml:space="preserve">2025-03-04</t>
  </si>
  <si>
    <t xml:space="preserve">https://www.sec.gov/Archives/edgar/data/1807794/000162828025009813/credoq32025ex-991.htm</t>
  </si>
  <si>
    <t xml:space="preserve">S.20</t>
  </si>
  <si>
    <t xml:space="preserve">Credo Q2 FY2025 results (8-K Ex-99.1)</t>
  </si>
  <si>
    <t xml:space="preserve">2024-12-02</t>
  </si>
  <si>
    <t xml:space="preserve">https://www.sec.gov/Archives/edgar/data/1807794/000162828024049564/credoq22025ex-991.htm</t>
  </si>
  <si>
    <t xml:space="preserve">S.21</t>
  </si>
  <si>
    <t xml:space="preserve">Credo Q1 FY2025 results (8-K Ex-99.1)</t>
  </si>
  <si>
    <t xml:space="preserve">2024-09-04</t>
  </si>
  <si>
    <t xml:space="preserve">https://www.sec.gov/Archives/edgar/data/1807794/000162828024039309/credoq12025ex-991.htm</t>
  </si>
  <si>
    <t xml:space="preserve">S.22</t>
  </si>
  <si>
    <t xml:space="preserve">Credo (CRDO) Q1 FY2027 earnings call transcript (Motley Fool)</t>
  </si>
  <si>
    <t xml:space="preserve">S.23</t>
  </si>
  <si>
    <t xml:space="preserve">Project AI-capex build (adhoc/nvda_customer_capex.json + .md, as of 2026-10-05; META-5 row fixed 2026-10-25): Big-4 2025 actuals and the CY2026-28 base scenario used in the NVDA driver set (Kilian card 2026-10-25 23:28Z "Keep our build")</t>
  </si>
  <si>
    <t xml:space="preserve">2026-10-25</t>
  </si>
  <si>
    <t xml:space="preserve">/mnt/project-files/adhoc/nvda_customer_capex.md</t>
  </si>
  <si>
    <t xml:space="preserve">S.24</t>
  </si>
  <si>
    <t xml:space="preserve">Alphabet Q4 2025 earnings call (2025 capex $91.4B)</t>
  </si>
  <si>
    <t xml:space="preserve">2026-02-04</t>
  </si>
  <si>
    <t xml:space="preserve">https://abc.xyz/investor/events/event-details/2026/2025-Q4-Earnings-Call-2026-Dr_C033hS6/default.aspx</t>
  </si>
  <si>
    <t xml:space="preserve">S.25</t>
  </si>
  <si>
    <t xml:space="preserve">Meta Q4 2025 results (8-K Ex-99.1; 2025 capex $72.22B)</t>
  </si>
  <si>
    <t xml:space="preserve">2026-01-28</t>
  </si>
  <si>
    <t xml:space="preserve">https://www.sec.gov/Archives/edgar/data/1326801/000162828026003832/meta-12312025xexhibit991.htm</t>
  </si>
  <si>
    <t xml:space="preserve">S.26</t>
  </si>
  <si>
    <t xml:space="preserve">Amazon Q4 2025 results (8-K Ex-99.1; 2025 purchases of P&amp;E $131.8B)</t>
  </si>
  <si>
    <t xml:space="preserve">2026-02-05</t>
  </si>
  <si>
    <t xml:space="preserve">https://www.sec.gov/Archives/edgar/data/1018724/000101872426000002/amzn-20251231xex991.htm</t>
  </si>
  <si>
    <t xml:space="preserve">S.27</t>
  </si>
  <si>
    <t xml:space="preserve">Peer comps table runs/2026-10-23/CRDO/peers.md (peers.py: SEC XBRL trailing figures, Yahoo last close, Nasdaq.com/Zacks consensus EPS snapshots 2026-10-26)</t>
  </si>
  <si>
    <t xml:space="preserve">/mnt/project-files/valuation/runs/2026-10-23/CRDO/peers.md</t>
  </si>
  <si>
    <t xml:space="preserve">S.28</t>
  </si>
  <si>
    <t xml:space="preserve">Nasdaq.com analyst earnings forecast for CRDO (Zacks consensus EPS FY27 $5.02, FY28 $8.30, 6 estimates each): saved snapshot retrieved 2026-10-26T06:02:23Z from https://api.nasdaq.com/api/analyst/CRDO/earnings-forecast</t>
  </si>
  <si>
    <t xml:space="preserve">/mnt/project-files/valuation/data/estimates/CRDO.json</t>
  </si>
  <si>
    <t xml:space="preserve">S.29</t>
  </si>
  <si>
    <t xml:space="preserve">Yahoo Finance daily chart feed for CRDO, 2026-09-01 to 2026-10-23 (2026-09-14 close $150.09; 2026-10-23 close $147.29)</t>
  </si>
  <si>
    <t xml:space="preserve">https://query1.finance.yahoo.com/v8/finance/chart/CRDO?period1=1788220800&amp;period2=1792972800&amp;interval=1d</t>
  </si>
  <si>
    <t xml:space="preserve">S.30</t>
  </si>
  <si>
    <t xml:space="preserve">Credo Form 10-K for fiscal 2025 (ended 2025-05-03): revenue by type (product sales $412.2M, product engineering services $12.1M, IP license $12.5M) and AEC &gt;95% of the product-sales increase</t>
  </si>
  <si>
    <t xml:space="preserve">2025-07-02</t>
  </si>
  <si>
    <t xml:space="preserve">https://www.sec.gov/Archives/edgar/data/1807794/000162828025033813/crdo-20250503.htm</t>
  </si>
  <si>
    <t xml:space="preserve">S.31</t>
  </si>
  <si>
    <t xml:space="preserve">POET Technologies Form 20-F FY2025, Item 4.B Target Markets, quoting LightCounting's January 2026 forecast: 'The AI cluster Ethernet optics market ... is $26 billion in 2026, up ~60% year-over-year from $16.5 billion in 2025' (replaces the LightCounting newsletter page, HTTP 403)</t>
  </si>
  <si>
    <t xml:space="preserve">2026-03-31</t>
  </si>
  <si>
    <t xml:space="preserve">https://www.sec.gov/Archives/edgar/data/1437424/000149315226014253/form20-f.htm</t>
  </si>
  <si>
    <t xml:space="preserve">S.32</t>
  </si>
  <si>
    <t xml:space="preserve">Lightwave, 'Ethernet optical transceiver set to grow 120% in 2026' (LightCounting forecast: +120% in 2026, growth declining to +76% in 2027 and 20% by 2031; LightCounting assumes cloud capex +50% in 2027)</t>
  </si>
  <si>
    <t xml:space="preserve">2026-10-08</t>
  </si>
  <si>
    <t xml:space="preserve">https://www.lightwaveonline.com/home/news/55410716/ethernet-optical-transceiver-set-to-grow-120-in-2026</t>
  </si>
  <si>
    <t xml:space="preserve">S.33</t>
  </si>
  <si>
    <t xml:space="preserve">Lightwave, 'AI scale-up raises the stakes for transceivers and CPO adoption' (LightCounting 'Optics for AI Clusters': optics sales to the top five cloud providers 3.1% of their capex in 2026, up from 2.7% in 2025, 4.1% by 2031; prints $8B for 2025 sales and $20B for 2030) (replaces the LightCounting April newsletter page, HTTP 403)</t>
  </si>
  <si>
    <t xml:space="preserve">2026-03-10</t>
  </si>
  <si>
    <t xml:space="preserve">https://lightwaveonline.com/home/article/55362899/ai-scale-up-raises-the-stakes-for-transceivers-and-cpo-adoption</t>
  </si>
  <si>
    <t xml:space="preserve">S.34</t>
  </si>
  <si>
    <t xml:space="preserve">Credo press release, 'Credo Agrees to Acquire DustPhotonics': $750M cash and ~0.92M shares upfront, plus up to ~3.21M additional shares on certain financial milestones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</si>
</sst>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;&quot;($&quot;#,##0.00\);\-"/>
    <numFmt numFmtId="166" formatCode="0.0%;\(0.0%\);\-"/>
    <numFmt numFmtId="167" formatCode="0"/>
    <numFmt numFmtId="168" formatCode="0.0000"/>
    <numFmt numFmtId="169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0"/>
      <color rgb="FF6B6B6B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5E7EB"/>
        <bgColor rgb="FFEAF3EA"/>
      </patternFill>
    </fill>
    <fill>
      <patternFill patternType="solid">
        <fgColor rgb="FFFFFF00"/>
        <bgColor rgb="FFFFFF00"/>
      </patternFill>
    </fill>
    <fill>
      <patternFill patternType="solid">
        <fgColor rgb="FFEAF3EA"/>
        <bgColor rgb="FFE5E7EB"/>
      </patternFill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F3EA"/>
      <rgbColor rgb="FFE5E7E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sec.gov/Archives/edgar/data/0001807794/000162828026059795/credoq12027ex-991.htm" TargetMode="External"/><Relationship Id="rId2" Type="http://schemas.openxmlformats.org/officeDocument/2006/relationships/hyperlink" Target="https://www.stocktitan.net/sec-filings/CRDO/10-q-credo-technology-group-holding-ltd-quarterly-earnings-report-e3835cfa9203.html" TargetMode="External"/><Relationship Id="rId3" Type="http://schemas.openxmlformats.org/officeDocument/2006/relationships/hyperlink" Target="https://www.fool.com/earnings/call-transcripts/2026/09/08/credo-crdo-q1-2027-earnings-call-transcript/" TargetMode="External"/><Relationship Id="rId4" Type="http://schemas.openxmlformats.org/officeDocument/2006/relationships/hyperlink" Target="https://ca.investing.com/news/stock-market-news/why-is-credo-technology-stock-rallying-today-93CH-4846693" TargetMode="External"/><Relationship Id="rId5" Type="http://schemas.openxmlformats.org/officeDocument/2006/relationships/hyperlink" Target="https://newsletter.semianalysis.com/p/aws-trainium3-deep-dive-a-potential" TargetMode="External"/><Relationship Id="rId6" Type="http://schemas.openxmlformats.org/officeDocument/2006/relationships/hyperlink" Target="https://www.fool.com/coverage/better-buy/2026/09/14/credo-technology-group-vs-marvell-technology-which-semiconductor-stock-is-a-better-buy-in-2026/" TargetMode="External"/><Relationship Id="rId7" Type="http://schemas.openxmlformats.org/officeDocument/2006/relationships/hyperlink" Target="https://stockanalysis.com/stocks/crdo/forecast/" TargetMode="External"/><Relationship Id="rId8" Type="http://schemas.openxmlformats.org/officeDocument/2006/relationships/hyperlink" Target="https://www.businesswire.com/news/home/20260601641616/en/Credo-Technology-Group-Holding-Ltd-Reports-Fourth-Quarter-and-Fiscal-Year-2026-Financial-Results" TargetMode="External"/><Relationship Id="rId9" Type="http://schemas.openxmlformats.org/officeDocument/2006/relationships/hyperlink" Target="https://247wallst.com/investing/2026/09/21/credo-technology-crashed-for-3-months-this-wall-street-pro-says-its-about-to-double/" TargetMode="External"/><Relationship Id="rId10" Type="http://schemas.openxmlformats.org/officeDocument/2006/relationships/hyperlink" Target="https://www.bloomberg.com/news/articles/2026-09-25/goldman-sees-hyperscaler-ai-capex-rising-50-to-1-2-trillion" TargetMode="External"/><Relationship Id="rId11" Type="http://schemas.openxmlformats.org/officeDocument/2006/relationships/hyperlink" Target="https://www.sec.gov/Archives/edgar/data/0001807794/000162828026059795/credoq12027ex-991.htm" TargetMode="External"/><Relationship Id="rId12" Type="http://schemas.openxmlformats.org/officeDocument/2006/relationships/hyperlink" Target="https://www.stocktitan.net/sec-filings/CRDO/10-q-credo-technology-group-holding-ltd-quarterly-earnings-report-e3835cfa9203.html" TargetMode="External"/><Relationship Id="rId13" Type="http://schemas.openxmlformats.org/officeDocument/2006/relationships/hyperlink" Target="https://www.fool.com/earnings/call-transcripts/2026/09/08/credo-crdo-q1-2027-earnings-call-transcript/" TargetMode="External"/><Relationship Id="rId14" Type="http://schemas.openxmlformats.org/officeDocument/2006/relationships/hyperlink" Target="https://investors.credosemi.com/news-events/news/news-details/2026/Credo-Agrees-to-Acquire-DustPhotonics-Accelerating-Expansion-into-Silicon-Photonics-and-Next-Generation-Optical-Connectivity/default.aspx" TargetMode="External"/><Relationship Id="rId15" Type="http://schemas.openxmlformats.org/officeDocument/2006/relationships/hyperlink" Target="https://www.sec.gov/Archives/edgar/data/0001807794/000162828026039474/credoq42026ex-991.htm" TargetMode="External"/><Relationship Id="rId16" Type="http://schemas.openxmlformats.org/officeDocument/2006/relationships/hyperlink" Target="https://www.trefis.com/stock/crdo/articles/616737/a-9-day-winning-streak-has-credo-technology-stock-up-41/2026-09-26" TargetMode="External"/><Relationship Id="rId17" Type="http://schemas.openxmlformats.org/officeDocument/2006/relationships/hyperlink" Target="https://ca.investing.com/news/stock-market-news/why-is-credo-technology-stock-rallying-today-93CH-4846693" TargetMode="External"/><Relationship Id="rId18" Type="http://schemas.openxmlformats.org/officeDocument/2006/relationships/hyperlink" Target="https://spheniscidae007.substack.com/p/credo-technology-group-holding-ltd" TargetMode="External"/><Relationship Id="rId19" Type="http://schemas.openxmlformats.org/officeDocument/2006/relationships/hyperlink" Target="https://stockpicker.tech/analysis/crdo-stock-will-the-1-6t-optical-transition-destroy-credos-aec-moat" TargetMode="External"/><Relationship Id="rId20" Type="http://schemas.openxmlformats.org/officeDocument/2006/relationships/hyperlink" Target="https://www.fool.com/investing/2026/09/02/why-credo-technology-stock-plunged-20-today/" TargetMode="External"/><Relationship Id="rId21" Type="http://schemas.openxmlformats.org/officeDocument/2006/relationships/hyperlink" Target="https://www.bloomberg.com/news/articles/2026-09-25/goldman-sees-hyperscaler-ai-capex-rising-50-to-1-2-trillion" TargetMode="External"/><Relationship Id="rId22" Type="http://schemas.openxmlformats.org/officeDocument/2006/relationships/hyperlink" Target="https://investors.credosemi.com/news-events/news/news-details/2026/Credo-Technology-Group-Holding-Ltd-Reports-First-Quarter-of-Fiscal-Year-2027-Financial-Results/" TargetMode="External"/><Relationship Id="rId23" Type="http://schemas.openxmlformats.org/officeDocument/2006/relationships/hyperlink" Target="https://www.fool.com/earnings/call-transcripts/2026/09/08/credo-crdo-q1-2027-earnings-call-transcript/" TargetMode="External"/><Relationship Id="rId24" Type="http://schemas.openxmlformats.org/officeDocument/2006/relationships/hyperlink" Target="https://finance.yahoo.com/markets/stocks/articles/credo-technology-group-holding-ltd-050030303.html" TargetMode="External"/><Relationship Id="rId25" Type="http://schemas.openxmlformats.org/officeDocument/2006/relationships/hyperlink" Target="https://www.sec.gov/Archives/edgar/data/0001807794/000162828026059795/credoq12027ex-991.htm" TargetMode="External"/><Relationship Id="rId26" Type="http://schemas.openxmlformats.org/officeDocument/2006/relationships/hyperlink" Target="https://www.stocktitan.net/sec-filings/CRDO/10-q-credo-technology-group-holding-ltd-quarterly-earnings-report-e3835cfa9203.html" TargetMode="External"/><Relationship Id="rId27" Type="http://schemas.openxmlformats.org/officeDocument/2006/relationships/hyperlink" Target="https://www.benzinga.com/markets/tech/26/09/61597084/whats-going-on-with-credo-technology-stock-thursday" TargetMode="External"/><Relationship Id="rId28" Type="http://schemas.openxmlformats.org/officeDocument/2006/relationships/hyperlink" Target="https://simplywall.st/stocks/us/semiconductors/nasdaq-crdo/credo-technology-group-holding/future" TargetMode="External"/><Relationship Id="rId29" Type="http://schemas.openxmlformats.org/officeDocument/2006/relationships/hyperlink" Target="https://uk.investing.com/news/stock-market-news/credo-tech-stock-price-target-lowered-to-245-by-mizuho-on-valuation-93CH-4875589" TargetMode="External"/><Relationship Id="rId30" Type="http://schemas.openxmlformats.org/officeDocument/2006/relationships/hyperlink" Target="https://www.tipranks.com/news/article/mizuho-slashes-credo-technology-stock-price-target-heres-why-it-is-still-bullish" TargetMode="External"/><Relationship Id="rId31" Type="http://schemas.openxmlformats.org/officeDocument/2006/relationships/hyperlink" Target="https://semifundamental.substack.com/p/active-electrical-cable-aec-fundamentals" TargetMode="External"/><Relationship Id="rId32" Type="http://schemas.openxmlformats.org/officeDocument/2006/relationships/hyperlink" Target="https://www.marvell.com/blogs/golden-cable-initiative-hyperscale-cable-partner-ecosystem.html" TargetMode="External"/><Relationship Id="rId33" Type="http://schemas.openxmlformats.org/officeDocument/2006/relationships/hyperlink" Target="https://www.fool.com/investing/2026/09/02/why-credo-technology-stock-plunged-20-today/" TargetMode="External"/><Relationship Id="rId34" Type="http://schemas.openxmlformats.org/officeDocument/2006/relationships/hyperlink" Target="https://www.trefis.com/stock/crdo/articles/616737/a-9-day-winning-streak-has-credo-technology-stock-up-41/2026-09-26" TargetMode="External"/><Relationship Id="rId35" Type="http://schemas.openxmlformats.org/officeDocument/2006/relationships/hyperlink" Target="https://www.businesswire.com/news/home/20260413933103/en/Credo-Agrees-to-Acquire-DustPhotonics-Accelerating-Expansion-into-Silicon-Photonics-and-Next-Generation-Optical-Connectivity" TargetMode="External"/><Relationship Id="rId36" Type="http://schemas.openxmlformats.org/officeDocument/2006/relationships/hyperlink" Target="https://stockanalysis.com/stocks/crdo/forecast/" TargetMode="External"/><Relationship Id="rId37" Type="http://schemas.openxmlformats.org/officeDocument/2006/relationships/hyperlink" Target="https://www.sec.gov/Archives/edgar/data/0001807794/000162828026059795/credoq12027ex-991.htm" TargetMode="External"/><Relationship Id="rId38" Type="http://schemas.openxmlformats.org/officeDocument/2006/relationships/hyperlink" Target="https://www.sec.gov/Archives/edgar/data/0001807794/000162828026060111/crdo-20260801.htm" TargetMode="External"/><Relationship Id="rId39" Type="http://schemas.openxmlformats.org/officeDocument/2006/relationships/hyperlink" Target="https://finance.yahoo.com/markets/stocks/articles/credo-236-million-adjusted-profit-154239820.html" TargetMode="External"/><Relationship Id="rId40" Type="http://schemas.openxmlformats.org/officeDocument/2006/relationships/hyperlink" Target="https://www.fool.com/earnings/call-transcripts/2026/09/08/credo-crdo-q1-2027-earnings-call-transcript/" TargetMode="External"/><Relationship Id="rId41" Type="http://schemas.openxmlformats.org/officeDocument/2006/relationships/hyperlink" Target="https://uk.investing.com/news/stock-market-news/credo-tech-stock-price-target-lowered-to-245-by-mizuho-on-valuation-93CH-4875589" TargetMode="External"/><Relationship Id="rId42" Type="http://schemas.openxmlformats.org/officeDocument/2006/relationships/hyperlink" Target="https://www.tipranks.com/news/article/mizuho-slashes-credo-technology-stock-price-target-heres-why-it-is-still-bullish" TargetMode="External"/><Relationship Id="rId43" Type="http://schemas.openxmlformats.org/officeDocument/2006/relationships/hyperlink" Target="https://iamfabian.substack.com/p/my-pre-earnings-deep-dive-marvell" TargetMode="External"/><Relationship Id="rId44" Type="http://schemas.openxmlformats.org/officeDocument/2006/relationships/hyperlink" Target="https://www.businesswire.com/news/home/20260601641616/en/Credo-Technology-Group-Holding-Ltd-Reports-Fourth-Quarter-and-Fiscal-Year-2026-Financial-Results" TargetMode="External"/><Relationship Id="rId45" Type="http://schemas.openxmlformats.org/officeDocument/2006/relationships/hyperlink" Target="https://www.fool.com/investing/2026/09/02/why-credo-technology-stock-plunged-20-today/" TargetMode="External"/><Relationship Id="rId46" Type="http://schemas.openxmlformats.org/officeDocument/2006/relationships/hyperlink" Target="https://www.trefis.com/stock/crdo/articles/616737/a-9-day-winning-streak-has-credo-technology-stock-up-41/2026-09-26" TargetMode="External"/><Relationship Id="rId47" Type="http://schemas.openxmlformats.org/officeDocument/2006/relationships/hyperlink" Target="https://investors.credosemi.com/news-events/news/news-details/2026/Credo-Completes-Acquisition-of-DustPhotonics/default.aspx" TargetMode="External"/><Relationship Id="rId48" Type="http://schemas.openxmlformats.org/officeDocument/2006/relationships/hyperlink" Target="https://www.viksnewsletter.com/p/cpo-fears-credo-and-role-of-aec-in-cpo-era" TargetMode="External"/><Relationship Id="rId49" Type="http://schemas.openxmlformats.org/officeDocument/2006/relationships/hyperlink" Target="https://www.sec.gov/Archives/edgar/data/0001807794/000162828026059795/credoq12027ex-991.htm" TargetMode="External"/><Relationship Id="rId50" Type="http://schemas.openxmlformats.org/officeDocument/2006/relationships/hyperlink" Target="https://www.fool.com/earnings/call-transcripts/2026/09/08/credo-crdo-q1-2027-earnings-call-transcript/" TargetMode="External"/><Relationship Id="rId51" Type="http://schemas.openxmlformats.org/officeDocument/2006/relationships/hyperlink" Target="https://finance.yahoo.com/markets/stocks/articles/credo-technology-group-holding-ltd-050030303.html" TargetMode="External"/><Relationship Id="rId52" Type="http://schemas.openxmlformats.org/officeDocument/2006/relationships/hyperlink" Target="https://247wallst.com/investing/2026/09/21/credo-technology-crashed-for-3-months-this-wall-street-pro-says-its-about-to-double/" TargetMode="External"/><Relationship Id="rId53" Type="http://schemas.openxmlformats.org/officeDocument/2006/relationships/hyperlink" Target="https://finance.yahoo.com/technology/articles/credo-technologys-scale-push-drive-160000696.html" TargetMode="External"/><Relationship Id="rId54" Type="http://schemas.openxmlformats.org/officeDocument/2006/relationships/hyperlink" Target="https://stockanalysis.com/stocks/crdo/forecast/" TargetMode="External"/><Relationship Id="rId55" Type="http://schemas.openxmlformats.org/officeDocument/2006/relationships/hyperlink" Target="https://www.trefis.com/stock/crdo/articles/616737/a-9-day-winning-streak-has-credo-technology-stock-up-41/2026-09-26" TargetMode="External"/><Relationship Id="rId56" Type="http://schemas.openxmlformats.org/officeDocument/2006/relationships/hyperlink" Target="https://newsletter.semianalysis.com/p/aws-trainium3-deep-dive-a-potential" TargetMode="External"/><Relationship Id="rId57" Type="http://schemas.openxmlformats.org/officeDocument/2006/relationships/hyperlink" Target="https://finance.yahoo.com/markets/stocks/articles/crdo-vs-mrvl-ai-connectivity-141300659.html" TargetMode="External"/><Relationship Id="rId58" Type="http://schemas.openxmlformats.org/officeDocument/2006/relationships/hyperlink" Target="https://ca.investing.com/news/stock-market-news/why-is-credo-technology-stock-rallying-today-93CH-4846693" TargetMode="External"/><Relationship Id="rId59" Type="http://schemas.openxmlformats.org/officeDocument/2006/relationships/hyperlink" Target="https://simplywall.st/stocks/us/semiconductors/nasdaq-crdo/credo-technology-group-holding/future" TargetMode="External"/><Relationship Id="rId60" Type="http://schemas.openxmlformats.org/officeDocument/2006/relationships/hyperlink" Target="https://www.viksnewsletter.com/p/cpo-fears-credo-and-role-of-aec-in-cpo-era" TargetMode="External"/><Relationship Id="rId61" Type="http://schemas.openxmlformats.org/officeDocument/2006/relationships/hyperlink" Target="https://247wallst.com/investing/2026/09/21/credo-technology-crashed-for-3-months-this-wall-street-pro-says-its-about-to-double/" TargetMode="External"/><Relationship Id="rId62" Type="http://schemas.openxmlformats.org/officeDocument/2006/relationships/hyperlink" Target="https://seekingalpha.com/article/4940940-credo-is-entering-its-hardest-test" TargetMode="External"/><Relationship Id="rId63" Type="http://schemas.openxmlformats.org/officeDocument/2006/relationships/hyperlink" Target="https://stockanalysis.com/stocks/crdo/forecast/" TargetMode="External"/><Relationship Id="rId64" Type="http://schemas.openxmlformats.org/officeDocument/2006/relationships/hyperlink" Target="https://alcapitaladvisory.com/research/equities/crdo.html" TargetMode="External"/><Relationship Id="rId65" Type="http://schemas.openxmlformats.org/officeDocument/2006/relationships/hyperlink" Target="https://www.tipranks.com/stocks/crdo/earnings" TargetMode="External"/><Relationship Id="rId66" Type="http://schemas.openxmlformats.org/officeDocument/2006/relationships/hyperlink" Target="https://ca.investing.com/news/stock-market-news/why-is-credo-technology-stock-rallying-today-93CH-4846693" TargetMode="External"/><Relationship Id="rId67" Type="http://schemas.openxmlformats.org/officeDocument/2006/relationships/hyperlink" Target="https://www.trefis.com/stock/crdo/articles/616737/a-9-day-winning-streak-has-credo-technology-stock-up-41/2026-09-26" TargetMode="External"/><Relationship Id="rId68" Type="http://schemas.openxmlformats.org/officeDocument/2006/relationships/hyperlink" Target="https://www.fool.com/investing/2026/09/06/hyperscalers-driving-ai-capex-cash-flow/" TargetMode="External"/><Relationship Id="rId69" Type="http://schemas.openxmlformats.org/officeDocument/2006/relationships/hyperlink" Target="https://www.datacenterdynamics.com/en/news/moodys-hyperscaler-capex-forecasts-marked-up-by-85bn-to-close-in-on-1trn-by-2027/" TargetMode="External"/><Relationship Id="rId70" Type="http://schemas.openxmlformats.org/officeDocument/2006/relationships/hyperlink" Target="https://www.sec.gov/Archives/edgar/data/0001807794/000162828026059795/credoq12027ex-991.htm" TargetMode="External"/><Relationship Id="rId71" Type="http://schemas.openxmlformats.org/officeDocument/2006/relationships/hyperlink" Target="https://www.sec.gov/Archives/edgar/data/1807794/000162828026060111/crdo-20260801.htm" TargetMode="External"/><Relationship Id="rId72" Type="http://schemas.openxmlformats.org/officeDocument/2006/relationships/hyperlink" Target="https://www.sec.gov/Archives/edgar/data/1807794/000162828026043303/crdo-20260502.htm" TargetMode="External"/><Relationship Id="rId73" Type="http://schemas.openxmlformats.org/officeDocument/2006/relationships/hyperlink" Target="https://www.sec.gov/Archives/edgar/data/1807794/000162828026039474/credoq42026ex-991.htm" TargetMode="External"/><Relationship Id="rId74" Type="http://schemas.openxmlformats.org/officeDocument/2006/relationships/hyperlink" Target="https://www.sec.gov/Archives/edgar/data/1807794/000162828026013205/credoq32026ex-9911.htm" TargetMode="External"/><Relationship Id="rId75" Type="http://schemas.openxmlformats.org/officeDocument/2006/relationships/hyperlink" Target="https://www.sec.gov/Archives/edgar/data/1807794/000162828026006370/feb20268-kex991.htm" TargetMode="External"/><Relationship Id="rId76" Type="http://schemas.openxmlformats.org/officeDocument/2006/relationships/hyperlink" Target="https://www.sec.gov/Archives/edgar/data/1807794/000162828025054428/credoq22026ex-991.htm" TargetMode="External"/><Relationship Id="rId77" Type="http://schemas.openxmlformats.org/officeDocument/2006/relationships/hyperlink" Target="https://www.sec.gov/Archives/edgar/data/1807794/000180779425000018/credoq12026ex-991.htm" TargetMode="External"/><Relationship Id="rId78" Type="http://schemas.openxmlformats.org/officeDocument/2006/relationships/hyperlink" Target="https://www.sec.gov/Archives/edgar/data/1807794/000162828025028827/credoq42025ex-991.htm" TargetMode="External"/><Relationship Id="rId79" Type="http://schemas.openxmlformats.org/officeDocument/2006/relationships/hyperlink" Target="https://www.sec.gov/Archives/edgar/data/1807794/000162828025009813/credoq32025ex-991.htm" TargetMode="External"/><Relationship Id="rId80" Type="http://schemas.openxmlformats.org/officeDocument/2006/relationships/hyperlink" Target="https://www.sec.gov/Archives/edgar/data/1807794/000162828024049564/credoq22025ex-991.htm" TargetMode="External"/><Relationship Id="rId81" Type="http://schemas.openxmlformats.org/officeDocument/2006/relationships/hyperlink" Target="https://www.sec.gov/Archives/edgar/data/1807794/000162828024039309/credoq12025ex-991.htm" TargetMode="External"/><Relationship Id="rId82" Type="http://schemas.openxmlformats.org/officeDocument/2006/relationships/hyperlink" Target="https://www.fool.com/earnings/call-transcripts/2026/09/08/credo-crdo-q1-2027-earnings-call-transcript/" TargetMode="External"/><Relationship Id="rId83" Type="http://schemas.openxmlformats.org/officeDocument/2006/relationships/hyperlink" Target="https://abc.xyz/investor/events/event-details/2026/2025-Q4-Earnings-Call-2026-Dr_C033hS6/default.aspx" TargetMode="External"/><Relationship Id="rId84" Type="http://schemas.openxmlformats.org/officeDocument/2006/relationships/hyperlink" Target="https://www.sec.gov/Archives/edgar/data/1326801/000162828026003832/meta-12312025xexhibit991.htm" TargetMode="External"/><Relationship Id="rId85" Type="http://schemas.openxmlformats.org/officeDocument/2006/relationships/hyperlink" Target="https://www.sec.gov/Archives/edgar/data/1018724/000101872426000002/amzn-20251231xex991.htm" TargetMode="External"/><Relationship Id="rId86" Type="http://schemas.openxmlformats.org/officeDocument/2006/relationships/hyperlink" Target="https://query1.finance.yahoo.com/v8/finance/chart/CRDO?period1=1788220800&amp;period2=1792972800&amp;interval=1d" TargetMode="External"/><Relationship Id="rId87" Type="http://schemas.openxmlformats.org/officeDocument/2006/relationships/hyperlink" Target="https://www.sec.gov/Archives/edgar/data/1807794/000162828025033813/crdo-20250503.htm" TargetMode="External"/><Relationship Id="rId88" Type="http://schemas.openxmlformats.org/officeDocument/2006/relationships/hyperlink" Target="https://www.sec.gov/Archives/edgar/data/1437424/000149315226014253/form20-f.htm" TargetMode="External"/><Relationship Id="rId89" Type="http://schemas.openxmlformats.org/officeDocument/2006/relationships/hyperlink" Target="https://www.lightwaveonline.com/home/news/55410716/ethernet-optical-transceiver-set-to-grow-120-in-2026" TargetMode="External"/><Relationship Id="rId90" Type="http://schemas.openxmlformats.org/officeDocument/2006/relationships/hyperlink" Target="https://lightwaveonline.com/home/article/55362899/ai-scale-up-raises-the-stakes-for-transceivers-and-cpo-adoption" TargetMode="External"/><Relationship Id="rId91" Type="http://schemas.openxmlformats.org/officeDocument/2006/relationships/hyperlink" Target="https://investors.credosemi.com/news-events/news/news-details/2026/Credo-Agrees-to-Acquire-DustPhotonics-Accelerating-Expansion-into-Silicon-Photonics-and-Next-Generation-Optical-Connectivity/default.asp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4"/>
      <c r="D4" s="3" t="s">
        <v>4</v>
      </c>
    </row>
    <row r="5" customFormat="false" ht="15" hidden="false" customHeight="false" outlineLevel="0" collapsed="false">
      <c r="A5" s="5" t="s">
        <v>5</v>
      </c>
      <c r="B5" s="6" t="n">
        <v>150.99</v>
      </c>
      <c r="D5" s="7" t="s">
        <v>6</v>
      </c>
    </row>
    <row r="6" customFormat="false" ht="15" hidden="false" customHeight="false" outlineLevel="0" collapsed="false">
      <c r="A6" s="5" t="s">
        <v>7</v>
      </c>
      <c r="B6" s="8" t="n">
        <v>0.67</v>
      </c>
      <c r="D6" s="7" t="s">
        <v>8</v>
      </c>
    </row>
    <row r="7" customFormat="false" ht="15" hidden="false" customHeight="false" outlineLevel="0" collapsed="false">
      <c r="A7" s="5" t="s">
        <v>9</v>
      </c>
      <c r="B7" s="8" t="n">
        <v>0.33</v>
      </c>
      <c r="D7" s="7" t="s">
        <v>10</v>
      </c>
    </row>
    <row r="8" customFormat="false" ht="23.85" hidden="false" customHeight="false" outlineLevel="0" collapsed="false">
      <c r="A8" s="5" t="s">
        <v>11</v>
      </c>
      <c r="B8" s="8" t="n">
        <v>0</v>
      </c>
      <c r="D8" s="7" t="s">
        <v>12</v>
      </c>
    </row>
    <row r="9" customFormat="false" ht="15" hidden="false" customHeight="false" outlineLevel="0" collapsed="false">
      <c r="A9" s="5" t="s">
        <v>13</v>
      </c>
      <c r="B9" s="9" t="n">
        <v>275</v>
      </c>
      <c r="D9" s="7" t="s">
        <v>14</v>
      </c>
    </row>
    <row r="10" customFormat="false" ht="15" hidden="false" customHeight="false" outlineLevel="0" collapsed="false">
      <c r="A10" s="5" t="s">
        <v>15</v>
      </c>
      <c r="B10" s="10" t="n">
        <v>0</v>
      </c>
      <c r="D10" s="7" t="s">
        <v>16</v>
      </c>
    </row>
    <row r="11" customFormat="false" ht="23.85" hidden="false" customHeight="false" outlineLevel="0" collapsed="false">
      <c r="A11" s="5" t="s">
        <v>17</v>
      </c>
      <c r="B11" s="11" t="n">
        <v>0</v>
      </c>
      <c r="D11" s="7" t="s">
        <v>18</v>
      </c>
    </row>
    <row r="12" customFormat="false" ht="15" hidden="false" customHeight="false" outlineLevel="0" collapsed="false">
      <c r="A12" s="5" t="s">
        <v>19</v>
      </c>
      <c r="B12" s="6" t="n">
        <v>125</v>
      </c>
      <c r="D12" s="7" t="s">
        <v>20</v>
      </c>
    </row>
    <row r="13" customFormat="false" ht="15" hidden="false" customHeight="false" outlineLevel="0" collapsed="false">
      <c r="A13" s="5" t="s">
        <v>21</v>
      </c>
      <c r="B13" s="12" t="n">
        <v>0.8271</v>
      </c>
      <c r="D13" s="7" t="s">
        <v>22</v>
      </c>
    </row>
    <row r="15" customFormat="false" ht="23.85" hidden="false" customHeight="false" outlineLevel="0" collapsed="false">
      <c r="A15" s="5" t="s">
        <v>23</v>
      </c>
      <c r="B15" s="13" t="n">
        <f aca="false">EXP(INDEX(Distribution!$B$6:$B$20,MIN(MAX(IFERROR(MATCH(0.5,Distribution!$C$6:$C$20,-1),1),1),14))+(LN(MIN(MAX(0.5,0.0001),0.9999)/(1-MIN(MAX(0.5,0.0001),0.9999)))-INDEX(Distribution!$P$6:$P$20,MIN(MAX(IFERROR(MATCH(0.5,Distribution!$C$6:$C$20,-1),1),1),14)))/(INDEX(Distribution!$P$6:$P$20,MIN(MAX(IFERROR(MATCH(0.5,Distribution!$C$6:$C$20,-1),1),1),14)+1)-INDEX(Distribution!$P$6:$P$20,MIN(MAX(IFERROR(MATCH(0.5,Distribution!$C$6:$C$20,-1),1),1),14)))*(INDEX(Distribution!$B$6:$B$20,MIN(MAX(IFERROR(MATCH(0.5,Distribution!$C$6:$C$20,-1),1),1),14)+1)-INDEX(Distribution!$B$6:$B$20,MIN(MAX(IFERROR(MATCH(0.5,Distribution!$C$6:$C$20,-1),1),1),14))))</f>
        <v>124.322934523499</v>
      </c>
      <c r="D15" s="7" t="s">
        <v>24</v>
      </c>
    </row>
    <row r="17" customFormat="false" ht="15" hidden="false" customHeight="false" outlineLevel="0" collapsed="false">
      <c r="A17" s="3" t="s">
        <v>25</v>
      </c>
      <c r="B17" s="3" t="s">
        <v>26</v>
      </c>
      <c r="C17" s="3" t="s">
        <v>27</v>
      </c>
      <c r="D17" s="3" t="s">
        <v>28</v>
      </c>
    </row>
    <row r="18" customFormat="false" ht="15" hidden="false" customHeight="false" outlineLevel="0" collapsed="false">
      <c r="A18" s="5" t="s">
        <v>29</v>
      </c>
      <c r="B18" s="13" t="n">
        <f aca="false">Methods!C8</f>
        <v>223.8</v>
      </c>
      <c r="C18" s="13" t="n">
        <f aca="false">Methods!E8</f>
        <v>224</v>
      </c>
    </row>
    <row r="19" customFormat="false" ht="15" hidden="false" customHeight="false" outlineLevel="0" collapsed="false">
      <c r="A19" s="5" t="s">
        <v>30</v>
      </c>
      <c r="B19" s="13" t="n">
        <f aca="false">Methods!C13</f>
        <v>230.9</v>
      </c>
      <c r="C19" s="13" t="n">
        <f aca="false">Methods!E13</f>
        <v>231</v>
      </c>
    </row>
    <row r="20" customFormat="false" ht="15" hidden="false" customHeight="false" outlineLevel="0" collapsed="false">
      <c r="A20" s="5" t="s">
        <v>31</v>
      </c>
      <c r="B20" s="13" t="n">
        <f aca="false">Methods!C18</f>
        <v>220.3</v>
      </c>
      <c r="C20" s="13" t="n">
        <f aca="false">Methods!E18</f>
        <v>220</v>
      </c>
    </row>
    <row r="21" customFormat="false" ht="15" hidden="false" customHeight="false" outlineLevel="0" collapsed="false">
      <c r="A21" s="5" t="s">
        <v>32</v>
      </c>
      <c r="B21" s="13" t="n">
        <f aca="false">Methods!C23</f>
        <v>216</v>
      </c>
      <c r="C21" s="13" t="n">
        <f aca="false">Methods!E23</f>
        <v>216</v>
      </c>
    </row>
    <row r="22" customFormat="false" ht="15" hidden="false" customHeight="false" outlineLevel="0" collapsed="false">
      <c r="A22" s="5" t="s">
        <v>33</v>
      </c>
      <c r="B22" s="13" t="n">
        <f aca="false">Methods!C28</f>
        <v>224.1</v>
      </c>
      <c r="C22" s="13" t="n">
        <f aca="false">Methods!E28</f>
        <v>224</v>
      </c>
    </row>
    <row r="23" customFormat="false" ht="15" hidden="false" customHeight="false" outlineLevel="0" collapsed="false">
      <c r="A23" s="14" t="s">
        <v>34</v>
      </c>
      <c r="B23" s="15" t="n">
        <f aca="false">AVERAGE(B18:B22)</f>
        <v>223.02</v>
      </c>
      <c r="C23" s="15" t="n">
        <f aca="false">AVERAGE(C18:C22)</f>
        <v>223</v>
      </c>
    </row>
    <row r="24" customFormat="false" ht="15" hidden="false" customHeight="false" outlineLevel="0" collapsed="false">
      <c r="A24" s="5" t="s">
        <v>35</v>
      </c>
      <c r="B24" s="16" t="n">
        <f aca="false">MEDIAN(B18:B22)</f>
        <v>223.8</v>
      </c>
      <c r="C24" s="16" t="n">
        <f aca="false">MEDIAN(C18:C22)</f>
        <v>224</v>
      </c>
    </row>
    <row r="25" customFormat="false" ht="102.2" hidden="false" customHeight="false" outlineLevel="0" collapsed="false">
      <c r="A25" s="14" t="s">
        <v>36</v>
      </c>
      <c r="C25" s="17" t="n">
        <v>223</v>
      </c>
      <c r="D25" s="7" t="s">
        <v>37</v>
      </c>
    </row>
    <row r="26" customFormat="false" ht="15" hidden="false" customHeight="false" outlineLevel="0" collapsed="false">
      <c r="A26" s="5" t="s">
        <v>38</v>
      </c>
      <c r="C26" s="18" t="n">
        <f aca="false">C25/Spot-1</f>
        <v>0.476919001258361</v>
      </c>
    </row>
    <row r="28" customFormat="false" ht="15" hidden="false" customHeight="false" outlineLevel="0" collapsed="false">
      <c r="A28" s="3" t="s">
        <v>39</v>
      </c>
      <c r="B28" s="3" t="s">
        <v>40</v>
      </c>
      <c r="C28" s="3" t="s">
        <v>41</v>
      </c>
      <c r="D28" s="3" t="s">
        <v>42</v>
      </c>
    </row>
    <row r="29" customFormat="false" ht="15" hidden="false" customHeight="false" outlineLevel="0" collapsed="false">
      <c r="A29" s="5" t="s">
        <v>43</v>
      </c>
      <c r="B29" s="19" t="n">
        <f aca="false">EXP(INDEX(Distribution!$B$6:$B$20,MIN(MAX(IFERROR(MATCH(0.5,Distribution!$U$6:$U$20,-1),1),1),14))+(LN(MIN(MAX(0.5,0.0001),0.9999)/(1-MIN(MAX(0.5,0.0001),0.9999)))-INDEX(Distribution!$V$6:$V$20,MIN(MAX(IFERROR(MATCH(0.5,Distribution!$U$6:$U$20,-1),1),1),14)))/(INDEX(Distribution!$V$6:$V$20,MIN(MAX(IFERROR(MATCH(0.5,Distribution!$U$6:$U$20,-1),1),1),14)+1)-INDEX(Distribution!$V$6:$V$20,MIN(MAX(IFERROR(MATCH(0.5,Distribution!$U$6:$U$20,-1),1),1),14)))*(INDEX(Distribution!$B$6:$B$20,MIN(MAX(IFERROR(MATCH(0.5,Distribution!$U$6:$U$20,-1),1),1),14)+1)-INDEX(Distribution!$B$6:$B$20,MIN(MAX(IFERROR(MATCH(0.5,Distribution!$U$6:$U$20,-1),1),1),14))))</f>
        <v>153.409390796006</v>
      </c>
      <c r="C29" s="6" t="n">
        <v>161.817</v>
      </c>
      <c r="D29" s="7" t="s">
        <v>44</v>
      </c>
    </row>
    <row r="30" customFormat="false" ht="15" hidden="false" customHeight="false" outlineLevel="0" collapsed="false">
      <c r="A30" s="5" t="s">
        <v>45</v>
      </c>
      <c r="B30" s="19" t="n">
        <f aca="false">EXP(INDEX(Distribution!$B$6:$B$20,MIN(MAX(IFERROR(MATCH(0.25,Distribution!$U$6:$U$20,-1),1),1),14))+(LN(MIN(MAX(0.25,0.0001),0.9999)/(1-MIN(MAX(0.25,0.0001),0.9999)))-INDEX(Distribution!$V$6:$V$20,MIN(MAX(IFERROR(MATCH(0.25,Distribution!$U$6:$U$20,-1),1),1),14)))/(INDEX(Distribution!$V$6:$V$20,MIN(MAX(IFERROR(MATCH(0.25,Distribution!$U$6:$U$20,-1),1),1),14)+1)-INDEX(Distribution!$V$6:$V$20,MIN(MAX(IFERROR(MATCH(0.25,Distribution!$U$6:$U$20,-1),1),1),14)))*(INDEX(Distribution!$B$6:$B$20,MIN(MAX(IFERROR(MATCH(0.25,Distribution!$U$6:$U$20,-1),1),1),14)+1)-INDEX(Distribution!$B$6:$B$20,MIN(MAX(IFERROR(MATCH(0.25,Distribution!$U$6:$U$20,-1),1),1),14))))</f>
        <v>260.010477001752</v>
      </c>
      <c r="C30" s="6" t="n">
        <v>249.2459</v>
      </c>
      <c r="D30" s="7" t="s">
        <v>46</v>
      </c>
    </row>
    <row r="31" customFormat="false" ht="15" hidden="false" customHeight="false" outlineLevel="0" collapsed="false">
      <c r="A31" s="5" t="s">
        <v>47</v>
      </c>
      <c r="B31" s="19" t="n">
        <f aca="false">EXP(INDEX(Distribution!$B$6:$B$20,MIN(MAX(IFERROR(MATCH(0.85,Distribution!$U$6:$U$20,-1),1),1),14))+(LN(MIN(MAX(0.85,0.0001),0.9999)/(1-MIN(MAX(0.85,0.0001),0.9999)))-INDEX(Distribution!$V$6:$V$20,MIN(MAX(IFERROR(MATCH(0.85,Distribution!$U$6:$U$20,-1),1),1),14)))/(INDEX(Distribution!$V$6:$V$20,MIN(MAX(IFERROR(MATCH(0.85,Distribution!$U$6:$U$20,-1),1),1),14)+1)-INDEX(Distribution!$V$6:$V$20,MIN(MAX(IFERROR(MATCH(0.85,Distribution!$U$6:$U$20,-1),1),1),14)))*(INDEX(Distribution!$B$6:$B$20,MIN(MAX(IFERROR(MATCH(0.85,Distribution!$U$6:$U$20,-1),1),1),14)+1)-INDEX(Distribution!$B$6:$B$20,MIN(MAX(IFERROR(MATCH(0.85,Distribution!$U$6:$U$20,-1),1),1),14))))</f>
        <v>62.8414490323061</v>
      </c>
      <c r="C31" s="6" t="n">
        <v>67.1503</v>
      </c>
      <c r="D31" s="7" t="s">
        <v>48</v>
      </c>
    </row>
    <row r="32" customFormat="false" ht="15" hidden="false" customHeight="false" outlineLevel="0" collapsed="false">
      <c r="A32" s="5" t="s">
        <v>49</v>
      </c>
      <c r="B32" s="16" t="n">
        <f aca="false">Spot*EXP(-2*IV30*SQRT(21/252))</f>
        <v>93.6614983897461</v>
      </c>
      <c r="D32" s="7" t="s">
        <v>50</v>
      </c>
    </row>
    <row r="33" customFormat="false" ht="23.85" hidden="false" customHeight="false" outlineLevel="0" collapsed="false">
      <c r="A33" s="14" t="s">
        <v>51</v>
      </c>
      <c r="B33" s="20" t="n">
        <f aca="false">MIN(IF(AND(Thesis_Break&gt;0,Thesis_Break&lt;Spot),MAX(B31,Thesis_Break),B31),B32)</f>
        <v>93.6614983897461</v>
      </c>
      <c r="C33" s="21" t="n">
        <v>93.6615</v>
      </c>
      <c r="D33" s="7" t="s">
        <v>52</v>
      </c>
    </row>
    <row r="34" customFormat="false" ht="15" hidden="false" customHeight="false" outlineLevel="0" collapsed="false">
      <c r="A34" s="5" t="s">
        <v>53</v>
      </c>
      <c r="B34" s="18" t="n">
        <f aca="false">B29/Spot-1</f>
        <v>0.0160235167627412</v>
      </c>
      <c r="C34" s="18" t="n">
        <f aca="false">C29/Spot-1</f>
        <v>0.0717067355454004</v>
      </c>
    </row>
    <row r="35" customFormat="false" ht="15" hidden="false" customHeight="false" outlineLevel="0" collapsed="false">
      <c r="A35" s="5" t="s">
        <v>54</v>
      </c>
      <c r="C35" s="12" t="n">
        <v>0.5358</v>
      </c>
    </row>
    <row r="36" customFormat="false" ht="23.85" hidden="false" customHeight="false" outlineLevel="0" collapsed="false">
      <c r="A36" s="5" t="s">
        <v>55</v>
      </c>
      <c r="C36" s="6" t="n">
        <v>189.3779</v>
      </c>
      <c r="D36" s="7" t="s">
        <v>56</v>
      </c>
    </row>
    <row r="38" customFormat="false" ht="15" hidden="false" customHeight="false" outlineLevel="0" collapsed="false">
      <c r="A38" s="3" t="s">
        <v>57</v>
      </c>
      <c r="B38" s="4"/>
      <c r="C38" s="4"/>
      <c r="D38" s="4"/>
    </row>
    <row r="39" customFormat="false" ht="15" hidden="false" customHeight="false" outlineLevel="0" collapsed="false">
      <c r="A39" s="22" t="s">
        <v>58</v>
      </c>
      <c r="D39" s="2" t="s">
        <v>59</v>
      </c>
    </row>
    <row r="40" customFormat="false" ht="15" hidden="false" customHeight="false" outlineLevel="0" collapsed="false">
      <c r="A40" s="22" t="s">
        <v>60</v>
      </c>
      <c r="D40" s="2" t="s">
        <v>61</v>
      </c>
    </row>
    <row r="41" customFormat="false" ht="15" hidden="false" customHeight="false" outlineLevel="0" collapsed="false">
      <c r="A41" s="22" t="s">
        <v>62</v>
      </c>
      <c r="D41" s="2" t="s">
        <v>63</v>
      </c>
    </row>
    <row r="42" customFormat="false" ht="15" hidden="false" customHeight="false" outlineLevel="0" collapsed="false">
      <c r="A42" s="22" t="s">
        <v>64</v>
      </c>
      <c r="D42" s="2" t="s">
        <v>65</v>
      </c>
    </row>
    <row r="43" customFormat="false" ht="15" hidden="false" customHeight="false" outlineLevel="0" collapsed="false">
      <c r="A43" s="22" t="s">
        <v>66</v>
      </c>
      <c r="D43" s="2" t="s">
        <v>67</v>
      </c>
    </row>
    <row r="44" customFormat="false" ht="15" hidden="false" customHeight="false" outlineLevel="0" collapsed="false">
      <c r="A44" s="22" t="s">
        <v>68</v>
      </c>
      <c r="D44" s="2" t="s">
        <v>69</v>
      </c>
    </row>
    <row r="45" customFormat="false" ht="15" hidden="false" customHeight="false" outlineLevel="0" collapsed="false">
      <c r="A45" s="22" t="s">
        <v>70</v>
      </c>
      <c r="D45" s="2" t="s">
        <v>71</v>
      </c>
    </row>
  </sheetData>
  <hyperlinks>
    <hyperlink ref="A39" location="'Assumptions'!A1" display="Assumptions"/>
    <hyperlink ref="A40" location="'Methods'!A1" display="Methods"/>
    <hyperlink ref="A41" location="'Scenarios'!A1" display="Scenarios"/>
    <hyperlink ref="A42" location="'Distribution'!A1" display="Distribution"/>
    <hyperlink ref="A43" location="'Reasoning'!A1" display="Reasoning"/>
    <hyperlink ref="A44" location="'Supervisor'!A1" display="Supervisor"/>
    <hyperlink ref="A45" location="'Sources'!A1" display="Sourc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4" min="4" style="0" width="85"/>
    <col collapsed="false" customWidth="true" hidden="false" outlineLevel="0" max="7" min="5" style="0" width="28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22"/>
  </cols>
  <sheetData>
    <row r="1" customFormat="false" ht="17.3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73</v>
      </c>
    </row>
    <row r="4" customFormat="false" ht="15" hidden="false" customHeight="false" outlineLevel="0" collapsed="false">
      <c r="A4" s="23" t="s">
        <v>74</v>
      </c>
      <c r="B4" s="23" t="s">
        <v>75</v>
      </c>
      <c r="C4" s="23" t="s">
        <v>3</v>
      </c>
      <c r="D4" s="23" t="s">
        <v>66</v>
      </c>
      <c r="E4" s="23" t="s">
        <v>76</v>
      </c>
      <c r="F4" s="23" t="s">
        <v>77</v>
      </c>
      <c r="G4" s="23" t="s">
        <v>78</v>
      </c>
      <c r="H4" s="23" t="s">
        <v>79</v>
      </c>
      <c r="I4" s="23" t="s">
        <v>80</v>
      </c>
      <c r="J4" s="23" t="s">
        <v>81</v>
      </c>
      <c r="K4" s="23" t="s">
        <v>82</v>
      </c>
    </row>
    <row r="5" customFormat="false" ht="15" hidden="false" customHeight="false" outlineLevel="0" collapsed="false">
      <c r="A5" s="2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8" min="4" style="0" width="10"/>
    <col collapsed="false" customWidth="true" hidden="false" outlineLevel="0" max="11" min="9" style="0" width="11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6"/>
    <col collapsed="false" customWidth="true" hidden="false" outlineLevel="0" max="15" min="15" style="0" width="12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6"/>
    <col collapsed="false" customWidth="true" hidden="false" outlineLevel="0" max="21" min="19" style="0" width="11"/>
    <col collapsed="false" customWidth="true" hidden="false" outlineLevel="0" max="22" min="22" style="0" width="9"/>
    <col collapsed="false" customWidth="true" hidden="false" outlineLevel="0" max="23" min="23" style="0" width="12"/>
  </cols>
  <sheetData>
    <row r="1" customFormat="false" ht="17.35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85</v>
      </c>
    </row>
    <row r="5" customFormat="false" ht="23.85" hidden="false" customHeight="false" outlineLevel="0" collapsed="false">
      <c r="A5" s="23" t="s">
        <v>86</v>
      </c>
      <c r="B5" s="23" t="s">
        <v>87</v>
      </c>
      <c r="C5" s="23" t="s">
        <v>88</v>
      </c>
      <c r="D5" s="23" t="s">
        <v>29</v>
      </c>
      <c r="E5" s="23" t="s">
        <v>30</v>
      </c>
      <c r="F5" s="23" t="s">
        <v>31</v>
      </c>
      <c r="G5" s="23" t="s">
        <v>32</v>
      </c>
      <c r="H5" s="23" t="s">
        <v>33</v>
      </c>
      <c r="I5" s="23" t="s">
        <v>89</v>
      </c>
      <c r="J5" s="23" t="s">
        <v>68</v>
      </c>
      <c r="K5" s="23" t="s">
        <v>90</v>
      </c>
      <c r="L5" s="23" t="s">
        <v>91</v>
      </c>
      <c r="M5" s="23" t="s">
        <v>92</v>
      </c>
      <c r="N5" s="23" t="s">
        <v>93</v>
      </c>
      <c r="O5" s="23" t="s">
        <v>94</v>
      </c>
      <c r="P5" s="23" t="s">
        <v>95</v>
      </c>
      <c r="Q5" s="23" t="s">
        <v>96</v>
      </c>
      <c r="R5" s="23" t="s">
        <v>93</v>
      </c>
      <c r="S5" s="23" t="s">
        <v>97</v>
      </c>
      <c r="T5" s="23" t="s">
        <v>98</v>
      </c>
      <c r="U5" s="23" t="s">
        <v>99</v>
      </c>
      <c r="V5" s="23" t="s">
        <v>100</v>
      </c>
      <c r="W5" s="23" t="s">
        <v>101</v>
      </c>
    </row>
    <row r="6" customFormat="false" ht="15" hidden="false" customHeight="false" outlineLevel="0" collapsed="false">
      <c r="A6" s="6" t="n">
        <v>37.75</v>
      </c>
      <c r="B6" s="24" t="n">
        <f aca="false">LN(A6)</f>
        <v>3.63098547569503</v>
      </c>
      <c r="C6" s="25" t="n">
        <v>0.9252</v>
      </c>
      <c r="D6" s="25" t="n">
        <v>0.987</v>
      </c>
      <c r="E6" s="25" t="n">
        <v>0.9973</v>
      </c>
      <c r="F6" s="25" t="n">
        <v>0.9858</v>
      </c>
      <c r="G6" s="25" t="n">
        <v>0.9816</v>
      </c>
      <c r="H6" s="25" t="n">
        <v>0.9927</v>
      </c>
      <c r="I6" s="24" t="n">
        <f aca="false">AVERAGE(D6:H6)</f>
        <v>0.98888</v>
      </c>
      <c r="J6" s="25" t="n">
        <v>0.9899</v>
      </c>
      <c r="K6" s="24" t="n">
        <f aca="false">IF(AND(Sup_Used=1,ISNUMBER(J6)),J6,I6)</f>
        <v>0.98888</v>
      </c>
      <c r="L6" s="24" t="n">
        <f aca="false">LN(MIN(MAX(K6,0.0001),0.9999)/(1-MIN(MAX(K6,0.0001),0.9999)))</f>
        <v>4.48782770075713</v>
      </c>
      <c r="M6" s="16" t="n">
        <f aca="false">A6*EXP(-Platt_Shift)</f>
        <v>37.75</v>
      </c>
      <c r="N6" s="26" t="n">
        <f aca="false">MIN(MAX(IFERROR(MATCH(M6,Distribution!$A$6:$A$20,1),1),1),14)</f>
        <v>1</v>
      </c>
      <c r="O6" s="24" t="n">
        <f aca="false">1/(1+EXP(-(INDEX(Distribution!$L$6:$L$20,N6)+(LN(M6)-INDEX(Distribution!$B$6:$B$20,N6))/(INDEX(Distribution!$B$6:$B$20,N6+1)-INDEX(Distribution!$B$6:$B$20,N6))*(INDEX(Distribution!$L$6:$L$20,N6+1)-INDEX(Distribution!$L$6:$L$20,N6)))))</f>
        <v>0.98888</v>
      </c>
      <c r="P6" s="24" t="n">
        <f aca="false">LN(MIN(MAX(C6,0.0001),0.9999)/(1-MIN(MAX(C6,0.0001),0.9999)))</f>
        <v>2.51519204537685</v>
      </c>
      <c r="Q6" s="16" t="n">
        <f aca="false">IF(Analyst_Median&gt;0,A6*Market_Median/Analyst_Median,A6)</f>
        <v>17.0661482845894</v>
      </c>
      <c r="R6" s="26" t="n">
        <f aca="false">MIN(MAX(IFERROR(MATCH(Q6,Distribution!$A$6:$A$20,1),1),1),14)</f>
        <v>1</v>
      </c>
      <c r="S6" s="24" t="n">
        <f aca="false">1/(1+EXP(-(INDEX(Distribution!$P$6:$P$20,R6)+(LN(Q6)-INDEX(Distribution!$B$6:$B$20,R6))/(INDEX(Distribution!$B$6:$B$20,R6+1)-INDEX(Distribution!$B$6:$B$20,R6))*(INDEX(Distribution!$P$6:$P$20,R6+1)-INDEX(Distribution!$P$6:$P$20,R6)))))</f>
        <v>0.987000062942345</v>
      </c>
      <c r="T6" s="24" t="n">
        <f aca="false">W_Mkt*C6+W_Agents*O6</f>
        <v>0.9462144</v>
      </c>
      <c r="U6" s="27" t="n">
        <f aca="false">(1-W_Analyst)*T6+W_Analyst*S6</f>
        <v>0.9462144</v>
      </c>
      <c r="V6" s="24" t="n">
        <f aca="false">LN(MIN(MAX(U6,0.0001),0.9999)/(1-MIN(MAX(U6,0.0001),0.9999)))</f>
        <v>2.86746340850268</v>
      </c>
      <c r="W6" s="25" t="n">
        <v>0.952</v>
      </c>
    </row>
    <row r="7" customFormat="false" ht="15" hidden="false" customHeight="false" outlineLevel="0" collapsed="false">
      <c r="A7" s="6" t="n">
        <v>60.4</v>
      </c>
      <c r="B7" s="24" t="n">
        <f aca="false">LN(A7)</f>
        <v>4.10098910494077</v>
      </c>
      <c r="C7" s="25" t="n">
        <v>0.8086</v>
      </c>
      <c r="D7" s="25" t="n">
        <v>0.9588</v>
      </c>
      <c r="E7" s="25" t="n">
        <v>0.9811</v>
      </c>
      <c r="F7" s="25" t="n">
        <v>0.9602</v>
      </c>
      <c r="G7" s="25" t="n">
        <v>0.9463</v>
      </c>
      <c r="H7" s="25" t="n">
        <v>0.9746</v>
      </c>
      <c r="I7" s="24" t="n">
        <f aca="false">AVERAGE(D7:H7)</f>
        <v>0.9642</v>
      </c>
      <c r="J7" s="25" t="n">
        <v>0.9648</v>
      </c>
      <c r="K7" s="24" t="n">
        <f aca="false">IF(AND(Sup_Used=1,ISNUMBER(J7)),J7,I7)</f>
        <v>0.9642</v>
      </c>
      <c r="L7" s="24" t="n">
        <f aca="false">LN(MIN(MAX(K7,0.0001),0.9999)/(1-MIN(MAX(K7,0.0001),0.9999)))</f>
        <v>3.29335084856487</v>
      </c>
      <c r="M7" s="16" t="n">
        <f aca="false">A7*EXP(-Platt_Shift)</f>
        <v>60.4</v>
      </c>
      <c r="N7" s="26" t="n">
        <f aca="false">MIN(MAX(IFERROR(MATCH(M7,Distribution!$A$6:$A$20,1),1),1),14)</f>
        <v>2</v>
      </c>
      <c r="O7" s="24" t="n">
        <f aca="false">1/(1+EXP(-(INDEX(Distribution!$L$6:$L$20,N7)+(LN(M7)-INDEX(Distribution!$B$6:$B$20,N7))/(INDEX(Distribution!$B$6:$B$20,N7+1)-INDEX(Distribution!$B$6:$B$20,N7))*(INDEX(Distribution!$L$6:$L$20,N7+1)-INDEX(Distribution!$L$6:$L$20,N7)))))</f>
        <v>0.9642</v>
      </c>
      <c r="P7" s="24" t="n">
        <f aca="false">LN(MIN(MAX(C7,0.0001),0.9999)/(1-MIN(MAX(C7,0.0001),0.9999)))</f>
        <v>1.44093887818782</v>
      </c>
      <c r="Q7" s="16" t="n">
        <f aca="false">IF(Analyst_Median&gt;0,A7*Market_Median/Analyst_Median,A7)</f>
        <v>27.305837255343</v>
      </c>
      <c r="R7" s="26" t="n">
        <f aca="false">MIN(MAX(IFERROR(MATCH(Q7,Distribution!$A$6:$A$20,1),1),1),14)</f>
        <v>1</v>
      </c>
      <c r="S7" s="24" t="n">
        <f aca="false">1/(1+EXP(-(INDEX(Distribution!$P$6:$P$20,R7)+(LN(Q7)-INDEX(Distribution!$B$6:$B$20,R7))/(INDEX(Distribution!$B$6:$B$20,R7+1)-INDEX(Distribution!$B$6:$B$20,R7))*(INDEX(Distribution!$P$6:$P$20,R7+1)-INDEX(Distribution!$P$6:$P$20,R7)))))</f>
        <v>0.962869259245968</v>
      </c>
      <c r="T7" s="24" t="n">
        <f aca="false">W_Mkt*C7+W_Agents*O7</f>
        <v>0.859948</v>
      </c>
      <c r="U7" s="27" t="n">
        <f aca="false">(1-W_Analyst)*T7+W_Analyst*S7</f>
        <v>0.859948</v>
      </c>
      <c r="V7" s="24" t="n">
        <f aca="false">LN(MIN(MAX(U7,0.0001),0.9999)/(1-MIN(MAX(U7,0.0001),0.9999)))</f>
        <v>1.81485814008497</v>
      </c>
      <c r="W7" s="25" t="n">
        <v>0.8753</v>
      </c>
    </row>
    <row r="8" customFormat="false" ht="15" hidden="false" customHeight="false" outlineLevel="0" collapsed="false">
      <c r="A8" s="6" t="n">
        <v>75.5</v>
      </c>
      <c r="B8" s="24" t="n">
        <f aca="false">LN(A8)</f>
        <v>4.32413265625498</v>
      </c>
      <c r="C8" s="25" t="n">
        <v>0.7268</v>
      </c>
      <c r="D8" s="25" t="n">
        <v>0.9298</v>
      </c>
      <c r="E8" s="25" t="n">
        <v>0.9534</v>
      </c>
      <c r="F8" s="25" t="n">
        <v>0.936</v>
      </c>
      <c r="G8" s="25" t="n">
        <v>0.9124</v>
      </c>
      <c r="H8" s="25" t="n">
        <v>0.9544</v>
      </c>
      <c r="I8" s="24" t="n">
        <f aca="false">AVERAGE(D8:H8)</f>
        <v>0.9372</v>
      </c>
      <c r="J8" s="25" t="n">
        <v>0.9373</v>
      </c>
      <c r="K8" s="24" t="n">
        <f aca="false">IF(AND(Sup_Used=1,ISNUMBER(J8)),J8,I8)</f>
        <v>0.9372</v>
      </c>
      <c r="L8" s="24" t="n">
        <f aca="false">LN(MIN(MAX(K8,0.0001),0.9999)/(1-MIN(MAX(K8,0.0001),0.9999)))</f>
        <v>2.70294163315949</v>
      </c>
      <c r="M8" s="16" t="n">
        <f aca="false">A8*EXP(-Platt_Shift)</f>
        <v>75.5</v>
      </c>
      <c r="N8" s="26" t="n">
        <f aca="false">MIN(MAX(IFERROR(MATCH(M8,Distribution!$A$6:$A$20,1),1),1),14)</f>
        <v>3</v>
      </c>
      <c r="O8" s="24" t="n">
        <f aca="false">1/(1+EXP(-(INDEX(Distribution!$L$6:$L$20,N8)+(LN(M8)-INDEX(Distribution!$B$6:$B$20,N8))/(INDEX(Distribution!$B$6:$B$20,N8+1)-INDEX(Distribution!$B$6:$B$20,N8))*(INDEX(Distribution!$L$6:$L$20,N8+1)-INDEX(Distribution!$L$6:$L$20,N8)))))</f>
        <v>0.9372</v>
      </c>
      <c r="P8" s="24" t="n">
        <f aca="false">LN(MIN(MAX(C8,0.0001),0.9999)/(1-MIN(MAX(C8,0.0001),0.9999)))</f>
        <v>0.978447208825381</v>
      </c>
      <c r="Q8" s="16" t="n">
        <f aca="false">IF(Analyst_Median&gt;0,A8*Market_Median/Analyst_Median,A8)</f>
        <v>34.1322965691787</v>
      </c>
      <c r="R8" s="26" t="n">
        <f aca="false">MIN(MAX(IFERROR(MATCH(Q8,Distribution!$A$6:$A$20,1),1),1),14)</f>
        <v>1</v>
      </c>
      <c r="S8" s="24" t="n">
        <f aca="false">1/(1+EXP(-(INDEX(Distribution!$P$6:$P$20,R8)+(LN(Q8)-INDEX(Distribution!$B$6:$B$20,R8))/(INDEX(Distribution!$B$6:$B$20,R8+1)-INDEX(Distribution!$B$6:$B$20,R8))*(INDEX(Distribution!$P$6:$P$20,R8+1)-INDEX(Distribution!$P$6:$P$20,R8)))))</f>
        <v>0.939655834416207</v>
      </c>
      <c r="T8" s="24" t="n">
        <f aca="false">W_Mkt*C8+W_Agents*O8</f>
        <v>0.796232</v>
      </c>
      <c r="U8" s="27" t="n">
        <f aca="false">(1-W_Analyst)*T8+W_Analyst*S8</f>
        <v>0.796232</v>
      </c>
      <c r="V8" s="24" t="n">
        <f aca="false">LN(MIN(MAX(U8,0.0001),0.9999)/(1-MIN(MAX(U8,0.0001),0.9999)))</f>
        <v>1.3629085088882</v>
      </c>
      <c r="W8" s="25" t="n">
        <v>0.8173</v>
      </c>
    </row>
    <row r="9" customFormat="false" ht="15" hidden="false" customHeight="false" outlineLevel="0" collapsed="false">
      <c r="A9" s="6" t="n">
        <v>90.59</v>
      </c>
      <c r="B9" s="24" t="n">
        <f aca="false">LN(A9)</f>
        <v>4.5063438316812</v>
      </c>
      <c r="C9" s="25" t="n">
        <v>0.649</v>
      </c>
      <c r="D9" s="25" t="n">
        <v>0.8926</v>
      </c>
      <c r="E9" s="25" t="n">
        <v>0.9132</v>
      </c>
      <c r="F9" s="25" t="n">
        <v>0.9029</v>
      </c>
      <c r="G9" s="25" t="n">
        <v>0.8695</v>
      </c>
      <c r="H9" s="25" t="n">
        <v>0.9238</v>
      </c>
      <c r="I9" s="24" t="n">
        <f aca="false">AVERAGE(D9:H9)</f>
        <v>0.9004</v>
      </c>
      <c r="J9" s="25" t="n">
        <v>0.9006</v>
      </c>
      <c r="K9" s="24" t="n">
        <f aca="false">IF(AND(Sup_Used=1,ISNUMBER(J9)),J9,I9)</f>
        <v>0.9004</v>
      </c>
      <c r="L9" s="24" t="n">
        <f aca="false">LN(MIN(MAX(K9,0.0001),0.9999)/(1-MIN(MAX(K9,0.0001),0.9999)))</f>
        <v>2.20167694444202</v>
      </c>
      <c r="M9" s="16" t="n">
        <f aca="false">A9*EXP(-Platt_Shift)</f>
        <v>90.59</v>
      </c>
      <c r="N9" s="26" t="n">
        <f aca="false">MIN(MAX(IFERROR(MATCH(M9,Distribution!$A$6:$A$20,1),1),1),14)</f>
        <v>4</v>
      </c>
      <c r="O9" s="24" t="n">
        <f aca="false">1/(1+EXP(-(INDEX(Distribution!$L$6:$L$20,N9)+(LN(M9)-INDEX(Distribution!$B$6:$B$20,N9))/(INDEX(Distribution!$B$6:$B$20,N9+1)-INDEX(Distribution!$B$6:$B$20,N9))*(INDEX(Distribution!$L$6:$L$20,N9+1)-INDEX(Distribution!$L$6:$L$20,N9)))))</f>
        <v>0.9004</v>
      </c>
      <c r="P9" s="24" t="n">
        <f aca="false">LN(MIN(MAX(C9,0.0001),0.9999)/(1-MIN(MAX(C9,0.0001),0.9999)))</f>
        <v>0.614646493238224</v>
      </c>
      <c r="Q9" s="16" t="n">
        <f aca="false">IF(Analyst_Median&gt;0,A9*Market_Median/Analyst_Median,A9)</f>
        <v>40.9542350490318</v>
      </c>
      <c r="R9" s="26" t="n">
        <f aca="false">MIN(MAX(IFERROR(MATCH(Q9,Distribution!$A$6:$A$20,1),1),1),14)</f>
        <v>1</v>
      </c>
      <c r="S9" s="24" t="n">
        <f aca="false">1/(1+EXP(-(INDEX(Distribution!$P$6:$P$20,R9)+(LN(Q9)-INDEX(Distribution!$B$6:$B$20,R9))/(INDEX(Distribution!$B$6:$B$20,R9+1)-INDEX(Distribution!$B$6:$B$20,R9))*(INDEX(Distribution!$P$6:$P$20,R9+1)-INDEX(Distribution!$P$6:$P$20,R9)))))</f>
        <v>0.911249086147018</v>
      </c>
      <c r="T9" s="24" t="n">
        <f aca="false">W_Mkt*C9+W_Agents*O9</f>
        <v>0.731962</v>
      </c>
      <c r="U9" s="27" t="n">
        <f aca="false">(1-W_Analyst)*T9+W_Analyst*S9</f>
        <v>0.731962</v>
      </c>
      <c r="V9" s="24" t="n">
        <f aca="false">LN(MIN(MAX(U9,0.0001),0.9999)/(1-MIN(MAX(U9,0.0001),0.9999)))</f>
        <v>1.00459983854127</v>
      </c>
      <c r="W9" s="25" t="n">
        <v>0.7584</v>
      </c>
    </row>
    <row r="10" customFormat="false" ht="15" hidden="false" customHeight="false" outlineLevel="0" collapsed="false">
      <c r="A10" s="6" t="n">
        <v>105.69</v>
      </c>
      <c r="B10" s="24" t="n">
        <f aca="false">LN(A10)</f>
        <v>4.66051028102126</v>
      </c>
      <c r="C10" s="25" t="n">
        <v>0.5778</v>
      </c>
      <c r="D10" s="25" t="n">
        <v>0.8477</v>
      </c>
      <c r="E10" s="25" t="n">
        <v>0.8713</v>
      </c>
      <c r="F10" s="25" t="n">
        <v>0.8579</v>
      </c>
      <c r="G10" s="25" t="n">
        <v>0.8179</v>
      </c>
      <c r="H10" s="25" t="n">
        <v>0.878</v>
      </c>
      <c r="I10" s="24" t="n">
        <f aca="false">AVERAGE(D10:H10)</f>
        <v>0.85456</v>
      </c>
      <c r="J10" s="25" t="n">
        <v>0.855</v>
      </c>
      <c r="K10" s="24" t="n">
        <f aca="false">IF(AND(Sup_Used=1,ISNUMBER(J10)),J10,I10)</f>
        <v>0.85456</v>
      </c>
      <c r="L10" s="24" t="n">
        <f aca="false">LN(MIN(MAX(K10,0.0001),0.9999)/(1-MIN(MAX(K10,0.0001),0.9999)))</f>
        <v>1.77082308616229</v>
      </c>
      <c r="M10" s="16" t="n">
        <f aca="false">A10*EXP(-Platt_Shift)</f>
        <v>105.69</v>
      </c>
      <c r="N10" s="26" t="n">
        <f aca="false">MIN(MAX(IFERROR(MATCH(M10,Distribution!$A$6:$A$20,1),1),1),14)</f>
        <v>5</v>
      </c>
      <c r="O10" s="24" t="n">
        <f aca="false">1/(1+EXP(-(INDEX(Distribution!$L$6:$L$20,N10)+(LN(M10)-INDEX(Distribution!$B$6:$B$20,N10))/(INDEX(Distribution!$B$6:$B$20,N10+1)-INDEX(Distribution!$B$6:$B$20,N10))*(INDEX(Distribution!$L$6:$L$20,N10+1)-INDEX(Distribution!$L$6:$L$20,N10)))))</f>
        <v>0.85456</v>
      </c>
      <c r="P10" s="24" t="n">
        <f aca="false">LN(MIN(MAX(C10,0.0001),0.9999)/(1-MIN(MAX(C10,0.0001),0.9999)))</f>
        <v>0.313748652617915</v>
      </c>
      <c r="Q10" s="16" t="n">
        <f aca="false">IF(Analyst_Median&gt;0,A10*Market_Median/Analyst_Median,A10)</f>
        <v>47.7806943628676</v>
      </c>
      <c r="R10" s="26" t="n">
        <f aca="false">MIN(MAX(IFERROR(MATCH(Q10,Distribution!$A$6:$A$20,1),1),1),14)</f>
        <v>1</v>
      </c>
      <c r="S10" s="24" t="n">
        <f aca="false">1/(1+EXP(-(INDEX(Distribution!$P$6:$P$20,R10)+(LN(Q10)-INDEX(Distribution!$B$6:$B$20,R10))/(INDEX(Distribution!$B$6:$B$20,R10+1)-INDEX(Distribution!$B$6:$B$20,R10))*(INDEX(Distribution!$P$6:$P$20,R10+1)-INDEX(Distribution!$P$6:$P$20,R10)))))</f>
        <v>0.878319909415785</v>
      </c>
      <c r="T10" s="24" t="n">
        <f aca="false">W_Mkt*C10+W_Agents*O10</f>
        <v>0.6691308</v>
      </c>
      <c r="U10" s="27" t="n">
        <f aca="false">(1-W_Analyst)*T10+W_Analyst*S10</f>
        <v>0.6691308</v>
      </c>
      <c r="V10" s="24" t="n">
        <f aca="false">LN(MIN(MAX(U10,0.0001),0.9999)/(1-MIN(MAX(U10,0.0001),0.9999)))</f>
        <v>0.704256425597396</v>
      </c>
      <c r="W10" s="25" t="n">
        <v>0.7</v>
      </c>
    </row>
    <row r="11" customFormat="false" ht="15" hidden="false" customHeight="false" outlineLevel="0" collapsed="false">
      <c r="A11" s="6" t="n">
        <v>120.79</v>
      </c>
      <c r="B11" s="24" t="n">
        <f aca="false">LN(A11)</f>
        <v>4.79405350061719</v>
      </c>
      <c r="C11" s="25" t="n">
        <v>0.5139</v>
      </c>
      <c r="D11" s="25" t="n">
        <v>0.7936</v>
      </c>
      <c r="E11" s="25" t="n">
        <v>0.832</v>
      </c>
      <c r="F11" s="25" t="n">
        <v>0.8106</v>
      </c>
      <c r="G11" s="25" t="n">
        <v>0.7701</v>
      </c>
      <c r="H11" s="25" t="n">
        <v>0.831</v>
      </c>
      <c r="I11" s="24" t="n">
        <f aca="false">AVERAGE(D11:H11)</f>
        <v>0.80746</v>
      </c>
      <c r="J11" s="25" t="n">
        <v>0.8083</v>
      </c>
      <c r="K11" s="24" t="n">
        <f aca="false">IF(AND(Sup_Used=1,ISNUMBER(J11)),J11,I11)</f>
        <v>0.80746</v>
      </c>
      <c r="L11" s="24" t="n">
        <f aca="false">LN(MIN(MAX(K11,0.0001),0.9999)/(1-MIN(MAX(K11,0.0001),0.9999)))</f>
        <v>1.43358959391635</v>
      </c>
      <c r="M11" s="16" t="n">
        <f aca="false">A11*EXP(-Platt_Shift)</f>
        <v>120.79</v>
      </c>
      <c r="N11" s="26" t="n">
        <f aca="false">MIN(MAX(IFERROR(MATCH(M11,Distribution!$A$6:$A$20,1),1),1),14)</f>
        <v>6</v>
      </c>
      <c r="O11" s="24" t="n">
        <f aca="false">1/(1+EXP(-(INDEX(Distribution!$L$6:$L$20,N11)+(LN(M11)-INDEX(Distribution!$B$6:$B$20,N11))/(INDEX(Distribution!$B$6:$B$20,N11+1)-INDEX(Distribution!$B$6:$B$20,N11))*(INDEX(Distribution!$L$6:$L$20,N11+1)-INDEX(Distribution!$L$6:$L$20,N11)))))</f>
        <v>0.80746</v>
      </c>
      <c r="P11" s="24" t="n">
        <f aca="false">LN(MIN(MAX(C11,0.0001),0.9999)/(1-MIN(MAX(C11,0.0001),0.9999)))</f>
        <v>0.0556143299467741</v>
      </c>
      <c r="Q11" s="16" t="n">
        <f aca="false">IF(Analyst_Median&gt;0,A11*Market_Median/Analyst_Median,A11)</f>
        <v>54.6071536767033</v>
      </c>
      <c r="R11" s="26" t="n">
        <f aca="false">MIN(MAX(IFERROR(MATCH(Q11,Distribution!$A$6:$A$20,1),1),1),14)</f>
        <v>1</v>
      </c>
      <c r="S11" s="24" t="n">
        <f aca="false">1/(1+EXP(-(INDEX(Distribution!$P$6:$P$20,R11)+(LN(Q11)-INDEX(Distribution!$B$6:$B$20,R11))/(INDEX(Distribution!$B$6:$B$20,R11+1)-INDEX(Distribution!$B$6:$B$20,R11))*(INDEX(Distribution!$P$6:$P$20,R11+1)-INDEX(Distribution!$P$6:$P$20,R11)))))</f>
        <v>0.84176045103843</v>
      </c>
      <c r="T11" s="24" t="n">
        <f aca="false">W_Mkt*C11+W_Agents*O11</f>
        <v>0.6107748</v>
      </c>
      <c r="U11" s="27" t="n">
        <f aca="false">(1-W_Analyst)*T11+W_Analyst*S11</f>
        <v>0.6107748</v>
      </c>
      <c r="V11" s="24" t="n">
        <f aca="false">LN(MIN(MAX(U11,0.0001),0.9999)/(1-MIN(MAX(U11,0.0001),0.9999)))</f>
        <v>0.450570218708767</v>
      </c>
      <c r="W11" s="25" t="n">
        <v>0.6428</v>
      </c>
    </row>
    <row r="12" customFormat="false" ht="15" hidden="false" customHeight="false" outlineLevel="0" collapsed="false">
      <c r="A12" s="6" t="n">
        <v>135.89</v>
      </c>
      <c r="B12" s="24" t="n">
        <f aca="false">LN(A12)</f>
        <v>4.91184573493241</v>
      </c>
      <c r="C12" s="25" t="n">
        <v>0.4572</v>
      </c>
      <c r="D12" s="25" t="n">
        <v>0.7405</v>
      </c>
      <c r="E12" s="25" t="n">
        <v>0.7916</v>
      </c>
      <c r="F12" s="25" t="n">
        <v>0.7627</v>
      </c>
      <c r="G12" s="25" t="n">
        <v>0.7203</v>
      </c>
      <c r="H12" s="25" t="n">
        <v>0.781</v>
      </c>
      <c r="I12" s="24" t="n">
        <f aca="false">AVERAGE(D12:H12)</f>
        <v>0.75922</v>
      </c>
      <c r="J12" s="25" t="n">
        <v>0.7607</v>
      </c>
      <c r="K12" s="24" t="n">
        <f aca="false">IF(AND(Sup_Used=1,ISNUMBER(J12)),J12,I12)</f>
        <v>0.75922</v>
      </c>
      <c r="L12" s="24" t="n">
        <f aca="false">LN(MIN(MAX(K12,0.0001),0.9999)/(1-MIN(MAX(K12,0.0001),0.9999)))</f>
        <v>1.14840793696135</v>
      </c>
      <c r="M12" s="16" t="n">
        <f aca="false">A12*EXP(-Platt_Shift)</f>
        <v>135.89</v>
      </c>
      <c r="N12" s="26" t="n">
        <f aca="false">MIN(MAX(IFERROR(MATCH(M12,Distribution!$A$6:$A$20,1),1),1),14)</f>
        <v>7</v>
      </c>
      <c r="O12" s="24" t="n">
        <f aca="false">1/(1+EXP(-(INDEX(Distribution!$L$6:$L$20,N12)+(LN(M12)-INDEX(Distribution!$B$6:$B$20,N12))/(INDEX(Distribution!$B$6:$B$20,N12+1)-INDEX(Distribution!$B$6:$B$20,N12))*(INDEX(Distribution!$L$6:$L$20,N12+1)-INDEX(Distribution!$L$6:$L$20,N12)))))</f>
        <v>0.75922</v>
      </c>
      <c r="P12" s="24" t="n">
        <f aca="false">LN(MIN(MAX(C12,0.0001),0.9999)/(1-MIN(MAX(C12,0.0001),0.9999)))</f>
        <v>-0.171619996040058</v>
      </c>
      <c r="Q12" s="16" t="n">
        <f aca="false">IF(Analyst_Median&gt;0,A12*Market_Median/Analyst_Median,A12)</f>
        <v>61.4336129905391</v>
      </c>
      <c r="R12" s="26" t="n">
        <f aca="false">MIN(MAX(IFERROR(MATCH(Q12,Distribution!$A$6:$A$20,1),1),1),14)</f>
        <v>2</v>
      </c>
      <c r="S12" s="24" t="n">
        <f aca="false">1/(1+EXP(-(INDEX(Distribution!$P$6:$P$20,R12)+(LN(Q12)-INDEX(Distribution!$B$6:$B$20,R12))/(INDEX(Distribution!$B$6:$B$20,R12+1)-INDEX(Distribution!$B$6:$B$20,R12))*(INDEX(Distribution!$P$6:$P$20,R12+1)-INDEX(Distribution!$P$6:$P$20,R12)))))</f>
        <v>0.803098002684315</v>
      </c>
      <c r="T12" s="24" t="n">
        <f aca="false">W_Mkt*C12+W_Agents*O12</f>
        <v>0.5568666</v>
      </c>
      <c r="U12" s="27" t="n">
        <f aca="false">(1-W_Analyst)*T12+W_Analyst*S12</f>
        <v>0.5568666</v>
      </c>
      <c r="V12" s="24" t="n">
        <f aca="false">LN(MIN(MAX(U12,0.0001),0.9999)/(1-MIN(MAX(U12,0.0001),0.9999)))</f>
        <v>0.228454860553052</v>
      </c>
      <c r="W12" s="25" t="n">
        <v>0.588</v>
      </c>
    </row>
    <row r="13" customFormat="false" ht="15" hidden="false" customHeight="false" outlineLevel="0" collapsed="false">
      <c r="A13" s="6" t="n">
        <v>150.99</v>
      </c>
      <c r="B13" s="24" t="n">
        <f aca="false">LN(A13)</f>
        <v>5.01721360945638</v>
      </c>
      <c r="C13" s="25" t="n">
        <v>0.4071</v>
      </c>
      <c r="D13" s="25" t="n">
        <v>0.6899</v>
      </c>
      <c r="E13" s="25" t="n">
        <v>0.7501</v>
      </c>
      <c r="F13" s="25" t="n">
        <v>0.7157</v>
      </c>
      <c r="G13" s="25" t="n">
        <v>0.6713</v>
      </c>
      <c r="H13" s="25" t="n">
        <v>0.7301</v>
      </c>
      <c r="I13" s="24" t="n">
        <f aca="false">AVERAGE(D13:H13)</f>
        <v>0.71142</v>
      </c>
      <c r="J13" s="25" t="n">
        <v>0.714</v>
      </c>
      <c r="K13" s="24" t="n">
        <f aca="false">IF(AND(Sup_Used=1,ISNUMBER(J13)),J13,I13)</f>
        <v>0.71142</v>
      </c>
      <c r="L13" s="24" t="n">
        <f aca="false">LN(MIN(MAX(K13,0.0001),0.9999)/(1-MIN(MAX(K13,0.0001),0.9999)))</f>
        <v>0.902290628828925</v>
      </c>
      <c r="M13" s="16" t="n">
        <f aca="false">A13*EXP(-Platt_Shift)</f>
        <v>150.99</v>
      </c>
      <c r="N13" s="26" t="n">
        <f aca="false">MIN(MAX(IFERROR(MATCH(M13,Distribution!$A$6:$A$20,1),1),1),14)</f>
        <v>8</v>
      </c>
      <c r="O13" s="24" t="n">
        <f aca="false">1/(1+EXP(-(INDEX(Distribution!$L$6:$L$20,N13)+(LN(M13)-INDEX(Distribution!$B$6:$B$20,N13))/(INDEX(Distribution!$B$6:$B$20,N13+1)-INDEX(Distribution!$B$6:$B$20,N13))*(INDEX(Distribution!$L$6:$L$20,N13+1)-INDEX(Distribution!$L$6:$L$20,N13)))))</f>
        <v>0.71142</v>
      </c>
      <c r="P13" s="24" t="n">
        <f aca="false">LN(MIN(MAX(C13,0.0001),0.9999)/(1-MIN(MAX(C13,0.0001),0.9999)))</f>
        <v>-0.375966895204389</v>
      </c>
      <c r="Q13" s="16" t="n">
        <f aca="false">IF(Analyst_Median&gt;0,A13*Market_Median/Analyst_Median,A13)</f>
        <v>68.2600723043748</v>
      </c>
      <c r="R13" s="26" t="n">
        <f aca="false">MIN(MAX(IFERROR(MATCH(Q13,Distribution!$A$6:$A$20,1),1),1),14)</f>
        <v>2</v>
      </c>
      <c r="S13" s="24" t="n">
        <f aca="false">1/(1+EXP(-(INDEX(Distribution!$P$6:$P$20,R13)+(LN(Q13)-INDEX(Distribution!$B$6:$B$20,R13))/(INDEX(Distribution!$B$6:$B$20,R13+1)-INDEX(Distribution!$B$6:$B$20,R13))*(INDEX(Distribution!$P$6:$P$20,R13+1)-INDEX(Distribution!$P$6:$P$20,R13)))))</f>
        <v>0.766272709659595</v>
      </c>
      <c r="T13" s="24" t="n">
        <f aca="false">W_Mkt*C13+W_Agents*O13</f>
        <v>0.5075256</v>
      </c>
      <c r="U13" s="27" t="n">
        <f aca="false">(1-W_Analyst)*T13+W_Analyst*S13</f>
        <v>0.5075256</v>
      </c>
      <c r="V13" s="24" t="n">
        <f aca="false">LN(MIN(MAX(U13,0.0001),0.9999)/(1-MIN(MAX(U13,0.0001),0.9999)))</f>
        <v>0.0301046734277523</v>
      </c>
      <c r="W13" s="25" t="n">
        <v>0.5358</v>
      </c>
    </row>
    <row r="14" customFormat="false" ht="15" hidden="false" customHeight="false" outlineLevel="0" collapsed="false">
      <c r="A14" s="6" t="n">
        <v>166.09</v>
      </c>
      <c r="B14" s="24" t="n">
        <f aca="false">LN(A14)</f>
        <v>5.11252981011091</v>
      </c>
      <c r="C14" s="25" t="n">
        <v>0.3631</v>
      </c>
      <c r="D14" s="25" t="n">
        <v>0.6396</v>
      </c>
      <c r="E14" s="25" t="n">
        <v>0.7048</v>
      </c>
      <c r="F14" s="25" t="n">
        <v>0.6689</v>
      </c>
      <c r="G14" s="25" t="n">
        <v>0.6281</v>
      </c>
      <c r="H14" s="25" t="n">
        <v>0.6797</v>
      </c>
      <c r="I14" s="24" t="n">
        <f aca="false">AVERAGE(D14:H14)</f>
        <v>0.66422</v>
      </c>
      <c r="J14" s="25" t="n">
        <v>0.6686</v>
      </c>
      <c r="K14" s="24" t="n">
        <f aca="false">IF(AND(Sup_Used=1,ISNUMBER(J14)),J14,I14)</f>
        <v>0.66422</v>
      </c>
      <c r="L14" s="24" t="n">
        <f aca="false">LN(MIN(MAX(K14,0.0001),0.9999)/(1-MIN(MAX(K14,0.0001),0.9999)))</f>
        <v>0.68215723629328</v>
      </c>
      <c r="M14" s="16" t="n">
        <f aca="false">A14*EXP(-Platt_Shift)</f>
        <v>166.09</v>
      </c>
      <c r="N14" s="26" t="n">
        <f aca="false">MIN(MAX(IFERROR(MATCH(M14,Distribution!$A$6:$A$20,1),1),1),14)</f>
        <v>9</v>
      </c>
      <c r="O14" s="24" t="n">
        <f aca="false">1/(1+EXP(-(INDEX(Distribution!$L$6:$L$20,N14)+(LN(M14)-INDEX(Distribution!$B$6:$B$20,N14))/(INDEX(Distribution!$B$6:$B$20,N14+1)-INDEX(Distribution!$B$6:$B$20,N14))*(INDEX(Distribution!$L$6:$L$20,N14+1)-INDEX(Distribution!$L$6:$L$20,N14)))))</f>
        <v>0.66422</v>
      </c>
      <c r="P14" s="24" t="n">
        <f aca="false">LN(MIN(MAX(C14,0.0001),0.9999)/(1-MIN(MAX(C14,0.0001),0.9999)))</f>
        <v>-0.56193437895703</v>
      </c>
      <c r="Q14" s="16" t="n">
        <f aca="false">IF(Analyst_Median&gt;0,A14*Market_Median/Analyst_Median,A14)</f>
        <v>75.0865316182106</v>
      </c>
      <c r="R14" s="26" t="n">
        <f aca="false">MIN(MAX(IFERROR(MATCH(Q14,Distribution!$A$6:$A$20,1),1),1),14)</f>
        <v>2</v>
      </c>
      <c r="S14" s="24" t="n">
        <f aca="false">1/(1+EXP(-(INDEX(Distribution!$P$6:$P$20,R14)+(LN(Q14)-INDEX(Distribution!$B$6:$B$20,R14))/(INDEX(Distribution!$B$6:$B$20,R14+1)-INDEX(Distribution!$B$6:$B$20,R14))*(INDEX(Distribution!$P$6:$P$20,R14+1)-INDEX(Distribution!$P$6:$P$20,R14)))))</f>
        <v>0.729054125763764</v>
      </c>
      <c r="T14" s="24" t="n">
        <f aca="false">W_Mkt*C14+W_Agents*O14</f>
        <v>0.4624696</v>
      </c>
      <c r="U14" s="27" t="n">
        <f aca="false">(1-W_Analyst)*T14+W_Analyst*S14</f>
        <v>0.4624696</v>
      </c>
      <c r="V14" s="24" t="n">
        <f aca="false">LN(MIN(MAX(U14,0.0001),0.9999)/(1-MIN(MAX(U14,0.0001),0.9999)))</f>
        <v>-0.150404491479545</v>
      </c>
      <c r="W14" s="25" t="n">
        <v>0.4865</v>
      </c>
    </row>
    <row r="15" customFormat="false" ht="15" hidden="false" customHeight="false" outlineLevel="0" collapsed="false">
      <c r="A15" s="6" t="n">
        <v>181.19</v>
      </c>
      <c r="B15" s="24" t="n">
        <f aca="false">LN(A15)</f>
        <v>5.19954620444802</v>
      </c>
      <c r="C15" s="25" t="n">
        <v>0.3244</v>
      </c>
      <c r="D15" s="25" t="n">
        <v>0.5947</v>
      </c>
      <c r="E15" s="25" t="n">
        <v>0.6524</v>
      </c>
      <c r="F15" s="25" t="n">
        <v>0.6248</v>
      </c>
      <c r="G15" s="25" t="n">
        <v>0.5846</v>
      </c>
      <c r="H15" s="25" t="n">
        <v>0.6291</v>
      </c>
      <c r="I15" s="24" t="n">
        <f aca="false">AVERAGE(D15:H15)</f>
        <v>0.61712</v>
      </c>
      <c r="J15" s="25" t="n">
        <v>0.6231</v>
      </c>
      <c r="K15" s="24" t="n">
        <f aca="false">IF(AND(Sup_Used=1,ISNUMBER(J15)),J15,I15)</f>
        <v>0.61712</v>
      </c>
      <c r="L15" s="24" t="n">
        <f aca="false">LN(MIN(MAX(K15,0.0001),0.9999)/(1-MIN(MAX(K15,0.0001),0.9999)))</f>
        <v>0.477341870299855</v>
      </c>
      <c r="M15" s="16" t="n">
        <f aca="false">A15*EXP(-Platt_Shift)</f>
        <v>181.19</v>
      </c>
      <c r="N15" s="26" t="n">
        <f aca="false">MIN(MAX(IFERROR(MATCH(M15,Distribution!$A$6:$A$20,1),1),1),14)</f>
        <v>10</v>
      </c>
      <c r="O15" s="24" t="n">
        <f aca="false">1/(1+EXP(-(INDEX(Distribution!$L$6:$L$20,N15)+(LN(M15)-INDEX(Distribution!$B$6:$B$20,N15))/(INDEX(Distribution!$B$6:$B$20,N15+1)-INDEX(Distribution!$B$6:$B$20,N15))*(INDEX(Distribution!$L$6:$L$20,N15+1)-INDEX(Distribution!$L$6:$L$20,N15)))))</f>
        <v>0.61712</v>
      </c>
      <c r="P15" s="24" t="n">
        <f aca="false">LN(MIN(MAX(C15,0.0001),0.9999)/(1-MIN(MAX(C15,0.0001),0.9999)))</f>
        <v>-0.733623862692387</v>
      </c>
      <c r="Q15" s="16" t="n">
        <f aca="false">IF(Analyst_Median&gt;0,A15*Market_Median/Analyst_Median,A15)</f>
        <v>81.9129909320463</v>
      </c>
      <c r="R15" s="26" t="n">
        <f aca="false">MIN(MAX(IFERROR(MATCH(Q15,Distribution!$A$6:$A$20,1),1),1),14)</f>
        <v>3</v>
      </c>
      <c r="S15" s="24" t="n">
        <f aca="false">1/(1+EXP(-(INDEX(Distribution!$P$6:$P$20,R15)+(LN(Q15)-INDEX(Distribution!$B$6:$B$20,R15))/(INDEX(Distribution!$B$6:$B$20,R15+1)-INDEX(Distribution!$B$6:$B$20,R15))*(INDEX(Distribution!$P$6:$P$20,R15+1)-INDEX(Distribution!$P$6:$P$20,R15)))))</f>
        <v>0.693317589570845</v>
      </c>
      <c r="T15" s="24" t="n">
        <f aca="false">W_Mkt*C15+W_Agents*O15</f>
        <v>0.4209976</v>
      </c>
      <c r="U15" s="27" t="n">
        <f aca="false">(1-W_Analyst)*T15+W_Analyst*S15</f>
        <v>0.4209976</v>
      </c>
      <c r="V15" s="24" t="n">
        <f aca="false">LN(MIN(MAX(U15,0.0001),0.9999)/(1-MIN(MAX(U15,0.0001),0.9999)))</f>
        <v>-0.318679489688581</v>
      </c>
      <c r="W15" s="25" t="n">
        <v>0.4406</v>
      </c>
    </row>
    <row r="16" customFormat="false" ht="15" hidden="false" customHeight="false" outlineLevel="0" collapsed="false">
      <c r="A16" s="6" t="n">
        <v>203.84</v>
      </c>
      <c r="B16" s="24" t="n">
        <f aca="false">LN(A16)</f>
        <v>5.3173353723838</v>
      </c>
      <c r="C16" s="25" t="n">
        <v>0.275</v>
      </c>
      <c r="D16" s="25" t="n">
        <v>0.5299</v>
      </c>
      <c r="E16" s="25" t="n">
        <v>0.5652</v>
      </c>
      <c r="F16" s="25" t="n">
        <v>0.56</v>
      </c>
      <c r="G16" s="25" t="n">
        <v>0.5199</v>
      </c>
      <c r="H16" s="25" t="n">
        <v>0.5567</v>
      </c>
      <c r="I16" s="24" t="n">
        <f aca="false">AVERAGE(D16:H16)</f>
        <v>0.54634</v>
      </c>
      <c r="J16" s="25" t="n">
        <v>0.5543</v>
      </c>
      <c r="K16" s="24" t="n">
        <f aca="false">IF(AND(Sup_Used=1,ISNUMBER(J16)),J16,I16)</f>
        <v>0.54634</v>
      </c>
      <c r="L16" s="24" t="n">
        <f aca="false">LN(MIN(MAX(K16,0.0001),0.9999)/(1-MIN(MAX(K16,0.0001),0.9999)))</f>
        <v>0.185893473765574</v>
      </c>
      <c r="M16" s="16" t="n">
        <f aca="false">A16*EXP(-Platt_Shift)</f>
        <v>203.84</v>
      </c>
      <c r="N16" s="26" t="n">
        <f aca="false">MIN(MAX(IFERROR(MATCH(M16,Distribution!$A$6:$A$20,1),1),1),14)</f>
        <v>11</v>
      </c>
      <c r="O16" s="24" t="n">
        <f aca="false">1/(1+EXP(-(INDEX(Distribution!$L$6:$L$20,N16)+(LN(M16)-INDEX(Distribution!$B$6:$B$20,N16))/(INDEX(Distribution!$B$6:$B$20,N16+1)-INDEX(Distribution!$B$6:$B$20,N16))*(INDEX(Distribution!$L$6:$L$20,N16+1)-INDEX(Distribution!$L$6:$L$20,N16)))))</f>
        <v>0.54634</v>
      </c>
      <c r="P16" s="24" t="n">
        <f aca="false">LN(MIN(MAX(C16,0.0001),0.9999)/(1-MIN(MAX(C16,0.0001),0.9999)))</f>
        <v>-0.969400557188103</v>
      </c>
      <c r="Q16" s="16" t="n">
        <f aca="false">IF(Analyst_Median&gt;0,A16*Market_Median/Analyst_Median,A16)</f>
        <v>92.1526799028</v>
      </c>
      <c r="R16" s="26" t="n">
        <f aca="false">MIN(MAX(IFERROR(MATCH(Q16,Distribution!$A$6:$A$20,1),1),1),14)</f>
        <v>4</v>
      </c>
      <c r="S16" s="24" t="n">
        <f aca="false">1/(1+EXP(-(INDEX(Distribution!$P$6:$P$20,R16)+(LN(Q16)-INDEX(Distribution!$B$6:$B$20,R16))/(INDEX(Distribution!$B$6:$B$20,R16+1)-INDEX(Distribution!$B$6:$B$20,R16))*(INDEX(Distribution!$P$6:$P$20,R16+1)-INDEX(Distribution!$P$6:$P$20,R16)))))</f>
        <v>0.641358535861406</v>
      </c>
      <c r="T16" s="24" t="n">
        <f aca="false">W_Mkt*C16+W_Agents*O16</f>
        <v>0.3645422</v>
      </c>
      <c r="U16" s="27" t="n">
        <f aca="false">(1-W_Analyst)*T16+W_Analyst*S16</f>
        <v>0.3645422</v>
      </c>
      <c r="V16" s="24" t="n">
        <f aca="false">LN(MIN(MAX(U16,0.0001),0.9999)/(1-MIN(MAX(U16,0.0001),0.9999)))</f>
        <v>-0.555703364237065</v>
      </c>
      <c r="W16" s="25" t="n">
        <v>0.3779</v>
      </c>
    </row>
    <row r="17" customFormat="false" ht="15" hidden="false" customHeight="false" outlineLevel="0" collapsed="false">
      <c r="A17" s="6" t="n">
        <v>226.49</v>
      </c>
      <c r="B17" s="24" t="n">
        <f aca="false">LN(A17)</f>
        <v>5.42270079383807</v>
      </c>
      <c r="C17" s="25" t="n">
        <v>0.2342</v>
      </c>
      <c r="D17" s="25" t="n">
        <v>0.4651</v>
      </c>
      <c r="E17" s="25" t="n">
        <v>0.4742</v>
      </c>
      <c r="F17" s="25" t="n">
        <v>0.4952</v>
      </c>
      <c r="G17" s="25" t="n">
        <v>0.4626</v>
      </c>
      <c r="H17" s="25" t="n">
        <v>0.4865</v>
      </c>
      <c r="I17" s="24" t="n">
        <f aca="false">AVERAGE(D17:H17)</f>
        <v>0.47672</v>
      </c>
      <c r="J17" s="25" t="n">
        <v>0.4852</v>
      </c>
      <c r="K17" s="24" t="n">
        <f aca="false">IF(AND(Sup_Used=1,ISNUMBER(J17)),J17,I17)</f>
        <v>0.47672</v>
      </c>
      <c r="L17" s="24" t="n">
        <f aca="false">LN(MIN(MAX(K17,0.0001),0.9999)/(1-MIN(MAX(K17,0.0001),0.9999)))</f>
        <v>-0.0931873772142339</v>
      </c>
      <c r="M17" s="16" t="n">
        <f aca="false">A17*EXP(-Platt_Shift)</f>
        <v>226.49</v>
      </c>
      <c r="N17" s="26" t="n">
        <f aca="false">MIN(MAX(IFERROR(MATCH(M17,Distribution!$A$6:$A$20,1),1),1),14)</f>
        <v>12</v>
      </c>
      <c r="O17" s="24" t="n">
        <f aca="false">1/(1+EXP(-(INDEX(Distribution!$L$6:$L$20,N17)+(LN(M17)-INDEX(Distribution!$B$6:$B$20,N17))/(INDEX(Distribution!$B$6:$B$20,N17+1)-INDEX(Distribution!$B$6:$B$20,N17))*(INDEX(Distribution!$L$6:$L$20,N17+1)-INDEX(Distribution!$L$6:$L$20,N17)))))</f>
        <v>0.47672</v>
      </c>
      <c r="P17" s="24" t="n">
        <f aca="false">LN(MIN(MAX(C17,0.0001),0.9999)/(1-MIN(MAX(C17,0.0001),0.9999)))</f>
        <v>-1.18474558787958</v>
      </c>
      <c r="Q17" s="16" t="n">
        <f aca="false">IF(Analyst_Median&gt;0,A17*Market_Median/Analyst_Median,A17)</f>
        <v>102.392368873554</v>
      </c>
      <c r="R17" s="26" t="n">
        <f aca="false">MIN(MAX(IFERROR(MATCH(Q17,Distribution!$A$6:$A$20,1),1),1),14)</f>
        <v>4</v>
      </c>
      <c r="S17" s="24" t="n">
        <f aca="false">1/(1+EXP(-(INDEX(Distribution!$P$6:$P$20,R17)+(LN(Q17)-INDEX(Distribution!$B$6:$B$20,R17))/(INDEX(Distribution!$B$6:$B$20,R17+1)-INDEX(Distribution!$B$6:$B$20,R17))*(INDEX(Distribution!$P$6:$P$20,R17+1)-INDEX(Distribution!$P$6:$P$20,R17)))))</f>
        <v>0.592815331140783</v>
      </c>
      <c r="T17" s="24" t="n">
        <f aca="false">W_Mkt*C17+W_Agents*O17</f>
        <v>0.3142316</v>
      </c>
      <c r="U17" s="27" t="n">
        <f aca="false">(1-W_Analyst)*T17+W_Analyst*S17</f>
        <v>0.3142316</v>
      </c>
      <c r="V17" s="24" t="n">
        <f aca="false">LN(MIN(MAX(U17,0.0001),0.9999)/(1-MIN(MAX(U17,0.0001),0.9999)))</f>
        <v>-0.780409667745659</v>
      </c>
      <c r="W17" s="25" t="n">
        <v>0.3169</v>
      </c>
    </row>
    <row r="18" customFormat="false" ht="15" hidden="false" customHeight="false" outlineLevel="0" collapsed="false">
      <c r="A18" s="6" t="n">
        <v>264.23</v>
      </c>
      <c r="B18" s="24" t="n">
        <f aca="false">LN(A18)</f>
        <v>5.57681993598252</v>
      </c>
      <c r="C18" s="25" t="n">
        <v>0.181</v>
      </c>
      <c r="D18" s="25" t="n">
        <v>0.3618</v>
      </c>
      <c r="E18" s="25" t="n">
        <v>0.3365</v>
      </c>
      <c r="F18" s="25" t="n">
        <v>0.392</v>
      </c>
      <c r="G18" s="25" t="n">
        <v>0.3738</v>
      </c>
      <c r="H18" s="25" t="n">
        <v>0.3819</v>
      </c>
      <c r="I18" s="24" t="n">
        <f aca="false">AVERAGE(D18:H18)</f>
        <v>0.3692</v>
      </c>
      <c r="J18" s="25" t="n">
        <v>0.376</v>
      </c>
      <c r="K18" s="24" t="n">
        <f aca="false">IF(AND(Sup_Used=1,ISNUMBER(J18)),J18,I18)</f>
        <v>0.3692</v>
      </c>
      <c r="L18" s="24" t="n">
        <f aca="false">LN(MIN(MAX(K18,0.0001),0.9999)/(1-MIN(MAX(K18,0.0001),0.9999)))</f>
        <v>-0.535650352460186</v>
      </c>
      <c r="M18" s="16" t="n">
        <f aca="false">A18*EXP(-Platt_Shift)</f>
        <v>264.23</v>
      </c>
      <c r="N18" s="26" t="n">
        <f aca="false">MIN(MAX(IFERROR(MATCH(M18,Distribution!$A$6:$A$20,1),1),1),14)</f>
        <v>13</v>
      </c>
      <c r="O18" s="24" t="n">
        <f aca="false">1/(1+EXP(-(INDEX(Distribution!$L$6:$L$20,N18)+(LN(M18)-INDEX(Distribution!$B$6:$B$20,N18))/(INDEX(Distribution!$B$6:$B$20,N18+1)-INDEX(Distribution!$B$6:$B$20,N18))*(INDEX(Distribution!$L$6:$L$20,N18+1)-INDEX(Distribution!$L$6:$L$20,N18)))))</f>
        <v>0.3692</v>
      </c>
      <c r="P18" s="24" t="n">
        <f aca="false">LN(MIN(MAX(C18,0.0001),0.9999)/(1-MIN(MAX(C18,0.0001),0.9999)))</f>
        <v>-1.50958705258724</v>
      </c>
      <c r="Q18" s="16" t="n">
        <f aca="false">IF(Analyst_Median&gt;0,A18*Market_Median/Analyst_Median,A18)</f>
        <v>119.45399632416</v>
      </c>
      <c r="R18" s="26" t="n">
        <f aca="false">MIN(MAX(IFERROR(MATCH(Q18,Distribution!$A$6:$A$20,1),1),1),14)</f>
        <v>5</v>
      </c>
      <c r="S18" s="24" t="n">
        <f aca="false">1/(1+EXP(-(INDEX(Distribution!$P$6:$P$20,R18)+(LN(Q18)-INDEX(Distribution!$B$6:$B$20,R18))/(INDEX(Distribution!$B$6:$B$20,R18+1)-INDEX(Distribution!$B$6:$B$20,R18))*(INDEX(Distribution!$P$6:$P$20,R18+1)-INDEX(Distribution!$P$6:$P$20,R18)))))</f>
        <v>0.519268726107862</v>
      </c>
      <c r="T18" s="24" t="n">
        <f aca="false">W_Mkt*C18+W_Agents*O18</f>
        <v>0.243106</v>
      </c>
      <c r="U18" s="27" t="n">
        <f aca="false">(1-W_Analyst)*T18+W_Analyst*S18</f>
        <v>0.243106</v>
      </c>
      <c r="V18" s="24" t="n">
        <f aca="false">LN(MIN(MAX(U18,0.0001),0.9999)/(1-MIN(MAX(U18,0.0001),0.9999)))</f>
        <v>-1.1357256549941</v>
      </c>
      <c r="W18" s="25" t="n">
        <v>0.2142</v>
      </c>
    </row>
    <row r="19" customFormat="false" ht="15" hidden="false" customHeight="false" outlineLevel="0" collapsed="false">
      <c r="A19" s="6" t="n">
        <v>301.98</v>
      </c>
      <c r="B19" s="24" t="n">
        <f aca="false">LN(A19)</f>
        <v>5.71036079001632</v>
      </c>
      <c r="C19" s="25" t="n">
        <v>0.1417</v>
      </c>
      <c r="D19" s="25" t="n">
        <v>0.2744</v>
      </c>
      <c r="E19" s="25" t="n">
        <v>0.2344</v>
      </c>
      <c r="F19" s="25" t="n">
        <v>0.3106</v>
      </c>
      <c r="G19" s="25" t="n">
        <v>0.3014</v>
      </c>
      <c r="H19" s="25" t="n">
        <v>0.2976</v>
      </c>
      <c r="I19" s="24" t="n">
        <f aca="false">AVERAGE(D19:H19)</f>
        <v>0.28368</v>
      </c>
      <c r="J19" s="25" t="n">
        <v>0.2885</v>
      </c>
      <c r="K19" s="24" t="n">
        <f aca="false">IF(AND(Sup_Used=1,ISNUMBER(J19)),J19,I19)</f>
        <v>0.28368</v>
      </c>
      <c r="L19" s="24" t="n">
        <f aca="false">LN(MIN(MAX(K19,0.0001),0.9999)/(1-MIN(MAX(K19,0.0001),0.9999)))</f>
        <v>-0.926280152166758</v>
      </c>
      <c r="M19" s="16" t="n">
        <f aca="false">A19*EXP(-Platt_Shift)</f>
        <v>301.98</v>
      </c>
      <c r="N19" s="26" t="n">
        <f aca="false">MIN(MAX(IFERROR(MATCH(M19,Distribution!$A$6:$A$20,1),1),1),14)</f>
        <v>14</v>
      </c>
      <c r="O19" s="24" t="n">
        <f aca="false">1/(1+EXP(-(INDEX(Distribution!$L$6:$L$20,N19)+(LN(M19)-INDEX(Distribution!$B$6:$B$20,N19))/(INDEX(Distribution!$B$6:$B$20,N19+1)-INDEX(Distribution!$B$6:$B$20,N19))*(INDEX(Distribution!$L$6:$L$20,N19+1)-INDEX(Distribution!$L$6:$L$20,N19)))))</f>
        <v>0.28368</v>
      </c>
      <c r="P19" s="24" t="n">
        <f aca="false">LN(MIN(MAX(C19,0.0001),0.9999)/(1-MIN(MAX(C19,0.0001),0.9999)))</f>
        <v>-1.80124154202754</v>
      </c>
      <c r="Q19" s="16" t="n">
        <f aca="false">IF(Analyst_Median&gt;0,A19*Market_Median/Analyst_Median,A19)</f>
        <v>136.52014460875</v>
      </c>
      <c r="R19" s="26" t="n">
        <f aca="false">MIN(MAX(IFERROR(MATCH(Q19,Distribution!$A$6:$A$20,1),1),1),14)</f>
        <v>7</v>
      </c>
      <c r="S19" s="24" t="n">
        <f aca="false">1/(1+EXP(-(INDEX(Distribution!$P$6:$P$20,R19)+(LN(Q19)-INDEX(Distribution!$B$6:$B$20,R19))/(INDEX(Distribution!$B$6:$B$20,R19+1)-INDEX(Distribution!$B$6:$B$20,R19))*(INDEX(Distribution!$P$6:$P$20,R19+1)-INDEX(Distribution!$P$6:$P$20,R19)))))</f>
        <v>0.454974211191344</v>
      </c>
      <c r="T19" s="24" t="n">
        <f aca="false">W_Mkt*C19+W_Agents*O19</f>
        <v>0.1885534</v>
      </c>
      <c r="U19" s="27" t="n">
        <f aca="false">(1-W_Analyst)*T19+W_Analyst*S19</f>
        <v>0.1885534</v>
      </c>
      <c r="V19" s="24" t="n">
        <f aca="false">LN(MIN(MAX(U19,0.0001),0.9999)/(1-MIN(MAX(U19,0.0001),0.9999)))</f>
        <v>-1.45943732482897</v>
      </c>
      <c r="W19" s="25" t="n">
        <v>0.1434</v>
      </c>
    </row>
    <row r="20" customFormat="false" ht="15" hidden="false" customHeight="false" outlineLevel="0" collapsed="false">
      <c r="A20" s="6" t="n">
        <v>377.48</v>
      </c>
      <c r="B20" s="24" t="n">
        <f aca="false">LN(A20)</f>
        <v>5.93351758715313</v>
      </c>
      <c r="C20" s="25" t="n">
        <v>0.0897</v>
      </c>
      <c r="D20" s="25" t="n">
        <v>0.1481</v>
      </c>
      <c r="E20" s="25" t="n">
        <v>0.1177</v>
      </c>
      <c r="F20" s="25" t="n">
        <v>0.1937</v>
      </c>
      <c r="G20" s="25" t="n">
        <v>0.1987</v>
      </c>
      <c r="H20" s="25" t="n">
        <v>0.1785</v>
      </c>
      <c r="I20" s="24" t="n">
        <f aca="false">AVERAGE(D20:H20)</f>
        <v>0.16734</v>
      </c>
      <c r="J20" s="25" t="n">
        <v>0.1689</v>
      </c>
      <c r="K20" s="24" t="n">
        <f aca="false">IF(AND(Sup_Used=1,ISNUMBER(J20)),J20,I20)</f>
        <v>0.16734</v>
      </c>
      <c r="L20" s="24" t="n">
        <f aca="false">LN(MIN(MAX(K20,0.0001),0.9999)/(1-MIN(MAX(K20,0.0001),0.9999)))</f>
        <v>-1.60459772471279</v>
      </c>
      <c r="M20" s="16" t="n">
        <f aca="false">A20*EXP(-Platt_Shift)</f>
        <v>377.48</v>
      </c>
      <c r="N20" s="26" t="n">
        <f aca="false">MIN(MAX(IFERROR(MATCH(M20,Distribution!$A$6:$A$20,1),1),1),14)</f>
        <v>14</v>
      </c>
      <c r="O20" s="24" t="n">
        <f aca="false">1/(1+EXP(-(INDEX(Distribution!$L$6:$L$20,N20)+(LN(M20)-INDEX(Distribution!$B$6:$B$20,N20))/(INDEX(Distribution!$B$6:$B$20,N20+1)-INDEX(Distribution!$B$6:$B$20,N20))*(INDEX(Distribution!$L$6:$L$20,N20+1)-INDEX(Distribution!$L$6:$L$20,N20)))))</f>
        <v>0.16734</v>
      </c>
      <c r="P20" s="24" t="n">
        <f aca="false">LN(MIN(MAX(C20,0.0001),0.9999)/(1-MIN(MAX(C20,0.0001),0.9999)))</f>
        <v>-2.31730344644649</v>
      </c>
      <c r="Q20" s="16" t="n">
        <f aca="false">IF(Analyst_Median&gt;0,A20*Market_Median/Analyst_Median,A20)</f>
        <v>170.652441177928</v>
      </c>
      <c r="R20" s="26" t="n">
        <f aca="false">MIN(MAX(IFERROR(MATCH(Q20,Distribution!$A$6:$A$20,1),1),1),14)</f>
        <v>9</v>
      </c>
      <c r="S20" s="24" t="n">
        <f aca="false">1/(1+EXP(-(INDEX(Distribution!$P$6:$P$20,R20)+(LN(Q20)-INDEX(Distribution!$B$6:$B$20,R20))/(INDEX(Distribution!$B$6:$B$20,R20+1)-INDEX(Distribution!$B$6:$B$20,R20))*(INDEX(Distribution!$P$6:$P$20,R20+1)-INDEX(Distribution!$P$6:$P$20,R20)))))</f>
        <v>0.3508276985541</v>
      </c>
      <c r="T20" s="24" t="n">
        <f aca="false">W_Mkt*C20+W_Agents*O20</f>
        <v>0.1153212</v>
      </c>
      <c r="U20" s="27" t="n">
        <f aca="false">(1-W_Analyst)*T20+W_Analyst*S20</f>
        <v>0.1153212</v>
      </c>
      <c r="V20" s="24" t="n">
        <f aca="false">LN(MIN(MAX(U20,0.0001),0.9999)/(1-MIN(MAX(U20,0.0001),0.9999)))</f>
        <v>-2.03750336273361</v>
      </c>
      <c r="W20" s="25" t="n">
        <v>0.0723</v>
      </c>
    </row>
    <row r="22" customFormat="false" ht="15" hidden="false" customHeight="false" outlineLevel="0" collapsed="false">
      <c r="A22" s="2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44"/>
    <col collapsed="false" customWidth="true" hidden="false" outlineLevel="0" max="7" min="7" style="0" width="90"/>
  </cols>
  <sheetData>
    <row r="1" customFormat="false" ht="17.35" hidden="false" customHeight="false" outlineLevel="0" collapsed="false">
      <c r="A1" s="1" t="s">
        <v>103</v>
      </c>
    </row>
    <row r="2" customFormat="false" ht="15" hidden="false" customHeight="false" outlineLevel="0" collapsed="false">
      <c r="A2" s="2" t="s">
        <v>104</v>
      </c>
    </row>
    <row r="4" customFormat="false" ht="23.85" hidden="false" customHeight="false" outlineLevel="0" collapsed="false">
      <c r="A4" s="23" t="s">
        <v>105</v>
      </c>
      <c r="B4" s="23" t="s">
        <v>106</v>
      </c>
      <c r="C4" s="23" t="s">
        <v>107</v>
      </c>
      <c r="D4" s="23" t="s">
        <v>108</v>
      </c>
      <c r="E4" s="23" t="s">
        <v>109</v>
      </c>
      <c r="F4" s="23" t="s">
        <v>110</v>
      </c>
      <c r="G4" s="23" t="s">
        <v>111</v>
      </c>
    </row>
    <row r="5" customFormat="false" ht="46.25" hidden="false" customHeight="false" outlineLevel="0" collapsed="false">
      <c r="A5" s="5" t="s">
        <v>29</v>
      </c>
      <c r="B5" s="28" t="s">
        <v>112</v>
      </c>
      <c r="C5" s="6" t="n">
        <v>235</v>
      </c>
      <c r="D5" s="12" t="n">
        <v>0.5</v>
      </c>
      <c r="E5" s="16" t="n">
        <f aca="false">C5*D5</f>
        <v>117.5</v>
      </c>
      <c r="F5" s="28"/>
      <c r="G5" s="28" t="s">
        <v>113</v>
      </c>
    </row>
    <row r="6" customFormat="false" ht="35.05" hidden="false" customHeight="false" outlineLevel="0" collapsed="false">
      <c r="A6" s="5" t="s">
        <v>29</v>
      </c>
      <c r="B6" s="28" t="s">
        <v>114</v>
      </c>
      <c r="C6" s="6" t="n">
        <v>224</v>
      </c>
      <c r="D6" s="12" t="n">
        <v>0.2</v>
      </c>
      <c r="E6" s="16" t="n">
        <f aca="false">C6*D6</f>
        <v>44.8</v>
      </c>
      <c r="F6" s="28"/>
      <c r="G6" s="28" t="s">
        <v>115</v>
      </c>
    </row>
    <row r="7" customFormat="false" ht="35.05" hidden="false" customHeight="false" outlineLevel="0" collapsed="false">
      <c r="A7" s="5" t="s">
        <v>29</v>
      </c>
      <c r="B7" s="28" t="s">
        <v>116</v>
      </c>
      <c r="C7" s="6" t="n">
        <v>205</v>
      </c>
      <c r="D7" s="12" t="n">
        <v>0.3</v>
      </c>
      <c r="E7" s="16" t="n">
        <f aca="false">C7*D7</f>
        <v>61.5</v>
      </c>
      <c r="F7" s="28"/>
      <c r="G7" s="28" t="s">
        <v>117</v>
      </c>
    </row>
    <row r="8" customFormat="false" ht="35.05" hidden="false" customHeight="false" outlineLevel="0" collapsed="false">
      <c r="A8" s="29" t="s">
        <v>29</v>
      </c>
      <c r="B8" s="29" t="s">
        <v>118</v>
      </c>
      <c r="C8" s="30" t="n">
        <f aca="false">IF(SUM(D5:D7)&gt;0,SUMPRODUCT(C5:C7,D5:D7)/SUM(D5:D7),"")</f>
        <v>223.8</v>
      </c>
      <c r="D8" s="31" t="n">
        <f aca="false">SUM(D5:D7)</f>
        <v>1</v>
      </c>
      <c r="E8" s="32" t="n">
        <v>224</v>
      </c>
      <c r="F8" s="29" t="s">
        <v>119</v>
      </c>
      <c r="G8" s="33" t="s">
        <v>120</v>
      </c>
    </row>
    <row r="10" customFormat="false" ht="46.25" hidden="false" customHeight="false" outlineLevel="0" collapsed="false">
      <c r="A10" s="5" t="s">
        <v>30</v>
      </c>
      <c r="B10" s="28" t="s">
        <v>112</v>
      </c>
      <c r="C10" s="6" t="n">
        <v>250</v>
      </c>
      <c r="D10" s="12" t="n">
        <v>0.5</v>
      </c>
      <c r="E10" s="16" t="n">
        <f aca="false">C10*D10</f>
        <v>125</v>
      </c>
      <c r="F10" s="28"/>
      <c r="G10" s="28" t="s">
        <v>121</v>
      </c>
    </row>
    <row r="11" customFormat="false" ht="46.25" hidden="false" customHeight="false" outlineLevel="0" collapsed="false">
      <c r="A11" s="5" t="s">
        <v>30</v>
      </c>
      <c r="B11" s="28" t="s">
        <v>116</v>
      </c>
      <c r="C11" s="6" t="n">
        <v>197</v>
      </c>
      <c r="D11" s="12" t="n">
        <v>0.3</v>
      </c>
      <c r="E11" s="16" t="n">
        <f aca="false">C11*D11</f>
        <v>59.1</v>
      </c>
      <c r="F11" s="28"/>
      <c r="G11" s="28" t="s">
        <v>122</v>
      </c>
    </row>
    <row r="12" customFormat="false" ht="23.85" hidden="false" customHeight="false" outlineLevel="0" collapsed="false">
      <c r="A12" s="5" t="s">
        <v>30</v>
      </c>
      <c r="B12" s="28" t="s">
        <v>114</v>
      </c>
      <c r="C12" s="6" t="n">
        <v>234</v>
      </c>
      <c r="D12" s="12" t="n">
        <v>0.2</v>
      </c>
      <c r="E12" s="16" t="n">
        <f aca="false">C12*D12</f>
        <v>46.8</v>
      </c>
      <c r="F12" s="28"/>
      <c r="G12" s="28" t="s">
        <v>123</v>
      </c>
    </row>
    <row r="13" customFormat="false" ht="46.25" hidden="false" customHeight="false" outlineLevel="0" collapsed="false">
      <c r="A13" s="29" t="s">
        <v>30</v>
      </c>
      <c r="B13" s="29" t="s">
        <v>118</v>
      </c>
      <c r="C13" s="30" t="n">
        <f aca="false">IF(SUM(D10:D12)&gt;0,SUMPRODUCT(C10:C12,D10:D12)/SUM(D10:D12),"")</f>
        <v>230.9</v>
      </c>
      <c r="D13" s="31" t="n">
        <f aca="false">SUM(D10:D12)</f>
        <v>1</v>
      </c>
      <c r="E13" s="32" t="n">
        <v>231</v>
      </c>
      <c r="F13" s="29" t="s">
        <v>119</v>
      </c>
      <c r="G13" s="33" t="s">
        <v>124</v>
      </c>
    </row>
    <row r="15" customFormat="false" ht="46.25" hidden="false" customHeight="false" outlineLevel="0" collapsed="false">
      <c r="A15" s="5" t="s">
        <v>31</v>
      </c>
      <c r="B15" s="28" t="s">
        <v>112</v>
      </c>
      <c r="C15" s="6" t="n">
        <v>237</v>
      </c>
      <c r="D15" s="12" t="n">
        <v>0.5</v>
      </c>
      <c r="E15" s="16" t="n">
        <f aca="false">C15*D15</f>
        <v>118.5</v>
      </c>
      <c r="F15" s="28"/>
      <c r="G15" s="28" t="s">
        <v>125</v>
      </c>
    </row>
    <row r="16" customFormat="false" ht="35.05" hidden="false" customHeight="false" outlineLevel="0" collapsed="false">
      <c r="A16" s="5" t="s">
        <v>31</v>
      </c>
      <c r="B16" s="28" t="s">
        <v>116</v>
      </c>
      <c r="C16" s="6" t="n">
        <v>198</v>
      </c>
      <c r="D16" s="12" t="n">
        <v>0.3</v>
      </c>
      <c r="E16" s="16" t="n">
        <f aca="false">C16*D16</f>
        <v>59.4</v>
      </c>
      <c r="F16" s="28"/>
      <c r="G16" s="28" t="s">
        <v>126</v>
      </c>
    </row>
    <row r="17" customFormat="false" ht="35.05" hidden="false" customHeight="false" outlineLevel="0" collapsed="false">
      <c r="A17" s="5" t="s">
        <v>31</v>
      </c>
      <c r="B17" s="28" t="s">
        <v>114</v>
      </c>
      <c r="C17" s="6" t="n">
        <v>212</v>
      </c>
      <c r="D17" s="12" t="n">
        <v>0.2</v>
      </c>
      <c r="E17" s="16" t="n">
        <f aca="false">C17*D17</f>
        <v>42.4</v>
      </c>
      <c r="F17" s="28"/>
      <c r="G17" s="28" t="s">
        <v>127</v>
      </c>
    </row>
    <row r="18" customFormat="false" ht="35.05" hidden="false" customHeight="false" outlineLevel="0" collapsed="false">
      <c r="A18" s="29" t="s">
        <v>31</v>
      </c>
      <c r="B18" s="29" t="s">
        <v>118</v>
      </c>
      <c r="C18" s="30" t="n">
        <f aca="false">IF(SUM(D15:D17)&gt;0,SUMPRODUCT(C15:C17,D15:D17)/SUM(D15:D17),"")</f>
        <v>220.3</v>
      </c>
      <c r="D18" s="31" t="n">
        <f aca="false">SUM(D15:D17)</f>
        <v>1</v>
      </c>
      <c r="E18" s="32" t="n">
        <v>220</v>
      </c>
      <c r="F18" s="29" t="s">
        <v>119</v>
      </c>
      <c r="G18" s="33" t="s">
        <v>128</v>
      </c>
    </row>
    <row r="20" customFormat="false" ht="46.25" hidden="false" customHeight="false" outlineLevel="0" collapsed="false">
      <c r="A20" s="5" t="s">
        <v>32</v>
      </c>
      <c r="B20" s="28" t="s">
        <v>112</v>
      </c>
      <c r="C20" s="6" t="n">
        <v>225</v>
      </c>
      <c r="D20" s="12" t="n">
        <v>0.5</v>
      </c>
      <c r="E20" s="16" t="n">
        <f aca="false">C20*D20</f>
        <v>112.5</v>
      </c>
      <c r="F20" s="28"/>
      <c r="G20" s="28" t="s">
        <v>129</v>
      </c>
    </row>
    <row r="21" customFormat="false" ht="35.05" hidden="false" customHeight="false" outlineLevel="0" collapsed="false">
      <c r="A21" s="5" t="s">
        <v>32</v>
      </c>
      <c r="B21" s="28" t="s">
        <v>114</v>
      </c>
      <c r="C21" s="6" t="n">
        <v>184</v>
      </c>
      <c r="D21" s="12" t="n">
        <v>0.25</v>
      </c>
      <c r="E21" s="16" t="n">
        <f aca="false">C21*D21</f>
        <v>46</v>
      </c>
      <c r="F21" s="28"/>
      <c r="G21" s="28" t="s">
        <v>130</v>
      </c>
    </row>
    <row r="22" customFormat="false" ht="35.05" hidden="false" customHeight="false" outlineLevel="0" collapsed="false">
      <c r="A22" s="5" t="s">
        <v>32</v>
      </c>
      <c r="B22" s="28" t="s">
        <v>116</v>
      </c>
      <c r="C22" s="6" t="n">
        <v>230</v>
      </c>
      <c r="D22" s="12" t="n">
        <v>0.25</v>
      </c>
      <c r="E22" s="16" t="n">
        <f aca="false">C22*D22</f>
        <v>57.5</v>
      </c>
      <c r="F22" s="28"/>
      <c r="G22" s="28" t="s">
        <v>131</v>
      </c>
    </row>
    <row r="23" customFormat="false" ht="46.25" hidden="false" customHeight="false" outlineLevel="0" collapsed="false">
      <c r="A23" s="29" t="s">
        <v>32</v>
      </c>
      <c r="B23" s="29" t="s">
        <v>118</v>
      </c>
      <c r="C23" s="30" t="n">
        <f aca="false">IF(SUM(D20:D22)&gt;0,SUMPRODUCT(C20:C22,D20:D22)/SUM(D20:D22),"")</f>
        <v>216</v>
      </c>
      <c r="D23" s="31" t="n">
        <f aca="false">SUM(D20:D22)</f>
        <v>1</v>
      </c>
      <c r="E23" s="32" t="n">
        <v>216</v>
      </c>
      <c r="F23" s="29" t="s">
        <v>119</v>
      </c>
      <c r="G23" s="33" t="s">
        <v>132</v>
      </c>
    </row>
    <row r="25" customFormat="false" ht="46.25" hidden="false" customHeight="false" outlineLevel="0" collapsed="false">
      <c r="A25" s="5" t="s">
        <v>33</v>
      </c>
      <c r="B25" s="28" t="s">
        <v>112</v>
      </c>
      <c r="C25" s="6" t="n">
        <v>238</v>
      </c>
      <c r="D25" s="12" t="n">
        <v>0.45</v>
      </c>
      <c r="E25" s="16" t="n">
        <f aca="false">C25*D25</f>
        <v>107.1</v>
      </c>
      <c r="F25" s="28"/>
      <c r="G25" s="28" t="s">
        <v>133</v>
      </c>
    </row>
    <row r="26" customFormat="false" ht="35.05" hidden="false" customHeight="false" outlineLevel="0" collapsed="false">
      <c r="A26" s="5" t="s">
        <v>33</v>
      </c>
      <c r="B26" s="28" t="s">
        <v>114</v>
      </c>
      <c r="C26" s="6" t="n">
        <v>240</v>
      </c>
      <c r="D26" s="12" t="n">
        <v>0.25</v>
      </c>
      <c r="E26" s="16" t="n">
        <f aca="false">C26*D26</f>
        <v>60</v>
      </c>
      <c r="F26" s="28"/>
      <c r="G26" s="28" t="s">
        <v>134</v>
      </c>
    </row>
    <row r="27" customFormat="false" ht="35.05" hidden="false" customHeight="false" outlineLevel="0" collapsed="false">
      <c r="A27" s="5" t="s">
        <v>33</v>
      </c>
      <c r="B27" s="28" t="s">
        <v>116</v>
      </c>
      <c r="C27" s="6" t="n">
        <v>190</v>
      </c>
      <c r="D27" s="12" t="n">
        <v>0.3</v>
      </c>
      <c r="E27" s="16" t="n">
        <f aca="false">C27*D27</f>
        <v>57</v>
      </c>
      <c r="F27" s="28"/>
      <c r="G27" s="28" t="s">
        <v>135</v>
      </c>
    </row>
    <row r="28" customFormat="false" ht="35.05" hidden="false" customHeight="false" outlineLevel="0" collapsed="false">
      <c r="A28" s="29" t="s">
        <v>33</v>
      </c>
      <c r="B28" s="29" t="s">
        <v>118</v>
      </c>
      <c r="C28" s="30" t="n">
        <f aca="false">IF(SUM(D25:D27)&gt;0,SUMPRODUCT(C25:C27,D25:D27)/SUM(D25:D27),"")</f>
        <v>224.1</v>
      </c>
      <c r="D28" s="31" t="n">
        <f aca="false">SUM(D25:D27)</f>
        <v>1</v>
      </c>
      <c r="E28" s="32" t="n">
        <v>224</v>
      </c>
      <c r="F28" s="29" t="s">
        <v>119</v>
      </c>
      <c r="G28" s="33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3"/>
    <col collapsed="false" customWidth="true" hidden="false" outlineLevel="0" max="7" min="5" style="0" width="50"/>
  </cols>
  <sheetData>
    <row r="1" customFormat="false" ht="17.35" hidden="false" customHeight="false" outlineLevel="0" collapsed="false">
      <c r="A1" s="1" t="s">
        <v>137</v>
      </c>
    </row>
    <row r="2" customFormat="false" ht="15" hidden="false" customHeight="false" outlineLevel="0" collapsed="false">
      <c r="A2" s="2" t="s">
        <v>138</v>
      </c>
    </row>
    <row r="4" customFormat="false" ht="23.85" hidden="false" customHeight="false" outlineLevel="0" collapsed="false">
      <c r="A4" s="23" t="s">
        <v>105</v>
      </c>
      <c r="B4" s="23" t="s">
        <v>139</v>
      </c>
      <c r="C4" s="23" t="s">
        <v>140</v>
      </c>
      <c r="D4" s="23" t="s">
        <v>141</v>
      </c>
      <c r="E4" s="23" t="s">
        <v>142</v>
      </c>
      <c r="F4" s="23" t="s">
        <v>143</v>
      </c>
      <c r="G4" s="23" t="s">
        <v>144</v>
      </c>
    </row>
    <row r="5" customFormat="false" ht="68.65" hidden="false" customHeight="false" outlineLevel="0" collapsed="false">
      <c r="A5" s="5" t="s">
        <v>29</v>
      </c>
      <c r="B5" s="6" t="n">
        <v>110</v>
      </c>
      <c r="C5" s="6" t="n">
        <v>228</v>
      </c>
      <c r="D5" s="6" t="n">
        <v>350</v>
      </c>
      <c r="E5" s="28" t="s">
        <v>145</v>
      </c>
      <c r="F5" s="28" t="s">
        <v>146</v>
      </c>
      <c r="G5" s="28" t="s">
        <v>147</v>
      </c>
    </row>
    <row r="6" customFormat="false" ht="102.2" hidden="false" customHeight="false" outlineLevel="0" collapsed="false">
      <c r="A6" s="5" t="s">
        <v>30</v>
      </c>
      <c r="B6" s="6" t="n">
        <v>120</v>
      </c>
      <c r="C6" s="6" t="n">
        <v>232</v>
      </c>
      <c r="D6" s="6" t="n">
        <v>370</v>
      </c>
      <c r="E6" s="28" t="s">
        <v>148</v>
      </c>
      <c r="F6" s="28" t="s">
        <v>149</v>
      </c>
      <c r="G6" s="28" t="s">
        <v>150</v>
      </c>
    </row>
    <row r="7" customFormat="false" ht="68.65" hidden="false" customHeight="false" outlineLevel="0" collapsed="false">
      <c r="A7" s="5" t="s">
        <v>31</v>
      </c>
      <c r="B7" s="6" t="n">
        <v>108</v>
      </c>
      <c r="C7" s="6" t="n">
        <v>240</v>
      </c>
      <c r="D7" s="6" t="n">
        <v>365</v>
      </c>
      <c r="E7" s="28" t="s">
        <v>151</v>
      </c>
      <c r="F7" s="28" t="s">
        <v>152</v>
      </c>
      <c r="G7" s="28" t="s">
        <v>153</v>
      </c>
    </row>
    <row r="8" customFormat="false" ht="91" hidden="false" customHeight="false" outlineLevel="0" collapsed="false">
      <c r="A8" s="5" t="s">
        <v>32</v>
      </c>
      <c r="B8" s="6" t="n">
        <v>100</v>
      </c>
      <c r="C8" s="6" t="n">
        <v>220</v>
      </c>
      <c r="D8" s="6" t="n">
        <v>345</v>
      </c>
      <c r="E8" s="28" t="s">
        <v>154</v>
      </c>
      <c r="F8" s="28" t="s">
        <v>155</v>
      </c>
      <c r="G8" s="28" t="s">
        <v>156</v>
      </c>
    </row>
    <row r="9" customFormat="false" ht="79.85" hidden="false" customHeight="false" outlineLevel="0" collapsed="false">
      <c r="A9" s="5" t="s">
        <v>33</v>
      </c>
      <c r="B9" s="6" t="n">
        <v>115</v>
      </c>
      <c r="C9" s="6" t="n">
        <v>240</v>
      </c>
      <c r="D9" s="6" t="n">
        <v>380</v>
      </c>
      <c r="E9" s="28" t="s">
        <v>157</v>
      </c>
      <c r="F9" s="28" t="s">
        <v>158</v>
      </c>
      <c r="G9" s="28" t="s">
        <v>159</v>
      </c>
    </row>
    <row r="10" customFormat="false" ht="15" hidden="false" customHeight="false" outlineLevel="0" collapsed="false">
      <c r="A10" s="14" t="s">
        <v>160</v>
      </c>
      <c r="B10" s="15" t="n">
        <f aca="false">AVERAGE(B5:B9)</f>
        <v>110.6</v>
      </c>
      <c r="C10" s="15" t="n">
        <f aca="false">AVERAGE(C5:C9)</f>
        <v>232</v>
      </c>
      <c r="D10" s="15" t="n">
        <f aca="false">AVERAGE(D5:D9)</f>
        <v>362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2"/>
    <col collapsed="false" customWidth="true" hidden="false" outlineLevel="0" max="5" min="5" style="0" width="90"/>
    <col collapsed="false" customWidth="true" hidden="false" outlineLevel="0" max="6" min="6" style="0" width="50"/>
    <col collapsed="false" customWidth="true" hidden="false" outlineLevel="0" max="7" min="7" style="0" width="60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161</v>
      </c>
    </row>
    <row r="2" customFormat="false" ht="15" hidden="false" customHeight="false" outlineLevel="0" collapsed="false">
      <c r="A2" s="2" t="s">
        <v>162</v>
      </c>
    </row>
    <row r="4" customFormat="false" ht="35.05" hidden="false" customHeight="false" outlineLevel="0" collapsed="false">
      <c r="A4" s="23" t="s">
        <v>105</v>
      </c>
      <c r="B4" s="23" t="s">
        <v>163</v>
      </c>
      <c r="C4" s="23" t="s">
        <v>164</v>
      </c>
      <c r="D4" s="23" t="s">
        <v>165</v>
      </c>
      <c r="E4" s="23" t="s">
        <v>66</v>
      </c>
      <c r="F4" s="23" t="s">
        <v>166</v>
      </c>
      <c r="G4" s="23" t="s">
        <v>167</v>
      </c>
      <c r="H4" s="23" t="s">
        <v>168</v>
      </c>
    </row>
    <row r="5" customFormat="false" ht="281.3" hidden="false" customHeight="false" outlineLevel="0" collapsed="false">
      <c r="A5" s="5" t="s">
        <v>29</v>
      </c>
      <c r="B5" s="6"/>
      <c r="C5" s="6" t="n">
        <v>224</v>
      </c>
      <c r="D5" s="6" t="n">
        <v>125</v>
      </c>
      <c r="E5" s="28" t="s">
        <v>169</v>
      </c>
      <c r="F5" s="28" t="s">
        <v>170</v>
      </c>
      <c r="G5" s="28" t="s">
        <v>171</v>
      </c>
      <c r="H5" s="28" t="s">
        <v>172</v>
      </c>
    </row>
    <row r="6" customFormat="false" ht="281.3" hidden="false" customHeight="false" outlineLevel="0" collapsed="false">
      <c r="A6" s="5" t="s">
        <v>30</v>
      </c>
      <c r="B6" s="6"/>
      <c r="C6" s="6" t="n">
        <v>231</v>
      </c>
      <c r="D6" s="6" t="n">
        <v>125</v>
      </c>
      <c r="E6" s="28" t="s">
        <v>173</v>
      </c>
      <c r="F6" s="28" t="s">
        <v>174</v>
      </c>
      <c r="G6" s="28" t="s">
        <v>175</v>
      </c>
      <c r="H6" s="28" t="s">
        <v>176</v>
      </c>
    </row>
    <row r="7" customFormat="false" ht="337.3" hidden="false" customHeight="false" outlineLevel="0" collapsed="false">
      <c r="A7" s="5" t="s">
        <v>31</v>
      </c>
      <c r="B7" s="6"/>
      <c r="C7" s="6" t="n">
        <v>220</v>
      </c>
      <c r="D7" s="6" t="n">
        <v>125</v>
      </c>
      <c r="E7" s="28" t="s">
        <v>177</v>
      </c>
      <c r="F7" s="28" t="s">
        <v>178</v>
      </c>
      <c r="G7" s="28" t="s">
        <v>179</v>
      </c>
      <c r="H7" s="28" t="s">
        <v>180</v>
      </c>
    </row>
    <row r="8" customFormat="false" ht="337.3" hidden="false" customHeight="false" outlineLevel="0" collapsed="false">
      <c r="A8" s="5" t="s">
        <v>32</v>
      </c>
      <c r="B8" s="6"/>
      <c r="C8" s="6" t="n">
        <v>216</v>
      </c>
      <c r="D8" s="6" t="n">
        <v>125</v>
      </c>
      <c r="E8" s="28" t="s">
        <v>181</v>
      </c>
      <c r="F8" s="28" t="s">
        <v>182</v>
      </c>
      <c r="G8" s="28" t="s">
        <v>183</v>
      </c>
      <c r="H8" s="28" t="s">
        <v>184</v>
      </c>
    </row>
    <row r="9" customFormat="false" ht="415.65" hidden="false" customHeight="false" outlineLevel="0" collapsed="false">
      <c r="A9" s="5" t="s">
        <v>33</v>
      </c>
      <c r="B9" s="6"/>
      <c r="C9" s="6" t="n">
        <v>224</v>
      </c>
      <c r="D9" s="6" t="n">
        <v>125</v>
      </c>
      <c r="E9" s="28" t="s">
        <v>185</v>
      </c>
      <c r="F9" s="28" t="s">
        <v>186</v>
      </c>
      <c r="G9" s="28" t="s">
        <v>187</v>
      </c>
      <c r="H9" s="28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60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189</v>
      </c>
    </row>
    <row r="2" customFormat="false" ht="15" hidden="false" customHeight="false" outlineLevel="0" collapsed="false">
      <c r="A2" s="2" t="s">
        <v>190</v>
      </c>
    </row>
    <row r="4" customFormat="false" ht="46.25" hidden="false" customHeight="true" outlineLevel="0" collapsed="false">
      <c r="A4" s="14" t="s">
        <v>191</v>
      </c>
      <c r="B4" s="34" t="s">
        <v>192</v>
      </c>
      <c r="C4" s="34"/>
      <c r="D4" s="34"/>
    </row>
    <row r="5" customFormat="false" ht="46.25" hidden="false" customHeight="true" outlineLevel="0" collapsed="false">
      <c r="A5" s="14" t="s">
        <v>193</v>
      </c>
      <c r="B5" s="34" t="s">
        <v>37</v>
      </c>
      <c r="C5" s="34"/>
      <c r="D5" s="34"/>
    </row>
    <row r="6" customFormat="false" ht="91" hidden="false" customHeight="true" outlineLevel="0" collapsed="false">
      <c r="A6" s="14" t="s">
        <v>194</v>
      </c>
      <c r="B6" s="34" t="s">
        <v>195</v>
      </c>
      <c r="C6" s="34"/>
      <c r="D6" s="34"/>
    </row>
    <row r="8" customFormat="false" ht="15" hidden="false" customHeight="false" outlineLevel="0" collapsed="false">
      <c r="A8" s="35" t="s">
        <v>196</v>
      </c>
    </row>
    <row r="9" customFormat="false" ht="15" hidden="false" customHeight="false" outlineLevel="0" collapsed="false">
      <c r="A9" s="36" t="s">
        <v>197</v>
      </c>
      <c r="B9" s="36" t="s">
        <v>198</v>
      </c>
      <c r="C9" s="36" t="s">
        <v>199</v>
      </c>
      <c r="D9" s="36" t="s">
        <v>200</v>
      </c>
    </row>
    <row r="10" customFormat="false" ht="113.4" hidden="false" customHeight="false" outlineLevel="0" collapsed="false">
      <c r="A10" s="28" t="s">
        <v>201</v>
      </c>
      <c r="B10" s="28" t="s">
        <v>202</v>
      </c>
      <c r="C10" s="28" t="s">
        <v>203</v>
      </c>
      <c r="D10" s="28" t="s">
        <v>204</v>
      </c>
    </row>
    <row r="11" customFormat="false" ht="124.6" hidden="false" customHeight="false" outlineLevel="0" collapsed="false">
      <c r="A11" s="28" t="s">
        <v>205</v>
      </c>
      <c r="B11" s="28" t="s">
        <v>206</v>
      </c>
      <c r="C11" s="28" t="s">
        <v>207</v>
      </c>
      <c r="D11" s="28" t="s">
        <v>208</v>
      </c>
    </row>
    <row r="12" customFormat="false" ht="79.85" hidden="false" customHeight="false" outlineLevel="0" collapsed="false">
      <c r="A12" s="28" t="s">
        <v>209</v>
      </c>
      <c r="B12" s="28" t="s">
        <v>210</v>
      </c>
      <c r="C12" s="28" t="s">
        <v>211</v>
      </c>
      <c r="D12" s="28" t="s">
        <v>212</v>
      </c>
    </row>
    <row r="13" customFormat="false" ht="91" hidden="false" customHeight="false" outlineLevel="0" collapsed="false">
      <c r="A13" s="28" t="s">
        <v>213</v>
      </c>
      <c r="B13" s="28" t="s">
        <v>214</v>
      </c>
      <c r="C13" s="28" t="s">
        <v>215</v>
      </c>
      <c r="D13" s="28" t="s">
        <v>216</v>
      </c>
    </row>
    <row r="14" customFormat="false" ht="35.05" hidden="false" customHeight="false" outlineLevel="0" collapsed="false">
      <c r="A14" s="28" t="s">
        <v>217</v>
      </c>
      <c r="B14" s="28" t="s">
        <v>218</v>
      </c>
      <c r="C14" s="28" t="s">
        <v>219</v>
      </c>
      <c r="D14" s="28" t="s">
        <v>220</v>
      </c>
    </row>
    <row r="16" customFormat="false" ht="15" hidden="false" customHeight="false" outlineLevel="0" collapsed="false">
      <c r="A16" s="35" t="s">
        <v>221</v>
      </c>
    </row>
    <row r="17" customFormat="false" ht="15" hidden="false" customHeight="false" outlineLevel="0" collapsed="false">
      <c r="A17" s="36" t="s">
        <v>222</v>
      </c>
      <c r="B17" s="36" t="s">
        <v>223</v>
      </c>
      <c r="C17" s="36" t="s">
        <v>224</v>
      </c>
      <c r="D17" s="36" t="s">
        <v>225</v>
      </c>
    </row>
    <row r="18" customFormat="false" ht="35.05" hidden="false" customHeight="false" outlineLevel="0" collapsed="false">
      <c r="A18" s="28" t="s">
        <v>226</v>
      </c>
      <c r="B18" s="28" t="s">
        <v>227</v>
      </c>
      <c r="C18" s="28" t="s">
        <v>228</v>
      </c>
      <c r="D18" s="28" t="s">
        <v>229</v>
      </c>
    </row>
    <row r="19" customFormat="false" ht="23.85" hidden="false" customHeight="false" outlineLevel="0" collapsed="false">
      <c r="A19" s="28" t="s">
        <v>230</v>
      </c>
      <c r="B19" s="28" t="s">
        <v>231</v>
      </c>
      <c r="C19" s="28" t="s">
        <v>232</v>
      </c>
      <c r="D19" s="28" t="s">
        <v>233</v>
      </c>
    </row>
    <row r="20" customFormat="false" ht="35.05" hidden="false" customHeight="false" outlineLevel="0" collapsed="false">
      <c r="A20" s="28" t="s">
        <v>234</v>
      </c>
      <c r="B20" s="28" t="s">
        <v>235</v>
      </c>
      <c r="C20" s="28" t="s">
        <v>236</v>
      </c>
      <c r="D20" s="28" t="s">
        <v>237</v>
      </c>
    </row>
    <row r="21" customFormat="false" ht="23.85" hidden="false" customHeight="false" outlineLevel="0" collapsed="false">
      <c r="A21" s="28" t="s">
        <v>238</v>
      </c>
      <c r="B21" s="28" t="s">
        <v>239</v>
      </c>
      <c r="C21" s="28" t="s">
        <v>240</v>
      </c>
      <c r="D21" s="28" t="s">
        <v>241</v>
      </c>
    </row>
    <row r="22" customFormat="false" ht="35.05" hidden="false" customHeight="false" outlineLevel="0" collapsed="false">
      <c r="A22" s="28" t="s">
        <v>242</v>
      </c>
      <c r="B22" s="28" t="s">
        <v>243</v>
      </c>
      <c r="C22" s="28" t="s">
        <v>244</v>
      </c>
      <c r="D22" s="28" t="s">
        <v>245</v>
      </c>
    </row>
    <row r="23" customFormat="false" ht="23.85" hidden="false" customHeight="false" outlineLevel="0" collapsed="false">
      <c r="A23" s="28" t="s">
        <v>246</v>
      </c>
      <c r="B23" s="28" t="s">
        <v>247</v>
      </c>
      <c r="C23" s="28" t="s">
        <v>248</v>
      </c>
      <c r="D23" s="28" t="s">
        <v>249</v>
      </c>
    </row>
    <row r="24" customFormat="false" ht="15" hidden="false" customHeight="false" outlineLevel="0" collapsed="false">
      <c r="A24" s="28" t="s">
        <v>250</v>
      </c>
      <c r="B24" s="28" t="s">
        <v>251</v>
      </c>
      <c r="C24" s="28" t="s">
        <v>252</v>
      </c>
      <c r="D24" s="28" t="s">
        <v>253</v>
      </c>
    </row>
    <row r="25" customFormat="false" ht="35.05" hidden="false" customHeight="false" outlineLevel="0" collapsed="false">
      <c r="A25" s="28" t="s">
        <v>254</v>
      </c>
      <c r="B25" s="28" t="s">
        <v>255</v>
      </c>
      <c r="C25" s="28" t="s">
        <v>256</v>
      </c>
      <c r="D25" s="28" t="s">
        <v>257</v>
      </c>
    </row>
    <row r="26" customFormat="false" ht="35.05" hidden="false" customHeight="false" outlineLevel="0" collapsed="false">
      <c r="A26" s="28" t="s">
        <v>165</v>
      </c>
      <c r="B26" s="28" t="s">
        <v>258</v>
      </c>
      <c r="C26" s="28" t="s">
        <v>259</v>
      </c>
      <c r="D26" s="28" t="s">
        <v>260</v>
      </c>
    </row>
    <row r="28" customFormat="false" ht="15" hidden="false" customHeight="false" outlineLevel="0" collapsed="false">
      <c r="A28" s="35" t="s">
        <v>261</v>
      </c>
    </row>
    <row r="29" customFormat="false" ht="35.05" hidden="false" customHeight="true" outlineLevel="0" collapsed="false">
      <c r="B29" s="34" t="s">
        <v>262</v>
      </c>
      <c r="C29" s="34"/>
      <c r="D29" s="34"/>
    </row>
    <row r="30" customFormat="false" ht="15" hidden="false" customHeight="true" outlineLevel="0" collapsed="false">
      <c r="B30" s="34" t="s">
        <v>263</v>
      </c>
      <c r="C30" s="34"/>
      <c r="D30" s="34"/>
    </row>
    <row r="31" customFormat="false" ht="15" hidden="false" customHeight="true" outlineLevel="0" collapsed="false">
      <c r="B31" s="34" t="s">
        <v>264</v>
      </c>
      <c r="C31" s="34"/>
      <c r="D31" s="34"/>
    </row>
    <row r="32" customFormat="false" ht="15" hidden="false" customHeight="true" outlineLevel="0" collapsed="false">
      <c r="B32" s="34" t="s">
        <v>265</v>
      </c>
      <c r="C32" s="34"/>
      <c r="D32" s="34"/>
    </row>
    <row r="33" customFormat="false" ht="23.85" hidden="false" customHeight="true" outlineLevel="0" collapsed="false">
      <c r="B33" s="34" t="s">
        <v>266</v>
      </c>
      <c r="C33" s="34"/>
      <c r="D33" s="34"/>
    </row>
    <row r="34" customFormat="false" ht="15" hidden="false" customHeight="true" outlineLevel="0" collapsed="false">
      <c r="B34" s="34" t="s">
        <v>267</v>
      </c>
      <c r="C34" s="34"/>
      <c r="D34" s="34"/>
    </row>
    <row r="35" customFormat="false" ht="23.85" hidden="false" customHeight="true" outlineLevel="0" collapsed="false">
      <c r="B35" s="34" t="s">
        <v>268</v>
      </c>
      <c r="C35" s="34"/>
      <c r="D35" s="34"/>
    </row>
    <row r="36" customFormat="false" ht="15" hidden="false" customHeight="true" outlineLevel="0" collapsed="false">
      <c r="B36" s="34" t="s">
        <v>269</v>
      </c>
      <c r="C36" s="34"/>
      <c r="D36" s="34"/>
    </row>
    <row r="37" customFormat="false" ht="15" hidden="false" customHeight="true" outlineLevel="0" collapsed="false">
      <c r="B37" s="34" t="s">
        <v>270</v>
      </c>
      <c r="C37" s="34"/>
      <c r="D37" s="34"/>
    </row>
    <row r="38" customFormat="false" ht="23.85" hidden="false" customHeight="true" outlineLevel="0" collapsed="false">
      <c r="B38" s="34" t="s">
        <v>271</v>
      </c>
      <c r="C38" s="34"/>
      <c r="D38" s="34"/>
    </row>
    <row r="39" customFormat="false" ht="23.85" hidden="false" customHeight="true" outlineLevel="0" collapsed="false">
      <c r="B39" s="34" t="s">
        <v>272</v>
      </c>
      <c r="C39" s="34"/>
      <c r="D39" s="34"/>
    </row>
    <row r="40" customFormat="false" ht="23.85" hidden="false" customHeight="true" outlineLevel="0" collapsed="false">
      <c r="B40" s="34" t="s">
        <v>273</v>
      </c>
      <c r="C40" s="34"/>
      <c r="D40" s="34"/>
    </row>
    <row r="41" customFormat="false" ht="23.85" hidden="false" customHeight="true" outlineLevel="0" collapsed="false">
      <c r="B41" s="34" t="s">
        <v>274</v>
      </c>
      <c r="C41" s="34"/>
      <c r="D41" s="34"/>
    </row>
    <row r="42" customFormat="false" ht="23.85" hidden="false" customHeight="true" outlineLevel="0" collapsed="false">
      <c r="B42" s="34" t="s">
        <v>275</v>
      </c>
      <c r="C42" s="34"/>
      <c r="D42" s="34"/>
    </row>
    <row r="43" customFormat="false" ht="23.85" hidden="false" customHeight="true" outlineLevel="0" collapsed="false">
      <c r="B43" s="34" t="s">
        <v>276</v>
      </c>
      <c r="C43" s="34"/>
      <c r="D43" s="34"/>
    </row>
    <row r="44" customFormat="false" ht="35.05" hidden="false" customHeight="true" outlineLevel="0" collapsed="false">
      <c r="B44" s="34" t="s">
        <v>277</v>
      </c>
      <c r="C44" s="34"/>
      <c r="D44" s="34"/>
    </row>
    <row r="45" customFormat="false" ht="23.85" hidden="false" customHeight="true" outlineLevel="0" collapsed="false">
      <c r="B45" s="34" t="s">
        <v>278</v>
      </c>
      <c r="C45" s="34"/>
      <c r="D45" s="34"/>
    </row>
    <row r="46" customFormat="false" ht="23.85" hidden="false" customHeight="true" outlineLevel="0" collapsed="false">
      <c r="B46" s="34" t="s">
        <v>279</v>
      </c>
      <c r="C46" s="34"/>
      <c r="D46" s="34"/>
    </row>
    <row r="47" customFormat="false" ht="23.85" hidden="false" customHeight="true" outlineLevel="0" collapsed="false">
      <c r="B47" s="34" t="s">
        <v>280</v>
      </c>
      <c r="C47" s="34"/>
      <c r="D47" s="34"/>
    </row>
    <row r="48" customFormat="false" ht="23.85" hidden="false" customHeight="true" outlineLevel="0" collapsed="false">
      <c r="B48" s="34" t="s">
        <v>281</v>
      </c>
      <c r="C48" s="34"/>
      <c r="D48" s="34"/>
    </row>
    <row r="49" customFormat="false" ht="15" hidden="false" customHeight="true" outlineLevel="0" collapsed="false">
      <c r="B49" s="34" t="s">
        <v>282</v>
      </c>
      <c r="C49" s="34"/>
      <c r="D49" s="34"/>
    </row>
    <row r="50" customFormat="false" ht="23.85" hidden="false" customHeight="true" outlineLevel="0" collapsed="false">
      <c r="B50" s="34" t="s">
        <v>283</v>
      </c>
      <c r="C50" s="34"/>
      <c r="D50" s="34"/>
    </row>
    <row r="51" customFormat="false" ht="15" hidden="false" customHeight="true" outlineLevel="0" collapsed="false">
      <c r="B51" s="34" t="s">
        <v>284</v>
      </c>
      <c r="C51" s="34"/>
      <c r="D51" s="34"/>
    </row>
    <row r="52" customFormat="false" ht="35.05" hidden="false" customHeight="true" outlineLevel="0" collapsed="false">
      <c r="B52" s="34" t="s">
        <v>285</v>
      </c>
      <c r="C52" s="34"/>
      <c r="D52" s="34"/>
    </row>
    <row r="53" customFormat="false" ht="35.05" hidden="false" customHeight="true" outlineLevel="0" collapsed="false">
      <c r="B53" s="34" t="s">
        <v>286</v>
      </c>
      <c r="C53" s="34"/>
      <c r="D53" s="34"/>
    </row>
    <row r="54" customFormat="false" ht="15" hidden="false" customHeight="true" outlineLevel="0" collapsed="false">
      <c r="B54" s="34" t="s">
        <v>287</v>
      </c>
      <c r="C54" s="34"/>
      <c r="D54" s="34"/>
    </row>
    <row r="55" customFormat="false" ht="35.05" hidden="false" customHeight="true" outlineLevel="0" collapsed="false">
      <c r="B55" s="34" t="s">
        <v>288</v>
      </c>
      <c r="C55" s="34"/>
      <c r="D55" s="34"/>
    </row>
    <row r="56" customFormat="false" ht="23.85" hidden="false" customHeight="true" outlineLevel="0" collapsed="false">
      <c r="B56" s="34" t="s">
        <v>289</v>
      </c>
      <c r="C56" s="34"/>
      <c r="D56" s="34"/>
    </row>
    <row r="57" customFormat="false" ht="15" hidden="false" customHeight="true" outlineLevel="0" collapsed="false">
      <c r="B57" s="34" t="s">
        <v>290</v>
      </c>
      <c r="C57" s="34"/>
      <c r="D57" s="34"/>
    </row>
    <row r="58" customFormat="false" ht="23.85" hidden="false" customHeight="true" outlineLevel="0" collapsed="false">
      <c r="B58" s="34" t="s">
        <v>291</v>
      </c>
      <c r="C58" s="34"/>
      <c r="D58" s="34"/>
    </row>
    <row r="59" customFormat="false" ht="15" hidden="false" customHeight="true" outlineLevel="0" collapsed="false">
      <c r="B59" s="34" t="s">
        <v>292</v>
      </c>
      <c r="C59" s="34"/>
      <c r="D59" s="34"/>
    </row>
    <row r="60" customFormat="false" ht="35.05" hidden="false" customHeight="true" outlineLevel="0" collapsed="false">
      <c r="B60" s="34" t="s">
        <v>293</v>
      </c>
      <c r="C60" s="34"/>
      <c r="D60" s="34"/>
    </row>
    <row r="61" customFormat="false" ht="23.85" hidden="false" customHeight="true" outlineLevel="0" collapsed="false">
      <c r="B61" s="34" t="s">
        <v>294</v>
      </c>
      <c r="C61" s="34"/>
      <c r="D61" s="34"/>
    </row>
    <row r="62" customFormat="false" ht="23.85" hidden="false" customHeight="true" outlineLevel="0" collapsed="false">
      <c r="B62" s="34" t="s">
        <v>295</v>
      </c>
      <c r="C62" s="34"/>
      <c r="D62" s="34"/>
    </row>
    <row r="63" customFormat="false" ht="23.85" hidden="false" customHeight="true" outlineLevel="0" collapsed="false">
      <c r="B63" s="34" t="s">
        <v>296</v>
      </c>
      <c r="C63" s="34"/>
      <c r="D63" s="34"/>
    </row>
    <row r="64" customFormat="false" ht="15" hidden="false" customHeight="true" outlineLevel="0" collapsed="false">
      <c r="B64" s="34" t="s">
        <v>297</v>
      </c>
      <c r="C64" s="34"/>
      <c r="D64" s="34"/>
    </row>
    <row r="65" customFormat="false" ht="23.85" hidden="false" customHeight="true" outlineLevel="0" collapsed="false">
      <c r="B65" s="34" t="s">
        <v>298</v>
      </c>
      <c r="C65" s="34"/>
      <c r="D65" s="34"/>
    </row>
    <row r="66" customFormat="false" ht="15" hidden="false" customHeight="true" outlineLevel="0" collapsed="false">
      <c r="B66" s="34" t="s">
        <v>299</v>
      </c>
      <c r="C66" s="34"/>
      <c r="D66" s="34"/>
    </row>
    <row r="67" customFormat="false" ht="15" hidden="false" customHeight="true" outlineLevel="0" collapsed="false">
      <c r="B67" s="34" t="s">
        <v>300</v>
      </c>
      <c r="C67" s="34"/>
      <c r="D67" s="34"/>
    </row>
    <row r="68" customFormat="false" ht="23.85" hidden="false" customHeight="true" outlineLevel="0" collapsed="false">
      <c r="B68" s="34" t="s">
        <v>301</v>
      </c>
      <c r="C68" s="34"/>
      <c r="D68" s="34"/>
    </row>
    <row r="69" customFormat="false" ht="46.25" hidden="false" customHeight="true" outlineLevel="0" collapsed="false">
      <c r="B69" s="34" t="s">
        <v>302</v>
      </c>
      <c r="C69" s="34"/>
      <c r="D69" s="34"/>
    </row>
    <row r="70" customFormat="false" ht="15" hidden="false" customHeight="true" outlineLevel="0" collapsed="false">
      <c r="B70" s="34" t="s">
        <v>303</v>
      </c>
      <c r="C70" s="34"/>
      <c r="D70" s="34"/>
    </row>
    <row r="71" customFormat="false" ht="23.85" hidden="false" customHeight="true" outlineLevel="0" collapsed="false">
      <c r="B71" s="34" t="s">
        <v>304</v>
      </c>
      <c r="C71" s="34"/>
      <c r="D71" s="34"/>
    </row>
    <row r="72" customFormat="false" ht="35.05" hidden="false" customHeight="true" outlineLevel="0" collapsed="false">
      <c r="B72" s="34" t="s">
        <v>305</v>
      </c>
      <c r="C72" s="34"/>
      <c r="D72" s="34"/>
    </row>
    <row r="73" customFormat="false" ht="23.85" hidden="false" customHeight="true" outlineLevel="0" collapsed="false">
      <c r="B73" s="34" t="s">
        <v>306</v>
      </c>
      <c r="C73" s="34"/>
      <c r="D73" s="34"/>
    </row>
    <row r="74" customFormat="false" ht="23.85" hidden="false" customHeight="true" outlineLevel="0" collapsed="false">
      <c r="B74" s="34" t="s">
        <v>307</v>
      </c>
      <c r="C74" s="34"/>
      <c r="D74" s="34"/>
    </row>
    <row r="76" customFormat="false" ht="15" hidden="false" customHeight="false" outlineLevel="0" collapsed="false">
      <c r="A76" s="35" t="s">
        <v>308</v>
      </c>
    </row>
    <row r="77" customFormat="false" ht="15" hidden="false" customHeight="false" outlineLevel="0" collapsed="false">
      <c r="A77" s="5" t="s">
        <v>309</v>
      </c>
      <c r="B77" s="28" t="n">
        <v>4</v>
      </c>
    </row>
    <row r="78" customFormat="false" ht="15" hidden="false" customHeight="false" outlineLevel="0" collapsed="false">
      <c r="A78" s="5" t="s">
        <v>310</v>
      </c>
      <c r="B78" s="28" t="s">
        <v>311</v>
      </c>
    </row>
    <row r="79" customFormat="false" ht="23.85" hidden="false" customHeight="false" outlineLevel="0" collapsed="false">
      <c r="A79" s="5" t="s">
        <v>312</v>
      </c>
      <c r="B79" s="28" t="s">
        <v>313</v>
      </c>
    </row>
    <row r="80" customFormat="false" ht="35.05" hidden="false" customHeight="false" outlineLevel="0" collapsed="false">
      <c r="A80" s="5" t="s">
        <v>314</v>
      </c>
      <c r="B80" s="28" t="s">
        <v>315</v>
      </c>
    </row>
    <row r="81" customFormat="false" ht="102.2" hidden="false" customHeight="false" outlineLevel="0" collapsed="false">
      <c r="A81" s="5" t="s">
        <v>316</v>
      </c>
      <c r="B81" s="28" t="s">
        <v>317</v>
      </c>
    </row>
  </sheetData>
  <mergeCells count="49">
    <mergeCell ref="B4:D4"/>
    <mergeCell ref="B5:D5"/>
    <mergeCell ref="B6:D6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318</v>
      </c>
    </row>
    <row r="2" customFormat="false" ht="15" hidden="false" customHeight="false" outlineLevel="0" collapsed="false">
      <c r="A2" s="2" t="s">
        <v>319</v>
      </c>
    </row>
    <row r="4" customFormat="false" ht="15" hidden="false" customHeight="false" outlineLevel="0" collapsed="false">
      <c r="A4" s="23" t="s">
        <v>74</v>
      </c>
      <c r="B4" s="23" t="s">
        <v>320</v>
      </c>
      <c r="C4" s="23" t="s">
        <v>321</v>
      </c>
      <c r="D4" s="23" t="s">
        <v>322</v>
      </c>
      <c r="E4" s="23" t="s">
        <v>323</v>
      </c>
    </row>
    <row r="5" customFormat="false" ht="15" hidden="false" customHeight="false" outlineLevel="0" collapsed="false">
      <c r="A5" s="5" t="s">
        <v>324</v>
      </c>
      <c r="B5" s="5" t="s">
        <v>325</v>
      </c>
      <c r="C5" s="28" t="s">
        <v>326</v>
      </c>
      <c r="D5" s="5" t="s">
        <v>327</v>
      </c>
      <c r="E5" s="22" t="s">
        <v>328</v>
      </c>
    </row>
    <row r="6" customFormat="false" ht="15" hidden="false" customHeight="false" outlineLevel="0" collapsed="false">
      <c r="A6" s="5" t="s">
        <v>329</v>
      </c>
      <c r="B6" s="5" t="s">
        <v>325</v>
      </c>
      <c r="C6" s="28" t="s">
        <v>330</v>
      </c>
      <c r="D6" s="5" t="s">
        <v>331</v>
      </c>
      <c r="E6" s="22" t="s">
        <v>332</v>
      </c>
    </row>
    <row r="7" customFormat="false" ht="15" hidden="false" customHeight="false" outlineLevel="0" collapsed="false">
      <c r="A7" s="5" t="s">
        <v>333</v>
      </c>
      <c r="B7" s="5" t="s">
        <v>325</v>
      </c>
      <c r="C7" s="28" t="s">
        <v>334</v>
      </c>
      <c r="D7" s="5" t="s">
        <v>335</v>
      </c>
      <c r="E7" s="22" t="s">
        <v>336</v>
      </c>
    </row>
    <row r="8" customFormat="false" ht="23.85" hidden="false" customHeight="false" outlineLevel="0" collapsed="false">
      <c r="A8" s="5" t="s">
        <v>337</v>
      </c>
      <c r="B8" s="5" t="s">
        <v>325</v>
      </c>
      <c r="C8" s="28" t="s">
        <v>338</v>
      </c>
      <c r="D8" s="5" t="s">
        <v>339</v>
      </c>
      <c r="E8" s="22" t="s">
        <v>340</v>
      </c>
    </row>
    <row r="9" customFormat="false" ht="15" hidden="false" customHeight="false" outlineLevel="0" collapsed="false">
      <c r="A9" s="5" t="s">
        <v>341</v>
      </c>
      <c r="B9" s="5" t="s">
        <v>325</v>
      </c>
      <c r="C9" s="28" t="s">
        <v>342</v>
      </c>
      <c r="D9" s="5" t="s">
        <v>343</v>
      </c>
      <c r="E9" s="22" t="s">
        <v>344</v>
      </c>
    </row>
    <row r="10" customFormat="false" ht="15" hidden="false" customHeight="false" outlineLevel="0" collapsed="false">
      <c r="A10" s="5" t="s">
        <v>345</v>
      </c>
      <c r="B10" s="5" t="s">
        <v>325</v>
      </c>
      <c r="C10" s="28" t="s">
        <v>346</v>
      </c>
      <c r="D10" s="5" t="s">
        <v>347</v>
      </c>
      <c r="E10" s="22" t="s">
        <v>348</v>
      </c>
    </row>
    <row r="11" customFormat="false" ht="15" hidden="false" customHeight="false" outlineLevel="0" collapsed="false">
      <c r="A11" s="5" t="s">
        <v>349</v>
      </c>
      <c r="B11" s="5" t="s">
        <v>325</v>
      </c>
      <c r="C11" s="28" t="s">
        <v>350</v>
      </c>
      <c r="D11" s="5" t="s">
        <v>351</v>
      </c>
      <c r="E11" s="22" t="s">
        <v>352</v>
      </c>
    </row>
    <row r="12" customFormat="false" ht="15" hidden="false" customHeight="false" outlineLevel="0" collapsed="false">
      <c r="A12" s="5" t="s">
        <v>353</v>
      </c>
      <c r="B12" s="5" t="s">
        <v>325</v>
      </c>
      <c r="C12" s="28" t="s">
        <v>354</v>
      </c>
      <c r="D12" s="5" t="s">
        <v>355</v>
      </c>
      <c r="E12" s="22" t="s">
        <v>356</v>
      </c>
    </row>
    <row r="13" customFormat="false" ht="15" hidden="false" customHeight="false" outlineLevel="0" collapsed="false">
      <c r="A13" s="5" t="s">
        <v>357</v>
      </c>
      <c r="B13" s="5" t="s">
        <v>325</v>
      </c>
      <c r="C13" s="28" t="s">
        <v>358</v>
      </c>
      <c r="D13" s="5" t="s">
        <v>339</v>
      </c>
      <c r="E13" s="22" t="s">
        <v>359</v>
      </c>
    </row>
    <row r="14" customFormat="false" ht="15" hidden="false" customHeight="false" outlineLevel="0" collapsed="false">
      <c r="A14" s="5" t="s">
        <v>360</v>
      </c>
      <c r="B14" s="5" t="s">
        <v>325</v>
      </c>
      <c r="C14" s="28" t="s">
        <v>361</v>
      </c>
      <c r="D14" s="5" t="s">
        <v>362</v>
      </c>
      <c r="E14" s="22" t="s">
        <v>363</v>
      </c>
    </row>
    <row r="15" customFormat="false" ht="15" hidden="false" customHeight="false" outlineLevel="0" collapsed="false">
      <c r="A15" s="5" t="s">
        <v>364</v>
      </c>
      <c r="B15" s="5" t="s">
        <v>365</v>
      </c>
      <c r="C15" s="28" t="s">
        <v>366</v>
      </c>
      <c r="D15" s="5" t="s">
        <v>327</v>
      </c>
      <c r="E15" s="22" t="s">
        <v>328</v>
      </c>
    </row>
    <row r="16" customFormat="false" ht="23.85" hidden="false" customHeight="false" outlineLevel="0" collapsed="false">
      <c r="A16" s="5" t="s">
        <v>367</v>
      </c>
      <c r="B16" s="5" t="s">
        <v>365</v>
      </c>
      <c r="C16" s="28" t="s">
        <v>368</v>
      </c>
      <c r="D16" s="5" t="s">
        <v>331</v>
      </c>
      <c r="E16" s="22" t="s">
        <v>332</v>
      </c>
    </row>
    <row r="17" customFormat="false" ht="15" hidden="false" customHeight="false" outlineLevel="0" collapsed="false">
      <c r="A17" s="5" t="s">
        <v>369</v>
      </c>
      <c r="B17" s="5" t="s">
        <v>365</v>
      </c>
      <c r="C17" s="28" t="s">
        <v>370</v>
      </c>
      <c r="D17" s="5" t="s">
        <v>335</v>
      </c>
      <c r="E17" s="22" t="s">
        <v>336</v>
      </c>
    </row>
    <row r="18" customFormat="false" ht="15" hidden="false" customHeight="false" outlineLevel="0" collapsed="false">
      <c r="A18" s="5" t="s">
        <v>371</v>
      </c>
      <c r="B18" s="5" t="s">
        <v>365</v>
      </c>
      <c r="C18" s="28" t="s">
        <v>372</v>
      </c>
      <c r="D18" s="5" t="s">
        <v>373</v>
      </c>
      <c r="E18" s="22" t="s">
        <v>374</v>
      </c>
    </row>
    <row r="19" customFormat="false" ht="15" hidden="false" customHeight="false" outlineLevel="0" collapsed="false">
      <c r="A19" s="5" t="s">
        <v>375</v>
      </c>
      <c r="B19" s="5" t="s">
        <v>365</v>
      </c>
      <c r="C19" s="28" t="s">
        <v>376</v>
      </c>
      <c r="D19" s="5" t="s">
        <v>355</v>
      </c>
      <c r="E19" s="22" t="s">
        <v>377</v>
      </c>
    </row>
    <row r="20" customFormat="false" ht="15" hidden="false" customHeight="false" outlineLevel="0" collapsed="false">
      <c r="A20" s="5" t="s">
        <v>378</v>
      </c>
      <c r="B20" s="5" t="s">
        <v>365</v>
      </c>
      <c r="C20" s="28" t="s">
        <v>379</v>
      </c>
      <c r="D20" s="5" t="s">
        <v>380</v>
      </c>
      <c r="E20" s="22" t="s">
        <v>381</v>
      </c>
    </row>
    <row r="21" customFormat="false" ht="23.85" hidden="false" customHeight="false" outlineLevel="0" collapsed="false">
      <c r="A21" s="5" t="s">
        <v>382</v>
      </c>
      <c r="B21" s="5" t="s">
        <v>365</v>
      </c>
      <c r="C21" s="28" t="s">
        <v>383</v>
      </c>
      <c r="D21" s="5" t="s">
        <v>362</v>
      </c>
      <c r="E21" s="22" t="s">
        <v>340</v>
      </c>
    </row>
    <row r="22" customFormat="false" ht="15" hidden="false" customHeight="false" outlineLevel="0" collapsed="false">
      <c r="A22" s="5" t="s">
        <v>384</v>
      </c>
      <c r="B22" s="5" t="s">
        <v>365</v>
      </c>
      <c r="C22" s="28" t="s">
        <v>385</v>
      </c>
      <c r="D22" s="5" t="s">
        <v>386</v>
      </c>
      <c r="E22" s="22" t="s">
        <v>387</v>
      </c>
    </row>
    <row r="23" customFormat="false" ht="23.85" hidden="false" customHeight="false" outlineLevel="0" collapsed="false">
      <c r="A23" s="5" t="s">
        <v>388</v>
      </c>
      <c r="B23" s="5" t="s">
        <v>365</v>
      </c>
      <c r="C23" s="28" t="s">
        <v>389</v>
      </c>
      <c r="D23" s="5" t="s">
        <v>386</v>
      </c>
      <c r="E23" s="22" t="s">
        <v>390</v>
      </c>
    </row>
    <row r="24" customFormat="false" ht="15" hidden="false" customHeight="false" outlineLevel="0" collapsed="false">
      <c r="A24" s="5" t="s">
        <v>391</v>
      </c>
      <c r="B24" s="5" t="s">
        <v>365</v>
      </c>
      <c r="C24" s="28" t="s">
        <v>392</v>
      </c>
      <c r="D24" s="5" t="s">
        <v>393</v>
      </c>
      <c r="E24" s="22" t="s">
        <v>394</v>
      </c>
    </row>
    <row r="25" customFormat="false" ht="15" hidden="false" customHeight="false" outlineLevel="0" collapsed="false">
      <c r="A25" s="5" t="s">
        <v>395</v>
      </c>
      <c r="B25" s="5" t="s">
        <v>365</v>
      </c>
      <c r="C25" s="28" t="s">
        <v>396</v>
      </c>
      <c r="D25" s="5" t="s">
        <v>362</v>
      </c>
      <c r="E25" s="22" t="s">
        <v>363</v>
      </c>
    </row>
    <row r="26" customFormat="false" ht="15" hidden="false" customHeight="false" outlineLevel="0" collapsed="false">
      <c r="A26" s="5" t="s">
        <v>397</v>
      </c>
      <c r="B26" s="5" t="s">
        <v>398</v>
      </c>
      <c r="C26" s="28" t="s">
        <v>399</v>
      </c>
      <c r="D26" s="5" t="s">
        <v>327</v>
      </c>
      <c r="E26" s="22" t="s">
        <v>400</v>
      </c>
    </row>
    <row r="27" customFormat="false" ht="15" hidden="false" customHeight="false" outlineLevel="0" collapsed="false">
      <c r="A27" s="5" t="s">
        <v>401</v>
      </c>
      <c r="B27" s="5" t="s">
        <v>398</v>
      </c>
      <c r="C27" s="28" t="s">
        <v>370</v>
      </c>
      <c r="D27" s="5" t="s">
        <v>335</v>
      </c>
      <c r="E27" s="22" t="s">
        <v>336</v>
      </c>
    </row>
    <row r="28" customFormat="false" ht="23.85" hidden="false" customHeight="false" outlineLevel="0" collapsed="false">
      <c r="A28" s="5" t="s">
        <v>402</v>
      </c>
      <c r="B28" s="5" t="s">
        <v>398</v>
      </c>
      <c r="C28" s="28" t="s">
        <v>403</v>
      </c>
      <c r="D28" s="5" t="s">
        <v>331</v>
      </c>
      <c r="E28" s="22" t="s">
        <v>404</v>
      </c>
    </row>
    <row r="29" customFormat="false" ht="15" hidden="false" customHeight="false" outlineLevel="0" collapsed="false">
      <c r="A29" s="5" t="s">
        <v>405</v>
      </c>
      <c r="B29" s="5" t="s">
        <v>398</v>
      </c>
      <c r="C29" s="28" t="s">
        <v>406</v>
      </c>
      <c r="D29" s="5" t="s">
        <v>327</v>
      </c>
      <c r="E29" s="22" t="s">
        <v>328</v>
      </c>
    </row>
    <row r="30" customFormat="false" ht="15" hidden="false" customHeight="false" outlineLevel="0" collapsed="false">
      <c r="A30" s="5" t="s">
        <v>407</v>
      </c>
      <c r="B30" s="5" t="s">
        <v>398</v>
      </c>
      <c r="C30" s="28" t="s">
        <v>408</v>
      </c>
      <c r="D30" s="5" t="s">
        <v>331</v>
      </c>
      <c r="E30" s="22" t="s">
        <v>332</v>
      </c>
    </row>
    <row r="31" customFormat="false" ht="15" hidden="false" customHeight="false" outlineLevel="0" collapsed="false">
      <c r="A31" s="5" t="s">
        <v>409</v>
      </c>
      <c r="B31" s="5" t="s">
        <v>398</v>
      </c>
      <c r="C31" s="28" t="s">
        <v>410</v>
      </c>
      <c r="D31" s="5" t="s">
        <v>331</v>
      </c>
      <c r="E31" s="22" t="s">
        <v>411</v>
      </c>
    </row>
    <row r="32" customFormat="false" ht="15" hidden="false" customHeight="false" outlineLevel="0" collapsed="false">
      <c r="A32" s="5" t="s">
        <v>412</v>
      </c>
      <c r="B32" s="5" t="s">
        <v>398</v>
      </c>
      <c r="C32" s="28" t="s">
        <v>413</v>
      </c>
      <c r="D32" s="5" t="s">
        <v>331</v>
      </c>
      <c r="E32" s="22" t="s">
        <v>414</v>
      </c>
    </row>
    <row r="33" customFormat="false" ht="15" hidden="false" customHeight="false" outlineLevel="0" collapsed="false">
      <c r="A33" s="5" t="s">
        <v>415</v>
      </c>
      <c r="B33" s="5" t="s">
        <v>398</v>
      </c>
      <c r="C33" s="28" t="s">
        <v>416</v>
      </c>
      <c r="D33" s="5" t="s">
        <v>339</v>
      </c>
      <c r="E33" s="22" t="s">
        <v>417</v>
      </c>
    </row>
    <row r="34" customFormat="false" ht="23.85" hidden="false" customHeight="false" outlineLevel="0" collapsed="false">
      <c r="A34" s="5" t="s">
        <v>418</v>
      </c>
      <c r="B34" s="5" t="s">
        <v>398</v>
      </c>
      <c r="C34" s="28" t="s">
        <v>419</v>
      </c>
      <c r="D34" s="5" t="s">
        <v>331</v>
      </c>
      <c r="E34" s="22" t="s">
        <v>420</v>
      </c>
    </row>
    <row r="35" customFormat="false" ht="15" hidden="false" customHeight="false" outlineLevel="0" collapsed="false">
      <c r="A35" s="5" t="s">
        <v>421</v>
      </c>
      <c r="B35" s="5" t="s">
        <v>398</v>
      </c>
      <c r="C35" s="28" t="s">
        <v>422</v>
      </c>
      <c r="D35" s="5" t="s">
        <v>386</v>
      </c>
      <c r="E35" s="22" t="s">
        <v>423</v>
      </c>
    </row>
    <row r="36" customFormat="false" ht="15" hidden="false" customHeight="false" outlineLevel="0" collapsed="false">
      <c r="A36" s="5" t="s">
        <v>424</v>
      </c>
      <c r="B36" s="5" t="s">
        <v>398</v>
      </c>
      <c r="C36" s="28" t="s">
        <v>425</v>
      </c>
      <c r="D36" s="5" t="s">
        <v>386</v>
      </c>
      <c r="E36" s="22" t="s">
        <v>426</v>
      </c>
    </row>
    <row r="37" customFormat="false" ht="15" hidden="false" customHeight="false" outlineLevel="0" collapsed="false">
      <c r="A37" s="5" t="s">
        <v>427</v>
      </c>
      <c r="B37" s="5" t="s">
        <v>398</v>
      </c>
      <c r="C37" s="28" t="s">
        <v>392</v>
      </c>
      <c r="D37" s="5" t="s">
        <v>393</v>
      </c>
      <c r="E37" s="22" t="s">
        <v>394</v>
      </c>
    </row>
    <row r="38" customFormat="false" ht="15" hidden="false" customHeight="false" outlineLevel="0" collapsed="false">
      <c r="A38" s="5" t="s">
        <v>428</v>
      </c>
      <c r="B38" s="5" t="s">
        <v>398</v>
      </c>
      <c r="C38" s="28" t="s">
        <v>379</v>
      </c>
      <c r="D38" s="5" t="s">
        <v>380</v>
      </c>
      <c r="E38" s="22" t="s">
        <v>381</v>
      </c>
    </row>
    <row r="39" customFormat="false" ht="15" hidden="false" customHeight="false" outlineLevel="0" collapsed="false">
      <c r="A39" s="5" t="s">
        <v>429</v>
      </c>
      <c r="B39" s="5" t="s">
        <v>398</v>
      </c>
      <c r="C39" s="28" t="s">
        <v>430</v>
      </c>
      <c r="D39" s="5" t="s">
        <v>431</v>
      </c>
      <c r="E39" s="22" t="s">
        <v>432</v>
      </c>
    </row>
    <row r="40" customFormat="false" ht="15" hidden="false" customHeight="false" outlineLevel="0" collapsed="false">
      <c r="A40" s="5" t="s">
        <v>433</v>
      </c>
      <c r="B40" s="5" t="s">
        <v>398</v>
      </c>
      <c r="C40" s="28" t="s">
        <v>434</v>
      </c>
      <c r="D40" s="5" t="s">
        <v>435</v>
      </c>
      <c r="E40" s="22" t="s">
        <v>352</v>
      </c>
    </row>
    <row r="41" customFormat="false" ht="15" hidden="false" customHeight="false" outlineLevel="0" collapsed="false">
      <c r="A41" s="5" t="s">
        <v>436</v>
      </c>
      <c r="B41" s="5" t="s">
        <v>437</v>
      </c>
      <c r="C41" s="28" t="s">
        <v>438</v>
      </c>
      <c r="D41" s="5" t="s">
        <v>327</v>
      </c>
      <c r="E41" s="22" t="s">
        <v>328</v>
      </c>
    </row>
    <row r="42" customFormat="false" ht="15" hidden="false" customHeight="false" outlineLevel="0" collapsed="false">
      <c r="A42" s="5" t="s">
        <v>439</v>
      </c>
      <c r="B42" s="5" t="s">
        <v>437</v>
      </c>
      <c r="C42" s="28" t="s">
        <v>440</v>
      </c>
      <c r="D42" s="5" t="s">
        <v>331</v>
      </c>
      <c r="E42" s="22" t="s">
        <v>441</v>
      </c>
    </row>
    <row r="43" customFormat="false" ht="23.85" hidden="false" customHeight="false" outlineLevel="0" collapsed="false">
      <c r="A43" s="5" t="s">
        <v>442</v>
      </c>
      <c r="B43" s="5" t="s">
        <v>437</v>
      </c>
      <c r="C43" s="28" t="s">
        <v>443</v>
      </c>
      <c r="D43" s="5" t="s">
        <v>331</v>
      </c>
      <c r="E43" s="22" t="s">
        <v>444</v>
      </c>
    </row>
    <row r="44" customFormat="false" ht="15" hidden="false" customHeight="false" outlineLevel="0" collapsed="false">
      <c r="A44" s="5" t="s">
        <v>445</v>
      </c>
      <c r="B44" s="5" t="s">
        <v>437</v>
      </c>
      <c r="C44" s="28" t="s">
        <v>334</v>
      </c>
      <c r="D44" s="5" t="s">
        <v>335</v>
      </c>
      <c r="E44" s="22" t="s">
        <v>336</v>
      </c>
    </row>
    <row r="45" customFormat="false" ht="15" hidden="false" customHeight="false" outlineLevel="0" collapsed="false">
      <c r="A45" s="5" t="s">
        <v>446</v>
      </c>
      <c r="B45" s="5" t="s">
        <v>437</v>
      </c>
      <c r="C45" s="28" t="s">
        <v>447</v>
      </c>
      <c r="D45" s="5" t="s">
        <v>339</v>
      </c>
      <c r="E45" s="22" t="s">
        <v>417</v>
      </c>
    </row>
    <row r="46" customFormat="false" ht="23.85" hidden="false" customHeight="false" outlineLevel="0" collapsed="false">
      <c r="A46" s="5" t="s">
        <v>448</v>
      </c>
      <c r="B46" s="5" t="s">
        <v>437</v>
      </c>
      <c r="C46" s="28" t="s">
        <v>449</v>
      </c>
      <c r="D46" s="5" t="s">
        <v>339</v>
      </c>
      <c r="E46" s="22" t="s">
        <v>420</v>
      </c>
    </row>
    <row r="47" customFormat="false" ht="15" hidden="false" customHeight="false" outlineLevel="0" collapsed="false">
      <c r="A47" s="5" t="s">
        <v>450</v>
      </c>
      <c r="B47" s="5" t="s">
        <v>437</v>
      </c>
      <c r="C47" s="28" t="s">
        <v>451</v>
      </c>
      <c r="D47" s="5" t="s">
        <v>386</v>
      </c>
      <c r="E47" s="22" t="s">
        <v>452</v>
      </c>
    </row>
    <row r="48" customFormat="false" ht="15" hidden="false" customHeight="false" outlineLevel="0" collapsed="false">
      <c r="A48" s="5" t="s">
        <v>453</v>
      </c>
      <c r="B48" s="5" t="s">
        <v>437</v>
      </c>
      <c r="C48" s="28" t="s">
        <v>454</v>
      </c>
      <c r="D48" s="5" t="s">
        <v>355</v>
      </c>
      <c r="E48" s="22" t="s">
        <v>356</v>
      </c>
    </row>
    <row r="49" customFormat="false" ht="15" hidden="false" customHeight="false" outlineLevel="0" collapsed="false">
      <c r="A49" s="5" t="s">
        <v>455</v>
      </c>
      <c r="B49" s="5" t="s">
        <v>437</v>
      </c>
      <c r="C49" s="28" t="s">
        <v>456</v>
      </c>
      <c r="D49" s="5" t="s">
        <v>393</v>
      </c>
      <c r="E49" s="22" t="s">
        <v>394</v>
      </c>
    </row>
    <row r="50" customFormat="false" ht="15" hidden="false" customHeight="false" outlineLevel="0" collapsed="false">
      <c r="A50" s="5" t="s">
        <v>457</v>
      </c>
      <c r="B50" s="5" t="s">
        <v>437</v>
      </c>
      <c r="C50" s="28" t="s">
        <v>458</v>
      </c>
      <c r="D50" s="5" t="s">
        <v>380</v>
      </c>
      <c r="E50" s="22" t="s">
        <v>381</v>
      </c>
    </row>
    <row r="51" customFormat="false" ht="15" hidden="false" customHeight="false" outlineLevel="0" collapsed="false">
      <c r="A51" s="5" t="s">
        <v>459</v>
      </c>
      <c r="B51" s="5" t="s">
        <v>437</v>
      </c>
      <c r="C51" s="28" t="s">
        <v>460</v>
      </c>
      <c r="D51" s="5" t="s">
        <v>461</v>
      </c>
      <c r="E51" s="22" t="s">
        <v>462</v>
      </c>
    </row>
    <row r="52" customFormat="false" ht="15" hidden="false" customHeight="false" outlineLevel="0" collapsed="false">
      <c r="A52" s="5" t="s">
        <v>463</v>
      </c>
      <c r="B52" s="5" t="s">
        <v>437</v>
      </c>
      <c r="C52" s="28" t="s">
        <v>464</v>
      </c>
      <c r="D52" s="5" t="s">
        <v>386</v>
      </c>
      <c r="E52" s="22" t="s">
        <v>465</v>
      </c>
    </row>
    <row r="53" customFormat="false" ht="15" hidden="false" customHeight="false" outlineLevel="0" collapsed="false">
      <c r="A53" s="5" t="s">
        <v>466</v>
      </c>
      <c r="B53" s="5" t="s">
        <v>467</v>
      </c>
      <c r="C53" s="28" t="s">
        <v>468</v>
      </c>
      <c r="D53" s="5" t="s">
        <v>327</v>
      </c>
      <c r="E53" s="22" t="s">
        <v>328</v>
      </c>
    </row>
    <row r="54" customFormat="false" ht="15" hidden="false" customHeight="false" outlineLevel="0" collapsed="false">
      <c r="A54" s="5" t="s">
        <v>469</v>
      </c>
      <c r="B54" s="5" t="s">
        <v>467</v>
      </c>
      <c r="C54" s="28" t="s">
        <v>370</v>
      </c>
      <c r="D54" s="5" t="s">
        <v>335</v>
      </c>
      <c r="E54" s="22" t="s">
        <v>336</v>
      </c>
    </row>
    <row r="55" customFormat="false" ht="23.85" hidden="false" customHeight="false" outlineLevel="0" collapsed="false">
      <c r="A55" s="5" t="s">
        <v>470</v>
      </c>
      <c r="B55" s="5" t="s">
        <v>467</v>
      </c>
      <c r="C55" s="28" t="s">
        <v>471</v>
      </c>
      <c r="D55" s="5" t="s">
        <v>331</v>
      </c>
      <c r="E55" s="22" t="s">
        <v>404</v>
      </c>
    </row>
    <row r="56" customFormat="false" ht="23.85" hidden="false" customHeight="false" outlineLevel="0" collapsed="false">
      <c r="A56" s="5" t="s">
        <v>472</v>
      </c>
      <c r="B56" s="5" t="s">
        <v>467</v>
      </c>
      <c r="C56" s="28" t="s">
        <v>473</v>
      </c>
      <c r="D56" s="5" t="s">
        <v>339</v>
      </c>
      <c r="E56" s="22" t="s">
        <v>359</v>
      </c>
    </row>
    <row r="57" customFormat="false" ht="23.85" hidden="false" customHeight="false" outlineLevel="0" collapsed="false">
      <c r="A57" s="5" t="s">
        <v>474</v>
      </c>
      <c r="B57" s="5" t="s">
        <v>467</v>
      </c>
      <c r="C57" s="28" t="s">
        <v>475</v>
      </c>
      <c r="D57" s="5" t="s">
        <v>331</v>
      </c>
      <c r="E57" s="22" t="s">
        <v>476</v>
      </c>
    </row>
    <row r="58" customFormat="false" ht="15" hidden="false" customHeight="false" outlineLevel="0" collapsed="false">
      <c r="A58" s="5" t="s">
        <v>477</v>
      </c>
      <c r="B58" s="5" t="s">
        <v>467</v>
      </c>
      <c r="C58" s="28" t="s">
        <v>434</v>
      </c>
      <c r="D58" s="5" t="s">
        <v>351</v>
      </c>
      <c r="E58" s="22" t="s">
        <v>352</v>
      </c>
    </row>
    <row r="59" customFormat="false" ht="15" hidden="false" customHeight="false" outlineLevel="0" collapsed="false">
      <c r="A59" s="5" t="s">
        <v>478</v>
      </c>
      <c r="B59" s="5" t="s">
        <v>467</v>
      </c>
      <c r="C59" s="28" t="s">
        <v>379</v>
      </c>
      <c r="D59" s="5" t="s">
        <v>380</v>
      </c>
      <c r="E59" s="22" t="s">
        <v>381</v>
      </c>
    </row>
    <row r="60" customFormat="false" ht="15" hidden="false" customHeight="false" outlineLevel="0" collapsed="false">
      <c r="A60" s="5" t="s">
        <v>479</v>
      </c>
      <c r="B60" s="5" t="s">
        <v>467</v>
      </c>
      <c r="C60" s="28" t="s">
        <v>480</v>
      </c>
      <c r="D60" s="5" t="s">
        <v>343</v>
      </c>
      <c r="E60" s="22" t="s">
        <v>344</v>
      </c>
    </row>
    <row r="61" customFormat="false" ht="15" hidden="false" customHeight="false" outlineLevel="0" collapsed="false">
      <c r="A61" s="5" t="s">
        <v>481</v>
      </c>
      <c r="B61" s="5" t="s">
        <v>467</v>
      </c>
      <c r="C61" s="28" t="s">
        <v>482</v>
      </c>
      <c r="D61" s="5" t="s">
        <v>386</v>
      </c>
      <c r="E61" s="22" t="s">
        <v>483</v>
      </c>
    </row>
    <row r="62" customFormat="false" ht="15" hidden="false" customHeight="false" outlineLevel="0" collapsed="false">
      <c r="A62" s="5" t="s">
        <v>484</v>
      </c>
      <c r="B62" s="5" t="s">
        <v>467</v>
      </c>
      <c r="C62" s="28" t="s">
        <v>485</v>
      </c>
      <c r="D62" s="5" t="s">
        <v>331</v>
      </c>
      <c r="E62" s="22" t="s">
        <v>340</v>
      </c>
    </row>
    <row r="63" customFormat="false" ht="15" hidden="false" customHeight="false" outlineLevel="0" collapsed="false">
      <c r="A63" s="5" t="s">
        <v>486</v>
      </c>
      <c r="B63" s="5" t="s">
        <v>467</v>
      </c>
      <c r="C63" s="28" t="s">
        <v>487</v>
      </c>
      <c r="D63" s="5" t="s">
        <v>331</v>
      </c>
      <c r="E63" s="22" t="s">
        <v>414</v>
      </c>
    </row>
    <row r="64" customFormat="false" ht="15" hidden="false" customHeight="false" outlineLevel="0" collapsed="false">
      <c r="A64" s="5" t="s">
        <v>488</v>
      </c>
      <c r="B64" s="5" t="s">
        <v>467</v>
      </c>
      <c r="C64" s="28" t="s">
        <v>464</v>
      </c>
      <c r="D64" s="5" t="s">
        <v>386</v>
      </c>
      <c r="E64" s="22" t="s">
        <v>465</v>
      </c>
    </row>
    <row r="65" customFormat="false" ht="23.85" hidden="false" customHeight="false" outlineLevel="0" collapsed="false">
      <c r="A65" s="5" t="s">
        <v>489</v>
      </c>
      <c r="B65" s="5" t="s">
        <v>490</v>
      </c>
      <c r="C65" s="28" t="s">
        <v>491</v>
      </c>
      <c r="D65" s="5" t="s">
        <v>339</v>
      </c>
      <c r="E65" s="22" t="s">
        <v>359</v>
      </c>
    </row>
    <row r="66" customFormat="false" ht="23.85" hidden="false" customHeight="false" outlineLevel="0" collapsed="false">
      <c r="A66" s="5" t="s">
        <v>492</v>
      </c>
      <c r="B66" s="5" t="s">
        <v>490</v>
      </c>
      <c r="C66" s="28" t="s">
        <v>493</v>
      </c>
      <c r="D66" s="5" t="s">
        <v>331</v>
      </c>
      <c r="E66" s="22" t="s">
        <v>494</v>
      </c>
    </row>
    <row r="67" customFormat="false" ht="35.05" hidden="false" customHeight="false" outlineLevel="0" collapsed="false">
      <c r="A67" s="5" t="s">
        <v>495</v>
      </c>
      <c r="B67" s="5" t="s">
        <v>490</v>
      </c>
      <c r="C67" s="28" t="s">
        <v>496</v>
      </c>
      <c r="D67" s="5" t="s">
        <v>497</v>
      </c>
      <c r="E67" s="22" t="s">
        <v>352</v>
      </c>
    </row>
    <row r="68" customFormat="false" ht="23.85" hidden="false" customHeight="false" outlineLevel="0" collapsed="false">
      <c r="A68" s="5" t="s">
        <v>498</v>
      </c>
      <c r="B68" s="5" t="s">
        <v>490</v>
      </c>
      <c r="C68" s="28" t="s">
        <v>499</v>
      </c>
      <c r="D68" s="5" t="s">
        <v>380</v>
      </c>
      <c r="E68" s="22" t="s">
        <v>500</v>
      </c>
    </row>
    <row r="69" customFormat="false" ht="15" hidden="false" customHeight="false" outlineLevel="0" collapsed="false">
      <c r="A69" s="5" t="s">
        <v>501</v>
      </c>
      <c r="B69" s="5" t="s">
        <v>490</v>
      </c>
      <c r="C69" s="28" t="s">
        <v>502</v>
      </c>
      <c r="D69" s="5" t="s">
        <v>331</v>
      </c>
      <c r="E69" s="22" t="s">
        <v>503</v>
      </c>
    </row>
    <row r="70" customFormat="false" ht="15" hidden="false" customHeight="false" outlineLevel="0" collapsed="false">
      <c r="A70" s="5" t="s">
        <v>504</v>
      </c>
      <c r="B70" s="5" t="s">
        <v>490</v>
      </c>
      <c r="C70" s="28" t="s">
        <v>505</v>
      </c>
      <c r="D70" s="5" t="s">
        <v>362</v>
      </c>
      <c r="E70" s="22" t="s">
        <v>340</v>
      </c>
    </row>
    <row r="71" customFormat="false" ht="15" hidden="false" customHeight="false" outlineLevel="0" collapsed="false">
      <c r="A71" s="5" t="s">
        <v>506</v>
      </c>
      <c r="B71" s="5" t="s">
        <v>490</v>
      </c>
      <c r="C71" s="28" t="s">
        <v>379</v>
      </c>
      <c r="D71" s="5" t="s">
        <v>380</v>
      </c>
      <c r="E71" s="22" t="s">
        <v>381</v>
      </c>
    </row>
    <row r="72" customFormat="false" ht="15" hidden="false" customHeight="false" outlineLevel="0" collapsed="false">
      <c r="A72" s="5" t="s">
        <v>507</v>
      </c>
      <c r="B72" s="5" t="s">
        <v>490</v>
      </c>
      <c r="C72" s="28" t="s">
        <v>508</v>
      </c>
      <c r="D72" s="5" t="s">
        <v>509</v>
      </c>
      <c r="E72" s="22" t="s">
        <v>510</v>
      </c>
    </row>
    <row r="73" customFormat="false" ht="23.85" hidden="false" customHeight="false" outlineLevel="0" collapsed="false">
      <c r="A73" s="5" t="s">
        <v>511</v>
      </c>
      <c r="B73" s="5" t="s">
        <v>490</v>
      </c>
      <c r="C73" s="28" t="s">
        <v>512</v>
      </c>
      <c r="D73" s="5" t="s">
        <v>386</v>
      </c>
      <c r="E73" s="22" t="s">
        <v>513</v>
      </c>
    </row>
    <row r="74" customFormat="false" ht="15" hidden="false" customHeight="false" outlineLevel="0" collapsed="false">
      <c r="A74" s="5" t="s">
        <v>514</v>
      </c>
      <c r="B74" s="5" t="s">
        <v>490</v>
      </c>
      <c r="C74" s="28" t="s">
        <v>468</v>
      </c>
      <c r="D74" s="5" t="s">
        <v>327</v>
      </c>
      <c r="E74" s="22" t="s">
        <v>328</v>
      </c>
    </row>
    <row r="75" customFormat="false" ht="15" hidden="false" customHeight="false" outlineLevel="0" collapsed="false">
      <c r="A75" s="5" t="s">
        <v>515</v>
      </c>
      <c r="B75" s="5" t="s">
        <v>490</v>
      </c>
      <c r="C75" s="28" t="s">
        <v>516</v>
      </c>
      <c r="D75" s="5" t="s">
        <v>393</v>
      </c>
      <c r="E75" s="22" t="s">
        <v>517</v>
      </c>
    </row>
    <row r="76" customFormat="false" ht="15" hidden="false" customHeight="false" outlineLevel="0" collapsed="false">
      <c r="A76" s="5" t="s">
        <v>518</v>
      </c>
      <c r="B76" s="5" t="s">
        <v>490</v>
      </c>
      <c r="C76" s="28" t="s">
        <v>519</v>
      </c>
      <c r="D76" s="5" t="s">
        <v>520</v>
      </c>
      <c r="E76" s="22" t="s">
        <v>521</v>
      </c>
    </row>
    <row r="77" customFormat="false" ht="15" hidden="false" customHeight="false" outlineLevel="0" collapsed="false">
      <c r="A77" s="5" t="s">
        <v>522</v>
      </c>
      <c r="B77" s="5" t="s">
        <v>490</v>
      </c>
      <c r="C77" s="28" t="s">
        <v>376</v>
      </c>
      <c r="D77" s="5" t="s">
        <v>355</v>
      </c>
      <c r="E77" s="22" t="s">
        <v>523</v>
      </c>
    </row>
    <row r="78" customFormat="false" ht="15" hidden="false" customHeight="false" outlineLevel="0" collapsed="false">
      <c r="A78" s="5" t="s">
        <v>524</v>
      </c>
      <c r="B78" s="5" t="s">
        <v>490</v>
      </c>
      <c r="C78" s="28" t="s">
        <v>525</v>
      </c>
      <c r="D78" s="5" t="s">
        <v>526</v>
      </c>
      <c r="E78" s="22" t="s">
        <v>527</v>
      </c>
    </row>
    <row r="79" customFormat="false" ht="15" hidden="false" customHeight="false" outlineLevel="0" collapsed="false">
      <c r="A79" s="5" t="s">
        <v>528</v>
      </c>
      <c r="B79" s="5" t="s">
        <v>490</v>
      </c>
      <c r="C79" s="28" t="s">
        <v>529</v>
      </c>
      <c r="D79" s="5" t="s">
        <v>530</v>
      </c>
      <c r="E79" s="22" t="s">
        <v>531</v>
      </c>
    </row>
    <row r="80" customFormat="false" ht="15" hidden="false" customHeight="false" outlineLevel="0" collapsed="false">
      <c r="A80" s="5" t="s">
        <v>532</v>
      </c>
      <c r="B80" s="5" t="s">
        <v>490</v>
      </c>
      <c r="C80" s="28" t="s">
        <v>533</v>
      </c>
      <c r="D80" s="5" t="s">
        <v>534</v>
      </c>
      <c r="E80" s="22" t="s">
        <v>535</v>
      </c>
    </row>
    <row r="81" customFormat="false" ht="15" hidden="false" customHeight="false" outlineLevel="0" collapsed="false">
      <c r="A81" s="5" t="s">
        <v>536</v>
      </c>
      <c r="B81" s="5" t="s">
        <v>490</v>
      </c>
      <c r="C81" s="28" t="s">
        <v>537</v>
      </c>
      <c r="D81" s="5" t="s">
        <v>538</v>
      </c>
      <c r="E81" s="22" t="s">
        <v>539</v>
      </c>
    </row>
    <row r="82" customFormat="false" ht="15" hidden="false" customHeight="false" outlineLevel="0" collapsed="false">
      <c r="A82" s="5" t="s">
        <v>540</v>
      </c>
      <c r="B82" s="5" t="s">
        <v>490</v>
      </c>
      <c r="C82" s="28" t="s">
        <v>541</v>
      </c>
      <c r="D82" s="5" t="s">
        <v>542</v>
      </c>
      <c r="E82" s="22" t="s">
        <v>543</v>
      </c>
    </row>
    <row r="83" customFormat="false" ht="15" hidden="false" customHeight="false" outlineLevel="0" collapsed="false">
      <c r="A83" s="5" t="s">
        <v>544</v>
      </c>
      <c r="B83" s="5" t="s">
        <v>490</v>
      </c>
      <c r="C83" s="28" t="s">
        <v>545</v>
      </c>
      <c r="D83" s="5" t="s">
        <v>546</v>
      </c>
      <c r="E83" s="22" t="s">
        <v>547</v>
      </c>
    </row>
    <row r="84" customFormat="false" ht="15" hidden="false" customHeight="false" outlineLevel="0" collapsed="false">
      <c r="A84" s="5" t="s">
        <v>548</v>
      </c>
      <c r="B84" s="5" t="s">
        <v>490</v>
      </c>
      <c r="C84" s="28" t="s">
        <v>549</v>
      </c>
      <c r="D84" s="5" t="s">
        <v>550</v>
      </c>
      <c r="E84" s="22" t="s">
        <v>551</v>
      </c>
    </row>
    <row r="85" customFormat="false" ht="15" hidden="false" customHeight="false" outlineLevel="0" collapsed="false">
      <c r="A85" s="5" t="s">
        <v>552</v>
      </c>
      <c r="B85" s="5" t="s">
        <v>490</v>
      </c>
      <c r="C85" s="28" t="s">
        <v>553</v>
      </c>
      <c r="D85" s="5" t="s">
        <v>554</v>
      </c>
      <c r="E85" s="22" t="s">
        <v>555</v>
      </c>
    </row>
    <row r="86" customFormat="false" ht="15" hidden="false" customHeight="false" outlineLevel="0" collapsed="false">
      <c r="A86" s="5" t="s">
        <v>556</v>
      </c>
      <c r="B86" s="5" t="s">
        <v>490</v>
      </c>
      <c r="C86" s="28" t="s">
        <v>557</v>
      </c>
      <c r="D86" s="5" t="s">
        <v>335</v>
      </c>
      <c r="E86" s="22" t="s">
        <v>336</v>
      </c>
    </row>
    <row r="87" customFormat="false" ht="35.05" hidden="false" customHeight="false" outlineLevel="0" collapsed="false">
      <c r="A87" s="5" t="s">
        <v>558</v>
      </c>
      <c r="B87" s="5" t="s">
        <v>490</v>
      </c>
      <c r="C87" s="28" t="s">
        <v>559</v>
      </c>
      <c r="D87" s="5" t="s">
        <v>560</v>
      </c>
      <c r="E87" s="5" t="s">
        <v>561</v>
      </c>
    </row>
    <row r="88" customFormat="false" ht="15" hidden="false" customHeight="false" outlineLevel="0" collapsed="false">
      <c r="A88" s="5" t="s">
        <v>562</v>
      </c>
      <c r="B88" s="5" t="s">
        <v>490</v>
      </c>
      <c r="C88" s="28" t="s">
        <v>563</v>
      </c>
      <c r="D88" s="5" t="s">
        <v>564</v>
      </c>
      <c r="E88" s="22" t="s">
        <v>565</v>
      </c>
    </row>
    <row r="89" customFormat="false" ht="15" hidden="false" customHeight="false" outlineLevel="0" collapsed="false">
      <c r="A89" s="5" t="s">
        <v>566</v>
      </c>
      <c r="B89" s="5" t="s">
        <v>490</v>
      </c>
      <c r="C89" s="28" t="s">
        <v>567</v>
      </c>
      <c r="D89" s="5" t="s">
        <v>568</v>
      </c>
      <c r="E89" s="22" t="s">
        <v>569</v>
      </c>
    </row>
    <row r="90" customFormat="false" ht="15" hidden="false" customHeight="false" outlineLevel="0" collapsed="false">
      <c r="A90" s="5" t="s">
        <v>570</v>
      </c>
      <c r="B90" s="5" t="s">
        <v>490</v>
      </c>
      <c r="C90" s="28" t="s">
        <v>571</v>
      </c>
      <c r="D90" s="5" t="s">
        <v>572</v>
      </c>
      <c r="E90" s="22" t="s">
        <v>573</v>
      </c>
    </row>
    <row r="91" customFormat="false" ht="23.85" hidden="false" customHeight="false" outlineLevel="0" collapsed="false">
      <c r="A91" s="5" t="s">
        <v>574</v>
      </c>
      <c r="B91" s="5" t="s">
        <v>490</v>
      </c>
      <c r="C91" s="28" t="s">
        <v>575</v>
      </c>
      <c r="D91" s="5" t="s">
        <v>497</v>
      </c>
      <c r="E91" s="5" t="s">
        <v>576</v>
      </c>
    </row>
    <row r="92" customFormat="false" ht="35.05" hidden="false" customHeight="false" outlineLevel="0" collapsed="false">
      <c r="A92" s="5" t="s">
        <v>577</v>
      </c>
      <c r="B92" s="5" t="s">
        <v>490</v>
      </c>
      <c r="C92" s="28" t="s">
        <v>578</v>
      </c>
      <c r="D92" s="5" t="s">
        <v>497</v>
      </c>
      <c r="E92" s="5" t="s">
        <v>579</v>
      </c>
    </row>
    <row r="93" customFormat="false" ht="23.85" hidden="false" customHeight="false" outlineLevel="0" collapsed="false">
      <c r="A93" s="5" t="s">
        <v>580</v>
      </c>
      <c r="B93" s="5" t="s">
        <v>490</v>
      </c>
      <c r="C93" s="28" t="s">
        <v>581</v>
      </c>
      <c r="D93" s="5" t="s">
        <v>497</v>
      </c>
      <c r="E93" s="22" t="s">
        <v>582</v>
      </c>
    </row>
    <row r="94" customFormat="false" ht="35.05" hidden="false" customHeight="false" outlineLevel="0" collapsed="false">
      <c r="A94" s="5" t="s">
        <v>583</v>
      </c>
      <c r="B94" s="5" t="s">
        <v>490</v>
      </c>
      <c r="C94" s="28" t="s">
        <v>584</v>
      </c>
      <c r="D94" s="5" t="s">
        <v>585</v>
      </c>
      <c r="E94" s="22" t="s">
        <v>586</v>
      </c>
    </row>
    <row r="95" customFormat="false" ht="46.25" hidden="false" customHeight="false" outlineLevel="0" collapsed="false">
      <c r="A95" s="5" t="s">
        <v>587</v>
      </c>
      <c r="B95" s="5" t="s">
        <v>490</v>
      </c>
      <c r="C95" s="28" t="s">
        <v>588</v>
      </c>
      <c r="D95" s="5" t="s">
        <v>589</v>
      </c>
      <c r="E95" s="22" t="s">
        <v>590</v>
      </c>
    </row>
    <row r="96" customFormat="false" ht="35.05" hidden="false" customHeight="false" outlineLevel="0" collapsed="false">
      <c r="A96" s="5" t="s">
        <v>591</v>
      </c>
      <c r="B96" s="5" t="s">
        <v>490</v>
      </c>
      <c r="C96" s="28" t="s">
        <v>592</v>
      </c>
      <c r="D96" s="5" t="s">
        <v>593</v>
      </c>
      <c r="E96" s="22" t="s">
        <v>594</v>
      </c>
    </row>
    <row r="97" customFormat="false" ht="46.25" hidden="false" customHeight="false" outlineLevel="0" collapsed="false">
      <c r="A97" s="5" t="s">
        <v>595</v>
      </c>
      <c r="B97" s="5" t="s">
        <v>490</v>
      </c>
      <c r="C97" s="28" t="s">
        <v>596</v>
      </c>
      <c r="D97" s="5" t="s">
        <v>597</v>
      </c>
      <c r="E97" s="22" t="s">
        <v>598</v>
      </c>
    </row>
    <row r="98" customFormat="false" ht="35.05" hidden="false" customHeight="false" outlineLevel="0" collapsed="false">
      <c r="A98" s="5" t="s">
        <v>599</v>
      </c>
      <c r="B98" s="5" t="s">
        <v>490</v>
      </c>
      <c r="C98" s="28" t="s">
        <v>600</v>
      </c>
      <c r="D98" s="5" t="s">
        <v>431</v>
      </c>
      <c r="E98" s="22" t="s">
        <v>374</v>
      </c>
    </row>
  </sheetData>
  <hyperlinks>
    <hyperlink ref="E5" r:id="rId1" display="https://www.sec.gov/Archives/edgar/data/0001807794/000162828026059795/credoq12027ex-991.htm"/>
    <hyperlink ref="E6" r:id="rId2" display="https://www.stocktitan.net/sec-filings/CRDO/10-q-credo-technology-group-holding-ltd-quarterly-earnings-report-e3835cfa9203.html"/>
    <hyperlink ref="E7" r:id="rId3" display="https://www.fool.com/earnings/call-transcripts/2026/09/08/credo-crdo-q1-2027-earnings-call-transcript/"/>
    <hyperlink ref="E8" r:id="rId4" display="https://ca.investing.com/news/stock-market-news/why-is-credo-technology-stock-rallying-today-93CH-4846693"/>
    <hyperlink ref="E9" r:id="rId5" display="https://newsletter.semianalysis.com/p/aws-trainium3-deep-dive-a-potential"/>
    <hyperlink ref="E10" r:id="rId6" display="https://www.fool.com/coverage/better-buy/2026/09/14/credo-technology-group-vs-marvell-technology-which-semiconductor-stock-is-a-better-buy-in-2026/"/>
    <hyperlink ref="E11" r:id="rId7" display="https://stockanalysis.com/stocks/crdo/forecast/"/>
    <hyperlink ref="E12" r:id="rId8" display="https://www.businesswire.com/news/home/20260601641616/en/Credo-Technology-Group-Holding-Ltd-Reports-Fourth-Quarter-and-Fiscal-Year-2026-Financial-Results"/>
    <hyperlink ref="E13" r:id="rId9" display="https://247wallst.com/investing/2026/09/21/credo-technology-crashed-for-3-months-this-wall-street-pro-says-its-about-to-double/"/>
    <hyperlink ref="E14" r:id="rId10" display="https://www.bloomberg.com/news/articles/2026-09-25/goldman-sees-hyperscaler-ai-capex-rising-50-to-1-2-trillion"/>
    <hyperlink ref="E15" r:id="rId11" display="https://www.sec.gov/Archives/edgar/data/0001807794/000162828026059795/credoq12027ex-991.htm"/>
    <hyperlink ref="E16" r:id="rId12" display="https://www.stocktitan.net/sec-filings/CRDO/10-q-credo-technology-group-holding-ltd-quarterly-earnings-report-e3835cfa9203.html"/>
    <hyperlink ref="E17" r:id="rId13" display="https://www.fool.com/earnings/call-transcripts/2026/09/08/credo-crdo-q1-2027-earnings-call-transcript/"/>
    <hyperlink ref="E18" r:id="rId14" display="https://investors.credosemi.com/news-events/news/news-details/2026/Credo-Agrees-to-Acquire-DustPhotonics-Accelerating-Expansion-into-Silicon-Photonics-and-Next-Generation-Optical-Connectivity/default.aspx"/>
    <hyperlink ref="E19" r:id="rId15" display="https://www.sec.gov/Archives/edgar/data/0001807794/000162828026039474/credoq42026ex-991.htm"/>
    <hyperlink ref="E20" r:id="rId16" display="https://www.trefis.com/stock/crdo/articles/616737/a-9-day-winning-streak-has-credo-technology-stock-up-41/2026-09-26"/>
    <hyperlink ref="E21" r:id="rId17" display="https://ca.investing.com/news/stock-market-news/why-is-credo-technology-stock-rallying-today-93CH-4846693"/>
    <hyperlink ref="E22" r:id="rId18" display="https://spheniscidae007.substack.com/p/credo-technology-group-holding-ltd"/>
    <hyperlink ref="E23" r:id="rId19" display="https://stockpicker.tech/analysis/crdo-stock-will-the-1-6t-optical-transition-destroy-credos-aec-moat"/>
    <hyperlink ref="E24" r:id="rId20" display="https://www.fool.com/investing/2026/09/02/why-credo-technology-stock-plunged-20-today/"/>
    <hyperlink ref="E25" r:id="rId21" display="https://www.bloomberg.com/news/articles/2026-09-25/goldman-sees-hyperscaler-ai-capex-rising-50-to-1-2-trillion"/>
    <hyperlink ref="E26" r:id="rId22" display="https://investors.credosemi.com/news-events/news/news-details/2026/Credo-Technology-Group-Holding-Ltd-Reports-First-Quarter-of-Fiscal-Year-2027-Financial-Results/"/>
    <hyperlink ref="E27" r:id="rId23" display="https://www.fool.com/earnings/call-transcripts/2026/09/08/credo-crdo-q1-2027-earnings-call-transcript/"/>
    <hyperlink ref="E28" r:id="rId24" display="https://finance.yahoo.com/markets/stocks/articles/credo-technology-group-holding-ltd-050030303.html"/>
    <hyperlink ref="E29" r:id="rId25" display="https://www.sec.gov/Archives/edgar/data/0001807794/000162828026059795/credoq12027ex-991.htm"/>
    <hyperlink ref="E30" r:id="rId26" display="https://www.stocktitan.net/sec-filings/CRDO/10-q-credo-technology-group-holding-ltd-quarterly-earnings-report-e3835cfa9203.html"/>
    <hyperlink ref="E31" r:id="rId27" display="https://www.benzinga.com/markets/tech/26/09/61597084/whats-going-on-with-credo-technology-stock-thursday"/>
    <hyperlink ref="E32" r:id="rId28" display="https://simplywall.st/stocks/us/semiconductors/nasdaq-crdo/credo-technology-group-holding/future"/>
    <hyperlink ref="E33" r:id="rId29" display="https://uk.investing.com/news/stock-market-news/credo-tech-stock-price-target-lowered-to-245-by-mizuho-on-valuation-93CH-4875589"/>
    <hyperlink ref="E34" r:id="rId30" display="https://www.tipranks.com/news/article/mizuho-slashes-credo-technology-stock-price-target-heres-why-it-is-still-bullish"/>
    <hyperlink ref="E35" r:id="rId31" display="https://semifundamental.substack.com/p/active-electrical-cable-aec-fundamentals"/>
    <hyperlink ref="E36" r:id="rId32" display="https://www.marvell.com/blogs/golden-cable-initiative-hyperscale-cable-partner-ecosystem.html"/>
    <hyperlink ref="E37" r:id="rId33" display="https://www.fool.com/investing/2026/09/02/why-credo-technology-stock-plunged-20-today/"/>
    <hyperlink ref="E38" r:id="rId34" display="https://www.trefis.com/stock/crdo/articles/616737/a-9-day-winning-streak-has-credo-technology-stock-up-41/2026-09-26"/>
    <hyperlink ref="E39" r:id="rId35" display="https://www.businesswire.com/news/home/20260413933103/en/Credo-Agrees-to-Acquire-DustPhotonics-Accelerating-Expansion-into-Silicon-Photonics-and-Next-Generation-Optical-Connectivity"/>
    <hyperlink ref="E40" r:id="rId36" display="https://stockanalysis.com/stocks/crdo/forecast/"/>
    <hyperlink ref="E41" r:id="rId37" display="https://www.sec.gov/Archives/edgar/data/0001807794/000162828026059795/credoq12027ex-991.htm"/>
    <hyperlink ref="E42" r:id="rId38" display="https://www.sec.gov/Archives/edgar/data/0001807794/000162828026060111/crdo-20260801.htm"/>
    <hyperlink ref="E43" r:id="rId39" display="https://finance.yahoo.com/markets/stocks/articles/credo-236-million-adjusted-profit-154239820.html"/>
    <hyperlink ref="E44" r:id="rId40" display="https://www.fool.com/earnings/call-transcripts/2026/09/08/credo-crdo-q1-2027-earnings-call-transcript/"/>
    <hyperlink ref="E45" r:id="rId41" display="https://uk.investing.com/news/stock-market-news/credo-tech-stock-price-target-lowered-to-245-by-mizuho-on-valuation-93CH-4875589"/>
    <hyperlink ref="E46" r:id="rId42" display="https://www.tipranks.com/news/article/mizuho-slashes-credo-technology-stock-price-target-heres-why-it-is-still-bullish"/>
    <hyperlink ref="E47" r:id="rId43" display="https://iamfabian.substack.com/p/my-pre-earnings-deep-dive-marvell"/>
    <hyperlink ref="E48" r:id="rId44" display="https://www.businesswire.com/news/home/20260601641616/en/Credo-Technology-Group-Holding-Ltd-Reports-Fourth-Quarter-and-Fiscal-Year-2026-Financial-Results"/>
    <hyperlink ref="E49" r:id="rId45" display="https://www.fool.com/investing/2026/09/02/why-credo-technology-stock-plunged-20-today/"/>
    <hyperlink ref="E50" r:id="rId46" display="https://www.trefis.com/stock/crdo/articles/616737/a-9-day-winning-streak-has-credo-technology-stock-up-41/2026-09-26"/>
    <hyperlink ref="E51" r:id="rId47" display="https://investors.credosemi.com/news-events/news/news-details/2026/Credo-Completes-Acquisition-of-DustPhotonics/default.aspx"/>
    <hyperlink ref="E52" r:id="rId48" display="https://www.viksnewsletter.com/p/cpo-fears-credo-and-role-of-aec-in-cpo-era"/>
    <hyperlink ref="E53" r:id="rId49" display="https://www.sec.gov/Archives/edgar/data/0001807794/000162828026059795/credoq12027ex-991.htm"/>
    <hyperlink ref="E54" r:id="rId50" display="https://www.fool.com/earnings/call-transcripts/2026/09/08/credo-crdo-q1-2027-earnings-call-transcript/"/>
    <hyperlink ref="E55" r:id="rId51" display="https://finance.yahoo.com/markets/stocks/articles/credo-technology-group-holding-ltd-050030303.html"/>
    <hyperlink ref="E56" r:id="rId52" display="https://247wallst.com/investing/2026/09/21/credo-technology-crashed-for-3-months-this-wall-street-pro-says-its-about-to-double/"/>
    <hyperlink ref="E57" r:id="rId53" display="https://finance.yahoo.com/technology/articles/credo-technologys-scale-push-drive-160000696.html"/>
    <hyperlink ref="E58" r:id="rId54" display="https://stockanalysis.com/stocks/crdo/forecast/"/>
    <hyperlink ref="E59" r:id="rId55" display="https://www.trefis.com/stock/crdo/articles/616737/a-9-day-winning-streak-has-credo-technology-stock-up-41/2026-09-26"/>
    <hyperlink ref="E60" r:id="rId56" display="https://newsletter.semianalysis.com/p/aws-trainium3-deep-dive-a-potential"/>
    <hyperlink ref="E61" r:id="rId57" display="https://finance.yahoo.com/markets/stocks/articles/crdo-vs-mrvl-ai-connectivity-141300659.html"/>
    <hyperlink ref="E62" r:id="rId58" display="https://ca.investing.com/news/stock-market-news/why-is-credo-technology-stock-rallying-today-93CH-4846693"/>
    <hyperlink ref="E63" r:id="rId59" display="https://simplywall.st/stocks/us/semiconductors/nasdaq-crdo/credo-technology-group-holding/future"/>
    <hyperlink ref="E64" r:id="rId60" display="https://www.viksnewsletter.com/p/cpo-fears-credo-and-role-of-aec-in-cpo-era"/>
    <hyperlink ref="E65" r:id="rId61" display="https://247wallst.com/investing/2026/09/21/credo-technology-crashed-for-3-months-this-wall-street-pro-says-its-about-to-double/"/>
    <hyperlink ref="E66" r:id="rId62" display="https://seekingalpha.com/article/4940940-credo-is-entering-its-hardest-test"/>
    <hyperlink ref="E67" r:id="rId63" display="https://stockanalysis.com/stocks/crdo/forecast/"/>
    <hyperlink ref="E68" r:id="rId64" display="https://alcapitaladvisory.com/research/equities/crdo.html"/>
    <hyperlink ref="E69" r:id="rId65" display="https://www.tipranks.com/stocks/crdo/earnings"/>
    <hyperlink ref="E70" r:id="rId66" display="https://ca.investing.com/news/stock-market-news/why-is-credo-technology-stock-rallying-today-93CH-4846693"/>
    <hyperlink ref="E71" r:id="rId67" display="https://www.trefis.com/stock/crdo/articles/616737/a-9-day-winning-streak-has-credo-technology-stock-up-41/2026-09-26"/>
    <hyperlink ref="E72" r:id="rId68" display="https://www.fool.com/investing/2026/09/06/hyperscalers-driving-ai-capex-cash-flow/"/>
    <hyperlink ref="E73" r:id="rId69" display="https://www.datacenterdynamics.com/en/news/moodys-hyperscaler-capex-forecasts-marked-up-by-85bn-to-close-in-on-1trn-by-2027/"/>
    <hyperlink ref="E74" r:id="rId70" display="https://www.sec.gov/Archives/edgar/data/0001807794/000162828026059795/credoq12027ex-991.htm"/>
    <hyperlink ref="E75" r:id="rId71" display="https://www.sec.gov/Archives/edgar/data/1807794/000162828026060111/crdo-20260801.htm"/>
    <hyperlink ref="E76" r:id="rId72" display="https://www.sec.gov/Archives/edgar/data/1807794/000162828026043303/crdo-20260502.htm"/>
    <hyperlink ref="E77" r:id="rId73" display="https://www.sec.gov/Archives/edgar/data/1807794/000162828026039474/credoq42026ex-991.htm"/>
    <hyperlink ref="E78" r:id="rId74" display="https://www.sec.gov/Archives/edgar/data/1807794/000162828026013205/credoq32026ex-9911.htm"/>
    <hyperlink ref="E79" r:id="rId75" display="https://www.sec.gov/Archives/edgar/data/1807794/000162828026006370/feb20268-kex991.htm"/>
    <hyperlink ref="E80" r:id="rId76" display="https://www.sec.gov/Archives/edgar/data/1807794/000162828025054428/credoq22026ex-991.htm"/>
    <hyperlink ref="E81" r:id="rId77" display="https://www.sec.gov/Archives/edgar/data/1807794/000180779425000018/credoq12026ex-991.htm"/>
    <hyperlink ref="E82" r:id="rId78" display="https://www.sec.gov/Archives/edgar/data/1807794/000162828025028827/credoq42025ex-991.htm"/>
    <hyperlink ref="E83" r:id="rId79" display="https://www.sec.gov/Archives/edgar/data/1807794/000162828025009813/credoq32025ex-991.htm"/>
    <hyperlink ref="E84" r:id="rId80" display="https://www.sec.gov/Archives/edgar/data/1807794/000162828024049564/credoq22025ex-991.htm"/>
    <hyperlink ref="E85" r:id="rId81" display="https://www.sec.gov/Archives/edgar/data/1807794/000162828024039309/credoq12025ex-991.htm"/>
    <hyperlink ref="E86" r:id="rId82" display="https://www.fool.com/earnings/call-transcripts/2026/09/08/credo-crdo-q1-2027-earnings-call-transcript/"/>
    <hyperlink ref="E88" r:id="rId83" display="https://abc.xyz/investor/events/event-details/2026/2025-Q4-Earnings-Call-2026-Dr_C033hS6/default.aspx"/>
    <hyperlink ref="E89" r:id="rId84" display="https://www.sec.gov/Archives/edgar/data/1326801/000162828026003832/meta-12312025xexhibit991.htm"/>
    <hyperlink ref="E90" r:id="rId85" display="https://www.sec.gov/Archives/edgar/data/1018724/000101872426000002/amzn-20251231xex991.htm"/>
    <hyperlink ref="E93" r:id="rId86" display="https://query1.finance.yahoo.com/v8/finance/chart/CRDO?period1=1788220800&amp;period2=1792972800&amp;interval=1d"/>
    <hyperlink ref="E94" r:id="rId87" display="https://www.sec.gov/Archives/edgar/data/1807794/000162828025033813/crdo-20250503.htm"/>
    <hyperlink ref="E95" r:id="rId88" display="https://www.sec.gov/Archives/edgar/data/1437424/000149315226014253/form20-f.htm"/>
    <hyperlink ref="E96" r:id="rId89" display="https://www.lightwaveonline.com/home/news/55410716/ethernet-optical-transceiver-set-to-grow-120-in-2026"/>
    <hyperlink ref="E97" r:id="rId90" display="https://lightwaveonline.com/home/article/55362899/ai-scale-up-raises-the-stakes-for-transceivers-and-cpo-adoption"/>
    <hyperlink ref="E98" r:id="rId91" display="https://investors.credosemi.com/news-events/news/news-details/2026/Credo-Agrees-to-Acquire-DustPhotonics-Accelerating-Expansion-into-Silicon-Photonics-and-Next-Generation-Optical-Connectivity/default.asp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2026-10-30T22:16:07Z</dcterms:created>
  <dc:creator>openpyxl</dc:creator>
  <dc:description/>
  <dc:language>en-US</dc:language>
  <cp:lastModifiedBy/>
  <dcterms:modified xsi:type="dcterms:W3CDTF">2026-10-30T22:16:07Z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