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<sst xmlns="http://schemas.openxmlformats.org/spreadsheetml/2006/main" count="1157" uniqueCount="773">
  <si>
    <t xml:space="preserve">NFLX 12-month price target model</t>
  </si>
  <si>
    <t xml:space="preserve">Close 2026-10-30 · agents' research 2026-10-23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</si>
  <si>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</si>
  <si>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</si>
  <si>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</si>
  <si>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</si>
  <si>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</si>
  <si>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</si>
  <si>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</si>
  <si>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</si>
  <si>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</si>
  <si>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</si>
  <si>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</si>
  <si>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</si>
  <si>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42 analysts, https://stockanalysis.com/stocks/nflx/forecast/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</si>
  <si>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</si>
  <si>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</si>
  <si>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</si>
  <si>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0.736 Platt-scaled (a = 1.732) to 0.736,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</si>
  <si>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</si>
  <si>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</si>
  <si>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</si>
  <si>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</si>
  <si>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</si>
  <si>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</si>
  <si>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</si>
  <si>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</si>
  <si>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</si>
  <si>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</si>
  <si>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</si>
  <si>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</si>
  <si>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</si>
  <si>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</si>
  <si>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</si>
  <si>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</si>
  <si>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</si>
  <si>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</si>
  <si>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2026-10-23 (update): peer set refreshed per Kilian 2026-10-26 06:07Z (DIS, SONY, META, GOOGL, AMZN, SPOT on one EPS basis with NFLX; median 21.82x, NFLX 18.44x); the horizon P/E moves 18.0x -&gt; 19.07x by the default exit rule (median x (own/median)^0.8, Kilian card 12:16Z), so the engine value moves $71.93 -&gt; $76.22. No other input changed (the 10-Q filed 2026-10-21 repeats the Q3 letter's figures already in the set). The text from here on is the base round's. Engine base horizon value of model.reconciled_inputs ($72.74): four-region driver DCF $65.21 (w 0.2; WACC 9.4%, g 3%) and 18x NTM GAAP P/E on ~$4.15 model EPS $74.63 (w 0.8). Net debt at the horizon is $7.5B, shares fall 3% a year from 4,195M, less a -$0.8B probability-weighted M&amp;A adjustment. The forecasters' mean fair value is $73.35 (after the gate's agent_1 capex correction). No agent has a share-count, EPS-base or SBC error (all cost SBC in GAAP EBIT). The change from round 1 ($73.11) is the Paramount-WBD margin trim (-$0.4) and the M&amp;A probability 0.25 -&gt; 0.2 (+$0.05).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</si>
  <si>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</si>
  <si>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</si>
  <si>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</si>
  <si>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</si>
  <si>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</si>
  <si>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</si>
  <si>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</si>
  <si>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</si>
  <si>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</si>
  <si>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</si>
  <si>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</si>
  <si>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</si>
  <si>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</si>
  <si>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</si>
  <si>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thesis break)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</si>
  <si>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</si>
  <si>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</si>
  <si>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</si>
  <si>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</si>
  <si>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</si>
  <si>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</si>
  <si>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</si>
  <si>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</si>
  <si>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</si>
  <si>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</si>
  <si>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</si>
  <si>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</si>
  <si>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</si>
  <si>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</si>
  <si>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</si>
  <si>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</si>
  <si>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</si>
  <si>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</si>
  <si>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</si>
  <si>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NFLX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</si>
  <si>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</si>
  <si>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</si>
  <si>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</si>
  <si>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</si>
  <si>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</si>
  <si>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</si>
  <si>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</si>
  <si>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</si>
  <si>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</si>
  <si>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</si>
  <si>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</si>
  <si>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NFLX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</si>
  <si>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</si>
  <si>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</si>
  <si>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</si>
  <si>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</si>
  <si>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</si>
  <si>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</si>
  <si>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</si>
  <si>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</si>
  <si>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</si>
  <si>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</si>
  <si>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</si>
  <si>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</si>
  <si>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</si>
  <si>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</si>
  <si>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</si>
  <si>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</si>
  <si>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</si>
  <si>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</si>
  <si>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NFLX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</si>
  <si>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</si>
  <si>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</si>
  <si>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</si>
  <si>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</si>
  <si>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</si>
  <si>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</si>
  <si>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</si>
  <si>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</si>
  <si>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</si>
  <si>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NTM GAAP EPS at horizon ~$4.19 (model; consensus FY27 $3.80 / FY28 $4.52) x 18x (single-basis peer median 20.4x, gate-corrected from a mixed-basis 22.4x; NFLX today 18.2x NTM)</t>
  </si>
  <si>
    <t xml:space="preserve">DCF</t>
  </si>
  <si>
    <t xml:space="preserve">WACC 9.3%, terminal g 3%, FY30 revenue $70.7B, margin 36.0%, capex+content gap 3.8%, tax 15.5%; TV 84% of DCF</t>
  </si>
  <si>
    <t xml:space="preserve">EV/EBITDA</t>
  </si>
  <si>
    <t xml:space="preserve">NTM GAAP EBITDA at horizon x 14x, less net debt $7.6B, / horizon shares (-3%/yr from 4,195M)</t>
  </si>
  <si>
    <t xml:space="preserve">Blended value</t>
  </si>
  <si>
    <t xml:space="preserve">Stated research target (12m)</t>
  </si>
  <si>
    <t xml:space="preserve">Engine-valued driver set: four-region revenue build ($56.3B FY27, +10.2%) with GAAP margin 31.5% -&gt; 36.0% by FY30; blend of P/E 18x NTM model EPS (~$4.19) $75.49 (w0.55), driver DCF at 9.3% WACC / 3% g $67.82 (w0.20), EV/EBITDA 14x $70.57 (w0.25) = $72.73 at the 2027-10-20 horizon, after a -$1.0B expected M&amp;A adjustment.</t>
  </si>
  <si>
    <t xml:space="preserve">18.0x x engine NTM EPS at horizon ~$4.19 (FY27 $3.77, FY28 ~$4.40: revenue $56.2B/$61.1B, EBIT margin 33.0%/34.2%, tax 15.5%, shares -3.5% a year). Reconciled 8-peer median NTM P/E 22.45x, range 11.1-35.4x.</t>
  </si>
  <si>
    <t xml:space="preserve">Regional segment build FY26-30 (revenue $51.1B -&gt; $69.3B), EBIT margin 31.5% -&gt; 36%, tax 15.5%, capex 1.6%, D&amp;A 0.8%, content cash gap 35% of incremental revenue, WACC 9.6% (beta 1.05), Gordon g 3.0%, net debt $7.1B, 4,050M shares at the horizon.</t>
  </si>
  <si>
    <t xml:space="preserve">Engine blend of a GAAP P/E leg (18x engine NTM EPS at the horizon of ~$4.19 = $75.19, weight 0.8) and a regional driver DCF to FY2030 (WACC 9.6%, g 3%: $64.44, weight 0.2 per the 17.1x forward-P/E band), less a $0.20 M&amp;A adjustment = $73.04 per share at 2027-10-20.</t>
  </si>
  <si>
    <t xml:space="preserve">Horizon NTM GAAP EPS ~$4.15 (model; consensus ~$4.30) x 18.0x (NFLX now 18.2x NTM; core 8-peer median 22.4x, range 11.1x-35.4x)</t>
  </si>
  <si>
    <t xml:space="preserve">Regional revenue build 2026-2030 (+13.1%, +10.0%, ~+8.6%, ~+7.7%, ~+6.7%), EBIT margin 31.5%-&gt;35%, tax 15%, capex+content gap 5.5%-&gt;4.0%, WACC 9.5%, terminal g 3%, TV 83% of EV</t>
  </si>
  <si>
    <t xml:space="preserve">Engine set: 0.8 x P/E 18.0x on horizon NTM GAAP EPS ~$4.15 ($74.76) + 0.2 x driver DCF ($63.12; regional build to ~$70B revenue and 35% margin in 2030, WACC 9.5%, g 3%), less a probability-weighted acquisition-overpayment adjustment (-$2.25B); 4,062M horizon shares.</t>
  </si>
  <si>
    <t xml:space="preserve">Segment build: UCAN subscription $18.96B (+10%,+7%,+5.5%,+5%,+4%), international subscription $24.72B (+11.4%,+10%,+9%,+8%,+7%), advertising $1.5B (+80%,+44%,+30%,+22%,+15%) =&gt; revenue $51.1B FY2026, $56.5B FY2027 (+10.6%), ~$70.8B FY2030; GAAP EBIT margin 31.5/33.3/34.5/35.5/36.0%; tax 15.5%; content cash gap 30% of incremental revenue; capex 2.7% then 1.8%; WACC 9.2% (rf 5.12%, beta 1.03, ERP 4.20%); Gordon g 3.0%; net debt $7.1B now, $7.5B at horizon; shares 4,195M -3%/yr; M&amp;A adjustment -$0.8B.</t>
  </si>
  <si>
    <t xml:space="preserve">18.0x x model NTM GAAP EPS at the horizon (~$4.3: FY2027 ~$3.79 vs $3.80 consensus, FY2028 ~$4.42 vs $4.52); peer NTM P/E median 22.2x (11 names; core ex-outliers 20.4x); NFLX at 17.1x FY2027 consensus today.</t>
  </si>
  <si>
    <t xml:space="preserve">14.0x x model NTM EBITDA (GAAP EBIT + D&amp;A, ~$21B) less $7.5B horizon net debt; peer TTM median 13.9x. Cross-check weight only.</t>
  </si>
  <si>
    <t xml:space="preserve">Engine blend at the 2027-10-20 horizon: segment-driven DCF $69.71 (w 0.20; WACC 9.2% on a 5.12% risk-free, g 3%, GAAP EBIT margin 31.5% to 36.0%, tax 15.5%), 18.0x NTM GAAP P/E $75.98 (w 0.70) and 14.0x NTM EV/EBITDA $71.22 (w 0.10), less a $0.8B probability-weighted M&amp;A adjustment = $74.25, +14.5% vs the $64.85 after-hours price.</t>
  </si>
  <si>
    <t xml:space="preserve">Regional segment build FY2026-30 (revenue $51.1B -&gt; ~$72.7B), EBIT margin 31.5% -&gt; 36.5%, tax 15.5-16%, capex incl. content cash excess 6.0% -&gt; 4.4%, WACC 9.4%, Gordon g 3.0%, net debt at horizon $7.5B, shares -3.25%/yr, M&amp;A adjustment -$0.8B</t>
  </si>
  <si>
    <t xml:space="preserve">18.0x x NTM GAAP EPS at 2027-10-20 of ~$4.23 per model share count (model: FY2027 ~$3.75, FY2028 ~$4.40); peer median 22.45x (10 peers); current 17.1x on FY2027 consensus $3.80</t>
  </si>
  <si>
    <t xml:space="preserve">Engine blend: driver DCF $67.07 (weight 0.2; regional members x ARM build, 31.5%-&gt;36.5% EBIT margin, WACC 9.4%, g 3.0%) and 18x NTM GAAP P/E on model EPS at the horizon = $76.09 (weight 0.8), with a -$0.8B probability-weighted M&amp;A adjustment -&gt; $74.28.</t>
  </si>
  <si>
    <t xml:space="preserve">NFLX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</si>
  <si>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</si>
  <si>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</si>
  <si>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</si>
  <si>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</si>
  <si>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</si>
  <si>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</si>
  <si>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</si>
  <si>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Engagement share keeps sliding to YouTube/creator and AI-generated video while a closed Paramount-WBD (HBO Max + Paramount+ under one owner) bids up content and pulls licensed titles; price increases meet churn, revenue growth ~7% in FY27 and ~4-5% after; margin stalls ~32-33% as live-sports costs rise; P/E de-rates to 14x (below DIS).</t>
  </si>
  <si>
    <t xml:space="preserve">Revenue +10.3% in FY27 (management: 'sustain double-digit revenue growth') fading to ~7% by FY30 on pricing, ads (15 new ad countries from March 2027) and emerging-market members; margin +1-2pt a year to 36% by FY30 as content spend grows slower than revenue; 18x NTM P/E, NFLX's own post-print multiple.</t>
  </si>
  <si>
    <t xml:space="preserve">Ads re-accelerate after the ad-tech rollout and 15-country launch (ad growth stays near the 80%+ of 2026), churn keeps improving, the January FY2027 guide shows margin above 34%; re-rates to ~21x, near the 22.4x peer median.</t>
  </si>
  <si>
    <t xml:space="preserve">YouTube and short-form keep taking TV time (Netflix US share toward 7%), the 2026 price rises start to show in churn, CTV CPMs keep falling as Amazon, YouTube and a Fox-Roku combination add inventory, and the now-closed Paramount-WBD (HBO Max + Paramount+) bids up content and sports: revenue growth ~7%, margin stuck near 31-32%, P/E 14x.</t>
  </si>
  <si>
    <t xml:space="preserve">Growth decelerates to ~10% in 2027 (CFO: 'sustain double-digit revenue growth'; I sit at the low end, ~1.3% below consensus revenue) as engagement softness offsets pricing and ads (~$3.8B in 2027); margin +1.5pt in 2027 then ~1pt a year to 36% in 2030; the market keeps a derated 18x NTM P/E.</t>
  </si>
  <si>
    <t xml:space="preserve">The 15-country ad expansion and live events lift ad revenue toward ~$4.5B in 2027 and the Omdia ~$8B path by 2030 (WARC: ~9.2% of global CTV ad spend in 2027); pricing sticks with churn improving; margins reach ~35% in 2028; multiple re-rates to ~22x, the peer median.</t>
  </si>
  <si>
    <t xml:space="preserve">Engagement keeps sliding (US TV share below 7.5%, and fewer disclosed engagement data to disprove it), 2027 ads miss again (~$3.2B), price increases meet churn, and a closed Paramount-WBD (Paramount+ + HBO Max) bids up content and sports rights: revenue growth ~3pts lower every year, margin ~2.5pts lower, P/E de-rates to ~14x (DIS/WMG level), WACC +0.5pt.</t>
  </si>
  <si>
    <t xml:space="preserve">Revenue growth decelerates from 13% (2026) to ~10% (2027, the bottom of management's 'sustain double-digit' objective) and ~7% by 2030; ads ~$2.7B -&gt; ~$3.7B in 2027; margin +1.5pts in 2027 then +0.5pt/yr to 35% (sports/content inflation absorbs leverage); buybacks cut the share count ~3%/yr; the stock holds today's ~18x NTM GAAP EPS.</t>
  </si>
  <si>
    <t xml:space="preserve">Ads-led: the 15-country ad-tier expansion from March 2027 and ad-tech fixes put ads on WARC's path (Netflix ~9.2% of CTV ad spend in 2027, ~$4.5B) and toward Omdia's $8B by 2030; high-margin ad revenue adds ~2.5pts of growth and ~2pts of margin, engagement stabilises on the slate, P/E re-rates to ~21x (still below the 22.4x peer median).</t>
  </si>
  <si>
    <t xml:space="preserve">Engagement keeps sliding to YouTube/creator video (Nielsen share 8.3% to 7.9% in a year) and the newly closed Paramount-WBD combination (HBO Max + Paramount+, ~200M subs) bids up content and pulls licensed titles; price rises meet churn, subscription growth falls toward 5%, ads stall near $3.3B in 2027, margin stalls ~33%, and the market pays ~14x P/E. Engine: growth -3pt, margin -2.5pt, multiple -4 turns, WACC +0.5pt.</t>
  </si>
  <si>
    <t xml:space="preserve">Revenue +10.6% in 2027 (ads ~$3.9B with 15 new ad markets), margin +1.8pt as acquisition and layoff costs lap, EPS ~$3.8 in line with consensus; the engagement debate stays open, so the stock holds ~18x NTM P/E.</t>
  </si>
  <si>
    <t xml:space="preserve">Live sports (NFL, Women's World Cup), ad-tech catch-up and pricing reaccelerate growth; the first annual engagement report shows per-member hours stabilising and Gauge share turning up; rerates to ~21x. Engine: growth +2pt, margin +1.5pt, multiple +3 turns.</t>
  </si>
  <si>
    <t xml:space="preserve">Engagement share keeps slipping to YouTube/AI video, the ad ramp disappoints again, price rises meet churn: growth ~7-8%, margins stall near 32%, P/E 14x on lower EPS, rates stay high.</t>
  </si>
  <si>
    <t xml:space="preserve">Growth fades 13% -&gt; ~10.7% in 2027 with ads ~$4B, margin +1.5pts a year, buybacks shrink the count ~3.25% a year; P/E holds ~18x.</t>
  </si>
  <si>
    <t xml:space="preserve">Ad tier in 15 new countries and programmatic scale lift ads toward $5B, growth holds ~12-13%, margin 34.5%+; multiple re-rates toward the 22x peer median.</t>
  </si>
  <si>
    <t xml:space="preserve">Average</t>
  </si>
  <si>
    <t xml:space="preserve">NFLX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</si>
  <si>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</si>
  <si>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</si>
  <si>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</si>
  <si>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</si>
  <si>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</si>
  <si>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</si>
  <si>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</si>
  <si>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after the supervisor's review. Q3 2026 (letter and call, read directly): revenue $12.87B, op margin 34.6%, EPS $0.87 beat; Q4 guide 26.0% margin / $0.67 EPS, 2026 ads ~$2.7B (from ~$3B), FCF ~$12.0B; the CFO said 2027 aims to 'sustain double-digit revenue growth' and expand margins, guide in January. After hours $64.85 is my starting price. Changes: horizon P/E 19x -&gt; 18x (NFLX's own 18.2x NTM; 22.4x 8-peer median; no evidenced re-rating catalyst); SOTP leg dropped (5x ad EV/sales unsupported); FY27 growth 9.9% -&gt; 10.2% (CFO wording); FY30 margin 36.5% -&gt; 36.0% and Paramount-WBD added to long_dated_risks and the bear case; share change -2.7% -&gt; -3.0% (round-1 dilution derivation was wrong); the unsupported 'Roku pursuit' claim removed. Engine values the set at $72.73 (P/E $75.49, DCF $67.82, EV/EBITDA $70.57); scenarios $48.2/$72.7/$92.5 at 25/50/25. Model NTM EPS at the horizon ~$4.19. Because the market price beats valuation blends as a 12-month forecast, the ladder is a scenario mixture with medians $49/$69/$86 (shaded toward $64.85 vs the engine values) and in-scenario sigma 0.22-0.28; total spread ~37% realized vol. P(&gt;= $69) 0.483, P(&gt;= $48) 0.856, P(&gt;= $103) 0.075. Research: 8 follow-up fetches/searches (call transcript, Q3 letter re-read, Nasdaq consensus for NFLX/GOOGL/SPOT/META/AMZN, Paramount 8-K exhibit, NPR on the state AG suit); post-print consensus has not updated yet.</t>
  </si>
  <si>
    <t xml:space="preserve">$48 is ~12.6x FY2027 consensus EPS ($3.80), ~26% below the $64.85 post-print price and at my bear value ($48.0). A close there would most likely mean earnings themselves are breaking, not only a lower multiple: revenue growth falling to mid-single digits (price rises no longer sticking, churn up), ads stuck near $3B and no margin expansion in the January FY2027 guide, or a large value-destroying acquisition. The one-sigma 12-month range at 37% vol is ~$45-95, so I place the break at the fundamental bear case rather than at ordinary volatility.</t>
  </si>
  <si>
    <t xml:space="preserve">• Engagement: H1'26 view hours +2% y/y while YouTube hit a record 14.2% of US TV time; does pricing power hold if share of time keeps falling? (management points to churn improving y/y)
• Advertising: ~$2.7B in 2026 after a cut from ~$3B ('a bit behind our aggressive target'); the FY27 path is the widest driver range
• Margin path: 2026's underlying expansion is ~1pt; the January FY2027 guide (the CFO would not quantify layoff savings) is the test
• Content competition: whether Paramount-WBD closes over the state AG suit, and the cost of live-sports rights
• Capital allocation: appetite for large M&amp;A after the withdrawn WBD agreement
• Disclosure: no member or ARM figures since 2025, so the regional driver split rests on revenue growth and management wording
• Rates: 10y UST at 5.12% compresses long-duration multiples</t>
  </si>
  <si>
    <t xml:space="preserve">• fair value: 73.31 → 72.47 (Engine value after the changes below (P/E 19x -&gt; 18x, SOTP leg dropped, FY27 growth and FY30 margin re-set, share change -3.0%).)
• a method: P/E: 19x NTM, $79.42, weight 0.45 → 18x NTM, $75.49 (model EPS ~$4.19), weight 0.55 (Supervisor: 19x sat above NFLX's own post-print NTM multiple with no catalyst argued. Re-checked: $64.85 / ($0.67 Q4 guide + 0.93 + 0.98 + 0.98 Nasdaq/Zacks quarters) = 18.2x; 8-peer median 22.4x recomputed with GOOGL 340.27/14.97 and SPOT 526.12/17.28 at Nasdaq. I found no evidenced re-rating catalyst, so 18x.)
• a method: SOTP: $67.25, weight 0.15 (subscription EBITDA x13 + ad revenue x5 EV/sales) → dropped (weight 0; P/E and EV/EBITDA take it in their 0.45:0.20 ratio) (Supervisor: the 5x ad EV/sales had no ad-margin or peer-ad-business evidence; I found none either, so the leg goes rather than an unsupported multiple.)
• a method: EV/EBITDA: 14x, $70.31, weight 0.20, 6-peer trailing median incl. CMCSA/LYV → 14x, $70.57, weight 0.25, 4 core peers (median 13.9x unchanged) (Weight redistribution from the SOTP; CMCSA and LYV dropped as not comparable (supervisor's comps review, which I agree with).)
• a method: DCF: $67.12 → $66.53 (FY27 growth 9.9% -&gt; 10.2% (CFO on the Q3 call: 'We look to sustain double-digit revenue growth'), FY30 margin 36.5% -&gt; 36.0% (live-sports inflation plus a combined Paramount-WBD bidding for content), share change -2.7% -&gt; -3.0%. WACC kept at 9.3%: same inputs as the supervisor's 9.4% (5.12% 10y, beta 1.0); the gap is the debt weight and rounding.)
• a fact: share count change: -2.7%/yr (dilution taken as the 1.5% diluted-basic gap) → -3.0%/yr (My round-1 derivation treated a stock gap as an annual flow; rebuilt from ~$11.5B buybacks at ~$70 (Q3 average $75.1) less ~0.9%/yr issuance seen in FY2025 (F29, F30, F64).)
• a fact: M&amp;A adjustment basis: WBD agreement plus a 'reported Roku pursuit' (KASU/NPR) → WBD agreement only (Netflix agreed ~$83B and withdrew when Paramount raised; Paramount funded the $2.8B break fee) (Supervisor found the cited source does not say Netflix pursued Roku; claim and source removed. Value unchanged (-$4B x 25%).)
• a fact: long_dated_risks: no Paramount-WBD entry; ad upside '$10B+ by 2030' with no source for the figure → Paramount-WBD added (p 0.55, -$1.2/share, terminal value and bear case); ad upside restated as ~$7-8B by 2030 from $2.7B x ~1.3^4 (Supervisor flagged the missing Paramount-WBD risk; verified at NPR: 12 state AGs sued in July 2026 after DOJ clearance. I disagree that the rest of the approvals are in hand: NPR says the FCC had not signed off and the UK regulator may review, so I use 0.55 rather than a higher close probability. The $10B ad figure had no source, so it was replaced by arithmetic on the letter's 2026 figure.)
• a scenario: bear $50.5 / base $73.3 / bull $91.5 → bear $48.0 / base $72.5 / bull $92.3 (Engine values of the revised set; the bear story now includes a closed Paramount-WBD and goes to 14x, the bull re-rates toward the 22.4x peer median.)
• P(close &gt;= K): P(&gt;=69) 0.505, P(&gt;=48) 0.866, P(&gt;=103) 0.085 → P(&gt;=69) 0.483, P(&gt;=48) 0.856, P(&gt;=103) 0.075 (Scenario mixture medians moved from $50/$70/$88 to $49/$69/$86 with the lower fair value and bear case; spread unchanged (~37% vol).)
• thesis break: 50.0 → 48.0 (Set at my revised bear value ($48.0, ~12.6x FY2027 consensus EPS), the level that needs earnings, not only the multiple, to break.)
• a fact: comps: 11 peers, median NTM P/E 22.2x (GOOGL 19.1x on a stake-gain-inflated FY26 blend) → 8 peers, median 22.4x (GOOGL 22.7x on FY27 EPS, SPOT 30.4x added; LYV, TTWO, ROKU, CMCSA dropped) (Supervisor's comps review; GOOGL and SPOT EPS re-checked at Nasdaq/Zacks.)</t>
  </si>
  <si>
    <t xml:space="preserve">Round 2. Q3 print (letter, re-read): revenue $12.87B +12%, op margin 34.6%, EPS $0.87; FY26 revenue $51.1B, ads ~$2.7B (from ~$3B), FCF ~$12.0B (from $12.5B, real-estate timing); Q4 margin 26% incl. ~120bp of layoff cost; gross debt $15.3B, net debt $7.1B; no FY27 guide, but the CFO said 'We look to sustain double-digit revenue growth' and 'steadily growing margin each year'. Start price $64.85 (after hours; Nasdaq $64.89). Supervisor findings acted on: (1) WACC rebuilt from measured beta: my own weekly regressions vs SPY give 0.92 (2y), 1.04 (3y), 1.41 (5y), 1.10 ex-2022, so beta 1.05 and WACC 9.6% (I sit 0.2pt above the supervisor's 9.4% because the 3y and ex-2022 betas are above 1.0); (2) peer median rebuilt on 8 comparable names at 22.45x (checked: GOOGL 340.27/14.97, SPOT 526.12/17.28), and ROKU is now takeover-priced (Fox 8-K); (3) explicit years extended to FY2030 with growth fading to 5.6% and margin to 36%; (4) P/E cut from 19x to 18x (round 1 sat above the ~18.2x NTM the stock trades at). Industry lane updates: Paramount-WBD is no longer a pending risk (settlement approved 2026-09-30, deal reported closed 2026-10-06), so its content-bidding effect is a near-certain long-dated cost; Fox-Roku consolidates CTV distribution; WARC/Omdia see Netflix at 9.2% of CTV ad spend in 2027 and $8B ads by 2030, which I use only in the bull case. Engine: P/E $75.19 (0.8), DCF $64.44 (0.2, now 14% below), M&amp;A -$0.20 =&gt; $73.04; scenarios $49.9/$73.0/$95.4 at 25/50/25. Ladder: scenario centres shaded halfway from value toward the $64.85 start (x0.942) because today's price beats research blends as a forecast and post-guide-cut drift is negative; within-scenario vol ~0.24 gives ~35% total vol, near the 1-year realized 35-37%. Median ~$67.4, P(&gt;= $69) 0.475 (round 1: 0.505). Research in round 2: 7 searches/fetches plus Nasdaq consensus and Yahoo price pulls.</t>
  </si>
  <si>
    <t xml:space="preserve">$46 is ~29% below the $64.85 start and 12.1x FY27 consensus EPS ($3.80), about 8% under my bear value ($49.9) and beyond a one-sigma move (~35% vol). Trading there would mean the market prices revenue growth sliding to mid-single digits and margin expansion ending: pricing power broken (churn after the 2026 price rises, US TV share toward 7%) or content costs bid up by the merged Paramount-WBD, not ordinary volatility. Round 1 had $45; moved up with the slightly higher bear value.</t>
  </si>
  <si>
    <t xml:space="preserve">• Whether the fall in Netflix's share of TV time (8.3% -&gt; 7.8-7.9%) and per-member viewing (-8% vs 2023) turns into churn and weaker pricing power, or stays a mix shift that ARM gains offset.
• Ad monetisation: the 2026 ad guide was cut by ~$300M while the ad tier reaches 250M viewers and upfront commitments nearly doubled; CPMs are falling industry-wide (-5%).
• Content and sports cost inflation now that Paramount-WBD has closed (HBO Max + Paramount+), Fox-Roku is pending, and NFL/sports rights reset.
• Margin trajectory: no FY27 guide yet; Q4'26 26% includes restructuring; consensus implies ~33% in FY27.
• Reduced disclosure (no subscriber counts; engagement report once a year from Jan 2027) keeps the multiple under pressure.</t>
  </si>
  <si>
    <t xml:space="preserve">• fair value: 74.62 → 73.04 (18x P/E (was 19x), WACC 9.6% from measured beta (was 10.0% on a judgment beta 1.2), build extended to FY2030, FY27 margin 33.0% (was 32.8%), -$0.20 M&amp;A adjustment; supervisor's DCF-check, peer-median and P/E findings.)
• a method: P/E 19x = $79.10 → P/E 18x = $75.19 (Supervisor: 19x sat above the ~18.2x NTM the stock trades at and my 28.2x median was inflated; rebuilt 8-peer median 22.45x verified at Nasdaq (GOOGL FY27, SPOT close).)
• a method: DCF $56.70 (WACC 10.0%, FY26-29) → DCF $64.44 (WACC 9.6%, FY26-30) (Supervisor's beta finding verified by my own regressions (0.92/1.04/1.41/1.10 ex-2022); FY2030 steady-state year added; gap to the P/E leg now -14% (was -28%).)
• a fact: peer median NTM P/E 28.2x (11 peers ex GOOGL) → 22.45x (8 peers, GOOGL on FY27 EPS) (Supervisor comps review; ROKU additionally takeover-priced (Fox 8-K, $160/share), SPOT re-priced at the $526.12 close.)
• a fact: Paramount-WBD: only a state lawsuit stands in the way → settlement approved 2026-09-30; deal reported closed 2026-10-06 (New evidence (AP via ABC News; iHeart); long-dated risk probability 0.7 -&gt; 0.9, value effect -$2.1 -&gt; -$2.7.)
• a fact: gross debt ~$15.1B → $15.3B (Q3 letter re-read; net debt $7.1B unchanged.)
• a scenario: bear $48.84 / base $74.62 / bull $100.46 (multiple +/-5x) → bear $49.89 / base $73.04 / bull $95.37 (multiple +/-4x) (Lower base multiple, bull capped at the 22.45x peer median, bear at 14x; new WACC and FY2030 year.)
• P(close &gt;= K): P(&gt;=69) 0.505, P(&gt;=76) 0.385, P(&gt;=93) 0.168 → P(&gt;=69) 0.475, P(&gt;=76) 0.36, P(&gt;=93) 0.16 (Lower fair value (73.04) and bull case; median ~$67.4 (was ~$70).)
• thesis break: 45 → 46 (Bear value rose to $49.9; level kept ~8% below it (12.1x FY27 consensus).)
• a method: no M&amp;A adjustment → -$4B x 0.2 = -$0.20/share (Supervisor long-dated review flagged that I missed the acquisition risk; Netflix bid for WBD before Paramount won (Feb 2026).)</t>
  </si>
  <si>
    <t xml:space="preserve">Skeptic lane, round 2. Supervisor findings acted on: (1) my 17x horizon P/E was a further de-rating below NFLX's own 18.2x NTM ($64.85/$3.56), not 'current level held'; I now hold ~18x and keep the skeptic view in below-consensus EPS (~$4.15 vs ~$4.30 street NTM at the horizon) and the bear case, so the worry is counted once. (2) Scenario weights 30/50/20 had no base rate and the downside news is in the $64.85 start: equalised to 25/50/25; asymmetry stays in severity (bear -4 turns, -3pt growth, -2.5pt margin). (3) Added an ads-led bull path (WARC 9.2% CTV share 2027, Omdia $8B by 2030: +2.5pt growth, +2pt margin, 21x). (4) Dropped the 13.2x content subset (it included cable); core 8-peer median 22.4x with SPOT added (526.08/17.28, my check at Nasdaq/Yahoo). (5) Added the Paramount-WBD long-dated risk I missed (12 states suing; $7B break fee if not closed by June 4, 2027). New evidence: the CFO's objective to 'sustain double-digit revenue growth' moved FY2027 growth 9.6% -&gt; 10.0%; ads 'a bit behind our aggressive target'; Netflix moving to annual engagement reports (less disclosure, supports the discount); July target cuts (Pivotal $70 Street-low on short-form shift and content costs). WACC kept at 9.5% (Blume beta 0.94 on 2y weekly; supervisor's 9.4% with beta 1.0 differs by 0.1pt, under $0.5/share). FY2030 margin kept at 35% (supervisor 36%): live sports and a possible Paramount-WBD rights war argue for a lower cap. Engine: P/E $74.76 (0.8) + DCF $63.12 (0.2) - M&amp;A adjustment -&gt; $72.43; scenarios $48.7 / $72.4 / $94.3 at 25/50/25. Ladder: 50% scenario mixture (20% within-scenario vol) + 50% 37%-vol lognormal centred on the $64.85 start (today's price beats any blend as a 12-month forecast), with slightly fatter far-left tail; median ~$68.3, P(&gt;=69) 0.49. 1-month ladder unchanged (no new in-window information). Option data not used; research limited to ~9 follow-up lookups; post-print analyst reactions not yet indexed.</t>
  </si>
  <si>
    <t xml:space="preserve">$50 is ~12x my horizon NTM EPS (~$4.15) and ~13x FY2027 consensus ($3.80), 23% below the $64.85 post-print price and just above my bear value ($48.7): trading there would mean the market is pricing falling earnings, not a multiple wobble: a January FY2027 guide below double-digit growth or with flat margins, churn after price increases, ads stuck near $3B after the 15-country launch, an expensive large acquisition, or a closed Paramount-WBD forcing a content/sports cost war. Unchanged from round 1 because my bear value moved only $2.5.</t>
  </si>
  <si>
    <t xml:space="preserve">• Whether the engagement slide (hours/member, US TV share 7.8%) is a slate gap that hits can fix or a structural loss of attention to YouTube/creator video
• Ad revenue trajectory after the 2026 cut (~$2.7B vs ~$3B): ad tech delays vs the 15-country 2027 expansion
• FY2027 margin: layoff savings vs sports/live and content cost inflation; street implies ~33%+
• Capital allocation: record buybacks now, but management agreed an $82.7B WBD deal in late 2025 and could pursue another large deal
• Pricing power: 2026 price increases 'consistent with prior' per management, but industry cancellations rising (streamflation)
• Rates: 10-year at 5.12% keeps the discount rate high for a long-duration stock
• Disclosure: Netflix stopped reporting memberships in 2025 and moves its engagement report to once a year, so the engagement debate will be settled on revenue and third-party data (Nielsen) rather than company hours
• Paramount-WBD: whether the 12-state suit blocks the deal before the June 4, 2027 outside date</t>
  </si>
  <si>
    <t xml:space="preserve">• a method: P/E 17.0x -&gt; $70.88 → P/E 18.0x -&gt; $74.76 (Supervisor: 17x was a further de-rating below NFLX's own 18.2x NTM ($64.85/$3.56, my figure); I hold today's multiple and carry the bear view in EPS and the bear scenario.)
• a fact: Peer reference 22.7x (11 peers) and 13.2x content subset incl. CMCSA → Core 8-peer median 22.4x (CMCSA, LYV, TTWO, ROKU excluded; SPOT 30.4x added) (Supervisor comps review; SPOT re-checked at Nasdaq (FY2027 EPS 17.28) and Yahoo (close 526.08).)
• a method: FY2027 revenue growth +9.6% (UCAN 8%, EMEA 10%) → +10.0% (UCAN 8.5%, EMEA 10.5%) (Q3 call transcript: CFO objective to 'sustain double-digit revenue growth' (supervisor finding, re-verified at the transcript).)
• a method: DCF $63.45 → DCF $63.12 (FY2027 growth change and the -$2.25B acquisition-overpayment adjustment moved into model_inputs (was scenario-only).)
• a scenario: bear $46.2 p0.30 / base $69.4 p0.50 / bull $91.8 p0.20 → bear $48.7 p0.25 / base $72.4 p0.50 / bull $94.3 p0.25 (Supervisor: weights had no base rate and downside news is in the start price; bull now ads-led (WARC/Omdia, re-verified at Advanced Television); bull multiple +3 turns to 21x (was +4 to 21x from 17x).)
• fair value: 69.39 → 72.43 (18x horizon P/E, FY2027 growth +10.0%, M&amp;A adjustment; engine base horizon value.)
• P(close &gt;= K): P(&gt;=69) 0.435, P(&gt;=48) 0.80, P(&gt;=93) 0.145; median ~$65.5 → P(&gt;=69) 0.488, P(&gt;=48) 0.832, P(&gt;=93) 0.175; median ~$68.3 (Higher scenario values and equal tail weights; still 50% anchored on the $64.85 start.)
• a fact: Paramount-WBD not in long-dated risks → Added: p 0.55, -$1.0/share, in the bear scenario (Supervisor long-dated review; re-verified at NPR (12 states, ~$111B, $7B owed if not closed by June 4, 2027).)
• a fact: M&amp;A risk p 0.20, -$0.7/share (scenario only) → p 0.15, -$0.55/share, as an equity adjustment (WBD went to Paramount (NPR), fewer targets of that size; priced into the base value instead of only the scenarios.)
• thesis break: 50 → 50 (unchanged) (Bear value moved only from $46.2 to $48.7; $50 still ~12x horizon EPS and means earnings, not the multiple, are breaking.)</t>
  </si>
  <si>
    <t xml:space="preserve">Round 2. Start: $68.69 close, $64.85 after hours following Q3 2026 (EPS $0.87 beat, revenue $12.87B, 34.6% margin) with the 2026 ad outlook cut to ~$2.7B, FY revenue $51.1B and FCF ~$12B. Supervisor findings acted on, each re-checked at source: (1) risk-free: the Treasury curve shows the 10y at 5.12% on 2026-10-20 (my 4.3% was the bill rate); I rebuilt the cost of equity with my own 3y weekly beta vs SPY (1.04; 2y 0.92, 5y 1.43) and Damodaran's 2026-10-01 implied ERP of 4.20% (replacing a 5.0% judgment), giving a 9.2% WACC, below the supervisor's 9.4% because the sourced ERP is lower than my old judgment; (2) FY2030 margin trimmed from 37.5% to 36.0% with a scaled-peer bracket (DIS ~24% vs META ~48% TTM EBITDA margin) and live-sports and Paramount-WBD cost pressure; (3) tax cut from 17% (TTM, inflated by the WBD fee) to a normalised 15.5%; (4) EV/EBITDA weight cut from 0.3 to 0.1 and P/E raised to 0.7; (5) Paramount-WBD and M&amp;A risks added. New fact the supervisor did not have: the Paramount-WBD merger completed on 2026-10-06 (WBD S-8 POS; Form 15 deregistration 2026-10-16), so this risk is now live, not contingent on the state AG suit; I trimmed FY2027 UCAN growth from 8% to 7%. No credible ad-margin estimate exists, so ads keep the company margin. Alternative-lane evidence (round 1, unchanged) is mixed-to-negative on engagement: Nielsen US TV share 7.9% June 2026 vs 8.3%, YouTube records (14.2% July); Netflix H1 hours +~2%; Wells Fargo per-member hours ~8% below 2023; offsets: Poland share rising, Sensor Tower GTA VI download spike, Antenna cord-cutter plan choice, WARC CTV ad share to ~9% by 2027, management-reported churn improvement. The Reddit/X backlash stays out of the numbers. No round-2 search found a verifiable post-price-rise Antenna churn figure (Puck paywalled). Valuation: DCF $69.7 (w 0.2), 18x NTM P/E $76.0 (w 0.7), 14x EV/EBITDA $71.2 (w 0.1) =&gt; $74.25 (round 1 $73.62): lower margin and the higher risk-free are offset by the lower sourced ERP, lower tax and the reweighting toward the P/E leg. Model FY2027 EPS ~$3.79 vs $3.80 consensus. Scenarios $50.3/$74.3/$93.5 at 25/50/25. Ladder: the engine distribution (median $73.6) gets ~1/3 weight against a lognormal from the $64.85 effective start at ~37% vol, median ~$68.5, P(&gt;= $69) 0.485; left tail kept fatter than the scenario mixture (P(&lt; $48) ~17.5%) because the stock de-rated 40%+ in a year on narrative. Lane share dipped to 12 of 22 sources because the corrections needed primary data (Treasury, prices, filings).</t>
  </si>
  <si>
    <t xml:space="preserve">$48 is ~12.6x FY2027 consensus EPS ($3.80), below even DIS (15.2x) and close to FOXA (11.1x), and ~4.5% under my engine bear value ($50.3). Trading there would most likely mean the base case broke: subscription growth falling to mid-single digits (price rises no longer sticking, churn rising against YouTube and the combined Paramount-WBD service), the margin path stalling near 33%, or the January 2027 guide implying revenue growth below 10%, not ordinary volatility (it is ~26% below the $64.85 effective start, ~0.8 sigma at 37% vol, and below the bear case's centre). Lowered from $50 in round 1 because the bear value moved from $48.3 to $50.3 and the break sits just under it.</t>
  </si>
  <si>
    <t xml:space="preserve">• Engagement: whether per-member viewing stabilises against YouTube (Nielsen TV-share data, the annual engagement report) or keeps eroding (Wells Fargo: per-member hours ~8% below 2023).
• Ad execution: 2026 cut to ~$2.7B; the 2027 path depends on ad-tech rollout and the 15-country expansion.
• Pricing power: the March 2026 US increase drew loud Reddit/X backlash but management reports churn improved year on year; the next price round is the test.
• Margin path after the October 2026 layoffs (~1,000 roles) versus sports-rights and content cost inflation.
• Multiple: the stock rerated from ~35x to ~17x forward in a year; whether that stabilises depends on the engagement narrative more than on earnings.
• Competition from the combined Paramount-WBD (merger completed 2026-10-06; ~200M DTC subs across HBO Max and Paramount+ to be merged into one platform): content bidding, licensed-title pulls and bundling.
• Capital allocation: Netflix agreed an $82.7B-EV deal for WBD in Dec 2025; a repeat large acquisition would change the buyback-driven EPS path.</t>
  </si>
  <si>
    <t xml:space="preserve">• a fact: risk-free 4.3% → 5.12% (10y UST 2026-10-20) (Supervisor finding (4.3% was the 3-4 month bill), verified on the Treasury par curve CSV.)
• a method: WACC 9.5% (CoE 4.3% + 1.15 x 5.0%, rounded down from ~9.8%) → WACC 9.2% (CoE 5.12% + 1.03 x 4.20% = 9.45%; Kd 5.0% after tax; 95/5 weights) (Supervisor's risk-free finding; own 3y weekly beta regression (1.04) and Damodaran's 2026-10-01 implied ERP 4.20% replace the unsourced 1.15 beta and 5.0% ERP. I differ from the supervisor's 9.4% because the sourced ERP is lower.)
• a method: FY2030 EBIT margin 37.5% (31.5/33.5/35/36.5/37.5) → 36.0% (31.5/33.3/34.5/35.5/36.0) (Supervisor asked to argue or trim; scaled-peer bracket (DIS ~24% vs META ~48% TTM EBITDA margin) and sports/Paramount-WBD cost pressure support trimming.)
• a method: tax 17% → 15.5% (Supervisor: 17% sits above FY2025 13.7%; TTM 17.2% is lifted by the taxed WBD termination fee; midpoint 15.5%.)
• a method: P/E w 0.5, EV/EBITDA w 0.3 → P/E w 0.7, EV/EBITDA w 0.1 (Supervisor: 0.3 on EV/EBITDA had no evidence; forward P/E is the most accurate single multiple (Liu, Nissim &amp; Thomas 2002); EV/EBITDA kept as a trailing-peer cross-check.)
• a method: UCAN subscription growth FY2027 +8% → +7% (New evidence: Paramount-WBD merger completed 2026-10-06 (WBD S-8 POS), creating a ~200M-subscriber combined rival (PPC Land).)
• a method: no adjustments → M&amp;A adjustment -$4.0B x 0.2 = -$0.8B (Supervisor flagged the missed M&amp;A risk; the $82.7B-EV WBD agreement (Q4'25 letter) shows appetite for large deals.)
• fair value: 73.62 → 74.25 (Net of the above: lower margin, higher risk-free, M&amp;A adjustment and slower UCAN growth are offset by the lower sourced ERP and beta, lower tax and the weight shift to the P/E leg (P/E $76.21 -&gt; $75.98, DCF $68.48 -&gt; $69.71, EV/EBITDA $72.72 -&gt; $71.22).)
• a scenario: bear $48.34 (margin -3pt) / bull $94.74 (margin +2pt) → bear $50.29 (margin -2.5pt) / bull $93.49 (margin +1.5pt) (Base margin path is lower, so smaller margin deltas around it; bear story now includes the closed Paramount-WBD combination.)
• thesis break: 50.0 → 48.0 (Bear value rose to $50.3; the break sits just under the bear centre at ~12.6x FY2027 consensus.)
• P(close &gt;= K): P(&gt;=69) 0.47, P(&gt;=48) 0.82, P(&gt;=93) 0.16 → P(&gt;=69) 0.485, P(&gt;=48) 0.825, P(&gt;=93) 0.165 (Engine median rose from ~$73 to $73.6 with the same one-third research weight against a lognormal from $64.85.)
• P(close &gt;= K): 1-month P(&gt;=63.88) 0.51, P(&gt;=61.82) 0.63 → 0.525, 0.645 (Fine-tuning toward the neutral 37%/3.5 spread around ~$64.6; no new event in the window.)</t>
  </si>
  <si>
    <t xml:space="preserve">Round 2. Start: $64.85 after hours (-5.6% on a soft Q4 guide, ad revenue cut to ~$2.7B, FCF to $12.0B), 17.1x FY2027 consensus EPS $3.80 (Nasdaq/Zacks still pre-print on 2026-10-20). Fundamentals are intact (Q3 revenue +12%, operating margin 34.6%, $4.8B buyback for 63.9M shares), so the debate is the multiple and engagement. Supervisor findings acted on, each re-verified at source: (a) discount rate: 10y UST 5.12% on the Treasury curve; my own weekly regressions give beta 0.92 (2y), 1.04 (3y), 1.105 since 2023, 1.40 (5y, 2022-dominated); I use Blume 1.07 -&gt; WACC 9.4% (from 10.5%); (b) terminal growth 3.0% (from 3.5%), since the old pair were offsetting errors; (c) share change -3.25% (from -3.5%): diluted shares -3.35% y/y in Q3 but buybacks have run above FCF; I stop slightly short of the supervisor's -3.0%; (d) an M&amp;A adjustment I had missed (-$4B x 20%); (e) peer median 22.45x after dropping LYV and putting GOOGL on FY2027 EPS; my round-1 trailing EV/EBITDA median (16.2x) was an arithmetic slip and is now 11.6x. Base rates (my lane): NFLX's own &gt;40% drawdowns (2004-05, 2011-12, 2022, July 2019 miss) were followed by large 12-month rebounds, but those were operating crises fixed visibly; today's fall is a de-rating of a still-growing business, where momentum persistence (Jegadeesh-Titman) is the broader base rate. Event odds: Kalshi 2027 recession ~20%, December FOMC hike priced with the 10y at 5.12%; Kalshi priced Paramount 65% to complete WBD before July 2027 (July 2026), a bigger content rival in my bear case. Alt-data: Nielsen June 2026 NFLX 7.9% of US TV time vs 8.3% a year earlier, YouTube 13.5%. Valuation: regional members x ARM build -&gt; FY2027 revenue ~$56.6B (+10.7%), EBIT 33%, EPS ~$3.75 (consensus $3.80, -1%); DCF $67.1 at 9.4% (w 0.2) and 18x NTM P/E $76.1 (w 0.8) less M&amp;A -&gt; fair value $74.28; scenarios $50.4/$74.3/$98.6 at 25/50/25. Ladder: 87% weight on a lognormal centred at the engine median $73.8 (sigma 0.31) plus 13% on a stress state centred at $50 (sigma 0.30) for an engagement/ads break; overall median ~$70.6 (+9% vs $64.85 effective start), below fair value to respect momentum and post-print estimate cuts; P(&gt;= $69) 53%, P(&gt;= $93) 20%, P(&gt;= $48) 87%. 1-month ladder unchanged (no new information on the window). No option data used.</t>
  </si>
  <si>
    <t xml:space="preserve">Kept at $45 after the revision (bear scenario now $50.4). $45 is ~12x my FY2027 EPS (~$3.75), below Netflix's 2022 crisis trough (~15.5x trailing) and below every scaled media peer except CMCSA/FOXA. Trading there would most likely mean earnings themselves are breaking (paid-member losses after price rises, an ad business that stalls, or margins reversing on sports-rights/content inflation), not a multiple wobble; it is also ~31% below the after-hours price, beyond a one-sigma 12-month move.</t>
  </si>
  <si>
    <t xml:space="preserve">• Engagement: total view hours grew only ~2% in H1 2026 and Netflix's share of US TV time fell to 7.9% while YouTube rose to 13.5%; whether pricing power survives slower engagement.
• Ad business trajectory: 2026 cut from ~$3B to ~$2.7B; 2027 ($4B in my base) depends on ad-tech rollout and 15 new ad-tier markets.
• Size of post-print estimate cuts for FY2027 (consensus $3.80 had 4 downward revisions in the last 4 weeks before the print).
• Rates: 10y at 5.12% and a priced December hike compress long-duration multiples; recession odds for 2027 ~20% on Kalshi.
• Base-rate conflict: NFLX's own three prior &gt;40% drawdowns were followed by large 12-month rebounds, but those were operating crises that got fixed; this is a de-rating of a still-growing business, where momentum continuation is the broader base rate.</t>
  </si>
  <si>
    <t xml:space="preserve">• a fact: 10y UST 5.15% (FRED, 2026-10-19) → 5.12% (Treasury par curve, 2026-10-20) (Supervisor disagreement on the discount rate; re-verified on the Treasury CSV)
• a method: WACC 10.5% (Blume 5y-monthly beta 1.36) → WACC 9.4% (Blume beta 1.07 from own weekly regression since 2023) (Supervisor DCF CHECK flag: 5y beta dominated by the 2022 collapse; my regression confirms 2y 0.92 / 5y 1.40)
• a method: terminal growth 3.5% → 3.0% (Supervisor: high WACC and high g were offsetting errors, not a steady state)
• a method: shares -3.5%/yr → -3.25%/yr (Supervisor: run-rate after SBC dilution ~-3%; Q3 letter diluted -3.35% y/y; I keep slightly more because FCF ~$12.5B buys ~4.3% at ~$70)
• a method: no M&amp;A adjustment → -$4,000M x 0.20 equity adjustment (~-$0.20/share) (Supervisor long-dated review: I missed the large-acquisition risk (WBD agreement precedent))
• a method: DCF $60.82, P/E $76.49 → DCF $67.07, P/E $76.09 (WACC/terminal/share-count/M&amp;A changes above, engine re-run)
• fair value: 73.36 → 74.28 (Engine base horizon value of the revised set)
• a scenario: bear 49.78 / base 73.36 / bull 97.30 → bear 50.37 / base 74.28 / bull 98.60 (Engine re-run on the revised set; deltas unchanged)
• a fact: peer median NTM P/E 22.2x (11 peers incl. LYV, GOOGL 19.1x on a stake-gain-distorted NTM); trailing EV/EBITDA median 16.2x → 22.45x (10 peers, LYV dropped, GOOGL 22.7x on FY2027 EPS); trailing EV/EBITDA median 11.6x (Supervisor comps review; the round-1 EV/EBITDA median was an arithmetic slip (median of the six was 13.9x, of the five kept 11.6x))
• P(close &gt;= K): P(&gt;=69) 0.516, P(&gt;=76) 0.401, P(&gt;=93) 0.192 → P(&gt;=69) 0.528, P(&gt;=76) 0.413, P(&gt;=93) 0.201 (Main lognormal recentred from $73.0 to the revised engine median $73.8; stress component unchanged)
• a fact: Paramount-WBD rival risk probability 0.6 → 0.65 (New in-lane evidence: Kalshi WBD takeover market (Paramount 65% before July 2027, 2026-07-24))
• thesis break: 45 → 45 (Kept: ~12x FY2027 EPS, below the revised bear value $50.4; the supervisor's $48 sits within one bear-scenario sigma, so I keep mine below it)</t>
  </si>
  <si>
    <t xml:space="preserve">NFLX supervisor</t>
  </si>
  <si>
    <t xml:space="preserve">Confidence: low. My searches settled one stale fact: Paramount-WBD closed on 2026-10-06, which agents 1, 3 and 5 and the round-1 supervisor still treated as pending. Its value effect is about -$0.4 a share. The reconciled set ($72.74) is within 0.9% of the forecasters' mean fair value ($73.35), so nothing justifies replacing the mean ladder.</t>
  </si>
  <si>
    <t xml:space="preserve">Summary</t>
  </si>
  <si>
    <t xml:space="preserve">Netflix beat Q3 but cut the 2026 ad outlook to ~$2.7B and FCF to ~$12.0B and guided Q4 below the street. The stock is $64.89 after hours (17.1x FY27 EPS), below its 52-week low. After revision all five forecasters sit at 18x NTM P/E and fair values of $72.4-74.3; I re-derived the multiple and peer median (20.4x on one basis after the citation gate) myself rather than relying on that convergence. The one new fact I settled is that Paramount-WBD closed on 2026-10-06 (WBD 8-K), which three agents still treated as pending. Its modest margin effect gives a reconciled fair value of $72.74 (bear $49.25 / bull $91.65), within 1% of the mean. The ladder therefore stays at the mean (P(&gt;= $69) 0.49), with the thesis break at $48 and the January FY27 guide as the next test.</t>
  </si>
  <si>
    <t xml:space="preserve">Research target (12m)</t>
  </si>
  <si>
    <t xml:space="preserve">Key drivers</t>
  </si>
  <si>
    <t xml:space="preserve">• Subscription (streaming ex-ads) revenue: 4.368e+04 -&gt; 4.847e+04/5.242e+04/5.609e+04 (estimate; quarterly, sum)
• Advertising revenue: 1,500 -&gt; 2,700/3,900/5,050 (estimate; quarterly, sum)
• Content amortization: 1.642e+04 -&gt; 1.798e+04/1.962e+04/2.119e+04 (estimate; quarterly, sum)
• Other operating costs (cost of revenues ex-amortization + marketing + tech &amp; dev + G&amp;A): 1.543e+04 -&gt; 1.703e+04/1.845e+04/1.993e+04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</si>
  <si>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</si>
  <si>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</si>
  <si>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</si>
  <si>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</si>
  <si>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</si>
  <si>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Paramount-WBD status (content-competition risk)</t>
  </si>
  <si>
    <t xml:space="preserve">agent_2 and agent_4: closed 2026-10-06 (AP settlement approval; WBD S-8 POS). agent_1: DOJ cleared, state AG suit, FCC/UK reviews pending, $7B fee if not closed by 2027-06-04 (p 0.55). agent_3: 12 states suing, June 4, 2027 outside date (p 0.55). agent_5: Kalshi 65% to close before July 2027 (p 0.65). The round-1 supervisor also had it pending (p 0.6).</t>
  </si>
  <si>
    <t xml:space="preserve">Closed. WBD's 8-K of 2026-10-06 (Item 2.01) says Skydance Corporation (f/k/a Paramount Skydance) completed the merger on October 6, 2026 at $31.01666668 cash per WBD share; Nasdaq trading halted that day (Item 3.01), Form 25-NSE filed 2026-10-06 and 15-12G on 2026-10-16. A federal judge approved the 12-state settlement on 2026-09-30 (AP). Agents 1, 3 and 5 carry a stale fact: the outside date, the $7B fee and the Kalshi odds are moot. The event now has probability 1. Its effect on Netflix is still uncertain: one owner for HBO Max, Paramount+ and two studios bidding for content and sports, and licensed titles at risk; offset because there is one fewer bidder. I trim the FY28-30 margin by 0.2/0.3/0.3pt (-$0.4 a share) and keep the severe version in the bear case. I did not take agent_4's 1pt UCAN FY27 growth cut, because the '~200M-subscriber merged service' rests on a PPC Land newsletter and AP says only that both services sit 'under the same roof'.</t>
  </si>
  <si>
    <t xml:space="preserve">WBD 8-K 2026-10-06 items 2.01/3.01/5.01 (opened); WBD EDGAR index (S-8 POS, 25-NSE 2026-10-06, 15-12G 2026-10-16); AP via NY1 2026-09-30 (opened).</t>
  </si>
  <si>
    <t xml:space="preserve">Leg weights (P/E vs EV/EBITDA)</t>
  </si>
  <si>
    <t xml:space="preserve">agents 2, 3 and 5: P/E 0.8 + DCF 0.2. agent_1: P/E 0.55, EV/EBITDA 0.25. agent_4: P/E 0.7, EV/EBITDA 0.1.</t>
  </si>
  <si>
    <t xml:space="preserve">P/E 0.8 + DCF 0.2. The DCF weight is 0.2 from the tested forward-P/E band (17.1x FY27 at $64.85, 15.0-19.6x). The P/E vs EV/EBITDA split is untested judgment, and forward P/E is the most accurate single multiple (Liu, Nissim &amp; Thomas 2002, cited in the playbook), so the multiple share goes to P/E. Under agent_1's split the engine values the reconciled set at $71.57 (-1.6%, under the 5% flag).</t>
  </si>
  <si>
    <t xml:space="preserve">Playbook leg-weight table (dims_README walk-forward); engine legs: agent_1 EV/EBITDA $70.57 vs P/E $75.49.</t>
  </si>
  <si>
    <t xml:space="preserve">Long-run margin and the Paramount-WBD effect</t>
  </si>
  <si>
    <t xml:space="preserve">FY30 GAAP EBIT margin: agent_3 35.0%; agents 1, 2 and 4 36.0%; agent_5 36.5%. agent_4 instead cut UCAN FY27 growth 8% -&gt; 7%.</t>
  </si>
  <si>
    <t xml:space="preserve">35.7% by FY30 (31.5/33.0/34.1/35.0/35.7). The FY26 31.5% outlook and the CFO's 'steadily growing margin each year' are verified; layoff savings are not quantified ('We are not going to specifically quantify the expense impact in 2027'). Each 0.5pt of FY30 margin is worth ~$0.7 a share.</t>
  </si>
  <si>
    <t xml:space="preserve">Q3 2026 letter and call transcript (both opened).</t>
  </si>
  <si>
    <t xml:space="preserve">Horizon P/E and peer median</t>
  </si>
  <si>
    <t xml:space="preserve">All five now use 18x. Their peer medians: 22.2x (agent_4, 11 names incl. LYV/CMCSA/ROKU), 22.4-22.45x (agents 1, 2, 3, 5).</t>
  </si>
  <si>
    <t xml:space="preserve">Round-2 convergence is not evidence, so I re-derived the multiple. NFLX trades at 64.89 after hours / 3.56 NTM (Q4 guide 0.67 + Zacks 0.93 + 0.98 + 0.98) = 18.2x, 17.1x FY27, and 17.3x on the run table's fiscal-year blend. On one basis (peers.md NTM blend of Nasdaq/Zacks EPS on the 2026-10-20 closes) the peer median is 20.4x (FOXA 11.1, DIS 15.2, WMG 18.5, META 22.2, AMZN 28.2, TKO 35.4); GOOGL is dropped for its stake-gain FY2026 EPS and SPOT (34.0x on the same blend; 7-name median 22.2x) is outside the table as an EUR reporter. An 18x multiple is a ~12% discount, justified by slower FY28/FY27 EPS growth than AMZN/SPOT and by falling engagement share. I keep 18x. Each turn is ~$3.3 a share on fair value. [gate 2026-10-21: replaces a mixed-basis 8-peer median of 21.8x]</t>
  </si>
  <si>
    <t xml:space="preserve">api.nasdaq.com earnings-forecast feeds for NFLX and peers (re-opened 2026-10-21); run peer table peers.md (fact ids); Yahoo chart feed NFLX record (close 68.69, extended hours 64.89).</t>
  </si>
  <si>
    <t xml:space="preserve">Discount rate</t>
  </si>
  <si>
    <t xml:space="preserve">WACC 9.2% (agent_4, ERP 4.20% Damodaran), 9.3% (agent_1), 9.4% (agent_5), 9.5% (agent_3), 9.6% (agent_2, beta 1.05). All use a 5.12% risk-free.</t>
  </si>
  <si>
    <t xml:space="preserve">9.4%. I verified the 10y at 5.12% on the Treasury CSV for 2026-10-20. Beta 1.0 sits between the 2y (0.92) and 3y (1.04) regressions; ERP 4.5%. With the Damodaran ERP the WACC is 9.1% (+$0.4 on fair value).</t>
  </si>
  <si>
    <t xml:space="preserve">Treasury daily par yield curve CSV (opened).</t>
  </si>
  <si>
    <t xml:space="preserve">Share count, M&amp;A adjustment and NTM EPS base</t>
  </si>
  <si>
    <t xml:space="preserve">Annual share change: -3.0% (agents 1, 3, 4), -3.25% (agent_5), -3.5% (agent_2). M&amp;A adjustment: -$4B x 0.25 (agent_1), -$4B x 0.2 (agents 2, 4, 5), -$15B x 0.15 (agent_3). agent_3 writes NTM EPS as 'Q4 0.73 + 0.93 + 0.98 + 0.98 = $3.56', but that sum is $3.62.</t>
  </si>
  <si>
    <t xml:space="preserve">-3.0% (Q3 bought 63.9M shares for $4.8B; ~$12B a year at ~$65-70 is ~4.3% gross, less ~0.9% issuance). M&amp;A -$4B x 0.2: WBD is now owned by Skydance and the call was silent on M&amp;A. agent_3's $3.56 is right only with the $0.67 Q4 guide; on the $0.73 consensus Q4 it is $3.62, or 17.9x. Each item is worth under $0.4 a share.</t>
  </si>
  <si>
    <t xml:space="preserve">Q3 letter (repurchases, diluted shares 4,195,127K); Nasdaq/Zacks quarterly consensus.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</si>
  <si>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</si>
  <si>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</si>
  <si>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</si>
  <si>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</si>
  <si>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</si>
  <si>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fair value</t>
  </si>
  <si>
    <t xml:space="preserve">73.35</t>
  </si>
  <si>
    <t xml:space="preserve">72.74</t>
  </si>
  <si>
    <t xml:space="preserve">Engine value of the reconciled set replaces the mean of the five fair values; the gap is the Paramount-WBD margin trim and the 0.8 P/E weight. (Forecasters' mean $73.35 after the gate corrected agent_1's capex path: agent_1 $72.47 -&gt; $72.73.)</t>
  </si>
  <si>
    <t xml:space="preserve">fact: Paramount-WBD merger status (agents 1, 3, 5 and the round-1 supervisor)</t>
  </si>
  <si>
    <t xml:space="preserve">pending (state AG suit, outside date 2027-06-04, p 0.55-0.65)</t>
  </si>
  <si>
    <t xml:space="preserve">closed 2026-10-06 (probability 1.0)</t>
  </si>
  <si>
    <t xml:space="preserve">WBD 8-K Item 2.01 of 2026-10-06 says Skydance Corporation completed the merger at $31.01666668 a share; the judge approved the 12-state settlement on 2026-09-30 (AP).</t>
  </si>
  <si>
    <t xml:space="preserve">FY2028-FY2030 GAAP EBIT margin (reconciled set vs agents 1, 2, 4 at 36.0% FY30 and agent_5 at 36.5%)</t>
  </si>
  <si>
    <t xml:space="preserve">34.3/35.3/36.0% (round-1 reconciled path)</t>
  </si>
  <si>
    <t xml:space="preserve">34.1/35.0/35.7%</t>
  </si>
  <si>
    <t xml:space="preserve">Closed Skydance-WBD combination raises content and sports bidding; about -$0.4 a share.</t>
  </si>
  <si>
    <t xml:space="preserve">UCAN FY2027 revenue growth (agent_4)</t>
  </si>
  <si>
    <t xml:space="preserve">0.07</t>
  </si>
  <si>
    <t xml:space="preserve">0.09</t>
  </si>
  <si>
    <t xml:space="preserve">The cut rested on a newsletter claim of a merged 200M-subscriber service that no primary source confirms; the merger effect goes into margins instead.</t>
  </si>
  <si>
    <t xml:space="preserve">multiple leg weights (agents 1, 4)</t>
  </si>
  <si>
    <t xml:space="preserve">P/E 0.55 / EV/EBITDA 0.25 (agent_1); P/E 0.7 / EV/EBITDA 0.1 (agent_4)</t>
  </si>
  <si>
    <t xml:space="preserve">P/E 0.8, EV/EBITDA 0 (cross-check)</t>
  </si>
  <si>
    <t xml:space="preserve">No tested evidence for an EV/EBITDA weight; forward P/E is the most accurate single multiple (Liu, Nissim &amp; Thomas 2002); $71.57 under agent_1's split (engine).</t>
  </si>
  <si>
    <t xml:space="preserve">M&amp;A adjustment probability (vs agent_1 0.25 and agent_3 -$15B x 0.15)</t>
  </si>
  <si>
    <t xml:space="preserve">-$4B x 0.25 / -$15B x 0.15</t>
  </si>
  <si>
    <t xml:space="preserve">-$4B x 0.20</t>
  </si>
  <si>
    <t xml:space="preserve">WBD now belongs to Skydance and the Q3 call was silent on M&amp;A.</t>
  </si>
  <si>
    <t xml:space="preserve">reconciled peer median NTM P/E</t>
  </si>
  <si>
    <t xml:space="preserve">22.4</t>
  </si>
  <si>
    <t xml:space="preserve">20.4</t>
  </si>
  <si>
    <t xml:space="preserve">Citation gate 2026-10-21: the 21.8x recheck mixed bases (0.2/0.8 NTM blends, single Sept-FY2027 years, GOOGL and SPOT on calendar FY2027). Rebuilt on the run table's single NTM fiscal-year blend: FOXA 11.1, DIS 15.2, WMG 18.5, META 22.2, AMZN 28.2, TKO 35.4 = 20.4x; GOOGL (stake gains) and SPOT (EUR, outside the table) dropped. 18x unchanged.</t>
  </si>
  <si>
    <t xml:space="preserve">thesis break</t>
  </si>
  <si>
    <t xml:space="preserve">47.4</t>
  </si>
  <si>
    <t xml:space="preserve">48.0</t>
  </si>
  <si>
    <t xml:space="preserve">12.6x FY27 consensus and just under the reconciled bear value ($49.25); the forecasters range from $45 to $50.</t>
  </si>
  <si>
    <t xml:space="preserve">Citation audit (2026-10-21)</t>
  </si>
  <si>
    <t xml:space="preserve">{'item': 'reconciled peer median NTM P/E (comps_review, disagreements, changes, key_drivers, inputs_detail, horizon_multiples.peer_basis, model.reasoning, A14)', 'from': 21.8, 'to': 20.4, 'source': 'runs/2026-10-20/NFLX/peers.md (FOXA/DIS/WMG/META/AMZN/TKO .pe_ntm); Nasdaq.com/Zacks feeds re-opened 2026-10-21'}</t>
  </si>
  <si>
    <t xml:space="preserve">{'item': 'FY2026 capex incl. content cash over amortisation (reconciled years[0].capex_pct_rev)', 'from': 0.062, 'to': 0.075, 'source': 'https://www.sec.gov/Archives/edgar/data/1065280/000106528026000290/ex991_q326.htm (9M content additions 14,934.2 vs amortisation 12,764.7; PP&amp;E 693.5; FCF outlook $12.0B vs $12.5B for the Q4 real-estate transaction); engine value unchanged 72.74'}</t>
  </si>
  <si>
    <t xml:space="preserve">{'item': 'basis of FY2026 regional growth, D&amp;A % revenue, SBC % revenue (inputs_detail)', 'from': 'guidance / reported / reported', 'to': 'estimate (derivations shown, confidence kept)', 'source': 'Q3 2026 letter; Q2 2026 10-Q; SEC fact pack F39/F46/F6'}</t>
  </si>
  <si>
    <t xml:space="preserve">{'item': 'NFLX after-hours price $64.89 source (sources[10])', 'from': 'https://twelvedata.com/ (home page)', 'to': 'Yahoo chart feed record (fulldayPrice 64.89, close 68.69)', 'source': 'https://query1.finance.yahoo.com/v8/finance/chart/NFLX (saved runs/2026-10-20/NFLX/work_agent_2/y_NFLX.json)'}</t>
  </si>
  <si>
    <t xml:space="preserve">{'item': '$56.96B FY2027 street revenue source', 'from': 'https://api.nasdaq.com/api/analyst/NFLX/earnings-forecast', 'to': 'StockAnalysis Revenue Next Year (source 15)', 'source': 'https://stockanalysis.com/stocks/nflx/forecast/'}</t>
  </si>
  <si>
    <t xml:space="preserve">{'item': 'Fox-Roku S-4 citation (long_dated_review)', 'from': 'Roku EDGAR index', 'to': 'Fox Corp EDGAR index (S-4 2026-08-07, S-4/A 2026-08-21)', 'source': 'https://data.sec.gov/submissions/CIK0001754301.json'}</t>
  </si>
  <si>
    <t xml:space="preserve">{'item': 'Nielsen engagement figures (key_drivers, UCAN driver_note)', 'from': '7.9% vs 8.3% a year earlier, YouTube 14.2% (cited to AdWave, which does not show them)', 'to': '7.9% June 2026 vs 8.3% June 2025; YouTube 14.2% July 2026', 'source': 'https://www.mediapost.com/publications/article/417308/ ; Nielsen June 2025 Media Distributor Gauge release; Nielsen July 2026 Gauge release'}</t>
  </si>
  <si>
    <t xml:space="preserve">{'item': 'sources[12] peer multiples URL', 'from': 'https://data.sec.gov/api/xbrl/companyfacts/ (404)', 'to': 'runs/2026-10-20/NFLX/peers.md', 'source': 'peers.py run table'}</t>
  </si>
  <si>
    <t xml:space="preserve">{'item': "forecasters' mean fair value (fair_value.reason, changes, confidence_reason)", 'from': 73.29, 'to': 73.35, 'source': 'agent_1 engine value 72.47 -&gt; 72.73 after its capex path was corrected from its own components (model_engine.py check)'}</t>
  </si>
  <si>
    <t xml:space="preserve">{'item': 'agent sourcing (agent files, sourcing only)', 'from': 'regional splits and SBC/D&amp;A ratios labelled guidance/reported; GOOGL comps cited to the DIS feed or bare companyfacts; FY2025 regional base cited to the Q4 letter; agent_5 DCF weight labelled guidance; agent_2 tax midpoint; agent_3 NTM sum 3.56', 'to': 'labelled estimate/judgment with derivations; GOOGL feed cited; 10-K cited; METHOD.md band cited; 15.05% + 0.45pt judgment; 3.62 / 17.9x', 'source': 'see citation_audit.json failures'}</t>
  </si>
  <si>
    <t xml:space="preserve">{'item': 'Peer median basis (gate round 1)', 'to': 'GOOGL ex stake gains, DIS less acquisition amortization', 'source': 'https://www.sec.gov/Archives/edgar/data/1744489/000174448926000056/fy2026_q3xerxex991.htm', 'from': 'GOOGL on calendar FY2027 among NTM blends; DIS on adjusted EPS'}</t>
  </si>
  <si>
    <t xml:space="preserve">{'item': 'NFLX own FY2026 base (gate round 2)', 'to': '3.04 = 0.70 + 0.80 + 0.87 + 0.67; all names on rebuilt FY1', 'source': 'https://api.nasdaq.com/api/company/NFLX/earnings-surprise', 'from': '3.59 yearly consensus (carries Q1 one-off)'}</t>
  </si>
  <si>
    <t xml:space="preserve">{'item': 'SPOT FY1 (gate round 3)', 'to': '12.79 (SPOT 36.28x); median 21.82x and exit 19.07x unchanged', 'source': 'https://www.sec.gov/Archives/edgar/data/1639920/000162828026027951/spot-20260331x6xk.htm', 'from': '13.58 incl. Q1 Exchangeable Notes fair-value gain'}</t>
  </si>
  <si>
    <t xml:space="preserve">NFLX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</si>
  <si>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</si>
  <si>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</si>
  <si>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</si>
  <si>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</si>
  <si>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</si>
  <si>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</si>
  <si>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</si>
  <si>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Netflix Q3 2026 shareholder letter (8-K Ex. 99.1)</t>
  </si>
  <si>
    <t xml:space="preserve">2026-10-20</t>
  </si>
  <si>
    <t xml:space="preserve">https://www.sec.gov/Archives/edgar/data/1065280/000106528026000290/ex991_q326.htm</t>
  </si>
  <si>
    <t xml:space="preserve">A1.2</t>
  </si>
  <si>
    <t xml:space="preserve">Netflix 8-K filed 2026-10-20 (items 2.02, 9.01)</t>
  </si>
  <si>
    <t xml:space="preserve">https://www.sec.gov/Archives/edgar/data/1065280/000106528026000290/nflx-20261020.htm</t>
  </si>
  <si>
    <t xml:space="preserve">A1.3</t>
  </si>
  <si>
    <t xml:space="preserve">Netflix Q2 2026 shareholder letter (8-K Ex. 99.1)</t>
  </si>
  <si>
    <t xml:space="preserve">2026-07-16</t>
  </si>
  <si>
    <t xml:space="preserve">https://www.sec.gov/Archives/edgar/data/1065280/000106528026000211/ex991_q226.htm</t>
  </si>
  <si>
    <t xml:space="preserve">A1.4</t>
  </si>
  <si>
    <t xml:space="preserve">Netflix Q1 2026 shareholder letter (8-K Ex. 99.1)</t>
  </si>
  <si>
    <t xml:space="preserve">2026-04-16</t>
  </si>
  <si>
    <t xml:space="preserve">https://www.sec.gov/Archives/edgar/data/1065280/000106528026000137/ex991_q126.htm</t>
  </si>
  <si>
    <t xml:space="preserve">A1.5</t>
  </si>
  <si>
    <t xml:space="preserve">Netflix Q4 2025 shareholder letter (8-K Ex. 99.1)</t>
  </si>
  <si>
    <t xml:space="preserve">2026-01-20</t>
  </si>
  <si>
    <t xml:space="preserve">https://www.sec.gov/Archives/edgar/data/1065280/000106528026000033/ex991_q425.htm</t>
  </si>
  <si>
    <t xml:space="preserve">A1.6</t>
  </si>
  <si>
    <t xml:space="preserve">Netflix Q3 2025 shareholder letter (8-K Ex. 99.1; Brazil tax expense)</t>
  </si>
  <si>
    <t xml:space="preserve">2025-10-21</t>
  </si>
  <si>
    <t xml:space="preserve">https://www.sec.gov/Archives/edgar/data/1065280/000106528025000404/ex991_q325.htm</t>
  </si>
  <si>
    <t xml:space="preserve">A1.7</t>
  </si>
  <si>
    <t xml:space="preserve">Netflix 10-K FY2025</t>
  </si>
  <si>
    <t xml:space="preserve">2026-01-23</t>
  </si>
  <si>
    <t xml:space="preserve">https://www.sec.gov/Archives/edgar/data/1065280/000106528026000034/nflx-20251231.htm</t>
  </si>
  <si>
    <t xml:space="preserve">A1.8</t>
  </si>
  <si>
    <t xml:space="preserve">Netflix 10-Q Q2 2026</t>
  </si>
  <si>
    <t xml:space="preserve">2026-07-17</t>
  </si>
  <si>
    <t xml:space="preserve">https://www.sec.gov/Archives/edgar/data/1065280/000106528026000212/nflx-20260630.htm</t>
  </si>
  <si>
    <t xml:space="preserve">A1.9</t>
  </si>
  <si>
    <t xml:space="preserve">SEC XBRL company facts, Netflix (run fact pack facts.md)</t>
  </si>
  <si>
    <t xml:space="preserve">https://data.sec.gov/api/xbrl/companyfacts/CIK0001065280.json</t>
  </si>
  <si>
    <t xml:space="preserve">A1.10</t>
  </si>
  <si>
    <t xml:space="preserve">Netflix to Announce Third Quarter 2026 Financial Results (IR release)</t>
  </si>
  <si>
    <t xml:space="preserve">2026-09</t>
  </si>
  <si>
    <t xml:space="preserve">https://s22.q4cdn.com/959853165/files/doc_news/Netflix-to-Announce-Third-Quarter-2026-Financial-Results-2026.pdf</t>
  </si>
  <si>
    <t xml:space="preserve">A1.11</t>
  </si>
  <si>
    <t xml:space="preserve">Netflix Q2 2026 earnings interview transcript (AllMind)</t>
  </si>
  <si>
    <t xml:space="preserve">https://allmind.ai/earnings/event/2932171</t>
  </si>
  <si>
    <t xml:space="preserve">A1.12</t>
  </si>
  <si>
    <t xml:space="preserve">Nasdaq.com / Zacks consensus EPS forecast, NFLX (pre-print)</t>
  </si>
  <si>
    <t xml:space="preserve">https://api.nasdaq.com/api/analyst/NFLX/earnings-forecast</t>
  </si>
  <si>
    <t xml:space="preserve">A1.13</t>
  </si>
  <si>
    <t xml:space="preserve">Run peer comps table peers.md (SEC filings via secfacts.py + Nasdaq/Zacks consensus snapshot)</t>
  </si>
  <si>
    <t xml:space="preserve">file:///mnt/attach/project-files/valuation/runs/2026-10-20/NFLX/peers.md</t>
  </si>
  <si>
    <t xml:space="preserve">A1.14</t>
  </si>
  <si>
    <t xml:space="preserve">US Treasury daily par yield curve rates 2026</t>
  </si>
  <si>
    <t xml:space="preserve">https://home.treasury.gov/resource-center/data-chart-center/interest-rates/daily-treasury-rates.csv/2026/all?type=daily_treasury_yield_curve&amp;field_tdr_date_value=2026&amp;page&amp;_format=csv</t>
  </si>
  <si>
    <t xml:space="preserve">A1.15</t>
  </si>
  <si>
    <t xml:space="preserve">Yahoo Finance weekly price history NFLX and SPY, 2y (beta computed: 0.92 on 105 weekly returns)</t>
  </si>
  <si>
    <t xml:space="preserve">https://query1.finance.yahoo.com/v8/finance/chart/NFLX?range=2y&amp;interval=1wk</t>
  </si>
  <si>
    <t xml:space="preserve">A1.16</t>
  </si>
  <si>
    <t xml:space="preserve">AdWave: most watched streaming service Q3 2026 (Nielsen The Gauge recap; YouTube 14.2% of US TV time in July 2026)</t>
  </si>
  <si>
    <t xml:space="preserve">https://adwave.com/resources/most-watched-streaming-service-q3-2026</t>
  </si>
  <si>
    <t xml:space="preserve">A1.17</t>
  </si>
  <si>
    <t xml:space="preserve">Investing.com: Earnings call transcript, Netflix Q3 2026 (CFO: 'sustain double-digit revenue growth ... expand margins'; no FY2027 guide until January)</t>
  </si>
  <si>
    <t xml:space="preserve">https://www.investing.com/news/transcripts/earnings-call-transcript-netflix-beats-q3-2026-estimates-but-shares-fall-after-hours-93CH-4961240</t>
  </si>
  <si>
    <t xml:space="preserve">A1.18</t>
  </si>
  <si>
    <t xml:space="preserve">Paramount Skydance 8-K Ex. 99.1: enhanced offer for Warner Bros. Discovery ($30.00/share cash; funds the $2.8B Netflix break fee; $5.8B reverse termination fee)</t>
  </si>
  <si>
    <t xml:space="preserve">2026-02-10</t>
  </si>
  <si>
    <t xml:space="preserve">https://www.sec.gov/Archives/edgar/data/2041610/000110465926012401/tm2533570d50_ex99-1.htm</t>
  </si>
  <si>
    <t xml:space="preserve">A1.19</t>
  </si>
  <si>
    <t xml:space="preserve">NPR (via VPM): States sue to stop Paramount-Warner Bros blockbuster merger</t>
  </si>
  <si>
    <t xml:space="preserve">2026-07-13</t>
  </si>
  <si>
    <t xml:space="preserve">https://www.vpm.org/npr-news/2026-07-13/states-sue-to-stop-paramount-warner-bros-blockbuster-merger</t>
  </si>
  <si>
    <t xml:space="preserve">A1.20</t>
  </si>
  <si>
    <t xml:space="preserve">Nasdaq.com / Zacks consensus EPS forecast, GOOGL (FY2026 20.55, FY2027 14.97, FY2028 18.38)</t>
  </si>
  <si>
    <t xml:space="preserve">https://api.nasdaq.com/api/analyst/GOOGL/earnings-forecast</t>
  </si>
  <si>
    <t xml:space="preserve">A1.21</t>
  </si>
  <si>
    <t xml:space="preserve">Nasdaq.com / Zacks consensus EPS forecast, SPOT (FY2026 13.71, FY2027 17.28)</t>
  </si>
  <si>
    <t xml:space="preserve">https://api.nasdaq.com/api/analyst/SPOT/earnings-forecast</t>
  </si>
  <si>
    <t xml:space="preserve">A2.1</t>
  </si>
  <si>
    <t xml:space="preserve">agent_2</t>
  </si>
  <si>
    <t xml:space="preserve">Netflix Q3 2026 shareholder letter (8-K ex. 99.1)</t>
  </si>
  <si>
    <t xml:space="preserve">https://www.sec.gov/Archives/edgar/data/0001065280/000106528026000290/ex991_q326.htm</t>
  </si>
  <si>
    <t xml:space="preserve">A2.2</t>
  </si>
  <si>
    <t xml:space="preserve">Netflix Q4 2025 shareholder letter (8-K ex. 99.1)</t>
  </si>
  <si>
    <t xml:space="preserve">A2.3</t>
  </si>
  <si>
    <t xml:space="preserve">Netflix 10-Q for quarter ended 2026-06-30</t>
  </si>
  <si>
    <t xml:space="preserve">A2.4</t>
  </si>
  <si>
    <t xml:space="preserve">Netflix 10-K for FY2025</t>
  </si>
  <si>
    <t xml:space="preserve">A2.5</t>
  </si>
  <si>
    <t xml:space="preserve">TheWrap: Netflix downgraded over 'worrying' engagement and YouTube competition by HSBC, Wells Fargo</t>
  </si>
  <si>
    <t xml:space="preserve">2026-09-22</t>
  </si>
  <si>
    <t xml:space="preserve">https://www.thewrap.com/industry-news/business/netflix-stock-wells-fargo-hsbc-downgrade-engagement-trends-youtube-competition/</t>
  </si>
  <si>
    <t xml:space="preserve">A2.6</t>
  </si>
  <si>
    <t xml:space="preserve">Adwave: most-watched streaming service Q3 2026 (Nielsen The Gauge compilation)</t>
  </si>
  <si>
    <t xml:space="preserve">A2.7</t>
  </si>
  <si>
    <t xml:space="preserve">MediaPost: Streaming climbs to 48.5%, per last lame-duck edition of Nielsen's Gauge (Netflix 7.9% vs 8.3%)</t>
  </si>
  <si>
    <t xml:space="preserve">2026-08-18</t>
  </si>
  <si>
    <t xml:space="preserve">https://www.mediapost.com/publications/article/417308/streaming-climbs-to-485-per-last-lame-duck-edit.html</t>
  </si>
  <si>
    <t xml:space="preserve">A2.8</t>
  </si>
  <si>
    <t xml:space="preserve">NewscastStudio: Disney streaming profit more than doubles to $712 million (fiscal Q3 2026)</t>
  </si>
  <si>
    <t xml:space="preserve">2026-08-05</t>
  </si>
  <si>
    <t xml:space="preserve">https://www.newscaststudio.com/2026/08/05/disney-streaming-profit-3q-2026/</t>
  </si>
  <si>
    <t xml:space="preserve">A2.9</t>
  </si>
  <si>
    <t xml:space="preserve">Roku Q2 2026 shareholder letter (8-K ex. 99.1)</t>
  </si>
  <si>
    <t xml:space="preserve">2026-08</t>
  </si>
  <si>
    <t xml:space="preserve">https://www.sec.gov/Archives/edgar/data/0001428439/000162828026054321/a04fy2026q2exhibit991.htm</t>
  </si>
  <si>
    <t xml:space="preserve">A2.10</t>
  </si>
  <si>
    <t xml:space="preserve">Creator Handbook: YouTube ad revenue tops $11 billion in Q2 2026</t>
  </si>
  <si>
    <t xml:space="preserve">2026-07</t>
  </si>
  <si>
    <t xml:space="preserve">https://www.creatorhandbook.net/youtube-ad-revenue-tops-11-billion-in-q2/</t>
  </si>
  <si>
    <t xml:space="preserve">A2.11</t>
  </si>
  <si>
    <t xml:space="preserve">MediaPost: Prime-time upfront ad sales rise 9% to $33.7B, CPMs fall 6% (Media Dynamics)</t>
  </si>
  <si>
    <t xml:space="preserve">https://www.mediapost.com/publications/article/417166/upfront-ads-rise-9-to-337b-streaming-up-30.html</t>
  </si>
  <si>
    <t xml:space="preserve">A2.12</t>
  </si>
  <si>
    <t xml:space="preserve">TheWrap: Netflix closes 2026 upfront, nearly doubles ad commitments</t>
  </si>
  <si>
    <t xml:space="preserve">2026-08-11</t>
  </si>
  <si>
    <t xml:space="preserve">https://www.thewrap.com/industry-news/business/netflix-closes-2026-upfront/</t>
  </si>
  <si>
    <t xml:space="preserve">A2.13</t>
  </si>
  <si>
    <t xml:space="preserve">Variety: Netflix claims ad tier now reaches 250 million viewers worldwide</t>
  </si>
  <si>
    <t xml:space="preserve">2026-05-13</t>
  </si>
  <si>
    <t xml:space="preserve">https://au.variety.com/2026/tv/global/netflix-claims-ad-tier-reaches-250-million-viewers-36559/</t>
  </si>
  <si>
    <t xml:space="preserve">A2.14</t>
  </si>
  <si>
    <t xml:space="preserve">eMarketer: CTV ad market will more than double by end of 2026</t>
  </si>
  <si>
    <t xml:space="preserve">2026</t>
  </si>
  <si>
    <t xml:space="preserve">https://www.emarketer.com/content/ctv-ad-market-will-more-than-double-by-end-of-2026</t>
  </si>
  <si>
    <t xml:space="preserve">A2.15</t>
  </si>
  <si>
    <t xml:space="preserve">FOX 29: Netflix raising prices again on all plans</t>
  </si>
  <si>
    <t xml:space="preserve">2026-03-27</t>
  </si>
  <si>
    <t xml:space="preserve">https://www.fox29.com/news/netflix-raising-prices-again-all-plans-how-much-more-youll-be-paying</t>
  </si>
  <si>
    <t xml:space="preserve">A2.16</t>
  </si>
  <si>
    <t xml:space="preserve">ROIC.ai: Streamflation sparks surge in subscription cancellations (Ipsos survey); Netflix Q3 in focus</t>
  </si>
  <si>
    <t xml:space="preserve">2026-09-21</t>
  </si>
  <si>
    <t xml:space="preserve">https://www.roic.ai/news/streamflation-sparks-surge-in-subscription-cancellations-netflix-q3-in-focus-09-21-2026</t>
  </si>
  <si>
    <t xml:space="preserve">A2.17</t>
  </si>
  <si>
    <t xml:space="preserve">Bloomberg Government: Paramount says all required jurisdictions approved Warner deal</t>
  </si>
  <si>
    <t xml:space="preserve">2026-08-17</t>
  </si>
  <si>
    <t xml:space="preserve">https://news.bgov.com/antitrust/paramount-says-all-required-jurisdictions-approved-warner-deal</t>
  </si>
  <si>
    <t xml:space="preserve">A2.18</t>
  </si>
  <si>
    <t xml:space="preserve">NewscastStudio: Paramount+, HBO Max to be combined once acquisition closes</t>
  </si>
  <si>
    <t xml:space="preserve">2026-03-02</t>
  </si>
  <si>
    <t xml:space="preserve">https://www.newscaststudio.com/2026/03/02/paramount-plus-hbo-max-combined/</t>
  </si>
  <si>
    <t xml:space="preserve">A2.19</t>
  </si>
  <si>
    <t xml:space="preserve">StockAnalysis.com: Netflix analyst forecast (consensus revenue and EPS)</t>
  </si>
  <si>
    <t xml:space="preserve">2026-10-19</t>
  </si>
  <si>
    <t xml:space="preserve">https://stockanalysis.com/stocks/nflx/forecast/</t>
  </si>
  <si>
    <t xml:space="preserve">A2.20</t>
  </si>
  <si>
    <t xml:space="preserve">Nasdaq.com / Zacks: NFLX earnings forecast (consensus EPS)</t>
  </si>
  <si>
    <t xml:space="preserve">A2.21</t>
  </si>
  <si>
    <t xml:space="preserve">StockAnalysis.com: Netflix statistics (beta, market cap, EV) (round 1 only; beta no longer taken from it)</t>
  </si>
  <si>
    <t xml:space="preserve">https://stockanalysis.com/stocks/nflx/statistics/</t>
  </si>
  <si>
    <t xml:space="preserve">A2.22</t>
  </si>
  <si>
    <t xml:space="preserve">US Treasury daily par yield curve rates, 2026</t>
  </si>
  <si>
    <t xml:space="preserve">A2.23</t>
  </si>
  <si>
    <t xml:space="preserve">TipRanks: Netflix stock plunges as analysts slash price targets (Pivotal Street-low $70; youth shift to free short-form video)</t>
  </si>
  <si>
    <t xml:space="preserve">https://www.tipranks.com/news/weekend-updates/netflix-stock-plunges-as-analysts-slash-price-targets</t>
  </si>
  <si>
    <t xml:space="preserve">A2.24</t>
  </si>
  <si>
    <t xml:space="preserve">Nasdaq.com / Zacks: SPOT earnings forecast (FY2026 13.71, FY2027 17.28) and Nasdaq quote (after-hours last sale $520.00, -6.12 =&gt; close ~$526.12)</t>
  </si>
  <si>
    <t xml:space="preserve">A2.25</t>
  </si>
  <si>
    <t xml:space="preserve">Run peer table peers.md (filings trailing; Nasdaq.com/Zacks consensus NTM EPS snapshot)</t>
  </si>
  <si>
    <t xml:space="preserve">https://api.nasdaq.com/api/analyst/DIS/earnings-forecast</t>
  </si>
  <si>
    <t xml:space="preserve">A2.26</t>
  </si>
  <si>
    <t xml:space="preserve">Twelve Data quote NFLX (close $68.69, extended-hours $64.72)</t>
  </si>
  <si>
    <t xml:space="preserve">https://twelvedata.com/markets/nasdaq/nflx</t>
  </si>
  <si>
    <t xml:space="preserve">A2.27</t>
  </si>
  <si>
    <t xml:space="preserve">Yahoo Finance weekly price history NFLX, 5 years (own beta regression)</t>
  </si>
  <si>
    <t xml:space="preserve">https://query2.finance.yahoo.com/v8/finance/chart/NFLX?range=5y&amp;interval=1wk</t>
  </si>
  <si>
    <t xml:space="preserve">A2.28</t>
  </si>
  <si>
    <t xml:space="preserve">Yahoo Finance weekly price history SPY, 5 years (own beta regression)</t>
  </si>
  <si>
    <t xml:space="preserve">https://query2.finance.yahoo.com/v8/finance/chart/SPY?range=5y&amp;interval=1wk</t>
  </si>
  <si>
    <t xml:space="preserve">A2.29</t>
  </si>
  <si>
    <t xml:space="preserve">Nasdaq.com / Zacks: GOOGL earnings forecast (FY2026 20.55, FY2027 14.97)</t>
  </si>
  <si>
    <t xml:space="preserve">A2.30</t>
  </si>
  <si>
    <t xml:space="preserve">Investing.com: Earnings call transcript, Netflix Q3 2026</t>
  </si>
  <si>
    <t xml:space="preserve">A2.31</t>
  </si>
  <si>
    <t xml:space="preserve">Advanced Television: Forecast: Netflix to take nearly 10% of CTV ad spend in 2027 (WARC Media 3.7% 2025 -&gt; 9.2% 2027; Omdia $8B ad revenue by 2030)</t>
  </si>
  <si>
    <t xml:space="preserve">2026-02-18</t>
  </si>
  <si>
    <t xml:space="preserve">https://www.advanced-television.com/2026/02/18/forecast-netflix-to-take-nearly-10-of-ctv-ad-spend-in-2027/</t>
  </si>
  <si>
    <t xml:space="preserve">A2.32</t>
  </si>
  <si>
    <t xml:space="preserve">Fox Corp 8-K ex. 99.1: Fox to acquire Roku (~$22B EV, $96 cash + 0.9693 FOXA per share, close expected 1H 2027)</t>
  </si>
  <si>
    <t xml:space="preserve">2026-06-15</t>
  </si>
  <si>
    <t xml:space="preserve">https://www.sec.gov/Archives/edgar/data/0001754301/000119312526270285/d151410dex991.htm</t>
  </si>
  <si>
    <t xml:space="preserve">A2.33</t>
  </si>
  <si>
    <t xml:space="preserve">ABC News (AP): Judge approves Paramount's settlement with states over Warner buyout, allowing merger to soon close</t>
  </si>
  <si>
    <t xml:space="preserve">2026-09-30</t>
  </si>
  <si>
    <t xml:space="preserve">https://abcnews.com/amp/Business/wireStory/judge-approves-paramounts-settlement-states-warner-buyout-allowing-136902011</t>
  </si>
  <si>
    <t xml:space="preserve">A2.34</t>
  </si>
  <si>
    <t xml:space="preserve">iHeart: Paramount Warner Bros. Discovery deal finalized</t>
  </si>
  <si>
    <t xml:space="preserve">2026-10-06</t>
  </si>
  <si>
    <t xml:space="preserve">https://www.iheart.com/alternate/amp/2026-10-06-paramount-warner-bros-discovery-deal-finalized/</t>
  </si>
  <si>
    <t xml:space="preserve">A2.35</t>
  </si>
  <si>
    <t xml:space="preserve">Marianas Variety (wire): Paramount to buy Warner Bros Discovery in $110 billion deal as Netflix bows out of race</t>
  </si>
  <si>
    <t xml:space="preserve">2026-02-27</t>
  </si>
  <si>
    <t xml:space="preserve">https://www.mvariety.com/?p=149210</t>
  </si>
  <si>
    <t xml:space="preserve">A3.1</t>
  </si>
  <si>
    <t xml:space="preserve">agent_3</t>
  </si>
  <si>
    <t xml:space="preserve">Netflix Q3 2026 shareholder letter (8-K exhibit 99.1)</t>
  </si>
  <si>
    <t xml:space="preserve">A3.2</t>
  </si>
  <si>
    <t xml:space="preserve">Netflix 10-K FY2025 (content obligations $24.0B, $18.4B off balance sheet; Brazil non-income tax deposits ~$700M; $3B revolver; regional revenue)</t>
  </si>
  <si>
    <t xml:space="preserve">A3.3</t>
  </si>
  <si>
    <t xml:space="preserve">A3.4</t>
  </si>
  <si>
    <t xml:space="preserve">SEC XBRL company facts, Netflix (run fact pack F-ids)</t>
  </si>
  <si>
    <t xml:space="preserve">A3.5</t>
  </si>
  <si>
    <t xml:space="preserve">2026-09-23</t>
  </si>
  <si>
    <t xml:space="preserve">A3.6</t>
  </si>
  <si>
    <t xml:space="preserve">24/7 Wall St: A Wells Fargo analyst noticed he stopped watching Netflix, then told clients to sell</t>
  </si>
  <si>
    <t xml:space="preserve">https://247wallst.com/investing/2026/09/22/a-wells-fargo-analyst-noticed-he-stopped-watching-netflix-then-told-clients-to-sell/</t>
  </si>
  <si>
    <t xml:space="preserve">A3.7</t>
  </si>
  <si>
    <t xml:space="preserve">Motley Fool: Why Netflix lost 14% in September (downgrades, Emmys, Sarandos 'not growing as fast as I want')</t>
  </si>
  <si>
    <t xml:space="preserve">2026-10-01</t>
  </si>
  <si>
    <t xml:space="preserve">https://www.fool.com/investing/2026/10/01/why-netflix-lost-14-in-september/</t>
  </si>
  <si>
    <t xml:space="preserve">A3.8</t>
  </si>
  <si>
    <t xml:space="preserve">Nasdaq.com / Zacks consensus EPS forecast, NFLX (FY2026 3.59, FY2027 3.80, FY2028 4.52; quarterly)</t>
  </si>
  <si>
    <t xml:space="preserve">A3.9</t>
  </si>
  <si>
    <t xml:space="preserve">Run peer table peers.md (SEC XBRL trailing + Nasdaq.com/Zacks NTM consensus snapshots; secfacts.py peers)</t>
  </si>
  <si>
    <t xml:space="preserve">https://data.sec.gov/api/xbrl/companyfacts/</t>
  </si>
  <si>
    <t xml:space="preserve">A3.10</t>
  </si>
  <si>
    <t xml:space="preserve">US Treasury daily par yield curve (10-year 5.12% on 2026-10-20)</t>
  </si>
  <si>
    <t xml:space="preserve">https://home.treasury.gov/resource-center/data-chart-center/interest-rates/TextView?type=daily_treasury_yield_curve&amp;field_tdr_date_value=2026</t>
  </si>
  <si>
    <t xml:space="preserve">A3.11</t>
  </si>
  <si>
    <t xml:space="preserve">Yahoo Finance weekly prices NFLX and SPY, 2 years (beta 0.91, my regression)</t>
  </si>
  <si>
    <t xml:space="preserve">A3.12</t>
  </si>
  <si>
    <t xml:space="preserve">SEC Form 4, Netflix insider (Sarandos), August 2026, 10b5-1 plan transactions</t>
  </si>
  <si>
    <t xml:space="preserve">https://www.sec.gov/Archives/edgar/data/0001065280/000106528026000234/wk-form4_1785878104.xml</t>
  </si>
  <si>
    <t xml:space="preserve">A3.13</t>
  </si>
  <si>
    <t xml:space="preserve">Insider Form 4 tracker NFLX (Peters 6 Aug 2026 sale at ~$73.54; CFO Neumann 10 Aug at ~$75.79)</t>
  </si>
  <si>
    <t xml:space="preserve">2026-08-10</t>
  </si>
  <si>
    <t xml:space="preserve">https://agent402.tools/reports/insider/NFLX</t>
  </si>
  <si>
    <t xml:space="preserve">A3.14</t>
  </si>
  <si>
    <t xml:space="preserve">Curved Trading: NFLX short interest (FINRA, settlement 2026-07-15: ~99.7M shares, 2.5 days to cover)</t>
  </si>
  <si>
    <t xml:space="preserve">2026-07-15</t>
  </si>
  <si>
    <t xml:space="preserve">https://curvedtrading.com/stocks/nflx/short-interest/</t>
  </si>
  <si>
    <t xml:space="preserve">A3.15</t>
  </si>
  <si>
    <t xml:space="preserve">ABC30/AP: Netflix laying off ~6% of workforce (~1,000 roles), biggest cuts since 2022</t>
  </si>
  <si>
    <t xml:space="preserve">2026-10-14</t>
  </si>
  <si>
    <t xml:space="preserve">https://abc30.com/story/netflix-is-laying-off-6-workforce-1000-employees-biggest-round-job-cuts-streaming-giant-years/19938143/</t>
  </si>
  <si>
    <t xml:space="preserve">A3.16</t>
  </si>
  <si>
    <t xml:space="preserve">Bloomberg Law: Paramount offers to pay $2.8 billion breakup fee in Warner deal (Netflix $82.7B WBD agreement)</t>
  </si>
  <si>
    <t xml:space="preserve">2026-02</t>
  </si>
  <si>
    <t xml:space="preserve">https://news.bloomberglaw.com/mergers-and-acquisitions/paramount-offers-to-pay-2-8-billion-breakup-fee-in-warner-deal</t>
  </si>
  <si>
    <t xml:space="preserve">A3.17</t>
  </si>
  <si>
    <t xml:space="preserve">Tubefilter: Neal Mohan's 2026 letter to creators (AI, 'beautifully produced TV to compete with Netflix')</t>
  </si>
  <si>
    <t xml:space="preserve">2026-01-21</t>
  </si>
  <si>
    <t xml:space="preserve">https://www.tubefilter.com/2026/01/21/neal-mohans-2026-letter-to-creators-a-lot-of-ai-a-tiktok-shop-competitor-and-beautifully-produced-tv-to-compete-with-netflix/</t>
  </si>
  <si>
    <t xml:space="preserve">A3.18</t>
  </si>
  <si>
    <t xml:space="preserve">finanzen.net: Netflix 3.625% 2027 note, Moody's A2 (rating dated 04.06.2026)</t>
  </si>
  <si>
    <t xml:space="preserve">2026-06-04</t>
  </si>
  <si>
    <t xml:space="preserve">https://www.finanzen.net/anleihen/a1909t-netflix-anleihe</t>
  </si>
  <si>
    <t xml:space="preserve">A3.19</t>
  </si>
  <si>
    <t xml:space="preserve">Investing.com: Earnings call transcript, Netflix beats Q3 2026 estimates but shares fall after hours ('We look to sustain double-digit revenue growth, we look to expand margins'; ads 'growing over 80% this year', 'a bit behind our aggressive target'; 2027 guide premature)</t>
  </si>
  <si>
    <t xml:space="preserve">A3.20</t>
  </si>
  <si>
    <t xml:space="preserve">Advanced Television: Forecast: Netflix to take nearly 10% of CTV ad spend in 2027 (WARC Media 3.7% in 2025 -&gt; 9.2% in 2027; Omdia $8B ad revenue by 2030)</t>
  </si>
  <si>
    <t xml:space="preserve">A3.21</t>
  </si>
  <si>
    <t xml:space="preserve">NPR (via VPM): States sue to stop Paramount-Warner Bros blockbuster merger (12 states; ~$111B; Paramount+ and HBO Max; $7B owed to Warner if not closed by June 4)</t>
  </si>
  <si>
    <t xml:space="preserve">A3.22</t>
  </si>
  <si>
    <t xml:space="preserve">Tubefilter: Netflix moves to annual viewership reports ('to keep the focus on our primary financial metrics'); H1 2026 &gt;97B hours</t>
  </si>
  <si>
    <t xml:space="preserve">2026-07-19</t>
  </si>
  <si>
    <t xml:space="preserve">https://www.tubefilter.com/2026/07/19/netflix-watch-hours-reports-once-a-year-q2-2026-earnings/amp/</t>
  </si>
  <si>
    <t xml:space="preserve">A3.23</t>
  </si>
  <si>
    <t xml:space="preserve">TipRanks: Netflix stock plunges as analysts slash price targets (Pivotal Street-low $70 on lower subscriber forecasts, higher content costs, young viewers shifting to short-form video; Barclays 'losing narrative control')</t>
  </si>
  <si>
    <t xml:space="preserve">2026-07-18</t>
  </si>
  <si>
    <t xml:space="preserve">A3.24</t>
  </si>
  <si>
    <t xml:space="preserve">A3.25</t>
  </si>
  <si>
    <t xml:space="preserve">Yahoo Finance daily prices SPOT (close $526.08 on 2026-10-20)</t>
  </si>
  <si>
    <t xml:space="preserve">https://query1.finance.yahoo.com/v8/finance/chart/SPOT?range=5d&amp;interval=1d</t>
  </si>
  <si>
    <t xml:space="preserve">A3.26</t>
  </si>
  <si>
    <t xml:space="preserve">A4.1</t>
  </si>
  <si>
    <t xml:space="preserve">agent_4</t>
  </si>
  <si>
    <t xml:space="preserve">Netflix Q3 2026 shareholder letter (Form 8-K exhibit 99.1)</t>
  </si>
  <si>
    <t xml:space="preserve">A4.2</t>
  </si>
  <si>
    <t xml:space="preserve">Netflix Form 10-Q for the quarter ended 2026-06-30 (SEC fact pack F7-F100)</t>
  </si>
  <si>
    <t xml:space="preserve">A4.3</t>
  </si>
  <si>
    <t xml:space="preserve">Netflix Form 10-K for FY2025 (SEC fact pack F1-F78; regional revenue)</t>
  </si>
  <si>
    <t xml:space="preserve">A4.4</t>
  </si>
  <si>
    <t xml:space="preserve">Earnings call transcript: Netflix beats Q3 2026 estimates, but shares fall after hours (Investing.com)</t>
  </si>
  <si>
    <t xml:space="preserve">A4.5</t>
  </si>
  <si>
    <t xml:space="preserve">Nasdaq.com / Zacks analyst earnings-forecast (NFLX consensus EPS FY2026-FY2029; same source as the run peer table's NTM EPS)</t>
  </si>
  <si>
    <t xml:space="preserve">A4.6</t>
  </si>
  <si>
    <t xml:space="preserve">TheWrap: Netflix stock downgraded over 'worrying' engagement and YouTube competition by HSBC, Wells Fargo</t>
  </si>
  <si>
    <t xml:space="preserve">A4.7</t>
  </si>
  <si>
    <t xml:space="preserve">MediaPost: Streaming climbs to 48.5%, per last lame duck edition of Nielsen's 'Gauge' (June 2026: Netflix 7.9% vs 8.3%, YouTube 13.5% vs 12.8%)</t>
  </si>
  <si>
    <t xml:space="preserve">https://www.mediapost.com/publications/article/417308/streaming-climbs-to-485-per-last-lame-duck-edition-of-nielsens-gauge</t>
  </si>
  <si>
    <t xml:space="preserve">A4.8</t>
  </si>
  <si>
    <t xml:space="preserve">Nielsen: July 2026 The Gauge (YouTube record 14.2% of US TV, streaming 49.0%)</t>
  </si>
  <si>
    <t xml:space="preserve">2026-09-10</t>
  </si>
  <si>
    <t xml:space="preserve">https://www.nielsen.com/news-center/2026/tv-usage-kicks-usual-summer-slowdown-fueled-by-world-cup-and-streaming-in-nielsens-july-gauge-reports/</t>
  </si>
  <si>
    <t xml:space="preserve">A4.9</t>
  </si>
  <si>
    <t xml:space="preserve">Adwave: Most watched streaming service Q3 2026 (Nielsen Gauge monthly YouTube/Netflix shares, 2026)</t>
  </si>
  <si>
    <t xml:space="preserve">A4.10</t>
  </si>
  <si>
    <t xml:space="preserve">MediaPost: Nielsen: YouTube gains, Fox-Roku would be third (Media Distributor Index April 2026: Netflix 7.8% vs 7.5%, YouTube 13.4%)</t>
  </si>
  <si>
    <t xml:space="preserve">2026-06</t>
  </si>
  <si>
    <t xml:space="preserve">https://www.mediapost.com/publications/article/416087/</t>
  </si>
  <si>
    <t xml:space="preserve">A4.11</t>
  </si>
  <si>
    <t xml:space="preserve">Nielsen: The Gauge Poland, August 2026 (Netflix 1.7% to 1.9%, YouTube 2.5% to 2.8%)</t>
  </si>
  <si>
    <t xml:space="preserve">https://www.nielsen.com/news-center/2026/the-gauge-poland-august-2026/</t>
  </si>
  <si>
    <t xml:space="preserve">A4.12</t>
  </si>
  <si>
    <t xml:space="preserve">TheWrap: Netflix's GTA 6 trailer premiere saw 24% increase in app downloads (Sensor Tower)</t>
  </si>
  <si>
    <t xml:space="preserve">2026-08-31</t>
  </si>
  <si>
    <t xml:space="preserve">https://www.thewrap.com/media-platforms/streaming/netflix-gta-6-extended-look-app-downloads/</t>
  </si>
  <si>
    <t xml:space="preserve">A4.13</t>
  </si>
  <si>
    <t xml:space="preserve">Advanced Television: Forecast: Netflix to take nearly 10% of CTV ad spend in 2027 (WARC Media; Omdia ad revenue figures)</t>
  </si>
  <si>
    <t xml:space="preserve">A4.14</t>
  </si>
  <si>
    <t xml:space="preserve">TheWrap: Netflix viewership in 2026: what works, what doesn't and why Wall Street is skeptical (H1 hours; Third Bridge expert view)</t>
  </si>
  <si>
    <t xml:space="preserve">https://thewrap.com/media-platforms/tv/netflix-viewership-report-2026-takeaways</t>
  </si>
  <si>
    <t xml:space="preserve">A4.15</t>
  </si>
  <si>
    <t xml:space="preserve">Senal News: Where do cord-cutters go in the first month after they cancel pay TV (Antenna Cord Cutter Insights, Q1 2026)</t>
  </si>
  <si>
    <t xml:space="preserve">2026-08-28</t>
  </si>
  <si>
    <t xml:space="preserve">https://senalnews.com/en/data/usa-where-do-cord-cutters-go-in-the-first-month-after-they-cancel-pay-tv</t>
  </si>
  <si>
    <t xml:space="preserve">A4.16</t>
  </si>
  <si>
    <t xml:space="preserve">Benzinga via Yahoo Finance: Netflix cancellations, boycotts buzz online (Reddit r/cordcutters, r/netflix and X posts after the March 2026 price rise)</t>
  </si>
  <si>
    <t xml:space="preserve">2026-04-18</t>
  </si>
  <si>
    <t xml:space="preserve">https://finance.yahoo.com/markets/stocks/articles/netflix-cancellations-boycotts-buzz-online-110123208.html</t>
  </si>
  <si>
    <t xml:space="preserve">A4.17</t>
  </si>
  <si>
    <t xml:space="preserve">Netflix Q4 2025 shareholder letter (Form 8-K exhibit 99.1): WBD agreement ($27.75/share all cash; $82.7B enterprise value, $72.0B equity), bridge financing, FY2025 regional revenue, 2026 guide incl. ~$275M acquisition costs</t>
  </si>
  <si>
    <t xml:space="preserve">A4.18</t>
  </si>
  <si>
    <t xml:space="preserve">US Treasury daily par yield curve rates 2026 (10-year 5.12% on 2026-10-20)</t>
  </si>
  <si>
    <t xml:space="preserve">A4.19</t>
  </si>
  <si>
    <t xml:space="preserve">Yahoo Finance weekly price history NFLX 5y (with SPY, same endpoint with symbol SPY): own regression, beta 0.92 (2y), 1.04 (3y), 1.43 (5y)</t>
  </si>
  <si>
    <t xml:space="preserve">https://query1.finance.yahoo.com/v8/finance/chart/NFLX?range=5y&amp;interval=1wk</t>
  </si>
  <si>
    <t xml:space="preserve">A4.20</t>
  </si>
  <si>
    <t xml:space="preserve">Damodaran Online (NYU Stern) home page: implied ERP on October 1, 2026 = 4.20% (trailing 12 month, adjusted payout)</t>
  </si>
  <si>
    <t xml:space="preserve">https://pages.stern.nyu.edu/~adamodar/New_Home_Page/home.htm</t>
  </si>
  <si>
    <t xml:space="preserve">A4.21</t>
  </si>
  <si>
    <t xml:space="preserve">Warner Bros. Discovery Form S-8 POS: merger with Paramount Skydance completed on October 6, 2026 (WBD then deregistered, Form 15 on 2026-10-16)</t>
  </si>
  <si>
    <t xml:space="preserve">https://www.sec.gov/Archives/edgar/data/1437107/000119312526415169/d172296ds8pos.htm</t>
  </si>
  <si>
    <t xml:space="preserve">A4.22</t>
  </si>
  <si>
    <t xml:space="preserve">PPC Land: Paramount and HBO Max to merge into one streaming giant with 200M subscribers (Paramount+ 79M, HBO Max 128M)</t>
  </si>
  <si>
    <t xml:space="preserve">2026-03-07</t>
  </si>
  <si>
    <t xml:space="preserve">https://ppc.land/paramount-and-hbo-max-to-merge-into-one-streaming-giant-with-200m-subscribers/</t>
  </si>
  <si>
    <t xml:space="preserve">A5.1</t>
  </si>
  <si>
    <t xml:space="preserve">agent_5</t>
  </si>
  <si>
    <t xml:space="preserve">A5.2</t>
  </si>
  <si>
    <t xml:space="preserve">Netflix Q4 2025 shareholder letter (8-K exhibit 99.1), incl. FY2025 regional revenue table</t>
  </si>
  <si>
    <t xml:space="preserve">A5.3</t>
  </si>
  <si>
    <t xml:space="preserve">Netflix 10-K FY2025 (fact pack F3, F36, F43, F57, F78, F85)</t>
  </si>
  <si>
    <t xml:space="preserve">A5.4</t>
  </si>
  <si>
    <t xml:space="preserve">Netflix 10-Q Q2 2026 (fact pack F39, F60, F95, F96, F97)</t>
  </si>
  <si>
    <t xml:space="preserve">A5.5</t>
  </si>
  <si>
    <t xml:space="preserve">Nasdaq.com / Zacks NFLX consensus EPS forecast (FY2026 3.59, FY2027 3.80, FY2028 4.52; Q4'26 0.73)</t>
  </si>
  <si>
    <t xml:space="preserve">A5.6</t>
  </si>
  <si>
    <t xml:space="preserve">Twelve Data NFLX monthly closes 2002-2026, split-adjusted (own base-rate calculation of 12-month returns after 12-month drawdowns)</t>
  </si>
  <si>
    <t xml:space="preserve">https://api.twelvedata.com/time_series?symbol=NFLX&amp;interval=1month</t>
  </si>
  <si>
    <t xml:space="preserve">A5.7</t>
  </si>
  <si>
    <t xml:space="preserve">Crypto Briefing: Kalshi traders set 2027 recession odds at record low of 20%</t>
  </si>
  <si>
    <t xml:space="preserve">2026-10-05</t>
  </si>
  <si>
    <t xml:space="preserve">https://cryptobriefing.com/kalshi-traders-recession-odds-20-percent/</t>
  </si>
  <si>
    <t xml:space="preserve">A5.8</t>
  </si>
  <si>
    <t xml:space="preserve">Econbrowser: Betting on Recession 2026, up to 32% from 21% pre-war (Kalshi)</t>
  </si>
  <si>
    <t xml:space="preserve">2026-03</t>
  </si>
  <si>
    <t xml:space="preserve">https://econbrowser.com/archives/2026/03/betting-on-recession-2026-up-to-32-fm-21-pre-war</t>
  </si>
  <si>
    <t xml:space="preserve">A5.9</t>
  </si>
  <si>
    <t xml:space="preserve">DeFi Rate Fed decision odds snapshot (Kalshi and Polymarket, Oct and Dec 2026 FOMC)</t>
  </si>
  <si>
    <t xml:space="preserve">https://defirate.com/prediction-markets/fed-decision-odds/snapshot/2026-09-29T1628/</t>
  </si>
  <si>
    <t xml:space="preserve">A5.10</t>
  </si>
  <si>
    <t xml:space="preserve">Macrotrends: Netflix PE ratio history 2010-2025</t>
  </si>
  <si>
    <t xml:space="preserve">https://macrotrends.net/stocks/charts/NFLX/netflix/pe-ratio</t>
  </si>
  <si>
    <t xml:space="preserve">A5.11</t>
  </si>
  <si>
    <t xml:space="preserve">Jegadeesh and Titman (1993), Returns to Buying Winners and Selling Losers</t>
  </si>
  <si>
    <t xml:space="preserve">1993</t>
  </si>
  <si>
    <t xml:space="preserve">https://floridapsc.com/library/filings/2013/07457-2013/Support/Gulf's%20response%20to%20OPC's%201st%20POD,%20No.%2057/Jegadeesh%20and%20Titman%201993%20(140-167).pdf</t>
  </si>
  <si>
    <t xml:space="preserve">A5.12</t>
  </si>
  <si>
    <t xml:space="preserve">MediaPost: Streaming climbs to 48.5% in last lame-duck edition of Nielsen's Gauge (June 2026: YouTube 13.5%, Netflix 7.9% vs 8.3%)</t>
  </si>
  <si>
    <t xml:space="preserve">https://www.mediapost.com/publications/article/417308/</t>
  </si>
  <si>
    <t xml:space="preserve">A5.13</t>
  </si>
  <si>
    <t xml:space="preserve">MediaPost: Nielsen Media Distributor Index, YouTube grabs top spot (YouTube 13.4%, Netflix 7.8%)</t>
  </si>
  <si>
    <t xml:space="preserve">2026-06-25</t>
  </si>
  <si>
    <t xml:space="preserve">A5.14</t>
  </si>
  <si>
    <t xml:space="preserve">FRED DGS10, 10-year Treasury constant maturity (5.15% on 2026-10-19)</t>
  </si>
  <si>
    <t xml:space="preserve">https://fred.stlouisfed.org/series/DGS10</t>
  </si>
  <si>
    <t xml:space="preserve">A5.15</t>
  </si>
  <si>
    <t xml:space="preserve">Yahoo Finance NFLX quote page (Beta 5Y monthly 1.53)</t>
  </si>
  <si>
    <t xml:space="preserve">2026-09-08</t>
  </si>
  <si>
    <t xml:space="preserve">https://finance.yahoo.com/quote/NFLX/analysts</t>
  </si>
  <si>
    <t xml:space="preserve">A5.16</t>
  </si>
  <si>
    <t xml:space="preserve">BVWire: Damodaran revises country risk framework after US downgrade (mature-market ERP 4.20%, July 2026)</t>
  </si>
  <si>
    <t xml:space="preserve">https://www.bvresources.com/articles/bvwire/global-damodaran-revises-country-risk-framework-after-us-rating-downgrade</t>
  </si>
  <si>
    <t xml:space="preserve">A5.17</t>
  </si>
  <si>
    <t xml:space="preserve">Bloomberg Law: Paramount is said to have paid $2.8 billion Netflix breakup fee</t>
  </si>
  <si>
    <t xml:space="preserve">https://news.bloomberglaw.com/ip-law/paramount-is-said-to-have-paid-2-8-billion-netflix-breakup-fee</t>
  </si>
  <si>
    <t xml:space="preserve">A5.18</t>
  </si>
  <si>
    <t xml:space="preserve">Semafor: Netflix walks away from $83B Warner Bros. takeover</t>
  </si>
  <si>
    <t xml:space="preserve">2026-02-26</t>
  </si>
  <si>
    <t xml:space="preserve">https://www.semafor.com/article/02/26/2026/netflix-says-no-thank-you-to-warner-bros-discovery</t>
  </si>
  <si>
    <t xml:space="preserve">A5.19</t>
  </si>
  <si>
    <t xml:space="preserve">Hudson Labs: Netflix Q3 2026 earnings preview (view hours +2% H1 2026; FY2026 guide context)</t>
  </si>
  <si>
    <t xml:space="preserve">https://www.hudson-labs.com/research/netflix-q3-2026-earnings-preview-nflx-revenue-guidance</t>
  </si>
  <si>
    <t xml:space="preserve">A5.20</t>
  </si>
  <si>
    <t xml:space="preserve">Run peer table peers.md: trailing multiples from SEC XBRL (secfacts.py), NTM P/E from Nasdaq.com/Zacks consensus snapshot</t>
  </si>
  <si>
    <t xml:space="preserve">A5.21</t>
  </si>
  <si>
    <t xml:space="preserve">Axios: Netflix stock sinks after U.S. subscriber loss (July 2019)</t>
  </si>
  <si>
    <t xml:space="preserve">2019-07-17</t>
  </si>
  <si>
    <t xml:space="preserve">https://www.axios.com/2019/07/17/netflix-stock-sinks-us-subscriber-loss</t>
  </si>
  <si>
    <t xml:space="preserve">A5.22</t>
  </si>
  <si>
    <t xml:space="preserve">Benzinga: How Netflix defied odds to rebound (2022 drawdown ~75%, recovery into 2023)</t>
  </si>
  <si>
    <t xml:space="preserve">2023-09</t>
  </si>
  <si>
    <t xml:space="preserve">https://benzinga.com/23/09/34453288/how-netflix-defied-odds-to-rebound-by-10-fueling-an-astonishing-47-surge-for-the-year-a-deep-dive-in</t>
  </si>
  <si>
    <t xml:space="preserve">A5.23</t>
  </si>
  <si>
    <t xml:space="preserve">SEC XBRL companyfacts API for Netflix (fact pack source)</t>
  </si>
  <si>
    <t xml:space="preserve">A5.24</t>
  </si>
  <si>
    <t xml:space="preserve">US Treasury daily par yield curve 2026 (10-year 5.12% on 2026-10-20, 5.15% on 2026-10-19)</t>
  </si>
  <si>
    <t xml:space="preserve">A5.25</t>
  </si>
  <si>
    <t xml:space="preserve">Yahoo Finance weekly price history NFLX, 5 years (own beta regression: 2y 0.92, 3y 1.04, since Jan-2023 1.105, 5y 1.40)</t>
  </si>
  <si>
    <t xml:space="preserve">A5.26</t>
  </si>
  <si>
    <t xml:space="preserve">Yahoo Finance weekly price history SPY, 5 years (market leg of the beta regression)</t>
  </si>
  <si>
    <t xml:space="preserve">https://query1.finance.yahoo.com/v8/finance/chart/SPY?range=5y&amp;interval=1wk</t>
  </si>
  <si>
    <t xml:space="preserve">A5.27</t>
  </si>
  <si>
    <t xml:space="preserve">Octagon AI: Paramount-Warner Bros merger prediction market odds (Kalshi KXTAKEOVERACQWB-27JUN30: Paramount 65%, none 30%, Netflix 4% on 2026-07-24; states' suit, merger barred until 2027-06-01 or a ruling)</t>
  </si>
  <si>
    <t xml:space="preserve">2026-07-25</t>
  </si>
  <si>
    <t xml:space="preserve">https://octagonai.co/news/paramount-warner-bros-merger-prediction-market-odds/</t>
  </si>
  <si>
    <t xml:space="preserve">A5.28</t>
  </si>
  <si>
    <t xml:space="preserve">A5.29</t>
  </si>
  <si>
    <t xml:space="preserve">METHOD.md 'Leg weights from evidence': DCF weight by forward P/E (price / FY2 consensus EPS) band, 15.0-19.6x -&gt; 0.2 (walk-forward CRSP/I/B/E/S test)</t>
  </si>
  <si>
    <t xml:space="preserve">/mnt/attach/project-files/valuation/METHOD.md</t>
  </si>
  <si>
    <t xml:space="preserve">S.1</t>
  </si>
  <si>
    <t xml:space="preserve">supervisor</t>
  </si>
  <si>
    <t xml:space="preserve">S.2</t>
  </si>
  <si>
    <t xml:space="preserve">S.3</t>
  </si>
  <si>
    <t xml:space="preserve">Warner Bros. Discovery 8-K: completion of merger with Skydance Corporation (items 2.01, 3.01, 5.01)</t>
  </si>
  <si>
    <t xml:space="preserve">https://www.sec.gov/Archives/edgar/data/1437107/000119312526415055/d200872d8k.htm</t>
  </si>
  <si>
    <t xml:space="preserve">S.4</t>
  </si>
  <si>
    <t xml:space="preserve">AP: Judge approves Paramount's settlement with states over Warner buyout, allowing merger to soon close (via NY1)</t>
  </si>
  <si>
    <t xml:space="preserve">https://ny1.com/nyc/all-boroughs/ap-top-news/2026/09/30/judge-approves-paramounts-settlement-with-states-over-warner-buyout-allowing-merger-to-soon-close</t>
  </si>
  <si>
    <t xml:space="preserve">S.5</t>
  </si>
  <si>
    <t xml:space="preserve">S.6</t>
  </si>
  <si>
    <t xml:space="preserve">Nasdaq/Zacks NFLX earnings forecast</t>
  </si>
  <si>
    <t xml:space="preserve">S.7</t>
  </si>
  <si>
    <t xml:space="preserve">Nasdaq/Zacks peer earnings forecasts (DIS, META, AMZN, GOOGL, SPOT, TKO, WMG, FOXA)</t>
  </si>
  <si>
    <t xml:space="preserve">https://api.nasdaq.com/api/analyst/META/earnings-forecast</t>
  </si>
  <si>
    <t xml:space="preserve">S.8</t>
  </si>
  <si>
    <t xml:space="preserve">Netflix Q3 2026 earnings call transcript (Investing.com)</t>
  </si>
  <si>
    <t xml:space="preserve">S.9</t>
  </si>
  <si>
    <t xml:space="preserve">S.10</t>
  </si>
  <si>
    <t xml:space="preserve">Yahoo Finance chart feed, NFLX (regularMarketPrice 68.69 = 2026-10-20 close; fulldayPrice 64.89 = extended-hours price), record retrieved 2026-10-20 23:12Z and saved as runs/2026-10-20/NFLX/work_agent_2/y_NFLX.json; close also confirmed by Twelve Data daily series</t>
  </si>
  <si>
    <t xml:space="preserve">https://query1.finance.yahoo.com/v8/finance/chart/NFLX</t>
  </si>
  <si>
    <t xml:space="preserve">S.11</t>
  </si>
  <si>
    <t xml:space="preserve">Warner Bros. Discovery EDGAR filing index (S-8 POS and 25-NSE 2026-10-06, 15-12G 2026-10-16)</t>
  </si>
  <si>
    <t xml:space="preserve">2026-10-16</t>
  </si>
  <si>
    <t xml:space="preserve">https://data.sec.gov/submissions/CIK0001437107.json</t>
  </si>
  <si>
    <t xml:space="preserve">S.12</t>
  </si>
  <si>
    <t xml:space="preserve">Run peer comps table peers.md (peers.py: trailing multiples from SEC XBRL via secfacts.py; NTM P/E = Yahoo close / NTM fiscal-year blend of Nasdaq.com/Zacks consensus EPS); cited by fact id</t>
  </si>
  <si>
    <t xml:space="preserve">runs/2026-10-20/NFLX/peers.md</t>
  </si>
  <si>
    <t xml:space="preserve">S.13</t>
  </si>
  <si>
    <t xml:space="preserve">Roku EDGAR filing index (Fox merger: DEFM14A 2026-09-01, 8-K and 425 2026-10-06)</t>
  </si>
  <si>
    <t xml:space="preserve">2026-10-15</t>
  </si>
  <si>
    <t xml:space="preserve">https://data.sec.gov/submissions/CIK0001428439.json</t>
  </si>
  <si>
    <t xml:space="preserve">S.14</t>
  </si>
  <si>
    <t xml:space="preserve">Fox Corp EDGAR filing index (S-4 2026-08-07, S-4/A 2026-08-21: Fox-Roku merger)</t>
  </si>
  <si>
    <t xml:space="preserve">2026-10-21</t>
  </si>
  <si>
    <t xml:space="preserve">https://data.sec.gov/submissions/CIK0001754301.json</t>
  </si>
  <si>
    <t xml:space="preserve">S.15</t>
  </si>
  <si>
    <t xml:space="preserve">StockAnalysis.com Netflix forecast (Revenue Next Year $56.96B, EPS Next Year $3.80; pre-print)</t>
  </si>
  <si>
    <t xml:space="preserve">S.16</t>
  </si>
  <si>
    <t xml:space="preserve">MediaPost (Wayne Friedman, 2026-08-18): Nielsen June 2026 Gauge, Netflix 7.9% from 8.3%, YouTube 13.5% vs 12.8% a year ago</t>
  </si>
  <si>
    <t xml:space="preserve">S.17</t>
  </si>
  <si>
    <t xml:space="preserve">Nielsen: June 2025 Media Distributor Gauge (Netflix 8.3% of June 2025 TV usage)</t>
  </si>
  <si>
    <t xml:space="preserve">2025-07-22</t>
  </si>
  <si>
    <t xml:space="preserve">https://www.nielsen.com/news-center/2025/netflix-breaks-into-top-3-media-distributors-for-the-first-time-in-nielsens-june-2025-media-distributor-gauge/</t>
  </si>
  <si>
    <t xml:space="preserve">S.18</t>
  </si>
  <si>
    <t xml:space="preserve">Nielsen: July 2026 Gauge (YouTube a record 14.2% of TV)</t>
  </si>
  <si>
    <t xml:space="preserve">S.19</t>
  </si>
  <si>
    <t xml:space="preserve">Nasdaq/Zacks SPOT earnings forecast (FY2026 13.64, FY2027 17.22; retrieved 2026-10-26)</t>
  </si>
  <si>
    <t xml:space="preserve">2026-10-26</t>
  </si>
  <si>
    <t xml:space="preserve">S.20</t>
  </si>
  <si>
    <t xml:space="preserve">Nasdaq/Zacks SONY earnings forecast (FY3/2027 1.45, FY3/2028 1.49 per ADR; retrieved 2026-10-26)</t>
  </si>
  <si>
    <t xml:space="preserve">https://api.nasdaq.com/api/analyst/SONY/earnings-forecast</t>
  </si>
  <si>
    <t xml:space="preserve">S.21</t>
  </si>
  <si>
    <t xml:space="preserve">Spotify 6-K, Q3 2026 interim report (diluted EPS EUR 2.48)</t>
  </si>
  <si>
    <t xml:space="preserve">2026-10-22</t>
  </si>
  <si>
    <t xml:space="preserve">https://www.sec.gov/Archives/edgar/data/1639920/000162828026066889/spot-20260930x6xk.htm</t>
  </si>
  <si>
    <t xml:space="preserve">S.22</t>
  </si>
  <si>
    <t xml:space="preserve">Sony Group 6-K, Q1 FY2026 results (diluted EPS JPY 57.82)</t>
  </si>
  <si>
    <t xml:space="preserve">2026-07-31</t>
  </si>
  <si>
    <t xml:space="preserve">https://www.sec.gov/Archives/edgar/data/313838/000110465926088915/tm2621477d1_6k.htm</t>
  </si>
  <si>
    <t xml:space="preserve">S.23</t>
  </si>
  <si>
    <t xml:space="preserve">Nasdaq/Zacks earnings surprise pages SPOT (Q3 2026 actual 2.85) and SONY (Jun 2026 quarter actual 0.36)</t>
  </si>
  <si>
    <t xml:space="preserve">https://api.nasdaq.com/api/company/SPOT/earnings-surprise</t>
  </si>
  <si>
    <t xml:space="preserve">S.24</t>
  </si>
  <si>
    <t xml:space="preserve">Yahoo chart feed EURUSD=X and JPY=X month-end closes, Mar-Sep 2026</t>
  </si>
  <si>
    <t xml:space="preserve">https://query1.finance.yahoo.com/v8/finance/chart/JPY=X</t>
  </si>
  <si>
    <t xml:space="preserve">S.25</t>
  </si>
  <si>
    <t xml:space="preserve">Update-round peer comps table runs/2026-10-23/NFLX/peers.md (peers.py, 2026-10-23 closes, Nasdaq.com/Zacks EPS; SPOT/SONY hand rows; GOOGL FY2027 basis)</t>
  </si>
  <si>
    <t xml:space="preserve">runs/2026-10-23/NFLX/peers.md</t>
  </si>
  <si>
    <t xml:space="preserve">S.26</t>
  </si>
  <si>
    <t xml:space="preserve">Nasdaq/Zacks DIS, META, AMZN, GOOGL earnings forecasts (retrieved 2026-10-26)</t>
  </si>
  <si>
    <t xml:space="preserve">S.27</t>
  </si>
  <si>
    <t xml:space="preserve">Disney 8-K ex. 99.1, Q3 FY2026 results: reconciliation of diluted EPS to EPS excluding certain items (acquisition amortization $0.13)</t>
  </si>
  <si>
    <t xml:space="preserve">https://www.sec.gov/Archives/edgar/data/1744489/000174448926000056/fy2026_q3xerxex991.htm</t>
  </si>
  <si>
    <t xml:space="preserve">S.28</t>
  </si>
  <si>
    <t xml:space="preserve">SEC XBRL company facts, Alphabet (Q1/Q2 2026 NetIncomeLoss, EquitySecuritiesFvNiGainLoss, diluted shares)</t>
  </si>
  <si>
    <t xml:space="preserve">https://data.sec.gov/api/xbrl/companyfacts/CIK0001652044.json</t>
  </si>
  <si>
    <t xml:space="preserve">S.29</t>
  </si>
  <si>
    <t xml:space="preserve">Nasdaq/Zacks earnings surprise pages NFLX, DIS, META, AMZN, GOOGL (Zacks actual EPS basis vs GAAP)</t>
  </si>
  <si>
    <t xml:space="preserve">https://api.nasdaq.com/api/company/GOOGL/earnings-surprise</t>
  </si>
  <si>
    <t xml:space="preserve">S.30</t>
  </si>
  <si>
    <t xml:space="preserve">SEC XBRL EarningsPerShareDiluted (companyconcept) for NFLX, DIS, META, AMZN, GOOGL, 2025-2026 quarters</t>
  </si>
  <si>
    <t xml:space="preserve">https://data.sec.gov/api/xbrl/companyconcept/CIK0001326801/us-gaap/EarningsPerShareDiluted.json</t>
  </si>
  <si>
    <t xml:space="preserve">S.31</t>
  </si>
  <si>
    <t xml:space="preserve">METHOD.md Peer comparables: exit multiple = peer median x (own/median)^0.8 (Kilian card 2026-10-26 12:16Z; WRDS test wrds/results/exit_multiple_shrink/README.md)</t>
  </si>
  <si>
    <t xml:space="preserve">METHOD.md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</si>
</sst>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065280/000106528026000290/ex991_q326.htm" TargetMode="External"/><Relationship Id="rId2" Type="http://schemas.openxmlformats.org/officeDocument/2006/relationships/hyperlink" Target="https://www.sec.gov/Archives/edgar/data/1065280/000106528026000290/nflx-20261020.htm" TargetMode="External"/><Relationship Id="rId3" Type="http://schemas.openxmlformats.org/officeDocument/2006/relationships/hyperlink" Target="https://www.sec.gov/Archives/edgar/data/1065280/000106528026000211/ex991_q226.htm" TargetMode="External"/><Relationship Id="rId4" Type="http://schemas.openxmlformats.org/officeDocument/2006/relationships/hyperlink" Target="https://www.sec.gov/Archives/edgar/data/1065280/000106528026000137/ex991_q126.htm" TargetMode="External"/><Relationship Id="rId5" Type="http://schemas.openxmlformats.org/officeDocument/2006/relationships/hyperlink" Target="https://www.sec.gov/Archives/edgar/data/1065280/000106528026000033/ex991_q425.htm" TargetMode="External"/><Relationship Id="rId6" Type="http://schemas.openxmlformats.org/officeDocument/2006/relationships/hyperlink" Target="https://www.sec.gov/Archives/edgar/data/1065280/000106528025000404/ex991_q325.htm" TargetMode="External"/><Relationship Id="rId7" Type="http://schemas.openxmlformats.org/officeDocument/2006/relationships/hyperlink" Target="https://www.sec.gov/Archives/edgar/data/1065280/000106528026000034/nflx-20251231.htm" TargetMode="External"/><Relationship Id="rId8" Type="http://schemas.openxmlformats.org/officeDocument/2006/relationships/hyperlink" Target="https://www.sec.gov/Archives/edgar/data/1065280/000106528026000212/nflx-20260630.htm" TargetMode="External"/><Relationship Id="rId9" Type="http://schemas.openxmlformats.org/officeDocument/2006/relationships/hyperlink" Target="https://data.sec.gov/api/xbrl/companyfacts/CIK0001065280.json" TargetMode="External"/><Relationship Id="rId10" Type="http://schemas.openxmlformats.org/officeDocument/2006/relationships/hyperlink" Target="https://s22.q4cdn.com/959853165/files/doc_news/Netflix-to-Announce-Third-Quarter-2026-Financial-Results-2026.pdf" TargetMode="External"/><Relationship Id="rId11" Type="http://schemas.openxmlformats.org/officeDocument/2006/relationships/hyperlink" Target="https://allmind.ai/earnings/event/2932171" TargetMode="External"/><Relationship Id="rId12" Type="http://schemas.openxmlformats.org/officeDocument/2006/relationships/hyperlink" Target="https://api.nasdaq.com/api/analyst/NFLX/earnings-forecast" TargetMode="External"/><Relationship Id="rId13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4" Type="http://schemas.openxmlformats.org/officeDocument/2006/relationships/hyperlink" Target="https://query1.finance.yahoo.com/v8/finance/chart/NFLX?range=2y&amp;interval=1wk" TargetMode="External"/><Relationship Id="rId15" Type="http://schemas.openxmlformats.org/officeDocument/2006/relationships/hyperlink" Target="https://adwave.com/resources/most-watched-streaming-service-q3-2026" TargetMode="External"/><Relationship Id="rId16" Type="http://schemas.openxmlformats.org/officeDocument/2006/relationships/hyperlink" Target="https://www.investing.com/news/transcripts/earnings-call-transcript-netflix-beats-q3-2026-estimates-but-shares-fall-after-hours-93CH-4961240" TargetMode="External"/><Relationship Id="rId17" Type="http://schemas.openxmlformats.org/officeDocument/2006/relationships/hyperlink" Target="https://www.sec.gov/Archives/edgar/data/2041610/000110465926012401/tm2533570d50_ex99-1.htm" TargetMode="External"/><Relationship Id="rId18" Type="http://schemas.openxmlformats.org/officeDocument/2006/relationships/hyperlink" Target="https://www.vpm.org/npr-news/2026-07-13/states-sue-to-stop-paramount-warner-bros-blockbuster-merger" TargetMode="External"/><Relationship Id="rId19" Type="http://schemas.openxmlformats.org/officeDocument/2006/relationships/hyperlink" Target="https://api.nasdaq.com/api/analyst/GOOGL/earnings-forecast" TargetMode="External"/><Relationship Id="rId20" Type="http://schemas.openxmlformats.org/officeDocument/2006/relationships/hyperlink" Target="https://api.nasdaq.com/api/analyst/SPOT/earnings-forecast" TargetMode="External"/><Relationship Id="rId21" Type="http://schemas.openxmlformats.org/officeDocument/2006/relationships/hyperlink" Target="https://www.sec.gov/Archives/edgar/data/0001065280/000106528026000290/ex991_q326.htm" TargetMode="External"/><Relationship Id="rId22" Type="http://schemas.openxmlformats.org/officeDocument/2006/relationships/hyperlink" Target="https://www.sec.gov/Archives/edgar/data/1065280/000106528026000033/ex991_q425.htm" TargetMode="External"/><Relationship Id="rId23" Type="http://schemas.openxmlformats.org/officeDocument/2006/relationships/hyperlink" Target="https://www.sec.gov/Archives/edgar/data/1065280/000106528026000212/nflx-20260630.htm" TargetMode="External"/><Relationship Id="rId24" Type="http://schemas.openxmlformats.org/officeDocument/2006/relationships/hyperlink" Target="https://www.sec.gov/Archives/edgar/data/1065280/000106528026000034/nflx-20251231.htm" TargetMode="External"/><Relationship Id="rId25" Type="http://schemas.openxmlformats.org/officeDocument/2006/relationships/hyperlink" Target="https://www.thewrap.com/industry-news/business/netflix-stock-wells-fargo-hsbc-downgrade-engagement-trends-youtube-competition/" TargetMode="External"/><Relationship Id="rId26" Type="http://schemas.openxmlformats.org/officeDocument/2006/relationships/hyperlink" Target="https://adwave.com/resources/most-watched-streaming-service-q3-2026" TargetMode="External"/><Relationship Id="rId27" Type="http://schemas.openxmlformats.org/officeDocument/2006/relationships/hyperlink" Target="https://www.mediapost.com/publications/article/417308/streaming-climbs-to-485-per-last-lame-duck-edit.html" TargetMode="External"/><Relationship Id="rId28" Type="http://schemas.openxmlformats.org/officeDocument/2006/relationships/hyperlink" Target="https://www.newscaststudio.com/2026/08/05/disney-streaming-profit-3q-2026/" TargetMode="External"/><Relationship Id="rId29" Type="http://schemas.openxmlformats.org/officeDocument/2006/relationships/hyperlink" Target="https://www.sec.gov/Archives/edgar/data/0001428439/000162828026054321/a04fy2026q2exhibit991.htm" TargetMode="External"/><Relationship Id="rId30" Type="http://schemas.openxmlformats.org/officeDocument/2006/relationships/hyperlink" Target="https://www.creatorhandbook.net/youtube-ad-revenue-tops-11-billion-in-q2/" TargetMode="External"/><Relationship Id="rId31" Type="http://schemas.openxmlformats.org/officeDocument/2006/relationships/hyperlink" Target="https://www.mediapost.com/publications/article/417166/upfront-ads-rise-9-to-337b-streaming-up-30.html" TargetMode="External"/><Relationship Id="rId32" Type="http://schemas.openxmlformats.org/officeDocument/2006/relationships/hyperlink" Target="https://www.thewrap.com/industry-news/business/netflix-closes-2026-upfront/" TargetMode="External"/><Relationship Id="rId33" Type="http://schemas.openxmlformats.org/officeDocument/2006/relationships/hyperlink" Target="https://au.variety.com/2026/tv/global/netflix-claims-ad-tier-reaches-250-million-viewers-36559/" TargetMode="External"/><Relationship Id="rId34" Type="http://schemas.openxmlformats.org/officeDocument/2006/relationships/hyperlink" Target="https://www.emarketer.com/content/ctv-ad-market-will-more-than-double-by-end-of-2026" TargetMode="External"/><Relationship Id="rId35" Type="http://schemas.openxmlformats.org/officeDocument/2006/relationships/hyperlink" Target="https://www.fox29.com/news/netflix-raising-prices-again-all-plans-how-much-more-youll-be-paying" TargetMode="External"/><Relationship Id="rId36" Type="http://schemas.openxmlformats.org/officeDocument/2006/relationships/hyperlink" Target="https://www.roic.ai/news/streamflation-sparks-surge-in-subscription-cancellations-netflix-q3-in-focus-09-21-2026" TargetMode="External"/><Relationship Id="rId37" Type="http://schemas.openxmlformats.org/officeDocument/2006/relationships/hyperlink" Target="https://news.bgov.com/antitrust/paramount-says-all-required-jurisdictions-approved-warner-deal" TargetMode="External"/><Relationship Id="rId38" Type="http://schemas.openxmlformats.org/officeDocument/2006/relationships/hyperlink" Target="https://www.newscaststudio.com/2026/03/02/paramount-plus-hbo-max-combined/" TargetMode="External"/><Relationship Id="rId39" Type="http://schemas.openxmlformats.org/officeDocument/2006/relationships/hyperlink" Target="https://stockanalysis.com/stocks/nflx/forecast/" TargetMode="External"/><Relationship Id="rId40" Type="http://schemas.openxmlformats.org/officeDocument/2006/relationships/hyperlink" Target="https://api.nasdaq.com/api/analyst/NFLX/earnings-forecast" TargetMode="External"/><Relationship Id="rId41" Type="http://schemas.openxmlformats.org/officeDocument/2006/relationships/hyperlink" Target="https://stockanalysis.com/stocks/nflx/statistics/" TargetMode="External"/><Relationship Id="rId42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43" Type="http://schemas.openxmlformats.org/officeDocument/2006/relationships/hyperlink" Target="https://www.tipranks.com/news/weekend-updates/netflix-stock-plunges-as-analysts-slash-price-targets" TargetMode="External"/><Relationship Id="rId44" Type="http://schemas.openxmlformats.org/officeDocument/2006/relationships/hyperlink" Target="https://api.nasdaq.com/api/analyst/SPOT/earnings-forecast" TargetMode="External"/><Relationship Id="rId45" Type="http://schemas.openxmlformats.org/officeDocument/2006/relationships/hyperlink" Target="https://api.nasdaq.com/api/analyst/DIS/earnings-forecast" TargetMode="External"/><Relationship Id="rId46" Type="http://schemas.openxmlformats.org/officeDocument/2006/relationships/hyperlink" Target="https://twelvedata.com/markets/nasdaq/nflx" TargetMode="External"/><Relationship Id="rId47" Type="http://schemas.openxmlformats.org/officeDocument/2006/relationships/hyperlink" Target="https://query2.finance.yahoo.com/v8/finance/chart/NFLX?range=5y&amp;interval=1wk" TargetMode="External"/><Relationship Id="rId48" Type="http://schemas.openxmlformats.org/officeDocument/2006/relationships/hyperlink" Target="https://query2.finance.yahoo.com/v8/finance/chart/SPY?range=5y&amp;interval=1wk" TargetMode="External"/><Relationship Id="rId49" Type="http://schemas.openxmlformats.org/officeDocument/2006/relationships/hyperlink" Target="https://api.nasdaq.com/api/analyst/GOOGL/earnings-forecast" TargetMode="External"/><Relationship Id="rId50" Type="http://schemas.openxmlformats.org/officeDocument/2006/relationships/hyperlink" Target="https://www.investing.com/news/transcripts/earnings-call-transcript-netflix-beats-q3-2026-estimates-but-shares-fall-after-hours-93CH-4961240" TargetMode="External"/><Relationship Id="rId51" Type="http://schemas.openxmlformats.org/officeDocument/2006/relationships/hyperlink" Target="https://www.advanced-television.com/2026/02/18/forecast-netflix-to-take-nearly-10-of-ctv-ad-spend-in-2027/" TargetMode="External"/><Relationship Id="rId52" Type="http://schemas.openxmlformats.org/officeDocument/2006/relationships/hyperlink" Target="https://www.sec.gov/Archives/edgar/data/0001754301/000119312526270285/d151410dex991.htm" TargetMode="External"/><Relationship Id="rId53" Type="http://schemas.openxmlformats.org/officeDocument/2006/relationships/hyperlink" Target="https://abcnews.com/amp/Business/wireStory/judge-approves-paramounts-settlement-states-warner-buyout-allowing-136902011" TargetMode="External"/><Relationship Id="rId54" Type="http://schemas.openxmlformats.org/officeDocument/2006/relationships/hyperlink" Target="https://www.iheart.com/alternate/amp/2026-10-06-paramount-warner-bros-discovery-deal-finalized/" TargetMode="External"/><Relationship Id="rId55" Type="http://schemas.openxmlformats.org/officeDocument/2006/relationships/hyperlink" Target="https://www.mvariety.com/?p=149210" TargetMode="External"/><Relationship Id="rId56" Type="http://schemas.openxmlformats.org/officeDocument/2006/relationships/hyperlink" Target="https://www.sec.gov/Archives/edgar/data/0001065280/000106528026000290/ex991_q326.htm" TargetMode="External"/><Relationship Id="rId57" Type="http://schemas.openxmlformats.org/officeDocument/2006/relationships/hyperlink" Target="https://www.sec.gov/Archives/edgar/data/1065280/000106528026000034/nflx-20251231.htm" TargetMode="External"/><Relationship Id="rId58" Type="http://schemas.openxmlformats.org/officeDocument/2006/relationships/hyperlink" Target="https://www.sec.gov/Archives/edgar/data/1065280/000106528026000212/nflx-20260630.htm" TargetMode="External"/><Relationship Id="rId59" Type="http://schemas.openxmlformats.org/officeDocument/2006/relationships/hyperlink" Target="https://data.sec.gov/api/xbrl/companyfacts/CIK0001065280.json" TargetMode="External"/><Relationship Id="rId60" Type="http://schemas.openxmlformats.org/officeDocument/2006/relationships/hyperlink" Target="https://www.thewrap.com/industry-news/business/netflix-stock-wells-fargo-hsbc-downgrade-engagement-trends-youtube-competition/" TargetMode="External"/><Relationship Id="rId61" Type="http://schemas.openxmlformats.org/officeDocument/2006/relationships/hyperlink" Target="https://247wallst.com/investing/2026/09/22/a-wells-fargo-analyst-noticed-he-stopped-watching-netflix-then-told-clients-to-sell/" TargetMode="External"/><Relationship Id="rId62" Type="http://schemas.openxmlformats.org/officeDocument/2006/relationships/hyperlink" Target="https://www.fool.com/investing/2026/10/01/why-netflix-lost-14-in-september/" TargetMode="External"/><Relationship Id="rId63" Type="http://schemas.openxmlformats.org/officeDocument/2006/relationships/hyperlink" Target="https://api.nasdaq.com/api/analyst/NFLX/earnings-forecast" TargetMode="External"/><Relationship Id="rId64" Type="http://schemas.openxmlformats.org/officeDocument/2006/relationships/hyperlink" Target="https://data.sec.gov/api/xbrl/companyfacts/" TargetMode="External"/><Relationship Id="rId65" Type="http://schemas.openxmlformats.org/officeDocument/2006/relationships/hyperlink" Target="https://home.treasury.gov/resource-center/data-chart-center/interest-rates/TextView?type=daily_treasury_yield_curve&amp;field_tdr_date_value=2026" TargetMode="External"/><Relationship Id="rId66" Type="http://schemas.openxmlformats.org/officeDocument/2006/relationships/hyperlink" Target="https://query1.finance.yahoo.com/v8/finance/chart/NFLX?range=2y&amp;interval=1wk" TargetMode="External"/><Relationship Id="rId67" Type="http://schemas.openxmlformats.org/officeDocument/2006/relationships/hyperlink" Target="https://www.sec.gov/Archives/edgar/data/0001065280/000106528026000234/wk-form4_1785878104.xml" TargetMode="External"/><Relationship Id="rId68" Type="http://schemas.openxmlformats.org/officeDocument/2006/relationships/hyperlink" Target="https://agent402.tools/reports/insider/NFLX" TargetMode="External"/><Relationship Id="rId69" Type="http://schemas.openxmlformats.org/officeDocument/2006/relationships/hyperlink" Target="https://curvedtrading.com/stocks/nflx/short-interest/" TargetMode="External"/><Relationship Id="rId70" Type="http://schemas.openxmlformats.org/officeDocument/2006/relationships/hyperlink" Target="https://abc30.com/story/netflix-is-laying-off-6-workforce-1000-employees-biggest-round-job-cuts-streaming-giant-years/19938143/" TargetMode="External"/><Relationship Id="rId71" Type="http://schemas.openxmlformats.org/officeDocument/2006/relationships/hyperlink" Target="https://news.bloomberglaw.com/mergers-and-acquisitions/paramount-offers-to-pay-2-8-billion-breakup-fee-in-warner-deal" TargetMode="External"/><Relationship Id="rId72" Type="http://schemas.openxmlformats.org/officeDocument/2006/relationships/hyperlink" Target="https://www.tubefilter.com/2026/01/21/neal-mohans-2026-letter-to-creators-a-lot-of-ai-a-tiktok-shop-competitor-and-beautifully-produced-tv-to-compete-with-netflix/" TargetMode="External"/><Relationship Id="rId73" Type="http://schemas.openxmlformats.org/officeDocument/2006/relationships/hyperlink" Target="https://www.finanzen.net/anleihen/a1909t-netflix-anleihe" TargetMode="External"/><Relationship Id="rId74" Type="http://schemas.openxmlformats.org/officeDocument/2006/relationships/hyperlink" Target="https://www.investing.com/news/transcripts/earnings-call-transcript-netflix-beats-q3-2026-estimates-but-shares-fall-after-hours-93CH-4961240" TargetMode="External"/><Relationship Id="rId75" Type="http://schemas.openxmlformats.org/officeDocument/2006/relationships/hyperlink" Target="https://www.advanced-television.com/2026/02/18/forecast-netflix-to-take-nearly-10-of-ctv-ad-spend-in-2027/" TargetMode="External"/><Relationship Id="rId76" Type="http://schemas.openxmlformats.org/officeDocument/2006/relationships/hyperlink" Target="https://www.vpm.org/npr-news/2026-07-13/states-sue-to-stop-paramount-warner-bros-blockbuster-merger" TargetMode="External"/><Relationship Id="rId77" Type="http://schemas.openxmlformats.org/officeDocument/2006/relationships/hyperlink" Target="https://www.tubefilter.com/2026/07/19/netflix-watch-hours-reports-once-a-year-q2-2026-earnings/amp/" TargetMode="External"/><Relationship Id="rId78" Type="http://schemas.openxmlformats.org/officeDocument/2006/relationships/hyperlink" Target="https://www.tipranks.com/news/weekend-updates/netflix-stock-plunges-as-analysts-slash-price-targets" TargetMode="External"/><Relationship Id="rId79" Type="http://schemas.openxmlformats.org/officeDocument/2006/relationships/hyperlink" Target="https://api.nasdaq.com/api/analyst/SPOT/earnings-forecast" TargetMode="External"/><Relationship Id="rId80" Type="http://schemas.openxmlformats.org/officeDocument/2006/relationships/hyperlink" Target="https://query1.finance.yahoo.com/v8/finance/chart/SPOT?range=5d&amp;interval=1d" TargetMode="External"/><Relationship Id="rId81" Type="http://schemas.openxmlformats.org/officeDocument/2006/relationships/hyperlink" Target="https://api.nasdaq.com/api/analyst/GOOGL/earnings-forecast" TargetMode="External"/><Relationship Id="rId82" Type="http://schemas.openxmlformats.org/officeDocument/2006/relationships/hyperlink" Target="https://www.sec.gov/Archives/edgar/data/0001065280/000106528026000290/ex991_q326.htm" TargetMode="External"/><Relationship Id="rId83" Type="http://schemas.openxmlformats.org/officeDocument/2006/relationships/hyperlink" Target="https://www.sec.gov/Archives/edgar/data/1065280/000106528026000212/nflx-20260630.htm" TargetMode="External"/><Relationship Id="rId84" Type="http://schemas.openxmlformats.org/officeDocument/2006/relationships/hyperlink" Target="https://www.sec.gov/Archives/edgar/data/1065280/000106528026000034/nflx-20251231.htm" TargetMode="External"/><Relationship Id="rId85" Type="http://schemas.openxmlformats.org/officeDocument/2006/relationships/hyperlink" Target="https://www.investing.com/news/transcripts/earnings-call-transcript-netflix-beats-q3-2026-estimates-but-shares-fall-after-hours-93CH-4961240" TargetMode="External"/><Relationship Id="rId86" Type="http://schemas.openxmlformats.org/officeDocument/2006/relationships/hyperlink" Target="https://api.nasdaq.com/api/analyst/NFLX/earnings-forecast" TargetMode="External"/><Relationship Id="rId87" Type="http://schemas.openxmlformats.org/officeDocument/2006/relationships/hyperlink" Target="https://www.thewrap.com/industry-news/business/netflix-stock-wells-fargo-hsbc-downgrade-engagement-trends-youtube-competition/" TargetMode="External"/><Relationship Id="rId88" Type="http://schemas.openxmlformats.org/officeDocument/2006/relationships/hyperlink" Target="https://www.mediapost.com/publications/article/417308/streaming-climbs-to-485-per-last-lame-duck-edition-of-nielsens-gauge" TargetMode="External"/><Relationship Id="rId89" Type="http://schemas.openxmlformats.org/officeDocument/2006/relationships/hyperlink" Target="https://www.nielsen.com/news-center/2026/tv-usage-kicks-usual-summer-slowdown-fueled-by-world-cup-and-streaming-in-nielsens-july-gauge-reports/" TargetMode="External"/><Relationship Id="rId90" Type="http://schemas.openxmlformats.org/officeDocument/2006/relationships/hyperlink" Target="https://adwave.com/resources/most-watched-streaming-service-q3-2026" TargetMode="External"/><Relationship Id="rId91" Type="http://schemas.openxmlformats.org/officeDocument/2006/relationships/hyperlink" Target="https://www.mediapost.com/publications/article/416087/" TargetMode="External"/><Relationship Id="rId92" Type="http://schemas.openxmlformats.org/officeDocument/2006/relationships/hyperlink" Target="https://www.nielsen.com/news-center/2026/the-gauge-poland-august-2026/" TargetMode="External"/><Relationship Id="rId93" Type="http://schemas.openxmlformats.org/officeDocument/2006/relationships/hyperlink" Target="https://www.thewrap.com/media-platforms/streaming/netflix-gta-6-extended-look-app-downloads/" TargetMode="External"/><Relationship Id="rId94" Type="http://schemas.openxmlformats.org/officeDocument/2006/relationships/hyperlink" Target="https://www.advanced-television.com/2026/02/18/forecast-netflix-to-take-nearly-10-of-ctv-ad-spend-in-2027/" TargetMode="External"/><Relationship Id="rId95" Type="http://schemas.openxmlformats.org/officeDocument/2006/relationships/hyperlink" Target="https://thewrap.com/media-platforms/tv/netflix-viewership-report-2026-takeaways" TargetMode="External"/><Relationship Id="rId96" Type="http://schemas.openxmlformats.org/officeDocument/2006/relationships/hyperlink" Target="https://senalnews.com/en/data/usa-where-do-cord-cutters-go-in-the-first-month-after-they-cancel-pay-tv" TargetMode="External"/><Relationship Id="rId97" Type="http://schemas.openxmlformats.org/officeDocument/2006/relationships/hyperlink" Target="https://finance.yahoo.com/markets/stocks/articles/netflix-cancellations-boycotts-buzz-online-110123208.html" TargetMode="External"/><Relationship Id="rId98" Type="http://schemas.openxmlformats.org/officeDocument/2006/relationships/hyperlink" Target="https://www.sec.gov/Archives/edgar/data/1065280/000106528026000033/ex991_q425.htm" TargetMode="External"/><Relationship Id="rId99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00" Type="http://schemas.openxmlformats.org/officeDocument/2006/relationships/hyperlink" Target="https://query1.finance.yahoo.com/v8/finance/chart/NFLX?range=5y&amp;interval=1wk" TargetMode="External"/><Relationship Id="rId101" Type="http://schemas.openxmlformats.org/officeDocument/2006/relationships/hyperlink" Target="https://pages.stern.nyu.edu/~adamodar/New_Home_Page/home.htm" TargetMode="External"/><Relationship Id="rId102" Type="http://schemas.openxmlformats.org/officeDocument/2006/relationships/hyperlink" Target="https://www.sec.gov/Archives/edgar/data/1437107/000119312526415169/d172296ds8pos.htm" TargetMode="External"/><Relationship Id="rId103" Type="http://schemas.openxmlformats.org/officeDocument/2006/relationships/hyperlink" Target="https://ppc.land/paramount-and-hbo-max-to-merge-into-one-streaming-giant-with-200m-subscribers/" TargetMode="External"/><Relationship Id="rId104" Type="http://schemas.openxmlformats.org/officeDocument/2006/relationships/hyperlink" Target="https://www.sec.gov/Archives/edgar/data/0001065280/000106528026000290/ex991_q326.htm" TargetMode="External"/><Relationship Id="rId105" Type="http://schemas.openxmlformats.org/officeDocument/2006/relationships/hyperlink" Target="https://www.sec.gov/Archives/edgar/data/1065280/000106528026000033/ex991_q425.htm" TargetMode="External"/><Relationship Id="rId106" Type="http://schemas.openxmlformats.org/officeDocument/2006/relationships/hyperlink" Target="https://www.sec.gov/Archives/edgar/data/1065280/000106528026000034/nflx-20251231.htm" TargetMode="External"/><Relationship Id="rId107" Type="http://schemas.openxmlformats.org/officeDocument/2006/relationships/hyperlink" Target="https://www.sec.gov/Archives/edgar/data/1065280/000106528026000212/nflx-20260630.htm" TargetMode="External"/><Relationship Id="rId108" Type="http://schemas.openxmlformats.org/officeDocument/2006/relationships/hyperlink" Target="https://api.nasdaq.com/api/analyst/NFLX/earnings-forecast" TargetMode="External"/><Relationship Id="rId109" Type="http://schemas.openxmlformats.org/officeDocument/2006/relationships/hyperlink" Target="https://api.twelvedata.com/time_series?symbol=NFLX&amp;interval=1month" TargetMode="External"/><Relationship Id="rId110" Type="http://schemas.openxmlformats.org/officeDocument/2006/relationships/hyperlink" Target="https://cryptobriefing.com/kalshi-traders-recession-odds-20-percent/" TargetMode="External"/><Relationship Id="rId111" Type="http://schemas.openxmlformats.org/officeDocument/2006/relationships/hyperlink" Target="https://econbrowser.com/archives/2026/03/betting-on-recession-2026-up-to-32-fm-21-pre-war" TargetMode="External"/><Relationship Id="rId112" Type="http://schemas.openxmlformats.org/officeDocument/2006/relationships/hyperlink" Target="https://defirate.com/prediction-markets/fed-decision-odds/snapshot/2026-09-29T1628/" TargetMode="External"/><Relationship Id="rId113" Type="http://schemas.openxmlformats.org/officeDocument/2006/relationships/hyperlink" Target="https://macrotrends.net/stocks/charts/NFLX/netflix/pe-ratio" TargetMode="External"/><Relationship Id="rId114" Type="http://schemas.openxmlformats.org/officeDocument/2006/relationships/hyperlink" Target="https://floridapsc.com/library/filings/2013/07457-2013/Support/Gulf&apos;s%20response%20to%20OPC&apos;s%201st%20POD,%20No.%2057/Jegadeesh%20and%20Titman%201993%20(140-167).pdf" TargetMode="External"/><Relationship Id="rId115" Type="http://schemas.openxmlformats.org/officeDocument/2006/relationships/hyperlink" Target="https://www.mediapost.com/publications/article/417308/" TargetMode="External"/><Relationship Id="rId116" Type="http://schemas.openxmlformats.org/officeDocument/2006/relationships/hyperlink" Target="https://www.mediapost.com/publications/article/416087/" TargetMode="External"/><Relationship Id="rId117" Type="http://schemas.openxmlformats.org/officeDocument/2006/relationships/hyperlink" Target="https://fred.stlouisfed.org/series/DGS10" TargetMode="External"/><Relationship Id="rId118" Type="http://schemas.openxmlformats.org/officeDocument/2006/relationships/hyperlink" Target="https://finance.yahoo.com/quote/NFLX/analysts" TargetMode="External"/><Relationship Id="rId119" Type="http://schemas.openxmlformats.org/officeDocument/2006/relationships/hyperlink" Target="https://www.bvresources.com/articles/bvwire/global-damodaran-revises-country-risk-framework-after-us-rating-downgrade" TargetMode="External"/><Relationship Id="rId120" Type="http://schemas.openxmlformats.org/officeDocument/2006/relationships/hyperlink" Target="https://news.bloomberglaw.com/ip-law/paramount-is-said-to-have-paid-2-8-billion-netflix-breakup-fee" TargetMode="External"/><Relationship Id="rId121" Type="http://schemas.openxmlformats.org/officeDocument/2006/relationships/hyperlink" Target="https://www.semafor.com/article/02/26/2026/netflix-says-no-thank-you-to-warner-bros-discovery" TargetMode="External"/><Relationship Id="rId122" Type="http://schemas.openxmlformats.org/officeDocument/2006/relationships/hyperlink" Target="https://www.hudson-labs.com/research/netflix-q3-2026-earnings-preview-nflx-revenue-guidance" TargetMode="External"/><Relationship Id="rId123" Type="http://schemas.openxmlformats.org/officeDocument/2006/relationships/hyperlink" Target="https://api.nasdaq.com/api/analyst/DIS/earnings-forecast" TargetMode="External"/><Relationship Id="rId124" Type="http://schemas.openxmlformats.org/officeDocument/2006/relationships/hyperlink" Target="https://www.axios.com/2019/07/17/netflix-stock-sinks-us-subscriber-loss" TargetMode="External"/><Relationship Id="rId125" Type="http://schemas.openxmlformats.org/officeDocument/2006/relationships/hyperlink" Target="https://benzinga.com/23/09/34453288/how-netflix-defied-odds-to-rebound-by-10-fueling-an-astonishing-47-surge-for-the-year-a-deep-dive-in" TargetMode="External"/><Relationship Id="rId126" Type="http://schemas.openxmlformats.org/officeDocument/2006/relationships/hyperlink" Target="https://data.sec.gov/api/xbrl/companyfacts/CIK0001065280.json" TargetMode="External"/><Relationship Id="rId127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28" Type="http://schemas.openxmlformats.org/officeDocument/2006/relationships/hyperlink" Target="https://query1.finance.yahoo.com/v8/finance/chart/NFLX?range=5y&amp;interval=1wk" TargetMode="External"/><Relationship Id="rId129" Type="http://schemas.openxmlformats.org/officeDocument/2006/relationships/hyperlink" Target="https://query1.finance.yahoo.com/v8/finance/chart/SPY?range=5y&amp;interval=1wk" TargetMode="External"/><Relationship Id="rId130" Type="http://schemas.openxmlformats.org/officeDocument/2006/relationships/hyperlink" Target="https://octagonai.co/news/paramount-warner-bros-merger-prediction-market-odds/" TargetMode="External"/><Relationship Id="rId131" Type="http://schemas.openxmlformats.org/officeDocument/2006/relationships/hyperlink" Target="https://api.nasdaq.com/api/analyst/GOOGL/earnings-forecast" TargetMode="External"/><Relationship Id="rId132" Type="http://schemas.openxmlformats.org/officeDocument/2006/relationships/hyperlink" Target="https://www.sec.gov/Archives/edgar/data/1065280/000106528026000290/ex991_q326.htm" TargetMode="External"/><Relationship Id="rId133" Type="http://schemas.openxmlformats.org/officeDocument/2006/relationships/hyperlink" Target="https://www.sec.gov/Archives/edgar/data/1065280/000106528026000034/nflx-20251231.htm" TargetMode="External"/><Relationship Id="rId134" Type="http://schemas.openxmlformats.org/officeDocument/2006/relationships/hyperlink" Target="https://www.sec.gov/Archives/edgar/data/1437107/000119312526415055/d200872d8k.htm" TargetMode="External"/><Relationship Id="rId135" Type="http://schemas.openxmlformats.org/officeDocument/2006/relationships/hyperlink" Target="https://ny1.com/nyc/all-boroughs/ap-top-news/2026/09/30/judge-approves-paramounts-settlement-with-states-over-warner-buyout-allowing-merger-to-soon-close" TargetMode="External"/><Relationship Id="rId136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37" Type="http://schemas.openxmlformats.org/officeDocument/2006/relationships/hyperlink" Target="https://api.nasdaq.com/api/analyst/NFLX/earnings-forecast" TargetMode="External"/><Relationship Id="rId138" Type="http://schemas.openxmlformats.org/officeDocument/2006/relationships/hyperlink" Target="https://api.nasdaq.com/api/analyst/META/earnings-forecast" TargetMode="External"/><Relationship Id="rId139" Type="http://schemas.openxmlformats.org/officeDocument/2006/relationships/hyperlink" Target="https://www.investing.com/news/transcripts/earnings-call-transcript-netflix-beats-q3-2026-estimates-but-shares-fall-after-hours-93CH-4961240" TargetMode="External"/><Relationship Id="rId140" Type="http://schemas.openxmlformats.org/officeDocument/2006/relationships/hyperlink" Target="https://data.sec.gov/api/xbrl/companyfacts/CIK0001065280.json" TargetMode="External"/><Relationship Id="rId141" Type="http://schemas.openxmlformats.org/officeDocument/2006/relationships/hyperlink" Target="https://query1.finance.yahoo.com/v8/finance/chart/NFLX" TargetMode="External"/><Relationship Id="rId142" Type="http://schemas.openxmlformats.org/officeDocument/2006/relationships/hyperlink" Target="https://data.sec.gov/submissions/CIK0001437107.json" TargetMode="External"/><Relationship Id="rId143" Type="http://schemas.openxmlformats.org/officeDocument/2006/relationships/hyperlink" Target="https://data.sec.gov/submissions/CIK0001428439.json" TargetMode="External"/><Relationship Id="rId144" Type="http://schemas.openxmlformats.org/officeDocument/2006/relationships/hyperlink" Target="https://data.sec.gov/submissions/CIK0001754301.json" TargetMode="External"/><Relationship Id="rId145" Type="http://schemas.openxmlformats.org/officeDocument/2006/relationships/hyperlink" Target="https://stockanalysis.com/stocks/nflx/forecast/" TargetMode="External"/><Relationship Id="rId146" Type="http://schemas.openxmlformats.org/officeDocument/2006/relationships/hyperlink" Target="https://www.mediapost.com/publications/article/417308/" TargetMode="External"/><Relationship Id="rId147" Type="http://schemas.openxmlformats.org/officeDocument/2006/relationships/hyperlink" Target="https://www.nielsen.com/news-center/2025/netflix-breaks-into-top-3-media-distributors-for-the-first-time-in-nielsens-june-2025-media-distributor-gauge/" TargetMode="External"/><Relationship Id="rId148" Type="http://schemas.openxmlformats.org/officeDocument/2006/relationships/hyperlink" Target="https://www.nielsen.com/news-center/2026/tv-usage-kicks-usual-summer-slowdown-fueled-by-world-cup-and-streaming-in-nielsens-july-gauge-reports/" TargetMode="External"/><Relationship Id="rId149" Type="http://schemas.openxmlformats.org/officeDocument/2006/relationships/hyperlink" Target="https://api.nasdaq.com/api/analyst/SPOT/earnings-forecast" TargetMode="External"/><Relationship Id="rId150" Type="http://schemas.openxmlformats.org/officeDocument/2006/relationships/hyperlink" Target="https://api.nasdaq.com/api/analyst/SONY/earnings-forecast" TargetMode="External"/><Relationship Id="rId151" Type="http://schemas.openxmlformats.org/officeDocument/2006/relationships/hyperlink" Target="https://www.sec.gov/Archives/edgar/data/1639920/000162828026066889/spot-20260930x6xk.htm" TargetMode="External"/><Relationship Id="rId152" Type="http://schemas.openxmlformats.org/officeDocument/2006/relationships/hyperlink" Target="https://www.sec.gov/Archives/edgar/data/313838/000110465926088915/tm2621477d1_6k.htm" TargetMode="External"/><Relationship Id="rId153" Type="http://schemas.openxmlformats.org/officeDocument/2006/relationships/hyperlink" Target="https://api.nasdaq.com/api/company/SPOT/earnings-surprise" TargetMode="External"/><Relationship Id="rId154" Type="http://schemas.openxmlformats.org/officeDocument/2006/relationships/hyperlink" Target="https://query1.finance.yahoo.com/v8/finance/chart/JPY=X" TargetMode="External"/><Relationship Id="rId155" Type="http://schemas.openxmlformats.org/officeDocument/2006/relationships/hyperlink" Target="https://api.nasdaq.com/api/analyst/GOOGL/earnings-forecast" TargetMode="External"/><Relationship Id="rId156" Type="http://schemas.openxmlformats.org/officeDocument/2006/relationships/hyperlink" Target="https://www.sec.gov/Archives/edgar/data/1744489/000174448926000056/fy2026_q3xerxex991.htm" TargetMode="External"/><Relationship Id="rId157" Type="http://schemas.openxmlformats.org/officeDocument/2006/relationships/hyperlink" Target="https://data.sec.gov/api/xbrl/companyfacts/CIK0001652044.json" TargetMode="External"/><Relationship Id="rId158" Type="http://schemas.openxmlformats.org/officeDocument/2006/relationships/hyperlink" Target="https://api.nasdaq.com/api/company/GOOGL/earnings-surprise" TargetMode="External"/><Relationship Id="rId159" Type="http://schemas.openxmlformats.org/officeDocument/2006/relationships/hyperlink" Target="https://data.sec.gov/api/xbrl/companyconcept/CIK0001326801/us-gaap/EarningsPerShareDiluted.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62.08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85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48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0.3414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64.2811254869293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72.726</v>
      </c>
      <c r="C18" s="13" t="n">
        <f aca="false">Methods!E8</f>
        <v>72.73</v>
      </c>
    </row>
    <row r="19" customFormat="false" ht="15" hidden="false" customHeight="false" outlineLevel="0" collapsed="false">
      <c r="A19" s="5" t="s">
        <v>30</v>
      </c>
      <c r="B19" s="13" t="n">
        <f aca="false">Methods!C12</f>
        <v>73.04</v>
      </c>
      <c r="C19" s="13" t="n">
        <f aca="false">Methods!E12</f>
        <v>73.04</v>
      </c>
    </row>
    <row r="20" customFormat="false" ht="15" hidden="false" customHeight="false" outlineLevel="0" collapsed="false">
      <c r="A20" s="5" t="s">
        <v>31</v>
      </c>
      <c r="B20" s="13" t="n">
        <f aca="false">Methods!C16</f>
        <v>72.432</v>
      </c>
      <c r="C20" s="13" t="n">
        <f aca="false">Methods!E16</f>
        <v>72.43</v>
      </c>
    </row>
    <row r="21" customFormat="false" ht="15" hidden="false" customHeight="false" outlineLevel="0" collapsed="false">
      <c r="A21" s="5" t="s">
        <v>32</v>
      </c>
      <c r="B21" s="13" t="n">
        <f aca="false">Methods!C21</f>
        <v>74.25</v>
      </c>
      <c r="C21" s="13" t="n">
        <f aca="false">Methods!E21</f>
        <v>74.25</v>
      </c>
    </row>
    <row r="22" customFormat="false" ht="15" hidden="false" customHeight="false" outlineLevel="0" collapsed="false">
      <c r="A22" s="5" t="s">
        <v>33</v>
      </c>
      <c r="B22" s="13" t="n">
        <f aca="false">Methods!C25</f>
        <v>74.286</v>
      </c>
      <c r="C22" s="13" t="n">
        <f aca="false">Methods!E25</f>
        <v>74.28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73.3468</v>
      </c>
      <c r="C23" s="15" t="n">
        <f aca="false">AVERAGE(C18:C22)</f>
        <v>73.346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73.04</v>
      </c>
      <c r="C24" s="16" t="n">
        <f aca="false">MEDIAN(C18:C22)</f>
        <v>73.04</v>
      </c>
    </row>
    <row r="25" customFormat="false" ht="147" hidden="false" customHeight="false" outlineLevel="0" collapsed="false">
      <c r="A25" s="14" t="s">
        <v>36</v>
      </c>
      <c r="C25" s="17" t="n">
        <v>76.22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0.227770618556701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65.8013213795681</v>
      </c>
      <c r="C29" s="6" t="n">
        <v>67.3753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84.391531714775</v>
      </c>
      <c r="C30" s="6" t="n">
        <v>67.22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44.0966815288274</v>
      </c>
      <c r="C31" s="6" t="n">
        <v>45.4527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50.9740405327604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48</v>
      </c>
      <c r="C33" s="21" t="n">
        <v>48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0.0599439655213936</v>
      </c>
      <c r="C34" s="18" t="n">
        <f aca="false">C29/Spot-1</f>
        <v>0.0852980025773196</v>
      </c>
    </row>
    <row r="35" customFormat="false" ht="15" hidden="false" customHeight="false" outlineLevel="0" collapsed="false">
      <c r="A35" s="5" t="s">
        <v>54</v>
      </c>
      <c r="C35" s="12" t="n">
        <v>0.588</v>
      </c>
    </row>
    <row r="36" customFormat="false" ht="23.85" hidden="false" customHeight="false" outlineLevel="0" collapsed="false">
      <c r="A36" s="5" t="s">
        <v>55</v>
      </c>
      <c r="C36" s="6" t="n">
        <v>69.9101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15.52</v>
      </c>
      <c r="B6" s="24" t="n">
        <f aca="false">LN(A6)</f>
        <v>2.74212951475507</v>
      </c>
      <c r="C6" s="25" t="n">
        <v>0.9998</v>
      </c>
      <c r="D6" s="25" t="n">
        <v>0.9983</v>
      </c>
      <c r="E6" s="25" t="n">
        <v>0.9985</v>
      </c>
      <c r="F6" s="25" t="n">
        <v>0.9977</v>
      </c>
      <c r="G6" s="25" t="n">
        <v>0.9961</v>
      </c>
      <c r="H6" s="25" t="n">
        <v>0.9992</v>
      </c>
      <c r="I6" s="24" t="n">
        <f aca="false">AVERAGE(D6:H6)</f>
        <v>0.99796</v>
      </c>
      <c r="J6" s="25" t="n">
        <v>0.9976</v>
      </c>
      <c r="K6" s="24" t="n">
        <f aca="false">IF(AND(Sup_Used=1,ISNUMBER(J6)),J6,I6)</f>
        <v>0.99796</v>
      </c>
      <c r="L6" s="24" t="n">
        <f aca="false">LN(MIN(MAX(K6,0.0001),0.9999)/(1-MIN(MAX(K6,0.0001),0.9999)))</f>
        <v>6.19276338749177</v>
      </c>
      <c r="M6" s="16" t="n">
        <f aca="false">A6*EXP(-Platt_Shift)</f>
        <v>15.52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0.99796</v>
      </c>
      <c r="P6" s="24" t="n">
        <f aca="false">LN(MIN(MAX(C6,0.0001),0.9999)/(1-MIN(MAX(C6,0.0001),0.9999)))</f>
        <v>8.51699317141368</v>
      </c>
      <c r="Q6" s="16" t="n">
        <f aca="false">IF(Analyst_Median&gt;0,A6*Market_Median/Analyst_Median,A6)</f>
        <v>11.7369772653782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0.999978427308329</v>
      </c>
      <c r="T6" s="24" t="n">
        <f aca="false">W_Mkt*C6+W_Agents*O6</f>
        <v>0.9991928</v>
      </c>
      <c r="U6" s="27" t="n">
        <f aca="false">(1-W_Analyst)*T6+W_Analyst*S6</f>
        <v>0.9991928</v>
      </c>
      <c r="V6" s="24" t="n">
        <f aca="false">LN(MIN(MAX(U6,0.0001),0.9999)/(1-MIN(MAX(U6,0.0001),0.9999)))</f>
        <v>7.12113156296366</v>
      </c>
      <c r="W6" s="25" t="n">
        <v>0.9998</v>
      </c>
    </row>
    <row r="7" customFormat="false" ht="15" hidden="false" customHeight="false" outlineLevel="0" collapsed="false">
      <c r="A7" s="6" t="n">
        <v>24.83</v>
      </c>
      <c r="B7" s="24" t="n">
        <f aca="false">LN(A7)</f>
        <v>3.21205259952008</v>
      </c>
      <c r="C7" s="25" t="n">
        <v>0.9916</v>
      </c>
      <c r="D7" s="25" t="n">
        <v>0.9965</v>
      </c>
      <c r="E7" s="25" t="n">
        <v>0.9944</v>
      </c>
      <c r="F7" s="25" t="n">
        <v>0.992</v>
      </c>
      <c r="G7" s="25" t="n">
        <v>0.9877</v>
      </c>
      <c r="H7" s="25" t="n">
        <v>0.9976</v>
      </c>
      <c r="I7" s="24" t="n">
        <f aca="false">AVERAGE(D7:H7)</f>
        <v>0.99364</v>
      </c>
      <c r="J7" s="25" t="n">
        <v>0.9933</v>
      </c>
      <c r="K7" s="24" t="n">
        <f aca="false">IF(AND(Sup_Used=1,ISNUMBER(J7)),J7,I7)</f>
        <v>0.99364</v>
      </c>
      <c r="L7" s="24" t="n">
        <f aca="false">LN(MIN(MAX(K7,0.0001),0.9999)/(1-MIN(MAX(K7,0.0001),0.9999)))</f>
        <v>5.05134659066583</v>
      </c>
      <c r="M7" s="16" t="n">
        <f aca="false">A7*EXP(-Platt_Shift)</f>
        <v>24.83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0.99364</v>
      </c>
      <c r="P7" s="24" t="n">
        <f aca="false">LN(MIN(MAX(C7,0.0001),0.9999)/(1-MIN(MAX(C7,0.0001),0.9999)))</f>
        <v>4.77108809431177</v>
      </c>
      <c r="Q7" s="16" t="n">
        <f aca="false">IF(Analyst_Median&gt;0,A7*Market_Median/Analyst_Median,A7)</f>
        <v>18.7776511275348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0.999087268508998</v>
      </c>
      <c r="T7" s="24" t="n">
        <f aca="false">W_Mkt*C7+W_Agents*O7</f>
        <v>0.9922732</v>
      </c>
      <c r="U7" s="27" t="n">
        <f aca="false">(1-W_Analyst)*T7+W_Analyst*S7</f>
        <v>0.9922732</v>
      </c>
      <c r="V7" s="24" t="n">
        <f aca="false">LN(MIN(MAX(U7,0.0001),0.9999)/(1-MIN(MAX(U7,0.0001),0.9999)))</f>
        <v>4.85530366724418</v>
      </c>
      <c r="W7" s="25" t="n">
        <v>0.9938</v>
      </c>
    </row>
    <row r="8" customFormat="false" ht="15" hidden="false" customHeight="false" outlineLevel="0" collapsed="false">
      <c r="A8" s="6" t="n">
        <v>31.04</v>
      </c>
      <c r="B8" s="24" t="n">
        <f aca="false">LN(A8)</f>
        <v>3.43527669531502</v>
      </c>
      <c r="C8" s="25" t="n">
        <v>0.9665</v>
      </c>
      <c r="D8" s="25" t="n">
        <v>0.9881</v>
      </c>
      <c r="E8" s="25" t="n">
        <v>0.9848</v>
      </c>
      <c r="F8" s="25" t="n">
        <v>0.9805</v>
      </c>
      <c r="G8" s="25" t="n">
        <v>0.9736</v>
      </c>
      <c r="H8" s="25" t="n">
        <v>0.9911</v>
      </c>
      <c r="I8" s="24" t="n">
        <f aca="false">AVERAGE(D8:H8)</f>
        <v>0.98362</v>
      </c>
      <c r="J8" s="25" t="n">
        <v>0.9833</v>
      </c>
      <c r="K8" s="24" t="n">
        <f aca="false">IF(AND(Sup_Used=1,ISNUMBER(J8)),J8,I8)</f>
        <v>0.98362</v>
      </c>
      <c r="L8" s="24" t="n">
        <f aca="false">LN(MIN(MAX(K8,0.0001),0.9999)/(1-MIN(MAX(K8,0.0001),0.9999)))</f>
        <v>4.09517856517928</v>
      </c>
      <c r="M8" s="16" t="n">
        <f aca="false">A8*EXP(-Platt_Shift)</f>
        <v>31.04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0.98362</v>
      </c>
      <c r="P8" s="24" t="n">
        <f aca="false">LN(MIN(MAX(C8,0.0001),0.9999)/(1-MIN(MAX(C8,0.0001),0.9999)))</f>
        <v>3.36213585981737</v>
      </c>
      <c r="Q8" s="16" t="n">
        <f aca="false">IF(Analyst_Median&gt;0,A8*Market_Median/Analyst_Median,A8)</f>
        <v>23.4739545307563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0.994615147821957</v>
      </c>
      <c r="T8" s="24" t="n">
        <f aca="false">W_Mkt*C8+W_Agents*O8</f>
        <v>0.9721496</v>
      </c>
      <c r="U8" s="27" t="n">
        <f aca="false">(1-W_Analyst)*T8+W_Analyst*S8</f>
        <v>0.9721496</v>
      </c>
      <c r="V8" s="24" t="n">
        <f aca="false">LN(MIN(MAX(U8,0.0001),0.9999)/(1-MIN(MAX(U8,0.0001),0.9999)))</f>
        <v>3.55266237315537</v>
      </c>
      <c r="W8" s="25" t="n">
        <v>0.9755</v>
      </c>
    </row>
    <row r="9" customFormat="false" ht="15" hidden="false" customHeight="false" outlineLevel="0" collapsed="false">
      <c r="A9" s="6" t="n">
        <v>37.25</v>
      </c>
      <c r="B9" s="24" t="n">
        <f aca="false">LN(A9)</f>
        <v>3.61765194482557</v>
      </c>
      <c r="C9" s="25" t="n">
        <v>0.915</v>
      </c>
      <c r="D9" s="25" t="n">
        <v>0.9593</v>
      </c>
      <c r="E9" s="25" t="n">
        <v>0.9556</v>
      </c>
      <c r="F9" s="25" t="n">
        <v>0.9498</v>
      </c>
      <c r="G9" s="25" t="n">
        <v>0.9435</v>
      </c>
      <c r="H9" s="25" t="n">
        <v>0.968</v>
      </c>
      <c r="I9" s="24" t="n">
        <f aca="false">AVERAGE(D9:H9)</f>
        <v>0.95524</v>
      </c>
      <c r="J9" s="25" t="n">
        <v>0.955</v>
      </c>
      <c r="K9" s="24" t="n">
        <f aca="false">IF(AND(Sup_Used=1,ISNUMBER(J9)),J9,I9)</f>
        <v>0.95524</v>
      </c>
      <c r="L9" s="24" t="n">
        <f aca="false">LN(MIN(MAX(K9,0.0001),0.9999)/(1-MIN(MAX(K9,0.0001),0.9999)))</f>
        <v>3.06064773436474</v>
      </c>
      <c r="M9" s="16" t="n">
        <f aca="false">A9*EXP(-Platt_Shift)</f>
        <v>37.25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0.95524</v>
      </c>
      <c r="P9" s="24" t="n">
        <f aca="false">LN(MIN(MAX(C9,0.0001),0.9999)/(1-MIN(MAX(C9,0.0001),0.9999)))</f>
        <v>2.37627280878521</v>
      </c>
      <c r="Q9" s="16" t="n">
        <f aca="false">IF(Analyst_Median&gt;0,A9*Market_Median/Analyst_Median,A9)</f>
        <v>28.1702579339779</v>
      </c>
      <c r="R9" s="26" t="n">
        <f aca="false">MIN(MAX(IFERROR(MATCH(Q9,Distribution!$A$6:$A$20,1),1),1),14)</f>
        <v>2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0.981556835102019</v>
      </c>
      <c r="T9" s="24" t="n">
        <f aca="false">W_Mkt*C9+W_Agents*O9</f>
        <v>0.9282792</v>
      </c>
      <c r="U9" s="27" t="n">
        <f aca="false">(1-W_Analyst)*T9+W_Analyst*S9</f>
        <v>0.9282792</v>
      </c>
      <c r="V9" s="24" t="n">
        <f aca="false">LN(MIN(MAX(U9,0.0001),0.9999)/(1-MIN(MAX(U9,0.0001),0.9999)))</f>
        <v>2.56055174644085</v>
      </c>
      <c r="W9" s="25" t="n">
        <v>0.9365</v>
      </c>
    </row>
    <row r="10" customFormat="false" ht="15" hidden="false" customHeight="false" outlineLevel="0" collapsed="false">
      <c r="A10" s="6" t="n">
        <v>43.46</v>
      </c>
      <c r="B10" s="24" t="n">
        <f aca="false">LN(A10)</f>
        <v>3.77184097482828</v>
      </c>
      <c r="C10" s="25" t="n">
        <v>0.8376</v>
      </c>
      <c r="D10" s="25" t="n">
        <v>0.908</v>
      </c>
      <c r="E10" s="25" t="n">
        <v>0.8934</v>
      </c>
      <c r="F10" s="25" t="n">
        <v>0.8899</v>
      </c>
      <c r="G10" s="25" t="n">
        <v>0.8881</v>
      </c>
      <c r="H10" s="25" t="n">
        <v>0.9213</v>
      </c>
      <c r="I10" s="24" t="n">
        <f aca="false">AVERAGE(D10:H10)</f>
        <v>0.90014</v>
      </c>
      <c r="J10" s="25" t="n">
        <v>0.8999</v>
      </c>
      <c r="K10" s="24" t="n">
        <f aca="false">IF(AND(Sup_Used=1,ISNUMBER(J10)),J10,I10)</f>
        <v>0.90014</v>
      </c>
      <c r="L10" s="24" t="n">
        <f aca="false">LN(MIN(MAX(K10,0.0001),0.9999)/(1-MIN(MAX(K10,0.0001),0.9999)))</f>
        <v>2.19878110170989</v>
      </c>
      <c r="M10" s="16" t="n">
        <f aca="false">A10*EXP(-Platt_Shift)</f>
        <v>43.46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0.90014</v>
      </c>
      <c r="P10" s="24" t="n">
        <f aca="false">LN(MIN(MAX(C10,0.0001),0.9999)/(1-MIN(MAX(C10,0.0001),0.9999)))</f>
        <v>1.64047823182875</v>
      </c>
      <c r="Q10" s="16" t="n">
        <f aca="false">IF(Analyst_Median&gt;0,A10*Market_Median/Analyst_Median,A10)</f>
        <v>32.8665613371994</v>
      </c>
      <c r="R10" s="26" t="n">
        <f aca="false">MIN(MAX(IFERROR(MATCH(Q10,Distribution!$A$6:$A$20,1),1),1),14)</f>
        <v>3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0.954913755779197</v>
      </c>
      <c r="T10" s="24" t="n">
        <f aca="false">W_Mkt*C10+W_Agents*O10</f>
        <v>0.8582382</v>
      </c>
      <c r="U10" s="27" t="n">
        <f aca="false">(1-W_Analyst)*T10+W_Analyst*S10</f>
        <v>0.8582382</v>
      </c>
      <c r="V10" s="24" t="n">
        <f aca="false">LN(MIN(MAX(U10,0.0001),0.9999)/(1-MIN(MAX(U10,0.0001),0.9999)))</f>
        <v>1.80073349904254</v>
      </c>
      <c r="W10" s="25" t="n">
        <v>0.8743</v>
      </c>
    </row>
    <row r="11" customFormat="false" ht="15" hidden="false" customHeight="false" outlineLevel="0" collapsed="false">
      <c r="A11" s="6" t="n">
        <v>49.66</v>
      </c>
      <c r="B11" s="24" t="n">
        <f aca="false">LN(A11)</f>
        <v>3.90519978008002</v>
      </c>
      <c r="C11" s="25" t="n">
        <v>0.7418</v>
      </c>
      <c r="D11" s="25" t="n">
        <v>0.834</v>
      </c>
      <c r="E11" s="25" t="n">
        <v>0.8061</v>
      </c>
      <c r="F11" s="25" t="n">
        <v>0.8084</v>
      </c>
      <c r="G11" s="25" t="n">
        <v>0.801</v>
      </c>
      <c r="H11" s="25" t="n">
        <v>0.8491</v>
      </c>
      <c r="I11" s="24" t="n">
        <f aca="false">AVERAGE(D11:H11)</f>
        <v>0.81972</v>
      </c>
      <c r="J11" s="25" t="n">
        <v>0.82</v>
      </c>
      <c r="K11" s="24" t="n">
        <f aca="false">IF(AND(Sup_Used=1,ISNUMBER(J11)),J11,I11)</f>
        <v>0.81972</v>
      </c>
      <c r="L11" s="24" t="n">
        <f aca="false">LN(MIN(MAX(K11,0.0001),0.9999)/(1-MIN(MAX(K11,0.0001),0.9999)))</f>
        <v>1.51445162070931</v>
      </c>
      <c r="M11" s="16" t="n">
        <f aca="false">A11*EXP(-Platt_Shift)</f>
        <v>49.66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0.81972</v>
      </c>
      <c r="P11" s="24" t="n">
        <f aca="false">LN(MIN(MAX(C11,0.0001),0.9999)/(1-MIN(MAX(C11,0.0001),0.9999)))</f>
        <v>1.05534518664295</v>
      </c>
      <c r="Q11" s="16" t="n">
        <f aca="false">IF(Analyst_Median&gt;0,A11*Market_Median/Analyst_Median,A11)</f>
        <v>37.5553022550695</v>
      </c>
      <c r="R11" s="26" t="n">
        <f aca="false">MIN(MAX(IFERROR(MATCH(Q11,Distribution!$A$6:$A$20,1),1),1),14)</f>
        <v>4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0.911921102889826</v>
      </c>
      <c r="T11" s="24" t="n">
        <f aca="false">W_Mkt*C11+W_Agents*O11</f>
        <v>0.7675136</v>
      </c>
      <c r="U11" s="27" t="n">
        <f aca="false">(1-W_Analyst)*T11+W_Analyst*S11</f>
        <v>0.7675136</v>
      </c>
      <c r="V11" s="24" t="n">
        <f aca="false">LN(MIN(MAX(U11,0.0001),0.9999)/(1-MIN(MAX(U11,0.0001),0.9999)))</f>
        <v>1.19432447048119</v>
      </c>
      <c r="W11" s="25" t="n">
        <v>0.7909</v>
      </c>
    </row>
    <row r="12" customFormat="false" ht="15" hidden="false" customHeight="false" outlineLevel="0" collapsed="false">
      <c r="A12" s="6" t="n">
        <v>55.87</v>
      </c>
      <c r="B12" s="24" t="n">
        <f aca="false">LN(A12)</f>
        <v>4.02302756347106</v>
      </c>
      <c r="C12" s="25" t="n">
        <v>0.6378</v>
      </c>
      <c r="D12" s="25" t="n">
        <v>0.7367</v>
      </c>
      <c r="E12" s="25" t="n">
        <v>0.7055</v>
      </c>
      <c r="F12" s="25" t="n">
        <v>0.709</v>
      </c>
      <c r="G12" s="25" t="n">
        <v>0.701</v>
      </c>
      <c r="H12" s="25" t="n">
        <v>0.7561</v>
      </c>
      <c r="I12" s="24" t="n">
        <f aca="false">AVERAGE(D12:H12)</f>
        <v>0.72166</v>
      </c>
      <c r="J12" s="25" t="n">
        <v>0.7217</v>
      </c>
      <c r="K12" s="24" t="n">
        <f aca="false">IF(AND(Sup_Used=1,ISNUMBER(J12)),J12,I12)</f>
        <v>0.72166</v>
      </c>
      <c r="L12" s="24" t="n">
        <f aca="false">LN(MIN(MAX(K12,0.0001),0.9999)/(1-MIN(MAX(K12,0.0001),0.9999)))</f>
        <v>0.952710725858815</v>
      </c>
      <c r="M12" s="16" t="n">
        <f aca="false">A12*EXP(-Platt_Shift)</f>
        <v>55.87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0.72166</v>
      </c>
      <c r="P12" s="24" t="n">
        <f aca="false">LN(MIN(MAX(C12,0.0001),0.9999)/(1-MIN(MAX(C12,0.0001),0.9999)))</f>
        <v>0.565828209126644</v>
      </c>
      <c r="Q12" s="16" t="n">
        <f aca="false">IF(Analyst_Median&gt;0,A12*Market_Median/Analyst_Median,A12)</f>
        <v>42.2516056582911</v>
      </c>
      <c r="R12" s="26" t="n">
        <f aca="false">MIN(MAX(IFERROR(MATCH(Q12,Distribution!$A$6:$A$20,1),1),1),14)</f>
        <v>4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0.85508368018713</v>
      </c>
      <c r="T12" s="24" t="n">
        <f aca="false">W_Mkt*C12+W_Agents*O12</f>
        <v>0.6654738</v>
      </c>
      <c r="U12" s="27" t="n">
        <f aca="false">(1-W_Analyst)*T12+W_Analyst*S12</f>
        <v>0.6654738</v>
      </c>
      <c r="V12" s="24" t="n">
        <f aca="false">LN(MIN(MAX(U12,0.0001),0.9999)/(1-MIN(MAX(U12,0.0001),0.9999)))</f>
        <v>0.687784065804159</v>
      </c>
      <c r="W12" s="25" t="n">
        <v>0.6926</v>
      </c>
    </row>
    <row r="13" customFormat="false" ht="15" hidden="false" customHeight="false" outlineLevel="0" collapsed="false">
      <c r="A13" s="6" t="n">
        <v>62.08</v>
      </c>
      <c r="B13" s="24" t="n">
        <f aca="false">LN(A13)</f>
        <v>4.12842387587496</v>
      </c>
      <c r="C13" s="25" t="n">
        <v>0.5349</v>
      </c>
      <c r="D13" s="25" t="n">
        <v>0.6204</v>
      </c>
      <c r="E13" s="25" t="n">
        <v>0.5985</v>
      </c>
      <c r="F13" s="25" t="n">
        <v>0.6056</v>
      </c>
      <c r="G13" s="25" t="n">
        <v>0.5987</v>
      </c>
      <c r="H13" s="25" t="n">
        <v>0.6496</v>
      </c>
      <c r="I13" s="24" t="n">
        <f aca="false">AVERAGE(D13:H13)</f>
        <v>0.61456</v>
      </c>
      <c r="J13" s="25" t="n">
        <v>0.6146</v>
      </c>
      <c r="K13" s="24" t="n">
        <f aca="false">IF(AND(Sup_Used=1,ISNUMBER(J13)),J13,I13)</f>
        <v>0.61456</v>
      </c>
      <c r="L13" s="24" t="n">
        <f aca="false">LN(MIN(MAX(K13,0.0001),0.9999)/(1-MIN(MAX(K13,0.0001),0.9999)))</f>
        <v>0.466521025731033</v>
      </c>
      <c r="M13" s="16" t="n">
        <f aca="false">A13*EXP(-Platt_Shift)</f>
        <v>62.08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0.61456</v>
      </c>
      <c r="P13" s="24" t="n">
        <f aca="false">LN(MIN(MAX(C13,0.0001),0.9999)/(1-MIN(MAX(C13,0.0001),0.9999)))</f>
        <v>0.139827377307153</v>
      </c>
      <c r="Q13" s="16" t="n">
        <f aca="false">IF(Analyst_Median&gt;0,A13*Market_Median/Analyst_Median,A13)</f>
        <v>46.9479090615126</v>
      </c>
      <c r="R13" s="26" t="n">
        <f aca="false">MIN(MAX(IFERROR(MATCH(Q13,Distribution!$A$6:$A$20,1),1),1),14)</f>
        <v>5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0.786131211496377</v>
      </c>
      <c r="T13" s="24" t="n">
        <f aca="false">W_Mkt*C13+W_Agents*O13</f>
        <v>0.5611878</v>
      </c>
      <c r="U13" s="27" t="n">
        <f aca="false">(1-W_Analyst)*T13+W_Analyst*S13</f>
        <v>0.5611878</v>
      </c>
      <c r="V13" s="24" t="n">
        <f aca="false">LN(MIN(MAX(U13,0.0001),0.9999)/(1-MIN(MAX(U13,0.0001),0.9999)))</f>
        <v>0.245984077747635</v>
      </c>
      <c r="W13" s="25" t="n">
        <v>0.588</v>
      </c>
    </row>
    <row r="14" customFormat="false" ht="15" hidden="false" customHeight="false" outlineLevel="0" collapsed="false">
      <c r="A14" s="6" t="n">
        <v>68.29</v>
      </c>
      <c r="B14" s="24" t="n">
        <f aca="false">LN(A14)</f>
        <v>4.223763342973</v>
      </c>
      <c r="C14" s="25" t="n">
        <v>0.4396</v>
      </c>
      <c r="D14" s="25" t="n">
        <v>0.4967</v>
      </c>
      <c r="E14" s="25" t="n">
        <v>0.4872</v>
      </c>
      <c r="F14" s="25" t="n">
        <v>0.4997</v>
      </c>
      <c r="G14" s="25" t="n">
        <v>0.4963</v>
      </c>
      <c r="H14" s="25" t="n">
        <v>0.5403</v>
      </c>
      <c r="I14" s="24" t="n">
        <f aca="false">AVERAGE(D14:H14)</f>
        <v>0.50404</v>
      </c>
      <c r="J14" s="25" t="n">
        <v>0.5042</v>
      </c>
      <c r="K14" s="24" t="n">
        <f aca="false">IF(AND(Sup_Used=1,ISNUMBER(J14)),J14,I14)</f>
        <v>0.50404</v>
      </c>
      <c r="L14" s="24" t="n">
        <f aca="false">LN(MIN(MAX(K14,0.0001),0.9999)/(1-MIN(MAX(K14,0.0001),0.9999)))</f>
        <v>0.0161603516898512</v>
      </c>
      <c r="M14" s="16" t="n">
        <f aca="false">A14*EXP(-Platt_Shift)</f>
        <v>68.29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0.50404</v>
      </c>
      <c r="P14" s="24" t="n">
        <f aca="false">LN(MIN(MAX(C14,0.0001),0.9999)/(1-MIN(MAX(C14,0.0001),0.9999)))</f>
        <v>-0.242785591933386</v>
      </c>
      <c r="Q14" s="16" t="n">
        <f aca="false">IF(Analyst_Median&gt;0,A14*Market_Median/Analyst_Median,A14)</f>
        <v>51.6442124647342</v>
      </c>
      <c r="R14" s="26" t="n">
        <f aca="false">MIN(MAX(IFERROR(MATCH(Q14,Distribution!$A$6:$A$20,1),1),1),14)</f>
        <v>6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0.709421940600457</v>
      </c>
      <c r="T14" s="24" t="n">
        <f aca="false">W_Mkt*C14+W_Agents*O14</f>
        <v>0.4608652</v>
      </c>
      <c r="U14" s="27" t="n">
        <f aca="false">(1-W_Analyst)*T14+W_Analyst*S14</f>
        <v>0.4608652</v>
      </c>
      <c r="V14" s="24" t="n">
        <f aca="false">LN(MIN(MAX(U14,0.0001),0.9999)/(1-MIN(MAX(U14,0.0001),0.9999)))</f>
        <v>-0.156860039977355</v>
      </c>
      <c r="W14" s="25" t="n">
        <v>0.4854</v>
      </c>
    </row>
    <row r="15" customFormat="false" ht="15" hidden="false" customHeight="false" outlineLevel="0" collapsed="false">
      <c r="A15" s="6" t="n">
        <v>74.5</v>
      </c>
      <c r="B15" s="24" t="n">
        <f aca="false">LN(A15)</f>
        <v>4.31079912538551</v>
      </c>
      <c r="C15" s="25" t="n">
        <v>0.3554</v>
      </c>
      <c r="D15" s="25" t="n">
        <v>0.3796</v>
      </c>
      <c r="E15" s="25" t="n">
        <v>0.3829</v>
      </c>
      <c r="F15" s="25" t="n">
        <v>0.3993</v>
      </c>
      <c r="G15" s="25" t="n">
        <v>0.393</v>
      </c>
      <c r="H15" s="25" t="n">
        <v>0.4364</v>
      </c>
      <c r="I15" s="24" t="n">
        <f aca="false">AVERAGE(D15:H15)</f>
        <v>0.39824</v>
      </c>
      <c r="J15" s="25" t="n">
        <v>0.3985</v>
      </c>
      <c r="K15" s="24" t="n">
        <f aca="false">IF(AND(Sup_Used=1,ISNUMBER(J15)),J15,I15)</f>
        <v>0.39824</v>
      </c>
      <c r="L15" s="24" t="n">
        <f aca="false">LN(MIN(MAX(K15,0.0001),0.9999)/(1-MIN(MAX(K15,0.0001),0.9999)))</f>
        <v>-0.412803856102744</v>
      </c>
      <c r="M15" s="16" t="n">
        <f aca="false">A15*EXP(-Platt_Shift)</f>
        <v>74.5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0.39824</v>
      </c>
      <c r="P15" s="24" t="n">
        <f aca="false">LN(MIN(MAX(C15,0.0001),0.9999)/(1-MIN(MAX(C15,0.0001),0.9999)))</f>
        <v>-0.595386053660787</v>
      </c>
      <c r="Q15" s="16" t="n">
        <f aca="false">IF(Analyst_Median&gt;0,A15*Market_Median/Analyst_Median,A15)</f>
        <v>56.3405158679557</v>
      </c>
      <c r="R15" s="26" t="n">
        <f aca="false">MIN(MAX(IFERROR(MATCH(Q15,Distribution!$A$6:$A$20,1),1),1),14)</f>
        <v>7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0.629933477237131</v>
      </c>
      <c r="T15" s="24" t="n">
        <f aca="false">W_Mkt*C15+W_Agents*O15</f>
        <v>0.3695372</v>
      </c>
      <c r="U15" s="27" t="n">
        <f aca="false">(1-W_Analyst)*T15+W_Analyst*S15</f>
        <v>0.3695372</v>
      </c>
      <c r="V15" s="24" t="n">
        <f aca="false">LN(MIN(MAX(U15,0.0001),0.9999)/(1-MIN(MAX(U15,0.0001),0.9999)))</f>
        <v>-0.534202740960642</v>
      </c>
      <c r="W15" s="25" t="n">
        <v>0.3868</v>
      </c>
    </row>
    <row r="16" customFormat="false" ht="15" hidden="false" customHeight="false" outlineLevel="0" collapsed="false">
      <c r="A16" s="6" t="n">
        <v>83.81</v>
      </c>
      <c r="B16" s="24" t="n">
        <f aca="false">LN(A16)</f>
        <v>4.42855233211082</v>
      </c>
      <c r="C16" s="25" t="n">
        <v>0.2523</v>
      </c>
      <c r="D16" s="25" t="n">
        <v>0.236</v>
      </c>
      <c r="E16" s="25" t="n">
        <v>0.2519</v>
      </c>
      <c r="F16" s="25" t="n">
        <v>0.2703</v>
      </c>
      <c r="G16" s="25" t="n">
        <v>0.2609</v>
      </c>
      <c r="H16" s="25" t="n">
        <v>0.3016</v>
      </c>
      <c r="I16" s="24" t="n">
        <f aca="false">AVERAGE(D16:H16)</f>
        <v>0.26414</v>
      </c>
      <c r="J16" s="25" t="n">
        <v>0.264</v>
      </c>
      <c r="K16" s="24" t="n">
        <f aca="false">IF(AND(Sup_Used=1,ISNUMBER(J16)),J16,I16)</f>
        <v>0.26414</v>
      </c>
      <c r="L16" s="24" t="n">
        <f aca="false">LN(MIN(MAX(K16,0.0001),0.9999)/(1-MIN(MAX(K16,0.0001),0.9999)))</f>
        <v>-1.02456061762829</v>
      </c>
      <c r="M16" s="16" t="n">
        <f aca="false">A16*EXP(-Platt_Shift)</f>
        <v>83.81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0.26414</v>
      </c>
      <c r="P16" s="24" t="n">
        <f aca="false">LN(MIN(MAX(C16,0.0001),0.9999)/(1-MIN(MAX(C16,0.0001),0.9999)))</f>
        <v>-1.08638297235886</v>
      </c>
      <c r="Q16" s="16" t="n">
        <f aca="false">IF(Analyst_Median&gt;0,A16*Market_Median/Analyst_Median,A16)</f>
        <v>63.3811897301123</v>
      </c>
      <c r="R16" s="26" t="n">
        <f aca="false">MIN(MAX(IFERROR(MATCH(Q16,Distribution!$A$6:$A$20,1),1),1),14)</f>
        <v>8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0.514141553284749</v>
      </c>
      <c r="T16" s="24" t="n">
        <f aca="false">W_Mkt*C16+W_Agents*O16</f>
        <v>0.2562072</v>
      </c>
      <c r="U16" s="27" t="n">
        <f aca="false">(1-W_Analyst)*T16+W_Analyst*S16</f>
        <v>0.2562072</v>
      </c>
      <c r="V16" s="24" t="n">
        <f aca="false">LN(MIN(MAX(U16,0.0001),0.9999)/(1-MIN(MAX(U16,0.0001),0.9999)))</f>
        <v>-1.06577600931036</v>
      </c>
      <c r="W16" s="25" t="n">
        <v>0.2385</v>
      </c>
    </row>
    <row r="17" customFormat="false" ht="15" hidden="false" customHeight="false" outlineLevel="0" collapsed="false">
      <c r="A17" s="6" t="n">
        <v>93.12</v>
      </c>
      <c r="B17" s="24" t="n">
        <f aca="false">LN(A17)</f>
        <v>4.53388898398313</v>
      </c>
      <c r="C17" s="25" t="n">
        <v>0.1756</v>
      </c>
      <c r="D17" s="25" t="n">
        <v>0.1389</v>
      </c>
      <c r="E17" s="25" t="n">
        <v>0.1589</v>
      </c>
      <c r="F17" s="25" t="n">
        <v>0.1739</v>
      </c>
      <c r="G17" s="25" t="n">
        <v>0.1639</v>
      </c>
      <c r="H17" s="25" t="n">
        <v>0.1998</v>
      </c>
      <c r="I17" s="24" t="n">
        <f aca="false">AVERAGE(D17:H17)</f>
        <v>0.16708</v>
      </c>
      <c r="J17" s="25" t="n">
        <v>0.1669</v>
      </c>
      <c r="K17" s="24" t="n">
        <f aca="false">IF(AND(Sup_Used=1,ISNUMBER(J17)),J17,I17)</f>
        <v>0.16708</v>
      </c>
      <c r="L17" s="24" t="n">
        <f aca="false">LN(MIN(MAX(K17,0.0001),0.9999)/(1-MIN(MAX(K17,0.0001),0.9999)))</f>
        <v>-1.60646485951052</v>
      </c>
      <c r="M17" s="16" t="n">
        <f aca="false">A17*EXP(-Platt_Shift)</f>
        <v>93.12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0.16708</v>
      </c>
      <c r="P17" s="24" t="n">
        <f aca="false">LN(MIN(MAX(C17,0.0001),0.9999)/(1-MIN(MAX(C17,0.0001),0.9999)))</f>
        <v>-1.54644716781529</v>
      </c>
      <c r="Q17" s="16" t="n">
        <f aca="false">IF(Analyst_Median&gt;0,A17*Market_Median/Analyst_Median,A17)</f>
        <v>70.4218635922689</v>
      </c>
      <c r="R17" s="26" t="n">
        <f aca="false">MIN(MAX(IFERROR(MATCH(Q17,Distribution!$A$6:$A$20,1),1),1),14)</f>
        <v>9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0.409188368818827</v>
      </c>
      <c r="T17" s="24" t="n">
        <f aca="false">W_Mkt*C17+W_Agents*O17</f>
        <v>0.1727884</v>
      </c>
      <c r="U17" s="27" t="n">
        <f aca="false">(1-W_Analyst)*T17+W_Analyst*S17</f>
        <v>0.1727884</v>
      </c>
      <c r="V17" s="24" t="n">
        <f aca="false">LN(MIN(MAX(U17,0.0001),0.9999)/(1-MIN(MAX(U17,0.0001),0.9999)))</f>
        <v>-1.56599280237964</v>
      </c>
      <c r="W17" s="25" t="n">
        <v>0.1424</v>
      </c>
    </row>
    <row r="18" customFormat="false" ht="15" hidden="false" customHeight="false" outlineLevel="0" collapsed="false">
      <c r="A18" s="6" t="n">
        <v>108.64</v>
      </c>
      <c r="B18" s="24" t="n">
        <f aca="false">LN(A18)</f>
        <v>4.68803966381039</v>
      </c>
      <c r="C18" s="25" t="n">
        <v>0.0934</v>
      </c>
      <c r="D18" s="25" t="n">
        <v>0.0508</v>
      </c>
      <c r="E18" s="25" t="n">
        <v>0.0632</v>
      </c>
      <c r="F18" s="25" t="n">
        <v>0.0751</v>
      </c>
      <c r="G18" s="25" t="n">
        <v>0.0688</v>
      </c>
      <c r="H18" s="25" t="n">
        <v>0.0917</v>
      </c>
      <c r="I18" s="24" t="n">
        <f aca="false">AVERAGE(D18:H18)</f>
        <v>0.06992</v>
      </c>
      <c r="J18" s="25" t="n">
        <v>0.0703</v>
      </c>
      <c r="K18" s="24" t="n">
        <f aca="false">IF(AND(Sup_Used=1,ISNUMBER(J18)),J18,I18)</f>
        <v>0.06992</v>
      </c>
      <c r="L18" s="24" t="n">
        <f aca="false">LN(MIN(MAX(K18,0.0001),0.9999)/(1-MIN(MAX(K18,0.0001),0.9999)))</f>
        <v>-2.58791887260576</v>
      </c>
      <c r="M18" s="16" t="n">
        <f aca="false">A18*EXP(-Platt_Shift)</f>
        <v>108.64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0.06992</v>
      </c>
      <c r="P18" s="24" t="n">
        <f aca="false">LN(MIN(MAX(C18,0.0001),0.9999)/(1-MIN(MAX(C18,0.0001),0.9999)))</f>
        <v>-2.27280999327195</v>
      </c>
      <c r="Q18" s="16" t="n">
        <f aca="false">IF(Analyst_Median&gt;0,A18*Market_Median/Analyst_Median,A18)</f>
        <v>82.1588408576471</v>
      </c>
      <c r="R18" s="26" t="n">
        <f aca="false">MIN(MAX(IFERROR(MATCH(Q18,Distribution!$A$6:$A$20,1),1),1),14)</f>
        <v>10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0.268270605815514</v>
      </c>
      <c r="T18" s="24" t="n">
        <f aca="false">W_Mkt*C18+W_Agents*O18</f>
        <v>0.0856516</v>
      </c>
      <c r="U18" s="27" t="n">
        <f aca="false">(1-W_Analyst)*T18+W_Analyst*S18</f>
        <v>0.0856516</v>
      </c>
      <c r="V18" s="24" t="n">
        <f aca="false">LN(MIN(MAX(U18,0.0001),0.9999)/(1-MIN(MAX(U18,0.0001),0.9999)))</f>
        <v>-2.36792377516933</v>
      </c>
      <c r="W18" s="25" t="n">
        <v>0.0633</v>
      </c>
    </row>
    <row r="19" customFormat="false" ht="15" hidden="false" customHeight="false" outlineLevel="0" collapsed="false">
      <c r="A19" s="6" t="n">
        <v>124.16</v>
      </c>
      <c r="B19" s="24" t="n">
        <f aca="false">LN(A19)</f>
        <v>4.82157105643491</v>
      </c>
      <c r="C19" s="25" t="n">
        <v>0.0489</v>
      </c>
      <c r="D19" s="25" t="n">
        <v>0.0175</v>
      </c>
      <c r="E19" s="25" t="n">
        <v>0.0238</v>
      </c>
      <c r="F19" s="25" t="n">
        <v>0.0312</v>
      </c>
      <c r="G19" s="25" t="n">
        <v>0.0289</v>
      </c>
      <c r="H19" s="25" t="n">
        <v>0.0402</v>
      </c>
      <c r="I19" s="24" t="n">
        <f aca="false">AVERAGE(D19:H19)</f>
        <v>0.02832</v>
      </c>
      <c r="J19" s="25" t="n">
        <v>0.0283</v>
      </c>
      <c r="K19" s="24" t="n">
        <f aca="false">IF(AND(Sup_Used=1,ISNUMBER(J19)),J19,I19)</f>
        <v>0.02832</v>
      </c>
      <c r="L19" s="24" t="n">
        <f aca="false">LN(MIN(MAX(K19,0.0001),0.9999)/(1-MIN(MAX(K19,0.0001),0.9999)))</f>
        <v>-3.53545826332375</v>
      </c>
      <c r="M19" s="16" t="n">
        <f aca="false">A19*EXP(-Platt_Shift)</f>
        <v>124.16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0.02832</v>
      </c>
      <c r="P19" s="24" t="n">
        <f aca="false">LN(MIN(MAX(C19,0.0001),0.9999)/(1-MIN(MAX(C19,0.0001),0.9999)))</f>
        <v>-2.96784181300751</v>
      </c>
      <c r="Q19" s="16" t="n">
        <f aca="false">IF(Analyst_Median&gt;0,A19*Market_Median/Analyst_Median,A19)</f>
        <v>93.8958181230252</v>
      </c>
      <c r="R19" s="26" t="n">
        <f aca="false">MIN(MAX(IFERROR(MATCH(Q19,Distribution!$A$6:$A$20,1),1),1),14)</f>
        <v>12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0.17001199449898</v>
      </c>
      <c r="T19" s="24" t="n">
        <f aca="false">W_Mkt*C19+W_Agents*O19</f>
        <v>0.0421086</v>
      </c>
      <c r="U19" s="27" t="n">
        <f aca="false">(1-W_Analyst)*T19+W_Analyst*S19</f>
        <v>0.0421086</v>
      </c>
      <c r="V19" s="24" t="n">
        <f aca="false">LN(MIN(MAX(U19,0.0001),0.9999)/(1-MIN(MAX(U19,0.0001),0.9999)))</f>
        <v>-3.12448241501452</v>
      </c>
      <c r="W19" s="25" t="n">
        <v>0.031</v>
      </c>
    </row>
    <row r="20" customFormat="false" ht="15" hidden="false" customHeight="false" outlineLevel="0" collapsed="false">
      <c r="A20" s="6" t="n">
        <v>155.2</v>
      </c>
      <c r="B20" s="24" t="n">
        <f aca="false">LN(A20)</f>
        <v>5.04471460774912</v>
      </c>
      <c r="C20" s="25" t="n">
        <v>0.0133</v>
      </c>
      <c r="D20" s="25" t="n">
        <v>0.0024</v>
      </c>
      <c r="E20" s="25" t="n">
        <v>0.0041</v>
      </c>
      <c r="F20" s="25" t="n">
        <v>0.005</v>
      </c>
      <c r="G20" s="25" t="n">
        <v>0.006</v>
      </c>
      <c r="H20" s="25" t="n">
        <v>0.0071</v>
      </c>
      <c r="I20" s="24" t="n">
        <f aca="false">AVERAGE(D20:H20)</f>
        <v>0.00492</v>
      </c>
      <c r="J20" s="25" t="n">
        <v>0.0047</v>
      </c>
      <c r="K20" s="24" t="n">
        <f aca="false">IF(AND(Sup_Used=1,ISNUMBER(J20)),J20,I20)</f>
        <v>0.00492</v>
      </c>
      <c r="L20" s="24" t="n">
        <f aca="false">LN(MIN(MAX(K20,0.0001),0.9999)/(1-MIN(MAX(K20,0.0001),0.9999)))</f>
        <v>-5.30951460543236</v>
      </c>
      <c r="M20" s="16" t="n">
        <f aca="false">A20*EXP(-Platt_Shift)</f>
        <v>155.2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0.00492</v>
      </c>
      <c r="P20" s="24" t="n">
        <f aca="false">LN(MIN(MAX(C20,0.0001),0.9999)/(1-MIN(MAX(C20,0.0001),0.9999)))</f>
        <v>-4.30660200663541</v>
      </c>
      <c r="Q20" s="16" t="n">
        <f aca="false">IF(Analyst_Median&gt;0,A20*Market_Median/Analyst_Median,A20)</f>
        <v>117.369772653782</v>
      </c>
      <c r="R20" s="26" t="n">
        <f aca="false">MIN(MAX(IFERROR(MATCH(Q20,Distribution!$A$6:$A$20,1),1),1),14)</f>
        <v>13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0.0644585175549709</v>
      </c>
      <c r="T20" s="24" t="n">
        <f aca="false">W_Mkt*C20+W_Agents*O20</f>
        <v>0.0105346</v>
      </c>
      <c r="U20" s="27" t="n">
        <f aca="false">(1-W_Analyst)*T20+W_Analyst*S20</f>
        <v>0.0105346</v>
      </c>
      <c r="V20" s="24" t="n">
        <f aca="false">LN(MIN(MAX(U20,0.0001),0.9999)/(1-MIN(MAX(U20,0.0001),0.9999)))</f>
        <v>-4.54249971941665</v>
      </c>
      <c r="W20" s="25" t="n">
        <v>0.0083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23.85" hidden="false" customHeight="false" outlineLevel="0" collapsed="false">
      <c r="A5" s="5" t="s">
        <v>29</v>
      </c>
      <c r="B5" s="28" t="s">
        <v>112</v>
      </c>
      <c r="C5" s="6" t="n">
        <v>75.49</v>
      </c>
      <c r="D5" s="12" t="n">
        <v>0.55</v>
      </c>
      <c r="E5" s="16" t="n">
        <f aca="false">C5*D5</f>
        <v>41.5195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67.82</v>
      </c>
      <c r="D6" s="12" t="n">
        <v>0.2</v>
      </c>
      <c r="E6" s="16" t="n">
        <f aca="false">C6*D6</f>
        <v>13.564</v>
      </c>
      <c r="F6" s="28"/>
      <c r="G6" s="28" t="s">
        <v>115</v>
      </c>
    </row>
    <row r="7" customFormat="false" ht="15" hidden="false" customHeight="false" outlineLevel="0" collapsed="false">
      <c r="A7" s="5" t="s">
        <v>29</v>
      </c>
      <c r="B7" s="28" t="s">
        <v>116</v>
      </c>
      <c r="C7" s="6" t="n">
        <v>70.57</v>
      </c>
      <c r="D7" s="12" t="n">
        <v>0.25</v>
      </c>
      <c r="E7" s="16" t="n">
        <f aca="false">C7*D7</f>
        <v>17.6425</v>
      </c>
      <c r="F7" s="28"/>
      <c r="G7" s="28" t="s">
        <v>117</v>
      </c>
    </row>
    <row r="8" customFormat="false" ht="46.25" hidden="false" customHeight="false" outlineLevel="0" collapsed="false">
      <c r="A8" s="29" t="s">
        <v>29</v>
      </c>
      <c r="B8" s="29" t="s">
        <v>118</v>
      </c>
      <c r="C8" s="30" t="n">
        <f aca="false">IF(SUM(D5:D7)&gt;0,SUMPRODUCT(C5:C7,D5:D7)/SUM(D5:D7),"")</f>
        <v>72.726</v>
      </c>
      <c r="D8" s="31" t="n">
        <f aca="false">SUM(D5:D7)</f>
        <v>1</v>
      </c>
      <c r="E8" s="32" t="n">
        <v>72.73</v>
      </c>
      <c r="F8" s="29" t="s">
        <v>119</v>
      </c>
      <c r="G8" s="33" t="s">
        <v>120</v>
      </c>
    </row>
    <row r="10" customFormat="false" ht="23.85" hidden="false" customHeight="false" outlineLevel="0" collapsed="false">
      <c r="A10" s="5" t="s">
        <v>30</v>
      </c>
      <c r="B10" s="28" t="s">
        <v>112</v>
      </c>
      <c r="C10" s="6" t="n">
        <v>75.19</v>
      </c>
      <c r="D10" s="12" t="n">
        <v>0.8</v>
      </c>
      <c r="E10" s="16" t="n">
        <f aca="false">C10*D10</f>
        <v>60.152</v>
      </c>
      <c r="F10" s="28"/>
      <c r="G10" s="28" t="s">
        <v>121</v>
      </c>
    </row>
    <row r="11" customFormat="false" ht="35.05" hidden="false" customHeight="false" outlineLevel="0" collapsed="false">
      <c r="A11" s="5" t="s">
        <v>30</v>
      </c>
      <c r="B11" s="28" t="s">
        <v>114</v>
      </c>
      <c r="C11" s="6" t="n">
        <v>64.44</v>
      </c>
      <c r="D11" s="12" t="n">
        <v>0.2</v>
      </c>
      <c r="E11" s="16" t="n">
        <f aca="false">C11*D11</f>
        <v>12.888</v>
      </c>
      <c r="F11" s="28"/>
      <c r="G11" s="28" t="s">
        <v>122</v>
      </c>
    </row>
    <row r="12" customFormat="false" ht="35.05" hidden="false" customHeight="false" outlineLevel="0" collapsed="false">
      <c r="A12" s="29" t="s">
        <v>30</v>
      </c>
      <c r="B12" s="29" t="s">
        <v>118</v>
      </c>
      <c r="C12" s="30" t="n">
        <f aca="false">IF(SUM(D10:D11)&gt;0,SUMPRODUCT(C10:C11,D10:D11)/SUM(D10:D11),"")</f>
        <v>73.04</v>
      </c>
      <c r="D12" s="31" t="n">
        <f aca="false">SUM(D10:D11)</f>
        <v>1</v>
      </c>
      <c r="E12" s="32" t="n">
        <v>73.04</v>
      </c>
      <c r="F12" s="29" t="s">
        <v>119</v>
      </c>
      <c r="G12" s="33" t="s">
        <v>123</v>
      </c>
    </row>
    <row r="14" customFormat="false" ht="23.85" hidden="false" customHeight="false" outlineLevel="0" collapsed="false">
      <c r="A14" s="5" t="s">
        <v>31</v>
      </c>
      <c r="B14" s="28" t="s">
        <v>112</v>
      </c>
      <c r="C14" s="6" t="n">
        <v>74.76</v>
      </c>
      <c r="D14" s="12" t="n">
        <v>0.8</v>
      </c>
      <c r="E14" s="16" t="n">
        <f aca="false">C14*D14</f>
        <v>59.808</v>
      </c>
      <c r="F14" s="28"/>
      <c r="G14" s="28" t="s">
        <v>124</v>
      </c>
    </row>
    <row r="15" customFormat="false" ht="23.85" hidden="false" customHeight="false" outlineLevel="0" collapsed="false">
      <c r="A15" s="5" t="s">
        <v>31</v>
      </c>
      <c r="B15" s="28" t="s">
        <v>114</v>
      </c>
      <c r="C15" s="6" t="n">
        <v>63.12</v>
      </c>
      <c r="D15" s="12" t="n">
        <v>0.2</v>
      </c>
      <c r="E15" s="16" t="n">
        <f aca="false">C15*D15</f>
        <v>12.624</v>
      </c>
      <c r="F15" s="28"/>
      <c r="G15" s="28" t="s">
        <v>125</v>
      </c>
    </row>
    <row r="16" customFormat="false" ht="35.05" hidden="false" customHeight="false" outlineLevel="0" collapsed="false">
      <c r="A16" s="29" t="s">
        <v>31</v>
      </c>
      <c r="B16" s="29" t="s">
        <v>118</v>
      </c>
      <c r="C16" s="30" t="n">
        <f aca="false">IF(SUM(D14:D15)&gt;0,SUMPRODUCT(C14:C15,D14:D15)/SUM(D14:D15),"")</f>
        <v>72.432</v>
      </c>
      <c r="D16" s="31" t="n">
        <f aca="false">SUM(D14:D15)</f>
        <v>1</v>
      </c>
      <c r="E16" s="32" t="n">
        <v>72.43</v>
      </c>
      <c r="F16" s="29" t="s">
        <v>119</v>
      </c>
      <c r="G16" s="33" t="s">
        <v>126</v>
      </c>
    </row>
    <row r="18" customFormat="false" ht="68.65" hidden="false" customHeight="false" outlineLevel="0" collapsed="false">
      <c r="A18" s="5" t="s">
        <v>32</v>
      </c>
      <c r="B18" s="28" t="s">
        <v>114</v>
      </c>
      <c r="C18" s="6" t="n">
        <v>69.71</v>
      </c>
      <c r="D18" s="12" t="n">
        <v>0.2</v>
      </c>
      <c r="E18" s="16" t="n">
        <f aca="false">C18*D18</f>
        <v>13.942</v>
      </c>
      <c r="F18" s="28"/>
      <c r="G18" s="28" t="s">
        <v>127</v>
      </c>
    </row>
    <row r="19" customFormat="false" ht="35.05" hidden="false" customHeight="false" outlineLevel="0" collapsed="false">
      <c r="A19" s="5" t="s">
        <v>32</v>
      </c>
      <c r="B19" s="28" t="s">
        <v>112</v>
      </c>
      <c r="C19" s="6" t="n">
        <v>75.98</v>
      </c>
      <c r="D19" s="12" t="n">
        <v>0.7</v>
      </c>
      <c r="E19" s="16" t="n">
        <f aca="false">C19*D19</f>
        <v>53.186</v>
      </c>
      <c r="F19" s="28"/>
      <c r="G19" s="28" t="s">
        <v>128</v>
      </c>
    </row>
    <row r="20" customFormat="false" ht="23.85" hidden="false" customHeight="false" outlineLevel="0" collapsed="false">
      <c r="A20" s="5" t="s">
        <v>32</v>
      </c>
      <c r="B20" s="28" t="s">
        <v>116</v>
      </c>
      <c r="C20" s="6" t="n">
        <v>71.22</v>
      </c>
      <c r="D20" s="12" t="n">
        <v>0.1</v>
      </c>
      <c r="E20" s="16" t="n">
        <f aca="false">C20*D20</f>
        <v>7.122</v>
      </c>
      <c r="F20" s="28"/>
      <c r="G20" s="28" t="s">
        <v>129</v>
      </c>
    </row>
    <row r="21" customFormat="false" ht="46.25" hidden="false" customHeight="false" outlineLevel="0" collapsed="false">
      <c r="A21" s="29" t="s">
        <v>32</v>
      </c>
      <c r="B21" s="29" t="s">
        <v>118</v>
      </c>
      <c r="C21" s="30" t="n">
        <f aca="false">IF(SUM(D18:D20)&gt;0,SUMPRODUCT(C18:C20,D18:D20)/SUM(D18:D20),"")</f>
        <v>74.25</v>
      </c>
      <c r="D21" s="31" t="n">
        <f aca="false">SUM(D18:D20)</f>
        <v>1</v>
      </c>
      <c r="E21" s="32" t="n">
        <v>74.25</v>
      </c>
      <c r="F21" s="29" t="s">
        <v>119</v>
      </c>
      <c r="G21" s="33" t="s">
        <v>130</v>
      </c>
    </row>
    <row r="23" customFormat="false" ht="35.05" hidden="false" customHeight="false" outlineLevel="0" collapsed="false">
      <c r="A23" s="5" t="s">
        <v>33</v>
      </c>
      <c r="B23" s="28" t="s">
        <v>114</v>
      </c>
      <c r="C23" s="6" t="n">
        <v>67.07</v>
      </c>
      <c r="D23" s="12" t="n">
        <v>0.2</v>
      </c>
      <c r="E23" s="16" t="n">
        <f aca="false">C23*D23</f>
        <v>13.414</v>
      </c>
      <c r="F23" s="28"/>
      <c r="G23" s="28" t="s">
        <v>131</v>
      </c>
    </row>
    <row r="24" customFormat="false" ht="23.85" hidden="false" customHeight="false" outlineLevel="0" collapsed="false">
      <c r="A24" s="5" t="s">
        <v>33</v>
      </c>
      <c r="B24" s="28" t="s">
        <v>112</v>
      </c>
      <c r="C24" s="6" t="n">
        <v>76.09</v>
      </c>
      <c r="D24" s="12" t="n">
        <v>0.8</v>
      </c>
      <c r="E24" s="16" t="n">
        <f aca="false">C24*D24</f>
        <v>60.872</v>
      </c>
      <c r="F24" s="28"/>
      <c r="G24" s="28" t="s">
        <v>132</v>
      </c>
    </row>
    <row r="25" customFormat="false" ht="35.05" hidden="false" customHeight="false" outlineLevel="0" collapsed="false">
      <c r="A25" s="29" t="s">
        <v>33</v>
      </c>
      <c r="B25" s="29" t="s">
        <v>118</v>
      </c>
      <c r="C25" s="30" t="n">
        <f aca="false">IF(SUM(D23:D24)&gt;0,SUMPRODUCT(C23:C24,D23:D24)/SUM(D23:D24),"")</f>
        <v>74.286</v>
      </c>
      <c r="D25" s="31" t="n">
        <f aca="false">SUM(D23:D24)</f>
        <v>1</v>
      </c>
      <c r="E25" s="32" t="n">
        <v>74.28</v>
      </c>
      <c r="F25" s="29" t="s">
        <v>119</v>
      </c>
      <c r="G25" s="3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23.85" hidden="false" customHeight="false" outlineLevel="0" collapsed="false">
      <c r="A4" s="23" t="s">
        <v>105</v>
      </c>
      <c r="B4" s="23" t="s">
        <v>136</v>
      </c>
      <c r="C4" s="23" t="s">
        <v>137</v>
      </c>
      <c r="D4" s="23" t="s">
        <v>138</v>
      </c>
      <c r="E4" s="23" t="s">
        <v>139</v>
      </c>
      <c r="F4" s="23" t="s">
        <v>140</v>
      </c>
      <c r="G4" s="23" t="s">
        <v>141</v>
      </c>
    </row>
    <row r="5" customFormat="false" ht="68.65" hidden="false" customHeight="false" outlineLevel="0" collapsed="false">
      <c r="A5" s="5" t="s">
        <v>29</v>
      </c>
      <c r="B5" s="6" t="n">
        <v>48.22</v>
      </c>
      <c r="C5" s="6" t="n">
        <v>72.73</v>
      </c>
      <c r="D5" s="6" t="n">
        <v>92.54</v>
      </c>
      <c r="E5" s="28" t="s">
        <v>142</v>
      </c>
      <c r="F5" s="28" t="s">
        <v>143</v>
      </c>
      <c r="G5" s="28" t="s">
        <v>144</v>
      </c>
    </row>
    <row r="6" customFormat="false" ht="79.85" hidden="false" customHeight="false" outlineLevel="0" collapsed="false">
      <c r="A6" s="5" t="s">
        <v>30</v>
      </c>
      <c r="B6" s="6" t="n">
        <v>49.89</v>
      </c>
      <c r="C6" s="6" t="n">
        <v>73.04</v>
      </c>
      <c r="D6" s="6" t="n">
        <v>95.37</v>
      </c>
      <c r="E6" s="28" t="s">
        <v>145</v>
      </c>
      <c r="F6" s="28" t="s">
        <v>146</v>
      </c>
      <c r="G6" s="28" t="s">
        <v>147</v>
      </c>
    </row>
    <row r="7" customFormat="false" ht="79.85" hidden="false" customHeight="false" outlineLevel="0" collapsed="false">
      <c r="A7" s="5" t="s">
        <v>31</v>
      </c>
      <c r="B7" s="6" t="n">
        <v>48.69</v>
      </c>
      <c r="C7" s="6" t="n">
        <v>72.43</v>
      </c>
      <c r="D7" s="6" t="n">
        <v>94.34</v>
      </c>
      <c r="E7" s="28" t="s">
        <v>148</v>
      </c>
      <c r="F7" s="28" t="s">
        <v>149</v>
      </c>
      <c r="G7" s="28" t="s">
        <v>150</v>
      </c>
    </row>
    <row r="8" customFormat="false" ht="91" hidden="false" customHeight="false" outlineLevel="0" collapsed="false">
      <c r="A8" s="5" t="s">
        <v>32</v>
      </c>
      <c r="B8" s="6" t="n">
        <v>50.29</v>
      </c>
      <c r="C8" s="6" t="n">
        <v>74.25</v>
      </c>
      <c r="D8" s="6" t="n">
        <v>93.49</v>
      </c>
      <c r="E8" s="28" t="s">
        <v>151</v>
      </c>
      <c r="F8" s="28" t="s">
        <v>152</v>
      </c>
      <c r="G8" s="28" t="s">
        <v>153</v>
      </c>
    </row>
    <row r="9" customFormat="false" ht="46.25" hidden="false" customHeight="false" outlineLevel="0" collapsed="false">
      <c r="A9" s="5" t="s">
        <v>33</v>
      </c>
      <c r="B9" s="6" t="n">
        <v>50.37</v>
      </c>
      <c r="C9" s="6" t="n">
        <v>74.28</v>
      </c>
      <c r="D9" s="6" t="n">
        <v>98.6</v>
      </c>
      <c r="E9" s="28" t="s">
        <v>154</v>
      </c>
      <c r="F9" s="28" t="s">
        <v>155</v>
      </c>
      <c r="G9" s="28" t="s">
        <v>156</v>
      </c>
    </row>
    <row r="10" customFormat="false" ht="15" hidden="false" customHeight="false" outlineLevel="0" collapsed="false">
      <c r="A10" s="14" t="s">
        <v>157</v>
      </c>
      <c r="B10" s="15" t="n">
        <f aca="false">AVERAGE(B5:B9)</f>
        <v>49.492</v>
      </c>
      <c r="C10" s="15" t="n">
        <f aca="false">AVERAGE(C5:C9)</f>
        <v>73.346</v>
      </c>
      <c r="D10" s="15" t="n">
        <f aca="false">AVERAGE(D5:D9)</f>
        <v>94.868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5.05" hidden="false" customHeight="false" outlineLevel="0" collapsed="false">
      <c r="A4" s="23" t="s">
        <v>105</v>
      </c>
      <c r="B4" s="23" t="s">
        <v>160</v>
      </c>
      <c r="C4" s="23" t="s">
        <v>161</v>
      </c>
      <c r="D4" s="23" t="s">
        <v>162</v>
      </c>
      <c r="E4" s="23" t="s">
        <v>66</v>
      </c>
      <c r="F4" s="23" t="s">
        <v>163</v>
      </c>
      <c r="G4" s="23" t="s">
        <v>164</v>
      </c>
      <c r="H4" s="23" t="s">
        <v>165</v>
      </c>
    </row>
    <row r="5" customFormat="false" ht="572.35" hidden="false" customHeight="false" outlineLevel="0" collapsed="false">
      <c r="A5" s="5" t="s">
        <v>29</v>
      </c>
      <c r="B5" s="6"/>
      <c r="C5" s="6" t="n">
        <v>72.73</v>
      </c>
      <c r="D5" s="6" t="n">
        <v>48</v>
      </c>
      <c r="E5" s="28" t="s">
        <v>166</v>
      </c>
      <c r="F5" s="28" t="s">
        <v>167</v>
      </c>
      <c r="G5" s="28" t="s">
        <v>168</v>
      </c>
      <c r="H5" s="28" t="s">
        <v>169</v>
      </c>
    </row>
    <row r="6" customFormat="false" ht="326.1" hidden="false" customHeight="false" outlineLevel="0" collapsed="false">
      <c r="A6" s="5" t="s">
        <v>30</v>
      </c>
      <c r="B6" s="6"/>
      <c r="C6" s="6" t="n">
        <v>73.04</v>
      </c>
      <c r="D6" s="6" t="n">
        <v>46</v>
      </c>
      <c r="E6" s="28" t="s">
        <v>170</v>
      </c>
      <c r="F6" s="28" t="s">
        <v>171</v>
      </c>
      <c r="G6" s="28" t="s">
        <v>172</v>
      </c>
      <c r="H6" s="28" t="s">
        <v>173</v>
      </c>
    </row>
    <row r="7" customFormat="false" ht="326.1" hidden="false" customHeight="false" outlineLevel="0" collapsed="false">
      <c r="A7" s="5" t="s">
        <v>31</v>
      </c>
      <c r="B7" s="6"/>
      <c r="C7" s="6" t="n">
        <v>72.43</v>
      </c>
      <c r="D7" s="6" t="n">
        <v>50</v>
      </c>
      <c r="E7" s="28" t="s">
        <v>174</v>
      </c>
      <c r="F7" s="28" t="s">
        <v>175</v>
      </c>
      <c r="G7" s="28" t="s">
        <v>176</v>
      </c>
      <c r="H7" s="28" t="s">
        <v>177</v>
      </c>
    </row>
    <row r="8" customFormat="false" ht="426.85" hidden="false" customHeight="false" outlineLevel="0" collapsed="false">
      <c r="A8" s="5" t="s">
        <v>32</v>
      </c>
      <c r="B8" s="6"/>
      <c r="C8" s="6" t="n">
        <v>74.25</v>
      </c>
      <c r="D8" s="6" t="n">
        <v>48</v>
      </c>
      <c r="E8" s="28" t="s">
        <v>178</v>
      </c>
      <c r="F8" s="28" t="s">
        <v>179</v>
      </c>
      <c r="G8" s="28" t="s">
        <v>180</v>
      </c>
      <c r="H8" s="28" t="s">
        <v>181</v>
      </c>
    </row>
    <row r="9" customFormat="false" ht="337.3" hidden="false" customHeight="false" outlineLevel="0" collapsed="false">
      <c r="A9" s="5" t="s">
        <v>33</v>
      </c>
      <c r="B9" s="6"/>
      <c r="C9" s="6" t="n">
        <v>74.28</v>
      </c>
      <c r="D9" s="6" t="n">
        <v>45</v>
      </c>
      <c r="E9" s="28" t="s">
        <v>182</v>
      </c>
      <c r="F9" s="28" t="s">
        <v>183</v>
      </c>
      <c r="G9" s="28" t="s">
        <v>184</v>
      </c>
      <c r="H9" s="28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46.25" hidden="false" customHeight="true" outlineLevel="0" collapsed="false">
      <c r="A4" s="14" t="s">
        <v>188</v>
      </c>
      <c r="B4" s="34" t="s">
        <v>189</v>
      </c>
      <c r="C4" s="34"/>
      <c r="D4" s="34"/>
    </row>
    <row r="5" customFormat="false" ht="68.65" hidden="false" customHeight="true" outlineLevel="0" collapsed="false">
      <c r="A5" s="14" t="s">
        <v>190</v>
      </c>
      <c r="B5" s="34" t="s">
        <v>37</v>
      </c>
      <c r="C5" s="34"/>
      <c r="D5" s="34"/>
    </row>
    <row r="6" customFormat="false" ht="46.25" hidden="false" customHeight="true" outlineLevel="0" collapsed="false">
      <c r="A6" s="14" t="s">
        <v>191</v>
      </c>
      <c r="B6" s="34" t="s">
        <v>192</v>
      </c>
      <c r="C6" s="34"/>
      <c r="D6" s="34"/>
    </row>
    <row r="8" customFormat="false" ht="15" hidden="false" customHeight="false" outlineLevel="0" collapsed="false">
      <c r="A8" s="35" t="s">
        <v>193</v>
      </c>
    </row>
    <row r="9" customFormat="false" ht="15" hidden="false" customHeight="false" outlineLevel="0" collapsed="false">
      <c r="A9" s="36" t="s">
        <v>194</v>
      </c>
      <c r="B9" s="36" t="s">
        <v>195</v>
      </c>
      <c r="C9" s="36" t="s">
        <v>196</v>
      </c>
      <c r="D9" s="36" t="s">
        <v>197</v>
      </c>
    </row>
    <row r="10" customFormat="false" ht="158.2" hidden="false" customHeight="false" outlineLevel="0" collapsed="false">
      <c r="A10" s="28" t="s">
        <v>198</v>
      </c>
      <c r="B10" s="28" t="s">
        <v>199</v>
      </c>
      <c r="C10" s="28" t="s">
        <v>200</v>
      </c>
      <c r="D10" s="28" t="s">
        <v>201</v>
      </c>
    </row>
    <row r="11" customFormat="false" ht="68.65" hidden="false" customHeight="false" outlineLevel="0" collapsed="false">
      <c r="A11" s="28" t="s">
        <v>202</v>
      </c>
      <c r="B11" s="28" t="s">
        <v>203</v>
      </c>
      <c r="C11" s="28" t="s">
        <v>204</v>
      </c>
      <c r="D11" s="28" t="s">
        <v>205</v>
      </c>
    </row>
    <row r="12" customFormat="false" ht="46.25" hidden="false" customHeight="false" outlineLevel="0" collapsed="false">
      <c r="A12" s="28" t="s">
        <v>206</v>
      </c>
      <c r="B12" s="28" t="s">
        <v>207</v>
      </c>
      <c r="C12" s="28" t="s">
        <v>208</v>
      </c>
      <c r="D12" s="28" t="s">
        <v>209</v>
      </c>
    </row>
    <row r="13" customFormat="false" ht="135.8" hidden="false" customHeight="false" outlineLevel="0" collapsed="false">
      <c r="A13" s="28" t="s">
        <v>210</v>
      </c>
      <c r="B13" s="28" t="s">
        <v>211</v>
      </c>
      <c r="C13" s="28" t="s">
        <v>212</v>
      </c>
      <c r="D13" s="28" t="s">
        <v>213</v>
      </c>
    </row>
    <row r="14" customFormat="false" ht="35.05" hidden="false" customHeight="false" outlineLevel="0" collapsed="false">
      <c r="A14" s="28" t="s">
        <v>214</v>
      </c>
      <c r="B14" s="28" t="s">
        <v>215</v>
      </c>
      <c r="C14" s="28" t="s">
        <v>216</v>
      </c>
      <c r="D14" s="28" t="s">
        <v>217</v>
      </c>
    </row>
    <row r="15" customFormat="false" ht="57.45" hidden="false" customHeight="false" outlineLevel="0" collapsed="false">
      <c r="A15" s="28" t="s">
        <v>218</v>
      </c>
      <c r="B15" s="28" t="s">
        <v>219</v>
      </c>
      <c r="C15" s="28" t="s">
        <v>220</v>
      </c>
      <c r="D15" s="28" t="s">
        <v>221</v>
      </c>
    </row>
    <row r="17" customFormat="false" ht="15" hidden="false" customHeight="false" outlineLevel="0" collapsed="false">
      <c r="A17" s="35" t="s">
        <v>222</v>
      </c>
    </row>
    <row r="18" customFormat="false" ht="15" hidden="false" customHeight="false" outlineLevel="0" collapsed="false">
      <c r="A18" s="36" t="s">
        <v>223</v>
      </c>
      <c r="B18" s="36" t="s">
        <v>224</v>
      </c>
      <c r="C18" s="36" t="s">
        <v>225</v>
      </c>
      <c r="D18" s="36" t="s">
        <v>226</v>
      </c>
    </row>
    <row r="19" customFormat="false" ht="57.45" hidden="false" customHeight="false" outlineLevel="0" collapsed="false">
      <c r="A19" s="28" t="s">
        <v>227</v>
      </c>
      <c r="B19" s="28" t="s">
        <v>228</v>
      </c>
      <c r="C19" s="28" t="s">
        <v>229</v>
      </c>
      <c r="D19" s="28" t="s">
        <v>230</v>
      </c>
    </row>
    <row r="20" customFormat="false" ht="46.25" hidden="false" customHeight="false" outlineLevel="0" collapsed="false">
      <c r="A20" s="28" t="s">
        <v>231</v>
      </c>
      <c r="B20" s="28" t="s">
        <v>232</v>
      </c>
      <c r="C20" s="28" t="s">
        <v>233</v>
      </c>
      <c r="D20" s="28" t="s">
        <v>234</v>
      </c>
    </row>
    <row r="21" customFormat="false" ht="35.05" hidden="false" customHeight="false" outlineLevel="0" collapsed="false">
      <c r="A21" s="28" t="s">
        <v>235</v>
      </c>
      <c r="B21" s="28" t="s">
        <v>236</v>
      </c>
      <c r="C21" s="28" t="s">
        <v>237</v>
      </c>
      <c r="D21" s="28" t="s">
        <v>238</v>
      </c>
    </row>
    <row r="22" customFormat="false" ht="35.05" hidden="false" customHeight="false" outlineLevel="0" collapsed="false">
      <c r="A22" s="28" t="s">
        <v>239</v>
      </c>
      <c r="B22" s="28" t="s">
        <v>240</v>
      </c>
      <c r="C22" s="28" t="s">
        <v>241</v>
      </c>
      <c r="D22" s="28" t="s">
        <v>242</v>
      </c>
    </row>
    <row r="23" customFormat="false" ht="35.05" hidden="false" customHeight="false" outlineLevel="0" collapsed="false">
      <c r="A23" s="28" t="s">
        <v>243</v>
      </c>
      <c r="B23" s="28" t="s">
        <v>244</v>
      </c>
      <c r="C23" s="28" t="s">
        <v>245</v>
      </c>
      <c r="D23" s="28" t="s">
        <v>246</v>
      </c>
    </row>
    <row r="24" customFormat="false" ht="35.05" hidden="false" customHeight="false" outlineLevel="0" collapsed="false">
      <c r="A24" s="28" t="s">
        <v>247</v>
      </c>
      <c r="B24" s="28" t="s">
        <v>248</v>
      </c>
      <c r="C24" s="28" t="s">
        <v>249</v>
      </c>
      <c r="D24" s="28" t="s">
        <v>250</v>
      </c>
    </row>
    <row r="25" customFormat="false" ht="79.85" hidden="false" customHeight="false" outlineLevel="0" collapsed="false">
      <c r="A25" s="28" t="s">
        <v>251</v>
      </c>
      <c r="B25" s="28" t="s">
        <v>252</v>
      </c>
      <c r="C25" s="28" t="s">
        <v>253</v>
      </c>
      <c r="D25" s="28" t="s">
        <v>254</v>
      </c>
    </row>
    <row r="26" customFormat="false" ht="23.85" hidden="false" customHeight="false" outlineLevel="0" collapsed="false">
      <c r="A26" s="28" t="s">
        <v>255</v>
      </c>
      <c r="B26" s="28" t="s">
        <v>256</v>
      </c>
      <c r="C26" s="28" t="s">
        <v>257</v>
      </c>
      <c r="D26" s="28" t="s">
        <v>258</v>
      </c>
    </row>
    <row r="28" customFormat="false" ht="15" hidden="false" customHeight="false" outlineLevel="0" collapsed="false">
      <c r="A28" s="35" t="s">
        <v>259</v>
      </c>
    </row>
    <row r="29" customFormat="false" ht="23.85" hidden="false" customHeight="true" outlineLevel="0" collapsed="false">
      <c r="B29" s="34" t="s">
        <v>260</v>
      </c>
      <c r="C29" s="34"/>
      <c r="D29" s="34"/>
    </row>
    <row r="30" customFormat="false" ht="23.85" hidden="false" customHeight="true" outlineLevel="0" collapsed="false">
      <c r="B30" s="34" t="s">
        <v>261</v>
      </c>
      <c r="C30" s="34"/>
      <c r="D30" s="34"/>
    </row>
    <row r="31" customFormat="false" ht="23.85" hidden="false" customHeight="true" outlineLevel="0" collapsed="false">
      <c r="B31" s="34" t="s">
        <v>262</v>
      </c>
      <c r="C31" s="34"/>
      <c r="D31" s="34"/>
    </row>
    <row r="32" customFormat="false" ht="23.85" hidden="false" customHeight="true" outlineLevel="0" collapsed="false">
      <c r="B32" s="34" t="s">
        <v>263</v>
      </c>
      <c r="C32" s="34"/>
      <c r="D32" s="34"/>
    </row>
    <row r="33" customFormat="false" ht="23.85" hidden="false" customHeight="true" outlineLevel="0" collapsed="false">
      <c r="B33" s="34" t="s">
        <v>264</v>
      </c>
      <c r="C33" s="34"/>
      <c r="D33" s="34"/>
    </row>
    <row r="34" customFormat="false" ht="23.85" hidden="false" customHeight="true" outlineLevel="0" collapsed="false">
      <c r="B34" s="34" t="s">
        <v>265</v>
      </c>
      <c r="C34" s="34"/>
      <c r="D34" s="34"/>
    </row>
    <row r="35" customFormat="false" ht="23.85" hidden="false" customHeight="true" outlineLevel="0" collapsed="false">
      <c r="B35" s="34" t="s">
        <v>266</v>
      </c>
      <c r="C35" s="34"/>
      <c r="D35" s="34"/>
    </row>
    <row r="36" customFormat="false" ht="15" hidden="false" customHeight="true" outlineLevel="0" collapsed="false">
      <c r="B36" s="34" t="s">
        <v>267</v>
      </c>
      <c r="C36" s="34"/>
      <c r="D36" s="34"/>
    </row>
    <row r="37" customFormat="false" ht="23.85" hidden="false" customHeight="true" outlineLevel="0" collapsed="false">
      <c r="B37" s="34" t="s">
        <v>268</v>
      </c>
      <c r="C37" s="34"/>
      <c r="D37" s="34"/>
    </row>
    <row r="38" customFormat="false" ht="35.05" hidden="false" customHeight="true" outlineLevel="0" collapsed="false">
      <c r="B38" s="34" t="s">
        <v>269</v>
      </c>
      <c r="C38" s="34"/>
      <c r="D38" s="34"/>
    </row>
    <row r="39" customFormat="false" ht="23.85" hidden="false" customHeight="true" outlineLevel="0" collapsed="false">
      <c r="B39" s="34" t="s">
        <v>270</v>
      </c>
      <c r="C39" s="34"/>
      <c r="D39" s="34"/>
    </row>
    <row r="40" customFormat="false" ht="23.85" hidden="false" customHeight="true" outlineLevel="0" collapsed="false">
      <c r="B40" s="34" t="s">
        <v>271</v>
      </c>
      <c r="C40" s="34"/>
      <c r="D40" s="34"/>
    </row>
    <row r="41" customFormat="false" ht="23.85" hidden="false" customHeight="true" outlineLevel="0" collapsed="false">
      <c r="B41" s="34" t="s">
        <v>272</v>
      </c>
      <c r="C41" s="34"/>
      <c r="D41" s="34"/>
    </row>
  </sheetData>
  <mergeCells count="16">
    <mergeCell ref="B4:D4"/>
    <mergeCell ref="B5:D5"/>
    <mergeCell ref="B6:D6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15" hidden="false" customHeight="false" outlineLevel="0" collapsed="false">
      <c r="A4" s="23" t="s">
        <v>74</v>
      </c>
      <c r="B4" s="23" t="s">
        <v>275</v>
      </c>
      <c r="C4" s="23" t="s">
        <v>276</v>
      </c>
      <c r="D4" s="23" t="s">
        <v>277</v>
      </c>
      <c r="E4" s="23" t="s">
        <v>278</v>
      </c>
    </row>
    <row r="5" customFormat="false" ht="15" hidden="false" customHeight="false" outlineLevel="0" collapsed="false">
      <c r="A5" s="5" t="s">
        <v>279</v>
      </c>
      <c r="B5" s="5" t="s">
        <v>280</v>
      </c>
      <c r="C5" s="28" t="s">
        <v>281</v>
      </c>
      <c r="D5" s="5" t="s">
        <v>282</v>
      </c>
      <c r="E5" s="22" t="s">
        <v>283</v>
      </c>
    </row>
    <row r="6" customFormat="false" ht="15" hidden="false" customHeight="false" outlineLevel="0" collapsed="false">
      <c r="A6" s="5" t="s">
        <v>284</v>
      </c>
      <c r="B6" s="5" t="s">
        <v>280</v>
      </c>
      <c r="C6" s="28" t="s">
        <v>285</v>
      </c>
      <c r="D6" s="5" t="s">
        <v>282</v>
      </c>
      <c r="E6" s="22" t="s">
        <v>286</v>
      </c>
    </row>
    <row r="7" customFormat="false" ht="15" hidden="false" customHeight="false" outlineLevel="0" collapsed="false">
      <c r="A7" s="5" t="s">
        <v>287</v>
      </c>
      <c r="B7" s="5" t="s">
        <v>280</v>
      </c>
      <c r="C7" s="28" t="s">
        <v>288</v>
      </c>
      <c r="D7" s="5" t="s">
        <v>289</v>
      </c>
      <c r="E7" s="22" t="s">
        <v>290</v>
      </c>
    </row>
    <row r="8" customFormat="false" ht="15" hidden="false" customHeight="false" outlineLevel="0" collapsed="false">
      <c r="A8" s="5" t="s">
        <v>291</v>
      </c>
      <c r="B8" s="5" t="s">
        <v>280</v>
      </c>
      <c r="C8" s="28" t="s">
        <v>292</v>
      </c>
      <c r="D8" s="5" t="s">
        <v>293</v>
      </c>
      <c r="E8" s="22" t="s">
        <v>294</v>
      </c>
    </row>
    <row r="9" customFormat="false" ht="15" hidden="false" customHeight="false" outlineLevel="0" collapsed="false">
      <c r="A9" s="5" t="s">
        <v>295</v>
      </c>
      <c r="B9" s="5" t="s">
        <v>280</v>
      </c>
      <c r="C9" s="28" t="s">
        <v>296</v>
      </c>
      <c r="D9" s="5" t="s">
        <v>297</v>
      </c>
      <c r="E9" s="22" t="s">
        <v>298</v>
      </c>
    </row>
    <row r="10" customFormat="false" ht="15" hidden="false" customHeight="false" outlineLevel="0" collapsed="false">
      <c r="A10" s="5" t="s">
        <v>299</v>
      </c>
      <c r="B10" s="5" t="s">
        <v>280</v>
      </c>
      <c r="C10" s="28" t="s">
        <v>300</v>
      </c>
      <c r="D10" s="5" t="s">
        <v>301</v>
      </c>
      <c r="E10" s="22" t="s">
        <v>302</v>
      </c>
    </row>
    <row r="11" customFormat="false" ht="15" hidden="false" customHeight="false" outlineLevel="0" collapsed="false">
      <c r="A11" s="5" t="s">
        <v>303</v>
      </c>
      <c r="B11" s="5" t="s">
        <v>280</v>
      </c>
      <c r="C11" s="28" t="s">
        <v>304</v>
      </c>
      <c r="D11" s="5" t="s">
        <v>305</v>
      </c>
      <c r="E11" s="22" t="s">
        <v>306</v>
      </c>
    </row>
    <row r="12" customFormat="false" ht="15" hidden="false" customHeight="false" outlineLevel="0" collapsed="false">
      <c r="A12" s="5" t="s">
        <v>307</v>
      </c>
      <c r="B12" s="5" t="s">
        <v>280</v>
      </c>
      <c r="C12" s="28" t="s">
        <v>308</v>
      </c>
      <c r="D12" s="5" t="s">
        <v>309</v>
      </c>
      <c r="E12" s="22" t="s">
        <v>310</v>
      </c>
    </row>
    <row r="13" customFormat="false" ht="15" hidden="false" customHeight="false" outlineLevel="0" collapsed="false">
      <c r="A13" s="5" t="s">
        <v>311</v>
      </c>
      <c r="B13" s="5" t="s">
        <v>280</v>
      </c>
      <c r="C13" s="28" t="s">
        <v>312</v>
      </c>
      <c r="D13" s="5" t="s">
        <v>282</v>
      </c>
      <c r="E13" s="22" t="s">
        <v>313</v>
      </c>
    </row>
    <row r="14" customFormat="false" ht="15" hidden="false" customHeight="false" outlineLevel="0" collapsed="false">
      <c r="A14" s="5" t="s">
        <v>314</v>
      </c>
      <c r="B14" s="5" t="s">
        <v>280</v>
      </c>
      <c r="C14" s="28" t="s">
        <v>315</v>
      </c>
      <c r="D14" s="5" t="s">
        <v>316</v>
      </c>
      <c r="E14" s="22" t="s">
        <v>317</v>
      </c>
    </row>
    <row r="15" customFormat="false" ht="15" hidden="false" customHeight="false" outlineLevel="0" collapsed="false">
      <c r="A15" s="5" t="s">
        <v>318</v>
      </c>
      <c r="B15" s="5" t="s">
        <v>280</v>
      </c>
      <c r="C15" s="28" t="s">
        <v>319</v>
      </c>
      <c r="D15" s="5" t="s">
        <v>289</v>
      </c>
      <c r="E15" s="22" t="s">
        <v>320</v>
      </c>
    </row>
    <row r="16" customFormat="false" ht="15" hidden="false" customHeight="false" outlineLevel="0" collapsed="false">
      <c r="A16" s="5" t="s">
        <v>321</v>
      </c>
      <c r="B16" s="5" t="s">
        <v>280</v>
      </c>
      <c r="C16" s="28" t="s">
        <v>322</v>
      </c>
      <c r="D16" s="5" t="s">
        <v>282</v>
      </c>
      <c r="E16" s="22" t="s">
        <v>323</v>
      </c>
    </row>
    <row r="17" customFormat="false" ht="23.85" hidden="false" customHeight="false" outlineLevel="0" collapsed="false">
      <c r="A17" s="5" t="s">
        <v>324</v>
      </c>
      <c r="B17" s="5" t="s">
        <v>280</v>
      </c>
      <c r="C17" s="28" t="s">
        <v>325</v>
      </c>
      <c r="D17" s="5" t="s">
        <v>282</v>
      </c>
      <c r="E17" s="5" t="s">
        <v>326</v>
      </c>
    </row>
    <row r="18" customFormat="false" ht="15" hidden="false" customHeight="false" outlineLevel="0" collapsed="false">
      <c r="A18" s="5" t="s">
        <v>327</v>
      </c>
      <c r="B18" s="5" t="s">
        <v>280</v>
      </c>
      <c r="C18" s="28" t="s">
        <v>328</v>
      </c>
      <c r="D18" s="5" t="s">
        <v>282</v>
      </c>
      <c r="E18" s="22" t="s">
        <v>329</v>
      </c>
    </row>
    <row r="19" customFormat="false" ht="23.85" hidden="false" customHeight="false" outlineLevel="0" collapsed="false">
      <c r="A19" s="5" t="s">
        <v>330</v>
      </c>
      <c r="B19" s="5" t="s">
        <v>280</v>
      </c>
      <c r="C19" s="28" t="s">
        <v>331</v>
      </c>
      <c r="D19" s="5" t="s">
        <v>282</v>
      </c>
      <c r="E19" s="22" t="s">
        <v>332</v>
      </c>
    </row>
    <row r="20" customFormat="false" ht="23.85" hidden="false" customHeight="false" outlineLevel="0" collapsed="false">
      <c r="A20" s="5" t="s">
        <v>333</v>
      </c>
      <c r="B20" s="5" t="s">
        <v>280</v>
      </c>
      <c r="C20" s="28" t="s">
        <v>334</v>
      </c>
      <c r="D20" s="5" t="s">
        <v>316</v>
      </c>
      <c r="E20" s="22" t="s">
        <v>335</v>
      </c>
    </row>
    <row r="21" customFormat="false" ht="23.85" hidden="false" customHeight="false" outlineLevel="0" collapsed="false">
      <c r="A21" s="5" t="s">
        <v>336</v>
      </c>
      <c r="B21" s="5" t="s">
        <v>280</v>
      </c>
      <c r="C21" s="28" t="s">
        <v>337</v>
      </c>
      <c r="D21" s="5" t="s">
        <v>282</v>
      </c>
      <c r="E21" s="22" t="s">
        <v>338</v>
      </c>
    </row>
    <row r="22" customFormat="false" ht="23.85" hidden="false" customHeight="false" outlineLevel="0" collapsed="false">
      <c r="A22" s="5" t="s">
        <v>339</v>
      </c>
      <c r="B22" s="5" t="s">
        <v>280</v>
      </c>
      <c r="C22" s="28" t="s">
        <v>340</v>
      </c>
      <c r="D22" s="5" t="s">
        <v>341</v>
      </c>
      <c r="E22" s="22" t="s">
        <v>342</v>
      </c>
    </row>
    <row r="23" customFormat="false" ht="15" hidden="false" customHeight="false" outlineLevel="0" collapsed="false">
      <c r="A23" s="5" t="s">
        <v>343</v>
      </c>
      <c r="B23" s="5" t="s">
        <v>280</v>
      </c>
      <c r="C23" s="28" t="s">
        <v>344</v>
      </c>
      <c r="D23" s="5" t="s">
        <v>345</v>
      </c>
      <c r="E23" s="22" t="s">
        <v>346</v>
      </c>
    </row>
    <row r="24" customFormat="false" ht="23.85" hidden="false" customHeight="false" outlineLevel="0" collapsed="false">
      <c r="A24" s="5" t="s">
        <v>347</v>
      </c>
      <c r="B24" s="5" t="s">
        <v>280</v>
      </c>
      <c r="C24" s="28" t="s">
        <v>348</v>
      </c>
      <c r="D24" s="5" t="s">
        <v>282</v>
      </c>
      <c r="E24" s="22" t="s">
        <v>349</v>
      </c>
    </row>
    <row r="25" customFormat="false" ht="15" hidden="false" customHeight="false" outlineLevel="0" collapsed="false">
      <c r="A25" s="5" t="s">
        <v>350</v>
      </c>
      <c r="B25" s="5" t="s">
        <v>280</v>
      </c>
      <c r="C25" s="28" t="s">
        <v>351</v>
      </c>
      <c r="D25" s="5" t="s">
        <v>282</v>
      </c>
      <c r="E25" s="22" t="s">
        <v>352</v>
      </c>
    </row>
    <row r="26" customFormat="false" ht="15" hidden="false" customHeight="false" outlineLevel="0" collapsed="false">
      <c r="A26" s="5" t="s">
        <v>353</v>
      </c>
      <c r="B26" s="5" t="s">
        <v>354</v>
      </c>
      <c r="C26" s="28" t="s">
        <v>355</v>
      </c>
      <c r="D26" s="5" t="s">
        <v>282</v>
      </c>
      <c r="E26" s="22" t="s">
        <v>356</v>
      </c>
    </row>
    <row r="27" customFormat="false" ht="15" hidden="false" customHeight="false" outlineLevel="0" collapsed="false">
      <c r="A27" s="5" t="s">
        <v>357</v>
      </c>
      <c r="B27" s="5" t="s">
        <v>354</v>
      </c>
      <c r="C27" s="28" t="s">
        <v>358</v>
      </c>
      <c r="D27" s="5" t="s">
        <v>297</v>
      </c>
      <c r="E27" s="22" t="s">
        <v>298</v>
      </c>
    </row>
    <row r="28" customFormat="false" ht="15" hidden="false" customHeight="false" outlineLevel="0" collapsed="false">
      <c r="A28" s="5" t="s">
        <v>359</v>
      </c>
      <c r="B28" s="5" t="s">
        <v>354</v>
      </c>
      <c r="C28" s="28" t="s">
        <v>360</v>
      </c>
      <c r="D28" s="5" t="s">
        <v>309</v>
      </c>
      <c r="E28" s="22" t="s">
        <v>310</v>
      </c>
    </row>
    <row r="29" customFormat="false" ht="15" hidden="false" customHeight="false" outlineLevel="0" collapsed="false">
      <c r="A29" s="5" t="s">
        <v>361</v>
      </c>
      <c r="B29" s="5" t="s">
        <v>354</v>
      </c>
      <c r="C29" s="28" t="s">
        <v>362</v>
      </c>
      <c r="D29" s="5" t="s">
        <v>305</v>
      </c>
      <c r="E29" s="22" t="s">
        <v>306</v>
      </c>
    </row>
    <row r="30" customFormat="false" ht="23.85" hidden="false" customHeight="false" outlineLevel="0" collapsed="false">
      <c r="A30" s="5" t="s">
        <v>363</v>
      </c>
      <c r="B30" s="5" t="s">
        <v>354</v>
      </c>
      <c r="C30" s="28" t="s">
        <v>364</v>
      </c>
      <c r="D30" s="5" t="s">
        <v>365</v>
      </c>
      <c r="E30" s="22" t="s">
        <v>366</v>
      </c>
    </row>
    <row r="31" customFormat="false" ht="15" hidden="false" customHeight="false" outlineLevel="0" collapsed="false">
      <c r="A31" s="5" t="s">
        <v>367</v>
      </c>
      <c r="B31" s="5" t="s">
        <v>354</v>
      </c>
      <c r="C31" s="28" t="s">
        <v>368</v>
      </c>
      <c r="D31" s="5" t="s">
        <v>316</v>
      </c>
      <c r="E31" s="22" t="s">
        <v>335</v>
      </c>
    </row>
    <row r="32" customFormat="false" ht="23.85" hidden="false" customHeight="false" outlineLevel="0" collapsed="false">
      <c r="A32" s="5" t="s">
        <v>369</v>
      </c>
      <c r="B32" s="5" t="s">
        <v>354</v>
      </c>
      <c r="C32" s="28" t="s">
        <v>370</v>
      </c>
      <c r="D32" s="5" t="s">
        <v>371</v>
      </c>
      <c r="E32" s="22" t="s">
        <v>372</v>
      </c>
    </row>
    <row r="33" customFormat="false" ht="23.85" hidden="false" customHeight="false" outlineLevel="0" collapsed="false">
      <c r="A33" s="5" t="s">
        <v>373</v>
      </c>
      <c r="B33" s="5" t="s">
        <v>354</v>
      </c>
      <c r="C33" s="28" t="s">
        <v>374</v>
      </c>
      <c r="D33" s="5" t="s">
        <v>375</v>
      </c>
      <c r="E33" s="22" t="s">
        <v>376</v>
      </c>
    </row>
    <row r="34" customFormat="false" ht="15" hidden="false" customHeight="false" outlineLevel="0" collapsed="false">
      <c r="A34" s="5" t="s">
        <v>377</v>
      </c>
      <c r="B34" s="5" t="s">
        <v>354</v>
      </c>
      <c r="C34" s="28" t="s">
        <v>378</v>
      </c>
      <c r="D34" s="5" t="s">
        <v>379</v>
      </c>
      <c r="E34" s="22" t="s">
        <v>380</v>
      </c>
    </row>
    <row r="35" customFormat="false" ht="15" hidden="false" customHeight="false" outlineLevel="0" collapsed="false">
      <c r="A35" s="5" t="s">
        <v>381</v>
      </c>
      <c r="B35" s="5" t="s">
        <v>354</v>
      </c>
      <c r="C35" s="28" t="s">
        <v>382</v>
      </c>
      <c r="D35" s="5" t="s">
        <v>383</v>
      </c>
      <c r="E35" s="22" t="s">
        <v>384</v>
      </c>
    </row>
    <row r="36" customFormat="false" ht="23.85" hidden="false" customHeight="false" outlineLevel="0" collapsed="false">
      <c r="A36" s="5" t="s">
        <v>385</v>
      </c>
      <c r="B36" s="5" t="s">
        <v>354</v>
      </c>
      <c r="C36" s="28" t="s">
        <v>386</v>
      </c>
      <c r="D36" s="5" t="s">
        <v>379</v>
      </c>
      <c r="E36" s="22" t="s">
        <v>387</v>
      </c>
    </row>
    <row r="37" customFormat="false" ht="15" hidden="false" customHeight="false" outlineLevel="0" collapsed="false">
      <c r="A37" s="5" t="s">
        <v>388</v>
      </c>
      <c r="B37" s="5" t="s">
        <v>354</v>
      </c>
      <c r="C37" s="28" t="s">
        <v>389</v>
      </c>
      <c r="D37" s="5" t="s">
        <v>390</v>
      </c>
      <c r="E37" s="22" t="s">
        <v>391</v>
      </c>
    </row>
    <row r="38" customFormat="false" ht="15" hidden="false" customHeight="false" outlineLevel="0" collapsed="false">
      <c r="A38" s="5" t="s">
        <v>392</v>
      </c>
      <c r="B38" s="5" t="s">
        <v>354</v>
      </c>
      <c r="C38" s="28" t="s">
        <v>393</v>
      </c>
      <c r="D38" s="5" t="s">
        <v>394</v>
      </c>
      <c r="E38" s="22" t="s">
        <v>395</v>
      </c>
    </row>
    <row r="39" customFormat="false" ht="15" hidden="false" customHeight="false" outlineLevel="0" collapsed="false">
      <c r="A39" s="5" t="s">
        <v>396</v>
      </c>
      <c r="B39" s="5" t="s">
        <v>354</v>
      </c>
      <c r="C39" s="28" t="s">
        <v>397</v>
      </c>
      <c r="D39" s="5" t="s">
        <v>398</v>
      </c>
      <c r="E39" s="22" t="s">
        <v>399</v>
      </c>
    </row>
    <row r="40" customFormat="false" ht="15" hidden="false" customHeight="false" outlineLevel="0" collapsed="false">
      <c r="A40" s="5" t="s">
        <v>400</v>
      </c>
      <c r="B40" s="5" t="s">
        <v>354</v>
      </c>
      <c r="C40" s="28" t="s">
        <v>401</v>
      </c>
      <c r="D40" s="5" t="s">
        <v>402</v>
      </c>
      <c r="E40" s="22" t="s">
        <v>403</v>
      </c>
    </row>
    <row r="41" customFormat="false" ht="23.85" hidden="false" customHeight="false" outlineLevel="0" collapsed="false">
      <c r="A41" s="5" t="s">
        <v>404</v>
      </c>
      <c r="B41" s="5" t="s">
        <v>354</v>
      </c>
      <c r="C41" s="28" t="s">
        <v>405</v>
      </c>
      <c r="D41" s="5" t="s">
        <v>406</v>
      </c>
      <c r="E41" s="22" t="s">
        <v>407</v>
      </c>
    </row>
    <row r="42" customFormat="false" ht="23.85" hidden="false" customHeight="false" outlineLevel="0" collapsed="false">
      <c r="A42" s="5" t="s">
        <v>408</v>
      </c>
      <c r="B42" s="5" t="s">
        <v>354</v>
      </c>
      <c r="C42" s="28" t="s">
        <v>409</v>
      </c>
      <c r="D42" s="5" t="s">
        <v>410</v>
      </c>
      <c r="E42" s="22" t="s">
        <v>411</v>
      </c>
    </row>
    <row r="43" customFormat="false" ht="15" hidden="false" customHeight="false" outlineLevel="0" collapsed="false">
      <c r="A43" s="5" t="s">
        <v>412</v>
      </c>
      <c r="B43" s="5" t="s">
        <v>354</v>
      </c>
      <c r="C43" s="28" t="s">
        <v>413</v>
      </c>
      <c r="D43" s="5" t="s">
        <v>414</v>
      </c>
      <c r="E43" s="22" t="s">
        <v>415</v>
      </c>
    </row>
    <row r="44" customFormat="false" ht="15" hidden="false" customHeight="false" outlineLevel="0" collapsed="false">
      <c r="A44" s="5" t="s">
        <v>416</v>
      </c>
      <c r="B44" s="5" t="s">
        <v>354</v>
      </c>
      <c r="C44" s="28" t="s">
        <v>417</v>
      </c>
      <c r="D44" s="5" t="s">
        <v>418</v>
      </c>
      <c r="E44" s="22" t="s">
        <v>419</v>
      </c>
    </row>
    <row r="45" customFormat="false" ht="15" hidden="false" customHeight="false" outlineLevel="0" collapsed="false">
      <c r="A45" s="5" t="s">
        <v>420</v>
      </c>
      <c r="B45" s="5" t="s">
        <v>354</v>
      </c>
      <c r="C45" s="28" t="s">
        <v>421</v>
      </c>
      <c r="D45" s="5" t="s">
        <v>282</v>
      </c>
      <c r="E45" s="22" t="s">
        <v>323</v>
      </c>
    </row>
    <row r="46" customFormat="false" ht="23.85" hidden="false" customHeight="false" outlineLevel="0" collapsed="false">
      <c r="A46" s="5" t="s">
        <v>422</v>
      </c>
      <c r="B46" s="5" t="s">
        <v>354</v>
      </c>
      <c r="C46" s="28" t="s">
        <v>423</v>
      </c>
      <c r="D46" s="5" t="s">
        <v>282</v>
      </c>
      <c r="E46" s="22" t="s">
        <v>424</v>
      </c>
    </row>
    <row r="47" customFormat="false" ht="15" hidden="false" customHeight="false" outlineLevel="0" collapsed="false">
      <c r="A47" s="5" t="s">
        <v>425</v>
      </c>
      <c r="B47" s="5" t="s">
        <v>354</v>
      </c>
      <c r="C47" s="28" t="s">
        <v>426</v>
      </c>
      <c r="D47" s="5" t="s">
        <v>282</v>
      </c>
      <c r="E47" s="22" t="s">
        <v>329</v>
      </c>
    </row>
    <row r="48" customFormat="false" ht="23.85" hidden="false" customHeight="false" outlineLevel="0" collapsed="false">
      <c r="A48" s="5" t="s">
        <v>427</v>
      </c>
      <c r="B48" s="5" t="s">
        <v>354</v>
      </c>
      <c r="C48" s="28" t="s">
        <v>428</v>
      </c>
      <c r="D48" s="5" t="s">
        <v>383</v>
      </c>
      <c r="E48" s="22" t="s">
        <v>429</v>
      </c>
    </row>
    <row r="49" customFormat="false" ht="23.85" hidden="false" customHeight="false" outlineLevel="0" collapsed="false">
      <c r="A49" s="5" t="s">
        <v>430</v>
      </c>
      <c r="B49" s="5" t="s">
        <v>354</v>
      </c>
      <c r="C49" s="28" t="s">
        <v>431</v>
      </c>
      <c r="D49" s="5" t="s">
        <v>282</v>
      </c>
      <c r="E49" s="22" t="s">
        <v>352</v>
      </c>
    </row>
    <row r="50" customFormat="false" ht="23.85" hidden="false" customHeight="false" outlineLevel="0" collapsed="false">
      <c r="A50" s="5" t="s">
        <v>432</v>
      </c>
      <c r="B50" s="5" t="s">
        <v>354</v>
      </c>
      <c r="C50" s="28" t="s">
        <v>433</v>
      </c>
      <c r="D50" s="5" t="s">
        <v>282</v>
      </c>
      <c r="E50" s="22" t="s">
        <v>434</v>
      </c>
    </row>
    <row r="51" customFormat="false" ht="15" hidden="false" customHeight="false" outlineLevel="0" collapsed="false">
      <c r="A51" s="5" t="s">
        <v>435</v>
      </c>
      <c r="B51" s="5" t="s">
        <v>354</v>
      </c>
      <c r="C51" s="28" t="s">
        <v>436</v>
      </c>
      <c r="D51" s="5" t="s">
        <v>282</v>
      </c>
      <c r="E51" s="22" t="s">
        <v>437</v>
      </c>
    </row>
    <row r="52" customFormat="false" ht="15" hidden="false" customHeight="false" outlineLevel="0" collapsed="false">
      <c r="A52" s="5" t="s">
        <v>438</v>
      </c>
      <c r="B52" s="5" t="s">
        <v>354</v>
      </c>
      <c r="C52" s="28" t="s">
        <v>439</v>
      </c>
      <c r="D52" s="5" t="s">
        <v>282</v>
      </c>
      <c r="E52" s="22" t="s">
        <v>440</v>
      </c>
    </row>
    <row r="53" customFormat="false" ht="15" hidden="false" customHeight="false" outlineLevel="0" collapsed="false">
      <c r="A53" s="5" t="s">
        <v>441</v>
      </c>
      <c r="B53" s="5" t="s">
        <v>354</v>
      </c>
      <c r="C53" s="28" t="s">
        <v>442</v>
      </c>
      <c r="D53" s="5" t="s">
        <v>282</v>
      </c>
      <c r="E53" s="22" t="s">
        <v>443</v>
      </c>
    </row>
    <row r="54" customFormat="false" ht="15" hidden="false" customHeight="false" outlineLevel="0" collapsed="false">
      <c r="A54" s="5" t="s">
        <v>444</v>
      </c>
      <c r="B54" s="5" t="s">
        <v>354</v>
      </c>
      <c r="C54" s="28" t="s">
        <v>445</v>
      </c>
      <c r="D54" s="5" t="s">
        <v>282</v>
      </c>
      <c r="E54" s="22" t="s">
        <v>349</v>
      </c>
    </row>
    <row r="55" customFormat="false" ht="15" hidden="false" customHeight="false" outlineLevel="0" collapsed="false">
      <c r="A55" s="5" t="s">
        <v>446</v>
      </c>
      <c r="B55" s="5" t="s">
        <v>354</v>
      </c>
      <c r="C55" s="28" t="s">
        <v>447</v>
      </c>
      <c r="D55" s="5" t="s">
        <v>282</v>
      </c>
      <c r="E55" s="22" t="s">
        <v>338</v>
      </c>
    </row>
    <row r="56" customFormat="false" ht="23.85" hidden="false" customHeight="false" outlineLevel="0" collapsed="false">
      <c r="A56" s="5" t="s">
        <v>448</v>
      </c>
      <c r="B56" s="5" t="s">
        <v>354</v>
      </c>
      <c r="C56" s="28" t="s">
        <v>449</v>
      </c>
      <c r="D56" s="5" t="s">
        <v>450</v>
      </c>
      <c r="E56" s="22" t="s">
        <v>451</v>
      </c>
    </row>
    <row r="57" customFormat="false" ht="23.85" hidden="false" customHeight="false" outlineLevel="0" collapsed="false">
      <c r="A57" s="5" t="s">
        <v>452</v>
      </c>
      <c r="B57" s="5" t="s">
        <v>354</v>
      </c>
      <c r="C57" s="28" t="s">
        <v>453</v>
      </c>
      <c r="D57" s="5" t="s">
        <v>454</v>
      </c>
      <c r="E57" s="22" t="s">
        <v>455</v>
      </c>
    </row>
    <row r="58" customFormat="false" ht="23.85" hidden="false" customHeight="false" outlineLevel="0" collapsed="false">
      <c r="A58" s="5" t="s">
        <v>456</v>
      </c>
      <c r="B58" s="5" t="s">
        <v>354</v>
      </c>
      <c r="C58" s="28" t="s">
        <v>457</v>
      </c>
      <c r="D58" s="5" t="s">
        <v>458</v>
      </c>
      <c r="E58" s="22" t="s">
        <v>459</v>
      </c>
    </row>
    <row r="59" customFormat="false" ht="15" hidden="false" customHeight="false" outlineLevel="0" collapsed="false">
      <c r="A59" s="5" t="s">
        <v>460</v>
      </c>
      <c r="B59" s="5" t="s">
        <v>354</v>
      </c>
      <c r="C59" s="28" t="s">
        <v>461</v>
      </c>
      <c r="D59" s="5" t="s">
        <v>462</v>
      </c>
      <c r="E59" s="22" t="s">
        <v>463</v>
      </c>
    </row>
    <row r="60" customFormat="false" ht="23.85" hidden="false" customHeight="false" outlineLevel="0" collapsed="false">
      <c r="A60" s="5" t="s">
        <v>464</v>
      </c>
      <c r="B60" s="5" t="s">
        <v>354</v>
      </c>
      <c r="C60" s="28" t="s">
        <v>465</v>
      </c>
      <c r="D60" s="5" t="s">
        <v>466</v>
      </c>
      <c r="E60" s="22" t="s">
        <v>467</v>
      </c>
    </row>
    <row r="61" customFormat="false" ht="15" hidden="false" customHeight="false" outlineLevel="0" collapsed="false">
      <c r="A61" s="5" t="s">
        <v>468</v>
      </c>
      <c r="B61" s="5" t="s">
        <v>469</v>
      </c>
      <c r="C61" s="28" t="s">
        <v>470</v>
      </c>
      <c r="D61" s="5" t="s">
        <v>282</v>
      </c>
      <c r="E61" s="22" t="s">
        <v>356</v>
      </c>
    </row>
    <row r="62" customFormat="false" ht="23.85" hidden="false" customHeight="false" outlineLevel="0" collapsed="false">
      <c r="A62" s="5" t="s">
        <v>471</v>
      </c>
      <c r="B62" s="5" t="s">
        <v>469</v>
      </c>
      <c r="C62" s="28" t="s">
        <v>472</v>
      </c>
      <c r="D62" s="5" t="s">
        <v>305</v>
      </c>
      <c r="E62" s="22" t="s">
        <v>306</v>
      </c>
    </row>
    <row r="63" customFormat="false" ht="15" hidden="false" customHeight="false" outlineLevel="0" collapsed="false">
      <c r="A63" s="5" t="s">
        <v>473</v>
      </c>
      <c r="B63" s="5" t="s">
        <v>469</v>
      </c>
      <c r="C63" s="28" t="s">
        <v>308</v>
      </c>
      <c r="D63" s="5" t="s">
        <v>309</v>
      </c>
      <c r="E63" s="22" t="s">
        <v>310</v>
      </c>
    </row>
    <row r="64" customFormat="false" ht="15" hidden="false" customHeight="false" outlineLevel="0" collapsed="false">
      <c r="A64" s="5" t="s">
        <v>474</v>
      </c>
      <c r="B64" s="5" t="s">
        <v>469</v>
      </c>
      <c r="C64" s="28" t="s">
        <v>475</v>
      </c>
      <c r="D64" s="5" t="s">
        <v>282</v>
      </c>
      <c r="E64" s="22" t="s">
        <v>313</v>
      </c>
    </row>
    <row r="65" customFormat="false" ht="23.85" hidden="false" customHeight="false" outlineLevel="0" collapsed="false">
      <c r="A65" s="5" t="s">
        <v>476</v>
      </c>
      <c r="B65" s="5" t="s">
        <v>469</v>
      </c>
      <c r="C65" s="28" t="s">
        <v>364</v>
      </c>
      <c r="D65" s="5" t="s">
        <v>477</v>
      </c>
      <c r="E65" s="22" t="s">
        <v>366</v>
      </c>
    </row>
    <row r="66" customFormat="false" ht="23.85" hidden="false" customHeight="false" outlineLevel="0" collapsed="false">
      <c r="A66" s="5" t="s">
        <v>478</v>
      </c>
      <c r="B66" s="5" t="s">
        <v>469</v>
      </c>
      <c r="C66" s="28" t="s">
        <v>479</v>
      </c>
      <c r="D66" s="5" t="s">
        <v>365</v>
      </c>
      <c r="E66" s="22" t="s">
        <v>480</v>
      </c>
    </row>
    <row r="67" customFormat="false" ht="23.85" hidden="false" customHeight="false" outlineLevel="0" collapsed="false">
      <c r="A67" s="5" t="s">
        <v>481</v>
      </c>
      <c r="B67" s="5" t="s">
        <v>469</v>
      </c>
      <c r="C67" s="28" t="s">
        <v>482</v>
      </c>
      <c r="D67" s="5" t="s">
        <v>483</v>
      </c>
      <c r="E67" s="22" t="s">
        <v>484</v>
      </c>
    </row>
    <row r="68" customFormat="false" ht="23.85" hidden="false" customHeight="false" outlineLevel="0" collapsed="false">
      <c r="A68" s="5" t="s">
        <v>485</v>
      </c>
      <c r="B68" s="5" t="s">
        <v>469</v>
      </c>
      <c r="C68" s="28" t="s">
        <v>486</v>
      </c>
      <c r="D68" s="5" t="s">
        <v>282</v>
      </c>
      <c r="E68" s="22" t="s">
        <v>323</v>
      </c>
    </row>
    <row r="69" customFormat="false" ht="23.85" hidden="false" customHeight="false" outlineLevel="0" collapsed="false">
      <c r="A69" s="5" t="s">
        <v>487</v>
      </c>
      <c r="B69" s="5" t="s">
        <v>469</v>
      </c>
      <c r="C69" s="28" t="s">
        <v>488</v>
      </c>
      <c r="D69" s="5" t="s">
        <v>282</v>
      </c>
      <c r="E69" s="22" t="s">
        <v>489</v>
      </c>
    </row>
    <row r="70" customFormat="false" ht="15" hidden="false" customHeight="false" outlineLevel="0" collapsed="false">
      <c r="A70" s="5" t="s">
        <v>490</v>
      </c>
      <c r="B70" s="5" t="s">
        <v>469</v>
      </c>
      <c r="C70" s="28" t="s">
        <v>491</v>
      </c>
      <c r="D70" s="5" t="s">
        <v>282</v>
      </c>
      <c r="E70" s="22" t="s">
        <v>492</v>
      </c>
    </row>
    <row r="71" customFormat="false" ht="15" hidden="false" customHeight="false" outlineLevel="0" collapsed="false">
      <c r="A71" s="5" t="s">
        <v>493</v>
      </c>
      <c r="B71" s="5" t="s">
        <v>469</v>
      </c>
      <c r="C71" s="28" t="s">
        <v>494</v>
      </c>
      <c r="D71" s="5" t="s">
        <v>282</v>
      </c>
      <c r="E71" s="22" t="s">
        <v>332</v>
      </c>
    </row>
    <row r="72" customFormat="false" ht="15" hidden="false" customHeight="false" outlineLevel="0" collapsed="false">
      <c r="A72" s="5" t="s">
        <v>495</v>
      </c>
      <c r="B72" s="5" t="s">
        <v>469</v>
      </c>
      <c r="C72" s="28" t="s">
        <v>496</v>
      </c>
      <c r="D72" s="5" t="s">
        <v>375</v>
      </c>
      <c r="E72" s="22" t="s">
        <v>497</v>
      </c>
    </row>
    <row r="73" customFormat="false" ht="23.85" hidden="false" customHeight="false" outlineLevel="0" collapsed="false">
      <c r="A73" s="5" t="s">
        <v>498</v>
      </c>
      <c r="B73" s="5" t="s">
        <v>469</v>
      </c>
      <c r="C73" s="28" t="s">
        <v>499</v>
      </c>
      <c r="D73" s="5" t="s">
        <v>500</v>
      </c>
      <c r="E73" s="22" t="s">
        <v>501</v>
      </c>
    </row>
    <row r="74" customFormat="false" ht="23.85" hidden="false" customHeight="false" outlineLevel="0" collapsed="false">
      <c r="A74" s="5" t="s">
        <v>502</v>
      </c>
      <c r="B74" s="5" t="s">
        <v>469</v>
      </c>
      <c r="C74" s="28" t="s">
        <v>503</v>
      </c>
      <c r="D74" s="5" t="s">
        <v>504</v>
      </c>
      <c r="E74" s="22" t="s">
        <v>505</v>
      </c>
    </row>
    <row r="75" customFormat="false" ht="15" hidden="false" customHeight="false" outlineLevel="0" collapsed="false">
      <c r="A75" s="5" t="s">
        <v>506</v>
      </c>
      <c r="B75" s="5" t="s">
        <v>469</v>
      </c>
      <c r="C75" s="28" t="s">
        <v>507</v>
      </c>
      <c r="D75" s="5" t="s">
        <v>508</v>
      </c>
      <c r="E75" s="22" t="s">
        <v>509</v>
      </c>
    </row>
    <row r="76" customFormat="false" ht="23.85" hidden="false" customHeight="false" outlineLevel="0" collapsed="false">
      <c r="A76" s="5" t="s">
        <v>510</v>
      </c>
      <c r="B76" s="5" t="s">
        <v>469</v>
      </c>
      <c r="C76" s="28" t="s">
        <v>511</v>
      </c>
      <c r="D76" s="5" t="s">
        <v>512</v>
      </c>
      <c r="E76" s="22" t="s">
        <v>513</v>
      </c>
    </row>
    <row r="77" customFormat="false" ht="23.85" hidden="false" customHeight="false" outlineLevel="0" collapsed="false">
      <c r="A77" s="5" t="s">
        <v>514</v>
      </c>
      <c r="B77" s="5" t="s">
        <v>469</v>
      </c>
      <c r="C77" s="28" t="s">
        <v>515</v>
      </c>
      <c r="D77" s="5" t="s">
        <v>516</v>
      </c>
      <c r="E77" s="22" t="s">
        <v>517</v>
      </c>
    </row>
    <row r="78" customFormat="false" ht="15" hidden="false" customHeight="false" outlineLevel="0" collapsed="false">
      <c r="A78" s="5" t="s">
        <v>518</v>
      </c>
      <c r="B78" s="5" t="s">
        <v>469</v>
      </c>
      <c r="C78" s="28" t="s">
        <v>519</v>
      </c>
      <c r="D78" s="5" t="s">
        <v>520</v>
      </c>
      <c r="E78" s="22" t="s">
        <v>521</v>
      </c>
    </row>
    <row r="79" customFormat="false" ht="46.25" hidden="false" customHeight="false" outlineLevel="0" collapsed="false">
      <c r="A79" s="5" t="s">
        <v>522</v>
      </c>
      <c r="B79" s="5" t="s">
        <v>469</v>
      </c>
      <c r="C79" s="28" t="s">
        <v>523</v>
      </c>
      <c r="D79" s="5" t="s">
        <v>282</v>
      </c>
      <c r="E79" s="22" t="s">
        <v>338</v>
      </c>
    </row>
    <row r="80" customFormat="false" ht="23.85" hidden="false" customHeight="false" outlineLevel="0" collapsed="false">
      <c r="A80" s="5" t="s">
        <v>524</v>
      </c>
      <c r="B80" s="5" t="s">
        <v>469</v>
      </c>
      <c r="C80" s="28" t="s">
        <v>525</v>
      </c>
      <c r="D80" s="5" t="s">
        <v>450</v>
      </c>
      <c r="E80" s="22" t="s">
        <v>451</v>
      </c>
    </row>
    <row r="81" customFormat="false" ht="35.05" hidden="false" customHeight="false" outlineLevel="0" collapsed="false">
      <c r="A81" s="5" t="s">
        <v>526</v>
      </c>
      <c r="B81" s="5" t="s">
        <v>469</v>
      </c>
      <c r="C81" s="28" t="s">
        <v>527</v>
      </c>
      <c r="D81" s="5" t="s">
        <v>345</v>
      </c>
      <c r="E81" s="22" t="s">
        <v>346</v>
      </c>
    </row>
    <row r="82" customFormat="false" ht="23.85" hidden="false" customHeight="false" outlineLevel="0" collapsed="false">
      <c r="A82" s="5" t="s">
        <v>528</v>
      </c>
      <c r="B82" s="5" t="s">
        <v>469</v>
      </c>
      <c r="C82" s="28" t="s">
        <v>529</v>
      </c>
      <c r="D82" s="5" t="s">
        <v>530</v>
      </c>
      <c r="E82" s="22" t="s">
        <v>531</v>
      </c>
    </row>
    <row r="83" customFormat="false" ht="35.05" hidden="false" customHeight="false" outlineLevel="0" collapsed="false">
      <c r="A83" s="5" t="s">
        <v>532</v>
      </c>
      <c r="B83" s="5" t="s">
        <v>469</v>
      </c>
      <c r="C83" s="28" t="s">
        <v>533</v>
      </c>
      <c r="D83" s="5" t="s">
        <v>534</v>
      </c>
      <c r="E83" s="22" t="s">
        <v>429</v>
      </c>
    </row>
    <row r="84" customFormat="false" ht="15" hidden="false" customHeight="false" outlineLevel="0" collapsed="false">
      <c r="A84" s="5" t="s">
        <v>535</v>
      </c>
      <c r="B84" s="5" t="s">
        <v>469</v>
      </c>
      <c r="C84" s="28" t="s">
        <v>351</v>
      </c>
      <c r="D84" s="5" t="s">
        <v>282</v>
      </c>
      <c r="E84" s="22" t="s">
        <v>352</v>
      </c>
    </row>
    <row r="85" customFormat="false" ht="15" hidden="false" customHeight="false" outlineLevel="0" collapsed="false">
      <c r="A85" s="5" t="s">
        <v>536</v>
      </c>
      <c r="B85" s="5" t="s">
        <v>469</v>
      </c>
      <c r="C85" s="28" t="s">
        <v>537</v>
      </c>
      <c r="D85" s="5" t="s">
        <v>282</v>
      </c>
      <c r="E85" s="22" t="s">
        <v>538</v>
      </c>
    </row>
    <row r="86" customFormat="false" ht="23.85" hidden="false" customHeight="false" outlineLevel="0" collapsed="false">
      <c r="A86" s="5" t="s">
        <v>539</v>
      </c>
      <c r="B86" s="5" t="s">
        <v>469</v>
      </c>
      <c r="C86" s="28" t="s">
        <v>348</v>
      </c>
      <c r="D86" s="5" t="s">
        <v>282</v>
      </c>
      <c r="E86" s="22" t="s">
        <v>349</v>
      </c>
    </row>
    <row r="87" customFormat="false" ht="15" hidden="false" customHeight="false" outlineLevel="0" collapsed="false">
      <c r="A87" s="5" t="s">
        <v>540</v>
      </c>
      <c r="B87" s="5" t="s">
        <v>541</v>
      </c>
      <c r="C87" s="28" t="s">
        <v>542</v>
      </c>
      <c r="D87" s="5" t="s">
        <v>282</v>
      </c>
      <c r="E87" s="22" t="s">
        <v>356</v>
      </c>
    </row>
    <row r="88" customFormat="false" ht="15" hidden="false" customHeight="false" outlineLevel="0" collapsed="false">
      <c r="A88" s="5" t="s">
        <v>543</v>
      </c>
      <c r="B88" s="5" t="s">
        <v>541</v>
      </c>
      <c r="C88" s="28" t="s">
        <v>544</v>
      </c>
      <c r="D88" s="5" t="s">
        <v>309</v>
      </c>
      <c r="E88" s="22" t="s">
        <v>310</v>
      </c>
    </row>
    <row r="89" customFormat="false" ht="15" hidden="false" customHeight="false" outlineLevel="0" collapsed="false">
      <c r="A89" s="5" t="s">
        <v>545</v>
      </c>
      <c r="B89" s="5" t="s">
        <v>541</v>
      </c>
      <c r="C89" s="28" t="s">
        <v>546</v>
      </c>
      <c r="D89" s="5" t="s">
        <v>305</v>
      </c>
      <c r="E89" s="22" t="s">
        <v>306</v>
      </c>
    </row>
    <row r="90" customFormat="false" ht="23.85" hidden="false" customHeight="false" outlineLevel="0" collapsed="false">
      <c r="A90" s="5" t="s">
        <v>547</v>
      </c>
      <c r="B90" s="5" t="s">
        <v>541</v>
      </c>
      <c r="C90" s="28" t="s">
        <v>548</v>
      </c>
      <c r="D90" s="5" t="s">
        <v>282</v>
      </c>
      <c r="E90" s="22" t="s">
        <v>338</v>
      </c>
    </row>
    <row r="91" customFormat="false" ht="23.85" hidden="false" customHeight="false" outlineLevel="0" collapsed="false">
      <c r="A91" s="5" t="s">
        <v>549</v>
      </c>
      <c r="B91" s="5" t="s">
        <v>541</v>
      </c>
      <c r="C91" s="28" t="s">
        <v>550</v>
      </c>
      <c r="D91" s="5" t="s">
        <v>282</v>
      </c>
      <c r="E91" s="22" t="s">
        <v>323</v>
      </c>
    </row>
    <row r="92" customFormat="false" ht="23.85" hidden="false" customHeight="false" outlineLevel="0" collapsed="false">
      <c r="A92" s="5" t="s">
        <v>551</v>
      </c>
      <c r="B92" s="5" t="s">
        <v>541</v>
      </c>
      <c r="C92" s="28" t="s">
        <v>552</v>
      </c>
      <c r="D92" s="5" t="s">
        <v>477</v>
      </c>
      <c r="E92" s="22" t="s">
        <v>366</v>
      </c>
    </row>
    <row r="93" customFormat="false" ht="23.85" hidden="false" customHeight="false" outlineLevel="0" collapsed="false">
      <c r="A93" s="5" t="s">
        <v>553</v>
      </c>
      <c r="B93" s="5" t="s">
        <v>541</v>
      </c>
      <c r="C93" s="28" t="s">
        <v>554</v>
      </c>
      <c r="D93" s="5" t="s">
        <v>371</v>
      </c>
      <c r="E93" s="22" t="s">
        <v>555</v>
      </c>
    </row>
    <row r="94" customFormat="false" ht="15" hidden="false" customHeight="false" outlineLevel="0" collapsed="false">
      <c r="A94" s="5" t="s">
        <v>556</v>
      </c>
      <c r="B94" s="5" t="s">
        <v>541</v>
      </c>
      <c r="C94" s="28" t="s">
        <v>557</v>
      </c>
      <c r="D94" s="5" t="s">
        <v>558</v>
      </c>
      <c r="E94" s="22" t="s">
        <v>559</v>
      </c>
    </row>
    <row r="95" customFormat="false" ht="23.85" hidden="false" customHeight="false" outlineLevel="0" collapsed="false">
      <c r="A95" s="5" t="s">
        <v>560</v>
      </c>
      <c r="B95" s="5" t="s">
        <v>541</v>
      </c>
      <c r="C95" s="28" t="s">
        <v>561</v>
      </c>
      <c r="D95" s="5" t="s">
        <v>316</v>
      </c>
      <c r="E95" s="22" t="s">
        <v>335</v>
      </c>
    </row>
    <row r="96" customFormat="false" ht="23.85" hidden="false" customHeight="false" outlineLevel="0" collapsed="false">
      <c r="A96" s="5" t="s">
        <v>562</v>
      </c>
      <c r="B96" s="5" t="s">
        <v>541</v>
      </c>
      <c r="C96" s="28" t="s">
        <v>563</v>
      </c>
      <c r="D96" s="5" t="s">
        <v>564</v>
      </c>
      <c r="E96" s="22" t="s">
        <v>565</v>
      </c>
    </row>
    <row r="97" customFormat="false" ht="23.85" hidden="false" customHeight="false" outlineLevel="0" collapsed="false">
      <c r="A97" s="5" t="s">
        <v>566</v>
      </c>
      <c r="B97" s="5" t="s">
        <v>541</v>
      </c>
      <c r="C97" s="28" t="s">
        <v>567</v>
      </c>
      <c r="D97" s="5" t="s">
        <v>316</v>
      </c>
      <c r="E97" s="22" t="s">
        <v>568</v>
      </c>
    </row>
    <row r="98" customFormat="false" ht="23.85" hidden="false" customHeight="false" outlineLevel="0" collapsed="false">
      <c r="A98" s="5" t="s">
        <v>569</v>
      </c>
      <c r="B98" s="5" t="s">
        <v>541</v>
      </c>
      <c r="C98" s="28" t="s">
        <v>570</v>
      </c>
      <c r="D98" s="5" t="s">
        <v>571</v>
      </c>
      <c r="E98" s="22" t="s">
        <v>572</v>
      </c>
    </row>
    <row r="99" customFormat="false" ht="23.85" hidden="false" customHeight="false" outlineLevel="0" collapsed="false">
      <c r="A99" s="5" t="s">
        <v>573</v>
      </c>
      <c r="B99" s="5" t="s">
        <v>541</v>
      </c>
      <c r="C99" s="28" t="s">
        <v>574</v>
      </c>
      <c r="D99" s="5" t="s">
        <v>450</v>
      </c>
      <c r="E99" s="22" t="s">
        <v>451</v>
      </c>
    </row>
    <row r="100" customFormat="false" ht="23.85" hidden="false" customHeight="false" outlineLevel="0" collapsed="false">
      <c r="A100" s="5" t="s">
        <v>575</v>
      </c>
      <c r="B100" s="5" t="s">
        <v>541</v>
      </c>
      <c r="C100" s="28" t="s">
        <v>576</v>
      </c>
      <c r="D100" s="5" t="s">
        <v>309</v>
      </c>
      <c r="E100" s="22" t="s">
        <v>577</v>
      </c>
    </row>
    <row r="101" customFormat="false" ht="23.85" hidden="false" customHeight="false" outlineLevel="0" collapsed="false">
      <c r="A101" s="5" t="s">
        <v>578</v>
      </c>
      <c r="B101" s="5" t="s">
        <v>541</v>
      </c>
      <c r="C101" s="28" t="s">
        <v>579</v>
      </c>
      <c r="D101" s="5" t="s">
        <v>580</v>
      </c>
      <c r="E101" s="22" t="s">
        <v>581</v>
      </c>
    </row>
    <row r="102" customFormat="false" ht="23.85" hidden="false" customHeight="false" outlineLevel="0" collapsed="false">
      <c r="A102" s="5" t="s">
        <v>582</v>
      </c>
      <c r="B102" s="5" t="s">
        <v>541</v>
      </c>
      <c r="C102" s="28" t="s">
        <v>583</v>
      </c>
      <c r="D102" s="5" t="s">
        <v>584</v>
      </c>
      <c r="E102" s="22" t="s">
        <v>585</v>
      </c>
    </row>
    <row r="103" customFormat="false" ht="35.05" hidden="false" customHeight="false" outlineLevel="0" collapsed="false">
      <c r="A103" s="5" t="s">
        <v>586</v>
      </c>
      <c r="B103" s="5" t="s">
        <v>541</v>
      </c>
      <c r="C103" s="28" t="s">
        <v>587</v>
      </c>
      <c r="D103" s="5" t="s">
        <v>297</v>
      </c>
      <c r="E103" s="22" t="s">
        <v>298</v>
      </c>
    </row>
    <row r="104" customFormat="false" ht="15" hidden="false" customHeight="false" outlineLevel="0" collapsed="false">
      <c r="A104" s="5" t="s">
        <v>588</v>
      </c>
      <c r="B104" s="5" t="s">
        <v>541</v>
      </c>
      <c r="C104" s="28" t="s">
        <v>589</v>
      </c>
      <c r="D104" s="5" t="s">
        <v>282</v>
      </c>
      <c r="E104" s="22" t="s">
        <v>329</v>
      </c>
    </row>
    <row r="105" customFormat="false" ht="23.85" hidden="false" customHeight="false" outlineLevel="0" collapsed="false">
      <c r="A105" s="5" t="s">
        <v>590</v>
      </c>
      <c r="B105" s="5" t="s">
        <v>541</v>
      </c>
      <c r="C105" s="28" t="s">
        <v>591</v>
      </c>
      <c r="D105" s="5" t="s">
        <v>282</v>
      </c>
      <c r="E105" s="22" t="s">
        <v>592</v>
      </c>
    </row>
    <row r="106" customFormat="false" ht="23.85" hidden="false" customHeight="false" outlineLevel="0" collapsed="false">
      <c r="A106" s="5" t="s">
        <v>593</v>
      </c>
      <c r="B106" s="5" t="s">
        <v>541</v>
      </c>
      <c r="C106" s="28" t="s">
        <v>594</v>
      </c>
      <c r="D106" s="5" t="s">
        <v>483</v>
      </c>
      <c r="E106" s="22" t="s">
        <v>595</v>
      </c>
    </row>
    <row r="107" customFormat="false" ht="23.85" hidden="false" customHeight="false" outlineLevel="0" collapsed="false">
      <c r="A107" s="5" t="s">
        <v>596</v>
      </c>
      <c r="B107" s="5" t="s">
        <v>541</v>
      </c>
      <c r="C107" s="28" t="s">
        <v>597</v>
      </c>
      <c r="D107" s="5" t="s">
        <v>462</v>
      </c>
      <c r="E107" s="22" t="s">
        <v>598</v>
      </c>
    </row>
    <row r="108" customFormat="false" ht="23.85" hidden="false" customHeight="false" outlineLevel="0" collapsed="false">
      <c r="A108" s="5" t="s">
        <v>599</v>
      </c>
      <c r="B108" s="5" t="s">
        <v>541</v>
      </c>
      <c r="C108" s="28" t="s">
        <v>600</v>
      </c>
      <c r="D108" s="5" t="s">
        <v>601</v>
      </c>
      <c r="E108" s="22" t="s">
        <v>602</v>
      </c>
    </row>
    <row r="109" customFormat="false" ht="15" hidden="false" customHeight="false" outlineLevel="0" collapsed="false">
      <c r="A109" s="5" t="s">
        <v>603</v>
      </c>
      <c r="B109" s="5" t="s">
        <v>604</v>
      </c>
      <c r="C109" s="28" t="s">
        <v>470</v>
      </c>
      <c r="D109" s="5" t="s">
        <v>282</v>
      </c>
      <c r="E109" s="22" t="s">
        <v>356</v>
      </c>
    </row>
    <row r="110" customFormat="false" ht="23.85" hidden="false" customHeight="false" outlineLevel="0" collapsed="false">
      <c r="A110" s="5" t="s">
        <v>605</v>
      </c>
      <c r="B110" s="5" t="s">
        <v>604</v>
      </c>
      <c r="C110" s="28" t="s">
        <v>606</v>
      </c>
      <c r="D110" s="5" t="s">
        <v>297</v>
      </c>
      <c r="E110" s="22" t="s">
        <v>298</v>
      </c>
    </row>
    <row r="111" customFormat="false" ht="15" hidden="false" customHeight="false" outlineLevel="0" collapsed="false">
      <c r="A111" s="5" t="s">
        <v>607</v>
      </c>
      <c r="B111" s="5" t="s">
        <v>604</v>
      </c>
      <c r="C111" s="28" t="s">
        <v>608</v>
      </c>
      <c r="D111" s="5" t="s">
        <v>305</v>
      </c>
      <c r="E111" s="22" t="s">
        <v>306</v>
      </c>
    </row>
    <row r="112" customFormat="false" ht="15" hidden="false" customHeight="false" outlineLevel="0" collapsed="false">
      <c r="A112" s="5" t="s">
        <v>609</v>
      </c>
      <c r="B112" s="5" t="s">
        <v>604</v>
      </c>
      <c r="C112" s="28" t="s">
        <v>610</v>
      </c>
      <c r="D112" s="5" t="s">
        <v>309</v>
      </c>
      <c r="E112" s="22" t="s">
        <v>310</v>
      </c>
    </row>
    <row r="113" customFormat="false" ht="23.85" hidden="false" customHeight="false" outlineLevel="0" collapsed="false">
      <c r="A113" s="5" t="s">
        <v>611</v>
      </c>
      <c r="B113" s="5" t="s">
        <v>604</v>
      </c>
      <c r="C113" s="28" t="s">
        <v>612</v>
      </c>
      <c r="D113" s="5" t="s">
        <v>282</v>
      </c>
      <c r="E113" s="22" t="s">
        <v>323</v>
      </c>
    </row>
    <row r="114" customFormat="false" ht="23.85" hidden="false" customHeight="false" outlineLevel="0" collapsed="false">
      <c r="A114" s="5" t="s">
        <v>613</v>
      </c>
      <c r="B114" s="5" t="s">
        <v>604</v>
      </c>
      <c r="C114" s="28" t="s">
        <v>614</v>
      </c>
      <c r="D114" s="5" t="s">
        <v>282</v>
      </c>
      <c r="E114" s="22" t="s">
        <v>615</v>
      </c>
    </row>
    <row r="115" customFormat="false" ht="15" hidden="false" customHeight="false" outlineLevel="0" collapsed="false">
      <c r="A115" s="5" t="s">
        <v>616</v>
      </c>
      <c r="B115" s="5" t="s">
        <v>604</v>
      </c>
      <c r="C115" s="28" t="s">
        <v>617</v>
      </c>
      <c r="D115" s="5" t="s">
        <v>618</v>
      </c>
      <c r="E115" s="22" t="s">
        <v>619</v>
      </c>
    </row>
    <row r="116" customFormat="false" ht="15" hidden="false" customHeight="false" outlineLevel="0" collapsed="false">
      <c r="A116" s="5" t="s">
        <v>620</v>
      </c>
      <c r="B116" s="5" t="s">
        <v>604</v>
      </c>
      <c r="C116" s="28" t="s">
        <v>621</v>
      </c>
      <c r="D116" s="5" t="s">
        <v>622</v>
      </c>
      <c r="E116" s="22" t="s">
        <v>623</v>
      </c>
    </row>
    <row r="117" customFormat="false" ht="23.85" hidden="false" customHeight="false" outlineLevel="0" collapsed="false">
      <c r="A117" s="5" t="s">
        <v>624</v>
      </c>
      <c r="B117" s="5" t="s">
        <v>604</v>
      </c>
      <c r="C117" s="28" t="s">
        <v>625</v>
      </c>
      <c r="D117" s="5" t="s">
        <v>282</v>
      </c>
      <c r="E117" s="22" t="s">
        <v>626</v>
      </c>
    </row>
    <row r="118" customFormat="false" ht="15" hidden="false" customHeight="false" outlineLevel="0" collapsed="false">
      <c r="A118" s="5" t="s">
        <v>627</v>
      </c>
      <c r="B118" s="5" t="s">
        <v>604</v>
      </c>
      <c r="C118" s="28" t="s">
        <v>628</v>
      </c>
      <c r="D118" s="5" t="s">
        <v>398</v>
      </c>
      <c r="E118" s="22" t="s">
        <v>629</v>
      </c>
    </row>
    <row r="119" customFormat="false" ht="15" hidden="false" customHeight="false" outlineLevel="0" collapsed="false">
      <c r="A119" s="5" t="s">
        <v>630</v>
      </c>
      <c r="B119" s="5" t="s">
        <v>604</v>
      </c>
      <c r="C119" s="28" t="s">
        <v>631</v>
      </c>
      <c r="D119" s="5" t="s">
        <v>632</v>
      </c>
      <c r="E119" s="22" t="s">
        <v>633</v>
      </c>
    </row>
    <row r="120" customFormat="false" ht="23.85" hidden="false" customHeight="false" outlineLevel="0" collapsed="false">
      <c r="A120" s="5" t="s">
        <v>634</v>
      </c>
      <c r="B120" s="5" t="s">
        <v>604</v>
      </c>
      <c r="C120" s="28" t="s">
        <v>635</v>
      </c>
      <c r="D120" s="5" t="s">
        <v>371</v>
      </c>
      <c r="E120" s="22" t="s">
        <v>636</v>
      </c>
    </row>
    <row r="121" customFormat="false" ht="23.85" hidden="false" customHeight="false" outlineLevel="0" collapsed="false">
      <c r="A121" s="5" t="s">
        <v>637</v>
      </c>
      <c r="B121" s="5" t="s">
        <v>604</v>
      </c>
      <c r="C121" s="28" t="s">
        <v>638</v>
      </c>
      <c r="D121" s="5" t="s">
        <v>639</v>
      </c>
      <c r="E121" s="22" t="s">
        <v>565</v>
      </c>
    </row>
    <row r="122" customFormat="false" ht="15" hidden="false" customHeight="false" outlineLevel="0" collapsed="false">
      <c r="A122" s="5" t="s">
        <v>640</v>
      </c>
      <c r="B122" s="5" t="s">
        <v>604</v>
      </c>
      <c r="C122" s="28" t="s">
        <v>641</v>
      </c>
      <c r="D122" s="5" t="s">
        <v>418</v>
      </c>
      <c r="E122" s="22" t="s">
        <v>642</v>
      </c>
    </row>
    <row r="123" customFormat="false" ht="15" hidden="false" customHeight="false" outlineLevel="0" collapsed="false">
      <c r="A123" s="5" t="s">
        <v>643</v>
      </c>
      <c r="B123" s="5" t="s">
        <v>604</v>
      </c>
      <c r="C123" s="28" t="s">
        <v>644</v>
      </c>
      <c r="D123" s="5" t="s">
        <v>645</v>
      </c>
      <c r="E123" s="22" t="s">
        <v>646</v>
      </c>
    </row>
    <row r="124" customFormat="false" ht="23.85" hidden="false" customHeight="false" outlineLevel="0" collapsed="false">
      <c r="A124" s="5" t="s">
        <v>647</v>
      </c>
      <c r="B124" s="5" t="s">
        <v>604</v>
      </c>
      <c r="C124" s="28" t="s">
        <v>648</v>
      </c>
      <c r="D124" s="5" t="s">
        <v>383</v>
      </c>
      <c r="E124" s="22" t="s">
        <v>649</v>
      </c>
    </row>
    <row r="125" customFormat="false" ht="15" hidden="false" customHeight="false" outlineLevel="0" collapsed="false">
      <c r="A125" s="5" t="s">
        <v>650</v>
      </c>
      <c r="B125" s="5" t="s">
        <v>604</v>
      </c>
      <c r="C125" s="28" t="s">
        <v>651</v>
      </c>
      <c r="D125" s="5" t="s">
        <v>466</v>
      </c>
      <c r="E125" s="22" t="s">
        <v>652</v>
      </c>
    </row>
    <row r="126" customFormat="false" ht="15" hidden="false" customHeight="false" outlineLevel="0" collapsed="false">
      <c r="A126" s="5" t="s">
        <v>653</v>
      </c>
      <c r="B126" s="5" t="s">
        <v>604</v>
      </c>
      <c r="C126" s="28" t="s">
        <v>654</v>
      </c>
      <c r="D126" s="5" t="s">
        <v>655</v>
      </c>
      <c r="E126" s="22" t="s">
        <v>656</v>
      </c>
    </row>
    <row r="127" customFormat="false" ht="23.85" hidden="false" customHeight="false" outlineLevel="0" collapsed="false">
      <c r="A127" s="5" t="s">
        <v>657</v>
      </c>
      <c r="B127" s="5" t="s">
        <v>604</v>
      </c>
      <c r="C127" s="28" t="s">
        <v>658</v>
      </c>
      <c r="D127" s="5" t="s">
        <v>618</v>
      </c>
      <c r="E127" s="22" t="s">
        <v>659</v>
      </c>
    </row>
    <row r="128" customFormat="false" ht="23.85" hidden="false" customHeight="false" outlineLevel="0" collapsed="false">
      <c r="A128" s="5" t="s">
        <v>660</v>
      </c>
      <c r="B128" s="5" t="s">
        <v>604</v>
      </c>
      <c r="C128" s="28" t="s">
        <v>661</v>
      </c>
      <c r="D128" s="5" t="s">
        <v>282</v>
      </c>
      <c r="E128" s="22" t="s">
        <v>434</v>
      </c>
    </row>
    <row r="129" customFormat="false" ht="15" hidden="false" customHeight="false" outlineLevel="0" collapsed="false">
      <c r="A129" s="5" t="s">
        <v>662</v>
      </c>
      <c r="B129" s="5" t="s">
        <v>604</v>
      </c>
      <c r="C129" s="28" t="s">
        <v>663</v>
      </c>
      <c r="D129" s="5" t="s">
        <v>664</v>
      </c>
      <c r="E129" s="22" t="s">
        <v>665</v>
      </c>
    </row>
    <row r="130" customFormat="false" ht="23.85" hidden="false" customHeight="false" outlineLevel="0" collapsed="false">
      <c r="A130" s="5" t="s">
        <v>666</v>
      </c>
      <c r="B130" s="5" t="s">
        <v>604</v>
      </c>
      <c r="C130" s="28" t="s">
        <v>667</v>
      </c>
      <c r="D130" s="5" t="s">
        <v>668</v>
      </c>
      <c r="E130" s="22" t="s">
        <v>669</v>
      </c>
    </row>
    <row r="131" customFormat="false" ht="15" hidden="false" customHeight="false" outlineLevel="0" collapsed="false">
      <c r="A131" s="5" t="s">
        <v>670</v>
      </c>
      <c r="B131" s="5" t="s">
        <v>604</v>
      </c>
      <c r="C131" s="28" t="s">
        <v>671</v>
      </c>
      <c r="D131" s="5" t="s">
        <v>282</v>
      </c>
      <c r="E131" s="22" t="s">
        <v>313</v>
      </c>
    </row>
    <row r="132" customFormat="false" ht="23.85" hidden="false" customHeight="false" outlineLevel="0" collapsed="false">
      <c r="A132" s="5" t="s">
        <v>672</v>
      </c>
      <c r="B132" s="5" t="s">
        <v>604</v>
      </c>
      <c r="C132" s="28" t="s">
        <v>673</v>
      </c>
      <c r="D132" s="5" t="s">
        <v>282</v>
      </c>
      <c r="E132" s="22" t="s">
        <v>329</v>
      </c>
    </row>
    <row r="133" customFormat="false" ht="23.85" hidden="false" customHeight="false" outlineLevel="0" collapsed="false">
      <c r="A133" s="5" t="s">
        <v>674</v>
      </c>
      <c r="B133" s="5" t="s">
        <v>604</v>
      </c>
      <c r="C133" s="28" t="s">
        <v>675</v>
      </c>
      <c r="D133" s="5" t="s">
        <v>282</v>
      </c>
      <c r="E133" s="22" t="s">
        <v>592</v>
      </c>
    </row>
    <row r="134" customFormat="false" ht="15" hidden="false" customHeight="false" outlineLevel="0" collapsed="false">
      <c r="A134" s="5" t="s">
        <v>676</v>
      </c>
      <c r="B134" s="5" t="s">
        <v>604</v>
      </c>
      <c r="C134" s="28" t="s">
        <v>677</v>
      </c>
      <c r="D134" s="5" t="s">
        <v>282</v>
      </c>
      <c r="E134" s="22" t="s">
        <v>678</v>
      </c>
    </row>
    <row r="135" customFormat="false" ht="35.05" hidden="false" customHeight="false" outlineLevel="0" collapsed="false">
      <c r="A135" s="5" t="s">
        <v>679</v>
      </c>
      <c r="B135" s="5" t="s">
        <v>604</v>
      </c>
      <c r="C135" s="28" t="s">
        <v>680</v>
      </c>
      <c r="D135" s="5" t="s">
        <v>681</v>
      </c>
      <c r="E135" s="22" t="s">
        <v>682</v>
      </c>
    </row>
    <row r="136" customFormat="false" ht="23.85" hidden="false" customHeight="false" outlineLevel="0" collapsed="false">
      <c r="A136" s="5" t="s">
        <v>683</v>
      </c>
      <c r="B136" s="5" t="s">
        <v>604</v>
      </c>
      <c r="C136" s="28" t="s">
        <v>348</v>
      </c>
      <c r="D136" s="5" t="s">
        <v>282</v>
      </c>
      <c r="E136" s="22" t="s">
        <v>349</v>
      </c>
    </row>
    <row r="137" customFormat="false" ht="23.85" hidden="false" customHeight="false" outlineLevel="0" collapsed="false">
      <c r="A137" s="5" t="s">
        <v>684</v>
      </c>
      <c r="B137" s="5" t="s">
        <v>604</v>
      </c>
      <c r="C137" s="28" t="s">
        <v>685</v>
      </c>
      <c r="D137" s="5" t="s">
        <v>282</v>
      </c>
      <c r="E137" s="5" t="s">
        <v>686</v>
      </c>
    </row>
    <row r="138" customFormat="false" ht="15" hidden="false" customHeight="false" outlineLevel="0" collapsed="false">
      <c r="A138" s="5" t="s">
        <v>687</v>
      </c>
      <c r="B138" s="5" t="s">
        <v>688</v>
      </c>
      <c r="C138" s="28" t="s">
        <v>281</v>
      </c>
      <c r="D138" s="5" t="s">
        <v>282</v>
      </c>
      <c r="E138" s="22" t="s">
        <v>283</v>
      </c>
    </row>
    <row r="139" customFormat="false" ht="15" hidden="false" customHeight="false" outlineLevel="0" collapsed="false">
      <c r="A139" s="5" t="s">
        <v>689</v>
      </c>
      <c r="B139" s="5" t="s">
        <v>688</v>
      </c>
      <c r="C139" s="28" t="s">
        <v>304</v>
      </c>
      <c r="D139" s="5" t="s">
        <v>305</v>
      </c>
      <c r="E139" s="22" t="s">
        <v>306</v>
      </c>
    </row>
    <row r="140" customFormat="false" ht="23.85" hidden="false" customHeight="false" outlineLevel="0" collapsed="false">
      <c r="A140" s="5" t="s">
        <v>690</v>
      </c>
      <c r="B140" s="5" t="s">
        <v>688</v>
      </c>
      <c r="C140" s="28" t="s">
        <v>691</v>
      </c>
      <c r="D140" s="5" t="s">
        <v>462</v>
      </c>
      <c r="E140" s="22" t="s">
        <v>692</v>
      </c>
    </row>
    <row r="141" customFormat="false" ht="23.85" hidden="false" customHeight="false" outlineLevel="0" collapsed="false">
      <c r="A141" s="5" t="s">
        <v>693</v>
      </c>
      <c r="B141" s="5" t="s">
        <v>688</v>
      </c>
      <c r="C141" s="28" t="s">
        <v>694</v>
      </c>
      <c r="D141" s="5" t="s">
        <v>458</v>
      </c>
      <c r="E141" s="22" t="s">
        <v>695</v>
      </c>
    </row>
    <row r="142" customFormat="false" ht="15" hidden="false" customHeight="false" outlineLevel="0" collapsed="false">
      <c r="A142" s="5" t="s">
        <v>696</v>
      </c>
      <c r="B142" s="5" t="s">
        <v>688</v>
      </c>
      <c r="C142" s="28" t="s">
        <v>328</v>
      </c>
      <c r="D142" s="5" t="s">
        <v>282</v>
      </c>
      <c r="E142" s="22" t="s">
        <v>329</v>
      </c>
    </row>
    <row r="143" customFormat="false" ht="15" hidden="false" customHeight="false" outlineLevel="0" collapsed="false">
      <c r="A143" s="5" t="s">
        <v>697</v>
      </c>
      <c r="B143" s="5" t="s">
        <v>688</v>
      </c>
      <c r="C143" s="28" t="s">
        <v>698</v>
      </c>
      <c r="D143" s="5" t="s">
        <v>282</v>
      </c>
      <c r="E143" s="22" t="s">
        <v>323</v>
      </c>
    </row>
    <row r="144" customFormat="false" ht="23.85" hidden="false" customHeight="false" outlineLevel="0" collapsed="false">
      <c r="A144" s="5" t="s">
        <v>699</v>
      </c>
      <c r="B144" s="5" t="s">
        <v>688</v>
      </c>
      <c r="C144" s="28" t="s">
        <v>700</v>
      </c>
      <c r="D144" s="5" t="s">
        <v>282</v>
      </c>
      <c r="E144" s="22" t="s">
        <v>701</v>
      </c>
    </row>
    <row r="145" customFormat="false" ht="15" hidden="false" customHeight="false" outlineLevel="0" collapsed="false">
      <c r="A145" s="5" t="s">
        <v>702</v>
      </c>
      <c r="B145" s="5" t="s">
        <v>688</v>
      </c>
      <c r="C145" s="28" t="s">
        <v>703</v>
      </c>
      <c r="D145" s="5" t="s">
        <v>282</v>
      </c>
      <c r="E145" s="22" t="s">
        <v>338</v>
      </c>
    </row>
    <row r="146" customFormat="false" ht="15" hidden="false" customHeight="false" outlineLevel="0" collapsed="false">
      <c r="A146" s="5" t="s">
        <v>704</v>
      </c>
      <c r="B146" s="5" t="s">
        <v>688</v>
      </c>
      <c r="C146" s="28" t="s">
        <v>312</v>
      </c>
      <c r="D146" s="5" t="s">
        <v>282</v>
      </c>
      <c r="E146" s="22" t="s">
        <v>313</v>
      </c>
    </row>
    <row r="147" customFormat="false" ht="46.25" hidden="false" customHeight="false" outlineLevel="0" collapsed="false">
      <c r="A147" s="5" t="s">
        <v>705</v>
      </c>
      <c r="B147" s="5" t="s">
        <v>688</v>
      </c>
      <c r="C147" s="28" t="s">
        <v>706</v>
      </c>
      <c r="D147" s="5" t="s">
        <v>282</v>
      </c>
      <c r="E147" s="22" t="s">
        <v>707</v>
      </c>
    </row>
    <row r="148" customFormat="false" ht="23.85" hidden="false" customHeight="false" outlineLevel="0" collapsed="false">
      <c r="A148" s="5" t="s">
        <v>708</v>
      </c>
      <c r="B148" s="5" t="s">
        <v>688</v>
      </c>
      <c r="C148" s="28" t="s">
        <v>709</v>
      </c>
      <c r="D148" s="5" t="s">
        <v>710</v>
      </c>
      <c r="E148" s="22" t="s">
        <v>711</v>
      </c>
    </row>
    <row r="149" customFormat="false" ht="35.05" hidden="false" customHeight="false" outlineLevel="0" collapsed="false">
      <c r="A149" s="5" t="s">
        <v>712</v>
      </c>
      <c r="B149" s="5" t="s">
        <v>688</v>
      </c>
      <c r="C149" s="28" t="s">
        <v>713</v>
      </c>
      <c r="D149" s="5" t="s">
        <v>282</v>
      </c>
      <c r="E149" s="5" t="s">
        <v>714</v>
      </c>
    </row>
    <row r="150" customFormat="false" ht="23.85" hidden="false" customHeight="false" outlineLevel="0" collapsed="false">
      <c r="A150" s="5" t="s">
        <v>715</v>
      </c>
      <c r="B150" s="5" t="s">
        <v>688</v>
      </c>
      <c r="C150" s="28" t="s">
        <v>716</v>
      </c>
      <c r="D150" s="5" t="s">
        <v>717</v>
      </c>
      <c r="E150" s="22" t="s">
        <v>718</v>
      </c>
    </row>
    <row r="151" customFormat="false" ht="15" hidden="false" customHeight="false" outlineLevel="0" collapsed="false">
      <c r="A151" s="5" t="s">
        <v>719</v>
      </c>
      <c r="B151" s="5" t="s">
        <v>688</v>
      </c>
      <c r="C151" s="28" t="s">
        <v>720</v>
      </c>
      <c r="D151" s="5" t="s">
        <v>721</v>
      </c>
      <c r="E151" s="22" t="s">
        <v>722</v>
      </c>
    </row>
    <row r="152" customFormat="false" ht="23.85" hidden="false" customHeight="false" outlineLevel="0" collapsed="false">
      <c r="A152" s="5" t="s">
        <v>723</v>
      </c>
      <c r="B152" s="5" t="s">
        <v>688</v>
      </c>
      <c r="C152" s="28" t="s">
        <v>724</v>
      </c>
      <c r="D152" s="5" t="s">
        <v>418</v>
      </c>
      <c r="E152" s="22" t="s">
        <v>419</v>
      </c>
    </row>
    <row r="153" customFormat="false" ht="23.85" hidden="false" customHeight="false" outlineLevel="0" collapsed="false">
      <c r="A153" s="5" t="s">
        <v>725</v>
      </c>
      <c r="B153" s="5" t="s">
        <v>688</v>
      </c>
      <c r="C153" s="28" t="s">
        <v>726</v>
      </c>
      <c r="D153" s="5" t="s">
        <v>371</v>
      </c>
      <c r="E153" s="22" t="s">
        <v>636</v>
      </c>
    </row>
    <row r="154" customFormat="false" ht="15" hidden="false" customHeight="false" outlineLevel="0" collapsed="false">
      <c r="A154" s="5" t="s">
        <v>727</v>
      </c>
      <c r="B154" s="5" t="s">
        <v>688</v>
      </c>
      <c r="C154" s="28" t="s">
        <v>728</v>
      </c>
      <c r="D154" s="5" t="s">
        <v>729</v>
      </c>
      <c r="E154" s="22" t="s">
        <v>730</v>
      </c>
    </row>
    <row r="155" customFormat="false" ht="15" hidden="false" customHeight="false" outlineLevel="0" collapsed="false">
      <c r="A155" s="5" t="s">
        <v>731</v>
      </c>
      <c r="B155" s="5" t="s">
        <v>688</v>
      </c>
      <c r="C155" s="28" t="s">
        <v>732</v>
      </c>
      <c r="D155" s="5" t="s">
        <v>558</v>
      </c>
      <c r="E155" s="22" t="s">
        <v>559</v>
      </c>
    </row>
    <row r="156" customFormat="false" ht="23.85" hidden="false" customHeight="false" outlineLevel="0" collapsed="false">
      <c r="A156" s="5" t="s">
        <v>733</v>
      </c>
      <c r="B156" s="5" t="s">
        <v>688</v>
      </c>
      <c r="C156" s="28" t="s">
        <v>734</v>
      </c>
      <c r="D156" s="5" t="s">
        <v>735</v>
      </c>
      <c r="E156" s="22" t="s">
        <v>352</v>
      </c>
    </row>
    <row r="157" customFormat="false" ht="23.85" hidden="false" customHeight="false" outlineLevel="0" collapsed="false">
      <c r="A157" s="5" t="s">
        <v>736</v>
      </c>
      <c r="B157" s="5" t="s">
        <v>688</v>
      </c>
      <c r="C157" s="28" t="s">
        <v>737</v>
      </c>
      <c r="D157" s="5" t="s">
        <v>735</v>
      </c>
      <c r="E157" s="22" t="s">
        <v>738</v>
      </c>
    </row>
    <row r="158" customFormat="false" ht="15" hidden="false" customHeight="false" outlineLevel="0" collapsed="false">
      <c r="A158" s="5" t="s">
        <v>739</v>
      </c>
      <c r="B158" s="5" t="s">
        <v>688</v>
      </c>
      <c r="C158" s="28" t="s">
        <v>740</v>
      </c>
      <c r="D158" s="5" t="s">
        <v>741</v>
      </c>
      <c r="E158" s="22" t="s">
        <v>742</v>
      </c>
    </row>
    <row r="159" customFormat="false" ht="15" hidden="false" customHeight="false" outlineLevel="0" collapsed="false">
      <c r="A159" s="5" t="s">
        <v>743</v>
      </c>
      <c r="B159" s="5" t="s">
        <v>688</v>
      </c>
      <c r="C159" s="28" t="s">
        <v>744</v>
      </c>
      <c r="D159" s="5" t="s">
        <v>745</v>
      </c>
      <c r="E159" s="22" t="s">
        <v>746</v>
      </c>
    </row>
    <row r="160" customFormat="false" ht="23.85" hidden="false" customHeight="false" outlineLevel="0" collapsed="false">
      <c r="A160" s="5" t="s">
        <v>747</v>
      </c>
      <c r="B160" s="5" t="s">
        <v>688</v>
      </c>
      <c r="C160" s="28" t="s">
        <v>748</v>
      </c>
      <c r="D160" s="5" t="s">
        <v>735</v>
      </c>
      <c r="E160" s="22" t="s">
        <v>749</v>
      </c>
    </row>
    <row r="161" customFormat="false" ht="15" hidden="false" customHeight="false" outlineLevel="0" collapsed="false">
      <c r="A161" s="5" t="s">
        <v>750</v>
      </c>
      <c r="B161" s="5" t="s">
        <v>688</v>
      </c>
      <c r="C161" s="28" t="s">
        <v>751</v>
      </c>
      <c r="D161" s="5" t="s">
        <v>735</v>
      </c>
      <c r="E161" s="22" t="s">
        <v>752</v>
      </c>
    </row>
    <row r="162" customFormat="false" ht="23.85" hidden="false" customHeight="false" outlineLevel="0" collapsed="false">
      <c r="A162" s="5" t="s">
        <v>753</v>
      </c>
      <c r="B162" s="5" t="s">
        <v>688</v>
      </c>
      <c r="C162" s="28" t="s">
        <v>754</v>
      </c>
      <c r="D162" s="5" t="s">
        <v>735</v>
      </c>
      <c r="E162" s="5" t="s">
        <v>755</v>
      </c>
    </row>
    <row r="163" customFormat="false" ht="15" hidden="false" customHeight="false" outlineLevel="0" collapsed="false">
      <c r="A163" s="5" t="s">
        <v>756</v>
      </c>
      <c r="B163" s="5" t="s">
        <v>688</v>
      </c>
      <c r="C163" s="28" t="s">
        <v>757</v>
      </c>
      <c r="D163" s="5" t="s">
        <v>735</v>
      </c>
      <c r="E163" s="22" t="s">
        <v>349</v>
      </c>
    </row>
    <row r="164" customFormat="false" ht="23.85" hidden="false" customHeight="false" outlineLevel="0" collapsed="false">
      <c r="A164" s="5" t="s">
        <v>758</v>
      </c>
      <c r="B164" s="5" t="s">
        <v>688</v>
      </c>
      <c r="C164" s="28" t="s">
        <v>759</v>
      </c>
      <c r="D164" s="5" t="s">
        <v>375</v>
      </c>
      <c r="E164" s="22" t="s">
        <v>760</v>
      </c>
    </row>
    <row r="165" customFormat="false" ht="23.85" hidden="false" customHeight="false" outlineLevel="0" collapsed="false">
      <c r="A165" s="5" t="s">
        <v>761</v>
      </c>
      <c r="B165" s="5" t="s">
        <v>688</v>
      </c>
      <c r="C165" s="28" t="s">
        <v>762</v>
      </c>
      <c r="D165" s="5" t="s">
        <v>735</v>
      </c>
      <c r="E165" s="22" t="s">
        <v>763</v>
      </c>
    </row>
    <row r="166" customFormat="false" ht="23.85" hidden="false" customHeight="false" outlineLevel="0" collapsed="false">
      <c r="A166" s="5" t="s">
        <v>764</v>
      </c>
      <c r="B166" s="5" t="s">
        <v>688</v>
      </c>
      <c r="C166" s="28" t="s">
        <v>765</v>
      </c>
      <c r="D166" s="5" t="s">
        <v>735</v>
      </c>
      <c r="E166" s="22" t="s">
        <v>766</v>
      </c>
    </row>
    <row r="167" customFormat="false" ht="23.85" hidden="false" customHeight="false" outlineLevel="0" collapsed="false">
      <c r="A167" s="5" t="s">
        <v>767</v>
      </c>
      <c r="B167" s="5" t="s">
        <v>688</v>
      </c>
      <c r="C167" s="28" t="s">
        <v>768</v>
      </c>
      <c r="D167" s="5" t="s">
        <v>735</v>
      </c>
      <c r="E167" s="22" t="s">
        <v>769</v>
      </c>
    </row>
    <row r="168" customFormat="false" ht="35.05" hidden="false" customHeight="false" outlineLevel="0" collapsed="false">
      <c r="A168" s="5" t="s">
        <v>770</v>
      </c>
      <c r="B168" s="5" t="s">
        <v>688</v>
      </c>
      <c r="C168" s="28" t="s">
        <v>771</v>
      </c>
      <c r="D168" s="5" t="s">
        <v>735</v>
      </c>
      <c r="E168" s="5" t="s">
        <v>772</v>
      </c>
    </row>
  </sheetData>
  <hyperlinks>
    <hyperlink ref="E5" r:id="rId1" display="https://www.sec.gov/Archives/edgar/data/1065280/000106528026000290/ex991_q326.htm"/>
    <hyperlink ref="E6" r:id="rId2" display="https://www.sec.gov/Archives/edgar/data/1065280/000106528026000290/nflx-20261020.htm"/>
    <hyperlink ref="E7" r:id="rId3" display="https://www.sec.gov/Archives/edgar/data/1065280/000106528026000211/ex991_q226.htm"/>
    <hyperlink ref="E8" r:id="rId4" display="https://www.sec.gov/Archives/edgar/data/1065280/000106528026000137/ex991_q126.htm"/>
    <hyperlink ref="E9" r:id="rId5" display="https://www.sec.gov/Archives/edgar/data/1065280/000106528026000033/ex991_q425.htm"/>
    <hyperlink ref="E10" r:id="rId6" display="https://www.sec.gov/Archives/edgar/data/1065280/000106528025000404/ex991_q325.htm"/>
    <hyperlink ref="E11" r:id="rId7" display="https://www.sec.gov/Archives/edgar/data/1065280/000106528026000034/nflx-20251231.htm"/>
    <hyperlink ref="E12" r:id="rId8" display="https://www.sec.gov/Archives/edgar/data/1065280/000106528026000212/nflx-20260630.htm"/>
    <hyperlink ref="E13" r:id="rId9" display="https://data.sec.gov/api/xbrl/companyfacts/CIK0001065280.json"/>
    <hyperlink ref="E14" r:id="rId10" display="https://s22.q4cdn.com/959853165/files/doc_news/Netflix-to-Announce-Third-Quarter-2026-Financial-Results-2026.pdf"/>
    <hyperlink ref="E15" r:id="rId11" display="https://allmind.ai/earnings/event/2932171"/>
    <hyperlink ref="E16" r:id="rId12" display="https://api.nasdaq.com/api/analyst/NFLX/earnings-forecast"/>
    <hyperlink ref="E18" r:id="rId13" display="https://home.treasury.gov/resource-center/data-chart-center/interest-rates/daily-treasury-rates.csv/2026/all?type=daily_treasury_yield_curve&amp;field_tdr_date_value=2026&amp;page&amp;_format=csv"/>
    <hyperlink ref="E19" r:id="rId14" display="https://query1.finance.yahoo.com/v8/finance/chart/NFLX?range=2y&amp;interval=1wk"/>
    <hyperlink ref="E20" r:id="rId15" display="https://adwave.com/resources/most-watched-streaming-service-q3-2026"/>
    <hyperlink ref="E21" r:id="rId16" display="https://www.investing.com/news/transcripts/earnings-call-transcript-netflix-beats-q3-2026-estimates-but-shares-fall-after-hours-93CH-4961240"/>
    <hyperlink ref="E22" r:id="rId17" display="https://www.sec.gov/Archives/edgar/data/2041610/000110465926012401/tm2533570d50_ex99-1.htm"/>
    <hyperlink ref="E23" r:id="rId18" display="https://www.vpm.org/npr-news/2026-07-13/states-sue-to-stop-paramount-warner-bros-blockbuster-merger"/>
    <hyperlink ref="E24" r:id="rId19" display="https://api.nasdaq.com/api/analyst/GOOGL/earnings-forecast"/>
    <hyperlink ref="E25" r:id="rId20" display="https://api.nasdaq.com/api/analyst/SPOT/earnings-forecast"/>
    <hyperlink ref="E26" r:id="rId21" display="https://www.sec.gov/Archives/edgar/data/0001065280/000106528026000290/ex991_q326.htm"/>
    <hyperlink ref="E27" r:id="rId22" display="https://www.sec.gov/Archives/edgar/data/1065280/000106528026000033/ex991_q425.htm"/>
    <hyperlink ref="E28" r:id="rId23" display="https://www.sec.gov/Archives/edgar/data/1065280/000106528026000212/nflx-20260630.htm"/>
    <hyperlink ref="E29" r:id="rId24" display="https://www.sec.gov/Archives/edgar/data/1065280/000106528026000034/nflx-20251231.htm"/>
    <hyperlink ref="E30" r:id="rId25" display="https://www.thewrap.com/industry-news/business/netflix-stock-wells-fargo-hsbc-downgrade-engagement-trends-youtube-competition/"/>
    <hyperlink ref="E31" r:id="rId26" display="https://adwave.com/resources/most-watched-streaming-service-q3-2026"/>
    <hyperlink ref="E32" r:id="rId27" display="https://www.mediapost.com/publications/article/417308/streaming-climbs-to-485-per-last-lame-duck-edit.html"/>
    <hyperlink ref="E33" r:id="rId28" display="https://www.newscaststudio.com/2026/08/05/disney-streaming-profit-3q-2026/"/>
    <hyperlink ref="E34" r:id="rId29" display="https://www.sec.gov/Archives/edgar/data/0001428439/000162828026054321/a04fy2026q2exhibit991.htm"/>
    <hyperlink ref="E35" r:id="rId30" display="https://www.creatorhandbook.net/youtube-ad-revenue-tops-11-billion-in-q2/"/>
    <hyperlink ref="E36" r:id="rId31" display="https://www.mediapost.com/publications/article/417166/upfront-ads-rise-9-to-337b-streaming-up-30.html"/>
    <hyperlink ref="E37" r:id="rId32" display="https://www.thewrap.com/industry-news/business/netflix-closes-2026-upfront/"/>
    <hyperlink ref="E38" r:id="rId33" display="https://au.variety.com/2026/tv/global/netflix-claims-ad-tier-reaches-250-million-viewers-36559/"/>
    <hyperlink ref="E39" r:id="rId34" display="https://www.emarketer.com/content/ctv-ad-market-will-more-than-double-by-end-of-2026"/>
    <hyperlink ref="E40" r:id="rId35" display="https://www.fox29.com/news/netflix-raising-prices-again-all-plans-how-much-more-youll-be-paying"/>
    <hyperlink ref="E41" r:id="rId36" display="https://www.roic.ai/news/streamflation-sparks-surge-in-subscription-cancellations-netflix-q3-in-focus-09-21-2026"/>
    <hyperlink ref="E42" r:id="rId37" display="https://news.bgov.com/antitrust/paramount-says-all-required-jurisdictions-approved-warner-deal"/>
    <hyperlink ref="E43" r:id="rId38" display="https://www.newscaststudio.com/2026/03/02/paramount-plus-hbo-max-combined/"/>
    <hyperlink ref="E44" r:id="rId39" display="https://stockanalysis.com/stocks/nflx/forecast/"/>
    <hyperlink ref="E45" r:id="rId40" display="https://api.nasdaq.com/api/analyst/NFLX/earnings-forecast"/>
    <hyperlink ref="E46" r:id="rId41" display="https://stockanalysis.com/stocks/nflx/statistics/"/>
    <hyperlink ref="E47" r:id="rId42" display="https://home.treasury.gov/resource-center/data-chart-center/interest-rates/daily-treasury-rates.csv/2026/all?type=daily_treasury_yield_curve&amp;field_tdr_date_value=2026&amp;page&amp;_format=csv"/>
    <hyperlink ref="E48" r:id="rId43" display="https://www.tipranks.com/news/weekend-updates/netflix-stock-plunges-as-analysts-slash-price-targets"/>
    <hyperlink ref="E49" r:id="rId44" display="https://api.nasdaq.com/api/analyst/SPOT/earnings-forecast"/>
    <hyperlink ref="E50" r:id="rId45" display="https://api.nasdaq.com/api/analyst/DIS/earnings-forecast"/>
    <hyperlink ref="E51" r:id="rId46" display="https://twelvedata.com/markets/nasdaq/nflx"/>
    <hyperlink ref="E52" r:id="rId47" display="https://query2.finance.yahoo.com/v8/finance/chart/NFLX?range=5y&amp;interval=1wk"/>
    <hyperlink ref="E53" r:id="rId48" display="https://query2.finance.yahoo.com/v8/finance/chart/SPY?range=5y&amp;interval=1wk"/>
    <hyperlink ref="E54" r:id="rId49" display="https://api.nasdaq.com/api/analyst/GOOGL/earnings-forecast"/>
    <hyperlink ref="E55" r:id="rId50" display="https://www.investing.com/news/transcripts/earnings-call-transcript-netflix-beats-q3-2026-estimates-but-shares-fall-after-hours-93CH-4961240"/>
    <hyperlink ref="E56" r:id="rId51" display="https://www.advanced-television.com/2026/02/18/forecast-netflix-to-take-nearly-10-of-ctv-ad-spend-in-2027/"/>
    <hyperlink ref="E57" r:id="rId52" display="https://www.sec.gov/Archives/edgar/data/0001754301/000119312526270285/d151410dex991.htm"/>
    <hyperlink ref="E58" r:id="rId53" display="https://abcnews.com/amp/Business/wireStory/judge-approves-paramounts-settlement-states-warner-buyout-allowing-136902011"/>
    <hyperlink ref="E59" r:id="rId54" display="https://www.iheart.com/alternate/amp/2026-10-06-paramount-warner-bros-discovery-deal-finalized/"/>
    <hyperlink ref="E60" r:id="rId55" display="https://www.mvariety.com/?p=149210"/>
    <hyperlink ref="E61" r:id="rId56" display="https://www.sec.gov/Archives/edgar/data/0001065280/000106528026000290/ex991_q326.htm"/>
    <hyperlink ref="E62" r:id="rId57" display="https://www.sec.gov/Archives/edgar/data/1065280/000106528026000034/nflx-20251231.htm"/>
    <hyperlink ref="E63" r:id="rId58" display="https://www.sec.gov/Archives/edgar/data/1065280/000106528026000212/nflx-20260630.htm"/>
    <hyperlink ref="E64" r:id="rId59" display="https://data.sec.gov/api/xbrl/companyfacts/CIK0001065280.json"/>
    <hyperlink ref="E65" r:id="rId60" display="https://www.thewrap.com/industry-news/business/netflix-stock-wells-fargo-hsbc-downgrade-engagement-trends-youtube-competition/"/>
    <hyperlink ref="E66" r:id="rId61" display="https://247wallst.com/investing/2026/09/22/a-wells-fargo-analyst-noticed-he-stopped-watching-netflix-then-told-clients-to-sell/"/>
    <hyperlink ref="E67" r:id="rId62" display="https://www.fool.com/investing/2026/10/01/why-netflix-lost-14-in-september/"/>
    <hyperlink ref="E68" r:id="rId63" display="https://api.nasdaq.com/api/analyst/NFLX/earnings-forecast"/>
    <hyperlink ref="E69" r:id="rId64" display="https://data.sec.gov/api/xbrl/companyfacts/"/>
    <hyperlink ref="E70" r:id="rId65" display="https://home.treasury.gov/resource-center/data-chart-center/interest-rates/TextView?type=daily_treasury_yield_curve&amp;field_tdr_date_value=2026"/>
    <hyperlink ref="E71" r:id="rId66" display="https://query1.finance.yahoo.com/v8/finance/chart/NFLX?range=2y&amp;interval=1wk"/>
    <hyperlink ref="E72" r:id="rId67" display="https://www.sec.gov/Archives/edgar/data/0001065280/000106528026000234/wk-form4_1785878104.xml"/>
    <hyperlink ref="E73" r:id="rId68" display="https://agent402.tools/reports/insider/NFLX"/>
    <hyperlink ref="E74" r:id="rId69" display="https://curvedtrading.com/stocks/nflx/short-interest/"/>
    <hyperlink ref="E75" r:id="rId70" display="https://abc30.com/story/netflix-is-laying-off-6-workforce-1000-employees-biggest-round-job-cuts-streaming-giant-years/19938143/"/>
    <hyperlink ref="E76" r:id="rId71" display="https://news.bloomberglaw.com/mergers-and-acquisitions/paramount-offers-to-pay-2-8-billion-breakup-fee-in-warner-deal"/>
    <hyperlink ref="E77" r:id="rId72" display="https://www.tubefilter.com/2026/01/21/neal-mohans-2026-letter-to-creators-a-lot-of-ai-a-tiktok-shop-competitor-and-beautifully-produced-tv-to-compete-with-netflix/"/>
    <hyperlink ref="E78" r:id="rId73" display="https://www.finanzen.net/anleihen/a1909t-netflix-anleihe"/>
    <hyperlink ref="E79" r:id="rId74" display="https://www.investing.com/news/transcripts/earnings-call-transcript-netflix-beats-q3-2026-estimates-but-shares-fall-after-hours-93CH-4961240"/>
    <hyperlink ref="E80" r:id="rId75" display="https://www.advanced-television.com/2026/02/18/forecast-netflix-to-take-nearly-10-of-ctv-ad-spend-in-2027/"/>
    <hyperlink ref="E81" r:id="rId76" display="https://www.vpm.org/npr-news/2026-07-13/states-sue-to-stop-paramount-warner-bros-blockbuster-merger"/>
    <hyperlink ref="E82" r:id="rId77" display="https://www.tubefilter.com/2026/07/19/netflix-watch-hours-reports-once-a-year-q2-2026-earnings/amp/"/>
    <hyperlink ref="E83" r:id="rId78" display="https://www.tipranks.com/news/weekend-updates/netflix-stock-plunges-as-analysts-slash-price-targets"/>
    <hyperlink ref="E84" r:id="rId79" display="https://api.nasdaq.com/api/analyst/SPOT/earnings-forecast"/>
    <hyperlink ref="E85" r:id="rId80" display="https://query1.finance.yahoo.com/v8/finance/chart/SPOT?range=5d&amp;interval=1d"/>
    <hyperlink ref="E86" r:id="rId81" display="https://api.nasdaq.com/api/analyst/GOOGL/earnings-forecast"/>
    <hyperlink ref="E87" r:id="rId82" display="https://www.sec.gov/Archives/edgar/data/0001065280/000106528026000290/ex991_q326.htm"/>
    <hyperlink ref="E88" r:id="rId83" display="https://www.sec.gov/Archives/edgar/data/1065280/000106528026000212/nflx-20260630.htm"/>
    <hyperlink ref="E89" r:id="rId84" display="https://www.sec.gov/Archives/edgar/data/1065280/000106528026000034/nflx-20251231.htm"/>
    <hyperlink ref="E90" r:id="rId85" display="https://www.investing.com/news/transcripts/earnings-call-transcript-netflix-beats-q3-2026-estimates-but-shares-fall-after-hours-93CH-4961240"/>
    <hyperlink ref="E91" r:id="rId86" display="https://api.nasdaq.com/api/analyst/NFLX/earnings-forecast"/>
    <hyperlink ref="E92" r:id="rId87" display="https://www.thewrap.com/industry-news/business/netflix-stock-wells-fargo-hsbc-downgrade-engagement-trends-youtube-competition/"/>
    <hyperlink ref="E93" r:id="rId88" display="https://www.mediapost.com/publications/article/417308/streaming-climbs-to-485-per-last-lame-duck-edition-of-nielsens-gauge"/>
    <hyperlink ref="E94" r:id="rId89" display="https://www.nielsen.com/news-center/2026/tv-usage-kicks-usual-summer-slowdown-fueled-by-world-cup-and-streaming-in-nielsens-july-gauge-reports/"/>
    <hyperlink ref="E95" r:id="rId90" display="https://adwave.com/resources/most-watched-streaming-service-q3-2026"/>
    <hyperlink ref="E96" r:id="rId91" display="https://www.mediapost.com/publications/article/416087/"/>
    <hyperlink ref="E97" r:id="rId92" display="https://www.nielsen.com/news-center/2026/the-gauge-poland-august-2026/"/>
    <hyperlink ref="E98" r:id="rId93" display="https://www.thewrap.com/media-platforms/streaming/netflix-gta-6-extended-look-app-downloads/"/>
    <hyperlink ref="E99" r:id="rId94" display="https://www.advanced-television.com/2026/02/18/forecast-netflix-to-take-nearly-10-of-ctv-ad-spend-in-2027/"/>
    <hyperlink ref="E100" r:id="rId95" display="https://thewrap.com/media-platforms/tv/netflix-viewership-report-2026-takeaways"/>
    <hyperlink ref="E101" r:id="rId96" display="https://senalnews.com/en/data/usa-where-do-cord-cutters-go-in-the-first-month-after-they-cancel-pay-tv"/>
    <hyperlink ref="E102" r:id="rId97" display="https://finance.yahoo.com/markets/stocks/articles/netflix-cancellations-boycotts-buzz-online-110123208.html"/>
    <hyperlink ref="E103" r:id="rId98" display="https://www.sec.gov/Archives/edgar/data/1065280/000106528026000033/ex991_q425.htm"/>
    <hyperlink ref="E104" r:id="rId99" display="https://home.treasury.gov/resource-center/data-chart-center/interest-rates/daily-treasury-rates.csv/2026/all?type=daily_treasury_yield_curve&amp;field_tdr_date_value=2026&amp;page&amp;_format=csv"/>
    <hyperlink ref="E105" r:id="rId100" display="https://query1.finance.yahoo.com/v8/finance/chart/NFLX?range=5y&amp;interval=1wk"/>
    <hyperlink ref="E106" r:id="rId101" display="https://pages.stern.nyu.edu/~adamodar/New_Home_Page/home.htm"/>
    <hyperlink ref="E107" r:id="rId102" display="https://www.sec.gov/Archives/edgar/data/1437107/000119312526415169/d172296ds8pos.htm"/>
    <hyperlink ref="E108" r:id="rId103" display="https://ppc.land/paramount-and-hbo-max-to-merge-into-one-streaming-giant-with-200m-subscribers/"/>
    <hyperlink ref="E109" r:id="rId104" display="https://www.sec.gov/Archives/edgar/data/0001065280/000106528026000290/ex991_q326.htm"/>
    <hyperlink ref="E110" r:id="rId105" display="https://www.sec.gov/Archives/edgar/data/1065280/000106528026000033/ex991_q425.htm"/>
    <hyperlink ref="E111" r:id="rId106" display="https://www.sec.gov/Archives/edgar/data/1065280/000106528026000034/nflx-20251231.htm"/>
    <hyperlink ref="E112" r:id="rId107" display="https://www.sec.gov/Archives/edgar/data/1065280/000106528026000212/nflx-20260630.htm"/>
    <hyperlink ref="E113" r:id="rId108" display="https://api.nasdaq.com/api/analyst/NFLX/earnings-forecast"/>
    <hyperlink ref="E114" r:id="rId109" display="https://api.twelvedata.com/time_series?symbol=NFLX&amp;interval=1month"/>
    <hyperlink ref="E115" r:id="rId110" display="https://cryptobriefing.com/kalshi-traders-recession-odds-20-percent/"/>
    <hyperlink ref="E116" r:id="rId111" display="https://econbrowser.com/archives/2026/03/betting-on-recession-2026-up-to-32-fm-21-pre-war"/>
    <hyperlink ref="E117" r:id="rId112" display="https://defirate.com/prediction-markets/fed-decision-odds/snapshot/2026-09-29T1628/"/>
    <hyperlink ref="E118" r:id="rId113" display="https://macrotrends.net/stocks/charts/NFLX/netflix/pe-ratio"/>
    <hyperlink ref="E119" r:id="rId114" display="https://floridapsc.com/library/filings/2013/07457-2013/Support/Gulf's%20response%20to%20OPC's%201st%20POD,%20No.%2057/Jegadeesh%20and%20Titman%201993%20(140-167).pdf"/>
    <hyperlink ref="E120" r:id="rId115" display="https://www.mediapost.com/publications/article/417308/"/>
    <hyperlink ref="E121" r:id="rId116" display="https://www.mediapost.com/publications/article/416087/"/>
    <hyperlink ref="E122" r:id="rId117" display="https://fred.stlouisfed.org/series/DGS10"/>
    <hyperlink ref="E123" r:id="rId118" display="https://finance.yahoo.com/quote/NFLX/analysts"/>
    <hyperlink ref="E124" r:id="rId119" display="https://www.bvresources.com/articles/bvwire/global-damodaran-revises-country-risk-framework-after-us-rating-downgrade"/>
    <hyperlink ref="E125" r:id="rId120" display="https://news.bloomberglaw.com/ip-law/paramount-is-said-to-have-paid-2-8-billion-netflix-breakup-fee"/>
    <hyperlink ref="E126" r:id="rId121" display="https://www.semafor.com/article/02/26/2026/netflix-says-no-thank-you-to-warner-bros-discovery"/>
    <hyperlink ref="E127" r:id="rId122" display="https://www.hudson-labs.com/research/netflix-q3-2026-earnings-preview-nflx-revenue-guidance"/>
    <hyperlink ref="E128" r:id="rId123" display="https://api.nasdaq.com/api/analyst/DIS/earnings-forecast"/>
    <hyperlink ref="E129" r:id="rId124" display="https://www.axios.com/2019/07/17/netflix-stock-sinks-us-subscriber-loss"/>
    <hyperlink ref="E130" r:id="rId125" display="https://benzinga.com/23/09/34453288/how-netflix-defied-odds-to-rebound-by-10-fueling-an-astonishing-47-surge-for-the-year-a-deep-dive-in"/>
    <hyperlink ref="E131" r:id="rId126" display="https://data.sec.gov/api/xbrl/companyfacts/CIK0001065280.json"/>
    <hyperlink ref="E132" r:id="rId127" display="https://home.treasury.gov/resource-center/data-chart-center/interest-rates/daily-treasury-rates.csv/2026/all?type=daily_treasury_yield_curve&amp;field_tdr_date_value=2026&amp;page&amp;_format=csv"/>
    <hyperlink ref="E133" r:id="rId128" display="https://query1.finance.yahoo.com/v8/finance/chart/NFLX?range=5y&amp;interval=1wk"/>
    <hyperlink ref="E134" r:id="rId129" display="https://query1.finance.yahoo.com/v8/finance/chart/SPY?range=5y&amp;interval=1wk"/>
    <hyperlink ref="E135" r:id="rId130" display="https://octagonai.co/news/paramount-warner-bros-merger-prediction-market-odds/"/>
    <hyperlink ref="E136" r:id="rId131" display="https://api.nasdaq.com/api/analyst/GOOGL/earnings-forecast"/>
    <hyperlink ref="E138" r:id="rId132" display="https://www.sec.gov/Archives/edgar/data/1065280/000106528026000290/ex991_q326.htm"/>
    <hyperlink ref="E139" r:id="rId133" display="https://www.sec.gov/Archives/edgar/data/1065280/000106528026000034/nflx-20251231.htm"/>
    <hyperlink ref="E140" r:id="rId134" display="https://www.sec.gov/Archives/edgar/data/1437107/000119312526415055/d200872d8k.htm"/>
    <hyperlink ref="E141" r:id="rId135" display="https://ny1.com/nyc/all-boroughs/ap-top-news/2026/09/30/judge-approves-paramounts-settlement-with-states-over-warner-buyout-allowing-merger-to-soon-close"/>
    <hyperlink ref="E142" r:id="rId136" display="https://home.treasury.gov/resource-center/data-chart-center/interest-rates/daily-treasury-rates.csv/2026/all?type=daily_treasury_yield_curve&amp;field_tdr_date_value=2026&amp;page&amp;_format=csv"/>
    <hyperlink ref="E143" r:id="rId137" display="https://api.nasdaq.com/api/analyst/NFLX/earnings-forecast"/>
    <hyperlink ref="E144" r:id="rId138" display="https://api.nasdaq.com/api/analyst/META/earnings-forecast"/>
    <hyperlink ref="E145" r:id="rId139" display="https://www.investing.com/news/transcripts/earnings-call-transcript-netflix-beats-q3-2026-estimates-but-shares-fall-after-hours-93CH-4961240"/>
    <hyperlink ref="E146" r:id="rId140" display="https://data.sec.gov/api/xbrl/companyfacts/CIK0001065280.json"/>
    <hyperlink ref="E147" r:id="rId141" display="https://query1.finance.yahoo.com/v8/finance/chart/NFLX"/>
    <hyperlink ref="E148" r:id="rId142" display="https://data.sec.gov/submissions/CIK0001437107.json"/>
    <hyperlink ref="E150" r:id="rId143" display="https://data.sec.gov/submissions/CIK0001428439.json"/>
    <hyperlink ref="E151" r:id="rId144" display="https://data.sec.gov/submissions/CIK0001754301.json"/>
    <hyperlink ref="E152" r:id="rId145" display="https://stockanalysis.com/stocks/nflx/forecast/"/>
    <hyperlink ref="E153" r:id="rId146" display="https://www.mediapost.com/publications/article/417308/"/>
    <hyperlink ref="E154" r:id="rId147" display="https://www.nielsen.com/news-center/2025/netflix-breaks-into-top-3-media-distributors-for-the-first-time-in-nielsens-june-2025-media-distributor-gauge/"/>
    <hyperlink ref="E155" r:id="rId148" display="https://www.nielsen.com/news-center/2026/tv-usage-kicks-usual-summer-slowdown-fueled-by-world-cup-and-streaming-in-nielsens-july-gauge-reports/"/>
    <hyperlink ref="E156" r:id="rId149" display="https://api.nasdaq.com/api/analyst/SPOT/earnings-forecast"/>
    <hyperlink ref="E157" r:id="rId150" display="https://api.nasdaq.com/api/analyst/SONY/earnings-forecast"/>
    <hyperlink ref="E158" r:id="rId151" display="https://www.sec.gov/Archives/edgar/data/1639920/000162828026066889/spot-20260930x6xk.htm"/>
    <hyperlink ref="E159" r:id="rId152" display="https://www.sec.gov/Archives/edgar/data/313838/000110465926088915/tm2621477d1_6k.htm"/>
    <hyperlink ref="E160" r:id="rId153" display="https://api.nasdaq.com/api/company/SPOT/earnings-surprise"/>
    <hyperlink ref="E161" r:id="rId154" display="https://query1.finance.yahoo.com/v8/finance/chart/JPY=X"/>
    <hyperlink ref="E163" r:id="rId155" display="https://api.nasdaq.com/api/analyst/GOOGL/earnings-forecast"/>
    <hyperlink ref="E164" r:id="rId156" display="https://www.sec.gov/Archives/edgar/data/1744489/000174448926000056/fy2026_q3xerxex991.htm"/>
    <hyperlink ref="E165" r:id="rId157" display="https://data.sec.gov/api/xbrl/companyfacts/CIK0001652044.json"/>
    <hyperlink ref="E166" r:id="rId158" display="https://api.nasdaq.com/api/company/GOOGL/earnings-surprise"/>
    <hyperlink ref="E167" r:id="rId159" display="https://data.sec.gov/api/xbrl/companyconcept/CIK0001326801/us-gaap/EarningsPerShareDiluted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2026-10-30T22:16:23Z</dcterms:created>
  <dc:creator>openpyxl</dc:creator>
  <dc:description/>
  <dc:language>en-US</dc:language>
  <cp:lastModifiedBy/>
  <dcterms:modified xsi:type="dcterms:W3CDTF">2026-10-30T22:16:23Z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