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Distribution" sheetId="3" state="visible" r:id="rId5"/>
    <sheet name="Methods" sheetId="4" state="visible" r:id="rId6"/>
    <sheet name="Scenarios" sheetId="5" state="visible" r:id="rId7"/>
    <sheet name="Reasoning" sheetId="6" state="visible" r:id="rId8"/>
    <sheet name="Supervisor" sheetId="7" state="visible" r:id="rId9"/>
    <sheet name="Sources" sheetId="8" state="visible" r:id="rId10"/>
  </sheets>
  <definedNames>
    <definedName function="false" hidden="false" name="Analyst_Median" vbProcedure="false">Summary!$B$9</definedName>
    <definedName function="false" hidden="false" name="IV30" vbProcedure="false">Summary!$B$13</definedName>
    <definedName function="false" hidden="false" name="Market_Median" vbProcedure="false">Summary!$B$15</definedName>
    <definedName function="false" hidden="false" name="Platt_Shift" vbProcedure="false">Summary!$B$11</definedName>
    <definedName function="false" hidden="false" name="Spot" vbProcedure="false">Summary!$B$5</definedName>
    <definedName function="false" hidden="false" name="Sup_Used" vbProcedure="false">Summary!$B$10</definedName>
    <definedName function="false" hidden="false" name="Thesis_Break" vbProcedure="false">Summary!$B$12</definedName>
    <definedName function="false" hidden="false" name="W_Agents" vbProcedure="false">Summary!$B$7</definedName>
    <definedName function="false" hidden="false" name="W_Analyst" vbProcedure="false">Summary!$B$8</definedName>
    <definedName function="false" hidden="false" name="W_Mkt" vbProcedure="false">Summary!$B$6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<sst xmlns="http://schemas.openxmlformats.org/spreadsheetml/2006/main" count="1158" uniqueCount="801">
  <si>
    <t xml:space="preserve">INTC 12-month price target model</t>
  </si>
  <si>
    <t xml:space="preserve">Close 2026-10-30 · agents' research 2026-10-01 · horizon 2027-10-30. Blue = input you can change, black = formula, green = link to another sheet. Yellow = key assumption.</t>
  </si>
  <si>
    <t xml:space="preserve">Inputs</t>
  </si>
  <si>
    <t xml:space="preserve">Value</t>
  </si>
  <si>
    <t xml:space="preserve">Where it comes from</t>
  </si>
  <si>
    <t xml:space="preserve">Last close</t>
  </si>
  <si>
    <t xml:space="preserve">Close on 2026-10-30</t>
  </si>
  <si>
    <t xml:space="preserve">Weight: options market</t>
  </si>
  <si>
    <t xml:space="preserve">AIA Forecaster default (market 67%); flips to 33% when the option chain is thin</t>
  </si>
  <si>
    <t xml:space="preserve">Weight: agents</t>
  </si>
  <si>
    <t xml:space="preserve">AIA Forecaster default (agents 33%)</t>
  </si>
  <si>
    <t xml:space="preserve">Weight: analyst consensus</t>
  </si>
  <si>
    <t xml:space="preserve">Taken pro rata from the two above; 0 when there are no targets or in a special situation</t>
  </si>
  <si>
    <t xml:space="preserve">Analysts' median target</t>
  </si>
  <si>
    <t xml:space="preserve">43 analysts, https://stockanalysis.com/stocks/intc/forecast/ as of 2026-10-30</t>
  </si>
  <si>
    <t xml:space="preserve">Use supervisor ladder (1 = yes)</t>
  </si>
  <si>
    <t xml:space="preserve">Supervisor confidence: low; its ladder replaces the agents' mean only when high</t>
  </si>
  <si>
    <t xml:space="preserve">Platt log shift of the agents' curve</t>
  </si>
  <si>
    <t xml:space="preserve">combine.py: P(close &gt;= spot) 0.810 Platt-scaled (a = 1.732) to 0.787, then the whole agents' curve is shifted in log price by this amount</t>
  </si>
  <si>
    <t xml:space="preserve">Thesis-break price (supervisor)</t>
  </si>
  <si>
    <t xml:space="preserve">Supervisor's reconciled thesis break (agents' values on the Reasoning sheet)</t>
  </si>
  <si>
    <t xml:space="preserve">30-day implied vol</t>
  </si>
  <si>
    <t xml:space="preserve">Cboe model-free 30D IV as of None; sets the stop noise floor (2 one-month moves)</t>
  </si>
  <si>
    <t xml:space="preserve">Options-market median</t>
  </si>
  <si>
    <t xml:space="preserve">Median of the options-implied distribution (Distribution sheet); the analyst curve is this curve re-centred on the analysts' median</t>
  </si>
  <si>
    <t xml:space="preserve">Research target (12m) per share</t>
  </si>
  <si>
    <t xml:space="preserve">Method blend</t>
  </si>
  <si>
    <t xml:space="preserve">Stated</t>
  </si>
  <si>
    <t xml:space="preserve">Note</t>
  </si>
  <si>
    <t xml:space="preserve">Agent 1</t>
  </si>
  <si>
    <t xml:space="preserve">Agent 2</t>
  </si>
  <si>
    <t xml:space="preserve">Agent 3</t>
  </si>
  <si>
    <t xml:space="preserve">Agent 4</t>
  </si>
  <si>
    <t xml:space="preserve">Agent 5</t>
  </si>
  <si>
    <t xml:space="preserve">Agents' average</t>
  </si>
  <si>
    <t xml:space="preserve">Agents' median</t>
  </si>
  <si>
    <t xml:space="preserve">Supervisor's reconciled research target (12m)</t>
  </si>
  <si>
    <t xml:space="preserve">This is the mean of the five round-2 fair values ($100, $96, $94, $94, $96). All of them now use the corrected inputs: about 5.40-5.54B shares including the full greenshoe and some or all of the escrow shares, the $15.6B NCI deducted, and no phantom follow-on. The remaining spread comes from the foundry option ($75-140B), where the checked evidence supports about $110-120B. Taking that centre in agents 1 and 2 moves their values by about +$3 and -$2, which leaves about $96, 20% below spot.</t>
  </si>
  <si>
    <t xml:space="preserve">Research target (12m) vs last close</t>
  </si>
  <si>
    <t xml:space="preserve">Levels</t>
  </si>
  <si>
    <t xml:space="preserve">This model</t>
  </si>
  <si>
    <t xml:space="preserve">Published</t>
  </si>
  <si>
    <t xml:space="preserve">How</t>
  </si>
  <si>
    <t xml:space="preserve">NTM target (median)</t>
  </si>
  <si>
    <t xml:space="preserve">Price with a 50% chance of closing above it on the horizon date</t>
  </si>
  <si>
    <t xml:space="preserve">Take-profit (75th percentile)</t>
  </si>
  <si>
    <t xml:space="preserve">25% chance of closing above</t>
  </si>
  <si>
    <t xml:space="preserve">15th percentile</t>
  </si>
  <si>
    <t xml:space="preserve">85% chance of closing above</t>
  </si>
  <si>
    <t xml:space="preserve">Stop noise floor</t>
  </si>
  <si>
    <t xml:space="preserve">Two one-month implied moves below the last close; the stop is never tighter than this</t>
  </si>
  <si>
    <t xml:space="preserve">Stop-loss</t>
  </si>
  <si>
    <t xml:space="preserve">Higher of the 15th percentile and the thesis break, capped at the noise floor (published basis: 15th percentile)</t>
  </si>
  <si>
    <t xml:space="preserve">Target vs last close</t>
  </si>
  <si>
    <t xml:space="preserve">P(close above last)</t>
  </si>
  <si>
    <t xml:space="preserve">Expected price (mean)</t>
  </si>
  <si>
    <t xml:space="preserve">Mean of the blended distribution (combine.py integrates the full curve); above the median when right-skewed</t>
  </si>
  <si>
    <t xml:space="preserve">Sheets</t>
  </si>
  <si>
    <t xml:space="preserve">Assumptions</t>
  </si>
  <si>
    <t xml:space="preserve">The supervisor's table of every driver: each agent's value, reasoning and linked sources</t>
  </si>
  <si>
    <t xml:space="preserve">Methods</t>
  </si>
  <si>
    <t xml:space="preserve">Each agent's valuation methods, values and weights</t>
  </si>
  <si>
    <t xml:space="preserve">Scenarios</t>
  </si>
  <si>
    <t xml:space="preserve">Downside (10th pct) / base / upside (90th pct) price per agent</t>
  </si>
  <si>
    <t xml:space="preserve">Distribution</t>
  </si>
  <si>
    <t xml:space="preserve">The probability ladder and the blend, as formulas</t>
  </si>
  <si>
    <t xml:space="preserve">Reasoning</t>
  </si>
  <si>
    <t xml:space="preserve">Each agent's written reasoning, thesis break and what changed from round 1</t>
  </si>
  <si>
    <t xml:space="preserve">Supervisor</t>
  </si>
  <si>
    <t xml:space="preserve">Disagreements, fact-checks and changes</t>
  </si>
  <si>
    <t xml:space="preserve">Sources</t>
  </si>
  <si>
    <t xml:space="preserve">Every cited source with its link</t>
  </si>
  <si>
    <t xml:space="preserve">INTC key assumptions, aggregated by the supervisor</t>
  </si>
  <si>
    <t xml:space="preserve">Each driver of the valuation: the supervisor's reconciled value (grey rows), then what each agent assumed, why, and its sources. Blue values are the agents' own numbers; blank means the agent did not use that driver.</t>
  </si>
  <si>
    <t xml:space="preserve">ID</t>
  </si>
  <si>
    <t xml:space="preserve">Assumption / who</t>
  </si>
  <si>
    <t xml:space="preserve">Source 1</t>
  </si>
  <si>
    <t xml:space="preserve">Source 2</t>
  </si>
  <si>
    <t xml:space="preserve">Source 3</t>
  </si>
  <si>
    <t xml:space="preserve">All sources</t>
  </si>
  <si>
    <t xml:space="preserve">Agents low</t>
  </si>
  <si>
    <t xml:space="preserve">Agents high</t>
  </si>
  <si>
    <t xml:space="preserve">Used in</t>
  </si>
  <si>
    <t xml:space="preserve">The supervisor has not aggregated this round yet (model_assumptions.json); see Methods and Reasoning.</t>
  </si>
  <si>
    <t xml:space="preserve">INTC probability of closing at or above each price on 2027-10-30</t>
  </si>
  <si>
    <t xml:space="preserve">Each column is P(close &gt;= K). Agents' curve is Platt-shifted, blended with the options market, then analysts at W_Analyst (0 since 2026-10-05). Interpolation is linear in logit(p) vs log(K), as in combine.py.</t>
  </si>
  <si>
    <t xml:space="preserve">Price K</t>
  </si>
  <si>
    <t xml:space="preserve">ln K</t>
  </si>
  <si>
    <t xml:space="preserve">Options market</t>
  </si>
  <si>
    <t xml:space="preserve">Agents' mean</t>
  </si>
  <si>
    <t xml:space="preserve">Agents' curve used</t>
  </si>
  <si>
    <t xml:space="preserve">logit(used)</t>
  </si>
  <si>
    <t xml:space="preserve">K shifted</t>
  </si>
  <si>
    <t xml:space="preserve">seg</t>
  </si>
  <si>
    <t xml:space="preserve">Agents Platt-shifted</t>
  </si>
  <si>
    <t xml:space="preserve">logit(market)</t>
  </si>
  <si>
    <t xml:space="preserve">K re-centred</t>
  </si>
  <si>
    <t xml:space="preserve">Analyst curve</t>
  </si>
  <si>
    <t xml:space="preserve">Blend ex analysts</t>
  </si>
  <si>
    <t xml:space="preserve">Final blend</t>
  </si>
  <si>
    <t xml:space="preserve">logit(final)</t>
  </si>
  <si>
    <t xml:space="preserve">Published (combine.py)</t>
  </si>
  <si>
    <t xml:space="preserve">Agents' curves are their final-round answers (Reasoning sheet shows round 1). Market and published columns come from combine.py; the model reproduces the final blend within rounding (combine.py also enforces a non-increasing curve).</t>
  </si>
  <si>
    <t xml:space="preserve">INTC valuation methods by agent</t>
  </si>
  <si>
    <t xml:space="preserve">Each agent's methods, the value per share and the weight it gave each. Blended value = weight-averaged methods; stated value = what the agent reported (it may round or add a deduction).</t>
  </si>
  <si>
    <t xml:space="preserve">Agent</t>
  </si>
  <si>
    <t xml:space="preserve">Method</t>
  </si>
  <si>
    <t xml:space="preserve">Value / share</t>
  </si>
  <si>
    <t xml:space="preserve">Weight</t>
  </si>
  <si>
    <t xml:space="preserve">Value x weight</t>
  </si>
  <si>
    <t xml:space="preserve">Calculation (assumption IDs on the Assumptions sheet)</t>
  </si>
  <si>
    <t xml:space="preserve">Inputs and reasoning</t>
  </si>
  <si>
    <t xml:space="preserve">P/E</t>
  </si>
  <si>
    <t xml:space="preserve">Oct-2027 NTM (CY2028) EPS $2.68 (after 2.6% escrow-share dilution) x 35x</t>
  </si>
  <si>
    <t xml:space="preserve">EV/sales</t>
  </si>
  <si>
    <t xml:space="preserve">CY2028E revenue $80B x 7.0x = $560B EV; less ~$9B net claims; / 5.54B shares</t>
  </si>
  <si>
    <t xml:space="preserve">SOTP</t>
  </si>
  <si>
    <t xml:space="preserve">Products 2027E op income $26B x 85% x 25x = $552B; foundry option + Mobileye $75B; less net claims ~$16B; / 5.54B</t>
  </si>
  <si>
    <t xml:space="preserve">Blended value</t>
  </si>
  <si>
    <t xml:space="preserve">Stated research target (12m)</t>
  </si>
  <si>
    <t xml:space="preserve">Blend of three methods on 5.54B fully counted shares: 5.40B diluted plus the 143M DoC escrow shares, offset by about $3B of Secure Enclave cash received as they are released. Forward P/E: CY2028E EPS of $2.68 x 35x = $94. EV/sales: $80B x 7x less about $9B of net claims, including the $15.6B NCI = $99. SOTP: products $552B plus $75B for the foundry option and Mobileye, less about $16B of net claims = $110. Weighted 40/30/30, that gives about $100.</t>
  </si>
  <si>
    <t xml:space="preserve">2028E non-GAAP EPS $2.73 x 36x forward multiple (what the market pays in Oct 2027 for 2028 earnings)</t>
  </si>
  <si>
    <t xml:space="preserve">Products NOPAT $19B x 20x = $380B; foundry option $140B; stakes $9.4B; net cash $1.8B; less NCI $15.6B; 5.54B fully counted shares</t>
  </si>
  <si>
    <t xml:space="preserve">50/50 blend of (a) P/E: 2028E EPS $2.73 (prior $2.80 less ~2.6% escrow-share dilution) x 36x = $98 and (b) SOTP: Products 2027E NOPAT $19B x 20x = $380B + foundry option $140B (cut from $200B) + stakes $9.4B + net cash $1.8B - NCI $15.6B = $515.6B over 5.54B fully counted shares = $93. Blend ~$96, about 20% below the $120 price.</t>
  </si>
  <si>
    <t xml:space="preserve">NTM EPS at Oct-2027 $2.55 (on 5.45B shares) x 35x</t>
  </si>
  <si>
    <t xml:space="preserve">Products ~$22B 2027 op income, after 15% tax $18.7B x 25x = $467B; Foundry $125B; Mobileye/Altera stakes $9.4B; minus unallocated corporate costs $40B, net debt $2B and NCI $15.6B = ~$544B / 5.45B shares = ~$100.</t>
  </si>
  <si>
    <t xml:space="preserve">2027 revenue $72B x 7.0x = $504B EV; less net debt $2B and NCI $15.6B, plus stakes $9.4B = ~$496B / 5.45B = ~$91.</t>
  </si>
  <si>
    <t xml:space="preserve">Blend of P/E ($2.55 NTM EPS a year out x 35x = $89), SOTP ($100) and EV/sales (7x $72B 2027 revenue = $91), weighted 0.40/0.35/0.25 = ~$94, on 5.45B shares (greenshoe and partial escrow included), ~$2B pro forma net debt and $15.6B NCI.</t>
  </si>
  <si>
    <t xml:space="preserve">CY2028 EPS $2.90 (on ~5.40B diluted shares) x 33x</t>
  </si>
  <si>
    <t xml:space="preserve">Products $17.5B after-tax x 22x = $385B; foundry option $117B (55% x $180B + 45% x $40B); Mobileye/Altera $9.4B; net debt ~-$3B (pro forma $52.3B cash+ST inv vs $50.5B debt, less est. H2 burn); NCI -$15.6B; / 5.40B diluted shares</t>
  </si>
  <si>
    <t xml:space="preserve">Blend of 50% forward P/E (CY2028 EPS $2.90 x 33x = $96) and 50% SOTP (Products $17.5B after-tax x 22x = $385B + foundry option $117B + Mobileye/Altera $9.4B - net debt after H2 burn ~$3B - NCI $15.6B = ~$493B over 5.40B diluted shares = ~$91). Blended ~$94; the $120 price embeds more foundry success than external revenue ($293M in Q2) yet evidences.</t>
  </si>
  <si>
    <t xml:space="preserve">FY2028E EPS $2.70 x 35x NTM P/E x (5.40/5.45 escrow dilution) = $93.6; NCI is already excluded from EPS attributable to Intel</t>
  </si>
  <si>
    <t xml:space="preserve">FY2028E revenue $82B x 7.0x EV/NTM sales = $574B EV; less ~$25B (≈$9B net debt after H2 burn + $15.6B NCI); / 5.45B diluted shares</t>
  </si>
  <si>
    <t xml:space="preserve">Blend of a forward P/E (FY2028E EPS $2.70 x 35x, cut ~1% for escrow-share dilution = $93.6, weight 0.6) and EV/sales (FY2028E revenue $82B x 7x = $574B EV, less ~$25B of net debt plus NCI, over 5.45B shares = $100.7, weight 0.4), for about $96 as the value 12 months out. That is about 20% below the $120 price.</t>
  </si>
  <si>
    <t xml:space="preserve">INTC cases by agent</t>
  </si>
  <si>
    <t xml:space="preserve">Base case = median; downside = 10th percentile, upside = 90th percentile (no probabilities; older rounds' bear/bull shown as downside/upside).</t>
  </si>
  <si>
    <t xml:space="preserve">Downside (P10)</t>
  </si>
  <si>
    <t xml:space="preserve">Base (median)</t>
  </si>
  <si>
    <t xml:space="preserve">Upside (P90)</t>
  </si>
  <si>
    <t xml:space="preserve">Downside story</t>
  </si>
  <si>
    <t xml:space="preserve">Base story</t>
  </si>
  <si>
    <t xml:space="preserve">Upside story</t>
  </si>
  <si>
    <t xml:space="preserve">Supply catches up in 2027 and agentic-AI CPU demand cools or shifts to Arm and AMD. Server pricing reverses. No 14A anchor customer is signed, and the Apple 18A-P qualification stays small or lapses. 2027 capex well above 2026 pushes FCF negative, and a post-lock-up equity raise after the Q3 print dilutes holders. EPS lands around $2.0 at 30-35x.</t>
  </si>
  <si>
    <t xml:space="preserve">Intel keeps beating while supply-constrained. Gross margin reaches the mid 40s and CY2028 EPS of about $2.9 becomes visible. 14A risk production starts on schedule in H2 2027, and one or two partial external engagements (Apple 18A-P, EMIB-T) are disclosed. The multiple compresses from about 60x toward 38-40x forward, so the stock roughly holds.</t>
  </si>
  <si>
    <t xml:space="preserve">A binding 14A anchor customer (Apple, Nvidia or a hyperscaler) is named after the October PDK 0.9. Apple confirms 18A-P. EMIB-T adds billions from H2 2027 and foundry reaches breakeven by end-2027. CY2028 EPS above $4 at about 45x. This scenario carries wide dispersion (about 38%), so outcomes of $250-300+ keep real weight.</t>
  </si>
  <si>
    <t xml:space="preserve">14A decisions slip or go to TSMC/Samsung and Apple 18A-P stays unconfirmed/small; server CPU pricing normalises in 2027 as supply grows while AMD/Arm keep taking share [4,5]; memory-driven PC decline extends into 2027 [6,8,33]; a post-lock-up equity raise adds dilution [23]. Market values Intel as a ~17x products company with near-zero foundry option after NCI (~$60-68/share).</t>
  </si>
  <si>
    <t xml:space="preserve">Server CPU shortage and pricing persist into 2027 [9,26,27]; 18A yields normalise [18]; EPS tracks ~$2+ for 2027; one 14A or 18A-P commitment announced but foundry still loss-making; multiple compresses as EPS grows, leaving the stock somewhat below today.</t>
  </si>
  <si>
    <t xml:space="preserve">Apple M7 on 18A-P confirmed and shipping from late 2027 [29], a named 14A anchor (Apple/Nvidia/Microsoft-class) signs a capacity reservation [30], agentic-AI CPU TAM step-up [12,13] lets DCAI grow 40%+ despite share loss; market values the foundry as a credible TSMC second source.</t>
  </si>
  <si>
    <t xml:space="preserve">The CPU shortage eases and hyperscaler capex flattens in 2027 (Northland's May call, source #8, now somewhat stale against rising estimates), DCAI growth slows from +59% and server price increases reverse. Tesla's 14A selection (source #29) stays small or slips and no volume Apple commitment follows; foundry breakeven slips to 2028 (source #3) while FCF stays negative and Intel taps the shelf again after the lock-up ends at the Q3 print (source #2). The multiple falls to ~6x sales and ~25x EPS (source #4, source #7). Price $60-75.</t>
  </si>
  <si>
    <t xml:space="preserve">The turnaround continues: DCAI keeps growing, gross margin edges toward the mid-40s, 2027 EPS lands near $2.0-2.2 (source #21), 14A risk production starts on schedule in H2 2027 (source #28) and Tesla/Apple work progresses without disclosed volumes. EPS growth absorbs de-rating from ~58x FY27 toward ~45x NTM; the stock ends a little below spot, near the ~$116 street mean target (source #6).</t>
  </si>
  <si>
    <t xml:space="preserve">Tesla's Terafab 14A commitment gets volume and terms (source #29), Apple confirms 18A-P (source #19), the agentic-AI CPU shortage persists into 2027 (source #20), credit improves (a Fitch outlook move to stable is reported, source #27) and 2028 EPS heads to $3+ (source #3, source #8). Matches source #4's $172 bull case at ~13.7x sales.</t>
  </si>
  <si>
    <t xml:space="preserve">CPU shortage eases as AMD Venice/Arm capacity arrives and hyperscaler capex digests; Xeon hikes reverse, margins slip to high-30s; no binding 14A anchor by mid-2027 despite the internal H2 2027 risk-production milestone; a post-lock-up equity raise adds dilution. Rerates to ~25x $2.50.</t>
  </si>
  <si>
    <t xml:space="preserve">Supply-constrained CPU cycle persists through 2027, EPS ~$2.3 CY27 / $2.9 CY28; 14A hits PDK 0.9 and internal risk production on schedule, one or two external 14A/18A-P commitments announced but small near-term revenue; multiple compresses from ~60x to ~40x CY28. Roughly flat.</t>
  </si>
  <si>
    <t xml:space="preserve">Apple M-series on 18A-P ships in 2027 and a large 14A anchor (Apple/Nvidia/Terafab) signs with prepayments ahead of 2028 HVM; agentic-AI CPU demand keeps EPS revisions rising (CY28 &gt;$3.5); market values foundry as a TSMC alternative.</t>
  </si>
  <si>
    <t xml:space="preserve">The AI-CPU shortage eases or 18A/14A yields or customer wins slip while capex rises sharply in 2027. Intel may also issue more equity off the open S-3ASR shelf after the lock-up ends at the Q3 print [22]. The multiple compresses toward 25x on about $2.40 EPS, a July-2026-style 40%+ drawdown that does not recover. My base-rate sample shows about a 20% chance of a 30%+ loss after a +150% year, and the 2000 analog is far worse [17][19]. I no longer lean on the thin 2027 recession market (~$10k volume) [11], which the supervisor rightly discounted.</t>
  </si>
  <si>
    <t xml:space="preserve">EPS keeps rising toward $2.70 FY28E, but the multiple de-rates from about 58x to 35-40x as growth normalizes. Dilution is limited to RSUs and escrow releases. The stock chops in the $85-140 range it has held since April and ends a little below today.</t>
  </si>
  <si>
    <t xml:space="preserve">Momentum continues, as it has for the median large-cap semi after a +150% year [17]. Intel lands external 14A foundry customers on top of the Google/Tesla deals [8], FY28 EPS heads past $3.50, and the market holds about 50x.</t>
  </si>
  <si>
    <t xml:space="preserve">Average</t>
  </si>
  <si>
    <t xml:space="preserve">INTC each agent's reasoning</t>
  </si>
  <si>
    <t xml:space="preserve">Final round, with round 1 for comparison. Revisions list what each agent changed after the supervisor's feedback.</t>
  </si>
  <si>
    <t xml:space="preserve">Research target (12m) r1</t>
  </si>
  <si>
    <t xml:space="preserve">Research target (12m) r2</t>
  </si>
  <si>
    <t xml:space="preserve">Thesis break</t>
  </si>
  <si>
    <t xml:space="preserve">Thesis break reason</t>
  </si>
  <si>
    <t xml:space="preserve">Key uncertainties</t>
  </si>
  <si>
    <t xml:space="preserve">Revisions after feedback</t>
  </si>
  <si>
    <t xml:space="preserve">Round 2. The supervisor confirmed my round-1 offering and share facts and graded my sourcing high. I acted on its three points. (1) Escrow shares. I verified in the 424B5 that 143M DoC shares sit in escrow, are excluded from the 5,285M post-offering count, and are released as Secure Enclave disbursements arrive. I now count 5.54B shares and credit about $3B of linked cash, for a net drag of about $2/share. (2) NCI. The 424B5 capitalization table shows $15.6B at 6/27/26, against the $13.4B I used. (3) Lock-up. The company lock-up ends at the earlier of 90 days or the Q3 release, so I dated the raise-risk catalyst. EDGAR shows no filing since 8/12, and Intel has not announced the Q3 date. The supervisor's 14A finding matches the Q2 prepared remarks I re-read (risk production H2 2027, HVM commit 2028). Together with Kuo's report of Apple qualifying 18A-P, it led me to raise the foundry option from $60B to $75B, still below the $110-120B the supervisor called better supported, because external revenue is $293M a quarter and no commitment exists. Net fair value moved from $102 to $100: P/E $94, EV/sales $99, SOTP $110. Ladder: the same three-scenario lognormal mixture ($66/30%, $115/45%, $190/25%). I widened the bull dispersion to 38% and the bear to 38%. The supervisor was right that my $300 tail (1.5%) was inconsistent with my own bull case, and the corrected mixture gives about 3%. I keep it below the others' 5-7% because the fundamentals still put fair value under spot. I also lowered P(&gt;=30) to 0.985 for crash risk at 76% vol. Median is about $111, with P(&gt;=120) at about 44%.</t>
  </si>
  <si>
    <t xml:space="preserve">$72 is about 24% below the $95 August offering price, where the CEO bought, and below the July 2026 low near $82. That low is where ordinary de-rating alone stopped. At $72 the stock would be about 35x 2027 EPS on a fully counted basis, roughly a peer multiple. Getting there most likely takes falling estimates: the server-CPU upcycle and pricing turning, or the 14A anchor decision going against Intel. I keep $72 rather than the supervisor's $70; the $2 gap is within noise and my reasoning is the same.</t>
  </si>
  <si>
    <t xml:space="preserve">• Whether a 14A anchor customer commits; management has said 14A may not be economical without one
• How long supply constraints and pricing power last once Intel 3/18A and substrate supply grows
• Cash needs from 2027 capex well above 2026, and the risk of another raise once the company lock-up ends at the Q3 print, on top of the 143M escrow shares released over time
• Whether agentic-AI CPU demand is structural or a narrative peak after a +40% month
• Valuation de-rating from 62x 2027 EPS</t>
  </si>
  <si>
    <t xml:space="preserve">• a fact: 5.40B diluted shares → 5.54B fully counted (adds 143M DoC escrow shares, with ~$3B linked Secure Enclave cash) (Supervisor feedback; verified in the 424B5 share footnote (src 4))
• a fact: NCI $13.4B (Arizona SCIP) → NCI $15.6B (424B5 capitalization table at 2026-06-27, cited by the supervisor and verified)
• a method: P/E $96 (EPS $2.75 x 35x) → P/E $94 (EPS $2.68 x 35x) (Escrow-share dilution of 2.6%)
• a method: EV/sales $102 → EV/sales $99 (Larger share count, and net claims recomputed with $15.6B NCI and the full greenshoe cash)
• a method: SOTP $110 (foundry+Mobileye $60B) → SOTP $110 (foundry+Mobileye $75B, offset by higher share count and NCI) (The supervisor's 14A on-track resolution, confirmed in the Q2 prepared remarks (src 21), and the Apple 18A-P qualification report (src 24). I stay below the $110-120B the supervisor favoured because there is no committed external revenue)
• fair value: 102 → 100 (Net of the escrow shares, the NCI correction and the higher foundry option)
• a scenario: bear $65 / bull $185 → bear $66 / bull $190 with 38% dispersion (Supervisor flagged my thin upper tail. Bull adds Apple 18A-P confirmation; bear adds the post-lock-up raise)
• P(close &gt;= K): P(&gt;=300)=0.015, P(&gt;=240)=0.05, P(&gt;=30)=0.995 → P(&gt;=300)=0.03, P(&gt;=240)=0.07, P(&gt;=30)=0.985 (Supervisor: my $300 tail was inconsistent with my bull dispersion. I fattened both tails for 76% vol. The middle of the ladder is roughly unchanged)
• P(close &gt;= K): 1-month P(&gt;=120)=0.482 → 0.476 (The lock-up ending at the Q3 print adds raise risk right after earnings, and the supervisor confirmed the 8-of-11 negative-reaction base rate)
• thesis break: 72 → 72 (unchanged) (Supervisor's $70 rests on the same logic. I add the July low of about $82 as the level where de-rating alone stopped)</t>
  </si>
  <si>
    <t xml:space="preserve">Round 2 keeps my industry-lane view but corrects the balance-sheet inputs and the foundry value per the supervisor. Facts adopted: greenshoe exercised ($23B gross, 242.1M shares; 5,285M basic, ~5.40B diluted plus 143M escrow) [23,24]; $15.6B NCI must be deducted [23]; Apple deal remains unconfirmed [29]; KeyBanc customer list via X discounted and no longer used. Follow-up lane checks: TrendForce confirms server CPU prices +10-20% since March with more hikes signalled and a 12% flagship Xeon increase [26,27]; Micron's Oct 1 FQ4 ($54.2B) confirms AI-server demand but also memory-cost pressure on PCs, where IDC sees Q4 units -20% y/y [32,33]; on foundry, 18A-P is in risk production [28], PDK 0.9 is due in October with two prospective 14A customers evaluating test chips [30], but no anchor is named. Valuation: P/E $98 and SOTP $93 blend to ~$96 (from $105), about 20% below spot at ~58x FY27 EPS; consensus PT ~$116 is evidence, not the answer. I keep the foundry option at $140B, above the supervisor-favoured $110-120B, because the chain evidence (risk production, Maia 2, Fortinet, imminent PDK, reaffirmed 14A schedule) gives roughly even odds of an anchor within the horizon. Distribution: lognormal-like with median ~$111 (down from ~$115: lower fair value, offset by momentum, pricing power and a binary foundry catalyst) and sigma ~0.58, with a slightly fatter lower tail for dilution/raise risk and 5% above $300 for the foundry binary. Scenarios bear $62/27%, base $110/45%, bull $180/28% give a mean ~$117. 1-month median nudged to ~$119 on the verified negative earnings-reaction base rate. Research limited to ~6 extra queries; some trade pages (Tom's Hardware body text) were not fully fetchable; no option data or priors consulted.</t>
  </si>
  <si>
    <t xml:space="preserve">Below ~$70 (-42%) the market is pricing essentially zero foundry option: Products at 20x ($380B) plus stakes and net cash, less the $15.6B NCI, is ~$68/share on 5.54B shares [23]. It is also ~26% below the $95 August offering price and well under the July 2026 low near $82. Getting there most likely means a fundamental failure (14A anchor customers walk, 18A/18A-P yield problems, or server pricing reversing while share loss accelerates) rather than ordinary 70%-vol noise.</t>
  </si>
  <si>
    <t xml:space="preserve">• Whether 14A/18A-P external commitments become binding, sized capacity deals (Apple still unconfirmed)
• Durability of server CPU pricing into 2027 as supply grows, vs AMD and Arm share gains
• Depth and duration of memory-cost-driven PC unit decline (IDC Q4 2026 -20% y/y) into 2027
• 18A/14A yield trajectory and foundry loss narrowing; primary yield figures unavailable
• Dilution: post-lock-up raise risk and escrow-share release; 2027 capex well above 2026
• Rate/AI-trade sentiment: stock is high-beta to semis after a ~250% run</t>
  </si>
  <si>
    <t xml:space="preserve">• a fact: Aug $20B offering; 5.285B shares + 143M escrow = 5.43B → $23B gross / 242.1M shares with greenshoe; 5.40B diluted (incl. 119M RSUs) + 143M escrow = 5.54B fully counted (Supervisor share-count resolution (424B5, 8-K 2026-08-12))
• a fact: No NCI deduction; net cash ~$2B → Deduct $15.6B NCI; net cash $1.8B ($52.3B vs $50.5B debt) (Supervisor feedback for agent_2 (424B5 capitalization table))
• a method: SOTP $109 (foundry option $200B) → SOTP $93 (foundry option $140B) (Supervisor: Apple unconfirmed, KeyBanc X post discounted; I drop the social source but stay above $110-120B on 18A-P risk production, Maia 2, Fortinet and the 14A PDK/prospective-customer evidence)
• a method: P/E $101 (2028E EPS $2.80 x 36x) → P/E $98 (2028E EPS $2.73 x 36x) (Escrow-share dilution (~2.6%) identified in the supervisor's share-count resolution)
• fair value: 105 → 96 (NCI deduction, fuller share count and foundry-option haircut)
• a scenario: bear $65/25%, base $115/45%, bull $185/30% → bear $62/27%, base $110/45%, bull $180/28% (Lower fair value, NCI makes the zero-foundry floor ~$68, and post-lock-up raise risk (supervisor))
• P(close &gt;= K): P(&gt;=120) 0.47, P(&gt;=96) 0.62, median ~$115 → P(&gt;=120) 0.447, P(&gt;=96) 0.60, median ~$111 (Fair value cut from $105 to $96; tails kept wide for the 14A binary)
• P(close &gt;= K): 1-month P(&gt;=120) 0.51, median ~$120.5 → 1-month P(&gt;=120) 0.487, median ~$119 (Supervisor verified 8 of 11 negative next-day earnings reactions and lock-up expiry at the Q3 print; positive pricing read-through still offsets part of it)
• thesis break: 70 (substack bear) → 70 (re-derived: zero-foundry value after NCI ~$68) (Level unchanged, but reason now rests on corrected SOTP and the $95 offering/July low per supervisor)</t>
  </si>
  <si>
    <t xml:space="preserve">Skeptic lane, round 2. Facts from round 1 stand: Q2'26 revenue $16.1B (+25%), non-GAAP EPS $0.42, GAAP EPS -$2.16 (escrow mark-to-market), adjusted FCF -$8.4B, debt $50.5B, foundry -$2.1B on $293M external revenue (source #1, source #5). Supervisor corrections I accept and verified: the August raise was $23B gross / $22.62B net with the 31.6M-share greenshoe exercised 2026-08-11 (source #25, source #26), giving 5,285M basic and ~5.40B diluted shares; I use 5.45B to include part of the 143M escrow shares. Net debt falls to ~$2B pro forma after H2 burn; NCI $15.6B still deducted. 14A remains on track for H2'27 risk production and 2028 HVM (source #28), and I note Tesla selected 14A for Terafab in April (source #29), which lowers my 14A-pause odds though volumes and terms are undisclosed. On my own lane: insider selling is small (an EVP's 21k-share and 14.7k-share sales, source #30, source #31) against the CEO's $10M buy at $95 (source #16); my 2025 rating sources are dated, and an X post reports Fitch moved its outlook to Stable after the raise (source #27), which I could not verify at Fitch, so it moves no number, but it weakens the credit-stress leg of the bear case. Northland's CY27 datacenter decline (source #8) is stale against a ~35% rise in FY27 estimates, so I halved the EPS haircut built on it. The capitalized corporate-cost deduction is kept in the SOTP only (segment income excludes those costs, so no double count with non-GAAP EPS) and trimmed to $40B. Net: fair value ~$94 (from $93), since the extra shares offset the higher proceeds, EPS and foundry value. The valuation case is unchanged: ~58x FY27 EPS, ~10x sales, a Hold-heavy street with a ~$116 mean target below spot (source #6). For the ladder I keep a median below spot but raise it to ~$111 (from ~$109), as a compromise between fair value and momentum/rising estimates, with a lognormal sigma ~0.60 plus a 15% wide (sigma 1.0) component for binary foundry/customer news. Scenarios: bear 27% at $65, base 47% at $112, bull 26% at $175 (mean ~$116). P(&gt;=120) ~0.45, P(&lt;72) ~0.25. I disagree with nothing material in the supervisor file; I add the Tesla 14A selection as a fact its key drivers omit. Limits: Fitch and technology.org pages were not reachable (402/403); I used about 10 searches/fetches this round.</t>
  </si>
  <si>
    <t xml:space="preserve">Below about $70 (~6x sales, ~42% below spot; source #4's bear case is $74, source #5's $70) the market would be pricing a fundamental break rather than de-rating: the server-CPU upcycle rolling over and/or 14A losing Tesla and other external interest, with foundry losses at $2B+ a quarter and no breakeven path (source #3, source #6). It is ~26% below the $95 August offering price ($23B gross incl. greenshoe, source #25) and the CEO's $95 purchase (source #16), and well under the July 2026 low of ~$82 that ordinary de-rating reached. A fall to the $80s-90s would be ordinary volatility at 76% realized vol.</t>
  </si>
  <si>
    <t xml:space="preserve">• Durability of the AI/agentic server-CPU shortage and 10-15% price increases vs a 2027 hyperscaler capex slowdown
• Whether Tesla's 14A selection and the preliminary Apple 18A-P deal turn into disclosed, high-volume commitments; external foundry revenue is still only $293M a quarter
• Foundry loss rate (~$2-2.5B/qtr) and whether breakeven slips from end-2027 into 2028
• Negative adjusted FCF (-$8.4B in Q2), 2027 capex guided higher, and the lock-up ending at the Q3 print: further dilution or debt needs
• Multiple: ~58x FY27 consensus EPS leaves the stock sensitive to rates and AI-sentiment swings (76% realized vol)
• Government/strategic holders (US ~10%, Nvidia, SoftBank) bought at $20-23 and sit on large gains: a potential supply overhang</t>
  </si>
  <si>
    <t xml:space="preserve">• a fact: Offering 210.5M shares, $19.7B net proceeds → 242.1M shares incl. greenshoe exercised 2026-08-11, $23B gross / $22.62B net (Supervisor feedback for agent_3; verified in 8-K 2026-08-12 (source #25) and source #26)
• a fact: 5.30B diluted shares → 5.45B (5.285B basic + ~119M RSUs = 5.40B, plus ~half of 143M escrow shares) (Supervisor share-count resolution (424B5) and greenshoe; escrow partly included as releases follow disbursements)
• a fact: Net debt ~$5B → ~$2B after H2 burn ($22.62B net proceeds instead of $19.7B (supervisor; source #26))
• a method: P/E $87.5 (NTM EPS $2.50 x 35x) → $89 (NTM EPS $2.55 x 35x) (Supervisor: Northland's May call is stale against a ~35% rise in FY27 estimates, so EPS haircut halved; partly offset by more shares)
• a method: SOTP $99 (foundry $120B, corporate -$50B, 5.30B sh) → SOTP $100 (foundry $125B, corporate -$40B, 5.45B sh) (Supervisor asked to check corporate-cost double-count (not double-counted in SOTP, but trimmed); 14A on track (source #28) and Tesla 14A selection (source #29) lift foundry slightly)
• a method: EV/sales $93 → $91 (More shares (5.45B) outweigh lower net debt)
• fair value: 93 → 94 (Net of the share, proceeds, EPS and foundry corrections above)
• a scenario: bear 30% $65 / base 45% $110 / bull 25% $175 → bear 27% $65 / base 47% $112 / bull 26% $175 (14A on track (supervisor) and Tesla 14A selection reduce 14A-pause odds; Northland call stale; reported Fitch outlook improvement (unverified) weakens credit-stress leg)
• P(close &gt;= K): P(&gt;=108) 0.505, P(&gt;=120) 0.445, P(&gt;=72) 0.735 → P(&gt;=108) 0.515, P(&gt;=120) 0.45, P(&gt;=72) 0.75 (Median raised from ~$109 to ~$111 on the scenario changes; tails unchanged)
• P(close &gt;= K): 1-month P(&gt;=120) 0.485 → 0.475 (Supervisor confirmed 8/11 negative next-day earnings reactions and flagged the lock-up ending at the Q3 print)
• thesis break: 70 → 70 (reason updated) (Level unchanged; text now uses the $23B offering size and the July low of ~$82 as the ordinary de-rating marker)</t>
  </si>
  <si>
    <t xml:space="preserve">Round 2. Facts (corrected per supervisor): $120 close; 5,285M basic / ~5.40B diluted shares after the $23B August offering incl. greenshoe; pro forma cash+ST inv ~$52.3B vs $50.5B debt before H2 burn, plus $15.6B NCI to deduct; Q2 non-GAAP EPS $0.42 on $16.1B, Q3 guide $0.38; consensus $1.52 FY26 / $2.06 FY27 (~58x). Supervisor findings I accept: the SemiAnalysis '14A slip to 2029' post was stale - verified via Intel's Q2 prepared remarks and TrendForce that 14A risk production is H2 2027 and HVM 2028 - so I removed that haircut and raised P(firm anchor) from 50% to 55%, foundry option $110B-&gt;$117B; the NCI and modest net debt are now deducted and shares raised to 5.40B, which more than offsets it, so SOTP falls $95-&gt;$91 and blended fair value $95-&gt;$94. I drop the 18A-yield datapoints from any number. Lane follow-ups: Intel itself confirmed Xeon/Core price hikes (Tom's Hardware; X lead), and SemiAnalysis's newsletter corroborates agentic/RL-driven CPU demand and Intel inventory depletion, but also says AMD Venice's lead over Diamond Rapids widens through 2028 - consistent with my Steam share-loss signal and a cyclical cap on the Products multiple. No September Steam data found; still no open Intel prediction markets. Distribution: median ~$112 (between fair value $94 and spot, momentum/revisions argue against full reversion) with log-sigma ~0.6 and a slightly fat lower tail; I nudged the upper tail up ~0.5-1pt for the de-risked 14A schedule. Scenario mean ~$121 (27% $65, 47% $115, 26% $190), consistent with P(&gt;=120)=0.46. 1-month: added the 8/11 negative earnings-reaction base rate and the lock-up expiry at the print, so P(&gt;=120) 0.495-&gt;0.48. Research limited to 4 searches and 3 fetches in round 2; X/Reddit not fetched directly.</t>
  </si>
  <si>
    <t xml:space="preserve">Below ~$70 (about 25x my ~$2.8 Products-based EPS with little foundry value, 26% under the $95 August offering/CEO purchase price and well below the July 2026 low of $81.79) the market would be saying the CPU pricing/allocation cycle has broken or the 14A/Apple/Terafab customer pipeline has failed despite the on-schedule process milestones. That is more than ordinary 76%-vol noise from $120 over a few months.</t>
  </si>
  <si>
    <t xml:space="preserve">• Whether external foundry revenue scales from ~$0.3B/qtr; Apple, Terafab and SK Hynix are all preliminary/unconfirmed
• Durability of the server CPU shortage and price hikes; cycles like this (cf. memory) can reverse fast once capacity catches up
• 14A: on track per the Q2 call (risk production H2 2027, HVM 2028), but HVM depends on an external anchor customer that is not yet signed
• 18A yield: relayed sell-side figures range from 50% to 80%+; none primary, so I give them no weight
• Valuation at ~58x CY27 consensus EPS leaves little room for error; retail-flow-driven momentum (Vanda) can unwind
• Dilution: $23B raised in Aug-2026 (242.1M shares), lock-up ends at the Q3 print, S-3ASR shelf open, 2027 capex 'significantly above' 2026; $15.6B NCI ranks ahead of common</t>
  </si>
  <si>
    <t xml:space="preserve">• a fact: 14A volume production slipped to 2029 (SemiAnalysis X post) → 14A risk production H2 2027, HVM commit 2028, PDK 0.9 Oct 2026 (Supervisor 14A disagreement resolution; verified in Intel Q2 2026 prepared remarks and TrendForce)
• a method: SOTP foundry option $110B (50% x $180B + 50% x $40B) → $117B (55% x $180B + 45% x $40B) (Removed the stale 14A-slip haircut; Apple still preliminary and $293M/qtr external revenue keep it capped)
• a fact: net cash ~$0, no NCI; 5.285B shares; $20B offering → net debt ~-$3B after H2 burn, NCI -$15.6B, 5.40B diluted shares; $23B gross / 242.1M shares (Supervisor share-count/claims resolution (424B5 capitalization table, 8-K greenshoe))
• a method: SOTP $95 → SOTP $91 (NCI + net debt + diluted share count outweigh the higher foundry option)
• fair value: 95 → 94 (SOTP change above; P/E unchanged at $96 (EPS estimate already on post-offering diluted base))
• a fact: 18A yield 50% vs 80% cited as evidence → given no weight (Supervisor: both are relayed sell-side figures, neither primary)
• a scenario: bear 0.28 / bull 0.25 → bear 0.27 / bull 0.26 (14A schedule de-risked; partly offset by post-lock-up raise risk added to bear story)
• P(close &gt;= K): P(&gt;=144)=0.335, P(&gt;=180)=0.215, P(&gt;=300)=0.05 → 0.34, 0.22, 0.052 (P&gt;=120 0.455-&gt;0.46) (Slightly fatter upper tail for on-track 14A; fair value barely moved so centre unchanged)
• P(close &gt;= K): 1-month P(&gt;=120)=0.495 → 0.48 (Supervisor-verified 8 of 11 negative next-day earnings reactions and company lock-up ending at the Q3 print)
• thesis break: 70 → 70 (unchanged) (Agree with supervisor's $70; reason updated with July 2026 low $81.79 and corrected offering facts)</t>
  </si>
  <si>
    <t xml:space="preserve">Round-2 revision. I verified the supervisor's main correction in the primary filings. There is no planned ~$15B follow-on: $15B was the proposed size of the August deal [23], which was upsized to $20B [24], and the 31.6M-share greenshoe was exercised on Aug 11 [6]. That leaves 5,285M basic shares and $22.62B net proceeds [22], and EDGAR shows no later offering filing [25]. The 424B5 also lists $15.6B of NCI and 143M escrow shares [22], which I had left out. Net effect on fair value: removing the phantom dilution helps, while the NCI, the higher H2 net debt and the escrow shares hurt, so fair value goes from $99 to $96. Starting point is unchanged: INTC is $120 after +258% in a year and +34% in September, at about 58x FY27 consensus EPS of $2.06 and about 11x sales, near the top of its decade P/S range [1][2][4][5]. Base rates (own computation, 28 large semis/tech names [17]): after a +150% trailing year the median next-12-month return was +48% (n=243), or +25% for the post-2002 ex-mega-winner subset (n=72), with a log SD of 0.63-0.82 and about 19% of cases losing more than 30%. Survivorship bias is heavy, so I cut the momentum drift to about 0-10%. Valuation pulls the other way: fair value of about $96 is 20% below spot, and Intel's 2000 peak at about 50x was followed by -82% [19]. Sell-side consensus of about $116, with 32 of 48 at Hold [1][10], agrees with a flat-to-down center. Manifold's 41% on touching $150 by end-2026 [15] is a bit below a driftless touch model (~55%). Per the source review, I now give no weight to the thin 2027 Polymarket markets (~$10k volume) [11][13]. That removes a little of the bear tail I had attributed to macro. Removing the supply overhang of a phantom follow-on is a small positive for the 12-month path. Together these move my median from $112 to $113. I keep sigma at 0.65 (between the base-rate sample's 0.63-0.82 and slightly below the 76% realized vol, since vol mean-reverts after spikes). Result: P(&gt;=120) is 46%, P(&gt;=60) is 84%, and P(&gt;=300) is 7%. The scenario mean (0.25x$60 + 0.5x$110 + 0.25x$185 = $116) is consistent. I agree with the supervisor's factual corrections. I keep my own ladder rather than the forecaster mean because my base-rate evidence still argues for fatter tails on both sides. Research limits: round-1 data constraints (Twelve Data paywall, Alpha Vantage rate limit) still apply, and round 2 used 7 targeted fetches (EDGAR, 424B5, 8-K, Intel IR).</t>
  </si>
  <si>
    <t xml:space="preserve">$72 is below the July-2026 low of $81.79 and about 24% under the $95 price of the August 2026 offering ($23B gross, 242.1M shares including the greenshoe) [19][6][22]. At $72 the stock would trade at about 35x FY27 consensus EPS. Getting there would most likely take falling estimates (AI-CPU demand normalizing, 18A/14A yield or customer setbacks, margins stalling near 40%), not just multiple compression. July 2026 showed that ordinary de-rating on valuation worries stops in the low $80s, so a break below that, with $23B of fresh equity already on the balance sheet, would signal a fundamental problem.</t>
  </si>
  <si>
    <t xml:space="preserve">• Whether the AI-agent-driven server CPU shortage lasts into 2027 or is a one-off inventory build
• 18A/14A yields and whether external foundry customers commit at scale
• Whether Intel taps the open shelf again after the lock-up ends at the Q3 print (nothing planned), and how the 2027 capex step-up affects FCF and net debt
• Multiple durability: at 58-62x FY27 EPS, small estimate changes produce large price moves
• Survivorship bias in the momentum base rates (my sample is today's survivors)
• Exact Q3 earnings date (Oct 22 estimated; no notice yet, so possibly Oct 27-30)</t>
  </si>
  <si>
    <t xml:space="preserve">• a fact: ~$15B more common stock planned; Q4-2026 follow-on catalyst → No follow-on planned or filed; generic post-lock-up raise risk from the Q3 release (~10% within October) (Supervisor finding, verified: Intel PR 'Proposed $15B' upsized to $20B [23][24], greenshoe exercised [6], no offering filing on EDGAR since 2026-08-12 [25], lock-up ends at the Q3 release [22]. StocksToTrade source dropped.)
• a fact: $20B September raise, 210.5M shares, $19.7B proceeds; '$35B of equity' → August 10-12 raise, $23B gross, 242.1M shares, $22.62B net (Supervisor finding, verified in the 8-K and 424B5 [6][22])
• a method: EV/sales $105 (net debt ~$5B, 5.40B shares) → EV/sales $100.7 (net claims ~$25B including $15.6B NCI, 5.45B shares) (424B5 capitalization table: NCI $15.6B, 143M escrow shares; corrected net proceeds [22])
• a method: P/E $94.5 → P/E $93.6 (~1% escrow-share dilution [22]; phantom follow-on removed)
• fair value: 99 → 96 (NCI and escrow shares outweigh the removal of the phantom follow-on)
• P(close &gt;= K): lognormal median $112, sigma 0.66 (P&gt;=120 0.458) → lognormal median $113, sigma 0.65 (P&gt;=120 0.463) (Removed the phantom follow-on overhang; gave no weight to the thin 2027 Polymarket markets the supervisor discounted, which slightly thins the bear tail)
• P(close &gt;= K): 1-month sigma 0.215 → 1-month sigma 0.21, median $119 unchanged (My earnings-reaction base rate confirmed by the supervisor; the follow-on risk inside the window is now smaller; the Q3 date is still unannounced [26])
• thesis break: 72 (text: September raise, $35B equity) → 72 (text corrected: August raise, $23B gross) (Supervisor correction of dates and amounts. I keep $72 rather than the supervisor's $70: it stays roughly 10% below the July low that ordinary de-rating reached)</t>
  </si>
  <si>
    <t xml:space="preserve">INTC supervisor</t>
  </si>
  <si>
    <t xml:space="preserve">Confidence: low. After round 1 the five revised forecasts converged even further (P(&gt;=120) ranges only from 0.436 to 0.463). My searches settled side questions: the Tesla and Maia evidence, the unverified Fitch outlook, the Micron read-through and the unconfirmed earnings date. None of them justifies moving the centre or the tails off the mean.</t>
  </si>
  <si>
    <t xml:space="preserve">Summary</t>
  </si>
  <si>
    <t xml:space="preserve">In round 2 the five forecasters converged further: all now use the corrected share count, the $23B raise and the NCI, with fair values of $94-100 (mean $96) against a $120 price and P(&gt;=120 in a year) of 0.44-0.46. My checks found that no 14A customer is named yet: Tesla's Terafab is a collaboration with no disclosed revenue, Maia 2 and Apple are reports, and a reported Fitch upgrade is unverified. Micron's blowout quarter is confirmed, but it cuts both ways for Intel. None of this justifies moving off the forecasters' mean, which I keep with low confidence: median about $111 in a year and about $119 at end-October. The swing factors are a named 14A anchor (upside) and the Q3 print plus the lock-up ending in late October (two-way event risk).</t>
  </si>
  <si>
    <t xml:space="preserve">Research target (12m)</t>
  </si>
  <si>
    <t xml:space="preserve">Key drivers</t>
  </si>
  <si>
    <t xml:space="preserve">• Server-CPU shortage and pricing (DCAI +59% y/y in Q2; channel prices up 10-20%), and whether it lasts into 2027 as AMD and Arm capacity arrives. Micron's $54.2B quarter confirms AI-server demand, but memory costs hit PC units
• A named, binding 14A anchor customer. Today the evidence is the CFO's 'conviction' (Sept 2), a Tesla Terafab collaboration with no disclosed revenue, report-only Apple 18A-P and Maia 2 deals, and $293M a quarter of external foundry revenue. 14A risk production is set for H2 2027, with HVM in 2028
• Valuation: about 58x FY27 consensus EPS of $2.06. The agents' revised fair values cluster at $94-100 (mean $96), so the multiple must compress as EPS grows
• Dilution and balance sheet: 5.40-5.54B shares after the $23B raise, the company lock-up ending at the Q3 print with the S-3ASR shelf open, 2027 capex 'significantly above' 2026, and $50.5B of debt plus $15.6B of NCI
• Event risk: the Q3 print (date unconfirmed, about Oct 22), 72-76% realized vol and a 2.9 beta to SPY</t>
  </si>
  <si>
    <t xml:space="preserve">Disagreements (final round)</t>
  </si>
  <si>
    <t xml:space="preserve">Topic</t>
  </si>
  <si>
    <t xml:space="preserve">Positions</t>
  </si>
  <si>
    <t xml:space="preserve">Resolution</t>
  </si>
  <si>
    <t xml:space="preserve">Evidence</t>
  </si>
  <si>
    <t xml:space="preserve">Value of the foundry option (the main remaining spread in fair value)</t>
  </si>
  <si>
    <t xml:space="preserve">agent_1 gives foundry plus Mobileye $75B. agent_4 gives $117B, agent_3 $125B and agent_2 $140B. agent_2's figure leans on the Microsoft Maia 2 report, Fortinet and an older Tom's Hardware piece on 'two prospective 14A customers'. agent_3 counts Tesla's Terafab 14A selection.</t>
  </si>
  <si>
    <t xml:space="preserve">Partly settled. At Deutsche Bank on 2026-09-02, the CFO said customer talks have moved to 'how much capacity can I get' and that Intel has 'conviction' on external 14A customers. He named no customer and gave no volumes or revenue. The Tesla Terafab tie-up (April 2026) is a technology and manufacturing collaboration with no capital commitment or revenue figure disclosed. Maia 2 on 18A rests on a report, not on a statement from either company. Apple 18A-P is still unconfirmed. A centre near $110-120B is the best-supported figure. agent_1 is a little low given Tesla and the CFO's tone; agent_2 is a little high because two of its supports are reports. Either way the difference is only about +/-$5/share of fair value and does not change the direction against the $120 price.</t>
  </si>
  <si>
    <t xml:space="preserve">Bits&amp;Chips on CFO Zinsner at Deutsche Bank (2026-09-02); Yahoo/Simply Wall St and Benzinga on Tesla's Terafab 14A selection (2026-04-22/24); Tom's Hardware Maia 2 headline ('claims report'); TechSpot/Piper Sandler: eight companies evaluating 14A, no commitments (2026-09-25)</t>
  </si>
  <si>
    <t xml:space="preserve">Upper tail: P(close &gt;= $300)</t>
  </si>
  <si>
    <t xml:space="preserve">agent_1 has 3.0% (raised from 1.5%). agents 2-5 have 5.0-6.7%.</t>
  </si>
  <si>
    <t xml:space="preserve">The others are better calibrated. A lognormal with the agents' median of about $111 and sigma of 0.65 (realized vol is 72% over 3 months and 76% over 1 year, my own computation) gives about 6.3% at $300. agent_1's bull case ($190 with 38% dispersion) also points to more than 3%. The 5.3% mean is reasonable, so I keep it.</t>
  </si>
  <si>
    <t xml:space="preserve">Yahoo Finance daily INTC/SPY data (own computation, 2026-10-02)</t>
  </si>
  <si>
    <t xml:space="preserve">Credit: did Fitch move Intel's outlook to Stable?</t>
  </si>
  <si>
    <t xml:space="preserve">agent_3 uses a reported Fitch outlook revision (Negative to Stable) to weaken its credit-stress bear leg. No other agent relies on it.</t>
  </si>
  <si>
    <t xml:space="preserve">Not verified. The only trace I can find is the same X post agent_3 cites. Fitch's site is not reachable from here, and no reputable press confirmation came up. The last verified action is the August 2025 downgrade to BBB with a Negative outlook. The claim is plausible after the $23B raise, but it should not move a number. I discount it, and the effect on agent_3's ladder is negligible.</t>
  </si>
  <si>
    <t xml:space="preserve">X @imnotharsh (unverified); CNBC 2025-08-05 Fitch downgrade; search found no Fitch release</t>
  </si>
  <si>
    <t xml:space="preserve">Q3 earnings date and what sits inside the 1-month window</t>
  </si>
  <si>
    <t xml:space="preserve">All agents assume Oct 22 (unconfirmed) with about 85-90% odds inside the window. agent_5 notes that no notice by Oct 2 slightly favours a later print.</t>
  </si>
  <si>
    <t xml:space="preserve">Still unconfirmed as of 2026-10-02 03:00 UTC. The latest item on Intel's IR RSS is from Sept 8. The last EDGAR filing is an N-PX on Aug 28: no earnings-date 8-K and no offering filing. The Q2 date was announced 23 days ahead (Jun 30 for Jul 23). The print is still very likely before Oct 31. The company lock-up ends with that release (424B5).</t>
  </si>
  <si>
    <t xml:space="preserve">intc.com press-release RSS; data.sec.gov submissions index (both fetched 2026-10-02)</t>
  </si>
  <si>
    <t xml:space="preserve">Read-through from Micron and IDC into the Q3 print (agent_2)</t>
  </si>
  <si>
    <t xml:space="preserve">agent_2 cites Micron FQ4 revenue of $54.2B (+379% y/y) as an AI-server positive, and an IDC Q4 PC-unit forecast of -20% as a client negative.</t>
  </si>
  <si>
    <t xml:space="preserve">The Micron figure is confirmed by Micron's own FQ4 2026 release: $54.2B revenue, +379% y/y, 87% gross margin. The read-through cuts both ways for Intel. It confirms AI-server demand (good for DCAI), but the same memory-price spike raises PC bill-of-materials costs and supports IDC's weak Q4 PC outlook (bad for CCG). That fits a 1-month median a little below spot.</t>
  </si>
  <si>
    <t xml:space="preserve">Micron 8-K Ex.99.1 FQ4 2026 press release; Tom's Hardware/IDC PC forecast</t>
  </si>
  <si>
    <t xml:space="preserve">Escrow and share-count treatment</t>
  </si>
  <si>
    <t xml:space="preserve">agents 1 and 2 count all 143M DoC escrow shares (5.54B shares). agents 3 and 5 count about half (5.45B). agent_4 uses 5.40B diluted.</t>
  </si>
  <si>
    <t xml:space="preserve">All three are defensible: the shares are released as Secure Enclave cash arrives, and the cash partly offsets them. The spread is under $2/share. No change.</t>
  </si>
  <si>
    <t xml:space="preserve">424B5 (2026-08-10) share footnotes</t>
  </si>
  <si>
    <t xml:space="preserve">Disagreements (round 1)</t>
  </si>
  <si>
    <t xml:space="preserve">Further equity issuance: is a ~$15B follow-on 'planned'?</t>
  </si>
  <si>
    <t xml:space="preserve">agent_5 says ~$15B more common stock is planned. It adds part of that to its share count (5.40B) and lists a Q4 follow-on as a negative catalyst. The other agents treat the August raise as complete and do not model a second deal.</t>
  </si>
  <si>
    <t xml:space="preserve">No such plan exists. $15B was the original proposed size of the August offering. It was upsized to $20B (210.5M shares at $95), and the 31.6M-share greenshoe was exercised in full, so 242.1M shares and about $23B gross ($22.62B net) were issued. EDGAR shows no new offering filing since 2026-08-12. Some real dilution risk remains: Intel's own lock-up ends at the earlier of 90 days after the prospectus (about Nov 8) or the Q3 earnings release, and the S-3ASR shelf stays open. So a new raise is possible after Oct 22, but nothing has been announced.</t>
  </si>
  <si>
    <t xml:space="preserve">Intel press release 'Proposed $15 Billion Common Stock Offering' (2026-08-10); CNBC 'Intel upsizes stock offering to $20 billion'; 8-K 2026-08-12 (greenshoe exercised 2026-08-11); 424B5 lock-up clause</t>
  </si>
  <si>
    <t xml:space="preserve">Share count and claims ahead of common equity</t>
  </si>
  <si>
    <t xml:space="preserve">Share counts used: agent_1 5.40B diluted (excludes the 143M escrow shares and the warrants); agent_2 5.43B (5.285B plus escrow); agent_3 5.30B (Q2 diluted plus only the 210.5M base shares, no greenshoe); agent_4 5.285B basic; agent_5 5.40B (including the non-existent follow-on). Net claims: agents 2 and 4 use about $0-2B net cash and ignore the $15.6B non-controlling interest. Agents 1 and 3 deduct the NCI ($13.4-15.6B).</t>
  </si>
  <si>
    <t xml:space="preserve">The 424B5 gives 5,285M basic shares after the greenshoe. Adding 119M unvested RSUs/PSUs gives about 5.40B diluted, plus 143M escrowed DoC shares that are released as Secure Enclave disbursements arrive (about 5.55B fully counted). The 241M warrants are contingent on Intel's foundry ownership falling below 51% and are excluded. NCI was $15.6B at 2026-06-27 per the 424B5 capitalization table, and an equity valuation must deduct it. Pro forma cash plus ST investments is about $52.3B against $50.5B of debt before H2 burn. The corrections cut agent_2's and agent_4's SOTP values by about $3/share and agent_3's by about $1/share.</t>
  </si>
  <si>
    <t xml:space="preserve">424B5 (2026-08-10) 'Number of shares outstanding after this offering' and capitalization table footnote 2; 8-K 2026-08-12</t>
  </si>
  <si>
    <t xml:space="preserve">14A schedule: slip to 2029 volume, or on track?</t>
  </si>
  <si>
    <t xml:space="preserve">agent_4 haircuts foundry value for a 'SemiAnalysis-reported 14A slip to 2029 volume'. Agents 1-3 cite the PDK 0.9 due in October 2026 and 14A defect density running ahead of 18A.</t>
  </si>
  <si>
    <t xml:space="preserve">agent_4's claim is stale. The SemiAnalysis X post (Feb 2026) referred to a Cisco AI Summit remark. On the 2026-07-23 Q2 call, the CEO said Intel remains on track for 14A risk production of internal products in H2 2027, with a commit to high-volume ramp in 2028. That timeline still depends on an external anchor customer, which none of the agents disputes.</t>
  </si>
  <si>
    <t xml:space="preserve">Intel Q2 2026 prepared remarks / call transcript (2026-07-23); Tom's Hardware 'Intel commits to 14A mass production in 2028'</t>
  </si>
  <si>
    <t xml:space="preserve">Apple foundry deal: firm or preliminary?</t>
  </si>
  <si>
    <t xml:space="preserve">agent_2 credits the Apple 18A-P deal in a $200B foundry option. agents 3 and 4 call it preliminary and give the foundry $110-120B. agent_1 gives it $60B.</t>
  </si>
  <si>
    <t xml:space="preserve">The deal is still preliminary. WSJ (2026-05-08) and Kuo report that Apple will make its lowest-end M-series chip on 18A-P at Fab 52, with first shipments Q2-Q3 2027, but neither company has officially confirmed it and TSMC keeps more than 90% of Apple's supply. Intel's own disclosure is about $293M a quarter of external foundry revenue. The evidence supports agents 3 and 4 ($110-120B) over agent_2's $200B, but this settles a valuation input, not the direction of the price.</t>
  </si>
  <si>
    <t xml:space="preserve">Tom's Hardware / TweakTown reporting of the WSJ and Kuo reports; Intel Q2 2026 release (external foundry revenue)</t>
  </si>
  <si>
    <t xml:space="preserve">18A yield: 50% or 80%+</t>
  </si>
  <si>
    <t xml:space="preserve">agent_4 cites a Morgan Stanley 50% figure (via SemiWiki/X). Agents 3 and 4 also cite about 80% (Hardware Busters). KeyBanc reportedly says 65% to 85%.</t>
  </si>
  <si>
    <t xml:space="preserve">Unresolved at the primary level. Both figures are sell-side numbers relayed through social and forum posts. The 50% figure is the older one, and management says yields are improving about 7-8% a month and reach industry-standard levels in 2027. I give neither figure weight in the ladder.</t>
  </si>
  <si>
    <t xml:space="preserve">SemiWiki forum thread; X/Jukan relay; Tom's Hardware 18A yields article</t>
  </si>
  <si>
    <t xml:space="preserve">Q3 earnings date and the post-earnings reaction base rate</t>
  </si>
  <si>
    <t xml:space="preserve">All agents use Oct 22 (unconfirmed). agent_5 puts about a 15% chance on the print landing after Oct 31, since Q3 2024 was reported on Oct 31, and cites 8 of the last 11 next-day reactions as negative.</t>
  </si>
  <si>
    <t xml:space="preserve">Confirmed that Intel has not announced the date: aggregators estimate Thu Oct 22 after the close, and EDGAR shows no 8-K. I recomputed next-day reactions from daily prices: 8 of 11 were negative (-26% to +24%), with a mean absolute move of about 11%. agent_5's base rate holds, and it supports the slight below-spot 1-month median the agents already use. 1-year realized vol is 76% and the 1-year return is +258%, as the agents said.</t>
  </si>
  <si>
    <t xml:space="preserve">Yahoo Finance daily chart data (own computation); MarketBeat/EarningsLens date estimates; SEC submissions index</t>
  </si>
  <si>
    <t xml:space="preserve">Changes the supervisor made</t>
  </si>
  <si>
    <t xml:space="preserve">Item</t>
  </si>
  <si>
    <t xml:space="preserve">From</t>
  </si>
  <si>
    <t xml:space="preserve">To</t>
  </si>
  <si>
    <t xml:space="preserve">Why</t>
  </si>
  <si>
    <t xml:space="preserve">70.8</t>
  </si>
  <si>
    <t xml:space="preserve">70.0</t>
  </si>
  <si>
    <t xml:space="preserve">Three of five agents use $70. It matches the zero-foundry products floor after the NCI (about $68) and sits about 26% under the $95 offering price; the $72 that agents 1 and 5 use is within noise.</t>
  </si>
  <si>
    <t xml:space="preserve">Fact: Fitch outlook (agent_3)</t>
  </si>
  <si>
    <t xml:space="preserve">affirmed BBB, outlook Stable (Aug 2026)</t>
  </si>
  <si>
    <t xml:space="preserve">unverified; last verified BBB/Negative (Aug 2025)</t>
  </si>
  <si>
    <t xml:space="preserve">The only source is an X post; no Fitch release or reputable press confirmation was found.</t>
  </si>
  <si>
    <t xml:space="preserve">Fact: foundry customer evidence (agents 2, 3, 5)</t>
  </si>
  <si>
    <t xml:space="preserve">Tesla/Google 'deals', Maia 2 contract</t>
  </si>
  <si>
    <t xml:space="preserve">Tesla Terafab collaboration with no disclosed revenue; Google only evaluating 14A; Maia 2 report-based; no named 14A customer as of the CFO's Sept 2 remarks</t>
  </si>
  <si>
    <t xml:space="preserve">Bits&amp;Chips (CFO at Deutsche Bank, 2026-09-02), Benzinga/Yahoo on Terafab, TechSpot/Piper Sandler.</t>
  </si>
  <si>
    <t xml:space="preserve">Fact: further equity issuance (agent_5)</t>
  </si>
  <si>
    <t xml:space="preserve">about $15B more common stock planned; Q4 follow-on catalyst</t>
  </si>
  <si>
    <t xml:space="preserve">no follow-on announced or filed; generic post-lock-up raise risk after the Q3 print</t>
  </si>
  <si>
    <t xml:space="preserve">$15B was the original size of the August deal, which was upsized to $20B plus a $3B greenshoe (Intel PR 2026-08-10, 8-K 2026-08-12), and EDGAR shows no later offering.</t>
  </si>
  <si>
    <t xml:space="preserve">Fact: August offering size and shares issued (agents 3, 4, 5)</t>
  </si>
  <si>
    <t xml:space="preserve">$20B gross, 210.5M shares, $19.7B net</t>
  </si>
  <si>
    <t xml:space="preserve">$23B gross, 242.1M shares, $22.62B net, 5,285M basic shares outstanding</t>
  </si>
  <si>
    <t xml:space="preserve">The underwriters exercised the 31.6M-share option in full on 2026-08-11 (8-K 2026-08-12; 424B5).</t>
  </si>
  <si>
    <t xml:space="preserve">Fact: 14A schedule (agent_4)</t>
  </si>
  <si>
    <t xml:space="preserve">volume production slipped to 2029</t>
  </si>
  <si>
    <t xml:space="preserve">risk production H2 2027, HVM commit 2028</t>
  </si>
  <si>
    <t xml:space="preserve">CEO remarks on the Q2 2026 call (2026-07-23) supersede the February 2026 SemiAnalysis post.</t>
  </si>
  <si>
    <t xml:space="preserve">Fact: claims ahead of common equity (agents 2, 4)</t>
  </si>
  <si>
    <t xml:space="preserve">net cash about $0-2B, no NCI deduction</t>
  </si>
  <si>
    <t xml:space="preserve">deduct $15.6B NCI; pro forma cash plus ST investments about $52.3B vs $50.5B debt before H2 burn</t>
  </si>
  <si>
    <t xml:space="preserve">424B5 capitalization table as of 2026-06-27.</t>
  </si>
  <si>
    <t xml:space="preserve">Fair value</t>
  </si>
  <si>
    <t xml:space="preserve">98.8</t>
  </si>
  <si>
    <t xml:space="preserve">97.0</t>
  </si>
  <si>
    <t xml:space="preserve">Agents' methods corrected for shares (about 5.40B diluted), the NCI deduction and the removed phantom follow-on: agent_2 to about $106, agent_4 to about $92, agent_3 slightly up.</t>
  </si>
  <si>
    <t xml:space="preserve">$70 is about 26% below the $95 offering and CEO purchase price and well under the July 2026 low of $81.79, which marks the level ordinary de-rating reached.</t>
  </si>
  <si>
    <t xml:space="preserve">Round-1 feedback sent back to the agents</t>
  </si>
  <si>
    <t xml:space="preserve">What it missed</t>
  </si>
  <si>
    <t xml:space="preserve">Revisit</t>
  </si>
  <si>
    <t xml:space="preserve">agent_1</t>
  </si>
  <si>
    <t xml:space="preserve">• Your share count and offering facts are correct ($23B gross with the greenshoe; 5.40B diluted; warrants excluded). Note that the 143M DoC escrow shares (424B5 capitalization footnote) are released as Secure Enclave disbursements arrive, so they are a further drag of about 2.6% that you leave out.
• Your ladder has the thinnest upper tail of the five (P&gt;=300 at 1.5% vs 5-7% for the others) despite 76% realized vol and a binary 14A outcome.
• Intel's company lock-up ends at the earlier of 90 days or the Q3 earnings release (424B5), so a further raise becomes possible right after Oct 22. Your 'further raises' catalyst should carry that date.</t>
  </si>
  <si>
    <t xml:space="preserve">Check whether your 1.5% at $300 is consistent with your own bull scenario ($185 with about 30% dispersion). Add the escrow shares to the per-share math.</t>
  </si>
  <si>
    <t xml:space="preserve">agent_2</t>
  </si>
  <si>
    <t xml:space="preserve">• You ignore the $15.6B non-controlling interest (424B5 capitalization table, 2026-06-27). Deducting it cuts your SOTP by about $3/share.
• Your $200B foundry option rests partly on an X post relaying a KeyBanc customer list (unverified social) and an Apple deal that neither company has confirmed. External foundry revenue is $293M a quarter.
• Your fair value cites the 'Aug $20B offering'. The greenshoe was exercised (8-K 2026-08-12), so $23B gross and 242.1M shares were issued.</t>
  </si>
  <si>
    <t xml:space="preserve">Re-derive the SOTP with the NCI deducted, and justify the foundry option without the social-sourced customer list. A value near agents 3 and 4 ($110-120B) is better supported.</t>
  </si>
  <si>
    <t xml:space="preserve">agent_3</t>
  </si>
  <si>
    <t xml:space="preserve">• Your share count adds only the 210.5M base shares. The 31.6M-share greenshoe was exercised in full on 2026-08-11 (8-K 2026-08-12): 5,285M basic and about 5.40B diluted. Your net-debt figure also uses the $19.7B base proceeds rather than $22.62B.
• You cite Northland's CY27 datacenter decline (May 2026), but since then FY27 consensus EPS has risen about 35% in 90 days. Weigh how stale that call is.</t>
  </si>
  <si>
    <t xml:space="preserve">Update shares to about 5.40B and net proceeds to $22.6B. The two roughly offset, but state them correctly. Your capitalized-corporate-cost deduction (-$50B) is unique to you; check that it does not double-count costs already in non-GAAP EPS.</t>
  </si>
  <si>
    <t xml:space="preserve">agent_4</t>
  </si>
  <si>
    <t xml:space="preserve">• The SemiAnalysis '14A slip to 2029' (Feb 2026 X post) is stale. On the 2026-07-23 Q2 call the CEO said Intel remains on track for 14A risk production of internal products in H2 2027 and committed to an HVM ramp in 2028 (prepared remarks; Tom's Hardware).
• Your SOTP uses net cash of about $0 and omits the $15.6B non-controlling interest (424B5 capitalization table).
• The 50% vs 80% 18A yield figures are both sell-side numbers relayed through social and forum posts. Neither should move a number.</t>
  </si>
  <si>
    <t xml:space="preserve">Remove the 14A-slip haircut from the foundry option and deduct the NCI. The two roughly offset, so the net effect on fair value is small, but the inputs should be right.</t>
  </si>
  <si>
    <t xml:space="preserve">agent_5</t>
  </si>
  <si>
    <t xml:space="preserve">• There is no planned ~$15B follow-on. $15B was the original proposed size of the August deal, which was upsized to $20B and then grew to $23B with the greenshoe (Intel PR 2026-08-10; CNBC; 8-K 2026-08-12). EDGAR shows no new offering filing. Your StocksToTrade source misread this.
• Your fair value says the raise came in September and that the issuance was '$35B'. It was August 10-12 and $23B gross.
• Your net-debt figure uses $19.7B of proceeds. Net proceeds were $22.62B with the greenshoe, and you leave out the $15.6B NCI.
• Your 8-of-11 negative earnings-reaction base rate checks out against daily price data.</t>
  </si>
  <si>
    <t xml:space="preserve">Drop the follow-on from the share count (about 5.40B diluted is right without it) and from the catalyst list. Keep a smaller, generic risk of a post-lock-up raise after the Q3 print, since the company lock-up ends then. Correct the dates and amounts in your thesis-break text.</t>
  </si>
  <si>
    <t xml:space="preserve">Sizing</t>
  </si>
  <si>
    <t xml:space="preserve">max weight pct</t>
  </si>
  <si>
    <t xml:space="preserve">confidence</t>
  </si>
  <si>
    <t xml:space="preserve">conviction label before</t>
  </si>
  <si>
    <t xml:space="preserve">low</t>
  </si>
  <si>
    <t xml:space="preserve">conviction label reason</t>
  </si>
  <si>
    <t xml:space="preserve">Checked evidence shows no expected-return edge over SPY per unit of risk: the median one-year outcome (about $111) is below spot, fair value is about $96, and at 72-76% vol INTC needs about +25% to match SPY's Sharpe, which the ladder gives only about a 30% chance.</t>
  </si>
  <si>
    <t xml:space="preserve">entry</t>
  </si>
  <si>
    <t xml:space="preserve">2 tranches over 4-6 weeks: the first after the Q3 print (about Oct 22, date unconfirmed), the second once any post-lock-up equity raise has cleared, or by early December</t>
  </si>
  <si>
    <t xml:space="preserve">overlap</t>
  </si>
  <si>
    <t xml:space="preserve">AVGO (AI data-center semis, same AI-capex cycle and semis beta); GOOGL (hyperscaler capex drives server-CPU demand, and it is a 14A evaluator); VST (AI-power trade, same AI-capex sentiment). Correlation with SPY is 0.50 and beta 2.9</t>
  </si>
  <si>
    <t xml:space="preserve">reason</t>
  </si>
  <si>
    <t xml:space="preserve">With realized vol of 72-76% against SPY's 13%, INTC must return about 25% more than T-bills to match SPY's Sharpe. The ladder puts P(&gt;= ~$151) near 0.30, plus a little extra from down-market paths, so about 0.34. About half the existing equity book already rides the AI-capex theme, and the Q3 print and lock-up expiry create event risk within six weeks, so cap the position at a small, staged 3%.</t>
  </si>
  <si>
    <t xml:space="preserve">INTC sources</t>
  </si>
  <si>
    <t xml:space="preserve">Every source the forecasters and the supervisor cited. IDs: A1.3 = agent 1, source 3; S.2 = supervisor, source 2; X.4 = found by the supervisor for an assumption the agent left unsourced.</t>
  </si>
  <si>
    <t xml:space="preserve">Cited by</t>
  </si>
  <si>
    <t xml:space="preserve">Title</t>
  </si>
  <si>
    <t xml:space="preserve">Date</t>
  </si>
  <si>
    <t xml:space="preserve">Link</t>
  </si>
  <si>
    <t xml:space="preserve">A1.1</t>
  </si>
  <si>
    <t xml:space="preserve">Intel Q2 2026 earnings release (8-K Ex.99.1)</t>
  </si>
  <si>
    <t xml:space="preserve">2026-07-23</t>
  </si>
  <si>
    <t xml:space="preserve">https://www.sec.gov/Archives/edgar/data/0000050863/000005086326000155/q226earningsrelease.htm</t>
  </si>
  <si>
    <t xml:space="preserve">A1.2</t>
  </si>
  <si>
    <t xml:space="preserve">Intel Form 10-Q for quarter ended June 27, 2026</t>
  </si>
  <si>
    <t xml:space="preserve">2026-07-24</t>
  </si>
  <si>
    <t xml:space="preserve">https://www.sec.gov/Archives/edgar/data/0000050863/000005086326000157/intc-20260627.htm</t>
  </si>
  <si>
    <t xml:space="preserve">A1.3</t>
  </si>
  <si>
    <t xml:space="preserve">Intel 8-K: underwriting agreement, 210.5M shares at $95 plus 31.6M greenshoe exercised</t>
  </si>
  <si>
    <t xml:space="preserve">2026-08-12</t>
  </si>
  <si>
    <t xml:space="preserve">https://www.sec.gov/Archives/edgar/data/50863/000119312526346806/d117670d8k.htm</t>
  </si>
  <si>
    <t xml:space="preserve">A1.4</t>
  </si>
  <si>
    <t xml:space="preserve">Intel 424B5 prospectus supplement ($20B common stock; use of proceeds, capitalization, dilution footnotes)</t>
  </si>
  <si>
    <t xml:space="preserve">2026-08-10</t>
  </si>
  <si>
    <t xml:space="preserve">https://www.sec.gov/Archives/edgar/data/50863/000119312526345221/d98483d424b5.htm</t>
  </si>
  <si>
    <t xml:space="preserve">A1.5</t>
  </si>
  <si>
    <t xml:space="preserve">Form 4: CEO Lip-Bu Tan open-market purchase of 105,263 shares at $95.00 (2026-08-11)</t>
  </si>
  <si>
    <t xml:space="preserve">2026-08-14</t>
  </si>
  <si>
    <t xml:space="preserve">https://www.sec.gov/Archives/edgar/data/50863/000005086326000177/</t>
  </si>
  <si>
    <t xml:space="preserve">A1.6</t>
  </si>
  <si>
    <t xml:space="preserve">SEC XBRL company facts for Intel (quarterly revenue, operating cash flow, capex)</t>
  </si>
  <si>
    <t xml:space="preserve">https://data.sec.gov/api/xbrl/companyfacts/CIK0000050863.json</t>
  </si>
  <si>
    <t xml:space="preserve">A1.7</t>
  </si>
  <si>
    <t xml:space="preserve">Intel Q2 2026 earnings call transcript</t>
  </si>
  <si>
    <t xml:space="preserve">https://equibles.com/stocks/intc/calls/2026-q2</t>
  </si>
  <si>
    <t xml:space="preserve">A1.8</t>
  </si>
  <si>
    <t xml:space="preserve">Intel at Deutsche Bank 2026 Technology Conference (CFO Zinsner fireside transcript)</t>
  </si>
  <si>
    <t xml:space="preserve">2026-08-26</t>
  </si>
  <si>
    <t xml:space="preserve">https://www.investing.com/news/transcripts/intel-at-deutsche-bank-2026-technology-conference-turnaround-gains-pace-93CH-4877740</t>
  </si>
  <si>
    <t xml:space="preserve">A1.9</t>
  </si>
  <si>
    <t xml:space="preserve">SemiWiki forum: Intel CFO at Deutsche Bank Technology Conference 2026-Aug-26 (transcript excerpts)</t>
  </si>
  <si>
    <t xml:space="preserve">https://semiwiki.com/forum/threads/intel-cfo-at-deutsche-bank-technology-conference-2026-aug-26.25782/</t>
  </si>
  <si>
    <t xml:space="preserve">A1.10</t>
  </si>
  <si>
    <t xml:space="preserve">Intel Investor Relations press release list (ASML High-NA collaboration 9/8, offering releases 8/10-8/11)</t>
  </si>
  <si>
    <t xml:space="preserve">2026-10-01</t>
  </si>
  <si>
    <t xml:space="preserve">https://www.intc.com/news-events/press-releases</t>
  </si>
  <si>
    <t xml:space="preserve">A1.11</t>
  </si>
  <si>
    <t xml:space="preserve">24/7 Wall St: 32 Analysts Say Hold on Intel (consensus 2027 EPS $2.06, 2027 revenue ~$72B, consensus PT $116.37)</t>
  </si>
  <si>
    <t xml:space="preserve">2026-09-30</t>
  </si>
  <si>
    <t xml:space="preserve">https://247wallst.com/investing/2026/09/30/32-analysts-say-hold-on-intel-heres-what-the-numbers-actually-show/</t>
  </si>
  <si>
    <t xml:space="preserve">A1.12</t>
  </si>
  <si>
    <t xml:space="preserve">Motley Fool: Intel Stock Surged Over 40% in September (84x 2026 / 62x 2027 EPS; NVDA 28x, TSMC ~23x 10-yr avg)</t>
  </si>
  <si>
    <t xml:space="preserve">2026-09-27</t>
  </si>
  <si>
    <t xml:space="preserve">https://www.fool.com/investing/2026/09/27/intel-stock-surged-over-40-in-september-history-sh/</t>
  </si>
  <si>
    <t xml:space="preserve">A1.13</t>
  </si>
  <si>
    <t xml:space="preserve">Trefis: What Changed For Intel Stock (10.4x sales; P/S range 1.5-12.5x past decade; LTM revenue $57.0B)</t>
  </si>
  <si>
    <t xml:space="preserve">2026-09-29</t>
  </si>
  <si>
    <t xml:space="preserve">https://www.trefis.com/stock/intc/articles/616955/what-changed-for-intel-stock-and-what-did-not/2026-09-29</t>
  </si>
  <si>
    <t xml:space="preserve">A1.14</t>
  </si>
  <si>
    <t xml:space="preserve">TechSpot reporting Piper Sandler note: eight large companies evaluating Intel 14A, no commitments</t>
  </si>
  <si>
    <t xml:space="preserve">2026-09-25</t>
  </si>
  <si>
    <t xml:space="preserve">https://www.techspot.com/news/113984-amazon-apple-amd-google-tesla-microsoft-nvidia-qualcomm.html</t>
  </si>
  <si>
    <t xml:space="preserve">A1.15</t>
  </si>
  <si>
    <t xml:space="preserve">EarningsLens Q3 2026 preview (consensus Q3 EPS $0.39, revenue $16.72B)</t>
  </si>
  <si>
    <t xml:space="preserve">https://www.earningslens.ai/stock/intc/preview/2026-Q3</t>
  </si>
  <si>
    <t xml:space="preserve">A1.16</t>
  </si>
  <si>
    <t xml:space="preserve">Motley Fool: Why Intel Stock Jumped This Week (Meta Muse agent, CPU demand narrative)</t>
  </si>
  <si>
    <t xml:space="preserve">https://www.fool.com/investing/2026/09/25/why-intel-stock-jumped-this-week/</t>
  </si>
  <si>
    <t xml:space="preserve">A1.17</t>
  </si>
  <si>
    <t xml:space="preserve">MarketBeat: Intel Q3 2026 earnings report date (Oct 22, 2026 after close, unconfirmed)</t>
  </si>
  <si>
    <t xml:space="preserve">https://www.marketbeat.com/earnings/reports/2026-10-22-intel-co-stock/</t>
  </si>
  <si>
    <t xml:space="preserve">A1.18</t>
  </si>
  <si>
    <t xml:space="preserve">Intel 8-K: Chief Accounting Officer resignation; CFO assumes principal accounting officer role</t>
  </si>
  <si>
    <t xml:space="preserve">2026-04-24</t>
  </si>
  <si>
    <t xml:space="preserve">https://www.sec.gov/Archives/edgar/data/50863/000005086326000083/intc-20260424.htm</t>
  </si>
  <si>
    <t xml:space="preserve">A1.19</t>
  </si>
  <si>
    <t xml:space="preserve">Intel 8-K: $6.5B senior notes issuance (4.65%-6.20%, 2031-2066)</t>
  </si>
  <si>
    <t xml:space="preserve">2026-04-30</t>
  </si>
  <si>
    <t xml:space="preserve">https://www.sec.gov/Archives/edgar/data/50863/000119312526197845/d143782d8k.htm</t>
  </si>
  <si>
    <t xml:space="preserve">A1.20</t>
  </si>
  <si>
    <t xml:space="preserve">Seeking Alpha news: Intel outlines path to 45% client share and 14A customer decisions by late 2026 (Q4 2025 call)</t>
  </si>
  <si>
    <t xml:space="preserve">2026-01-22</t>
  </si>
  <si>
    <t xml:space="preserve">https://seekingalpha.com/news/4541893-intel-outlines-path-to-45-percent-client-market-share-and-signals-14a-foundry-customer</t>
  </si>
  <si>
    <t xml:space="preserve">A1.21</t>
  </si>
  <si>
    <t xml:space="preserve">Intel Q2 2026 CEO/CFO prepared remarks (14A risk production H2 2027, HVM commit 2028; PDK 0.9 October; 2027 capex 'significantly above' 2026; NCI ~$1.1B/yr 2027-28)</t>
  </si>
  <si>
    <t xml:space="preserve">https://d1io3yog0oux5.cloudfront.net/_c348c7c46c1f6cb83c19e66e1c989d69/intel/db/887/9266/prepared_remarks/Q2+2026+Prepared+Remarks.pdf</t>
  </si>
  <si>
    <t xml:space="preserve">A1.22</t>
  </si>
  <si>
    <t xml:space="preserve">SEC EDGAR submissions index for Intel (no new offering, S-3 takedown or earnings-date 8-K after 2026-08-12)</t>
  </si>
  <si>
    <t xml:space="preserve">2026-10-02</t>
  </si>
  <si>
    <t xml:space="preserve">https://data.sec.gov/submissions/CIK0000050863.json</t>
  </si>
  <si>
    <t xml:space="preserve">A1.23</t>
  </si>
  <si>
    <t xml:space="preserve">Intel IR press releases / IR calendar (Q3 earnings date not yet announced as of 2026-10-02; Q2 date was announced 2026-06-30 for 2026-07-23)</t>
  </si>
  <si>
    <t xml:space="preserve">https://www.intc.com/news-events/ir-calendar</t>
  </si>
  <si>
    <t xml:space="preserve">A1.24</t>
  </si>
  <si>
    <t xml:space="preserve">Tom's Hardware: Intel moves closer to building Apple's entry-level M-series chips on 18A (Kuo: NDA signed, 18A-P PDK 0.9.1 received, qualification; unconfirmed by either company)</t>
  </si>
  <si>
    <t xml:space="preserve">2026</t>
  </si>
  <si>
    <t xml:space="preserve">https://www.tomshardware.com/tech-industry/semiconductors/intel-moves-closer-to-building-apples-entry-level-m-series-chips-on-18a</t>
  </si>
  <si>
    <t xml:space="preserve">A2.1</t>
  </si>
  <si>
    <t xml:space="preserve">Intel Q2 2026 earnings release (Form 8-K, Jul 23 2026)</t>
  </si>
  <si>
    <t xml:space="preserve">A2.2</t>
  </si>
  <si>
    <t xml:space="preserve">INTC Deep Dive: What a $635 Billion Turnaround Is Actually Pricing In (Ashton Invests Substack)</t>
  </si>
  <si>
    <t xml:space="preserve">https://ashtoninvests.substack.com/p/intc-deep-dive-what-a-635-billion</t>
  </si>
  <si>
    <t xml:space="preserve">A2.3</t>
  </si>
  <si>
    <t xml:space="preserve">32 Analysts Say Hold on Intel. Here's What the Numbers Actually Show (24/7 Wall St.)</t>
  </si>
  <si>
    <t xml:space="preserve">A2.4</t>
  </si>
  <si>
    <t xml:space="preserve">AMD grabs more CPU share while pricier PCs punish desktop demand (The Register, Mercury Research Q2 2026)</t>
  </si>
  <si>
    <t xml:space="preserve">2026-08-21</t>
  </si>
  <si>
    <t xml:space="preserve">https://www.theregister.com/systems/2026/08/21/amd-grabs-more-cpu-share-while-pricier-pcs-punish-desktop-demand/5291053</t>
  </si>
  <si>
    <t xml:space="preserve">A2.5</t>
  </si>
  <si>
    <t xml:space="preserve">Intel's x86 share falls to 1995 levels; AMD adjusted 46.4% of server (Wccftech, Mercury Research)</t>
  </si>
  <si>
    <t xml:space="preserve">2026-08</t>
  </si>
  <si>
    <t xml:space="preserve">https://wccftech.com/intels-market-share-of-the-x86-cpu-market-falls-to-1995-levels-as-amd-now-controls-an-adjusted-46-4-of-the-market-for-server-cpus-vs-intels-53-6-share-claims-mercury-research/</t>
  </si>
  <si>
    <t xml:space="preserve">A2.6</t>
  </si>
  <si>
    <t xml:space="preserve">IDC: PC market enters volatile territory as memory shortage persists through 2027</t>
  </si>
  <si>
    <t xml:space="preserve">https://www.idc.com/resource-center/blog/pc-market-enters-volatile-territory-as-memory-shortage-persists-through-2027/</t>
  </si>
  <si>
    <t xml:space="preserve">A2.7</t>
  </si>
  <si>
    <t xml:space="preserve">Gartner: Surging memory costs will reduce global PC and smartphone shipments in 2026</t>
  </si>
  <si>
    <t xml:space="preserve">2026-02-26</t>
  </si>
  <si>
    <t xml:space="preserve">https://www.gartner.com/en/newsroom/press-releases/2026-02-26-gartner-says-surging-memory-costs-will-reduce-global-pc-and-smartphone-shipments-in-2026</t>
  </si>
  <si>
    <t xml:space="preserve">A2.8</t>
  </si>
  <si>
    <t xml:space="preserve">TrendForce: AI server demand sustains memory contract price increases in 4Q26, consumer-side pressure persists</t>
  </si>
  <si>
    <t xml:space="preserve">https://www.trendforce.com/presscenter/news/20260930-13258.html</t>
  </si>
  <si>
    <t xml:space="preserve">A2.9</t>
  </si>
  <si>
    <t xml:space="preserve">Server CPU Supply and Pricing in 2026 (Fusion Worldwide distributor insight)</t>
  </si>
  <si>
    <t xml:space="preserve">https://www.fusionww.com/insights/server-cpu-shortage-2026</t>
  </si>
  <si>
    <t xml:space="preserve">A2.10</t>
  </si>
  <si>
    <t xml:space="preserve">CPU price increases hit 15% as AI demand strains supply (Astute Group)</t>
  </si>
  <si>
    <t xml:space="preserve">https://www.astutegroup.com/news/memory-shortages/cpu-price-increases-hit-15-as-ai-demand-strains-supply/</t>
  </si>
  <si>
    <t xml:space="preserve">A2.11</t>
  </si>
  <si>
    <t xml:space="preserve">Why server CPU lead times now run 25-30 weeks (BuySellRam)</t>
  </si>
  <si>
    <t xml:space="preserve">https://www.buysellram.com/blog/server-cpu-lead-times-2026/</t>
  </si>
  <si>
    <t xml:space="preserve">A2.12</t>
  </si>
  <si>
    <t xml:space="preserve">AMD Q2 2026 earnings: revenue $11.5B, data center $6.7B, EPYC &gt;70% growth, Q3 guide $13B (TradingKey)</t>
  </si>
  <si>
    <t xml:space="preserve">2026-08-04</t>
  </si>
  <si>
    <t xml:space="preserve">https://www.tradingkey.com/analysis/stocks/us-stocks/262130382-amd-q2-2026-11-536b-revenue-50-pct-data-center-6-7b-107-pct-q3-13b-helios-taalas-tradingkey</t>
  </si>
  <si>
    <t xml:space="preserve">A2.13</t>
  </si>
  <si>
    <t xml:space="preserve">Earnings call transcript: TSMC lifts 2026 outlook as AI demand stays hot in Q2 2026 (Investing.com)</t>
  </si>
  <si>
    <t xml:space="preserve">2026-07-16</t>
  </si>
  <si>
    <t xml:space="preserve">https://www.investing.com/news/transcripts/earnings-call-transcript-tsmc-lifts-2026-outlook-as-ai-demand-stays-hot-in-q2-2026-93CH-4794777</t>
  </si>
  <si>
    <t xml:space="preserve">A2.14</t>
  </si>
  <si>
    <t xml:space="preserve">Intel shares soar on Apple chip deal report (CNBC)</t>
  </si>
  <si>
    <t xml:space="preserve">2026-05-08</t>
  </si>
  <si>
    <t xml:space="preserve">https://www.cnbc.com/2026/05/08/intel-stock-apple-chip-deal.html</t>
  </si>
  <si>
    <t xml:space="preserve">A2.15</t>
  </si>
  <si>
    <t xml:space="preserve">Intel stock hits fourth straight record high as Apple report fuels chip rally (Yahoo Finance)</t>
  </si>
  <si>
    <t xml:space="preserve">2026-06</t>
  </si>
  <si>
    <t xml:space="preserve">https://finance.yahoo.com/markets/article/intel-stock-hits-fourth-straight-record-high-as-apple-report-fuels-chip-rally-171524007.html</t>
  </si>
  <si>
    <t xml:space="preserve">A2.16</t>
  </si>
  <si>
    <t xml:space="preserve">Intel Foundry secures contract to build Microsoft's Maia 2 on 18A/18A-P (Tom's Hardware)</t>
  </si>
  <si>
    <t xml:space="preserve">https://www.tomshardware.com/tech-industry/semiconductors/intel-foundry-secures-contract-to-build-microsofts-maia-2-next-gen-ai-processor-on-18a-18a-p-node-claims-report-could-be-first-step-in-ongoing-partnership</t>
  </si>
  <si>
    <t xml:space="preserve">A2.17</t>
  </si>
  <si>
    <t xml:space="preserve">Intel signals external customer wins for 14A foundry process (Bits&amp;Chips)</t>
  </si>
  <si>
    <t xml:space="preserve">2026-09</t>
  </si>
  <si>
    <t xml:space="preserve">https://bits-chips.com/article/intel-signals-external-customer-wins-for-14a-foundry-process/</t>
  </si>
  <si>
    <t xml:space="preserve">A2.18</t>
  </si>
  <si>
    <t xml:space="preserve">Intel's 18A progressing but yields only reach industry-standard levels in 2027 (Tom's Hardware)</t>
  </si>
  <si>
    <t xml:space="preserve">https://www.tomshardware.com/pc-components/cpus/intels-pivotal-18a-process-is-making-steady-progress-but-still-lags-behind-yields-only-set-to-reach-industry-standard-levels-in-2027</t>
  </si>
  <si>
    <t xml:space="preserve">A2.19</t>
  </si>
  <si>
    <t xml:space="preserve">Alex on X: KeyBanc identifies Apple, Nvidia, Marvell, Microsoft, Micron, OpenAI as Intel Foundry customers [discounted per supervisor: unverified social relay; no longer used for any input]</t>
  </si>
  <si>
    <t xml:space="preserve">https://x.com/Alex_Intel_/status/2103145329889857774</t>
  </si>
  <si>
    <t xml:space="preserve">A2.20</t>
  </si>
  <si>
    <t xml:space="preserve">Intel CEO confirms ongoing collaboration with NVIDIA on new products (TweakTown)</t>
  </si>
  <si>
    <t xml:space="preserve">https://www.tweaktown.com/news/111546/intel-ceo-confirms-ongoing-collaboration-with-nvidia-on-new-products/index.html</t>
  </si>
  <si>
    <t xml:space="preserve">A2.21</t>
  </si>
  <si>
    <t xml:space="preserve">Intel stock at USD 115.92 on September 28, 2026, down 5.76 percent (ad-hoc-news)</t>
  </si>
  <si>
    <t xml:space="preserve">2026-09-28</t>
  </si>
  <si>
    <t xml:space="preserve">https://www.ad-hoc-news.de/boerse/news/nachboerse/intel-stock-at-usd-115-92-on-september-28-2026-down-5-76-percent/70195069</t>
  </si>
  <si>
    <t xml:space="preserve">A2.22</t>
  </si>
  <si>
    <t xml:space="preserve">Intel Q3 2026 earnings date (MarketBeat)</t>
  </si>
  <si>
    <t xml:space="preserve">2026-10</t>
  </si>
  <si>
    <t xml:space="preserve">A2.23</t>
  </si>
  <si>
    <t xml:space="preserve">Intel 424B5 prospectus supplement (5,285M shares after offering; capitalization table incl. NCI $15.6B; 143M escrow shares; lock-up)</t>
  </si>
  <si>
    <t xml:space="preserve">A2.24</t>
  </si>
  <si>
    <t xml:space="preserve">Intel 8-K: underwriters' 31,578,947-share option exercised in full ($95/share)</t>
  </si>
  <si>
    <t xml:space="preserve">A2.25</t>
  </si>
  <si>
    <t xml:space="preserve">Intel Q2 2026 prepared remarks (14A risk production H2 2027, HVM 2028)</t>
  </si>
  <si>
    <t xml:space="preserve">A2.26</t>
  </si>
  <si>
    <t xml:space="preserve">TrendForce: Server CPU prices up as much as 20% since March; Intel may raise another 8-10% in 2H26</t>
  </si>
  <si>
    <t xml:space="preserve">2026-04-22</t>
  </si>
  <si>
    <t xml:space="preserve">https://www.trendforce.com/news/2026/04/22/news-server-cpu-prices-up-as-much-as-20-since-march-intel-may-raise-prices-another-8-10-in-2h26/</t>
  </si>
  <si>
    <t xml:space="preserve">A2.27</t>
  </si>
  <si>
    <t xml:space="preserve">TrendForce: Intel reportedly raises CPU prices; flagship Xeon up US$1,495</t>
  </si>
  <si>
    <t xml:space="preserve">2026-07-07</t>
  </si>
  <si>
    <t xml:space="preserve">https://www.trendforce.com/news/2026/07/07/news-intel-reportedly-raises-cpu-prices-flagship-xeon-up-us1495-select-desktop-chips-us30-50/</t>
  </si>
  <si>
    <t xml:space="preserve">A2.28</t>
  </si>
  <si>
    <t xml:space="preserve">TrendForce: Intel 18A-P enters risk production</t>
  </si>
  <si>
    <t xml:space="preserve">2026-06-17</t>
  </si>
  <si>
    <t xml:space="preserve">https://www.trendforce.com/news/2026/06/17/news-intel-18a-p-enters-risk-production-targets-9-performance-gain-with-potentially-shortened-ramp/</t>
  </si>
  <si>
    <t xml:space="preserve">A2.29</t>
  </si>
  <si>
    <t xml:space="preserve">TweakTown: Intel Foundry reportedly scores Apple M7 on 18A-P in 2027 (unconfirmed by either company)</t>
  </si>
  <si>
    <t xml:space="preserve">https://www.tweaktown.com/news/111590/intel-foundry-reportedly-scores-apples-m7-production-on-18a-p-in-2027-future-smartphone-chips-on-14a/index.html</t>
  </si>
  <si>
    <t xml:space="preserve">A2.30</t>
  </si>
  <si>
    <t xml:space="preserve">Tom's Hardware: Intel says it has two prospective customers for 14A, expects commitments in 2H26</t>
  </si>
  <si>
    <t xml:space="preserve">https://www.tomshardware.com/tech-industry/semiconductors/intel-says-it-has-two-prospective-customers-for-14a-expects-to-hear-about-commitments-in-second-half-of-2026</t>
  </si>
  <si>
    <t xml:space="preserve">A2.31</t>
  </si>
  <si>
    <t xml:space="preserve">Tom's Hardware: Fortinet becomes Intel 4's first foundry customer (firewall ASIC)</t>
  </si>
  <si>
    <t xml:space="preserve">https://www.tomshardware.com/tech-industry/semiconductors/intel-4-gets-its-first-foundry-customer-in-fortinet-three-years-after-intel-scoped-the-node-to-meteor-lake</t>
  </si>
  <si>
    <t xml:space="preserve">A2.32</t>
  </si>
  <si>
    <t xml:space="preserve">FX Leaders: Intel rises 4% as Micron FQ4 revenue $54.2B (+379% y/y) lifts chip sentiment</t>
  </si>
  <si>
    <t xml:space="preserve">https://www.fxleaders.com/news/2026/10/01/intel-stock-rally-micron-earnings-chip-sector/</t>
  </si>
  <si>
    <t xml:space="preserve">A2.33</t>
  </si>
  <si>
    <t xml:space="preserve">Tom's Hardware: IDC slashes 2026 PC shipment forecast (-11.3%; Q4 -20% y/y) amid memory shortage</t>
  </si>
  <si>
    <t xml:space="preserve">https://www.tomshardware.com/desktops/gaming-pcs/idc-slashes-2026-pc-shipment-forecast-amid-memory-shortages-total-pc-market-value-to-nonetheless-increase-to-usd274-billion-due-to-ongoing-price-hikes</t>
  </si>
  <si>
    <t xml:space="preserve">A2.34</t>
  </si>
  <si>
    <t xml:space="preserve">Tom's Hardware: Intel commits to 14A mass production in 2028</t>
  </si>
  <si>
    <t xml:space="preserve">https://www.tomshardware.com/pc-components/cpus/intel-commits-to-14a-mass-production-in-2028-as-its-sales-rise-25-percent-year-over-year</t>
  </si>
  <si>
    <t xml:space="preserve">A3.1</t>
  </si>
  <si>
    <t xml:space="preserve">Intel Q2 2026 earnings release (Form 8-K, Ex.99.1)</t>
  </si>
  <si>
    <t xml:space="preserve">2026-07</t>
  </si>
  <si>
    <t xml:space="preserve">https://www.sec.gov/Archives/edgar/data/50863/000005086326000155/q226earningsrelease.htm</t>
  </si>
  <si>
    <t xml:space="preserve">A3.2</t>
  </si>
  <si>
    <t xml:space="preserve">Intel prospectus supplement (424B5): 210.5M-share primary offering at $95</t>
  </si>
  <si>
    <t xml:space="preserve">https://www.sec.gov/Archives/edgar/data/0000050863/000119312526345221/d98483d424b5.htm</t>
  </si>
  <si>
    <t xml:space="preserve">A3.3</t>
  </si>
  <si>
    <t xml:space="preserve">TIKR: Intel Stock Fell Nearly 6% in a Day. Here's the Foundry Deadline That Matters More</t>
  </si>
  <si>
    <t xml:space="preserve">https://www.tikr.com/blog/intel-stock-fell-nearly-6-in-a-day-heres-the-foundry-deadline-that-matters-more</t>
  </si>
  <si>
    <t xml:space="preserve">A3.4</t>
  </si>
  <si>
    <t xml:space="preserve">FinanceFeeds: Intel (INTC) Stock Prediction: $172 Bull vs $74 Bear</t>
  </si>
  <si>
    <t xml:space="preserve">https://financefeeds.com/intel-intc-stock-prediction-172-bull-74-bear/</t>
  </si>
  <si>
    <t xml:space="preserve">A3.5</t>
  </si>
  <si>
    <t xml:space="preserve">Ashton Invests (Substack): INTC Deep Dive: What a $635 Billion Turnaround Is Actually Pricing In</t>
  </si>
  <si>
    <t xml:space="preserve">A3.6</t>
  </si>
  <si>
    <t xml:space="preserve">24/7 Wall St: 32 Analysts Say Hold on Intel. Here's What the Numbers Actually Show</t>
  </si>
  <si>
    <t xml:space="preserve">https://247wallst.com/investing/2026/09/30/32-analysts-say-hold-on-intel-heres-what-the-numbers-actually-show</t>
  </si>
  <si>
    <t xml:space="preserve">A3.7</t>
  </si>
  <si>
    <t xml:space="preserve">24/7 Wall St via Yahoo: Prediction: This Stock is Going to Plummet in the Second Half of 2026</t>
  </si>
  <si>
    <t xml:space="preserve">2026-06-19</t>
  </si>
  <si>
    <t xml:space="preserve">https://finance.yahoo.com/markets/stocks/articles/prediction-stock-going-plummet-second-134950193.html</t>
  </si>
  <si>
    <t xml:space="preserve">A3.8</t>
  </si>
  <si>
    <t xml:space="preserve">Investing.com: Northland downgrades Intel stock rating on valuation concerns</t>
  </si>
  <si>
    <t xml:space="preserve">2026-05-26</t>
  </si>
  <si>
    <t xml:space="preserve">https://www.investing.com/news/analyst-ratings/northland-downgrades-intel-stock-rating-on-valuation-concerns-93CH-4709491</t>
  </si>
  <si>
    <t xml:space="preserve">A3.9</t>
  </si>
  <si>
    <t xml:space="preserve">Investing.com: Intel downgraded by Moody's to Baa2 on weak profitability outlook</t>
  </si>
  <si>
    <t xml:space="preserve">2025</t>
  </si>
  <si>
    <t xml:space="preserve">https://www.investing.com/news/stock-market-news/intel-downgraded-by-moodys-to-baa2-on-weak-profitability-outlook-93CH-4186211</t>
  </si>
  <si>
    <t xml:space="preserve">A3.10</t>
  </si>
  <si>
    <t xml:space="preserve">CNBC: Intel's credit rating downgraded by Fitch on demand challenges</t>
  </si>
  <si>
    <t xml:space="preserve">2025-08-05</t>
  </si>
  <si>
    <t xml:space="preserve">https://www.cnbc.com/2025/08/05/intels-credit-rating-downgraded-by-fitch-on-demand-challenges.html</t>
  </si>
  <si>
    <t xml:space="preserve">A3.11</t>
  </si>
  <si>
    <t xml:space="preserve">StockTitan: Intel prices $6.5B multi-maturity note offering (424B5)</t>
  </si>
  <si>
    <t xml:space="preserve">2026-04</t>
  </si>
  <si>
    <t xml:space="preserve">https://www.stocktitan.net/sec-filings/INTC/424b5-intel-corp-prospectus-supplement-debt-securities-4d3042e45fa9.html</t>
  </si>
  <si>
    <t xml:space="preserve">A3.12</t>
  </si>
  <si>
    <t xml:space="preserve">Pluang: Credit default swap spreads widen for tech giants incl. Intel</t>
  </si>
  <si>
    <t xml:space="preserve">2026-07-12</t>
  </si>
  <si>
    <t xml:space="preserve">https://pluang.com/en/news-feed/peringatan-pasar-kredit-terhadap-saham-ai</t>
  </si>
  <si>
    <t xml:space="preserve">A3.13</t>
  </si>
  <si>
    <t xml:space="preserve">GuruFocus: Intel (INTC) Stock Surge Raises Concerns Over AI Bubble</t>
  </si>
  <si>
    <t xml:space="preserve">2026-05-07</t>
  </si>
  <si>
    <t xml:space="preserve">https://www.gurufocus.com/news/8843605/intel-intc-stock-surge-raises-concerns-over-ai-bubble</t>
  </si>
  <si>
    <t xml:space="preserve">A3.14</t>
  </si>
  <si>
    <t xml:space="preserve">Intel Form 10-Q for quarter ended 2026-06-27 (litigation note: foundry securities class action on appeal)</t>
  </si>
  <si>
    <t xml:space="preserve">A3.15</t>
  </si>
  <si>
    <t xml:space="preserve">Blockonomi: Intel short interest 158.8M shares (3.0%) as of 2026-09-15</t>
  </si>
  <si>
    <t xml:space="preserve">https://blockonomi.com/intel-intc-stock-soars-236-in-2026-as-ai-cpu-demand-creates-supply-shortage</t>
  </si>
  <si>
    <t xml:space="preserve">A3.16</t>
  </si>
  <si>
    <t xml:space="preserve">Yahoo Finance: Intel's CEO Just Bet $10 Million on His Company's Stock (Form 4, 105,263 sh at $95)</t>
  </si>
  <si>
    <t xml:space="preserve">https://finance.yahoo.com/markets/stocks/articles/insiders-only-buy-one-reason-140819796.html</t>
  </si>
  <si>
    <t xml:space="preserve">A3.17</t>
  </si>
  <si>
    <t xml:space="preserve">Hardware Busters: Intel 18A Yield Is Pegged at 80%, and 14A Starts at Just 6,000 Wafers a Month</t>
  </si>
  <si>
    <t xml:space="preserve">https://hwbusters.com/news/intel-18a-yield-is-pegged-at-80-and-14a-starts-at-just-6000-wafers-a-month/</t>
  </si>
  <si>
    <t xml:space="preserve">A3.18</t>
  </si>
  <si>
    <t xml:space="preserve">TechSpot: Amazon, Apple, AMD, Google, Tesla, Microsoft, Nvidia, Qualcomm reportedly evaluating Intel 14A</t>
  </si>
  <si>
    <t xml:space="preserve">https://techspot.com/news/113984-amazon-apple-amd-google-tesla-microsoft-nvidia-qualcomm.html</t>
  </si>
  <si>
    <t xml:space="preserve">A3.19</t>
  </si>
  <si>
    <t xml:space="preserve">AI Magazine: Intel to Make Apple Chips in Landmark Foundry Pact</t>
  </si>
  <si>
    <t xml:space="preserve">https://aimagazine.com/news/intel-to-make-apple-chips-in-new-deal</t>
  </si>
  <si>
    <t xml:space="preserve">A3.20</t>
  </si>
  <si>
    <t xml:space="preserve">The Next Platform: AI-Driven CPU Shortage Saves Intel's Financial Cookies</t>
  </si>
  <si>
    <t xml:space="preserve">2026-04-27</t>
  </si>
  <si>
    <t xml:space="preserve">https://www.nextplatform.com/compute/2026/04/27/ai-driven-cpu-shortage-saves-intels-financial-cookies/5218916</t>
  </si>
  <si>
    <t xml:space="preserve">A3.21</t>
  </si>
  <si>
    <t xml:space="preserve">24/7 Wall St: Intel Is Trying to Reinvent Itself. Here's Where INTC Stock Could Be in 2027</t>
  </si>
  <si>
    <t xml:space="preserve">https://247wallst.com/investing/2026/09/29/intel-is-trying-to-reinvent-itself-heres-where-intc-stock-could-be-in-2027/</t>
  </si>
  <si>
    <t xml:space="preserve">A3.22</t>
  </si>
  <si>
    <t xml:space="preserve">MarketBeat: Intel shares down 5.7% (2026-09-28)</t>
  </si>
  <si>
    <t xml:space="preserve">https://www.marketbeat.com/instant-alerts/price-intel-nasdaq-intc-shares-down-57-heres-why-2026-09-28/</t>
  </si>
  <si>
    <t xml:space="preserve">A3.23</t>
  </si>
  <si>
    <t xml:space="preserve">Bloomberg: Intel stake held by US government jumps to $36 billion</t>
  </si>
  <si>
    <t xml:space="preserve">https://www.bloomberg.com/news/articles/2026-04-24/us-government-stake-in-intel-has-jumped-300-to-36-billion</t>
  </si>
  <si>
    <t xml:space="preserve">A3.24</t>
  </si>
  <si>
    <t xml:space="preserve">Tom's Hardware: Nvidia $5B Intel common stock deal (217.4M sh at $23.28)</t>
  </si>
  <si>
    <t xml:space="preserve">2025-12</t>
  </si>
  <si>
    <t xml:space="preserve">https://www.tomshardware.com/tech-industry/nvidia-gives-intel-a-lifeline-with-usd5-billion-common-stock-deal-september-deal-gets-ftc-approval-for-more-than-217-4-million-intel-shares-at-usd23-28-per-share</t>
  </si>
  <si>
    <t xml:space="preserve">A3.25</t>
  </si>
  <si>
    <t xml:space="preserve">Intel Form 8-K (2026-08-12): underwriters exercised 31,578,947-share option in full on 2026-08-11</t>
  </si>
  <si>
    <t xml:space="preserve">https://www.sec.gov/Archives/edgar/data/0000050863/000119312526346806/d117670d8k.htm</t>
  </si>
  <si>
    <t xml:space="preserve">A3.26</t>
  </si>
  <si>
    <t xml:space="preserve">Kalkine Media: Intel $95 pricing for 210.5M-share offering with full overallotment exercise (~$22.6B net)</t>
  </si>
  <si>
    <t xml:space="preserve">https://kalkinemedia.com/us/news/announcements/intel-announces-95-pricing-for-2105-million-share-stock-offering-with-full-overallotment-exercise</t>
  </si>
  <si>
    <t xml:space="preserve">A3.27</t>
  </si>
  <si>
    <t xml:space="preserve">X post (@imnotharsh): Fitch affirms Intel BBB, outlook revised to Stable from Negative (not verified at Fitch; fetch returned 402)</t>
  </si>
  <si>
    <t xml:space="preserve">2026-08/09</t>
  </si>
  <si>
    <t xml:space="preserve">https://x.com/imnotharsh/status/2089776063991673322</t>
  </si>
  <si>
    <t xml:space="preserve">A3.28</t>
  </si>
  <si>
    <t xml:space="preserve">Wccftech: Intel CEO reaffirms 14A volume production timeline (H2'27 risk production, 2028 HVM)</t>
  </si>
  <si>
    <t xml:space="preserve">https://wccftech.com/intel-ceo-lip-bu-tan-reportedly-moves-up-14a-risk-production-to-q1-2027-as-the-nodes-defect-density-races-toward-target/</t>
  </si>
  <si>
    <t xml:space="preserve">A3.29</t>
  </si>
  <si>
    <t xml:space="preserve">Yahoo Finance / Simply Wall St: Intel's Tesla Terafab deal tests AI foundry turnaround story (Tesla selects 14A; no volumes or terms disclosed)</t>
  </si>
  <si>
    <t xml:space="preserve">https://finance.yahoo.com/markets/stocks/articles/intel-tesla-terafab-deal-tests-080701413.html</t>
  </si>
  <si>
    <t xml:space="preserve">A3.30</t>
  </si>
  <si>
    <t xml:space="preserve">Yahoo Finance: Huge insider selling hits Intel stock (EVP sold 21,024 shares, ~9% of direct stake)</t>
  </si>
  <si>
    <t xml:space="preserve">2026-06-11</t>
  </si>
  <si>
    <t xml:space="preserve">https://finance.yahoo.com/markets/stocks/articles/huge-insider-selling-hits-intel-163103542.html</t>
  </si>
  <si>
    <t xml:space="preserve">A3.31</t>
  </si>
  <si>
    <t xml:space="preserve">Intel Form 4: EVP option exercise and sale of 14,738 shares at $90.04 (2026-07-30)</t>
  </si>
  <si>
    <t xml:space="preserve">2026-07-30</t>
  </si>
  <si>
    <t xml:space="preserve">https://www.sec.gov/Archives/edgar/data/0000050863/000005086326000177/form4.xml</t>
  </si>
  <si>
    <t xml:space="preserve">A4.1</t>
  </si>
  <si>
    <t xml:space="preserve">Intel Q2 2026 earnings release (8-K exhibit)</t>
  </si>
  <si>
    <t xml:space="preserve">A4.2</t>
  </si>
  <si>
    <t xml:space="preserve">Alpha Vantage EARNINGS_ESTIMATES for INTC (FY26/FY27 consensus EPS, revisions)</t>
  </si>
  <si>
    <t xml:space="preserve">https://www.alphavantage.co/query?function=EARNINGS_ESTIMATES&amp;symbol=INTC</t>
  </si>
  <si>
    <t xml:space="preserve">A4.3</t>
  </si>
  <si>
    <t xml:space="preserve">Ashton Invests (Substack): INTC Deep Dive - What a $635 Billion Turnaround Is Actually Pricing In</t>
  </si>
  <si>
    <t xml:space="preserve">A4.4</t>
  </si>
  <si>
    <t xml:space="preserve">Semiecosystem (Mark Lapedus Substack): Analyst - Intel's Foundry Unit Wins Some Apple Business</t>
  </si>
  <si>
    <t xml:space="preserve">2026-01-14</t>
  </si>
  <si>
    <t xml:space="preserve">https://marklapedus.substack.com/p/analyst-intels-foundry-unit-wins</t>
  </si>
  <si>
    <t xml:space="preserve">A4.5</t>
  </si>
  <si>
    <t xml:space="preserve">The Intellionaire Ep. 24 (Substack): Unofficial Intel Foundry Direct Connect 2026</t>
  </si>
  <si>
    <t xml:space="preserve">2026-04-03</t>
  </si>
  <si>
    <t xml:space="preserve">https://intellionaire.substack.com/p/the-intellionaire-ep-24-unofficial</t>
  </si>
  <si>
    <t xml:space="preserve">A4.6</t>
  </si>
  <si>
    <t xml:space="preserve">X post @Alex_Intel_ relaying KeyBanc note naming Apple, Nvidia, Marvell, Microsoft, Micron, OpenAI as foundry engagements</t>
  </si>
  <si>
    <t xml:space="preserve">A4.7</t>
  </si>
  <si>
    <t xml:space="preserve">X post @SemiAnalysis_ (Feb 2026): 14A risk 2028 / volume 2029 - STALE, superseded by Q2 2026 call (discounted)</t>
  </si>
  <si>
    <t xml:space="preserve">2026-02</t>
  </si>
  <si>
    <t xml:space="preserve">https://x.com/SemiAnalysis_/status/2024182368064475637</t>
  </si>
  <si>
    <t xml:space="preserve">A4.8</t>
  </si>
  <si>
    <t xml:space="preserve">Polymarket Intel Q2 2026 markets (non-GAAP GM, DCAI and Foundry revenue brackets; resolved; ~$33k/$4.9k/$3.2k volume) - no open Intel markets found</t>
  </si>
  <si>
    <t xml:space="preserve">https://gamma-api.polymarket.com/public-search?q=intel</t>
  </si>
  <si>
    <t xml:space="preserve">A4.9</t>
  </si>
  <si>
    <t xml:space="preserve">BuySellRam: Server CPU prices are still climbing in mid-2026 (channel pricing/lead-time tracker)</t>
  </si>
  <si>
    <t xml:space="preserve">https://www.buysellram.com/blog/server-cpu-prices-are-still-climbing-in-mid-2026/</t>
  </si>
  <si>
    <t xml:space="preserve">A4.10</t>
  </si>
  <si>
    <t xml:space="preserve">Fusion Worldwide: Server CPU Supply and Pricing in 2026 (broker spot pricing, lead times)</t>
  </si>
  <si>
    <t xml:space="preserve">A4.11</t>
  </si>
  <si>
    <t xml:space="preserve">Tech Times: Steam Hardware Survey June 2026 - AMD closes in on Intel (54.0% vs 46.0%)</t>
  </si>
  <si>
    <t xml:space="preserve">2026-07-03</t>
  </si>
  <si>
    <t xml:space="preserve">https://www.techtimes.com/articles/319581/20260703/steam-hardware-survey-june-2026-windows-11-tops-70-amd-closes-intel.htm</t>
  </si>
  <si>
    <t xml:space="preserve">A4.12</t>
  </si>
  <si>
    <t xml:space="preserve">ZipRecruiter Intel job listings in Ohio (2 openings) vs Arizona (194)</t>
  </si>
  <si>
    <t xml:space="preserve">https://www.ziprecruiter.com/co/Intel/Jobs/--in-Ohio</t>
  </si>
  <si>
    <t xml:space="preserve">A4.13</t>
  </si>
  <si>
    <t xml:space="preserve">BigGo Finance citing Vanda Research retail flows: retail rotating from M7 into SK Hynix, Intel; $46B semi ETF inflows</t>
  </si>
  <si>
    <t xml:space="preserve">https://finance.biggo.com/news/543ca6ee-70ea-4767-8a89-c4d0f031e5e5</t>
  </si>
  <si>
    <t xml:space="preserve">A4.14</t>
  </si>
  <si>
    <t xml:space="preserve">SemiWiki forum: Morgan Stanley reports Intel 18A yield at 50% (dissenting yield datapoint)</t>
  </si>
  <si>
    <t xml:space="preserve">https://semiwiki.com/forum/threads/morgan-stanley-reports-intel-18a-yield-at-50.25207/</t>
  </si>
  <si>
    <t xml:space="preserve">A4.15</t>
  </si>
  <si>
    <t xml:space="preserve">Startup Fortune: Intel's stock has tripled in 2026 on Apple chip deal buzz (SK Hynix, Terafab, targets)</t>
  </si>
  <si>
    <t xml:space="preserve">https://startupfortune.com/intels-stock-has-tripled-in-2026-on-apple-chip-deal-buzz/</t>
  </si>
  <si>
    <t xml:space="preserve">A4.16</t>
  </si>
  <si>
    <t xml:space="preserve">Intel: Upsize and pricing of common stock offering ($20B base at $95; 31.6M-share greenshoe exercised 2026-08-11 -&gt; $23B gross, 242.1M shares)</t>
  </si>
  <si>
    <t xml:space="preserve">https://www.intc.com/news-events/press-releases/detail/1779/intel-announces-upsize-and-pricing-of-20-billion-common</t>
  </si>
  <si>
    <t xml:space="preserve">A4.17</t>
  </si>
  <si>
    <t xml:space="preserve">Motley Fool: Intel stock surged over 40% in September. History shows what's next (84x CY26, 62x CY27 P/E; TSMC 10y avg ~23x)</t>
  </si>
  <si>
    <t xml:space="preserve">A4.18</t>
  </si>
  <si>
    <t xml:space="preserve">Tom's Hardware: Intel joins Elon Musk's Terafab project</t>
  </si>
  <si>
    <t xml:space="preserve">https://www.tomshardware.com/tech-industry/semiconductors/intel-joins-elon-musks-terafab-project-intel-is-proud-to-join-the-terafab-project-with-spacex-xai-and-tesla-to-help-refactor-silicon-fab-technology</t>
  </si>
  <si>
    <t xml:space="preserve">A4.19</t>
  </si>
  <si>
    <t xml:space="preserve">Hardware Busters: Intel 18A yield pegged at 80%, 14A starts at 6,000 wafers/month</t>
  </si>
  <si>
    <t xml:space="preserve">A4.20</t>
  </si>
  <si>
    <t xml:space="preserve">Intel Q2 2026 CEO/CFO prepared remarks (14A risk production H2 2027, HVM commit 2028, PDK 0.9 Oct 2026)</t>
  </si>
  <si>
    <t xml:space="preserve">A4.21</t>
  </si>
  <si>
    <t xml:space="preserve">TrendForce: Intel pulls forward 14A timeline by one year, targeting 2028 mass production</t>
  </si>
  <si>
    <t xml:space="preserve">https://www.trendforce.com/news/2026/07/24/news-intel-pulls-forward-14a-timeline-by-one-year-targeting-2028-mass-production-near-tsmcs-roadmap/</t>
  </si>
  <si>
    <t xml:space="preserve">A4.22</t>
  </si>
  <si>
    <t xml:space="preserve">Intel 424B5 prospectus supplement (shares outstanding after offering 5,285M; capitalization table: NCI $15.6B, debt $50.5B; lock-up to earlier of 90 days or Q3 release)</t>
  </si>
  <si>
    <t xml:space="preserve">https://www.sec.gov/cgi-bin/browse-edgar?action=getcompany&amp;CIK=0000050863&amp;type=424B5</t>
  </si>
  <si>
    <t xml:space="preserve">A4.23</t>
  </si>
  <si>
    <t xml:space="preserve">Tom's Hardware: Intel confirms price hikes on select consumer and server CPUs - select Xeons over $1,000 more expensive</t>
  </si>
  <si>
    <t xml:space="preserve">https://www.tomshardware.com/pc-components/cpus/intel-confirms-price-hikes-on-select-consumer-and-server-cpus-citing-supply-costs-and-demand-select-xeon-processors-now-over-usd1-000-more-expensive</t>
  </si>
  <si>
    <t xml:space="preserve">A4.24</t>
  </si>
  <si>
    <t xml:space="preserve">SemiAnalysis newsletter: CPUs are Back - The Datacenter CPU Landscape in 2026 (agentic/RL CPU demand, Intel inventory depletion, AMD Venice lead vs Diamond Rapids)</t>
  </si>
  <si>
    <t xml:space="preserve">2026-02-09</t>
  </si>
  <si>
    <t xml:space="preserve">https://newsletter.semianalysis.com/p/cpus-are-back-the-datacenter-cpu</t>
  </si>
  <si>
    <t xml:space="preserve">A4.25</t>
  </si>
  <si>
    <t xml:space="preserve">X post @AIStockSavvy relaying Intel CPU price-hike confirmation (lead; verified by Tom's Hardware)</t>
  </si>
  <si>
    <t xml:space="preserve">https://x.com/AIStockSavvy/status/2073960757507621143</t>
  </si>
  <si>
    <t xml:space="preserve">A4.26</t>
  </si>
  <si>
    <t xml:space="preserve">Polymarket gamma API re-check: still no open Intel markets (all Q2 2026 brackets closed)</t>
  </si>
  <si>
    <t xml:space="preserve">A4.27</t>
  </si>
  <si>
    <t xml:space="preserve">MarketBeat: INTC Q3 2026 earnings 2026-10-22 after close (aggregator estimate; Intel has not confirmed)</t>
  </si>
  <si>
    <t xml:space="preserve">A5.1</t>
  </si>
  <si>
    <t xml:space="preserve">Alpha Vantage company overview: INTC (shares outstanding 5.286B, analyst target $116.37, 48 ratings: 14 buy/32 hold/2 sell, P/S 11.1x, EV/rev 11.7x)</t>
  </si>
  <si>
    <t xml:space="preserve">https://www.alphavantage.co/query?function=OVERVIEW&amp;symbol=INTC</t>
  </si>
  <si>
    <t xml:space="preserve">A5.2</t>
  </si>
  <si>
    <t xml:space="preserve">Alpha Vantage earnings estimates: INTC FY2026 EPS $1.52, FY2027 EPS $2.06 (range $1.15-$3.44, 46 analysts; 90 days ago $1.52), FY2027 revenue $72.0B</t>
  </si>
  <si>
    <t xml:space="preserve">A5.3</t>
  </si>
  <si>
    <t xml:space="preserve">Intel Q2 2026 earnings release (8-K): revenue $16.1B, non-GAAP EPS $0.42, cash+ST inv $29.7B, debt $50.5B, diluted shares 5,104M, Q3 guide $15.8-16.8B / $0.38</t>
  </si>
  <si>
    <t xml:space="preserve">A5.4</t>
  </si>
  <si>
    <t xml:space="preserve">Motley Fool: Intel Stock Surged Over 40% in September. History Shows What's Next (84x 2026 / 62x 2027 EPS; TSMC ~23x 10-yr avg; NVDA 28x)</t>
  </si>
  <si>
    <t xml:space="preserve">A5.5</t>
  </si>
  <si>
    <t xml:space="preserve">Trefis: What Changed For Intel Stock, And What Did Not? (P/S 10.4x vs decade range 1.5-12.5x; S&amp;P 3.1x)</t>
  </si>
  <si>
    <t xml:space="preserve">A5.6</t>
  </si>
  <si>
    <t xml:space="preserve">Intel 8-K: underwriting agreement for 210,526,315 shares at $95; underwriters exercised 31,578,947-share option in full on 2026-08-11</t>
  </si>
  <si>
    <t xml:space="preserve">A5.7</t>
  </si>
  <si>
    <t xml:space="preserve">CNBC: Intel's stock more than doubles in April for best month in 55 years on Nasdaq (prior best July 1973 +70%)</t>
  </si>
  <si>
    <t xml:space="preserve">https://www.cnbc.com/2026/04/30/intel-has-best-month-ever-after-years-of-losing-to-tsmc-and-nvidia.html</t>
  </si>
  <si>
    <t xml:space="preserve">A5.8</t>
  </si>
  <si>
    <t xml:space="preserve">Motley Fool: How Intel Stock More Than Doubled Last Month (Google/Tesla deals, Q1 beat)</t>
  </si>
  <si>
    <t xml:space="preserve">2026-05-04</t>
  </si>
  <si>
    <t xml:space="preserve">https://www.fool.com/investing/2026/05/04/how-intel-stock-more-than-doubled-last-month/</t>
  </si>
  <si>
    <t xml:space="preserve">A5.9</t>
  </si>
  <si>
    <t xml:space="preserve">TradingKey: Intel stock fell &gt;30% in July (BofA valuation warning, 18A yield report, capex)</t>
  </si>
  <si>
    <t xml:space="preserve">2026-07-29</t>
  </si>
  <si>
    <t xml:space="preserve">https://www.tradingkey.com/analysis/stocks/us-stocks/262068420-intel-stock-price-forecast-stock-price-fallen-30-july-continue-fall-tradingkey</t>
  </si>
  <si>
    <t xml:space="preserve">A5.10</t>
  </si>
  <si>
    <t xml:space="preserve">24/7 Wall St: Intel's price targets reveal how much is riding on its turnaround (32 of 48 Hold; consensus $116.37)</t>
  </si>
  <si>
    <t xml:space="preserve">2026-09-23</t>
  </si>
  <si>
    <t xml:space="preserve">https://247wallst.com/investing/2026/09/23/intels-price-targets-reveal-just-how-much-is-riding-on-its-turnaround/</t>
  </si>
  <si>
    <t xml:space="preserve">A5.11</t>
  </si>
  <si>
    <t xml:space="preserve">Polymarket: US recession by end of 2027? 34.5% Yes (vol ~$9.7k, thin); by end of 2026 8.5% (vol ~$2.24M)</t>
  </si>
  <si>
    <t xml:space="preserve">https://polymarket.com/event/us-recession-by-end-of-2027</t>
  </si>
  <si>
    <t xml:space="preserve">A5.12</t>
  </si>
  <si>
    <t xml:space="preserve">Polymarket: How many Fed rate cuts in 2026? 'No cuts' 96.75% (event vol ~$53.8M)</t>
  </si>
  <si>
    <t xml:space="preserve">https://polymarket.com/event/how-many-fed-rate-cuts-in-2026</t>
  </si>
  <si>
    <t xml:space="preserve">A5.13</t>
  </si>
  <si>
    <t xml:space="preserve">Polymarket: AI bubble burst in 2026? 8.05% (vol ~$2.42M); by June 30 2027 17.5% (vol ~$9.1k)</t>
  </si>
  <si>
    <t xml:space="preserve">https://polymarket.com/event/ai-bubble-burst-by</t>
  </si>
  <si>
    <t xml:space="preserve">A5.14</t>
  </si>
  <si>
    <t xml:space="preserve">Polymarket: Will China invade Taiwan by June 30, 2027? 8.5% (vol ~$462k); military clash before 2027 4.65% (vol ~$3.45M)</t>
  </si>
  <si>
    <t xml:space="preserve">https://polymarket.com/event/will-china-invade-taiwan-by-june-30-2027</t>
  </si>
  <si>
    <t xml:space="preserve">A5.15</t>
  </si>
  <si>
    <t xml:space="preserve">Manifold: Will Intel Stock (INTC) reach $150 in 2026? 40.6% (47.6k mana, 72 traders, play money)</t>
  </si>
  <si>
    <t xml:space="preserve">https://manifold.markets/sama/will-intel-stock-intc-reach-150-in</t>
  </si>
  <si>
    <t xml:space="preserve">A5.16</t>
  </si>
  <si>
    <t xml:space="preserve">Manifold: AI BUBBLE? Which AI companies will drop &gt;60% from their peak in 2026? (Intel answer 23.8%, play money)</t>
  </si>
  <si>
    <t xml:space="preserve">https://manifold.markets/Gen/ai-bubble-which-ai-companies-will-d</t>
  </si>
  <si>
    <t xml:space="preserve">A5.17</t>
  </si>
  <si>
    <t xml:space="preserve">Yahoo Finance monthly adjusted price history for 28 semis/tech large caps (own base-rate computation: 12m fwd returns after trailing-12m gain &gt;=150%)</t>
  </si>
  <si>
    <t xml:space="preserve">https://query1.finance.yahoo.com/v8/finance/chart/AMD?range=max&amp;interval=1mo</t>
  </si>
  <si>
    <t xml:space="preserve">A5.18</t>
  </si>
  <si>
    <t xml:space="preserve">Yahoo Finance INTC daily history (own computation: next-day earnings reactions 2024-2026, realized vol 76% 1y / 72% 3m)</t>
  </si>
  <si>
    <t xml:space="preserve">https://query1.finance.yahoo.com/v8/finance/chart/INTC?range=3y&amp;interval=1d</t>
  </si>
  <si>
    <t xml:space="preserve">A5.19</t>
  </si>
  <si>
    <t xml:space="preserve">Twelve Data INTC monthly OHLC since 1991 (2000 peak ~$75, -82% to 2002; Jun-2026 high $142.35, Jul-2026 low $81.79)</t>
  </si>
  <si>
    <t xml:space="preserve">https://twelvedata.com/</t>
  </si>
  <si>
    <t xml:space="preserve">A5.20</t>
  </si>
  <si>
    <t xml:space="preserve">TheStreet: Intel just broke a 26-year curse (first close above Aug-2000 peak, April 2026)</t>
  </si>
  <si>
    <t xml:space="preserve">https://www.thestreet.com/investing/stocks/intel-just-broke-a-26-year-curse</t>
  </si>
  <si>
    <t xml:space="preserve">A5.21</t>
  </si>
  <si>
    <t xml:space="preserve">MarketBeat: Intel earnings date (Q3 2026 estimated Oct 22, unconfirmed)</t>
  </si>
  <si>
    <t xml:space="preserve">https://www.marketbeat.com/stocks/NASDAQ/INTC/earnings/</t>
  </si>
  <si>
    <t xml:space="preserve">A5.22</t>
  </si>
  <si>
    <t xml:space="preserve">Intel 424B5 prospectus supplement: 5,285,069,511 shares outstanding after offering with option; net proceeds ~$22.62B; NCI $15,601M (6/27/26); 119M unvested RSU/PSU, 143M DoC escrow shares, 241M warrants; company lock-up ends at earlier of 90 days or Q3 earnings release; warrant anti-dilution below 95% of 15-day average</t>
  </si>
  <si>
    <t xml:space="preserve">A5.23</t>
  </si>
  <si>
    <t xml:space="preserve">Intel press release: Proposed $15 Billion Common Stock Offering (the origin of the '$15B' figure)</t>
  </si>
  <si>
    <t xml:space="preserve">https://www.intc.com/news-events/press-releases/detail/1778/intel-announces-proposed-15-billion-common-stock-offering</t>
  </si>
  <si>
    <t xml:space="preserve">A5.24</t>
  </si>
  <si>
    <t xml:space="preserve">Intel press release: Upsize and Pricing of $20 Billion Common Stock Offering</t>
  </si>
  <si>
    <t xml:space="preserve">2026-08-11</t>
  </si>
  <si>
    <t xml:space="preserve">A5.25</t>
  </si>
  <si>
    <t xml:space="preserve">SEC EDGAR submissions index for Intel (last filings: N-PX 8/28, Form 4 8/14; no offering filing or earnings-date 8-K after 2026-08-12)</t>
  </si>
  <si>
    <t xml:space="preserve">A5.26</t>
  </si>
  <si>
    <t xml:space="preserve">Intel IR press-release RSS (latest item 2026-09-08; no Q3 date notice yet as of 2026-10-02) and 'Intel to Report Second-Quarter 2026 Financial Results' (issued 2026-06-30, 23 days before the 7/23 print)</t>
  </si>
  <si>
    <t xml:space="preserve">https://www.intc.com/news-events/press-releases/rss</t>
  </si>
  <si>
    <t xml:space="preserve">S.1</t>
  </si>
  <si>
    <t xml:space="preserve">supervisor</t>
  </si>
  <si>
    <t xml:space="preserve">Bits&amp;Chips: Intel signals external customer wins for 14A foundry process (CFO at Deutsche Bank)</t>
  </si>
  <si>
    <t xml:space="preserve">2026-09-02</t>
  </si>
  <si>
    <t xml:space="preserve">S.2</t>
  </si>
  <si>
    <t xml:space="preserve">Benzinga: Intel lifeline - Tesla 14A chip deal / Terafab</t>
  </si>
  <si>
    <t xml:space="preserve">https://www.benzinga.com/markets/tech/26/04/51989223/intel-lifeline-elon-musk-tesla-14a-chip-deal-terafab</t>
  </si>
  <si>
    <t xml:space="preserve">S.3</t>
  </si>
  <si>
    <t xml:space="preserve">Yahoo Finance / Simply Wall St: Intel's Tesla Terafab deal tests AI foundry turnaround story</t>
  </si>
  <si>
    <t xml:space="preserve">S.4</t>
  </si>
  <si>
    <t xml:space="preserve">S.5</t>
  </si>
  <si>
    <t xml:space="preserve">Tom's Hardware: Intel Foundry secures contract to build Microsoft's Maia 2 on 18A/18A-P, claims report</t>
  </si>
  <si>
    <t xml:space="preserve">S.6</t>
  </si>
  <si>
    <t xml:space="preserve">Micron FQ4 2026 press release (8-K Ex.99.1): revenue $54.2B, +379% y/y</t>
  </si>
  <si>
    <t xml:space="preserve">https://www.sec.gov/Archives/edgar/data/0000723125/000072312526000018/a2026q4ex991-pressrelease.htm</t>
  </si>
  <si>
    <t xml:space="preserve">S.7</t>
  </si>
  <si>
    <t xml:space="preserve">X post @imnotharsh: Fitch affirms Intel BBB, outlook Stable (unverified)</t>
  </si>
  <si>
    <t xml:space="preserve">S.8</t>
  </si>
  <si>
    <t xml:space="preserve">CNBC: Intel's credit rating downgraded by Fitch</t>
  </si>
  <si>
    <t xml:space="preserve">S.9</t>
  </si>
  <si>
    <t xml:space="preserve">Intel IR press-release RSS (latest item 2026-09-08; no Q3 date notice)</t>
  </si>
  <si>
    <t xml:space="preserve">S.10</t>
  </si>
  <si>
    <t xml:space="preserve">SEC EDGAR submissions index for Intel (last filing N-PX 2026-08-28)</t>
  </si>
  <si>
    <t xml:space="preserve">S.11</t>
  </si>
  <si>
    <t xml:space="preserve">Intel 424B5 prospectus supplement (shares, NCI, escrow, lock-up)</t>
  </si>
  <si>
    <t xml:space="preserve">S.12</t>
  </si>
  <si>
    <t xml:space="preserve">Yahoo Finance INTC and SPY daily chart data (own computation: INTC vol 72% 3m / 76% 1y, SPY 13%, correlation 0.50, beta 2.9)</t>
  </si>
  <si>
    <t xml:space="preserve">https://query1.finance.yahoo.com/v8/finance/chart/INTC?range=2y&amp;interval=1d</t>
  </si>
</sst>
</file>

<file path=xl/styles.xml><?xml version="1.0" encoding="utf-8"?>
<styleSheet xmlns="http://schemas.openxmlformats.org/spreadsheetml/2006/main">
  <numFmts count="6">
    <numFmt numFmtId="164" formatCode="General"/>
    <numFmt numFmtId="165" formatCode="\$#,##0.00;&quot;($&quot;#,##0.00\);\-"/>
    <numFmt numFmtId="166" formatCode="0.0%;\(0.0%\);\-"/>
    <numFmt numFmtId="167" formatCode="0"/>
    <numFmt numFmtId="168" formatCode="0.0000"/>
    <numFmt numFmtId="169" formatCode="0.00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sz val="10"/>
      <color rgb="FF6B6B6B"/>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
      <u val="single"/>
      <sz val="10"/>
      <color rgb="FF0000FF"/>
      <name val="Arial"/>
      <family val="0"/>
      <charset val="1"/>
    </font>
    <font>
      <b val="true"/>
      <sz val="10"/>
      <color rgb="FFFFFFFF"/>
      <name val="Arial"/>
      <family val="0"/>
      <charset val="1"/>
    </font>
    <font>
      <b val="true"/>
      <sz val="12"/>
      <color rgb="FF000000"/>
      <name val="Arial"/>
      <family val="0"/>
      <charset val="1"/>
    </font>
  </fonts>
  <fills count="6">
    <fill>
      <patternFill patternType="none"/>
    </fill>
    <fill>
      <patternFill patternType="gray125"/>
    </fill>
    <fill>
      <patternFill patternType="solid">
        <fgColor rgb="FFE5E7EB"/>
        <bgColor rgb="FFEAF3EA"/>
      </patternFill>
    </fill>
    <fill>
      <patternFill patternType="solid">
        <fgColor rgb="FFFFFF00"/>
        <bgColor rgb="FFFFFF00"/>
      </patternFill>
    </fill>
    <fill>
      <patternFill patternType="solid">
        <fgColor rgb="FFEAF3EA"/>
        <bgColor rgb="FFE5E7EB"/>
      </patternFill>
    </fill>
    <fill>
      <patternFill patternType="solid">
        <fgColor rgb="FF1F2937"/>
        <bgColor rgb="FF333300"/>
      </patternFill>
    </fill>
  </fills>
  <borders count="2">
    <border diagonalUp="false" diagonalDown="false">
      <left/>
      <right/>
      <top/>
      <bottom/>
      <diagonal/>
    </border>
    <border diagonalUp="false" diagonalDown="false">
      <left/>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8" fillId="3" borderId="0" xfId="0" applyFont="true" applyBorder="false" applyAlignment="true" applyProtection="false">
      <alignment horizontal="general" vertical="top" textRotation="0" wrapText="false" indent="0" shrinkToFit="false"/>
      <protection locked="true" hidden="false"/>
    </xf>
    <xf numFmtId="165" fontId="8" fillId="3"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8"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5" fontId="9"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5" fontId="10" fillId="3"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65" fontId="7" fillId="4" borderId="0" xfId="0" applyFont="true" applyBorder="false" applyAlignment="true" applyProtection="false">
      <alignment horizontal="general" vertical="top" textRotation="0" wrapText="false" indent="0" shrinkToFit="false"/>
      <protection locked="true" hidden="false"/>
    </xf>
    <xf numFmtId="165" fontId="6" fillId="4"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tru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9" fontId="8" fillId="0" borderId="0" xfId="0" applyFont="tru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9" fontId="7" fillId="4"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4"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AF3EA"/>
      <rgbColor rgb="FFE5E7EB"/>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hyperlink" Target="https://www.sec.gov/Archives/edgar/data/0000050863/000005086326000155/q226earningsrelease.htm" TargetMode="External"/><Relationship Id="rId2" Type="http://schemas.openxmlformats.org/officeDocument/2006/relationships/hyperlink" Target="https://www.sec.gov/Archives/edgar/data/0000050863/000005086326000157/intc-20260627.htm" TargetMode="External"/><Relationship Id="rId3" Type="http://schemas.openxmlformats.org/officeDocument/2006/relationships/hyperlink" Target="https://www.sec.gov/Archives/edgar/data/50863/000119312526346806/d117670d8k.htm" TargetMode="External"/><Relationship Id="rId4" Type="http://schemas.openxmlformats.org/officeDocument/2006/relationships/hyperlink" Target="https://www.sec.gov/Archives/edgar/data/50863/000119312526345221/d98483d424b5.htm" TargetMode="External"/><Relationship Id="rId5" Type="http://schemas.openxmlformats.org/officeDocument/2006/relationships/hyperlink" Target="https://www.sec.gov/Archives/edgar/data/50863/000005086326000177/" TargetMode="External"/><Relationship Id="rId6" Type="http://schemas.openxmlformats.org/officeDocument/2006/relationships/hyperlink" Target="https://data.sec.gov/api/xbrl/companyfacts/CIK0000050863.json" TargetMode="External"/><Relationship Id="rId7" Type="http://schemas.openxmlformats.org/officeDocument/2006/relationships/hyperlink" Target="https://equibles.com/stocks/intc/calls/2026-q2" TargetMode="External"/><Relationship Id="rId8" Type="http://schemas.openxmlformats.org/officeDocument/2006/relationships/hyperlink" Target="https://www.investing.com/news/transcripts/intel-at-deutsche-bank-2026-technology-conference-turnaround-gains-pace-93CH-4877740" TargetMode="External"/><Relationship Id="rId9" Type="http://schemas.openxmlformats.org/officeDocument/2006/relationships/hyperlink" Target="https://semiwiki.com/forum/threads/intel-cfo-at-deutsche-bank-technology-conference-2026-aug-26.25782/" TargetMode="External"/><Relationship Id="rId10" Type="http://schemas.openxmlformats.org/officeDocument/2006/relationships/hyperlink" Target="https://www.intc.com/news-events/press-releases" TargetMode="External"/><Relationship Id="rId11" Type="http://schemas.openxmlformats.org/officeDocument/2006/relationships/hyperlink" Target="https://247wallst.com/investing/2026/09/30/32-analysts-say-hold-on-intel-heres-what-the-numbers-actually-show/" TargetMode="External"/><Relationship Id="rId12" Type="http://schemas.openxmlformats.org/officeDocument/2006/relationships/hyperlink" Target="https://www.fool.com/investing/2026/09/27/intel-stock-surged-over-40-in-september-history-sh/" TargetMode="External"/><Relationship Id="rId13" Type="http://schemas.openxmlformats.org/officeDocument/2006/relationships/hyperlink" Target="https://www.trefis.com/stock/intc/articles/616955/what-changed-for-intel-stock-and-what-did-not/2026-09-29" TargetMode="External"/><Relationship Id="rId14" Type="http://schemas.openxmlformats.org/officeDocument/2006/relationships/hyperlink" Target="https://www.techspot.com/news/113984-amazon-apple-amd-google-tesla-microsoft-nvidia-qualcomm.html" TargetMode="External"/><Relationship Id="rId15" Type="http://schemas.openxmlformats.org/officeDocument/2006/relationships/hyperlink" Target="https://www.earningslens.ai/stock/intc/preview/2026-Q3" TargetMode="External"/><Relationship Id="rId16" Type="http://schemas.openxmlformats.org/officeDocument/2006/relationships/hyperlink" Target="https://www.fool.com/investing/2026/09/25/why-intel-stock-jumped-this-week/" TargetMode="External"/><Relationship Id="rId17" Type="http://schemas.openxmlformats.org/officeDocument/2006/relationships/hyperlink" Target="https://www.marketbeat.com/earnings/reports/2026-10-22-intel-co-stock/" TargetMode="External"/><Relationship Id="rId18" Type="http://schemas.openxmlformats.org/officeDocument/2006/relationships/hyperlink" Target="https://www.sec.gov/Archives/edgar/data/50863/000005086326000083/intc-20260424.htm" TargetMode="External"/><Relationship Id="rId19" Type="http://schemas.openxmlformats.org/officeDocument/2006/relationships/hyperlink" Target="https://www.sec.gov/Archives/edgar/data/50863/000119312526197845/d143782d8k.htm" TargetMode="External"/><Relationship Id="rId20" Type="http://schemas.openxmlformats.org/officeDocument/2006/relationships/hyperlink" Target="https://seekingalpha.com/news/4541893-intel-outlines-path-to-45-percent-client-market-share-and-signals-14a-foundry-customer" TargetMode="External"/><Relationship Id="rId21" Type="http://schemas.openxmlformats.org/officeDocument/2006/relationships/hyperlink" Target="https://d1io3yog0oux5.cloudfront.net/_c348c7c46c1f6cb83c19e66e1c989d69/intel/db/887/9266/prepared_remarks/Q2+2026+Prepared+Remarks.pdf" TargetMode="External"/><Relationship Id="rId22" Type="http://schemas.openxmlformats.org/officeDocument/2006/relationships/hyperlink" Target="https://data.sec.gov/submissions/CIK0000050863.json" TargetMode="External"/><Relationship Id="rId23" Type="http://schemas.openxmlformats.org/officeDocument/2006/relationships/hyperlink" Target="https://www.intc.com/news-events/ir-calendar" TargetMode="External"/><Relationship Id="rId24" Type="http://schemas.openxmlformats.org/officeDocument/2006/relationships/hyperlink" Target="https://www.tomshardware.com/tech-industry/semiconductors/intel-moves-closer-to-building-apples-entry-level-m-series-chips-on-18a" TargetMode="External"/><Relationship Id="rId25" Type="http://schemas.openxmlformats.org/officeDocument/2006/relationships/hyperlink" Target="https://www.sec.gov/Archives/edgar/data/0000050863/000005086326000155/q226earningsrelease.htm" TargetMode="External"/><Relationship Id="rId26" Type="http://schemas.openxmlformats.org/officeDocument/2006/relationships/hyperlink" Target="https://ashtoninvests.substack.com/p/intc-deep-dive-what-a-635-billion" TargetMode="External"/><Relationship Id="rId27" Type="http://schemas.openxmlformats.org/officeDocument/2006/relationships/hyperlink" Target="https://247wallst.com/investing/2026/09/30/32-analysts-say-hold-on-intel-heres-what-the-numbers-actually-show/" TargetMode="External"/><Relationship Id="rId28" Type="http://schemas.openxmlformats.org/officeDocument/2006/relationships/hyperlink" Target="https://www.theregister.com/systems/2026/08/21/amd-grabs-more-cpu-share-while-pricier-pcs-punish-desktop-demand/5291053" TargetMode="External"/><Relationship Id="rId29" Type="http://schemas.openxmlformats.org/officeDocument/2006/relationships/hyperlink" Target="https://wccftech.com/intels-market-share-of-the-x86-cpu-market-falls-to-1995-levels-as-amd-now-controls-an-adjusted-46-4-of-the-market-for-server-cpus-vs-intels-53-6-share-claims-mercury-research/" TargetMode="External"/><Relationship Id="rId30" Type="http://schemas.openxmlformats.org/officeDocument/2006/relationships/hyperlink" Target="https://www.idc.com/resource-center/blog/pc-market-enters-volatile-territory-as-memory-shortage-persists-through-2027/" TargetMode="External"/><Relationship Id="rId31" Type="http://schemas.openxmlformats.org/officeDocument/2006/relationships/hyperlink" Target="https://www.gartner.com/en/newsroom/press-releases/2026-02-26-gartner-says-surging-memory-costs-will-reduce-global-pc-and-smartphone-shipments-in-2026" TargetMode="External"/><Relationship Id="rId32" Type="http://schemas.openxmlformats.org/officeDocument/2006/relationships/hyperlink" Target="https://www.trendforce.com/presscenter/news/20260930-13258.html" TargetMode="External"/><Relationship Id="rId33" Type="http://schemas.openxmlformats.org/officeDocument/2006/relationships/hyperlink" Target="https://www.fusionww.com/insights/server-cpu-shortage-2026" TargetMode="External"/><Relationship Id="rId34" Type="http://schemas.openxmlformats.org/officeDocument/2006/relationships/hyperlink" Target="https://www.astutegroup.com/news/memory-shortages/cpu-price-increases-hit-15-as-ai-demand-strains-supply/" TargetMode="External"/><Relationship Id="rId35" Type="http://schemas.openxmlformats.org/officeDocument/2006/relationships/hyperlink" Target="https://www.buysellram.com/blog/server-cpu-lead-times-2026/" TargetMode="External"/><Relationship Id="rId36" Type="http://schemas.openxmlformats.org/officeDocument/2006/relationships/hyperlink" Target="https://www.tradingkey.com/analysis/stocks/us-stocks/262130382-amd-q2-2026-11-536b-revenue-50-pct-data-center-6-7b-107-pct-q3-13b-helios-taalas-tradingkey" TargetMode="External"/><Relationship Id="rId37" Type="http://schemas.openxmlformats.org/officeDocument/2006/relationships/hyperlink" Target="https://www.investing.com/news/transcripts/earnings-call-transcript-tsmc-lifts-2026-outlook-as-ai-demand-stays-hot-in-q2-2026-93CH-4794777" TargetMode="External"/><Relationship Id="rId38" Type="http://schemas.openxmlformats.org/officeDocument/2006/relationships/hyperlink" Target="https://www.cnbc.com/2026/05/08/intel-stock-apple-chip-deal.html" TargetMode="External"/><Relationship Id="rId39" Type="http://schemas.openxmlformats.org/officeDocument/2006/relationships/hyperlink" Target="https://finance.yahoo.com/markets/article/intel-stock-hits-fourth-straight-record-high-as-apple-report-fuels-chip-rally-171524007.html" TargetMode="External"/><Relationship Id="rId40" Type="http://schemas.openxmlformats.org/officeDocument/2006/relationships/hyperlink" Target="https://www.tomshardware.com/tech-industry/semiconductors/intel-foundry-secures-contract-to-build-microsofts-maia-2-next-gen-ai-processor-on-18a-18a-p-node-claims-report-could-be-first-step-in-ongoing-partnership" TargetMode="External"/><Relationship Id="rId41" Type="http://schemas.openxmlformats.org/officeDocument/2006/relationships/hyperlink" Target="https://bits-chips.com/article/intel-signals-external-customer-wins-for-14a-foundry-process/" TargetMode="External"/><Relationship Id="rId42" Type="http://schemas.openxmlformats.org/officeDocument/2006/relationships/hyperlink" Target="https://www.tomshardware.com/pc-components/cpus/intels-pivotal-18a-process-is-making-steady-progress-but-still-lags-behind-yields-only-set-to-reach-industry-standard-levels-in-2027" TargetMode="External"/><Relationship Id="rId43" Type="http://schemas.openxmlformats.org/officeDocument/2006/relationships/hyperlink" Target="https://x.com/Alex_Intel_/status/2103145329889857774" TargetMode="External"/><Relationship Id="rId44" Type="http://schemas.openxmlformats.org/officeDocument/2006/relationships/hyperlink" Target="https://www.tweaktown.com/news/111546/intel-ceo-confirms-ongoing-collaboration-with-nvidia-on-new-products/index.html" TargetMode="External"/><Relationship Id="rId45" Type="http://schemas.openxmlformats.org/officeDocument/2006/relationships/hyperlink" Target="https://www.ad-hoc-news.de/boerse/news/nachboerse/intel-stock-at-usd-115-92-on-september-28-2026-down-5-76-percent/70195069" TargetMode="External"/><Relationship Id="rId46" Type="http://schemas.openxmlformats.org/officeDocument/2006/relationships/hyperlink" Target="https://www.marketbeat.com/earnings/reports/2026-10-22-intel-co-stock/" TargetMode="External"/><Relationship Id="rId47" Type="http://schemas.openxmlformats.org/officeDocument/2006/relationships/hyperlink" Target="https://www.sec.gov/Archives/edgar/data/50863/000119312526345221/d98483d424b5.htm" TargetMode="External"/><Relationship Id="rId48" Type="http://schemas.openxmlformats.org/officeDocument/2006/relationships/hyperlink" Target="https://www.sec.gov/Archives/edgar/data/50863/000119312526346806/d117670d8k.htm" TargetMode="External"/><Relationship Id="rId49" Type="http://schemas.openxmlformats.org/officeDocument/2006/relationships/hyperlink" Target="https://d1io3yog0oux5.cloudfront.net/_c348c7c46c1f6cb83c19e66e1c989d69/intel/db/887/9266/prepared_remarks/Q2+2026+Prepared+Remarks.pdf" TargetMode="External"/><Relationship Id="rId50" Type="http://schemas.openxmlformats.org/officeDocument/2006/relationships/hyperlink" Target="https://www.trendforce.com/news/2026/04/22/news-server-cpu-prices-up-as-much-as-20-since-march-intel-may-raise-prices-another-8-10-in-2h26/" TargetMode="External"/><Relationship Id="rId51" Type="http://schemas.openxmlformats.org/officeDocument/2006/relationships/hyperlink" Target="https://www.trendforce.com/news/2026/07/07/news-intel-reportedly-raises-cpu-prices-flagship-xeon-up-us1495-select-desktop-chips-us30-50/" TargetMode="External"/><Relationship Id="rId52" Type="http://schemas.openxmlformats.org/officeDocument/2006/relationships/hyperlink" Target="https://www.trendforce.com/news/2026/06/17/news-intel-18a-p-enters-risk-production-targets-9-performance-gain-with-potentially-shortened-ramp/" TargetMode="External"/><Relationship Id="rId53" Type="http://schemas.openxmlformats.org/officeDocument/2006/relationships/hyperlink" Target="https://www.tweaktown.com/news/111590/intel-foundry-reportedly-scores-apples-m7-production-on-18a-p-in-2027-future-smartphone-chips-on-14a/index.html" TargetMode="External"/><Relationship Id="rId54" Type="http://schemas.openxmlformats.org/officeDocument/2006/relationships/hyperlink" Target="https://www.tomshardware.com/tech-industry/semiconductors/intel-says-it-has-two-prospective-customers-for-14a-expects-to-hear-about-commitments-in-second-half-of-2026" TargetMode="External"/><Relationship Id="rId55" Type="http://schemas.openxmlformats.org/officeDocument/2006/relationships/hyperlink" Target="https://www.tomshardware.com/tech-industry/semiconductors/intel-4-gets-its-first-foundry-customer-in-fortinet-three-years-after-intel-scoped-the-node-to-meteor-lake" TargetMode="External"/><Relationship Id="rId56" Type="http://schemas.openxmlformats.org/officeDocument/2006/relationships/hyperlink" Target="https://www.fxleaders.com/news/2026/10/01/intel-stock-rally-micron-earnings-chip-sector/" TargetMode="External"/><Relationship Id="rId57" Type="http://schemas.openxmlformats.org/officeDocument/2006/relationships/hyperlink" Target="https://www.tomshardware.com/desktops/gaming-pcs/idc-slashes-2026-pc-shipment-forecast-amid-memory-shortages-total-pc-market-value-to-nonetheless-increase-to-usd274-billion-due-to-ongoing-price-hikes" TargetMode="External"/><Relationship Id="rId58" Type="http://schemas.openxmlformats.org/officeDocument/2006/relationships/hyperlink" Target="https://www.tomshardware.com/pc-components/cpus/intel-commits-to-14a-mass-production-in-2028-as-its-sales-rise-25-percent-year-over-year" TargetMode="External"/><Relationship Id="rId59" Type="http://schemas.openxmlformats.org/officeDocument/2006/relationships/hyperlink" Target="https://www.sec.gov/Archives/edgar/data/50863/000005086326000155/q226earningsrelease.htm" TargetMode="External"/><Relationship Id="rId60" Type="http://schemas.openxmlformats.org/officeDocument/2006/relationships/hyperlink" Target="https://www.sec.gov/Archives/edgar/data/0000050863/000119312526345221/d98483d424b5.htm" TargetMode="External"/><Relationship Id="rId61" Type="http://schemas.openxmlformats.org/officeDocument/2006/relationships/hyperlink" Target="https://www.tikr.com/blog/intel-stock-fell-nearly-6-in-a-day-heres-the-foundry-deadline-that-matters-more" TargetMode="External"/><Relationship Id="rId62" Type="http://schemas.openxmlformats.org/officeDocument/2006/relationships/hyperlink" Target="https://financefeeds.com/intel-intc-stock-prediction-172-bull-74-bear/" TargetMode="External"/><Relationship Id="rId63" Type="http://schemas.openxmlformats.org/officeDocument/2006/relationships/hyperlink" Target="https://ashtoninvests.substack.com/p/intc-deep-dive-what-a-635-billion" TargetMode="External"/><Relationship Id="rId64" Type="http://schemas.openxmlformats.org/officeDocument/2006/relationships/hyperlink" Target="https://247wallst.com/investing/2026/09/30/32-analysts-say-hold-on-intel-heres-what-the-numbers-actually-show" TargetMode="External"/><Relationship Id="rId65" Type="http://schemas.openxmlformats.org/officeDocument/2006/relationships/hyperlink" Target="https://finance.yahoo.com/markets/stocks/articles/prediction-stock-going-plummet-second-134950193.html" TargetMode="External"/><Relationship Id="rId66" Type="http://schemas.openxmlformats.org/officeDocument/2006/relationships/hyperlink" Target="https://www.investing.com/news/analyst-ratings/northland-downgrades-intel-stock-rating-on-valuation-concerns-93CH-4709491" TargetMode="External"/><Relationship Id="rId67" Type="http://schemas.openxmlformats.org/officeDocument/2006/relationships/hyperlink" Target="https://www.investing.com/news/stock-market-news/intel-downgraded-by-moodys-to-baa2-on-weak-profitability-outlook-93CH-4186211" TargetMode="External"/><Relationship Id="rId68" Type="http://schemas.openxmlformats.org/officeDocument/2006/relationships/hyperlink" Target="https://www.cnbc.com/2025/08/05/intels-credit-rating-downgraded-by-fitch-on-demand-challenges.html" TargetMode="External"/><Relationship Id="rId69" Type="http://schemas.openxmlformats.org/officeDocument/2006/relationships/hyperlink" Target="https://www.stocktitan.net/sec-filings/INTC/424b5-intel-corp-prospectus-supplement-debt-securities-4d3042e45fa9.html" TargetMode="External"/><Relationship Id="rId70" Type="http://schemas.openxmlformats.org/officeDocument/2006/relationships/hyperlink" Target="https://pluang.com/en/news-feed/peringatan-pasar-kredit-terhadap-saham-ai" TargetMode="External"/><Relationship Id="rId71" Type="http://schemas.openxmlformats.org/officeDocument/2006/relationships/hyperlink" Target="https://www.gurufocus.com/news/8843605/intel-intc-stock-surge-raises-concerns-over-ai-bubble" TargetMode="External"/><Relationship Id="rId72" Type="http://schemas.openxmlformats.org/officeDocument/2006/relationships/hyperlink" Target="https://www.sec.gov/Archives/edgar/data/0000050863/000005086326000157/intc-20260627.htm" TargetMode="External"/><Relationship Id="rId73" Type="http://schemas.openxmlformats.org/officeDocument/2006/relationships/hyperlink" Target="https://blockonomi.com/intel-intc-stock-soars-236-in-2026-as-ai-cpu-demand-creates-supply-shortage" TargetMode="External"/><Relationship Id="rId74" Type="http://schemas.openxmlformats.org/officeDocument/2006/relationships/hyperlink" Target="https://finance.yahoo.com/markets/stocks/articles/insiders-only-buy-one-reason-140819796.html" TargetMode="External"/><Relationship Id="rId75" Type="http://schemas.openxmlformats.org/officeDocument/2006/relationships/hyperlink" Target="https://hwbusters.com/news/intel-18a-yield-is-pegged-at-80-and-14a-starts-at-just-6000-wafers-a-month/" TargetMode="External"/><Relationship Id="rId76" Type="http://schemas.openxmlformats.org/officeDocument/2006/relationships/hyperlink" Target="https://techspot.com/news/113984-amazon-apple-amd-google-tesla-microsoft-nvidia-qualcomm.html" TargetMode="External"/><Relationship Id="rId77" Type="http://schemas.openxmlformats.org/officeDocument/2006/relationships/hyperlink" Target="https://aimagazine.com/news/intel-to-make-apple-chips-in-new-deal" TargetMode="External"/><Relationship Id="rId78" Type="http://schemas.openxmlformats.org/officeDocument/2006/relationships/hyperlink" Target="https://www.nextplatform.com/compute/2026/04/27/ai-driven-cpu-shortage-saves-intels-financial-cookies/5218916" TargetMode="External"/><Relationship Id="rId79" Type="http://schemas.openxmlformats.org/officeDocument/2006/relationships/hyperlink" Target="https://247wallst.com/investing/2026/09/29/intel-is-trying-to-reinvent-itself-heres-where-intc-stock-could-be-in-2027/" TargetMode="External"/><Relationship Id="rId80" Type="http://schemas.openxmlformats.org/officeDocument/2006/relationships/hyperlink" Target="https://www.marketbeat.com/instant-alerts/price-intel-nasdaq-intc-shares-down-57-heres-why-2026-09-28/" TargetMode="External"/><Relationship Id="rId81" Type="http://schemas.openxmlformats.org/officeDocument/2006/relationships/hyperlink" Target="https://www.bloomberg.com/news/articles/2026-04-24/us-government-stake-in-intel-has-jumped-300-to-36-billion" TargetMode="External"/><Relationship Id="rId82" Type="http://schemas.openxmlformats.org/officeDocument/2006/relationships/hyperlink" Target="https://www.tomshardware.com/tech-industry/nvidia-gives-intel-a-lifeline-with-usd5-billion-common-stock-deal-september-deal-gets-ftc-approval-for-more-than-217-4-million-intel-shares-at-usd23-28-per-share" TargetMode="External"/><Relationship Id="rId83" Type="http://schemas.openxmlformats.org/officeDocument/2006/relationships/hyperlink" Target="https://www.sec.gov/Archives/edgar/data/0000050863/000119312526346806/d117670d8k.htm" TargetMode="External"/><Relationship Id="rId84" Type="http://schemas.openxmlformats.org/officeDocument/2006/relationships/hyperlink" Target="https://kalkinemedia.com/us/news/announcements/intel-announces-95-pricing-for-2105-million-share-stock-offering-with-full-overallotment-exercise" TargetMode="External"/><Relationship Id="rId85" Type="http://schemas.openxmlformats.org/officeDocument/2006/relationships/hyperlink" Target="https://x.com/imnotharsh/status/2089776063991673322" TargetMode="External"/><Relationship Id="rId86" Type="http://schemas.openxmlformats.org/officeDocument/2006/relationships/hyperlink" Target="https://wccftech.com/intel-ceo-lip-bu-tan-reportedly-moves-up-14a-risk-production-to-q1-2027-as-the-nodes-defect-density-races-toward-target/" TargetMode="External"/><Relationship Id="rId87" Type="http://schemas.openxmlformats.org/officeDocument/2006/relationships/hyperlink" Target="https://finance.yahoo.com/markets/stocks/articles/intel-tesla-terafab-deal-tests-080701413.html" TargetMode="External"/><Relationship Id="rId88" Type="http://schemas.openxmlformats.org/officeDocument/2006/relationships/hyperlink" Target="https://finance.yahoo.com/markets/stocks/articles/huge-insider-selling-hits-intel-163103542.html" TargetMode="External"/><Relationship Id="rId89" Type="http://schemas.openxmlformats.org/officeDocument/2006/relationships/hyperlink" Target="https://www.sec.gov/Archives/edgar/data/0000050863/000005086326000177/form4.xml" TargetMode="External"/><Relationship Id="rId90" Type="http://schemas.openxmlformats.org/officeDocument/2006/relationships/hyperlink" Target="https://www.sec.gov/Archives/edgar/data/0000050863/000005086326000155/q226earningsrelease.htm" TargetMode="External"/><Relationship Id="rId91" Type="http://schemas.openxmlformats.org/officeDocument/2006/relationships/hyperlink" Target="https://www.alphavantage.co/query?function=EARNINGS_ESTIMATES&amp;symbol=INTC" TargetMode="External"/><Relationship Id="rId92" Type="http://schemas.openxmlformats.org/officeDocument/2006/relationships/hyperlink" Target="https://ashtoninvests.substack.com/p/intc-deep-dive-what-a-635-billion" TargetMode="External"/><Relationship Id="rId93" Type="http://schemas.openxmlformats.org/officeDocument/2006/relationships/hyperlink" Target="https://marklapedus.substack.com/p/analyst-intels-foundry-unit-wins" TargetMode="External"/><Relationship Id="rId94" Type="http://schemas.openxmlformats.org/officeDocument/2006/relationships/hyperlink" Target="https://intellionaire.substack.com/p/the-intellionaire-ep-24-unofficial" TargetMode="External"/><Relationship Id="rId95" Type="http://schemas.openxmlformats.org/officeDocument/2006/relationships/hyperlink" Target="https://x.com/Alex_Intel_/status/2103145329889857774" TargetMode="External"/><Relationship Id="rId96" Type="http://schemas.openxmlformats.org/officeDocument/2006/relationships/hyperlink" Target="https://x.com/SemiAnalysis_/status/2024182368064475637" TargetMode="External"/><Relationship Id="rId97" Type="http://schemas.openxmlformats.org/officeDocument/2006/relationships/hyperlink" Target="https://gamma-api.polymarket.com/public-search?q=intel" TargetMode="External"/><Relationship Id="rId98" Type="http://schemas.openxmlformats.org/officeDocument/2006/relationships/hyperlink" Target="https://www.buysellram.com/blog/server-cpu-prices-are-still-climbing-in-mid-2026/" TargetMode="External"/><Relationship Id="rId99" Type="http://schemas.openxmlformats.org/officeDocument/2006/relationships/hyperlink" Target="https://www.fusionww.com/insights/server-cpu-shortage-2026" TargetMode="External"/><Relationship Id="rId100" Type="http://schemas.openxmlformats.org/officeDocument/2006/relationships/hyperlink" Target="https://www.techtimes.com/articles/319581/20260703/steam-hardware-survey-june-2026-windows-11-tops-70-amd-closes-intel.htm" TargetMode="External"/><Relationship Id="rId101" Type="http://schemas.openxmlformats.org/officeDocument/2006/relationships/hyperlink" Target="https://www.ziprecruiter.com/co/Intel/Jobs/--in-Ohio" TargetMode="External"/><Relationship Id="rId102" Type="http://schemas.openxmlformats.org/officeDocument/2006/relationships/hyperlink" Target="https://finance.biggo.com/news/543ca6ee-70ea-4767-8a89-c4d0f031e5e5" TargetMode="External"/><Relationship Id="rId103" Type="http://schemas.openxmlformats.org/officeDocument/2006/relationships/hyperlink" Target="https://semiwiki.com/forum/threads/morgan-stanley-reports-intel-18a-yield-at-50.25207/" TargetMode="External"/><Relationship Id="rId104" Type="http://schemas.openxmlformats.org/officeDocument/2006/relationships/hyperlink" Target="https://startupfortune.com/intels-stock-has-tripled-in-2026-on-apple-chip-deal-buzz/" TargetMode="External"/><Relationship Id="rId105" Type="http://schemas.openxmlformats.org/officeDocument/2006/relationships/hyperlink" Target="https://www.intc.com/news-events/press-releases/detail/1779/intel-announces-upsize-and-pricing-of-20-billion-common" TargetMode="External"/><Relationship Id="rId106" Type="http://schemas.openxmlformats.org/officeDocument/2006/relationships/hyperlink" Target="https://www.fool.com/investing/2026/09/27/intel-stock-surged-over-40-in-september-history-sh/" TargetMode="External"/><Relationship Id="rId107" Type="http://schemas.openxmlformats.org/officeDocument/2006/relationships/hyperlink" Target="https://www.tomshardware.com/tech-industry/semiconductors/intel-joins-elon-musks-terafab-project-intel-is-proud-to-join-the-terafab-project-with-spacex-xai-and-tesla-to-help-refactor-silicon-fab-technology" TargetMode="External"/><Relationship Id="rId108" Type="http://schemas.openxmlformats.org/officeDocument/2006/relationships/hyperlink" Target="https://hwbusters.com/news/intel-18a-yield-is-pegged-at-80-and-14a-starts-at-just-6000-wafers-a-month/" TargetMode="External"/><Relationship Id="rId109" Type="http://schemas.openxmlformats.org/officeDocument/2006/relationships/hyperlink" Target="https://d1io3yog0oux5.cloudfront.net/_c348c7c46c1f6cb83c19e66e1c989d69/intel/db/887/9266/prepared_remarks/Q2+2026+Prepared+Remarks.pdf" TargetMode="External"/><Relationship Id="rId110" Type="http://schemas.openxmlformats.org/officeDocument/2006/relationships/hyperlink" Target="https://www.trendforce.com/news/2026/07/24/news-intel-pulls-forward-14a-timeline-by-one-year-targeting-2028-mass-production-near-tsmcs-roadmap/" TargetMode="External"/><Relationship Id="rId111" Type="http://schemas.openxmlformats.org/officeDocument/2006/relationships/hyperlink" Target="https://www.sec.gov/cgi-bin/browse-edgar?action=getcompany&amp;CIK=0000050863&amp;type=424B5" TargetMode="External"/><Relationship Id="rId112" Type="http://schemas.openxmlformats.org/officeDocument/2006/relationships/hyperlink" Target="https://www.tomshardware.com/pc-components/cpus/intel-confirms-price-hikes-on-select-consumer-and-server-cpus-citing-supply-costs-and-demand-select-xeon-processors-now-over-usd1-000-more-expensive" TargetMode="External"/><Relationship Id="rId113" Type="http://schemas.openxmlformats.org/officeDocument/2006/relationships/hyperlink" Target="https://newsletter.semianalysis.com/p/cpus-are-back-the-datacenter-cpu" TargetMode="External"/><Relationship Id="rId114" Type="http://schemas.openxmlformats.org/officeDocument/2006/relationships/hyperlink" Target="https://x.com/AIStockSavvy/status/2073960757507621143" TargetMode="External"/><Relationship Id="rId115" Type="http://schemas.openxmlformats.org/officeDocument/2006/relationships/hyperlink" Target="https://gamma-api.polymarket.com/public-search?q=intel" TargetMode="External"/><Relationship Id="rId116" Type="http://schemas.openxmlformats.org/officeDocument/2006/relationships/hyperlink" Target="https://www.marketbeat.com/earnings/reports/2026-10-22-intel-co-stock/" TargetMode="External"/><Relationship Id="rId117" Type="http://schemas.openxmlformats.org/officeDocument/2006/relationships/hyperlink" Target="https://www.alphavantage.co/query?function=OVERVIEW&amp;symbol=INTC" TargetMode="External"/><Relationship Id="rId118" Type="http://schemas.openxmlformats.org/officeDocument/2006/relationships/hyperlink" Target="https://www.alphavantage.co/query?function=EARNINGS_ESTIMATES&amp;symbol=INTC" TargetMode="External"/><Relationship Id="rId119" Type="http://schemas.openxmlformats.org/officeDocument/2006/relationships/hyperlink" Target="https://www.sec.gov/Archives/edgar/data/0000050863/000005086326000155/q226earningsrelease.htm" TargetMode="External"/><Relationship Id="rId120" Type="http://schemas.openxmlformats.org/officeDocument/2006/relationships/hyperlink" Target="https://www.fool.com/investing/2026/09/27/intel-stock-surged-over-40-in-september-history-sh/" TargetMode="External"/><Relationship Id="rId121" Type="http://schemas.openxmlformats.org/officeDocument/2006/relationships/hyperlink" Target="https://www.trefis.com/stock/intc/articles/616955/what-changed-for-intel-stock-and-what-did-not/2026-09-29" TargetMode="External"/><Relationship Id="rId122" Type="http://schemas.openxmlformats.org/officeDocument/2006/relationships/hyperlink" Target="https://www.sec.gov/Archives/edgar/data/50863/000119312526346806/d117670d8k.htm" TargetMode="External"/><Relationship Id="rId123" Type="http://schemas.openxmlformats.org/officeDocument/2006/relationships/hyperlink" Target="https://www.cnbc.com/2026/04/30/intel-has-best-month-ever-after-years-of-losing-to-tsmc-and-nvidia.html" TargetMode="External"/><Relationship Id="rId124" Type="http://schemas.openxmlformats.org/officeDocument/2006/relationships/hyperlink" Target="https://www.fool.com/investing/2026/05/04/how-intel-stock-more-than-doubled-last-month/" TargetMode="External"/><Relationship Id="rId125" Type="http://schemas.openxmlformats.org/officeDocument/2006/relationships/hyperlink" Target="https://www.tradingkey.com/analysis/stocks/us-stocks/262068420-intel-stock-price-forecast-stock-price-fallen-30-july-continue-fall-tradingkey" TargetMode="External"/><Relationship Id="rId126" Type="http://schemas.openxmlformats.org/officeDocument/2006/relationships/hyperlink" Target="https://247wallst.com/investing/2026/09/23/intels-price-targets-reveal-just-how-much-is-riding-on-its-turnaround/" TargetMode="External"/><Relationship Id="rId127" Type="http://schemas.openxmlformats.org/officeDocument/2006/relationships/hyperlink" Target="https://polymarket.com/event/us-recession-by-end-of-2027" TargetMode="External"/><Relationship Id="rId128" Type="http://schemas.openxmlformats.org/officeDocument/2006/relationships/hyperlink" Target="https://polymarket.com/event/how-many-fed-rate-cuts-in-2026" TargetMode="External"/><Relationship Id="rId129" Type="http://schemas.openxmlformats.org/officeDocument/2006/relationships/hyperlink" Target="https://polymarket.com/event/ai-bubble-burst-by" TargetMode="External"/><Relationship Id="rId130" Type="http://schemas.openxmlformats.org/officeDocument/2006/relationships/hyperlink" Target="https://polymarket.com/event/will-china-invade-taiwan-by-june-30-2027" TargetMode="External"/><Relationship Id="rId131" Type="http://schemas.openxmlformats.org/officeDocument/2006/relationships/hyperlink" Target="https://manifold.markets/sama/will-intel-stock-intc-reach-150-in" TargetMode="External"/><Relationship Id="rId132" Type="http://schemas.openxmlformats.org/officeDocument/2006/relationships/hyperlink" Target="https://manifold.markets/Gen/ai-bubble-which-ai-companies-will-d" TargetMode="External"/><Relationship Id="rId133" Type="http://schemas.openxmlformats.org/officeDocument/2006/relationships/hyperlink" Target="https://query1.finance.yahoo.com/v8/finance/chart/AMD?range=max&amp;interval=1mo" TargetMode="External"/><Relationship Id="rId134" Type="http://schemas.openxmlformats.org/officeDocument/2006/relationships/hyperlink" Target="https://query1.finance.yahoo.com/v8/finance/chart/INTC?range=3y&amp;interval=1d" TargetMode="External"/><Relationship Id="rId135" Type="http://schemas.openxmlformats.org/officeDocument/2006/relationships/hyperlink" Target="https://twelvedata.com/" TargetMode="External"/><Relationship Id="rId136" Type="http://schemas.openxmlformats.org/officeDocument/2006/relationships/hyperlink" Target="https://www.thestreet.com/investing/stocks/intel-just-broke-a-26-year-curse" TargetMode="External"/><Relationship Id="rId137" Type="http://schemas.openxmlformats.org/officeDocument/2006/relationships/hyperlink" Target="https://www.marketbeat.com/stocks/NASDAQ/INTC/earnings/" TargetMode="External"/><Relationship Id="rId138" Type="http://schemas.openxmlformats.org/officeDocument/2006/relationships/hyperlink" Target="https://www.sec.gov/Archives/edgar/data/50863/000119312526345221/d98483d424b5.htm" TargetMode="External"/><Relationship Id="rId139" Type="http://schemas.openxmlformats.org/officeDocument/2006/relationships/hyperlink" Target="https://www.intc.com/news-events/press-releases/detail/1778/intel-announces-proposed-15-billion-common-stock-offering" TargetMode="External"/><Relationship Id="rId140" Type="http://schemas.openxmlformats.org/officeDocument/2006/relationships/hyperlink" Target="https://www.intc.com/news-events/press-releases/detail/1779/intel-announces-upsize-and-pricing-of-20-billion-common" TargetMode="External"/><Relationship Id="rId141" Type="http://schemas.openxmlformats.org/officeDocument/2006/relationships/hyperlink" Target="https://data.sec.gov/submissions/CIK0000050863.json" TargetMode="External"/><Relationship Id="rId142" Type="http://schemas.openxmlformats.org/officeDocument/2006/relationships/hyperlink" Target="https://www.intc.com/news-events/press-releases/rss" TargetMode="External"/><Relationship Id="rId143" Type="http://schemas.openxmlformats.org/officeDocument/2006/relationships/hyperlink" Target="https://bits-chips.com/article/intel-signals-external-customer-wins-for-14a-foundry-process/" TargetMode="External"/><Relationship Id="rId144" Type="http://schemas.openxmlformats.org/officeDocument/2006/relationships/hyperlink" Target="https://www.benzinga.com/markets/tech/26/04/51989223/intel-lifeline-elon-musk-tesla-14a-chip-deal-terafab" TargetMode="External"/><Relationship Id="rId145" Type="http://schemas.openxmlformats.org/officeDocument/2006/relationships/hyperlink" Target="https://finance.yahoo.com/markets/stocks/articles/intel-tesla-terafab-deal-tests-080701413.html" TargetMode="External"/><Relationship Id="rId146" Type="http://schemas.openxmlformats.org/officeDocument/2006/relationships/hyperlink" Target="https://www.techspot.com/news/113984-amazon-apple-amd-google-tesla-microsoft-nvidia-qualcomm.html" TargetMode="External"/><Relationship Id="rId147" Type="http://schemas.openxmlformats.org/officeDocument/2006/relationships/hyperlink" Target="https://www.tomshardware.com/tech-industry/semiconductors/intel-foundry-secures-contract-to-build-microsofts-maia-2-next-gen-ai-processor-on-18a-18a-p-node-claims-report-could-be-first-step-in-ongoing-partnership" TargetMode="External"/><Relationship Id="rId148" Type="http://schemas.openxmlformats.org/officeDocument/2006/relationships/hyperlink" Target="https://www.sec.gov/Archives/edgar/data/0000723125/000072312526000018/a2026q4ex991-pressrelease.htm" TargetMode="External"/><Relationship Id="rId149" Type="http://schemas.openxmlformats.org/officeDocument/2006/relationships/hyperlink" Target="https://x.com/imnotharsh/status/2089776063991673322" TargetMode="External"/><Relationship Id="rId150" Type="http://schemas.openxmlformats.org/officeDocument/2006/relationships/hyperlink" Target="https://www.cnbc.com/2025/08/05/intels-credit-rating-downgraded-by-fitch-on-demand-challenges.html" TargetMode="External"/><Relationship Id="rId151" Type="http://schemas.openxmlformats.org/officeDocument/2006/relationships/hyperlink" Target="https://www.intc.com/news-events/press-releases/rss" TargetMode="External"/><Relationship Id="rId152" Type="http://schemas.openxmlformats.org/officeDocument/2006/relationships/hyperlink" Target="https://data.sec.gov/submissions/CIK0000050863.json" TargetMode="External"/><Relationship Id="rId153" Type="http://schemas.openxmlformats.org/officeDocument/2006/relationships/hyperlink" Target="https://www.sec.gov/Archives/edgar/data/50863/000119312526345221/d98483d424b5.htm" TargetMode="External"/><Relationship Id="rId154" Type="http://schemas.openxmlformats.org/officeDocument/2006/relationships/hyperlink" Target="https://query1.finance.yahoo.com/v8/finance/chart/INTC?range=2y&amp;interval=1d"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4"/>
      <c r="D4" s="3" t="s">
        <v>4</v>
      </c>
    </row>
    <row r="5" customFormat="false" ht="15" hidden="false" customHeight="false" outlineLevel="0" collapsed="false">
      <c r="A5" s="5" t="s">
        <v>5</v>
      </c>
      <c r="B5" s="6" t="n">
        <v>65.76</v>
      </c>
      <c r="D5" s="7" t="s">
        <v>6</v>
      </c>
    </row>
    <row r="6" customFormat="false" ht="15" hidden="false" customHeight="false" outlineLevel="0" collapsed="false">
      <c r="A6" s="5" t="s">
        <v>7</v>
      </c>
      <c r="B6" s="8" t="n">
        <v>0.67</v>
      </c>
      <c r="D6" s="7" t="s">
        <v>8</v>
      </c>
    </row>
    <row r="7" customFormat="false" ht="15" hidden="false" customHeight="false" outlineLevel="0" collapsed="false">
      <c r="A7" s="5" t="s">
        <v>9</v>
      </c>
      <c r="B7" s="8" t="n">
        <v>0.33</v>
      </c>
      <c r="D7" s="7" t="s">
        <v>10</v>
      </c>
    </row>
    <row r="8" customFormat="false" ht="23.85" hidden="false" customHeight="false" outlineLevel="0" collapsed="false">
      <c r="A8" s="5" t="s">
        <v>11</v>
      </c>
      <c r="B8" s="8" t="n">
        <v>0</v>
      </c>
      <c r="D8" s="7" t="s">
        <v>12</v>
      </c>
    </row>
    <row r="9" customFormat="false" ht="15" hidden="false" customHeight="false" outlineLevel="0" collapsed="false">
      <c r="A9" s="5" t="s">
        <v>13</v>
      </c>
      <c r="B9" s="9" t="n">
        <v>95.51</v>
      </c>
      <c r="D9" s="7" t="s">
        <v>14</v>
      </c>
    </row>
    <row r="10" customFormat="false" ht="15" hidden="false" customHeight="false" outlineLevel="0" collapsed="false">
      <c r="A10" s="5" t="s">
        <v>15</v>
      </c>
      <c r="B10" s="10" t="n">
        <v>0</v>
      </c>
      <c r="D10" s="7" t="s">
        <v>16</v>
      </c>
    </row>
    <row r="11" customFormat="false" ht="23.85" hidden="false" customHeight="false" outlineLevel="0" collapsed="false">
      <c r="A11" s="5" t="s">
        <v>17</v>
      </c>
      <c r="B11" s="11" t="n">
        <v>-0.0509</v>
      </c>
      <c r="D11" s="7" t="s">
        <v>18</v>
      </c>
    </row>
    <row r="12" customFormat="false" ht="15" hidden="false" customHeight="false" outlineLevel="0" collapsed="false">
      <c r="A12" s="5" t="s">
        <v>19</v>
      </c>
      <c r="B12" s="6" t="n">
        <v>70</v>
      </c>
      <c r="D12" s="7" t="s">
        <v>20</v>
      </c>
    </row>
    <row r="13" customFormat="false" ht="15" hidden="false" customHeight="false" outlineLevel="0" collapsed="false">
      <c r="A13" s="5" t="s">
        <v>21</v>
      </c>
      <c r="B13" s="12" t="n">
        <v>0.5621</v>
      </c>
      <c r="D13" s="7" t="s">
        <v>22</v>
      </c>
    </row>
    <row r="15" customFormat="false" ht="23.85" hidden="false" customHeight="false" outlineLevel="0" collapsed="false">
      <c r="A15" s="5" t="s">
        <v>23</v>
      </c>
      <c r="B15" s="13" t="n">
        <f aca="false">EXP(INDEX(Distribution!$B$6:$B$20,MIN(MAX(IFERROR(MATCH(0.5,Distribution!$C$6:$C$20,-1),1),1),14))+(LN(MIN(MAX(0.5,0.0001),0.9999)/(1-MIN(MAX(0.5,0.0001),0.9999)))-INDEX(Distribution!$P$6:$P$20,MIN(MAX(IFERROR(MATCH(0.5,Distribution!$C$6:$C$20,-1),1),1),14)))/(INDEX(Distribution!$P$6:$P$20,MIN(MAX(IFERROR(MATCH(0.5,Distribution!$C$6:$C$20,-1),1),1),14)+1)-INDEX(Distribution!$P$6:$P$20,MIN(MAX(IFERROR(MATCH(0.5,Distribution!$C$6:$C$20,-1),1),1),14)))*(INDEX(Distribution!$B$6:$B$20,MIN(MAX(IFERROR(MATCH(0.5,Distribution!$C$6:$C$20,-1),1),1),14)+1)-INDEX(Distribution!$B$6:$B$20,MIN(MAX(IFERROR(MATCH(0.5,Distribution!$C$6:$C$20,-1),1),1),14))))</f>
        <v>64.1583923356511</v>
      </c>
      <c r="D15" s="7" t="s">
        <v>24</v>
      </c>
    </row>
    <row r="17" customFormat="false" ht="15" hidden="false" customHeight="false" outlineLevel="0" collapsed="false">
      <c r="A17" s="3" t="s">
        <v>25</v>
      </c>
      <c r="B17" s="3" t="s">
        <v>26</v>
      </c>
      <c r="C17" s="3" t="s">
        <v>27</v>
      </c>
      <c r="D17" s="3" t="s">
        <v>28</v>
      </c>
    </row>
    <row r="18" customFormat="false" ht="15" hidden="false" customHeight="false" outlineLevel="0" collapsed="false">
      <c r="A18" s="5" t="s">
        <v>29</v>
      </c>
      <c r="B18" s="13" t="n">
        <f aca="false">Methods!C8</f>
        <v>100.3</v>
      </c>
      <c r="C18" s="13" t="n">
        <f aca="false">Methods!E8</f>
        <v>100</v>
      </c>
    </row>
    <row r="19" customFormat="false" ht="15" hidden="false" customHeight="false" outlineLevel="0" collapsed="false">
      <c r="A19" s="5" t="s">
        <v>30</v>
      </c>
      <c r="B19" s="13" t="n">
        <f aca="false">Methods!C12</f>
        <v>95.5</v>
      </c>
      <c r="C19" s="13" t="n">
        <f aca="false">Methods!E12</f>
        <v>96</v>
      </c>
    </row>
    <row r="20" customFormat="false" ht="15" hidden="false" customHeight="false" outlineLevel="0" collapsed="false">
      <c r="A20" s="5" t="s">
        <v>31</v>
      </c>
      <c r="B20" s="13" t="n">
        <f aca="false">Methods!C17</f>
        <v>93.35</v>
      </c>
      <c r="C20" s="13" t="n">
        <f aca="false">Methods!E17</f>
        <v>94</v>
      </c>
    </row>
    <row r="21" customFormat="false" ht="15" hidden="false" customHeight="false" outlineLevel="0" collapsed="false">
      <c r="A21" s="5" t="s">
        <v>32</v>
      </c>
      <c r="B21" s="13" t="n">
        <f aca="false">Methods!C21</f>
        <v>93.5</v>
      </c>
      <c r="C21" s="13" t="n">
        <f aca="false">Methods!E21</f>
        <v>94</v>
      </c>
    </row>
    <row r="22" customFormat="false" ht="15" hidden="false" customHeight="false" outlineLevel="0" collapsed="false">
      <c r="A22" s="5" t="s">
        <v>33</v>
      </c>
      <c r="B22" s="13" t="n">
        <f aca="false">Methods!C25</f>
        <v>96.44</v>
      </c>
      <c r="C22" s="13" t="n">
        <f aca="false">Methods!E25</f>
        <v>96</v>
      </c>
    </row>
    <row r="23" customFormat="false" ht="15" hidden="false" customHeight="false" outlineLevel="0" collapsed="false">
      <c r="A23" s="14" t="s">
        <v>34</v>
      </c>
      <c r="B23" s="15" t="n">
        <f aca="false">AVERAGE(B18:B22)</f>
        <v>95.818</v>
      </c>
      <c r="C23" s="15" t="n">
        <f aca="false">AVERAGE(C18:C22)</f>
        <v>96</v>
      </c>
    </row>
    <row r="24" customFormat="false" ht="15" hidden="false" customHeight="false" outlineLevel="0" collapsed="false">
      <c r="A24" s="5" t="s">
        <v>35</v>
      </c>
      <c r="B24" s="16" t="n">
        <f aca="false">MEDIAN(B18:B22)</f>
        <v>95.5</v>
      </c>
      <c r="C24" s="16" t="n">
        <f aca="false">MEDIAN(C18:C22)</f>
        <v>96</v>
      </c>
    </row>
    <row r="25" customFormat="false" ht="68.65" hidden="false" customHeight="false" outlineLevel="0" collapsed="false">
      <c r="A25" s="14" t="s">
        <v>36</v>
      </c>
      <c r="C25" s="17" t="n">
        <v>96</v>
      </c>
      <c r="D25" s="7" t="s">
        <v>37</v>
      </c>
    </row>
    <row r="26" customFormat="false" ht="15" hidden="false" customHeight="false" outlineLevel="0" collapsed="false">
      <c r="A26" s="5" t="s">
        <v>38</v>
      </c>
      <c r="C26" s="18" t="n">
        <f aca="false">C25/Spot-1</f>
        <v>0.45985401459854</v>
      </c>
    </row>
    <row r="28" customFormat="false" ht="15" hidden="false" customHeight="false" outlineLevel="0" collapsed="false">
      <c r="A28" s="3" t="s">
        <v>39</v>
      </c>
      <c r="B28" s="3" t="s">
        <v>40</v>
      </c>
      <c r="C28" s="3" t="s">
        <v>41</v>
      </c>
      <c r="D28" s="3" t="s">
        <v>42</v>
      </c>
    </row>
    <row r="29" customFormat="false" ht="15" hidden="false" customHeight="false" outlineLevel="0" collapsed="false">
      <c r="A29" s="5" t="s">
        <v>43</v>
      </c>
      <c r="B29" s="19" t="n">
        <f aca="false">EXP(INDEX(Distribution!$B$6:$B$20,MIN(MAX(IFERROR(MATCH(0.5,Distribution!$U$6:$U$20,-1),1),1),14))+(LN(MIN(MAX(0.5,0.0001),0.9999)/(1-MIN(MAX(0.5,0.0001),0.9999)))-INDEX(Distribution!$V$6:$V$20,MIN(MAX(IFERROR(MATCH(0.5,Distribution!$U$6:$U$20,-1),1),1),14)))/(INDEX(Distribution!$V$6:$V$20,MIN(MAX(IFERROR(MATCH(0.5,Distribution!$U$6:$U$20,-1),1),1),14)+1)-INDEX(Distribution!$V$6:$V$20,MIN(MAX(IFERROR(MATCH(0.5,Distribution!$U$6:$U$20,-1),1),1),14)))*(INDEX(Distribution!$B$6:$B$20,MIN(MAX(IFERROR(MATCH(0.5,Distribution!$U$6:$U$20,-1),1),1),14)+1)-INDEX(Distribution!$B$6:$B$20,MIN(MAX(IFERROR(MATCH(0.5,Distribution!$U$6:$U$20,-1),1),1),14))))</f>
        <v>74.9540555023311</v>
      </c>
      <c r="C29" s="6" t="n">
        <v>76.5977</v>
      </c>
      <c r="D29" s="7" t="s">
        <v>44</v>
      </c>
    </row>
    <row r="30" customFormat="false" ht="15" hidden="false" customHeight="false" outlineLevel="0" collapsed="false">
      <c r="A30" s="5" t="s">
        <v>45</v>
      </c>
      <c r="B30" s="19" t="n">
        <f aca="false">EXP(INDEX(Distribution!$B$6:$B$20,MIN(MAX(IFERROR(MATCH(0.25,Distribution!$U$6:$U$20,-1),1),1),14))+(LN(MIN(MAX(0.25,0.0001),0.9999)/(1-MIN(MAX(0.25,0.0001),0.9999)))-INDEX(Distribution!$V$6:$V$20,MIN(MAX(IFERROR(MATCH(0.25,Distribution!$U$6:$U$20,-1),1),1),14)))/(INDEX(Distribution!$V$6:$V$20,MIN(MAX(IFERROR(MATCH(0.25,Distribution!$U$6:$U$20,-1),1),1),14)+1)-INDEX(Distribution!$V$6:$V$20,MIN(MAX(IFERROR(MATCH(0.25,Distribution!$U$6:$U$20,-1),1),1),14)))*(INDEX(Distribution!$B$6:$B$20,MIN(MAX(IFERROR(MATCH(0.25,Distribution!$U$6:$U$20,-1),1),1),14)+1)-INDEX(Distribution!$B$6:$B$20,MIN(MAX(IFERROR(MATCH(0.25,Distribution!$U$6:$U$20,-1),1),1),14))))</f>
        <v>114.308573938729</v>
      </c>
      <c r="C30" s="6" t="n">
        <v>116.7639</v>
      </c>
      <c r="D30" s="7" t="s">
        <v>46</v>
      </c>
    </row>
    <row r="31" customFormat="false" ht="15" hidden="false" customHeight="false" outlineLevel="0" collapsed="false">
      <c r="A31" s="5" t="s">
        <v>47</v>
      </c>
      <c r="B31" s="19" t="n">
        <f aca="false">EXP(INDEX(Distribution!$B$6:$B$20,MIN(MAX(IFERROR(MATCH(0.85,Distribution!$U$6:$U$20,-1),1),1),14))+(LN(MIN(MAX(0.85,0.0001),0.9999)/(1-MIN(MAX(0.85,0.0001),0.9999)))-INDEX(Distribution!$V$6:$V$20,MIN(MAX(IFERROR(MATCH(0.85,Distribution!$U$6:$U$20,-1),1),1),14)))/(INDEX(Distribution!$V$6:$V$20,MIN(MAX(IFERROR(MATCH(0.85,Distribution!$U$6:$U$20,-1),1),1),14)+1)-INDEX(Distribution!$V$6:$V$20,MIN(MAX(IFERROR(MATCH(0.85,Distribution!$U$6:$U$20,-1),1),1),14)))*(INDEX(Distribution!$B$6:$B$20,MIN(MAX(IFERROR(MATCH(0.85,Distribution!$U$6:$U$20,-1),1),1),14)+1)-INDEX(Distribution!$B$6:$B$20,MIN(MAX(IFERROR(MATCH(0.85,Distribution!$U$6:$U$20,-1),1),1),14))))</f>
        <v>39.5988791160259</v>
      </c>
      <c r="C31" s="6" t="n">
        <v>40.5148</v>
      </c>
      <c r="D31" s="7" t="s">
        <v>48</v>
      </c>
    </row>
    <row r="32" customFormat="false" ht="15" hidden="false" customHeight="false" outlineLevel="0" collapsed="false">
      <c r="A32" s="5" t="s">
        <v>49</v>
      </c>
      <c r="B32" s="16" t="n">
        <f aca="false">Spot*EXP(-2*IV30*SQRT(21/252))</f>
        <v>47.5358025223747</v>
      </c>
      <c r="D32" s="7" t="s">
        <v>50</v>
      </c>
    </row>
    <row r="33" customFormat="false" ht="23.85" hidden="false" customHeight="false" outlineLevel="0" collapsed="false">
      <c r="A33" s="14" t="s">
        <v>51</v>
      </c>
      <c r="B33" s="20" t="n">
        <f aca="false">MIN(IF(AND(Thesis_Break&gt;0,Thesis_Break&lt;Spot),MAX(B31,Thesis_Break),B31),B32)</f>
        <v>39.5988791160259</v>
      </c>
      <c r="C33" s="21" t="n">
        <v>40.5148</v>
      </c>
      <c r="D33" s="7" t="s">
        <v>52</v>
      </c>
    </row>
    <row r="34" customFormat="false" ht="15" hidden="false" customHeight="false" outlineLevel="0" collapsed="false">
      <c r="A34" s="5" t="s">
        <v>53</v>
      </c>
      <c r="B34" s="18" t="n">
        <f aca="false">B29/Spot-1</f>
        <v>0.139812279536665</v>
      </c>
      <c r="C34" s="18" t="n">
        <f aca="false">C29/Spot-1</f>
        <v>0.164806873479319</v>
      </c>
    </row>
    <row r="35" customFormat="false" ht="15" hidden="false" customHeight="false" outlineLevel="0" collapsed="false">
      <c r="A35" s="5" t="s">
        <v>54</v>
      </c>
      <c r="C35" s="12" t="n">
        <v>0.5967</v>
      </c>
    </row>
    <row r="36" customFormat="false" ht="23.85" hidden="false" customHeight="false" outlineLevel="0" collapsed="false">
      <c r="A36" s="5" t="s">
        <v>55</v>
      </c>
      <c r="C36" s="6" t="n">
        <v>96.7097</v>
      </c>
      <c r="D36" s="7" t="s">
        <v>56</v>
      </c>
    </row>
    <row r="38" customFormat="false" ht="15" hidden="false" customHeight="false" outlineLevel="0" collapsed="false">
      <c r="A38" s="3" t="s">
        <v>57</v>
      </c>
      <c r="B38" s="4"/>
      <c r="C38" s="4"/>
      <c r="D38" s="4"/>
    </row>
    <row r="39" customFormat="false" ht="15" hidden="false" customHeight="false" outlineLevel="0" collapsed="false">
      <c r="A39" s="22" t="s">
        <v>58</v>
      </c>
      <c r="D39" s="2" t="s">
        <v>59</v>
      </c>
    </row>
    <row r="40" customFormat="false" ht="15" hidden="false" customHeight="false" outlineLevel="0" collapsed="false">
      <c r="A40" s="22" t="s">
        <v>60</v>
      </c>
      <c r="D40" s="2" t="s">
        <v>61</v>
      </c>
    </row>
    <row r="41" customFormat="false" ht="15" hidden="false" customHeight="false" outlineLevel="0" collapsed="false">
      <c r="A41" s="22" t="s">
        <v>62</v>
      </c>
      <c r="D41" s="2" t="s">
        <v>63</v>
      </c>
    </row>
    <row r="42" customFormat="false" ht="15" hidden="false" customHeight="false" outlineLevel="0" collapsed="false">
      <c r="A42" s="22" t="s">
        <v>64</v>
      </c>
      <c r="D42" s="2" t="s">
        <v>65</v>
      </c>
    </row>
    <row r="43" customFormat="false" ht="15" hidden="false" customHeight="false" outlineLevel="0" collapsed="false">
      <c r="A43" s="22" t="s">
        <v>66</v>
      </c>
      <c r="D43" s="2" t="s">
        <v>67</v>
      </c>
    </row>
    <row r="44" customFormat="false" ht="15" hidden="false" customHeight="false" outlineLevel="0" collapsed="false">
      <c r="A44" s="22" t="s">
        <v>68</v>
      </c>
      <c r="D44" s="2" t="s">
        <v>69</v>
      </c>
    </row>
    <row r="45" customFormat="false" ht="15" hidden="false" customHeight="false" outlineLevel="0" collapsed="false">
      <c r="A45" s="22" t="s">
        <v>70</v>
      </c>
      <c r="D45" s="2" t="s">
        <v>71</v>
      </c>
    </row>
  </sheetData>
  <hyperlinks>
    <hyperlink ref="A39" location="'Assumptions'!A1" display="Assumptions"/>
    <hyperlink ref="A40" location="'Methods'!A1" display="Methods"/>
    <hyperlink ref="A41" location="'Scenarios'!A1" display="Scenarios"/>
    <hyperlink ref="A42" location="'Distribution'!A1" display="Distribution"/>
    <hyperlink ref="A43" location="'Reasoning'!A1" display="Reasoning"/>
    <hyperlink ref="A44" location="'Supervisor'!A1" display="Supervisor"/>
    <hyperlink ref="A45" location="'Sources'!A1" display="Sourc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3"/>
    <col collapsed="false" customWidth="true" hidden="false" outlineLevel="0" max="4" min="4" style="0" width="85"/>
    <col collapsed="false" customWidth="true" hidden="false" outlineLevel="0" max="7" min="5" style="0" width="28"/>
    <col collapsed="false" customWidth="true" hidden="false" outlineLevel="0" max="8" min="8" style="0" width="14"/>
    <col collapsed="false" customWidth="true" hidden="false" outlineLevel="0" max="10" min="9" style="0" width="12"/>
    <col collapsed="false" customWidth="true" hidden="false" outlineLevel="0" max="11" min="11" style="0" width="22"/>
  </cols>
  <sheetData>
    <row r="1" customFormat="false" ht="17.35" hidden="false" customHeight="false" outlineLevel="0" collapsed="false">
      <c r="A1" s="1" t="s">
        <v>72</v>
      </c>
    </row>
    <row r="2" customFormat="false" ht="15" hidden="false" customHeight="false" outlineLevel="0" collapsed="false">
      <c r="A2" s="2" t="s">
        <v>73</v>
      </c>
    </row>
    <row r="4" customFormat="false" ht="15" hidden="false" customHeight="false" outlineLevel="0" collapsed="false">
      <c r="A4" s="23" t="s">
        <v>74</v>
      </c>
      <c r="B4" s="23" t="s">
        <v>75</v>
      </c>
      <c r="C4" s="23" t="s">
        <v>3</v>
      </c>
      <c r="D4" s="23" t="s">
        <v>66</v>
      </c>
      <c r="E4" s="23" t="s">
        <v>76</v>
      </c>
      <c r="F4" s="23" t="s">
        <v>77</v>
      </c>
      <c r="G4" s="23" t="s">
        <v>78</v>
      </c>
      <c r="H4" s="23" t="s">
        <v>79</v>
      </c>
      <c r="I4" s="23" t="s">
        <v>80</v>
      </c>
      <c r="J4" s="23" t="s">
        <v>81</v>
      </c>
      <c r="K4" s="23" t="s">
        <v>82</v>
      </c>
    </row>
    <row r="5" customFormat="false" ht="15" hidden="false" customHeight="false" outlineLevel="0" collapsed="false">
      <c r="A5" s="2"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1"/>
    <col collapsed="false" customWidth="true" hidden="false" outlineLevel="0" max="8" min="4" style="0" width="10"/>
    <col collapsed="false" customWidth="true" hidden="false" outlineLevel="0" max="11" min="9" style="0" width="11"/>
    <col collapsed="false" customWidth="true" hidden="false" outlineLevel="0" max="12" min="12" style="0" width="9"/>
    <col collapsed="false" customWidth="true" hidden="false" outlineLevel="0" max="13" min="13" style="0" width="10"/>
    <col collapsed="false" customWidth="true" hidden="false" outlineLevel="0" max="14" min="14" style="0" width="6"/>
    <col collapsed="false" customWidth="true" hidden="false" outlineLevel="0" max="15" min="15" style="0" width="12"/>
    <col collapsed="false" customWidth="true" hidden="false" outlineLevel="0" max="16" min="16" style="0" width="9"/>
    <col collapsed="false" customWidth="true" hidden="false" outlineLevel="0" max="17" min="17" style="0" width="10"/>
    <col collapsed="false" customWidth="true" hidden="false" outlineLevel="0" max="18" min="18" style="0" width="6"/>
    <col collapsed="false" customWidth="true" hidden="false" outlineLevel="0" max="21" min="19" style="0" width="11"/>
    <col collapsed="false" customWidth="true" hidden="false" outlineLevel="0" max="22" min="22" style="0" width="9"/>
    <col collapsed="false" customWidth="true" hidden="false" outlineLevel="0" max="23" min="23" style="0" width="12"/>
  </cols>
  <sheetData>
    <row r="1" customFormat="false" ht="17.35" hidden="false" customHeight="false" outlineLevel="0" collapsed="false">
      <c r="A1" s="1" t="s">
        <v>84</v>
      </c>
    </row>
    <row r="2" customFormat="false" ht="15" hidden="false" customHeight="false" outlineLevel="0" collapsed="false">
      <c r="A2" s="2" t="s">
        <v>85</v>
      </c>
    </row>
    <row r="5" customFormat="false" ht="23.85" hidden="false" customHeight="false" outlineLevel="0" collapsed="false">
      <c r="A5" s="23" t="s">
        <v>86</v>
      </c>
      <c r="B5" s="23" t="s">
        <v>87</v>
      </c>
      <c r="C5" s="23" t="s">
        <v>88</v>
      </c>
      <c r="D5" s="23" t="s">
        <v>29</v>
      </c>
      <c r="E5" s="23" t="s">
        <v>30</v>
      </c>
      <c r="F5" s="23" t="s">
        <v>31</v>
      </c>
      <c r="G5" s="23" t="s">
        <v>32</v>
      </c>
      <c r="H5" s="23" t="s">
        <v>33</v>
      </c>
      <c r="I5" s="23" t="s">
        <v>89</v>
      </c>
      <c r="J5" s="23" t="s">
        <v>68</v>
      </c>
      <c r="K5" s="23" t="s">
        <v>90</v>
      </c>
      <c r="L5" s="23" t="s">
        <v>91</v>
      </c>
      <c r="M5" s="23" t="s">
        <v>92</v>
      </c>
      <c r="N5" s="23" t="s">
        <v>93</v>
      </c>
      <c r="O5" s="23" t="s">
        <v>94</v>
      </c>
      <c r="P5" s="23" t="s">
        <v>95</v>
      </c>
      <c r="Q5" s="23" t="s">
        <v>96</v>
      </c>
      <c r="R5" s="23" t="s">
        <v>93</v>
      </c>
      <c r="S5" s="23" t="s">
        <v>97</v>
      </c>
      <c r="T5" s="23" t="s">
        <v>98</v>
      </c>
      <c r="U5" s="23" t="s">
        <v>99</v>
      </c>
      <c r="V5" s="23" t="s">
        <v>100</v>
      </c>
      <c r="W5" s="23" t="s">
        <v>101</v>
      </c>
    </row>
    <row r="6" customFormat="false" ht="15" hidden="false" customHeight="false" outlineLevel="0" collapsed="false">
      <c r="A6" s="6" t="n">
        <v>16.44</v>
      </c>
      <c r="B6" s="24" t="n">
        <f aca="false">LN(A6)</f>
        <v>2.79971738962803</v>
      </c>
      <c r="C6" s="25" t="n">
        <v>0.9923</v>
      </c>
      <c r="D6" s="25" t="n">
        <v>0.9978</v>
      </c>
      <c r="E6" s="25" t="n">
        <v>0.9968</v>
      </c>
      <c r="F6" s="25" t="n">
        <v>0.994</v>
      </c>
      <c r="G6" s="25" t="n">
        <v>0.9931</v>
      </c>
      <c r="H6" s="25" t="n">
        <v>0.9972</v>
      </c>
      <c r="I6" s="24" t="n">
        <f aca="false">AVERAGE(D6:H6)</f>
        <v>0.99578</v>
      </c>
      <c r="J6" s="25" t="n">
        <v>0.996</v>
      </c>
      <c r="K6" s="24" t="n">
        <f aca="false">IF(AND(Sup_Used=1,ISNUMBER(J6)),J6,I6)</f>
        <v>0.99578</v>
      </c>
      <c r="L6" s="24" t="n">
        <f aca="false">LN(MIN(MAX(K6,0.0001),0.9999)/(1-MIN(MAX(K6,0.0001),0.9999)))</f>
        <v>5.46369122160421</v>
      </c>
      <c r="M6" s="16" t="n">
        <f aca="false">A6*EXP(-Platt_Shift)</f>
        <v>17.2984584332374</v>
      </c>
      <c r="N6" s="26" t="n">
        <f aca="false">MIN(MAX(IFERROR(MATCH(M6,Distribution!$A$6:$A$20,1),1),1),14)</f>
        <v>1</v>
      </c>
      <c r="O6" s="24" t="n">
        <f aca="false">1/(1+EXP(-(INDEX(Distribution!$L$6:$L$20,N6)+(LN(M6)-INDEX(Distribution!$B$6:$B$20,N6))/(INDEX(Distribution!$B$6:$B$20,N6+1)-INDEX(Distribution!$B$6:$B$20,N6))*(INDEX(Distribution!$L$6:$L$20,N6+1)-INDEX(Distribution!$L$6:$L$20,N6)))))</f>
        <v>0.995121475700749</v>
      </c>
      <c r="P6" s="24" t="n">
        <f aca="false">LN(MIN(MAX(C6,0.0001),0.9999)/(1-MIN(MAX(C6,0.0001),0.9999)))</f>
        <v>4.85880515206055</v>
      </c>
      <c r="Q6" s="16" t="n">
        <f aca="false">IF(Analyst_Median&gt;0,A6*Market_Median/Analyst_Median,A6)</f>
        <v>11.0434925138531</v>
      </c>
      <c r="R6" s="26" t="n">
        <f aca="false">MIN(MAX(IFERROR(MATCH(Q6,Distribution!$A$6:$A$20,1),1),1),14)</f>
        <v>1</v>
      </c>
      <c r="S6" s="24" t="n">
        <f aca="false">1/(1+EXP(-(INDEX(Distribution!$P$6:$P$20,R6)+(LN(Q6)-INDEX(Distribution!$B$6:$B$20,R6))/(INDEX(Distribution!$B$6:$B$20,R6+1)-INDEX(Distribution!$B$6:$B$20,R6))*(INDEX(Distribution!$P$6:$P$20,R6+1)-INDEX(Distribution!$P$6:$P$20,R6)))))</f>
        <v>0.998622409512438</v>
      </c>
      <c r="T6" s="24" t="n">
        <f aca="false">W_Mkt*C6+W_Agents*O6</f>
        <v>0.993231086981247</v>
      </c>
      <c r="U6" s="27" t="n">
        <f aca="false">(1-W_Analyst)*T6+W_Analyst*S6</f>
        <v>0.993231086981247</v>
      </c>
      <c r="V6" s="24" t="n">
        <f aca="false">LN(MIN(MAX(U6,0.0001),0.9999)/(1-MIN(MAX(U6,0.0001),0.9999)))</f>
        <v>4.98862283746077</v>
      </c>
      <c r="W6" s="25" t="n">
        <v>0.9938</v>
      </c>
    </row>
    <row r="7" customFormat="false" ht="15" hidden="false" customHeight="false" outlineLevel="0" collapsed="false">
      <c r="A7" s="6" t="n">
        <v>26.3</v>
      </c>
      <c r="B7" s="24" t="n">
        <f aca="false">LN(A7)</f>
        <v>3.26956893918372</v>
      </c>
      <c r="C7" s="25" t="n">
        <v>0.9437</v>
      </c>
      <c r="D7" s="25" t="n">
        <v>0.9901</v>
      </c>
      <c r="E7" s="25" t="n">
        <v>0.9866</v>
      </c>
      <c r="F7" s="25" t="n">
        <v>0.9788</v>
      </c>
      <c r="G7" s="25" t="n">
        <v>0.9781</v>
      </c>
      <c r="H7" s="25" t="n">
        <v>0.9864</v>
      </c>
      <c r="I7" s="24" t="n">
        <f aca="false">AVERAGE(D7:H7)</f>
        <v>0.984</v>
      </c>
      <c r="J7" s="25" t="n">
        <v>0.9843</v>
      </c>
      <c r="K7" s="24" t="n">
        <f aca="false">IF(AND(Sup_Used=1,ISNUMBER(J7)),J7,I7)</f>
        <v>0.984</v>
      </c>
      <c r="L7" s="24" t="n">
        <f aca="false">LN(MIN(MAX(K7,0.0001),0.9999)/(1-MIN(MAX(K7,0.0001),0.9999)))</f>
        <v>4.11903717481247</v>
      </c>
      <c r="M7" s="16" t="n">
        <f aca="false">A7*EXP(-Platt_Shift)</f>
        <v>27.6733246225148</v>
      </c>
      <c r="N7" s="26" t="n">
        <f aca="false">MIN(MAX(IFERROR(MATCH(M7,Distribution!$A$6:$A$20,1),1),1),14)</f>
        <v>2</v>
      </c>
      <c r="O7" s="24" t="n">
        <f aca="false">1/(1+EXP(-(INDEX(Distribution!$L$6:$L$20,N7)+(LN(M7)-INDEX(Distribution!$B$6:$B$20,N7))/(INDEX(Distribution!$B$6:$B$20,N7+1)-INDEX(Distribution!$B$6:$B$20,N7))*(INDEX(Distribution!$L$6:$L$20,N7+1)-INDEX(Distribution!$L$6:$L$20,N7)))))</f>
        <v>0.981512691825064</v>
      </c>
      <c r="P7" s="24" t="n">
        <f aca="false">LN(MIN(MAX(C7,0.0001),0.9999)/(1-MIN(MAX(C7,0.0001),0.9999)))</f>
        <v>2.81911378388164</v>
      </c>
      <c r="Q7" s="16" t="n">
        <f aca="false">IF(Analyst_Median&gt;0,A7*Market_Median/Analyst_Median,A7)</f>
        <v>17.666901041018</v>
      </c>
      <c r="R7" s="26" t="n">
        <f aca="false">MIN(MAX(IFERROR(MATCH(Q7,Distribution!$A$6:$A$20,1),1),1),14)</f>
        <v>1</v>
      </c>
      <c r="S7" s="24" t="n">
        <f aca="false">1/(1+EXP(-(INDEX(Distribution!$P$6:$P$20,R7)+(LN(Q7)-INDEX(Distribution!$B$6:$B$20,R7))/(INDEX(Distribution!$B$6:$B$20,R7+1)-INDEX(Distribution!$B$6:$B$20,R7))*(INDEX(Distribution!$P$6:$P$20,R7+1)-INDEX(Distribution!$P$6:$P$20,R7)))))</f>
        <v>0.989505452314795</v>
      </c>
      <c r="T7" s="24" t="n">
        <f aca="false">W_Mkt*C7+W_Agents*O7</f>
        <v>0.956178188302271</v>
      </c>
      <c r="U7" s="27" t="n">
        <f aca="false">(1-W_Analyst)*T7+W_Analyst*S7</f>
        <v>0.956178188302271</v>
      </c>
      <c r="V7" s="24" t="n">
        <f aca="false">LN(MIN(MAX(U7,0.0001),0.9999)/(1-MIN(MAX(U7,0.0001),0.9999)))</f>
        <v>3.08281260772462</v>
      </c>
      <c r="W7" s="25" t="n">
        <v>0.9597</v>
      </c>
    </row>
    <row r="8" customFormat="false" ht="15" hidden="false" customHeight="false" outlineLevel="0" collapsed="false">
      <c r="A8" s="6" t="n">
        <v>32.88</v>
      </c>
      <c r="B8" s="24" t="n">
        <f aca="false">LN(A8)</f>
        <v>3.49286457018798</v>
      </c>
      <c r="C8" s="25" t="n">
        <v>0.8828</v>
      </c>
      <c r="D8" s="25" t="n">
        <v>0.9799</v>
      </c>
      <c r="E8" s="25" t="n">
        <v>0.9736</v>
      </c>
      <c r="F8" s="25" t="n">
        <v>0.9618</v>
      </c>
      <c r="G8" s="25" t="n">
        <v>0.9627</v>
      </c>
      <c r="H8" s="25" t="n">
        <v>0.9717</v>
      </c>
      <c r="I8" s="24" t="n">
        <f aca="false">AVERAGE(D8:H8)</f>
        <v>0.96994</v>
      </c>
      <c r="J8" s="25" t="n">
        <v>0.9701</v>
      </c>
      <c r="K8" s="24" t="n">
        <f aca="false">IF(AND(Sup_Used=1,ISNUMBER(J8)),J8,I8)</f>
        <v>0.96994</v>
      </c>
      <c r="L8" s="24" t="n">
        <f aca="false">LN(MIN(MAX(K8,0.0001),0.9999)/(1-MIN(MAX(K8,0.0001),0.9999)))</f>
        <v>3.47403882958936</v>
      </c>
      <c r="M8" s="16" t="n">
        <f aca="false">A8*EXP(-Platt_Shift)</f>
        <v>34.5969168664748</v>
      </c>
      <c r="N8" s="26" t="n">
        <f aca="false">MIN(MAX(IFERROR(MATCH(M8,Distribution!$A$6:$A$20,1),1),1),14)</f>
        <v>3</v>
      </c>
      <c r="O8" s="24" t="n">
        <f aca="false">1/(1+EXP(-(INDEX(Distribution!$L$6:$L$20,N8)+(LN(M8)-INDEX(Distribution!$B$6:$B$20,N8))/(INDEX(Distribution!$B$6:$B$20,N8+1)-INDEX(Distribution!$B$6:$B$20,N8))*(INDEX(Distribution!$L$6:$L$20,N8+1)-INDEX(Distribution!$L$6:$L$20,N8)))))</f>
        <v>0.965295494765113</v>
      </c>
      <c r="P8" s="24" t="n">
        <f aca="false">LN(MIN(MAX(C8,0.0001),0.9999)/(1-MIN(MAX(C8,0.0001),0.9999)))</f>
        <v>2.01921679723967</v>
      </c>
      <c r="Q8" s="16" t="n">
        <f aca="false">IF(Analyst_Median&gt;0,A8*Market_Median/Analyst_Median,A8)</f>
        <v>22.0869850277061</v>
      </c>
      <c r="R8" s="26" t="n">
        <f aca="false">MIN(MAX(IFERROR(MATCH(Q8,Distribution!$A$6:$A$20,1),1),1),14)</f>
        <v>1</v>
      </c>
      <c r="S8" s="24" t="n">
        <f aca="false">1/(1+EXP(-(INDEX(Distribution!$P$6:$P$20,R8)+(LN(Q8)-INDEX(Distribution!$B$6:$B$20,R8))/(INDEX(Distribution!$B$6:$B$20,R8+1)-INDEX(Distribution!$B$6:$B$20,R8))*(INDEX(Distribution!$P$6:$P$20,R8+1)-INDEX(Distribution!$P$6:$P$20,R8)))))</f>
        <v>0.972800801245169</v>
      </c>
      <c r="T8" s="24" t="n">
        <f aca="false">W_Mkt*C8+W_Agents*O8</f>
        <v>0.910023513272487</v>
      </c>
      <c r="U8" s="27" t="n">
        <f aca="false">(1-W_Analyst)*T8+W_Analyst*S8</f>
        <v>0.910023513272487</v>
      </c>
      <c r="V8" s="24" t="n">
        <f aca="false">LN(MIN(MAX(U8,0.0001),0.9999)/(1-MIN(MAX(U8,0.0001),0.9999)))</f>
        <v>2.31392206032495</v>
      </c>
      <c r="W8" s="25" t="n">
        <v>0.916</v>
      </c>
    </row>
    <row r="9" customFormat="false" ht="15" hidden="false" customHeight="false" outlineLevel="0" collapsed="false">
      <c r="A9" s="6" t="n">
        <v>39.46</v>
      </c>
      <c r="B9" s="24" t="n">
        <f aca="false">LN(A9)</f>
        <v>3.67528750059447</v>
      </c>
      <c r="C9" s="25" t="n">
        <v>0.8065</v>
      </c>
      <c r="D9" s="25" t="n">
        <v>0.9644</v>
      </c>
      <c r="E9" s="25" t="n">
        <v>0.9546</v>
      </c>
      <c r="F9" s="25" t="n">
        <v>0.9388</v>
      </c>
      <c r="G9" s="25" t="n">
        <v>0.9426</v>
      </c>
      <c r="H9" s="25" t="n">
        <v>0.949</v>
      </c>
      <c r="I9" s="24" t="n">
        <f aca="false">AVERAGE(D9:H9)</f>
        <v>0.94988</v>
      </c>
      <c r="J9" s="25" t="n">
        <v>0.9499</v>
      </c>
      <c r="K9" s="24" t="n">
        <f aca="false">IF(AND(Sup_Used=1,ISNUMBER(J9)),J9,I9)</f>
        <v>0.94988</v>
      </c>
      <c r="L9" s="24" t="n">
        <f aca="false">LN(MIN(MAX(K9,0.0001),0.9999)/(1-MIN(MAX(K9,0.0001),0.9999)))</f>
        <v>2.94191553079873</v>
      </c>
      <c r="M9" s="16" t="n">
        <f aca="false">A9*EXP(-Platt_Shift)</f>
        <v>41.5205091104347</v>
      </c>
      <c r="N9" s="26" t="n">
        <f aca="false">MIN(MAX(IFERROR(MATCH(M9,Distribution!$A$6:$A$20,1),1),1),14)</f>
        <v>4</v>
      </c>
      <c r="O9" s="24" t="n">
        <f aca="false">1/(1+EXP(-(INDEX(Distribution!$L$6:$L$20,N9)+(LN(M9)-INDEX(Distribution!$B$6:$B$20,N9))/(INDEX(Distribution!$B$6:$B$20,N9+1)-INDEX(Distribution!$B$6:$B$20,N9))*(INDEX(Distribution!$L$6:$L$20,N9+1)-INDEX(Distribution!$L$6:$L$20,N9)))))</f>
        <v>0.942262533987341</v>
      </c>
      <c r="P9" s="24" t="n">
        <f aca="false">LN(MIN(MAX(C9,0.0001),0.9999)/(1-MIN(MAX(C9,0.0001),0.9999)))</f>
        <v>1.42742638509543</v>
      </c>
      <c r="Q9" s="16" t="n">
        <f aca="false">IF(Analyst_Median&gt;0,A9*Market_Median/Analyst_Median,A9)</f>
        <v>26.5070690143942</v>
      </c>
      <c r="R9" s="26" t="n">
        <f aca="false">MIN(MAX(IFERROR(MATCH(Q9,Distribution!$A$6:$A$20,1),1),1),14)</f>
        <v>2</v>
      </c>
      <c r="S9" s="24" t="n">
        <f aca="false">1/(1+EXP(-(INDEX(Distribution!$P$6:$P$20,R9)+(LN(Q9)-INDEX(Distribution!$B$6:$B$20,R9))/(INDEX(Distribution!$B$6:$B$20,R9+1)-INDEX(Distribution!$B$6:$B$20,R9))*(INDEX(Distribution!$P$6:$P$20,R9+1)-INDEX(Distribution!$P$6:$P$20,R9)))))</f>
        <v>0.942188632362858</v>
      </c>
      <c r="T9" s="24" t="n">
        <f aca="false">W_Mkt*C9+W_Agents*O9</f>
        <v>0.851301636215822</v>
      </c>
      <c r="U9" s="27" t="n">
        <f aca="false">(1-W_Analyst)*T9+W_Analyst*S9</f>
        <v>0.851301636215822</v>
      </c>
      <c r="V9" s="24" t="n">
        <f aca="false">LN(MIN(MAX(U9,0.0001),0.9999)/(1-MIN(MAX(U9,0.0001),0.9999)))</f>
        <v>1.7448466649717</v>
      </c>
      <c r="W9" s="25" t="n">
        <v>0.8597</v>
      </c>
    </row>
    <row r="10" customFormat="false" ht="15" hidden="false" customHeight="false" outlineLevel="0" collapsed="false">
      <c r="A10" s="6" t="n">
        <v>46.03</v>
      </c>
      <c r="B10" s="24" t="n">
        <f aca="false">LN(A10)</f>
        <v>3.82929335782915</v>
      </c>
      <c r="C10" s="25" t="n">
        <v>0.7226</v>
      </c>
      <c r="D10" s="25" t="n">
        <v>0.9428</v>
      </c>
      <c r="E10" s="25" t="n">
        <v>0.929</v>
      </c>
      <c r="F10" s="25" t="n">
        <v>0.9098</v>
      </c>
      <c r="G10" s="25" t="n">
        <v>0.9181</v>
      </c>
      <c r="H10" s="25" t="n">
        <v>0.9173</v>
      </c>
      <c r="I10" s="24" t="n">
        <f aca="false">AVERAGE(D10:H10)</f>
        <v>0.9234</v>
      </c>
      <c r="J10" s="25" t="n">
        <v>0.9232</v>
      </c>
      <c r="K10" s="24" t="n">
        <f aca="false">IF(AND(Sup_Used=1,ISNUMBER(J10)),J10,I10)</f>
        <v>0.9234</v>
      </c>
      <c r="L10" s="24" t="n">
        <f aca="false">LN(MIN(MAX(K10,0.0001),0.9999)/(1-MIN(MAX(K10,0.0001),0.9999)))</f>
        <v>2.48946543332634</v>
      </c>
      <c r="M10" s="16" t="n">
        <f aca="false">A10*EXP(-Platt_Shift)</f>
        <v>48.4335791777321</v>
      </c>
      <c r="N10" s="26" t="n">
        <f aca="false">MIN(MAX(IFERROR(MATCH(M10,Distribution!$A$6:$A$20,1),1),1),14)</f>
        <v>5</v>
      </c>
      <c r="O10" s="24" t="n">
        <f aca="false">1/(1+EXP(-(INDEX(Distribution!$L$6:$L$20,N10)+(LN(M10)-INDEX(Distribution!$B$6:$B$20,N10))/(INDEX(Distribution!$B$6:$B$20,N10+1)-INDEX(Distribution!$B$6:$B$20,N10))*(INDEX(Distribution!$L$6:$L$20,N10+1)-INDEX(Distribution!$L$6:$L$20,N10)))))</f>
        <v>0.912041280009131</v>
      </c>
      <c r="P10" s="24" t="n">
        <f aca="false">LN(MIN(MAX(C10,0.0001),0.9999)/(1-MIN(MAX(C10,0.0001),0.9999)))</f>
        <v>0.957395310832809</v>
      </c>
      <c r="Q10" s="16" t="n">
        <f aca="false">IF(Analyst_Median&gt;0,A10*Market_Median/Analyst_Median,A10)</f>
        <v>30.9204355482151</v>
      </c>
      <c r="R10" s="26" t="n">
        <f aca="false">MIN(MAX(IFERROR(MATCH(Q10,Distribution!$A$6:$A$20,1),1),1),14)</f>
        <v>2</v>
      </c>
      <c r="S10" s="24" t="n">
        <f aca="false">1/(1+EXP(-(INDEX(Distribution!$P$6:$P$20,R10)+(LN(Q10)-INDEX(Distribution!$B$6:$B$20,R10))/(INDEX(Distribution!$B$6:$B$20,R10+1)-INDEX(Distribution!$B$6:$B$20,R10))*(INDEX(Distribution!$P$6:$P$20,R10+1)-INDEX(Distribution!$P$6:$P$20,R10)))))</f>
        <v>0.903726633285716</v>
      </c>
      <c r="T10" s="24" t="n">
        <f aca="false">W_Mkt*C10+W_Agents*O10</f>
        <v>0.785115622403013</v>
      </c>
      <c r="U10" s="27" t="n">
        <f aca="false">(1-W_Analyst)*T10+W_Analyst*S10</f>
        <v>0.785115622403013</v>
      </c>
      <c r="V10" s="24" t="n">
        <f aca="false">LN(MIN(MAX(U10,0.0001),0.9999)/(1-MIN(MAX(U10,0.0001),0.9999)))</f>
        <v>1.2957308917675</v>
      </c>
      <c r="W10" s="25" t="n">
        <v>0.7956</v>
      </c>
    </row>
    <row r="11" customFormat="false" ht="15" hidden="false" customHeight="false" outlineLevel="0" collapsed="false">
      <c r="A11" s="6" t="n">
        <v>52.61</v>
      </c>
      <c r="B11" s="24" t="n">
        <f aca="false">LN(A11)</f>
        <v>3.96290621574272</v>
      </c>
      <c r="C11" s="25" t="n">
        <v>0.638</v>
      </c>
      <c r="D11" s="25" t="n">
        <v>0.9145</v>
      </c>
      <c r="E11" s="25" t="n">
        <v>0.8958</v>
      </c>
      <c r="F11" s="25" t="n">
        <v>0.875</v>
      </c>
      <c r="G11" s="25" t="n">
        <v>0.8854</v>
      </c>
      <c r="H11" s="25" t="n">
        <v>0.8809</v>
      </c>
      <c r="I11" s="24" t="n">
        <f aca="false">AVERAGE(D11:H11)</f>
        <v>0.89032</v>
      </c>
      <c r="J11" s="25" t="n">
        <v>0.8902</v>
      </c>
      <c r="K11" s="24" t="n">
        <f aca="false">IF(AND(Sup_Used=1,ISNUMBER(J11)),J11,I11)</f>
        <v>0.89032</v>
      </c>
      <c r="L11" s="24" t="n">
        <f aca="false">LN(MIN(MAX(K11,0.0001),0.9999)/(1-MIN(MAX(K11,0.0001),0.9999)))</f>
        <v>2.09401391341111</v>
      </c>
      <c r="M11" s="16" t="n">
        <f aca="false">A11*EXP(-Platt_Shift)</f>
        <v>55.3571714216921</v>
      </c>
      <c r="N11" s="26" t="n">
        <f aca="false">MIN(MAX(IFERROR(MATCH(M11,Distribution!$A$6:$A$20,1),1),1),14)</f>
        <v>6</v>
      </c>
      <c r="O11" s="24" t="n">
        <f aca="false">1/(1+EXP(-(INDEX(Distribution!$L$6:$L$20,N11)+(LN(M11)-INDEX(Distribution!$B$6:$B$20,N11))/(INDEX(Distribution!$B$6:$B$20,N11+1)-INDEX(Distribution!$B$6:$B$20,N11))*(INDEX(Distribution!$L$6:$L$20,N11+1)-INDEX(Distribution!$L$6:$L$20,N11)))))</f>
        <v>0.874656703277512</v>
      </c>
      <c r="P11" s="24" t="n">
        <f aca="false">LN(MIN(MAX(C11,0.0001),0.9999)/(1-MIN(MAX(C11,0.0001),0.9999)))</f>
        <v>0.566694071519019</v>
      </c>
      <c r="Q11" s="16" t="n">
        <f aca="false">IF(Analyst_Median&gt;0,A11*Market_Median/Analyst_Median,A11)</f>
        <v>35.3405195349032</v>
      </c>
      <c r="R11" s="26" t="n">
        <f aca="false">MIN(MAX(IFERROR(MATCH(Q11,Distribution!$A$6:$A$20,1),1),1),14)</f>
        <v>3</v>
      </c>
      <c r="S11" s="24" t="n">
        <f aca="false">1/(1+EXP(-(INDEX(Distribution!$P$6:$P$20,R11)+(LN(Q11)-INDEX(Distribution!$B$6:$B$20,R11))/(INDEX(Distribution!$B$6:$B$20,R11+1)-INDEX(Distribution!$B$6:$B$20,R11))*(INDEX(Distribution!$P$6:$P$20,R11+1)-INDEX(Distribution!$P$6:$P$20,R11)))))</f>
        <v>0.856326390442775</v>
      </c>
      <c r="T11" s="24" t="n">
        <f aca="false">W_Mkt*C11+W_Agents*O11</f>
        <v>0.716096712081579</v>
      </c>
      <c r="U11" s="27" t="n">
        <f aca="false">(1-W_Analyst)*T11+W_Analyst*S11</f>
        <v>0.716096712081579</v>
      </c>
      <c r="V11" s="24" t="n">
        <f aca="false">LN(MIN(MAX(U11,0.0001),0.9999)/(1-MIN(MAX(U11,0.0001),0.9999)))</f>
        <v>0.925181585911471</v>
      </c>
      <c r="W11" s="25" t="n">
        <v>0.7282</v>
      </c>
    </row>
    <row r="12" customFormat="false" ht="15" hidden="false" customHeight="false" outlineLevel="0" collapsed="false">
      <c r="A12" s="6" t="n">
        <v>59.18</v>
      </c>
      <c r="B12" s="24" t="n">
        <f aca="false">LN(A12)</f>
        <v>4.08058364697206</v>
      </c>
      <c r="C12" s="25" t="n">
        <v>0.5571</v>
      </c>
      <c r="D12" s="25" t="n">
        <v>0.8798</v>
      </c>
      <c r="E12" s="25" t="n">
        <v>0.8555</v>
      </c>
      <c r="F12" s="25" t="n">
        <v>0.8352</v>
      </c>
      <c r="G12" s="25" t="n">
        <v>0.8453</v>
      </c>
      <c r="H12" s="25" t="n">
        <v>0.8404</v>
      </c>
      <c r="I12" s="24" t="n">
        <f aca="false">AVERAGE(D12:H12)</f>
        <v>0.85124</v>
      </c>
      <c r="J12" s="25" t="n">
        <v>0.8512</v>
      </c>
      <c r="K12" s="24" t="n">
        <f aca="false">IF(AND(Sup_Used=1,ISNUMBER(J12)),J12,I12)</f>
        <v>0.85124</v>
      </c>
      <c r="L12" s="24" t="n">
        <f aca="false">LN(MIN(MAX(K12,0.0001),0.9999)/(1-MIN(MAX(K12,0.0001),0.9999)))</f>
        <v>1.7443598409076</v>
      </c>
      <c r="M12" s="16" t="n">
        <f aca="false">A12*EXP(-Platt_Shift)</f>
        <v>62.2702414889895</v>
      </c>
      <c r="N12" s="26" t="n">
        <f aca="false">MIN(MAX(IFERROR(MATCH(M12,Distribution!$A$6:$A$20,1),1),1),14)</f>
        <v>7</v>
      </c>
      <c r="O12" s="24" t="n">
        <f aca="false">1/(1+EXP(-(INDEX(Distribution!$L$6:$L$20,N12)+(LN(M12)-INDEX(Distribution!$B$6:$B$20,N12))/(INDEX(Distribution!$B$6:$B$20,N12+1)-INDEX(Distribution!$B$6:$B$20,N12))*(INDEX(Distribution!$L$6:$L$20,N12+1)-INDEX(Distribution!$L$6:$L$20,N12)))))</f>
        <v>0.832306317141425</v>
      </c>
      <c r="P12" s="24" t="n">
        <f aca="false">LN(MIN(MAX(C12,0.0001),0.9999)/(1-MIN(MAX(C12,0.0001),0.9999)))</f>
        <v>0.229400746097617</v>
      </c>
      <c r="Q12" s="16" t="n">
        <f aca="false">IF(Analyst_Median&gt;0,A12*Market_Median/Analyst_Median,A12)</f>
        <v>39.7538860687241</v>
      </c>
      <c r="R12" s="26" t="n">
        <f aca="false">MIN(MAX(IFERROR(MATCH(Q12,Distribution!$A$6:$A$20,1),1),1),14)</f>
        <v>4</v>
      </c>
      <c r="S12" s="24" t="n">
        <f aca="false">1/(1+EXP(-(INDEX(Distribution!$P$6:$P$20,R12)+(LN(Q12)-INDEX(Distribution!$B$6:$B$20,R12))/(INDEX(Distribution!$B$6:$B$20,R12+1)-INDEX(Distribution!$B$6:$B$20,R12))*(INDEX(Distribution!$P$6:$P$20,R12+1)-INDEX(Distribution!$P$6:$P$20,R12)))))</f>
        <v>0.802941305955572</v>
      </c>
      <c r="T12" s="24" t="n">
        <f aca="false">W_Mkt*C12+W_Agents*O12</f>
        <v>0.64791808465667</v>
      </c>
      <c r="U12" s="27" t="n">
        <f aca="false">(1-W_Analyst)*T12+W_Analyst*S12</f>
        <v>0.64791808465667</v>
      </c>
      <c r="V12" s="24" t="n">
        <f aca="false">LN(MIN(MAX(U12,0.0001),0.9999)/(1-MIN(MAX(U12,0.0001),0.9999)))</f>
        <v>0.609900413226731</v>
      </c>
      <c r="W12" s="25" t="n">
        <v>0.661</v>
      </c>
    </row>
    <row r="13" customFormat="false" ht="15" hidden="false" customHeight="false" outlineLevel="0" collapsed="false">
      <c r="A13" s="6" t="n">
        <v>65.76</v>
      </c>
      <c r="B13" s="24" t="n">
        <f aca="false">LN(A13)</f>
        <v>4.18601175074793</v>
      </c>
      <c r="C13" s="25" t="n">
        <v>0.4825</v>
      </c>
      <c r="D13" s="25" t="n">
        <v>0.843</v>
      </c>
      <c r="E13" s="25" t="n">
        <v>0.8131</v>
      </c>
      <c r="F13" s="25" t="n">
        <v>0.7926</v>
      </c>
      <c r="G13" s="25" t="n">
        <v>0.8028</v>
      </c>
      <c r="H13" s="25" t="n">
        <v>0.7982</v>
      </c>
      <c r="I13" s="24" t="n">
        <f aca="false">AVERAGE(D13:H13)</f>
        <v>0.80994</v>
      </c>
      <c r="J13" s="25" t="n">
        <v>0.8098</v>
      </c>
      <c r="K13" s="24" t="n">
        <f aca="false">IF(AND(Sup_Used=1,ISNUMBER(J13)),J13,I13)</f>
        <v>0.80994</v>
      </c>
      <c r="L13" s="24" t="n">
        <f aca="false">LN(MIN(MAX(K13,0.0001),0.9999)/(1-MIN(MAX(K13,0.0001),0.9999)))</f>
        <v>1.44962035906562</v>
      </c>
      <c r="M13" s="16" t="n">
        <f aca="false">A13*EXP(-Platt_Shift)</f>
        <v>69.1938337329495</v>
      </c>
      <c r="N13" s="26" t="n">
        <f aca="false">MIN(MAX(IFERROR(MATCH(M13,Distribution!$A$6:$A$20,1),1),1),14)</f>
        <v>8</v>
      </c>
      <c r="O13" s="24" t="n">
        <f aca="false">1/(1+EXP(-(INDEX(Distribution!$L$6:$L$20,N13)+(LN(M13)-INDEX(Distribution!$B$6:$B$20,N13))/(INDEX(Distribution!$B$6:$B$20,N13+1)-INDEX(Distribution!$B$6:$B$20,N13))*(INDEX(Distribution!$L$6:$L$20,N13+1)-INDEX(Distribution!$L$6:$L$20,N13)))))</f>
        <v>0.787289482392208</v>
      </c>
      <c r="P13" s="24" t="n">
        <f aca="false">LN(MIN(MAX(C13,0.0001),0.9999)/(1-MIN(MAX(C13,0.0001),0.9999)))</f>
        <v>-0.0700286043604837</v>
      </c>
      <c r="Q13" s="16" t="n">
        <f aca="false">IF(Analyst_Median&gt;0,A13*Market_Median/Analyst_Median,A13)</f>
        <v>44.1739700554122</v>
      </c>
      <c r="R13" s="26" t="n">
        <f aca="false">MIN(MAX(IFERROR(MATCH(Q13,Distribution!$A$6:$A$20,1),1),1),14)</f>
        <v>4</v>
      </c>
      <c r="S13" s="24" t="n">
        <f aca="false">1/(1+EXP(-(INDEX(Distribution!$P$6:$P$20,R13)+(LN(Q13)-INDEX(Distribution!$B$6:$B$20,R13))/(INDEX(Distribution!$B$6:$B$20,R13+1)-INDEX(Distribution!$B$6:$B$20,R13))*(INDEX(Distribution!$P$6:$P$20,R13+1)-INDEX(Distribution!$P$6:$P$20,R13)))))</f>
        <v>0.747063149271354</v>
      </c>
      <c r="T13" s="24" t="n">
        <f aca="false">W_Mkt*C13+W_Agents*O13</f>
        <v>0.583080529189429</v>
      </c>
      <c r="U13" s="27" t="n">
        <f aca="false">(1-W_Analyst)*T13+W_Analyst*S13</f>
        <v>0.583080529189429</v>
      </c>
      <c r="V13" s="24" t="n">
        <f aca="false">LN(MIN(MAX(U13,0.0001),0.9999)/(1-MIN(MAX(U13,0.0001),0.9999)))</f>
        <v>0.335432218194013</v>
      </c>
      <c r="W13" s="25" t="n">
        <v>0.5967</v>
      </c>
    </row>
    <row r="14" customFormat="false" ht="15" hidden="false" customHeight="false" outlineLevel="0" collapsed="false">
      <c r="A14" s="6" t="n">
        <v>72.34</v>
      </c>
      <c r="B14" s="24" t="n">
        <f aca="false">LN(A14)</f>
        <v>4.28137722652395</v>
      </c>
      <c r="C14" s="25" t="n">
        <v>0.4155</v>
      </c>
      <c r="D14" s="25" t="n">
        <v>0.8029</v>
      </c>
      <c r="E14" s="25" t="n">
        <v>0.7677</v>
      </c>
      <c r="F14" s="25" t="n">
        <v>0.7478</v>
      </c>
      <c r="G14" s="25" t="n">
        <v>0.7575</v>
      </c>
      <c r="H14" s="25" t="n">
        <v>0.7538</v>
      </c>
      <c r="I14" s="24" t="n">
        <f aca="false">AVERAGE(D14:H14)</f>
        <v>0.76594</v>
      </c>
      <c r="J14" s="25" t="n">
        <v>0.7657</v>
      </c>
      <c r="K14" s="24" t="n">
        <f aca="false">IF(AND(Sup_Used=1,ISNUMBER(J14)),J14,I14)</f>
        <v>0.76594</v>
      </c>
      <c r="L14" s="24" t="n">
        <f aca="false">LN(MIN(MAX(K14,0.0001),0.9999)/(1-MIN(MAX(K14,0.0001),0.9999)))</f>
        <v>1.18552634494437</v>
      </c>
      <c r="M14" s="16" t="n">
        <f aca="false">A14*EXP(-Platt_Shift)</f>
        <v>76.1174259769095</v>
      </c>
      <c r="N14" s="26" t="n">
        <f aca="false">MIN(MAX(IFERROR(MATCH(M14,Distribution!$A$6:$A$20,1),1),1),14)</f>
        <v>9</v>
      </c>
      <c r="O14" s="24" t="n">
        <f aca="false">1/(1+EXP(-(INDEX(Distribution!$L$6:$L$20,N14)+(LN(M14)-INDEX(Distribution!$B$6:$B$20,N14))/(INDEX(Distribution!$B$6:$B$20,N14+1)-INDEX(Distribution!$B$6:$B$20,N14))*(INDEX(Distribution!$L$6:$L$20,N14+1)-INDEX(Distribution!$L$6:$L$20,N14)))))</f>
        <v>0.740197201793087</v>
      </c>
      <c r="P14" s="24" t="n">
        <f aca="false">LN(MIN(MAX(C14,0.0001),0.9999)/(1-MIN(MAX(C14,0.0001),0.9999)))</f>
        <v>-0.34127416661662</v>
      </c>
      <c r="Q14" s="16" t="n">
        <f aca="false">IF(Analyst_Median&gt;0,A14*Market_Median/Analyst_Median,A14)</f>
        <v>48.5940540421003</v>
      </c>
      <c r="R14" s="26" t="n">
        <f aca="false">MIN(MAX(IFERROR(MATCH(Q14,Distribution!$A$6:$A$20,1),1),1),14)</f>
        <v>5</v>
      </c>
      <c r="S14" s="24" t="n">
        <f aca="false">1/(1+EXP(-(INDEX(Distribution!$P$6:$P$20,R14)+(LN(Q14)-INDEX(Distribution!$B$6:$B$20,R14))/(INDEX(Distribution!$B$6:$B$20,R14+1)-INDEX(Distribution!$B$6:$B$20,R14))*(INDEX(Distribution!$P$6:$P$20,R14+1)-INDEX(Distribution!$P$6:$P$20,R14)))))</f>
        <v>0.689735845839058</v>
      </c>
      <c r="T14" s="24" t="n">
        <f aca="false">W_Mkt*C14+W_Agents*O14</f>
        <v>0.522650076591719</v>
      </c>
      <c r="U14" s="27" t="n">
        <f aca="false">(1-W_Analyst)*T14+W_Analyst*S14</f>
        <v>0.522650076591719</v>
      </c>
      <c r="V14" s="24" t="n">
        <f aca="false">LN(MIN(MAX(U14,0.0001),0.9999)/(1-MIN(MAX(U14,0.0001),0.9999)))</f>
        <v>0.0906623565315357</v>
      </c>
      <c r="W14" s="25" t="n">
        <v>0.5365</v>
      </c>
    </row>
    <row r="15" customFormat="false" ht="15" hidden="false" customHeight="false" outlineLevel="0" collapsed="false">
      <c r="A15" s="6" t="n">
        <v>78.91</v>
      </c>
      <c r="B15" s="24" t="n">
        <f aca="false">LN(A15)</f>
        <v>4.36830796253294</v>
      </c>
      <c r="C15" s="25" t="n">
        <v>0.3563</v>
      </c>
      <c r="D15" s="25" t="n">
        <v>0.7603</v>
      </c>
      <c r="E15" s="25" t="n">
        <v>0.7215</v>
      </c>
      <c r="F15" s="25" t="n">
        <v>0.704</v>
      </c>
      <c r="G15" s="25" t="n">
        <v>0.7086</v>
      </c>
      <c r="H15" s="25" t="n">
        <v>0.7101</v>
      </c>
      <c r="I15" s="24" t="n">
        <f aca="false">AVERAGE(D15:H15)</f>
        <v>0.7209</v>
      </c>
      <c r="J15" s="25" t="n">
        <v>0.7205</v>
      </c>
      <c r="K15" s="24" t="n">
        <f aca="false">IF(AND(Sup_Used=1,ISNUMBER(J15)),J15,I15)</f>
        <v>0.7209</v>
      </c>
      <c r="L15" s="24" t="n">
        <f aca="false">LN(MIN(MAX(K15,0.0001),0.9999)/(1-MIN(MAX(K15,0.0001),0.9999)))</f>
        <v>0.948930290868256</v>
      </c>
      <c r="M15" s="16" t="n">
        <f aca="false">A15*EXP(-Platt_Shift)</f>
        <v>83.0304960442069</v>
      </c>
      <c r="N15" s="26" t="n">
        <f aca="false">MIN(MAX(IFERROR(MATCH(M15,Distribution!$A$6:$A$20,1),1),1),14)</f>
        <v>10</v>
      </c>
      <c r="O15" s="24" t="n">
        <f aca="false">1/(1+EXP(-(INDEX(Distribution!$L$6:$L$20,N15)+(LN(M15)-INDEX(Distribution!$B$6:$B$20,N15))/(INDEX(Distribution!$B$6:$B$20,N15+1)-INDEX(Distribution!$B$6:$B$20,N15))*(INDEX(Distribution!$L$6:$L$20,N15+1)-INDEX(Distribution!$L$6:$L$20,N15)))))</f>
        <v>0.692382835653108</v>
      </c>
      <c r="P15" s="24" t="n">
        <f aca="false">LN(MIN(MAX(C15,0.0001),0.9999)/(1-MIN(MAX(C15,0.0001),0.9999)))</f>
        <v>-0.59145970644678</v>
      </c>
      <c r="Q15" s="16" t="n">
        <f aca="false">IF(Analyst_Median&gt;0,A15*Market_Median/Analyst_Median,A15)</f>
        <v>53.0074205759212</v>
      </c>
      <c r="R15" s="26" t="n">
        <f aca="false">MIN(MAX(IFERROR(MATCH(Q15,Distribution!$A$6:$A$20,1),1),1),14)</f>
        <v>6</v>
      </c>
      <c r="S15" s="24" t="n">
        <f aca="false">1/(1+EXP(-(INDEX(Distribution!$P$6:$P$20,R15)+(LN(Q15)-INDEX(Distribution!$B$6:$B$20,R15))/(INDEX(Distribution!$B$6:$B$20,R15+1)-INDEX(Distribution!$B$6:$B$20,R15))*(INDEX(Distribution!$P$6:$P$20,R15+1)-INDEX(Distribution!$P$6:$P$20,R15)))))</f>
        <v>0.63300347030237</v>
      </c>
      <c r="T15" s="24" t="n">
        <f aca="false">W_Mkt*C15+W_Agents*O15</f>
        <v>0.467207335765526</v>
      </c>
      <c r="U15" s="27" t="n">
        <f aca="false">(1-W_Analyst)*T15+W_Analyst*S15</f>
        <v>0.467207335765526</v>
      </c>
      <c r="V15" s="24" t="n">
        <f aca="false">LN(MIN(MAX(U15,0.0001),0.9999)/(1-MIN(MAX(U15,0.0001),0.9999)))</f>
        <v>-0.131359217859033</v>
      </c>
      <c r="W15" s="25" t="n">
        <v>0.481</v>
      </c>
    </row>
    <row r="16" customFormat="false" ht="15" hidden="false" customHeight="false" outlineLevel="0" collapsed="false">
      <c r="A16" s="6" t="n">
        <v>88.78</v>
      </c>
      <c r="B16" s="24" t="n">
        <f aca="false">LN(A16)</f>
        <v>4.48616139940589</v>
      </c>
      <c r="C16" s="25" t="n">
        <v>0.2817</v>
      </c>
      <c r="D16" s="25" t="n">
        <v>0.6893</v>
      </c>
      <c r="E16" s="25" t="n">
        <v>0.6509</v>
      </c>
      <c r="F16" s="25" t="n">
        <v>0.6378</v>
      </c>
      <c r="G16" s="25" t="n">
        <v>0.6397</v>
      </c>
      <c r="H16" s="25" t="n">
        <v>0.645</v>
      </c>
      <c r="I16" s="24" t="n">
        <f aca="false">AVERAGE(D16:H16)</f>
        <v>0.65254</v>
      </c>
      <c r="J16" s="25" t="n">
        <v>0.6521</v>
      </c>
      <c r="K16" s="24" t="n">
        <f aca="false">IF(AND(Sup_Used=1,ISNUMBER(J16)),J16,I16)</f>
        <v>0.65254</v>
      </c>
      <c r="L16" s="24" t="n">
        <f aca="false">LN(MIN(MAX(K16,0.0001),0.9999)/(1-MIN(MAX(K16,0.0001),0.9999)))</f>
        <v>0.630222889534155</v>
      </c>
      <c r="M16" s="16" t="n">
        <f aca="false">A16*EXP(-Platt_Shift)</f>
        <v>93.4158844101468</v>
      </c>
      <c r="N16" s="26" t="n">
        <f aca="false">MIN(MAX(IFERROR(MATCH(M16,Distribution!$A$6:$A$20,1),1),1),14)</f>
        <v>11</v>
      </c>
      <c r="O16" s="24" t="n">
        <f aca="false">1/(1+EXP(-(INDEX(Distribution!$L$6:$L$20,N16)+(LN(M16)-INDEX(Distribution!$B$6:$B$20,N16))/(INDEX(Distribution!$B$6:$B$20,N16+1)-INDEX(Distribution!$B$6:$B$20,N16))*(INDEX(Distribution!$L$6:$L$20,N16+1)-INDEX(Distribution!$L$6:$L$20,N16)))))</f>
        <v>0.620691009692109</v>
      </c>
      <c r="P16" s="24" t="n">
        <f aca="false">LN(MIN(MAX(C16,0.0001),0.9999)/(1-MIN(MAX(C16,0.0001),0.9999)))</f>
        <v>-0.936044634198429</v>
      </c>
      <c r="Q16" s="16" t="n">
        <f aca="false">IF(Analyst_Median&gt;0,A16*Market_Median/Analyst_Median,A16)</f>
        <v>59.6375465559534</v>
      </c>
      <c r="R16" s="26" t="n">
        <f aca="false">MIN(MAX(IFERROR(MATCH(Q16,Distribution!$A$6:$A$20,1),1),1),14)</f>
        <v>7</v>
      </c>
      <c r="S16" s="24" t="n">
        <f aca="false">1/(1+EXP(-(INDEX(Distribution!$P$6:$P$20,R16)+(LN(Q16)-INDEX(Distribution!$B$6:$B$20,R16))/(INDEX(Distribution!$B$6:$B$20,R16+1)-INDEX(Distribution!$B$6:$B$20,R16))*(INDEX(Distribution!$P$6:$P$20,R16+1)-INDEX(Distribution!$P$6:$P$20,R16)))))</f>
        <v>0.551696326531312</v>
      </c>
      <c r="T16" s="24" t="n">
        <f aca="false">W_Mkt*C16+W_Agents*O16</f>
        <v>0.393567033198396</v>
      </c>
      <c r="U16" s="27" t="n">
        <f aca="false">(1-W_Analyst)*T16+W_Analyst*S16</f>
        <v>0.393567033198396</v>
      </c>
      <c r="V16" s="24" t="n">
        <f aca="false">LN(MIN(MAX(U16,0.0001),0.9999)/(1-MIN(MAX(U16,0.0001),0.9999)))</f>
        <v>-0.432342793076443</v>
      </c>
      <c r="W16" s="25" t="n">
        <v>0.4069</v>
      </c>
    </row>
    <row r="17" customFormat="false" ht="15" hidden="false" customHeight="false" outlineLevel="0" collapsed="false">
      <c r="A17" s="6" t="n">
        <v>98.64</v>
      </c>
      <c r="B17" s="24" t="n">
        <f aca="false">LN(A17)</f>
        <v>4.59147685885609</v>
      </c>
      <c r="C17" s="25" t="n">
        <v>0.2221</v>
      </c>
      <c r="D17" s="25" t="n">
        <v>0.6104</v>
      </c>
      <c r="E17" s="25" t="n">
        <v>0.5819</v>
      </c>
      <c r="F17" s="25" t="n">
        <v>0.573</v>
      </c>
      <c r="G17" s="25" t="n">
        <v>0.5791</v>
      </c>
      <c r="H17" s="25" t="n">
        <v>0.5829</v>
      </c>
      <c r="I17" s="24" t="n">
        <f aca="false">AVERAGE(D17:H17)</f>
        <v>0.58546</v>
      </c>
      <c r="J17" s="25" t="n">
        <v>0.5851</v>
      </c>
      <c r="K17" s="24" t="n">
        <f aca="false">IF(AND(Sup_Used=1,ISNUMBER(J17)),J17,I17)</f>
        <v>0.58546</v>
      </c>
      <c r="L17" s="24" t="n">
        <f aca="false">LN(MIN(MAX(K17,0.0001),0.9999)/(1-MIN(MAX(K17,0.0001),0.9999)))</f>
        <v>0.345228391298056</v>
      </c>
      <c r="M17" s="16" t="n">
        <f aca="false">A17*EXP(-Platt_Shift)</f>
        <v>103.790750599424</v>
      </c>
      <c r="N17" s="26" t="n">
        <f aca="false">MIN(MAX(IFERROR(MATCH(M17,Distribution!$A$6:$A$20,1),1),1),14)</f>
        <v>12</v>
      </c>
      <c r="O17" s="24" t="n">
        <f aca="false">1/(1+EXP(-(INDEX(Distribution!$L$6:$L$20,N17)+(LN(M17)-INDEX(Distribution!$B$6:$B$20,N17))/(INDEX(Distribution!$B$6:$B$20,N17+1)-INDEX(Distribution!$B$6:$B$20,N17))*(INDEX(Distribution!$L$6:$L$20,N17+1)-INDEX(Distribution!$L$6:$L$20,N17)))))</f>
        <v>0.551036218602942</v>
      </c>
      <c r="P17" s="24" t="n">
        <f aca="false">LN(MIN(MAX(C17,0.0001),0.9999)/(1-MIN(MAX(C17,0.0001),0.9999)))</f>
        <v>-1.25347025031235</v>
      </c>
      <c r="Q17" s="16" t="n">
        <f aca="false">IF(Analyst_Median&gt;0,A17*Market_Median/Analyst_Median,A17)</f>
        <v>66.2609550831183</v>
      </c>
      <c r="R17" s="26" t="n">
        <f aca="false">MIN(MAX(IFERROR(MATCH(Q17,Distribution!$A$6:$A$20,1),1),1),14)</f>
        <v>8</v>
      </c>
      <c r="S17" s="24" t="n">
        <f aca="false">1/(1+EXP(-(INDEX(Distribution!$P$6:$P$20,R17)+(LN(Q17)-INDEX(Distribution!$B$6:$B$20,R17))/(INDEX(Distribution!$B$6:$B$20,R17+1)-INDEX(Distribution!$B$6:$B$20,R17))*(INDEX(Distribution!$P$6:$P$20,R17+1)-INDEX(Distribution!$P$6:$P$20,R17)))))</f>
        <v>0.477112512763696</v>
      </c>
      <c r="T17" s="24" t="n">
        <f aca="false">W_Mkt*C17+W_Agents*O17</f>
        <v>0.330648952138971</v>
      </c>
      <c r="U17" s="27" t="n">
        <f aca="false">(1-W_Analyst)*T17+W_Analyst*S17</f>
        <v>0.330648952138971</v>
      </c>
      <c r="V17" s="24" t="n">
        <f aca="false">LN(MIN(MAX(U17,0.0001),0.9999)/(1-MIN(MAX(U17,0.0001),0.9999)))</f>
        <v>-0.705251412699773</v>
      </c>
      <c r="W17" s="25" t="n">
        <v>0.3432</v>
      </c>
    </row>
    <row r="18" customFormat="false" ht="15" hidden="false" customHeight="false" outlineLevel="0" collapsed="false">
      <c r="A18" s="6" t="n">
        <v>115.08</v>
      </c>
      <c r="B18" s="24" t="n">
        <f aca="false">LN(A18)</f>
        <v>4.74562753868335</v>
      </c>
      <c r="C18" s="25" t="n">
        <v>0.1493</v>
      </c>
      <c r="D18" s="25" t="n">
        <v>0.474</v>
      </c>
      <c r="E18" s="25" t="n">
        <v>0.4759</v>
      </c>
      <c r="F18" s="25" t="n">
        <v>0.4757</v>
      </c>
      <c r="G18" s="25" t="n">
        <v>0.4858</v>
      </c>
      <c r="H18" s="25" t="n">
        <v>0.4888</v>
      </c>
      <c r="I18" s="24" t="n">
        <f aca="false">AVERAGE(D18:H18)</f>
        <v>0.48004</v>
      </c>
      <c r="J18" s="25" t="n">
        <v>0.4799</v>
      </c>
      <c r="K18" s="24" t="n">
        <f aca="false">IF(AND(Sup_Used=1,ISNUMBER(J18)),J18,I18)</f>
        <v>0.48004</v>
      </c>
      <c r="L18" s="24" t="n">
        <f aca="false">LN(MIN(MAX(K18,0.0001),0.9999)/(1-MIN(MAX(K18,0.0001),0.9999)))</f>
        <v>-0.0798824517765777</v>
      </c>
      <c r="M18" s="16" t="n">
        <f aca="false">A18*EXP(-Platt_Shift)</f>
        <v>121.089209032662</v>
      </c>
      <c r="N18" s="26" t="n">
        <f aca="false">MIN(MAX(IFERROR(MATCH(M18,Distribution!$A$6:$A$20,1),1),1),14)</f>
        <v>13</v>
      </c>
      <c r="O18" s="24" t="n">
        <f aca="false">1/(1+EXP(-(INDEX(Distribution!$L$6:$L$20,N18)+(LN(M18)-INDEX(Distribution!$B$6:$B$20,N18))/(INDEX(Distribution!$B$6:$B$20,N18+1)-INDEX(Distribution!$B$6:$B$20,N18))*(INDEX(Distribution!$L$6:$L$20,N18+1)-INDEX(Distribution!$L$6:$L$20,N18)))))</f>
        <v>0.444300567338111</v>
      </c>
      <c r="P18" s="24" t="n">
        <f aca="false">LN(MIN(MAX(C18,0.0001),0.9999)/(1-MIN(MAX(C18,0.0001),0.9999)))</f>
        <v>-1.74010183543669</v>
      </c>
      <c r="Q18" s="16" t="n">
        <f aca="false">IF(Analyst_Median&gt;0,A18*Market_Median/Analyst_Median,A18)</f>
        <v>77.3044475969713</v>
      </c>
      <c r="R18" s="26" t="n">
        <f aca="false">MIN(MAX(IFERROR(MATCH(Q18,Distribution!$A$6:$A$20,1),1),1),14)</f>
        <v>9</v>
      </c>
      <c r="S18" s="24" t="n">
        <f aca="false">1/(1+EXP(-(INDEX(Distribution!$P$6:$P$20,R18)+(LN(Q18)-INDEX(Distribution!$B$6:$B$20,R18))/(INDEX(Distribution!$B$6:$B$20,R18+1)-INDEX(Distribution!$B$6:$B$20,R18))*(INDEX(Distribution!$P$6:$P$20,R18+1)-INDEX(Distribution!$P$6:$P$20,R18)))))</f>
        <v>0.369980971915743</v>
      </c>
      <c r="T18" s="24" t="n">
        <f aca="false">W_Mkt*C18+W_Agents*O18</f>
        <v>0.246650187221577</v>
      </c>
      <c r="U18" s="27" t="n">
        <f aca="false">(1-W_Analyst)*T18+W_Analyst*S18</f>
        <v>0.246650187221577</v>
      </c>
      <c r="V18" s="24" t="n">
        <f aca="false">LN(MIN(MAX(U18,0.0001),0.9999)/(1-MIN(MAX(U18,0.0001),0.9999)))</f>
        <v>-1.11655859199141</v>
      </c>
      <c r="W18" s="25" t="n">
        <v>0.2576</v>
      </c>
    </row>
    <row r="19" customFormat="false" ht="15" hidden="false" customHeight="false" outlineLevel="0" collapsed="false">
      <c r="A19" s="6" t="n">
        <v>131.52</v>
      </c>
      <c r="B19" s="24" t="n">
        <f aca="false">LN(A19)</f>
        <v>4.87915893130787</v>
      </c>
      <c r="C19" s="25" t="n">
        <v>0.1008</v>
      </c>
      <c r="D19" s="25" t="n">
        <v>0.3551</v>
      </c>
      <c r="E19" s="25" t="n">
        <v>0.3854</v>
      </c>
      <c r="F19" s="25" t="n">
        <v>0.3922</v>
      </c>
      <c r="G19" s="25" t="n">
        <v>0.3974</v>
      </c>
      <c r="H19" s="25" t="n">
        <v>0.4081</v>
      </c>
      <c r="I19" s="24" t="n">
        <f aca="false">AVERAGE(D19:H19)</f>
        <v>0.38764</v>
      </c>
      <c r="J19" s="25" t="n">
        <v>0.3875</v>
      </c>
      <c r="K19" s="24" t="n">
        <f aca="false">IF(AND(Sup_Used=1,ISNUMBER(J19)),J19,I19)</f>
        <v>0.38764</v>
      </c>
      <c r="L19" s="24" t="n">
        <f aca="false">LN(MIN(MAX(K19,0.0001),0.9999)/(1-MIN(MAX(K19,0.0001),0.9999)))</f>
        <v>-0.457243270997531</v>
      </c>
      <c r="M19" s="16" t="n">
        <f aca="false">A19*EXP(-Platt_Shift)</f>
        <v>138.387667465899</v>
      </c>
      <c r="N19" s="26" t="n">
        <f aca="false">MIN(MAX(IFERROR(MATCH(M19,Distribution!$A$6:$A$20,1),1),1),14)</f>
        <v>14</v>
      </c>
      <c r="O19" s="24" t="n">
        <f aca="false">1/(1+EXP(-(INDEX(Distribution!$L$6:$L$20,N19)+(LN(M19)-INDEX(Distribution!$B$6:$B$20,N19))/(INDEX(Distribution!$B$6:$B$20,N19+1)-INDEX(Distribution!$B$6:$B$20,N19))*(INDEX(Distribution!$L$6:$L$20,N19+1)-INDEX(Distribution!$L$6:$L$20,N19)))))</f>
        <v>0.354805980349523</v>
      </c>
      <c r="P19" s="24" t="n">
        <f aca="false">LN(MIN(MAX(C19,0.0001),0.9999)/(1-MIN(MAX(C19,0.0001),0.9999)))</f>
        <v>-2.18836712350216</v>
      </c>
      <c r="Q19" s="16" t="n">
        <f aca="false">IF(Analyst_Median&gt;0,A19*Market_Median/Analyst_Median,A19)</f>
        <v>88.3479401108244</v>
      </c>
      <c r="R19" s="26" t="n">
        <f aca="false">MIN(MAX(IFERROR(MATCH(Q19,Distribution!$A$6:$A$20,1),1),1),14)</f>
        <v>10</v>
      </c>
      <c r="S19" s="24" t="n">
        <f aca="false">1/(1+EXP(-(INDEX(Distribution!$P$6:$P$20,R19)+(LN(Q19)-INDEX(Distribution!$B$6:$B$20,R19))/(INDEX(Distribution!$B$6:$B$20,R19+1)-INDEX(Distribution!$B$6:$B$20,R19))*(INDEX(Distribution!$P$6:$P$20,R19+1)-INDEX(Distribution!$P$6:$P$20,R19)))))</f>
        <v>0.284595219651971</v>
      </c>
      <c r="T19" s="24" t="n">
        <f aca="false">W_Mkt*C19+W_Agents*O19</f>
        <v>0.184621973515342</v>
      </c>
      <c r="U19" s="27" t="n">
        <f aca="false">(1-W_Analyst)*T19+W_Analyst*S19</f>
        <v>0.184621973515342</v>
      </c>
      <c r="V19" s="24" t="n">
        <f aca="false">LN(MIN(MAX(U19,0.0001),0.9999)/(1-MIN(MAX(U19,0.0001),0.9999)))</f>
        <v>-1.48534149376721</v>
      </c>
      <c r="W19" s="25" t="n">
        <v>0.1938</v>
      </c>
    </row>
    <row r="20" customFormat="false" ht="15" hidden="false" customHeight="false" outlineLevel="0" collapsed="false">
      <c r="A20" s="6" t="n">
        <v>164.4</v>
      </c>
      <c r="B20" s="24" t="n">
        <f aca="false">LN(A20)</f>
        <v>5.10230248262208</v>
      </c>
      <c r="C20" s="25" t="n">
        <v>0.0471</v>
      </c>
      <c r="D20" s="25" t="n">
        <v>0.2024</v>
      </c>
      <c r="E20" s="25" t="n">
        <v>0.2498</v>
      </c>
      <c r="F20" s="25" t="n">
        <v>0.2718</v>
      </c>
      <c r="G20" s="25" t="n">
        <v>0.2668</v>
      </c>
      <c r="H20" s="25" t="n">
        <v>0.2822</v>
      </c>
      <c r="I20" s="24" t="n">
        <f aca="false">AVERAGE(D20:H20)</f>
        <v>0.2546</v>
      </c>
      <c r="J20" s="25" t="n">
        <v>0.255</v>
      </c>
      <c r="K20" s="24" t="n">
        <f aca="false">IF(AND(Sup_Used=1,ISNUMBER(J20)),J20,I20)</f>
        <v>0.2546</v>
      </c>
      <c r="L20" s="24" t="n">
        <f aca="false">LN(MIN(MAX(K20,0.0001),0.9999)/(1-MIN(MAX(K20,0.0001),0.9999)))</f>
        <v>-1.07422730092185</v>
      </c>
      <c r="M20" s="16" t="n">
        <f aca="false">A20*EXP(-Platt_Shift)</f>
        <v>172.984584332374</v>
      </c>
      <c r="N20" s="26" t="n">
        <f aca="false">MIN(MAX(IFERROR(MATCH(M20,Distribution!$A$6:$A$20,1),1),1),14)</f>
        <v>14</v>
      </c>
      <c r="O20" s="24" t="n">
        <f aca="false">1/(1+EXP(-(INDEX(Distribution!$L$6:$L$20,N20)+(LN(M20)-INDEX(Distribution!$B$6:$B$20,N20))/(INDEX(Distribution!$B$6:$B$20,N20+1)-INDEX(Distribution!$B$6:$B$20,N20))*(INDEX(Distribution!$L$6:$L$20,N20+1)-INDEX(Distribution!$L$6:$L$20,N20)))))</f>
        <v>0.228823906839308</v>
      </c>
      <c r="P20" s="24" t="n">
        <f aca="false">LN(MIN(MAX(C20,0.0001),0.9999)/(1-MIN(MAX(C20,0.0001),0.9999)))</f>
        <v>-3.00723696533177</v>
      </c>
      <c r="Q20" s="16" t="n">
        <f aca="false">IF(Analyst_Median&gt;0,A20*Market_Median/Analyst_Median,A20)</f>
        <v>110.43492513853</v>
      </c>
      <c r="R20" s="26" t="n">
        <f aca="false">MIN(MAX(IFERROR(MATCH(Q20,Distribution!$A$6:$A$20,1),1),1),14)</f>
        <v>12</v>
      </c>
      <c r="S20" s="24" t="n">
        <f aca="false">1/(1+EXP(-(INDEX(Distribution!$P$6:$P$20,R20)+(LN(Q20)-INDEX(Distribution!$B$6:$B$20,R20))/(INDEX(Distribution!$B$6:$B$20,R20+1)-INDEX(Distribution!$B$6:$B$20,R20))*(INDEX(Distribution!$P$6:$P$20,R20+1)-INDEX(Distribution!$P$6:$P$20,R20)))))</f>
        <v>0.166583634946428</v>
      </c>
      <c r="T20" s="24" t="n">
        <f aca="false">W_Mkt*C20+W_Agents*O20</f>
        <v>0.107068889256972</v>
      </c>
      <c r="U20" s="27" t="n">
        <f aca="false">(1-W_Analyst)*T20+W_Analyst*S20</f>
        <v>0.107068889256972</v>
      </c>
      <c r="V20" s="24" t="n">
        <f aca="false">LN(MIN(MAX(U20,0.0001),0.9999)/(1-MIN(MAX(U20,0.0001),0.9999)))</f>
        <v>-2.12103698214883</v>
      </c>
      <c r="W20" s="25" t="n">
        <v>0.1131</v>
      </c>
    </row>
    <row r="22" customFormat="false" ht="15" hidden="false" customHeight="false" outlineLevel="0" collapsed="false">
      <c r="A22" s="2"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3"/>
    <col collapsed="false" customWidth="true" hidden="false" outlineLevel="0" max="4" min="4" style="0" width="9"/>
    <col collapsed="false" customWidth="true" hidden="false" outlineLevel="0" max="5" min="5" style="0" width="13"/>
    <col collapsed="false" customWidth="true" hidden="false" outlineLevel="0" max="6" min="6" style="0" width="44"/>
    <col collapsed="false" customWidth="true" hidden="false" outlineLevel="0" max="7" min="7" style="0" width="90"/>
  </cols>
  <sheetData>
    <row r="1" customFormat="false" ht="17.35" hidden="false" customHeight="false" outlineLevel="0" collapsed="false">
      <c r="A1" s="1" t="s">
        <v>103</v>
      </c>
    </row>
    <row r="2" customFormat="false" ht="15" hidden="false" customHeight="false" outlineLevel="0" collapsed="false">
      <c r="A2" s="2" t="s">
        <v>104</v>
      </c>
    </row>
    <row r="4" customFormat="false" ht="23.85" hidden="false" customHeight="false" outlineLevel="0" collapsed="false">
      <c r="A4" s="23" t="s">
        <v>105</v>
      </c>
      <c r="B4" s="23" t="s">
        <v>106</v>
      </c>
      <c r="C4" s="23" t="s">
        <v>107</v>
      </c>
      <c r="D4" s="23" t="s">
        <v>108</v>
      </c>
      <c r="E4" s="23" t="s">
        <v>109</v>
      </c>
      <c r="F4" s="23" t="s">
        <v>110</v>
      </c>
      <c r="G4" s="23" t="s">
        <v>111</v>
      </c>
    </row>
    <row r="5" customFormat="false" ht="15" hidden="false" customHeight="false" outlineLevel="0" collapsed="false">
      <c r="A5" s="5" t="s">
        <v>29</v>
      </c>
      <c r="B5" s="28" t="s">
        <v>112</v>
      </c>
      <c r="C5" s="6" t="n">
        <v>94</v>
      </c>
      <c r="D5" s="12" t="n">
        <v>0.4</v>
      </c>
      <c r="E5" s="16" t="n">
        <f aca="false">C5*D5</f>
        <v>37.6</v>
      </c>
      <c r="F5" s="28"/>
      <c r="G5" s="28" t="s">
        <v>113</v>
      </c>
    </row>
    <row r="6" customFormat="false" ht="15" hidden="false" customHeight="false" outlineLevel="0" collapsed="false">
      <c r="A6" s="5" t="s">
        <v>29</v>
      </c>
      <c r="B6" s="28" t="s">
        <v>114</v>
      </c>
      <c r="C6" s="6" t="n">
        <v>99</v>
      </c>
      <c r="D6" s="12" t="n">
        <v>0.3</v>
      </c>
      <c r="E6" s="16" t="n">
        <f aca="false">C6*D6</f>
        <v>29.7</v>
      </c>
      <c r="F6" s="28"/>
      <c r="G6" s="28" t="s">
        <v>115</v>
      </c>
    </row>
    <row r="7" customFormat="false" ht="23.85" hidden="false" customHeight="false" outlineLevel="0" collapsed="false">
      <c r="A7" s="5" t="s">
        <v>29</v>
      </c>
      <c r="B7" s="28" t="s">
        <v>116</v>
      </c>
      <c r="C7" s="6" t="n">
        <v>110</v>
      </c>
      <c r="D7" s="12" t="n">
        <v>0.3</v>
      </c>
      <c r="E7" s="16" t="n">
        <f aca="false">C7*D7</f>
        <v>33</v>
      </c>
      <c r="F7" s="28"/>
      <c r="G7" s="28" t="s">
        <v>117</v>
      </c>
    </row>
    <row r="8" customFormat="false" ht="57.45" hidden="false" customHeight="false" outlineLevel="0" collapsed="false">
      <c r="A8" s="29" t="s">
        <v>29</v>
      </c>
      <c r="B8" s="29" t="s">
        <v>118</v>
      </c>
      <c r="C8" s="30" t="n">
        <f aca="false">IF(SUM(D5:D7)&gt;0,SUMPRODUCT(C5:C7,D5:D7)/SUM(D5:D7),"")</f>
        <v>100.3</v>
      </c>
      <c r="D8" s="31" t="n">
        <f aca="false">SUM(D5:D7)</f>
        <v>1</v>
      </c>
      <c r="E8" s="32" t="n">
        <v>100</v>
      </c>
      <c r="F8" s="29" t="s">
        <v>119</v>
      </c>
      <c r="G8" s="33" t="s">
        <v>120</v>
      </c>
    </row>
    <row r="10" customFormat="false" ht="15" hidden="false" customHeight="false" outlineLevel="0" collapsed="false">
      <c r="A10" s="5" t="s">
        <v>30</v>
      </c>
      <c r="B10" s="28" t="s">
        <v>112</v>
      </c>
      <c r="C10" s="6" t="n">
        <v>98</v>
      </c>
      <c r="D10" s="12" t="n">
        <v>0.5</v>
      </c>
      <c r="E10" s="16" t="n">
        <f aca="false">C10*D10</f>
        <v>49</v>
      </c>
      <c r="F10" s="28"/>
      <c r="G10" s="28" t="s">
        <v>121</v>
      </c>
    </row>
    <row r="11" customFormat="false" ht="23.85" hidden="false" customHeight="false" outlineLevel="0" collapsed="false">
      <c r="A11" s="5" t="s">
        <v>30</v>
      </c>
      <c r="B11" s="28" t="s">
        <v>116</v>
      </c>
      <c r="C11" s="6" t="n">
        <v>93</v>
      </c>
      <c r="D11" s="12" t="n">
        <v>0.5</v>
      </c>
      <c r="E11" s="16" t="n">
        <f aca="false">C11*D11</f>
        <v>46.5</v>
      </c>
      <c r="F11" s="28"/>
      <c r="G11" s="28" t="s">
        <v>122</v>
      </c>
    </row>
    <row r="12" customFormat="false" ht="46.25" hidden="false" customHeight="false" outlineLevel="0" collapsed="false">
      <c r="A12" s="29" t="s">
        <v>30</v>
      </c>
      <c r="B12" s="29" t="s">
        <v>118</v>
      </c>
      <c r="C12" s="30" t="n">
        <f aca="false">IF(SUM(D10:D11)&gt;0,SUMPRODUCT(C10:C11,D10:D11)/SUM(D10:D11),"")</f>
        <v>95.5</v>
      </c>
      <c r="D12" s="31" t="n">
        <f aca="false">SUM(D10:D11)</f>
        <v>1</v>
      </c>
      <c r="E12" s="32" t="n">
        <v>96</v>
      </c>
      <c r="F12" s="29" t="s">
        <v>119</v>
      </c>
      <c r="G12" s="33" t="s">
        <v>123</v>
      </c>
    </row>
    <row r="14" customFormat="false" ht="15" hidden="false" customHeight="false" outlineLevel="0" collapsed="false">
      <c r="A14" s="5" t="s">
        <v>31</v>
      </c>
      <c r="B14" s="28" t="s">
        <v>112</v>
      </c>
      <c r="C14" s="6" t="n">
        <v>89</v>
      </c>
      <c r="D14" s="12" t="n">
        <v>0.4</v>
      </c>
      <c r="E14" s="16" t="n">
        <f aca="false">C14*D14</f>
        <v>35.6</v>
      </c>
      <c r="F14" s="28"/>
      <c r="G14" s="28" t="s">
        <v>124</v>
      </c>
    </row>
    <row r="15" customFormat="false" ht="35.05" hidden="false" customHeight="false" outlineLevel="0" collapsed="false">
      <c r="A15" s="5" t="s">
        <v>31</v>
      </c>
      <c r="B15" s="28" t="s">
        <v>116</v>
      </c>
      <c r="C15" s="6" t="n">
        <v>100</v>
      </c>
      <c r="D15" s="12" t="n">
        <v>0.35</v>
      </c>
      <c r="E15" s="16" t="n">
        <f aca="false">C15*D15</f>
        <v>35</v>
      </c>
      <c r="F15" s="28"/>
      <c r="G15" s="28" t="s">
        <v>125</v>
      </c>
    </row>
    <row r="16" customFormat="false" ht="23.85" hidden="false" customHeight="false" outlineLevel="0" collapsed="false">
      <c r="A16" s="5" t="s">
        <v>31</v>
      </c>
      <c r="B16" s="28" t="s">
        <v>114</v>
      </c>
      <c r="C16" s="6" t="n">
        <v>91</v>
      </c>
      <c r="D16" s="12" t="n">
        <v>0.25</v>
      </c>
      <c r="E16" s="16" t="n">
        <f aca="false">C16*D16</f>
        <v>22.75</v>
      </c>
      <c r="F16" s="28"/>
      <c r="G16" s="28" t="s">
        <v>126</v>
      </c>
    </row>
    <row r="17" customFormat="false" ht="35.05" hidden="false" customHeight="false" outlineLevel="0" collapsed="false">
      <c r="A17" s="29" t="s">
        <v>31</v>
      </c>
      <c r="B17" s="29" t="s">
        <v>118</v>
      </c>
      <c r="C17" s="30" t="n">
        <f aca="false">IF(SUM(D14:D16)&gt;0,SUMPRODUCT(C14:C16,D14:D16)/SUM(D14:D16),"")</f>
        <v>93.35</v>
      </c>
      <c r="D17" s="31" t="n">
        <f aca="false">SUM(D14:D16)</f>
        <v>1</v>
      </c>
      <c r="E17" s="32" t="n">
        <v>94</v>
      </c>
      <c r="F17" s="29" t="s">
        <v>119</v>
      </c>
      <c r="G17" s="33" t="s">
        <v>127</v>
      </c>
    </row>
    <row r="19" customFormat="false" ht="15" hidden="false" customHeight="false" outlineLevel="0" collapsed="false">
      <c r="A19" s="5" t="s">
        <v>32</v>
      </c>
      <c r="B19" s="28" t="s">
        <v>112</v>
      </c>
      <c r="C19" s="6" t="n">
        <v>96</v>
      </c>
      <c r="D19" s="12" t="n">
        <v>0.5</v>
      </c>
      <c r="E19" s="16" t="n">
        <f aca="false">C19*D19</f>
        <v>48</v>
      </c>
      <c r="F19" s="28"/>
      <c r="G19" s="28" t="s">
        <v>128</v>
      </c>
    </row>
    <row r="20" customFormat="false" ht="35.05" hidden="false" customHeight="false" outlineLevel="0" collapsed="false">
      <c r="A20" s="5" t="s">
        <v>32</v>
      </c>
      <c r="B20" s="28" t="s">
        <v>116</v>
      </c>
      <c r="C20" s="6" t="n">
        <v>91</v>
      </c>
      <c r="D20" s="12" t="n">
        <v>0.5</v>
      </c>
      <c r="E20" s="16" t="n">
        <f aca="false">C20*D20</f>
        <v>45.5</v>
      </c>
      <c r="F20" s="28"/>
      <c r="G20" s="28" t="s">
        <v>129</v>
      </c>
    </row>
    <row r="21" customFormat="false" ht="46.25" hidden="false" customHeight="false" outlineLevel="0" collapsed="false">
      <c r="A21" s="29" t="s">
        <v>32</v>
      </c>
      <c r="B21" s="29" t="s">
        <v>118</v>
      </c>
      <c r="C21" s="30" t="n">
        <f aca="false">IF(SUM(D19:D20)&gt;0,SUMPRODUCT(C19:C20,D19:D20)/SUM(D19:D20),"")</f>
        <v>93.5</v>
      </c>
      <c r="D21" s="31" t="n">
        <f aca="false">SUM(D19:D20)</f>
        <v>1</v>
      </c>
      <c r="E21" s="32" t="n">
        <v>94</v>
      </c>
      <c r="F21" s="29" t="s">
        <v>119</v>
      </c>
      <c r="G21" s="33" t="s">
        <v>130</v>
      </c>
    </row>
    <row r="23" customFormat="false" ht="23.85" hidden="false" customHeight="false" outlineLevel="0" collapsed="false">
      <c r="A23" s="5" t="s">
        <v>33</v>
      </c>
      <c r="B23" s="28" t="s">
        <v>112</v>
      </c>
      <c r="C23" s="6" t="n">
        <v>93.6</v>
      </c>
      <c r="D23" s="12" t="n">
        <v>0.6</v>
      </c>
      <c r="E23" s="16" t="n">
        <f aca="false">C23*D23</f>
        <v>56.16</v>
      </c>
      <c r="F23" s="28"/>
      <c r="G23" s="28" t="s">
        <v>131</v>
      </c>
    </row>
    <row r="24" customFormat="false" ht="23.85" hidden="false" customHeight="false" outlineLevel="0" collapsed="false">
      <c r="A24" s="5" t="s">
        <v>33</v>
      </c>
      <c r="B24" s="28" t="s">
        <v>114</v>
      </c>
      <c r="C24" s="6" t="n">
        <v>100.7</v>
      </c>
      <c r="D24" s="12" t="n">
        <v>0.4</v>
      </c>
      <c r="E24" s="16" t="n">
        <f aca="false">C24*D24</f>
        <v>40.28</v>
      </c>
      <c r="F24" s="28"/>
      <c r="G24" s="28" t="s">
        <v>132</v>
      </c>
    </row>
    <row r="25" customFormat="false" ht="35.05" hidden="false" customHeight="false" outlineLevel="0" collapsed="false">
      <c r="A25" s="29" t="s">
        <v>33</v>
      </c>
      <c r="B25" s="29" t="s">
        <v>118</v>
      </c>
      <c r="C25" s="30" t="n">
        <f aca="false">IF(SUM(D23:D24)&gt;0,SUMPRODUCT(C23:C24,D23:D24)/SUM(D23:D24),"")</f>
        <v>96.44</v>
      </c>
      <c r="D25" s="31" t="n">
        <f aca="false">SUM(D23:D24)</f>
        <v>1</v>
      </c>
      <c r="E25" s="32" t="n">
        <v>96</v>
      </c>
      <c r="F25" s="29" t="s">
        <v>119</v>
      </c>
      <c r="G25" s="33"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3"/>
    <col collapsed="false" customWidth="true" hidden="false" outlineLevel="0" max="7" min="5" style="0" width="50"/>
  </cols>
  <sheetData>
    <row r="1" customFormat="false" ht="17.35" hidden="false" customHeight="false" outlineLevel="0" collapsed="false">
      <c r="A1" s="1" t="s">
        <v>134</v>
      </c>
    </row>
    <row r="2" customFormat="false" ht="15" hidden="false" customHeight="false" outlineLevel="0" collapsed="false">
      <c r="A2" s="2" t="s">
        <v>135</v>
      </c>
    </row>
    <row r="4" customFormat="false" ht="23.85" hidden="false" customHeight="false" outlineLevel="0" collapsed="false">
      <c r="A4" s="23" t="s">
        <v>105</v>
      </c>
      <c r="B4" s="23" t="s">
        <v>136</v>
      </c>
      <c r="C4" s="23" t="s">
        <v>137</v>
      </c>
      <c r="D4" s="23" t="s">
        <v>138</v>
      </c>
      <c r="E4" s="23" t="s">
        <v>139</v>
      </c>
      <c r="F4" s="23" t="s">
        <v>140</v>
      </c>
      <c r="G4" s="23" t="s">
        <v>141</v>
      </c>
    </row>
    <row r="5" customFormat="false" ht="68.65" hidden="false" customHeight="false" outlineLevel="0" collapsed="false">
      <c r="A5" s="5" t="s">
        <v>29</v>
      </c>
      <c r="B5" s="6" t="n">
        <v>66</v>
      </c>
      <c r="C5" s="6" t="n">
        <v>115</v>
      </c>
      <c r="D5" s="6" t="n">
        <v>190</v>
      </c>
      <c r="E5" s="28" t="s">
        <v>142</v>
      </c>
      <c r="F5" s="28" t="s">
        <v>143</v>
      </c>
      <c r="G5" s="28" t="s">
        <v>144</v>
      </c>
    </row>
    <row r="6" customFormat="false" ht="79.85" hidden="false" customHeight="false" outlineLevel="0" collapsed="false">
      <c r="A6" s="5" t="s">
        <v>30</v>
      </c>
      <c r="B6" s="6" t="n">
        <v>62</v>
      </c>
      <c r="C6" s="6" t="n">
        <v>110</v>
      </c>
      <c r="D6" s="6" t="n">
        <v>180</v>
      </c>
      <c r="E6" s="28" t="s">
        <v>145</v>
      </c>
      <c r="F6" s="28" t="s">
        <v>146</v>
      </c>
      <c r="G6" s="28" t="s">
        <v>147</v>
      </c>
    </row>
    <row r="7" customFormat="false" ht="113.4" hidden="false" customHeight="false" outlineLevel="0" collapsed="false">
      <c r="A7" s="5" t="s">
        <v>31</v>
      </c>
      <c r="B7" s="6" t="n">
        <v>65</v>
      </c>
      <c r="C7" s="6" t="n">
        <v>112</v>
      </c>
      <c r="D7" s="6" t="n">
        <v>175</v>
      </c>
      <c r="E7" s="28" t="s">
        <v>148</v>
      </c>
      <c r="F7" s="28" t="s">
        <v>149</v>
      </c>
      <c r="G7" s="28" t="s">
        <v>150</v>
      </c>
    </row>
    <row r="8" customFormat="false" ht="57.45" hidden="false" customHeight="false" outlineLevel="0" collapsed="false">
      <c r="A8" s="5" t="s">
        <v>32</v>
      </c>
      <c r="B8" s="6" t="n">
        <v>65</v>
      </c>
      <c r="C8" s="6" t="n">
        <v>115</v>
      </c>
      <c r="D8" s="6" t="n">
        <v>190</v>
      </c>
      <c r="E8" s="28" t="s">
        <v>151</v>
      </c>
      <c r="F8" s="28" t="s">
        <v>152</v>
      </c>
      <c r="G8" s="28" t="s">
        <v>153</v>
      </c>
    </row>
    <row r="9" customFormat="false" ht="113.4" hidden="false" customHeight="false" outlineLevel="0" collapsed="false">
      <c r="A9" s="5" t="s">
        <v>33</v>
      </c>
      <c r="B9" s="6" t="n">
        <v>60</v>
      </c>
      <c r="C9" s="6" t="n">
        <v>110</v>
      </c>
      <c r="D9" s="6" t="n">
        <v>185</v>
      </c>
      <c r="E9" s="28" t="s">
        <v>154</v>
      </c>
      <c r="F9" s="28" t="s">
        <v>155</v>
      </c>
      <c r="G9" s="28" t="s">
        <v>156</v>
      </c>
    </row>
    <row r="10" customFormat="false" ht="15" hidden="false" customHeight="false" outlineLevel="0" collapsed="false">
      <c r="A10" s="14" t="s">
        <v>157</v>
      </c>
      <c r="B10" s="15" t="n">
        <f aca="false">AVERAGE(B5:B9)</f>
        <v>63.6</v>
      </c>
      <c r="C10" s="15" t="n">
        <f aca="false">AVERAGE(C5:C9)</f>
        <v>112.4</v>
      </c>
      <c r="D10" s="15" t="n">
        <f aca="false">AVERAGE(D5:D9)</f>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2"/>
    <col collapsed="false" customWidth="true" hidden="false" outlineLevel="0" max="5" min="5" style="0" width="90"/>
    <col collapsed="false" customWidth="true" hidden="false" outlineLevel="0" max="6" min="6" style="0" width="50"/>
    <col collapsed="false" customWidth="true" hidden="false" outlineLevel="0" max="7" min="7" style="0" width="60"/>
    <col collapsed="false" customWidth="true" hidden="false" outlineLevel="0" max="8" min="8" style="0" width="70"/>
  </cols>
  <sheetData>
    <row r="1" customFormat="false" ht="17.35" hidden="false" customHeight="false" outlineLevel="0" collapsed="false">
      <c r="A1" s="1" t="s">
        <v>158</v>
      </c>
    </row>
    <row r="2" customFormat="false" ht="15" hidden="false" customHeight="false" outlineLevel="0" collapsed="false">
      <c r="A2" s="2" t="s">
        <v>159</v>
      </c>
    </row>
    <row r="4" customFormat="false" ht="35.05" hidden="false" customHeight="false" outlineLevel="0" collapsed="false">
      <c r="A4" s="23" t="s">
        <v>105</v>
      </c>
      <c r="B4" s="23" t="s">
        <v>160</v>
      </c>
      <c r="C4" s="23" t="s">
        <v>161</v>
      </c>
      <c r="D4" s="23" t="s">
        <v>162</v>
      </c>
      <c r="E4" s="23" t="s">
        <v>66</v>
      </c>
      <c r="F4" s="23" t="s">
        <v>163</v>
      </c>
      <c r="G4" s="23" t="s">
        <v>164</v>
      </c>
      <c r="H4" s="23" t="s">
        <v>165</v>
      </c>
    </row>
    <row r="5" customFormat="false" ht="314.9" hidden="false" customHeight="false" outlineLevel="0" collapsed="false">
      <c r="A5" s="5" t="s">
        <v>29</v>
      </c>
      <c r="B5" s="6" t="n">
        <v>102</v>
      </c>
      <c r="C5" s="6" t="n">
        <v>100</v>
      </c>
      <c r="D5" s="6" t="n">
        <v>72</v>
      </c>
      <c r="E5" s="28" t="s">
        <v>166</v>
      </c>
      <c r="F5" s="28" t="s">
        <v>167</v>
      </c>
      <c r="G5" s="28" t="s">
        <v>168</v>
      </c>
      <c r="H5" s="28" t="s">
        <v>169</v>
      </c>
    </row>
    <row r="6" customFormat="false" ht="281.3" hidden="false" customHeight="false" outlineLevel="0" collapsed="false">
      <c r="A6" s="5" t="s">
        <v>30</v>
      </c>
      <c r="B6" s="6" t="n">
        <v>105</v>
      </c>
      <c r="C6" s="6" t="n">
        <v>96</v>
      </c>
      <c r="D6" s="6" t="n">
        <v>70</v>
      </c>
      <c r="E6" s="28" t="s">
        <v>170</v>
      </c>
      <c r="F6" s="28" t="s">
        <v>171</v>
      </c>
      <c r="G6" s="28" t="s">
        <v>172</v>
      </c>
      <c r="H6" s="28" t="s">
        <v>173</v>
      </c>
    </row>
    <row r="7" customFormat="false" ht="314.9" hidden="false" customHeight="false" outlineLevel="0" collapsed="false">
      <c r="A7" s="5" t="s">
        <v>31</v>
      </c>
      <c r="B7" s="6" t="n">
        <v>93</v>
      </c>
      <c r="C7" s="6" t="n">
        <v>94</v>
      </c>
      <c r="D7" s="6" t="n">
        <v>70</v>
      </c>
      <c r="E7" s="28" t="s">
        <v>174</v>
      </c>
      <c r="F7" s="28" t="s">
        <v>175</v>
      </c>
      <c r="G7" s="28" t="s">
        <v>176</v>
      </c>
      <c r="H7" s="28" t="s">
        <v>177</v>
      </c>
    </row>
    <row r="8" customFormat="false" ht="270.1" hidden="false" customHeight="false" outlineLevel="0" collapsed="false">
      <c r="A8" s="5" t="s">
        <v>32</v>
      </c>
      <c r="B8" s="6" t="n">
        <v>95</v>
      </c>
      <c r="C8" s="6" t="n">
        <v>94</v>
      </c>
      <c r="D8" s="6" t="n">
        <v>70</v>
      </c>
      <c r="E8" s="28" t="s">
        <v>178</v>
      </c>
      <c r="F8" s="28" t="s">
        <v>179</v>
      </c>
      <c r="G8" s="28" t="s">
        <v>180</v>
      </c>
      <c r="H8" s="28" t="s">
        <v>181</v>
      </c>
    </row>
    <row r="9" customFormat="false" ht="292.5" hidden="false" customHeight="false" outlineLevel="0" collapsed="false">
      <c r="A9" s="5" t="s">
        <v>33</v>
      </c>
      <c r="B9" s="6" t="n">
        <v>99</v>
      </c>
      <c r="C9" s="6" t="n">
        <v>96</v>
      </c>
      <c r="D9" s="6" t="n">
        <v>72</v>
      </c>
      <c r="E9" s="28" t="s">
        <v>182</v>
      </c>
      <c r="F9" s="28" t="s">
        <v>183</v>
      </c>
      <c r="G9" s="28" t="s">
        <v>184</v>
      </c>
      <c r="H9" s="28"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60"/>
    <col collapsed="false" customWidth="true" hidden="false" outlineLevel="0" max="4" min="4" style="0" width="50"/>
  </cols>
  <sheetData>
    <row r="1" customFormat="false" ht="17.35" hidden="false" customHeight="false" outlineLevel="0" collapsed="false">
      <c r="A1" s="1" t="s">
        <v>186</v>
      </c>
    </row>
    <row r="2" customFormat="false" ht="15" hidden="false" customHeight="false" outlineLevel="0" collapsed="false">
      <c r="A2" s="2" t="s">
        <v>187</v>
      </c>
    </row>
    <row r="4" customFormat="false" ht="46.25" hidden="false" customHeight="true" outlineLevel="0" collapsed="false">
      <c r="A4" s="14" t="s">
        <v>188</v>
      </c>
      <c r="B4" s="34" t="s">
        <v>189</v>
      </c>
      <c r="C4" s="34"/>
      <c r="D4" s="34"/>
    </row>
    <row r="5" customFormat="false" ht="35.05" hidden="false" customHeight="true" outlineLevel="0" collapsed="false">
      <c r="A5" s="14" t="s">
        <v>190</v>
      </c>
      <c r="B5" s="34" t="s">
        <v>37</v>
      </c>
      <c r="C5" s="34"/>
      <c r="D5" s="34"/>
    </row>
    <row r="6" customFormat="false" ht="91" hidden="false" customHeight="true" outlineLevel="0" collapsed="false">
      <c r="A6" s="14" t="s">
        <v>191</v>
      </c>
      <c r="B6" s="34" t="s">
        <v>192</v>
      </c>
      <c r="C6" s="34"/>
      <c r="D6" s="34"/>
    </row>
    <row r="8" customFormat="false" ht="15" hidden="false" customHeight="false" outlineLevel="0" collapsed="false">
      <c r="A8" s="35" t="s">
        <v>193</v>
      </c>
    </row>
    <row r="9" customFormat="false" ht="15" hidden="false" customHeight="false" outlineLevel="0" collapsed="false">
      <c r="A9" s="36" t="s">
        <v>194</v>
      </c>
      <c r="B9" s="36" t="s">
        <v>195</v>
      </c>
      <c r="C9" s="36" t="s">
        <v>196</v>
      </c>
      <c r="D9" s="36" t="s">
        <v>197</v>
      </c>
    </row>
    <row r="10" customFormat="false" ht="124.6" hidden="false" customHeight="false" outlineLevel="0" collapsed="false">
      <c r="A10" s="28" t="s">
        <v>198</v>
      </c>
      <c r="B10" s="28" t="s">
        <v>199</v>
      </c>
      <c r="C10" s="28" t="s">
        <v>200</v>
      </c>
      <c r="D10" s="28" t="s">
        <v>201</v>
      </c>
    </row>
    <row r="11" customFormat="false" ht="57.45" hidden="false" customHeight="false" outlineLevel="0" collapsed="false">
      <c r="A11" s="28" t="s">
        <v>202</v>
      </c>
      <c r="B11" s="28" t="s">
        <v>203</v>
      </c>
      <c r="C11" s="28" t="s">
        <v>204</v>
      </c>
      <c r="D11" s="28" t="s">
        <v>205</v>
      </c>
    </row>
    <row r="12" customFormat="false" ht="68.65" hidden="false" customHeight="false" outlineLevel="0" collapsed="false">
      <c r="A12" s="28" t="s">
        <v>206</v>
      </c>
      <c r="B12" s="28" t="s">
        <v>207</v>
      </c>
      <c r="C12" s="28" t="s">
        <v>208</v>
      </c>
      <c r="D12" s="28" t="s">
        <v>209</v>
      </c>
    </row>
    <row r="13" customFormat="false" ht="57.45" hidden="false" customHeight="false" outlineLevel="0" collapsed="false">
      <c r="A13" s="28" t="s">
        <v>210</v>
      </c>
      <c r="B13" s="28" t="s">
        <v>211</v>
      </c>
      <c r="C13" s="28" t="s">
        <v>212</v>
      </c>
      <c r="D13" s="28" t="s">
        <v>213</v>
      </c>
    </row>
    <row r="14" customFormat="false" ht="68.65" hidden="false" customHeight="false" outlineLevel="0" collapsed="false">
      <c r="A14" s="28" t="s">
        <v>214</v>
      </c>
      <c r="B14" s="28" t="s">
        <v>215</v>
      </c>
      <c r="C14" s="28" t="s">
        <v>216</v>
      </c>
      <c r="D14" s="28" t="s">
        <v>217</v>
      </c>
    </row>
    <row r="15" customFormat="false" ht="35.05" hidden="false" customHeight="false" outlineLevel="0" collapsed="false">
      <c r="A15" s="28" t="s">
        <v>218</v>
      </c>
      <c r="B15" s="28" t="s">
        <v>219</v>
      </c>
      <c r="C15" s="28" t="s">
        <v>220</v>
      </c>
      <c r="D15" s="28" t="s">
        <v>221</v>
      </c>
    </row>
    <row r="17" customFormat="false" ht="15" hidden="false" customHeight="false" outlineLevel="0" collapsed="false">
      <c r="A17" s="35" t="s">
        <v>222</v>
      </c>
    </row>
    <row r="18" customFormat="false" ht="15" hidden="false" customHeight="false" outlineLevel="0" collapsed="false">
      <c r="A18" s="36" t="s">
        <v>194</v>
      </c>
      <c r="B18" s="36" t="s">
        <v>195</v>
      </c>
      <c r="C18" s="36" t="s">
        <v>196</v>
      </c>
      <c r="D18" s="36" t="s">
        <v>197</v>
      </c>
    </row>
    <row r="19" customFormat="false" ht="91" hidden="false" customHeight="false" outlineLevel="0" collapsed="false">
      <c r="A19" s="28" t="s">
        <v>223</v>
      </c>
      <c r="B19" s="28" t="s">
        <v>224</v>
      </c>
      <c r="C19" s="28" t="s">
        <v>225</v>
      </c>
      <c r="D19" s="28" t="s">
        <v>226</v>
      </c>
    </row>
    <row r="20" customFormat="false" ht="113.4" hidden="false" customHeight="false" outlineLevel="0" collapsed="false">
      <c r="A20" s="28" t="s">
        <v>227</v>
      </c>
      <c r="B20" s="28" t="s">
        <v>228</v>
      </c>
      <c r="C20" s="28" t="s">
        <v>229</v>
      </c>
      <c r="D20" s="28" t="s">
        <v>230</v>
      </c>
    </row>
    <row r="21" customFormat="false" ht="57.45" hidden="false" customHeight="false" outlineLevel="0" collapsed="false">
      <c r="A21" s="28" t="s">
        <v>231</v>
      </c>
      <c r="B21" s="28" t="s">
        <v>232</v>
      </c>
      <c r="C21" s="28" t="s">
        <v>233</v>
      </c>
      <c r="D21" s="28" t="s">
        <v>234</v>
      </c>
    </row>
    <row r="22" customFormat="false" ht="79.85" hidden="false" customHeight="false" outlineLevel="0" collapsed="false">
      <c r="A22" s="28" t="s">
        <v>235</v>
      </c>
      <c r="B22" s="28" t="s">
        <v>236</v>
      </c>
      <c r="C22" s="28" t="s">
        <v>237</v>
      </c>
      <c r="D22" s="28" t="s">
        <v>238</v>
      </c>
    </row>
    <row r="23" customFormat="false" ht="57.45" hidden="false" customHeight="false" outlineLevel="0" collapsed="false">
      <c r="A23" s="28" t="s">
        <v>239</v>
      </c>
      <c r="B23" s="28" t="s">
        <v>240</v>
      </c>
      <c r="C23" s="28" t="s">
        <v>241</v>
      </c>
      <c r="D23" s="28" t="s">
        <v>242</v>
      </c>
    </row>
    <row r="24" customFormat="false" ht="79.85" hidden="false" customHeight="false" outlineLevel="0" collapsed="false">
      <c r="A24" s="28" t="s">
        <v>243</v>
      </c>
      <c r="B24" s="28" t="s">
        <v>244</v>
      </c>
      <c r="C24" s="28" t="s">
        <v>245</v>
      </c>
      <c r="D24" s="28" t="s">
        <v>246</v>
      </c>
    </row>
    <row r="26" customFormat="false" ht="15" hidden="false" customHeight="false" outlineLevel="0" collapsed="false">
      <c r="A26" s="35" t="s">
        <v>247</v>
      </c>
    </row>
    <row r="27" customFormat="false" ht="15" hidden="false" customHeight="false" outlineLevel="0" collapsed="false">
      <c r="A27" s="36" t="s">
        <v>248</v>
      </c>
      <c r="B27" s="36" t="s">
        <v>249</v>
      </c>
      <c r="C27" s="36" t="s">
        <v>250</v>
      </c>
      <c r="D27" s="36" t="s">
        <v>251</v>
      </c>
    </row>
    <row r="28" customFormat="false" ht="46.25" hidden="false" customHeight="false" outlineLevel="0" collapsed="false">
      <c r="A28" s="28" t="s">
        <v>162</v>
      </c>
      <c r="B28" s="28" t="s">
        <v>252</v>
      </c>
      <c r="C28" s="28" t="s">
        <v>253</v>
      </c>
      <c r="D28" s="28" t="s">
        <v>254</v>
      </c>
    </row>
    <row r="29" customFormat="false" ht="23.85" hidden="false" customHeight="false" outlineLevel="0" collapsed="false">
      <c r="A29" s="28" t="s">
        <v>255</v>
      </c>
      <c r="B29" s="28" t="s">
        <v>256</v>
      </c>
      <c r="C29" s="28" t="s">
        <v>257</v>
      </c>
      <c r="D29" s="28" t="s">
        <v>258</v>
      </c>
    </row>
    <row r="30" customFormat="false" ht="35.05" hidden="false" customHeight="false" outlineLevel="0" collapsed="false">
      <c r="A30" s="28" t="s">
        <v>259</v>
      </c>
      <c r="B30" s="28" t="s">
        <v>260</v>
      </c>
      <c r="C30" s="28" t="s">
        <v>261</v>
      </c>
      <c r="D30" s="28" t="s">
        <v>262</v>
      </c>
    </row>
    <row r="31" customFormat="false" ht="35.05" hidden="false" customHeight="false" outlineLevel="0" collapsed="false">
      <c r="A31" s="28" t="s">
        <v>263</v>
      </c>
      <c r="B31" s="28" t="s">
        <v>264</v>
      </c>
      <c r="C31" s="28" t="s">
        <v>265</v>
      </c>
      <c r="D31" s="28" t="s">
        <v>266</v>
      </c>
    </row>
    <row r="32" customFormat="false" ht="23.85" hidden="false" customHeight="false" outlineLevel="0" collapsed="false">
      <c r="A32" s="28" t="s">
        <v>267</v>
      </c>
      <c r="B32" s="28" t="s">
        <v>268</v>
      </c>
      <c r="C32" s="28" t="s">
        <v>269</v>
      </c>
      <c r="D32" s="28" t="s">
        <v>270</v>
      </c>
    </row>
    <row r="33" customFormat="false" ht="23.85" hidden="false" customHeight="false" outlineLevel="0" collapsed="false">
      <c r="A33" s="28" t="s">
        <v>271</v>
      </c>
      <c r="B33" s="28" t="s">
        <v>272</v>
      </c>
      <c r="C33" s="28" t="s">
        <v>273</v>
      </c>
      <c r="D33" s="28" t="s">
        <v>274</v>
      </c>
    </row>
    <row r="34" customFormat="false" ht="23.85" hidden="false" customHeight="false" outlineLevel="0" collapsed="false">
      <c r="A34" s="28" t="s">
        <v>275</v>
      </c>
      <c r="B34" s="28" t="s">
        <v>276</v>
      </c>
      <c r="C34" s="28" t="s">
        <v>277</v>
      </c>
      <c r="D34" s="28" t="s">
        <v>278</v>
      </c>
    </row>
    <row r="35" customFormat="false" ht="46.25" hidden="false" customHeight="false" outlineLevel="0" collapsed="false">
      <c r="A35" s="28" t="s">
        <v>279</v>
      </c>
      <c r="B35" s="28" t="s">
        <v>280</v>
      </c>
      <c r="C35" s="28" t="s">
        <v>281</v>
      </c>
      <c r="D35" s="28" t="s">
        <v>282</v>
      </c>
    </row>
    <row r="36" customFormat="false" ht="35.05" hidden="false" customHeight="false" outlineLevel="0" collapsed="false">
      <c r="A36" s="28" t="s">
        <v>162</v>
      </c>
      <c r="B36" s="28" t="s">
        <v>252</v>
      </c>
      <c r="C36" s="28" t="s">
        <v>253</v>
      </c>
      <c r="D36" s="28" t="s">
        <v>283</v>
      </c>
    </row>
    <row r="38" customFormat="false" ht="15" hidden="false" customHeight="false" outlineLevel="0" collapsed="false">
      <c r="A38" s="35" t="s">
        <v>284</v>
      </c>
    </row>
    <row r="39" customFormat="false" ht="15" hidden="false" customHeight="false" outlineLevel="0" collapsed="false">
      <c r="A39" s="36" t="s">
        <v>105</v>
      </c>
      <c r="B39" s="36" t="s">
        <v>285</v>
      </c>
      <c r="C39" s="36" t="s">
        <v>286</v>
      </c>
    </row>
    <row r="40" customFormat="false" ht="113.4" hidden="false" customHeight="false" outlineLevel="0" collapsed="false">
      <c r="A40" s="5" t="s">
        <v>287</v>
      </c>
      <c r="B40" s="28" t="s">
        <v>288</v>
      </c>
      <c r="C40" s="28" t="s">
        <v>289</v>
      </c>
    </row>
    <row r="41" customFormat="false" ht="91" hidden="false" customHeight="false" outlineLevel="0" collapsed="false">
      <c r="A41" s="5" t="s">
        <v>290</v>
      </c>
      <c r="B41" s="28" t="s">
        <v>291</v>
      </c>
      <c r="C41" s="28" t="s">
        <v>292</v>
      </c>
    </row>
    <row r="42" customFormat="false" ht="79.85" hidden="false" customHeight="false" outlineLevel="0" collapsed="false">
      <c r="A42" s="5" t="s">
        <v>293</v>
      </c>
      <c r="B42" s="28" t="s">
        <v>294</v>
      </c>
      <c r="C42" s="28" t="s">
        <v>295</v>
      </c>
    </row>
    <row r="43" customFormat="false" ht="91" hidden="false" customHeight="false" outlineLevel="0" collapsed="false">
      <c r="A43" s="5" t="s">
        <v>296</v>
      </c>
      <c r="B43" s="28" t="s">
        <v>297</v>
      </c>
      <c r="C43" s="28" t="s">
        <v>298</v>
      </c>
    </row>
    <row r="44" customFormat="false" ht="124.6" hidden="false" customHeight="false" outlineLevel="0" collapsed="false">
      <c r="A44" s="5" t="s">
        <v>299</v>
      </c>
      <c r="B44" s="28" t="s">
        <v>300</v>
      </c>
      <c r="C44" s="28" t="s">
        <v>301</v>
      </c>
    </row>
    <row r="46" customFormat="false" ht="15" hidden="false" customHeight="false" outlineLevel="0" collapsed="false">
      <c r="A46" s="35" t="s">
        <v>302</v>
      </c>
    </row>
    <row r="47" customFormat="false" ht="15" hidden="false" customHeight="false" outlineLevel="0" collapsed="false">
      <c r="A47" s="5" t="s">
        <v>303</v>
      </c>
      <c r="B47" s="28" t="n">
        <v>3</v>
      </c>
    </row>
    <row r="48" customFormat="false" ht="15" hidden="false" customHeight="false" outlineLevel="0" collapsed="false">
      <c r="A48" s="5" t="s">
        <v>304</v>
      </c>
      <c r="B48" s="28" t="n">
        <v>0.34</v>
      </c>
    </row>
    <row r="49" customFormat="false" ht="15" hidden="false" customHeight="false" outlineLevel="0" collapsed="false">
      <c r="A49" s="5" t="s">
        <v>305</v>
      </c>
      <c r="B49" s="28" t="s">
        <v>306</v>
      </c>
    </row>
    <row r="50" customFormat="false" ht="46.25" hidden="false" customHeight="false" outlineLevel="0" collapsed="false">
      <c r="A50" s="5" t="s">
        <v>307</v>
      </c>
      <c r="B50" s="28" t="s">
        <v>308</v>
      </c>
    </row>
    <row r="51" customFormat="false" ht="35.05" hidden="false" customHeight="false" outlineLevel="0" collapsed="false">
      <c r="A51" s="5" t="s">
        <v>309</v>
      </c>
      <c r="B51" s="28" t="s">
        <v>310</v>
      </c>
    </row>
    <row r="52" customFormat="false" ht="46.25" hidden="false" customHeight="false" outlineLevel="0" collapsed="false">
      <c r="A52" s="5" t="s">
        <v>311</v>
      </c>
      <c r="B52" s="28" t="s">
        <v>312</v>
      </c>
    </row>
    <row r="53" customFormat="false" ht="68.65" hidden="false" customHeight="false" outlineLevel="0" collapsed="false">
      <c r="A53" s="5" t="s">
        <v>313</v>
      </c>
      <c r="B53" s="28" t="s">
        <v>314</v>
      </c>
    </row>
  </sheetData>
  <mergeCells count="3">
    <mergeCell ref="B4:D4"/>
    <mergeCell ref="B5:D5"/>
    <mergeCell ref="B6:D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70"/>
    <col collapsed="false" customWidth="true" hidden="false" outlineLevel="0" max="4" min="4" style="0" width="12"/>
    <col collapsed="false" customWidth="true" hidden="false" outlineLevel="0" max="5" min="5" style="0" width="60"/>
  </cols>
  <sheetData>
    <row r="1" customFormat="false" ht="17.35" hidden="false" customHeight="false" outlineLevel="0" collapsed="false">
      <c r="A1" s="1" t="s">
        <v>315</v>
      </c>
    </row>
    <row r="2" customFormat="false" ht="15" hidden="false" customHeight="false" outlineLevel="0" collapsed="false">
      <c r="A2" s="2" t="s">
        <v>316</v>
      </c>
    </row>
    <row r="4" customFormat="false" ht="15" hidden="false" customHeight="false" outlineLevel="0" collapsed="false">
      <c r="A4" s="23" t="s">
        <v>74</v>
      </c>
      <c r="B4" s="23" t="s">
        <v>317</v>
      </c>
      <c r="C4" s="23" t="s">
        <v>318</v>
      </c>
      <c r="D4" s="23" t="s">
        <v>319</v>
      </c>
      <c r="E4" s="23" t="s">
        <v>320</v>
      </c>
    </row>
    <row r="5" customFormat="false" ht="15" hidden="false" customHeight="false" outlineLevel="0" collapsed="false">
      <c r="A5" s="5" t="s">
        <v>321</v>
      </c>
      <c r="B5" s="5" t="s">
        <v>287</v>
      </c>
      <c r="C5" s="28" t="s">
        <v>322</v>
      </c>
      <c r="D5" s="5" t="s">
        <v>323</v>
      </c>
      <c r="E5" s="22" t="s">
        <v>324</v>
      </c>
    </row>
    <row r="6" customFormat="false" ht="15" hidden="false" customHeight="false" outlineLevel="0" collapsed="false">
      <c r="A6" s="5" t="s">
        <v>325</v>
      </c>
      <c r="B6" s="5" t="s">
        <v>287</v>
      </c>
      <c r="C6" s="28" t="s">
        <v>326</v>
      </c>
      <c r="D6" s="5" t="s">
        <v>327</v>
      </c>
      <c r="E6" s="22" t="s">
        <v>328</v>
      </c>
    </row>
    <row r="7" customFormat="false" ht="23.85" hidden="false" customHeight="false" outlineLevel="0" collapsed="false">
      <c r="A7" s="5" t="s">
        <v>329</v>
      </c>
      <c r="B7" s="5" t="s">
        <v>287</v>
      </c>
      <c r="C7" s="28" t="s">
        <v>330</v>
      </c>
      <c r="D7" s="5" t="s">
        <v>331</v>
      </c>
      <c r="E7" s="22" t="s">
        <v>332</v>
      </c>
    </row>
    <row r="8" customFormat="false" ht="23.85" hidden="false" customHeight="false" outlineLevel="0" collapsed="false">
      <c r="A8" s="5" t="s">
        <v>333</v>
      </c>
      <c r="B8" s="5" t="s">
        <v>287</v>
      </c>
      <c r="C8" s="28" t="s">
        <v>334</v>
      </c>
      <c r="D8" s="5" t="s">
        <v>335</v>
      </c>
      <c r="E8" s="22" t="s">
        <v>336</v>
      </c>
    </row>
    <row r="9" customFormat="false" ht="23.85" hidden="false" customHeight="false" outlineLevel="0" collapsed="false">
      <c r="A9" s="5" t="s">
        <v>337</v>
      </c>
      <c r="B9" s="5" t="s">
        <v>287</v>
      </c>
      <c r="C9" s="28" t="s">
        <v>338</v>
      </c>
      <c r="D9" s="5" t="s">
        <v>339</v>
      </c>
      <c r="E9" s="22" t="s">
        <v>340</v>
      </c>
    </row>
    <row r="10" customFormat="false" ht="15" hidden="false" customHeight="false" outlineLevel="0" collapsed="false">
      <c r="A10" s="5" t="s">
        <v>341</v>
      </c>
      <c r="B10" s="5" t="s">
        <v>287</v>
      </c>
      <c r="C10" s="28" t="s">
        <v>342</v>
      </c>
      <c r="D10" s="5" t="s">
        <v>327</v>
      </c>
      <c r="E10" s="22" t="s">
        <v>343</v>
      </c>
    </row>
    <row r="11" customFormat="false" ht="15" hidden="false" customHeight="false" outlineLevel="0" collapsed="false">
      <c r="A11" s="5" t="s">
        <v>344</v>
      </c>
      <c r="B11" s="5" t="s">
        <v>287</v>
      </c>
      <c r="C11" s="28" t="s">
        <v>345</v>
      </c>
      <c r="D11" s="5" t="s">
        <v>323</v>
      </c>
      <c r="E11" s="22" t="s">
        <v>346</v>
      </c>
    </row>
    <row r="12" customFormat="false" ht="15" hidden="false" customHeight="false" outlineLevel="0" collapsed="false">
      <c r="A12" s="5" t="s">
        <v>347</v>
      </c>
      <c r="B12" s="5" t="s">
        <v>287</v>
      </c>
      <c r="C12" s="28" t="s">
        <v>348</v>
      </c>
      <c r="D12" s="5" t="s">
        <v>349</v>
      </c>
      <c r="E12" s="22" t="s">
        <v>350</v>
      </c>
    </row>
    <row r="13" customFormat="false" ht="23.85" hidden="false" customHeight="false" outlineLevel="0" collapsed="false">
      <c r="A13" s="5" t="s">
        <v>351</v>
      </c>
      <c r="B13" s="5" t="s">
        <v>287</v>
      </c>
      <c r="C13" s="28" t="s">
        <v>352</v>
      </c>
      <c r="D13" s="5" t="s">
        <v>349</v>
      </c>
      <c r="E13" s="22" t="s">
        <v>353</v>
      </c>
    </row>
    <row r="14" customFormat="false" ht="23.85" hidden="false" customHeight="false" outlineLevel="0" collapsed="false">
      <c r="A14" s="5" t="s">
        <v>354</v>
      </c>
      <c r="B14" s="5" t="s">
        <v>287</v>
      </c>
      <c r="C14" s="28" t="s">
        <v>355</v>
      </c>
      <c r="D14" s="5" t="s">
        <v>356</v>
      </c>
      <c r="E14" s="22" t="s">
        <v>357</v>
      </c>
    </row>
    <row r="15" customFormat="false" ht="23.85" hidden="false" customHeight="false" outlineLevel="0" collapsed="false">
      <c r="A15" s="5" t="s">
        <v>358</v>
      </c>
      <c r="B15" s="5" t="s">
        <v>287</v>
      </c>
      <c r="C15" s="28" t="s">
        <v>359</v>
      </c>
      <c r="D15" s="5" t="s">
        <v>360</v>
      </c>
      <c r="E15" s="22" t="s">
        <v>361</v>
      </c>
    </row>
    <row r="16" customFormat="false" ht="23.85" hidden="false" customHeight="false" outlineLevel="0" collapsed="false">
      <c r="A16" s="5" t="s">
        <v>362</v>
      </c>
      <c r="B16" s="5" t="s">
        <v>287</v>
      </c>
      <c r="C16" s="28" t="s">
        <v>363</v>
      </c>
      <c r="D16" s="5" t="s">
        <v>364</v>
      </c>
      <c r="E16" s="22" t="s">
        <v>365</v>
      </c>
    </row>
    <row r="17" customFormat="false" ht="23.85" hidden="false" customHeight="false" outlineLevel="0" collapsed="false">
      <c r="A17" s="5" t="s">
        <v>366</v>
      </c>
      <c r="B17" s="5" t="s">
        <v>287</v>
      </c>
      <c r="C17" s="28" t="s">
        <v>367</v>
      </c>
      <c r="D17" s="5" t="s">
        <v>368</v>
      </c>
      <c r="E17" s="22" t="s">
        <v>369</v>
      </c>
    </row>
    <row r="18" customFormat="false" ht="23.85" hidden="false" customHeight="false" outlineLevel="0" collapsed="false">
      <c r="A18" s="5" t="s">
        <v>370</v>
      </c>
      <c r="B18" s="5" t="s">
        <v>287</v>
      </c>
      <c r="C18" s="28" t="s">
        <v>371</v>
      </c>
      <c r="D18" s="5" t="s">
        <v>372</v>
      </c>
      <c r="E18" s="22" t="s">
        <v>373</v>
      </c>
    </row>
    <row r="19" customFormat="false" ht="15" hidden="false" customHeight="false" outlineLevel="0" collapsed="false">
      <c r="A19" s="5" t="s">
        <v>374</v>
      </c>
      <c r="B19" s="5" t="s">
        <v>287</v>
      </c>
      <c r="C19" s="28" t="s">
        <v>375</v>
      </c>
      <c r="D19" s="5" t="s">
        <v>360</v>
      </c>
      <c r="E19" s="22" t="s">
        <v>376</v>
      </c>
    </row>
    <row r="20" customFormat="false" ht="23.85" hidden="false" customHeight="false" outlineLevel="0" collapsed="false">
      <c r="A20" s="5" t="s">
        <v>377</v>
      </c>
      <c r="B20" s="5" t="s">
        <v>287</v>
      </c>
      <c r="C20" s="28" t="s">
        <v>378</v>
      </c>
      <c r="D20" s="5" t="s">
        <v>372</v>
      </c>
      <c r="E20" s="22" t="s">
        <v>379</v>
      </c>
    </row>
    <row r="21" customFormat="false" ht="23.85" hidden="false" customHeight="false" outlineLevel="0" collapsed="false">
      <c r="A21" s="5" t="s">
        <v>380</v>
      </c>
      <c r="B21" s="5" t="s">
        <v>287</v>
      </c>
      <c r="C21" s="28" t="s">
        <v>381</v>
      </c>
      <c r="D21" s="5" t="s">
        <v>356</v>
      </c>
      <c r="E21" s="22" t="s">
        <v>382</v>
      </c>
    </row>
    <row r="22" customFormat="false" ht="23.85" hidden="false" customHeight="false" outlineLevel="0" collapsed="false">
      <c r="A22" s="5" t="s">
        <v>383</v>
      </c>
      <c r="B22" s="5" t="s">
        <v>287</v>
      </c>
      <c r="C22" s="28" t="s">
        <v>384</v>
      </c>
      <c r="D22" s="5" t="s">
        <v>385</v>
      </c>
      <c r="E22" s="22" t="s">
        <v>386</v>
      </c>
    </row>
    <row r="23" customFormat="false" ht="15" hidden="false" customHeight="false" outlineLevel="0" collapsed="false">
      <c r="A23" s="5" t="s">
        <v>387</v>
      </c>
      <c r="B23" s="5" t="s">
        <v>287</v>
      </c>
      <c r="C23" s="28" t="s">
        <v>388</v>
      </c>
      <c r="D23" s="5" t="s">
        <v>389</v>
      </c>
      <c r="E23" s="22" t="s">
        <v>390</v>
      </c>
    </row>
    <row r="24" customFormat="false" ht="23.85" hidden="false" customHeight="false" outlineLevel="0" collapsed="false">
      <c r="A24" s="5" t="s">
        <v>391</v>
      </c>
      <c r="B24" s="5" t="s">
        <v>287</v>
      </c>
      <c r="C24" s="28" t="s">
        <v>392</v>
      </c>
      <c r="D24" s="5" t="s">
        <v>393</v>
      </c>
      <c r="E24" s="22" t="s">
        <v>394</v>
      </c>
    </row>
    <row r="25" customFormat="false" ht="35.05" hidden="false" customHeight="false" outlineLevel="0" collapsed="false">
      <c r="A25" s="5" t="s">
        <v>395</v>
      </c>
      <c r="B25" s="5" t="s">
        <v>287</v>
      </c>
      <c r="C25" s="28" t="s">
        <v>396</v>
      </c>
      <c r="D25" s="5" t="s">
        <v>323</v>
      </c>
      <c r="E25" s="22" t="s">
        <v>397</v>
      </c>
    </row>
    <row r="26" customFormat="false" ht="23.85" hidden="false" customHeight="false" outlineLevel="0" collapsed="false">
      <c r="A26" s="5" t="s">
        <v>398</v>
      </c>
      <c r="B26" s="5" t="s">
        <v>287</v>
      </c>
      <c r="C26" s="28" t="s">
        <v>399</v>
      </c>
      <c r="D26" s="5" t="s">
        <v>400</v>
      </c>
      <c r="E26" s="22" t="s">
        <v>401</v>
      </c>
    </row>
    <row r="27" customFormat="false" ht="23.85" hidden="false" customHeight="false" outlineLevel="0" collapsed="false">
      <c r="A27" s="5" t="s">
        <v>402</v>
      </c>
      <c r="B27" s="5" t="s">
        <v>287</v>
      </c>
      <c r="C27" s="28" t="s">
        <v>403</v>
      </c>
      <c r="D27" s="5" t="s">
        <v>400</v>
      </c>
      <c r="E27" s="22" t="s">
        <v>404</v>
      </c>
    </row>
    <row r="28" customFormat="false" ht="35.05" hidden="false" customHeight="false" outlineLevel="0" collapsed="false">
      <c r="A28" s="5" t="s">
        <v>405</v>
      </c>
      <c r="B28" s="5" t="s">
        <v>287</v>
      </c>
      <c r="C28" s="28" t="s">
        <v>406</v>
      </c>
      <c r="D28" s="5" t="s">
        <v>407</v>
      </c>
      <c r="E28" s="22" t="s">
        <v>408</v>
      </c>
    </row>
    <row r="29" customFormat="false" ht="15" hidden="false" customHeight="false" outlineLevel="0" collapsed="false">
      <c r="A29" s="5" t="s">
        <v>409</v>
      </c>
      <c r="B29" s="5" t="s">
        <v>290</v>
      </c>
      <c r="C29" s="28" t="s">
        <v>410</v>
      </c>
      <c r="D29" s="5" t="s">
        <v>323</v>
      </c>
      <c r="E29" s="22" t="s">
        <v>324</v>
      </c>
    </row>
    <row r="30" customFormat="false" ht="23.85" hidden="false" customHeight="false" outlineLevel="0" collapsed="false">
      <c r="A30" s="5" t="s">
        <v>411</v>
      </c>
      <c r="B30" s="5" t="s">
        <v>290</v>
      </c>
      <c r="C30" s="28" t="s">
        <v>412</v>
      </c>
      <c r="D30" s="5" t="s">
        <v>356</v>
      </c>
      <c r="E30" s="22" t="s">
        <v>413</v>
      </c>
    </row>
    <row r="31" customFormat="false" ht="15" hidden="false" customHeight="false" outlineLevel="0" collapsed="false">
      <c r="A31" s="5" t="s">
        <v>414</v>
      </c>
      <c r="B31" s="5" t="s">
        <v>290</v>
      </c>
      <c r="C31" s="28" t="s">
        <v>415</v>
      </c>
      <c r="D31" s="5" t="s">
        <v>360</v>
      </c>
      <c r="E31" s="22" t="s">
        <v>361</v>
      </c>
    </row>
    <row r="32" customFormat="false" ht="23.85" hidden="false" customHeight="false" outlineLevel="0" collapsed="false">
      <c r="A32" s="5" t="s">
        <v>416</v>
      </c>
      <c r="B32" s="5" t="s">
        <v>290</v>
      </c>
      <c r="C32" s="28" t="s">
        <v>417</v>
      </c>
      <c r="D32" s="5" t="s">
        <v>418</v>
      </c>
      <c r="E32" s="22" t="s">
        <v>419</v>
      </c>
    </row>
    <row r="33" customFormat="false" ht="23.85" hidden="false" customHeight="false" outlineLevel="0" collapsed="false">
      <c r="A33" s="5" t="s">
        <v>420</v>
      </c>
      <c r="B33" s="5" t="s">
        <v>290</v>
      </c>
      <c r="C33" s="28" t="s">
        <v>421</v>
      </c>
      <c r="D33" s="5" t="s">
        <v>422</v>
      </c>
      <c r="E33" s="22" t="s">
        <v>423</v>
      </c>
    </row>
    <row r="34" customFormat="false" ht="15" hidden="false" customHeight="false" outlineLevel="0" collapsed="false">
      <c r="A34" s="5" t="s">
        <v>424</v>
      </c>
      <c r="B34" s="5" t="s">
        <v>290</v>
      </c>
      <c r="C34" s="28" t="s">
        <v>425</v>
      </c>
      <c r="D34" s="5" t="s">
        <v>407</v>
      </c>
      <c r="E34" s="22" t="s">
        <v>426</v>
      </c>
    </row>
    <row r="35" customFormat="false" ht="23.85" hidden="false" customHeight="false" outlineLevel="0" collapsed="false">
      <c r="A35" s="5" t="s">
        <v>427</v>
      </c>
      <c r="B35" s="5" t="s">
        <v>290</v>
      </c>
      <c r="C35" s="28" t="s">
        <v>428</v>
      </c>
      <c r="D35" s="5" t="s">
        <v>429</v>
      </c>
      <c r="E35" s="22" t="s">
        <v>430</v>
      </c>
    </row>
    <row r="36" customFormat="false" ht="23.85" hidden="false" customHeight="false" outlineLevel="0" collapsed="false">
      <c r="A36" s="5" t="s">
        <v>431</v>
      </c>
      <c r="B36" s="5" t="s">
        <v>290</v>
      </c>
      <c r="C36" s="28" t="s">
        <v>432</v>
      </c>
      <c r="D36" s="5" t="s">
        <v>360</v>
      </c>
      <c r="E36" s="22" t="s">
        <v>433</v>
      </c>
    </row>
    <row r="37" customFormat="false" ht="15" hidden="false" customHeight="false" outlineLevel="0" collapsed="false">
      <c r="A37" s="5" t="s">
        <v>434</v>
      </c>
      <c r="B37" s="5" t="s">
        <v>290</v>
      </c>
      <c r="C37" s="28" t="s">
        <v>435</v>
      </c>
      <c r="D37" s="5" t="s">
        <v>407</v>
      </c>
      <c r="E37" s="22" t="s">
        <v>436</v>
      </c>
    </row>
    <row r="38" customFormat="false" ht="15" hidden="false" customHeight="false" outlineLevel="0" collapsed="false">
      <c r="A38" s="5" t="s">
        <v>437</v>
      </c>
      <c r="B38" s="5" t="s">
        <v>290</v>
      </c>
      <c r="C38" s="28" t="s">
        <v>438</v>
      </c>
      <c r="D38" s="5" t="s">
        <v>407</v>
      </c>
      <c r="E38" s="22" t="s">
        <v>439</v>
      </c>
    </row>
    <row r="39" customFormat="false" ht="15" hidden="false" customHeight="false" outlineLevel="0" collapsed="false">
      <c r="A39" s="5" t="s">
        <v>440</v>
      </c>
      <c r="B39" s="5" t="s">
        <v>290</v>
      </c>
      <c r="C39" s="28" t="s">
        <v>441</v>
      </c>
      <c r="D39" s="5" t="s">
        <v>407</v>
      </c>
      <c r="E39" s="22" t="s">
        <v>442</v>
      </c>
    </row>
    <row r="40" customFormat="false" ht="23.85" hidden="false" customHeight="false" outlineLevel="0" collapsed="false">
      <c r="A40" s="5" t="s">
        <v>443</v>
      </c>
      <c r="B40" s="5" t="s">
        <v>290</v>
      </c>
      <c r="C40" s="28" t="s">
        <v>444</v>
      </c>
      <c r="D40" s="5" t="s">
        <v>445</v>
      </c>
      <c r="E40" s="22" t="s">
        <v>446</v>
      </c>
    </row>
    <row r="41" customFormat="false" ht="23.85" hidden="false" customHeight="false" outlineLevel="0" collapsed="false">
      <c r="A41" s="5" t="s">
        <v>447</v>
      </c>
      <c r="B41" s="5" t="s">
        <v>290</v>
      </c>
      <c r="C41" s="28" t="s">
        <v>448</v>
      </c>
      <c r="D41" s="5" t="s">
        <v>449</v>
      </c>
      <c r="E41" s="22" t="s">
        <v>450</v>
      </c>
    </row>
    <row r="42" customFormat="false" ht="15" hidden="false" customHeight="false" outlineLevel="0" collapsed="false">
      <c r="A42" s="5" t="s">
        <v>451</v>
      </c>
      <c r="B42" s="5" t="s">
        <v>290</v>
      </c>
      <c r="C42" s="28" t="s">
        <v>452</v>
      </c>
      <c r="D42" s="5" t="s">
        <v>453</v>
      </c>
      <c r="E42" s="22" t="s">
        <v>454</v>
      </c>
    </row>
    <row r="43" customFormat="false" ht="23.85" hidden="false" customHeight="false" outlineLevel="0" collapsed="false">
      <c r="A43" s="5" t="s">
        <v>455</v>
      </c>
      <c r="B43" s="5" t="s">
        <v>290</v>
      </c>
      <c r="C43" s="28" t="s">
        <v>456</v>
      </c>
      <c r="D43" s="5" t="s">
        <v>457</v>
      </c>
      <c r="E43" s="22" t="s">
        <v>458</v>
      </c>
    </row>
    <row r="44" customFormat="false" ht="23.85" hidden="false" customHeight="false" outlineLevel="0" collapsed="false">
      <c r="A44" s="5" t="s">
        <v>459</v>
      </c>
      <c r="B44" s="5" t="s">
        <v>290</v>
      </c>
      <c r="C44" s="28" t="s">
        <v>460</v>
      </c>
      <c r="D44" s="5" t="s">
        <v>407</v>
      </c>
      <c r="E44" s="22" t="s">
        <v>461</v>
      </c>
    </row>
    <row r="45" customFormat="false" ht="15" hidden="false" customHeight="false" outlineLevel="0" collapsed="false">
      <c r="A45" s="5" t="s">
        <v>462</v>
      </c>
      <c r="B45" s="5" t="s">
        <v>290</v>
      </c>
      <c r="C45" s="28" t="s">
        <v>463</v>
      </c>
      <c r="D45" s="5" t="s">
        <v>464</v>
      </c>
      <c r="E45" s="22" t="s">
        <v>465</v>
      </c>
    </row>
    <row r="46" customFormat="false" ht="23.85" hidden="false" customHeight="false" outlineLevel="0" collapsed="false">
      <c r="A46" s="5" t="s">
        <v>466</v>
      </c>
      <c r="B46" s="5" t="s">
        <v>290</v>
      </c>
      <c r="C46" s="28" t="s">
        <v>467</v>
      </c>
      <c r="D46" s="5" t="s">
        <v>407</v>
      </c>
      <c r="E46" s="22" t="s">
        <v>468</v>
      </c>
    </row>
    <row r="47" customFormat="false" ht="35.05" hidden="false" customHeight="false" outlineLevel="0" collapsed="false">
      <c r="A47" s="5" t="s">
        <v>469</v>
      </c>
      <c r="B47" s="5" t="s">
        <v>290</v>
      </c>
      <c r="C47" s="28" t="s">
        <v>470</v>
      </c>
      <c r="D47" s="5" t="s">
        <v>464</v>
      </c>
      <c r="E47" s="22" t="s">
        <v>471</v>
      </c>
    </row>
    <row r="48" customFormat="false" ht="15" hidden="false" customHeight="false" outlineLevel="0" collapsed="false">
      <c r="A48" s="5" t="s">
        <v>472</v>
      </c>
      <c r="B48" s="5" t="s">
        <v>290</v>
      </c>
      <c r="C48" s="28" t="s">
        <v>473</v>
      </c>
      <c r="D48" s="5" t="s">
        <v>407</v>
      </c>
      <c r="E48" s="22" t="s">
        <v>474</v>
      </c>
    </row>
    <row r="49" customFormat="false" ht="15" hidden="false" customHeight="false" outlineLevel="0" collapsed="false">
      <c r="A49" s="5" t="s">
        <v>475</v>
      </c>
      <c r="B49" s="5" t="s">
        <v>290</v>
      </c>
      <c r="C49" s="28" t="s">
        <v>476</v>
      </c>
      <c r="D49" s="5" t="s">
        <v>477</v>
      </c>
      <c r="E49" s="22" t="s">
        <v>478</v>
      </c>
    </row>
    <row r="50" customFormat="false" ht="15" hidden="false" customHeight="false" outlineLevel="0" collapsed="false">
      <c r="A50" s="5" t="s">
        <v>479</v>
      </c>
      <c r="B50" s="5" t="s">
        <v>290</v>
      </c>
      <c r="C50" s="28" t="s">
        <v>480</v>
      </c>
      <c r="D50" s="5" t="s">
        <v>481</v>
      </c>
      <c r="E50" s="22" t="s">
        <v>382</v>
      </c>
    </row>
    <row r="51" customFormat="false" ht="23.85" hidden="false" customHeight="false" outlineLevel="0" collapsed="false">
      <c r="A51" s="5" t="s">
        <v>482</v>
      </c>
      <c r="B51" s="5" t="s">
        <v>290</v>
      </c>
      <c r="C51" s="28" t="s">
        <v>483</v>
      </c>
      <c r="D51" s="5" t="s">
        <v>335</v>
      </c>
      <c r="E51" s="22" t="s">
        <v>336</v>
      </c>
    </row>
    <row r="52" customFormat="false" ht="15" hidden="false" customHeight="false" outlineLevel="0" collapsed="false">
      <c r="A52" s="5" t="s">
        <v>484</v>
      </c>
      <c r="B52" s="5" t="s">
        <v>290</v>
      </c>
      <c r="C52" s="28" t="s">
        <v>485</v>
      </c>
      <c r="D52" s="5" t="s">
        <v>331</v>
      </c>
      <c r="E52" s="22" t="s">
        <v>332</v>
      </c>
    </row>
    <row r="53" customFormat="false" ht="15" hidden="false" customHeight="false" outlineLevel="0" collapsed="false">
      <c r="A53" s="5" t="s">
        <v>486</v>
      </c>
      <c r="B53" s="5" t="s">
        <v>290</v>
      </c>
      <c r="C53" s="28" t="s">
        <v>487</v>
      </c>
      <c r="D53" s="5" t="s">
        <v>323</v>
      </c>
      <c r="E53" s="22" t="s">
        <v>397</v>
      </c>
    </row>
    <row r="54" customFormat="false" ht="23.85" hidden="false" customHeight="false" outlineLevel="0" collapsed="false">
      <c r="A54" s="5" t="s">
        <v>488</v>
      </c>
      <c r="B54" s="5" t="s">
        <v>290</v>
      </c>
      <c r="C54" s="28" t="s">
        <v>489</v>
      </c>
      <c r="D54" s="5" t="s">
        <v>490</v>
      </c>
      <c r="E54" s="22" t="s">
        <v>491</v>
      </c>
    </row>
    <row r="55" customFormat="false" ht="15" hidden="false" customHeight="false" outlineLevel="0" collapsed="false">
      <c r="A55" s="5" t="s">
        <v>492</v>
      </c>
      <c r="B55" s="5" t="s">
        <v>290</v>
      </c>
      <c r="C55" s="28" t="s">
        <v>493</v>
      </c>
      <c r="D55" s="5" t="s">
        <v>494</v>
      </c>
      <c r="E55" s="22" t="s">
        <v>495</v>
      </c>
    </row>
    <row r="56" customFormat="false" ht="15" hidden="false" customHeight="false" outlineLevel="0" collapsed="false">
      <c r="A56" s="5" t="s">
        <v>496</v>
      </c>
      <c r="B56" s="5" t="s">
        <v>290</v>
      </c>
      <c r="C56" s="28" t="s">
        <v>497</v>
      </c>
      <c r="D56" s="5" t="s">
        <v>498</v>
      </c>
      <c r="E56" s="22" t="s">
        <v>499</v>
      </c>
    </row>
    <row r="57" customFormat="false" ht="23.85" hidden="false" customHeight="false" outlineLevel="0" collapsed="false">
      <c r="A57" s="5" t="s">
        <v>500</v>
      </c>
      <c r="B57" s="5" t="s">
        <v>290</v>
      </c>
      <c r="C57" s="28" t="s">
        <v>501</v>
      </c>
      <c r="D57" s="5" t="s">
        <v>407</v>
      </c>
      <c r="E57" s="22" t="s">
        <v>502</v>
      </c>
    </row>
    <row r="58" customFormat="false" ht="23.85" hidden="false" customHeight="false" outlineLevel="0" collapsed="false">
      <c r="A58" s="5" t="s">
        <v>503</v>
      </c>
      <c r="B58" s="5" t="s">
        <v>290</v>
      </c>
      <c r="C58" s="28" t="s">
        <v>504</v>
      </c>
      <c r="D58" s="5" t="s">
        <v>407</v>
      </c>
      <c r="E58" s="22" t="s">
        <v>505</v>
      </c>
    </row>
    <row r="59" customFormat="false" ht="15" hidden="false" customHeight="false" outlineLevel="0" collapsed="false">
      <c r="A59" s="5" t="s">
        <v>506</v>
      </c>
      <c r="B59" s="5" t="s">
        <v>290</v>
      </c>
      <c r="C59" s="28" t="s">
        <v>507</v>
      </c>
      <c r="D59" s="5" t="s">
        <v>407</v>
      </c>
      <c r="E59" s="22" t="s">
        <v>508</v>
      </c>
    </row>
    <row r="60" customFormat="false" ht="23.85" hidden="false" customHeight="false" outlineLevel="0" collapsed="false">
      <c r="A60" s="5" t="s">
        <v>509</v>
      </c>
      <c r="B60" s="5" t="s">
        <v>290</v>
      </c>
      <c r="C60" s="28" t="s">
        <v>510</v>
      </c>
      <c r="D60" s="5" t="s">
        <v>356</v>
      </c>
      <c r="E60" s="22" t="s">
        <v>511</v>
      </c>
    </row>
    <row r="61" customFormat="false" ht="23.85" hidden="false" customHeight="false" outlineLevel="0" collapsed="false">
      <c r="A61" s="5" t="s">
        <v>512</v>
      </c>
      <c r="B61" s="5" t="s">
        <v>290</v>
      </c>
      <c r="C61" s="28" t="s">
        <v>513</v>
      </c>
      <c r="D61" s="5" t="s">
        <v>407</v>
      </c>
      <c r="E61" s="22" t="s">
        <v>514</v>
      </c>
    </row>
    <row r="62" customFormat="false" ht="15" hidden="false" customHeight="false" outlineLevel="0" collapsed="false">
      <c r="A62" s="5" t="s">
        <v>515</v>
      </c>
      <c r="B62" s="5" t="s">
        <v>290</v>
      </c>
      <c r="C62" s="28" t="s">
        <v>516</v>
      </c>
      <c r="D62" s="5" t="s">
        <v>323</v>
      </c>
      <c r="E62" s="22" t="s">
        <v>517</v>
      </c>
    </row>
    <row r="63" customFormat="false" ht="15" hidden="false" customHeight="false" outlineLevel="0" collapsed="false">
      <c r="A63" s="5" t="s">
        <v>518</v>
      </c>
      <c r="B63" s="5" t="s">
        <v>293</v>
      </c>
      <c r="C63" s="28" t="s">
        <v>519</v>
      </c>
      <c r="D63" s="5" t="s">
        <v>520</v>
      </c>
      <c r="E63" s="22" t="s">
        <v>521</v>
      </c>
    </row>
    <row r="64" customFormat="false" ht="15" hidden="false" customHeight="false" outlineLevel="0" collapsed="false">
      <c r="A64" s="5" t="s">
        <v>522</v>
      </c>
      <c r="B64" s="5" t="s">
        <v>293</v>
      </c>
      <c r="C64" s="28" t="s">
        <v>523</v>
      </c>
      <c r="D64" s="5" t="s">
        <v>335</v>
      </c>
      <c r="E64" s="22" t="s">
        <v>524</v>
      </c>
    </row>
    <row r="65" customFormat="false" ht="23.85" hidden="false" customHeight="false" outlineLevel="0" collapsed="false">
      <c r="A65" s="5" t="s">
        <v>525</v>
      </c>
      <c r="B65" s="5" t="s">
        <v>293</v>
      </c>
      <c r="C65" s="28" t="s">
        <v>526</v>
      </c>
      <c r="D65" s="5" t="s">
        <v>477</v>
      </c>
      <c r="E65" s="22" t="s">
        <v>527</v>
      </c>
    </row>
    <row r="66" customFormat="false" ht="15" hidden="false" customHeight="false" outlineLevel="0" collapsed="false">
      <c r="A66" s="5" t="s">
        <v>528</v>
      </c>
      <c r="B66" s="5" t="s">
        <v>293</v>
      </c>
      <c r="C66" s="28" t="s">
        <v>529</v>
      </c>
      <c r="D66" s="5" t="s">
        <v>364</v>
      </c>
      <c r="E66" s="22" t="s">
        <v>530</v>
      </c>
    </row>
    <row r="67" customFormat="false" ht="23.85" hidden="false" customHeight="false" outlineLevel="0" collapsed="false">
      <c r="A67" s="5" t="s">
        <v>531</v>
      </c>
      <c r="B67" s="5" t="s">
        <v>293</v>
      </c>
      <c r="C67" s="28" t="s">
        <v>532</v>
      </c>
      <c r="D67" s="5" t="s">
        <v>356</v>
      </c>
      <c r="E67" s="22" t="s">
        <v>413</v>
      </c>
    </row>
    <row r="68" customFormat="false" ht="15" hidden="false" customHeight="false" outlineLevel="0" collapsed="false">
      <c r="A68" s="5" t="s">
        <v>533</v>
      </c>
      <c r="B68" s="5" t="s">
        <v>293</v>
      </c>
      <c r="C68" s="28" t="s">
        <v>534</v>
      </c>
      <c r="D68" s="5" t="s">
        <v>360</v>
      </c>
      <c r="E68" s="22" t="s">
        <v>535</v>
      </c>
    </row>
    <row r="69" customFormat="false" ht="23.85" hidden="false" customHeight="false" outlineLevel="0" collapsed="false">
      <c r="A69" s="5" t="s">
        <v>536</v>
      </c>
      <c r="B69" s="5" t="s">
        <v>293</v>
      </c>
      <c r="C69" s="28" t="s">
        <v>537</v>
      </c>
      <c r="D69" s="5" t="s">
        <v>538</v>
      </c>
      <c r="E69" s="22" t="s">
        <v>539</v>
      </c>
    </row>
    <row r="70" customFormat="false" ht="15" hidden="false" customHeight="false" outlineLevel="0" collapsed="false">
      <c r="A70" s="5" t="s">
        <v>540</v>
      </c>
      <c r="B70" s="5" t="s">
        <v>293</v>
      </c>
      <c r="C70" s="28" t="s">
        <v>541</v>
      </c>
      <c r="D70" s="5" t="s">
        <v>542</v>
      </c>
      <c r="E70" s="22" t="s">
        <v>543</v>
      </c>
    </row>
    <row r="71" customFormat="false" ht="15" hidden="false" customHeight="false" outlineLevel="0" collapsed="false">
      <c r="A71" s="5" t="s">
        <v>544</v>
      </c>
      <c r="B71" s="5" t="s">
        <v>293</v>
      </c>
      <c r="C71" s="28" t="s">
        <v>545</v>
      </c>
      <c r="D71" s="5" t="s">
        <v>546</v>
      </c>
      <c r="E71" s="22" t="s">
        <v>547</v>
      </c>
    </row>
    <row r="72" customFormat="false" ht="15" hidden="false" customHeight="false" outlineLevel="0" collapsed="false">
      <c r="A72" s="5" t="s">
        <v>548</v>
      </c>
      <c r="B72" s="5" t="s">
        <v>293</v>
      </c>
      <c r="C72" s="28" t="s">
        <v>549</v>
      </c>
      <c r="D72" s="5" t="s">
        <v>550</v>
      </c>
      <c r="E72" s="22" t="s">
        <v>551</v>
      </c>
    </row>
    <row r="73" customFormat="false" ht="15" hidden="false" customHeight="false" outlineLevel="0" collapsed="false">
      <c r="A73" s="5" t="s">
        <v>552</v>
      </c>
      <c r="B73" s="5" t="s">
        <v>293</v>
      </c>
      <c r="C73" s="28" t="s">
        <v>553</v>
      </c>
      <c r="D73" s="5" t="s">
        <v>554</v>
      </c>
      <c r="E73" s="22" t="s">
        <v>555</v>
      </c>
    </row>
    <row r="74" customFormat="false" ht="15" hidden="false" customHeight="false" outlineLevel="0" collapsed="false">
      <c r="A74" s="5" t="s">
        <v>556</v>
      </c>
      <c r="B74" s="5" t="s">
        <v>293</v>
      </c>
      <c r="C74" s="28" t="s">
        <v>557</v>
      </c>
      <c r="D74" s="5" t="s">
        <v>558</v>
      </c>
      <c r="E74" s="22" t="s">
        <v>559</v>
      </c>
    </row>
    <row r="75" customFormat="false" ht="15" hidden="false" customHeight="false" outlineLevel="0" collapsed="false">
      <c r="A75" s="5" t="s">
        <v>560</v>
      </c>
      <c r="B75" s="5" t="s">
        <v>293</v>
      </c>
      <c r="C75" s="28" t="s">
        <v>561</v>
      </c>
      <c r="D75" s="5" t="s">
        <v>562</v>
      </c>
      <c r="E75" s="22" t="s">
        <v>563</v>
      </c>
    </row>
    <row r="76" customFormat="false" ht="23.85" hidden="false" customHeight="false" outlineLevel="0" collapsed="false">
      <c r="A76" s="5" t="s">
        <v>564</v>
      </c>
      <c r="B76" s="5" t="s">
        <v>293</v>
      </c>
      <c r="C76" s="28" t="s">
        <v>565</v>
      </c>
      <c r="D76" s="5" t="s">
        <v>520</v>
      </c>
      <c r="E76" s="22" t="s">
        <v>328</v>
      </c>
    </row>
    <row r="77" customFormat="false" ht="15" hidden="false" customHeight="false" outlineLevel="0" collapsed="false">
      <c r="A77" s="5" t="s">
        <v>566</v>
      </c>
      <c r="B77" s="5" t="s">
        <v>293</v>
      </c>
      <c r="C77" s="28" t="s">
        <v>567</v>
      </c>
      <c r="D77" s="5" t="s">
        <v>464</v>
      </c>
      <c r="E77" s="22" t="s">
        <v>568</v>
      </c>
    </row>
    <row r="78" customFormat="false" ht="23.85" hidden="false" customHeight="false" outlineLevel="0" collapsed="false">
      <c r="A78" s="5" t="s">
        <v>569</v>
      </c>
      <c r="B78" s="5" t="s">
        <v>293</v>
      </c>
      <c r="C78" s="28" t="s">
        <v>570</v>
      </c>
      <c r="D78" s="5" t="s">
        <v>422</v>
      </c>
      <c r="E78" s="22" t="s">
        <v>571</v>
      </c>
    </row>
    <row r="79" customFormat="false" ht="23.85" hidden="false" customHeight="false" outlineLevel="0" collapsed="false">
      <c r="A79" s="5" t="s">
        <v>572</v>
      </c>
      <c r="B79" s="5" t="s">
        <v>293</v>
      </c>
      <c r="C79" s="28" t="s">
        <v>573</v>
      </c>
      <c r="D79" s="5" t="s">
        <v>464</v>
      </c>
      <c r="E79" s="22" t="s">
        <v>574</v>
      </c>
    </row>
    <row r="80" customFormat="false" ht="23.85" hidden="false" customHeight="false" outlineLevel="0" collapsed="false">
      <c r="A80" s="5" t="s">
        <v>575</v>
      </c>
      <c r="B80" s="5" t="s">
        <v>293</v>
      </c>
      <c r="C80" s="28" t="s">
        <v>576</v>
      </c>
      <c r="D80" s="5" t="s">
        <v>464</v>
      </c>
      <c r="E80" s="22" t="s">
        <v>577</v>
      </c>
    </row>
    <row r="81" customFormat="false" ht="15" hidden="false" customHeight="false" outlineLevel="0" collapsed="false">
      <c r="A81" s="5" t="s">
        <v>578</v>
      </c>
      <c r="B81" s="5" t="s">
        <v>293</v>
      </c>
      <c r="C81" s="28" t="s">
        <v>579</v>
      </c>
      <c r="D81" s="5" t="s">
        <v>457</v>
      </c>
      <c r="E81" s="22" t="s">
        <v>580</v>
      </c>
    </row>
    <row r="82" customFormat="false" ht="15" hidden="false" customHeight="false" outlineLevel="0" collapsed="false">
      <c r="A82" s="5" t="s">
        <v>581</v>
      </c>
      <c r="B82" s="5" t="s">
        <v>293</v>
      </c>
      <c r="C82" s="28" t="s">
        <v>582</v>
      </c>
      <c r="D82" s="5" t="s">
        <v>583</v>
      </c>
      <c r="E82" s="22" t="s">
        <v>584</v>
      </c>
    </row>
    <row r="83" customFormat="false" ht="23.85" hidden="false" customHeight="false" outlineLevel="0" collapsed="false">
      <c r="A83" s="5" t="s">
        <v>585</v>
      </c>
      <c r="B83" s="5" t="s">
        <v>293</v>
      </c>
      <c r="C83" s="28" t="s">
        <v>586</v>
      </c>
      <c r="D83" s="5" t="s">
        <v>368</v>
      </c>
      <c r="E83" s="22" t="s">
        <v>587</v>
      </c>
    </row>
    <row r="84" customFormat="false" ht="15" hidden="false" customHeight="false" outlineLevel="0" collapsed="false">
      <c r="A84" s="5" t="s">
        <v>588</v>
      </c>
      <c r="B84" s="5" t="s">
        <v>293</v>
      </c>
      <c r="C84" s="28" t="s">
        <v>589</v>
      </c>
      <c r="D84" s="5" t="s">
        <v>477</v>
      </c>
      <c r="E84" s="22" t="s">
        <v>590</v>
      </c>
    </row>
    <row r="85" customFormat="false" ht="15" hidden="false" customHeight="false" outlineLevel="0" collapsed="false">
      <c r="A85" s="5" t="s">
        <v>591</v>
      </c>
      <c r="B85" s="5" t="s">
        <v>293</v>
      </c>
      <c r="C85" s="28" t="s">
        <v>592</v>
      </c>
      <c r="D85" s="5" t="s">
        <v>385</v>
      </c>
      <c r="E85" s="22" t="s">
        <v>593</v>
      </c>
    </row>
    <row r="86" customFormat="false" ht="15" hidden="false" customHeight="false" outlineLevel="0" collapsed="false">
      <c r="A86" s="5" t="s">
        <v>594</v>
      </c>
      <c r="B86" s="5" t="s">
        <v>293</v>
      </c>
      <c r="C86" s="28" t="s">
        <v>595</v>
      </c>
      <c r="D86" s="5" t="s">
        <v>596</v>
      </c>
      <c r="E86" s="22" t="s">
        <v>597</v>
      </c>
    </row>
    <row r="87" customFormat="false" ht="23.85" hidden="false" customHeight="false" outlineLevel="0" collapsed="false">
      <c r="A87" s="5" t="s">
        <v>598</v>
      </c>
      <c r="B87" s="5" t="s">
        <v>293</v>
      </c>
      <c r="C87" s="28" t="s">
        <v>599</v>
      </c>
      <c r="D87" s="5" t="s">
        <v>331</v>
      </c>
      <c r="E87" s="22" t="s">
        <v>600</v>
      </c>
    </row>
    <row r="88" customFormat="false" ht="23.85" hidden="false" customHeight="false" outlineLevel="0" collapsed="false">
      <c r="A88" s="5" t="s">
        <v>601</v>
      </c>
      <c r="B88" s="5" t="s">
        <v>293</v>
      </c>
      <c r="C88" s="28" t="s">
        <v>602</v>
      </c>
      <c r="D88" s="5" t="s">
        <v>422</v>
      </c>
      <c r="E88" s="22" t="s">
        <v>603</v>
      </c>
    </row>
    <row r="89" customFormat="false" ht="23.85" hidden="false" customHeight="false" outlineLevel="0" collapsed="false">
      <c r="A89" s="5" t="s">
        <v>604</v>
      </c>
      <c r="B89" s="5" t="s">
        <v>293</v>
      </c>
      <c r="C89" s="28" t="s">
        <v>605</v>
      </c>
      <c r="D89" s="5" t="s">
        <v>606</v>
      </c>
      <c r="E89" s="22" t="s">
        <v>607</v>
      </c>
    </row>
    <row r="90" customFormat="false" ht="23.85" hidden="false" customHeight="false" outlineLevel="0" collapsed="false">
      <c r="A90" s="5" t="s">
        <v>608</v>
      </c>
      <c r="B90" s="5" t="s">
        <v>293</v>
      </c>
      <c r="C90" s="28" t="s">
        <v>609</v>
      </c>
      <c r="D90" s="5" t="s">
        <v>520</v>
      </c>
      <c r="E90" s="22" t="s">
        <v>610</v>
      </c>
    </row>
    <row r="91" customFormat="false" ht="23.85" hidden="false" customHeight="false" outlineLevel="0" collapsed="false">
      <c r="A91" s="5" t="s">
        <v>611</v>
      </c>
      <c r="B91" s="5" t="s">
        <v>293</v>
      </c>
      <c r="C91" s="28" t="s">
        <v>612</v>
      </c>
      <c r="D91" s="5" t="s">
        <v>385</v>
      </c>
      <c r="E91" s="22" t="s">
        <v>613</v>
      </c>
    </row>
    <row r="92" customFormat="false" ht="23.85" hidden="false" customHeight="false" outlineLevel="0" collapsed="false">
      <c r="A92" s="5" t="s">
        <v>614</v>
      </c>
      <c r="B92" s="5" t="s">
        <v>293</v>
      </c>
      <c r="C92" s="28" t="s">
        <v>615</v>
      </c>
      <c r="D92" s="5" t="s">
        <v>616</v>
      </c>
      <c r="E92" s="22" t="s">
        <v>617</v>
      </c>
    </row>
    <row r="93" customFormat="false" ht="15" hidden="false" customHeight="false" outlineLevel="0" collapsed="false">
      <c r="A93" s="5" t="s">
        <v>618</v>
      </c>
      <c r="B93" s="5" t="s">
        <v>293</v>
      </c>
      <c r="C93" s="28" t="s">
        <v>619</v>
      </c>
      <c r="D93" s="5" t="s">
        <v>620</v>
      </c>
      <c r="E93" s="22" t="s">
        <v>621</v>
      </c>
    </row>
    <row r="94" customFormat="false" ht="15" hidden="false" customHeight="false" outlineLevel="0" collapsed="false">
      <c r="A94" s="5" t="s">
        <v>622</v>
      </c>
      <c r="B94" s="5" t="s">
        <v>296</v>
      </c>
      <c r="C94" s="28" t="s">
        <v>623</v>
      </c>
      <c r="D94" s="5" t="s">
        <v>323</v>
      </c>
      <c r="E94" s="22" t="s">
        <v>324</v>
      </c>
    </row>
    <row r="95" customFormat="false" ht="23.85" hidden="false" customHeight="false" outlineLevel="0" collapsed="false">
      <c r="A95" s="5" t="s">
        <v>624</v>
      </c>
      <c r="B95" s="5" t="s">
        <v>296</v>
      </c>
      <c r="C95" s="28" t="s">
        <v>625</v>
      </c>
      <c r="D95" s="5" t="s">
        <v>400</v>
      </c>
      <c r="E95" s="22" t="s">
        <v>626</v>
      </c>
    </row>
    <row r="96" customFormat="false" ht="23.85" hidden="false" customHeight="false" outlineLevel="0" collapsed="false">
      <c r="A96" s="5" t="s">
        <v>627</v>
      </c>
      <c r="B96" s="5" t="s">
        <v>296</v>
      </c>
      <c r="C96" s="28" t="s">
        <v>628</v>
      </c>
      <c r="D96" s="5" t="s">
        <v>356</v>
      </c>
      <c r="E96" s="22" t="s">
        <v>413</v>
      </c>
    </row>
    <row r="97" customFormat="false" ht="23.85" hidden="false" customHeight="false" outlineLevel="0" collapsed="false">
      <c r="A97" s="5" t="s">
        <v>629</v>
      </c>
      <c r="B97" s="5" t="s">
        <v>296</v>
      </c>
      <c r="C97" s="28" t="s">
        <v>630</v>
      </c>
      <c r="D97" s="5" t="s">
        <v>631</v>
      </c>
      <c r="E97" s="22" t="s">
        <v>632</v>
      </c>
    </row>
    <row r="98" customFormat="false" ht="15" hidden="false" customHeight="false" outlineLevel="0" collapsed="false">
      <c r="A98" s="5" t="s">
        <v>633</v>
      </c>
      <c r="B98" s="5" t="s">
        <v>296</v>
      </c>
      <c r="C98" s="28" t="s">
        <v>634</v>
      </c>
      <c r="D98" s="5" t="s">
        <v>635</v>
      </c>
      <c r="E98" s="22" t="s">
        <v>636</v>
      </c>
    </row>
    <row r="99" customFormat="false" ht="23.85" hidden="false" customHeight="false" outlineLevel="0" collapsed="false">
      <c r="A99" s="5" t="s">
        <v>637</v>
      </c>
      <c r="B99" s="5" t="s">
        <v>296</v>
      </c>
      <c r="C99" s="28" t="s">
        <v>638</v>
      </c>
      <c r="D99" s="5" t="s">
        <v>407</v>
      </c>
      <c r="E99" s="22" t="s">
        <v>471</v>
      </c>
    </row>
    <row r="100" customFormat="false" ht="23.85" hidden="false" customHeight="false" outlineLevel="0" collapsed="false">
      <c r="A100" s="5" t="s">
        <v>639</v>
      </c>
      <c r="B100" s="5" t="s">
        <v>296</v>
      </c>
      <c r="C100" s="28" t="s">
        <v>640</v>
      </c>
      <c r="D100" s="5" t="s">
        <v>641</v>
      </c>
      <c r="E100" s="22" t="s">
        <v>642</v>
      </c>
    </row>
    <row r="101" customFormat="false" ht="23.85" hidden="false" customHeight="false" outlineLevel="0" collapsed="false">
      <c r="A101" s="5" t="s">
        <v>643</v>
      </c>
      <c r="B101" s="5" t="s">
        <v>296</v>
      </c>
      <c r="C101" s="28" t="s">
        <v>644</v>
      </c>
      <c r="D101" s="5" t="s">
        <v>323</v>
      </c>
      <c r="E101" s="22" t="s">
        <v>645</v>
      </c>
    </row>
    <row r="102" customFormat="false" ht="23.85" hidden="false" customHeight="false" outlineLevel="0" collapsed="false">
      <c r="A102" s="5" t="s">
        <v>646</v>
      </c>
      <c r="B102" s="5" t="s">
        <v>296</v>
      </c>
      <c r="C102" s="28" t="s">
        <v>647</v>
      </c>
      <c r="D102" s="5" t="s">
        <v>457</v>
      </c>
      <c r="E102" s="22" t="s">
        <v>648</v>
      </c>
    </row>
    <row r="103" customFormat="false" ht="23.85" hidden="false" customHeight="false" outlineLevel="0" collapsed="false">
      <c r="A103" s="5" t="s">
        <v>649</v>
      </c>
      <c r="B103" s="5" t="s">
        <v>296</v>
      </c>
      <c r="C103" s="28" t="s">
        <v>650</v>
      </c>
      <c r="D103" s="5" t="s">
        <v>407</v>
      </c>
      <c r="E103" s="22" t="s">
        <v>436</v>
      </c>
    </row>
    <row r="104" customFormat="false" ht="23.85" hidden="false" customHeight="false" outlineLevel="0" collapsed="false">
      <c r="A104" s="5" t="s">
        <v>651</v>
      </c>
      <c r="B104" s="5" t="s">
        <v>296</v>
      </c>
      <c r="C104" s="28" t="s">
        <v>652</v>
      </c>
      <c r="D104" s="5" t="s">
        <v>653</v>
      </c>
      <c r="E104" s="22" t="s">
        <v>654</v>
      </c>
    </row>
    <row r="105" customFormat="false" ht="15" hidden="false" customHeight="false" outlineLevel="0" collapsed="false">
      <c r="A105" s="5" t="s">
        <v>655</v>
      </c>
      <c r="B105" s="5" t="s">
        <v>296</v>
      </c>
      <c r="C105" s="28" t="s">
        <v>656</v>
      </c>
      <c r="D105" s="5" t="s">
        <v>606</v>
      </c>
      <c r="E105" s="22" t="s">
        <v>657</v>
      </c>
    </row>
    <row r="106" customFormat="false" ht="23.85" hidden="false" customHeight="false" outlineLevel="0" collapsed="false">
      <c r="A106" s="5" t="s">
        <v>658</v>
      </c>
      <c r="B106" s="5" t="s">
        <v>296</v>
      </c>
      <c r="C106" s="28" t="s">
        <v>659</v>
      </c>
      <c r="D106" s="5" t="s">
        <v>464</v>
      </c>
      <c r="E106" s="22" t="s">
        <v>660</v>
      </c>
    </row>
    <row r="107" customFormat="false" ht="23.85" hidden="false" customHeight="false" outlineLevel="0" collapsed="false">
      <c r="A107" s="5" t="s">
        <v>661</v>
      </c>
      <c r="B107" s="5" t="s">
        <v>296</v>
      </c>
      <c r="C107" s="28" t="s">
        <v>662</v>
      </c>
      <c r="D107" s="5" t="s">
        <v>407</v>
      </c>
      <c r="E107" s="22" t="s">
        <v>663</v>
      </c>
    </row>
    <row r="108" customFormat="false" ht="23.85" hidden="false" customHeight="false" outlineLevel="0" collapsed="false">
      <c r="A108" s="5" t="s">
        <v>664</v>
      </c>
      <c r="B108" s="5" t="s">
        <v>296</v>
      </c>
      <c r="C108" s="28" t="s">
        <v>665</v>
      </c>
      <c r="D108" s="5" t="s">
        <v>464</v>
      </c>
      <c r="E108" s="22" t="s">
        <v>666</v>
      </c>
    </row>
    <row r="109" customFormat="false" ht="23.85" hidden="false" customHeight="false" outlineLevel="0" collapsed="false">
      <c r="A109" s="5" t="s">
        <v>667</v>
      </c>
      <c r="B109" s="5" t="s">
        <v>296</v>
      </c>
      <c r="C109" s="28" t="s">
        <v>668</v>
      </c>
      <c r="D109" s="5" t="s">
        <v>335</v>
      </c>
      <c r="E109" s="22" t="s">
        <v>669</v>
      </c>
    </row>
    <row r="110" customFormat="false" ht="23.85" hidden="false" customHeight="false" outlineLevel="0" collapsed="false">
      <c r="A110" s="5" t="s">
        <v>670</v>
      </c>
      <c r="B110" s="5" t="s">
        <v>296</v>
      </c>
      <c r="C110" s="28" t="s">
        <v>671</v>
      </c>
      <c r="D110" s="5" t="s">
        <v>364</v>
      </c>
      <c r="E110" s="22" t="s">
        <v>365</v>
      </c>
    </row>
    <row r="111" customFormat="false" ht="15" hidden="false" customHeight="false" outlineLevel="0" collapsed="false">
      <c r="A111" s="5" t="s">
        <v>672</v>
      </c>
      <c r="B111" s="5" t="s">
        <v>296</v>
      </c>
      <c r="C111" s="28" t="s">
        <v>673</v>
      </c>
      <c r="D111" s="5" t="s">
        <v>554</v>
      </c>
      <c r="E111" s="22" t="s">
        <v>674</v>
      </c>
    </row>
    <row r="112" customFormat="false" ht="15" hidden="false" customHeight="false" outlineLevel="0" collapsed="false">
      <c r="A112" s="5" t="s">
        <v>675</v>
      </c>
      <c r="B112" s="5" t="s">
        <v>296</v>
      </c>
      <c r="C112" s="28" t="s">
        <v>676</v>
      </c>
      <c r="D112" s="5" t="s">
        <v>407</v>
      </c>
      <c r="E112" s="22" t="s">
        <v>574</v>
      </c>
    </row>
    <row r="113" customFormat="false" ht="23.85" hidden="false" customHeight="false" outlineLevel="0" collapsed="false">
      <c r="A113" s="5" t="s">
        <v>677</v>
      </c>
      <c r="B113" s="5" t="s">
        <v>296</v>
      </c>
      <c r="C113" s="28" t="s">
        <v>678</v>
      </c>
      <c r="D113" s="5" t="s">
        <v>323</v>
      </c>
      <c r="E113" s="22" t="s">
        <v>397</v>
      </c>
    </row>
    <row r="114" customFormat="false" ht="23.85" hidden="false" customHeight="false" outlineLevel="0" collapsed="false">
      <c r="A114" s="5" t="s">
        <v>679</v>
      </c>
      <c r="B114" s="5" t="s">
        <v>296</v>
      </c>
      <c r="C114" s="28" t="s">
        <v>680</v>
      </c>
      <c r="D114" s="5" t="s">
        <v>327</v>
      </c>
      <c r="E114" s="22" t="s">
        <v>681</v>
      </c>
    </row>
    <row r="115" customFormat="false" ht="35.05" hidden="false" customHeight="false" outlineLevel="0" collapsed="false">
      <c r="A115" s="5" t="s">
        <v>682</v>
      </c>
      <c r="B115" s="5" t="s">
        <v>296</v>
      </c>
      <c r="C115" s="28" t="s">
        <v>683</v>
      </c>
      <c r="D115" s="5" t="s">
        <v>335</v>
      </c>
      <c r="E115" s="22" t="s">
        <v>684</v>
      </c>
    </row>
    <row r="116" customFormat="false" ht="23.85" hidden="false" customHeight="false" outlineLevel="0" collapsed="false">
      <c r="A116" s="5" t="s">
        <v>685</v>
      </c>
      <c r="B116" s="5" t="s">
        <v>296</v>
      </c>
      <c r="C116" s="28" t="s">
        <v>686</v>
      </c>
      <c r="D116" s="5" t="s">
        <v>407</v>
      </c>
      <c r="E116" s="22" t="s">
        <v>687</v>
      </c>
    </row>
    <row r="117" customFormat="false" ht="35.05" hidden="false" customHeight="false" outlineLevel="0" collapsed="false">
      <c r="A117" s="5" t="s">
        <v>688</v>
      </c>
      <c r="B117" s="5" t="s">
        <v>296</v>
      </c>
      <c r="C117" s="28" t="s">
        <v>689</v>
      </c>
      <c r="D117" s="5" t="s">
        <v>690</v>
      </c>
      <c r="E117" s="22" t="s">
        <v>691</v>
      </c>
    </row>
    <row r="118" customFormat="false" ht="23.85" hidden="false" customHeight="false" outlineLevel="0" collapsed="false">
      <c r="A118" s="5" t="s">
        <v>692</v>
      </c>
      <c r="B118" s="5" t="s">
        <v>296</v>
      </c>
      <c r="C118" s="28" t="s">
        <v>693</v>
      </c>
      <c r="D118" s="5" t="s">
        <v>407</v>
      </c>
      <c r="E118" s="22" t="s">
        <v>694</v>
      </c>
    </row>
    <row r="119" customFormat="false" ht="23.85" hidden="false" customHeight="false" outlineLevel="0" collapsed="false">
      <c r="A119" s="5" t="s">
        <v>695</v>
      </c>
      <c r="B119" s="5" t="s">
        <v>296</v>
      </c>
      <c r="C119" s="28" t="s">
        <v>696</v>
      </c>
      <c r="D119" s="5" t="s">
        <v>400</v>
      </c>
      <c r="E119" s="22" t="s">
        <v>645</v>
      </c>
    </row>
    <row r="120" customFormat="false" ht="23.85" hidden="false" customHeight="false" outlineLevel="0" collapsed="false">
      <c r="A120" s="5" t="s">
        <v>697</v>
      </c>
      <c r="B120" s="5" t="s">
        <v>296</v>
      </c>
      <c r="C120" s="28" t="s">
        <v>698</v>
      </c>
      <c r="D120" s="5" t="s">
        <v>400</v>
      </c>
      <c r="E120" s="22" t="s">
        <v>382</v>
      </c>
    </row>
    <row r="121" customFormat="false" ht="23.85" hidden="false" customHeight="false" outlineLevel="0" collapsed="false">
      <c r="A121" s="5" t="s">
        <v>699</v>
      </c>
      <c r="B121" s="5" t="s">
        <v>299</v>
      </c>
      <c r="C121" s="28" t="s">
        <v>700</v>
      </c>
      <c r="D121" s="5" t="s">
        <v>356</v>
      </c>
      <c r="E121" s="22" t="s">
        <v>701</v>
      </c>
    </row>
    <row r="122" customFormat="false" ht="23.85" hidden="false" customHeight="false" outlineLevel="0" collapsed="false">
      <c r="A122" s="5" t="s">
        <v>702</v>
      </c>
      <c r="B122" s="5" t="s">
        <v>299</v>
      </c>
      <c r="C122" s="28" t="s">
        <v>703</v>
      </c>
      <c r="D122" s="5" t="s">
        <v>356</v>
      </c>
      <c r="E122" s="22" t="s">
        <v>626</v>
      </c>
    </row>
    <row r="123" customFormat="false" ht="35.05" hidden="false" customHeight="false" outlineLevel="0" collapsed="false">
      <c r="A123" s="5" t="s">
        <v>704</v>
      </c>
      <c r="B123" s="5" t="s">
        <v>299</v>
      </c>
      <c r="C123" s="28" t="s">
        <v>705</v>
      </c>
      <c r="D123" s="5" t="s">
        <v>323</v>
      </c>
      <c r="E123" s="22" t="s">
        <v>324</v>
      </c>
    </row>
    <row r="124" customFormat="false" ht="23.85" hidden="false" customHeight="false" outlineLevel="0" collapsed="false">
      <c r="A124" s="5" t="s">
        <v>706</v>
      </c>
      <c r="B124" s="5" t="s">
        <v>299</v>
      </c>
      <c r="C124" s="28" t="s">
        <v>707</v>
      </c>
      <c r="D124" s="5" t="s">
        <v>364</v>
      </c>
      <c r="E124" s="22" t="s">
        <v>365</v>
      </c>
    </row>
    <row r="125" customFormat="false" ht="23.85" hidden="false" customHeight="false" outlineLevel="0" collapsed="false">
      <c r="A125" s="5" t="s">
        <v>708</v>
      </c>
      <c r="B125" s="5" t="s">
        <v>299</v>
      </c>
      <c r="C125" s="28" t="s">
        <v>709</v>
      </c>
      <c r="D125" s="5" t="s">
        <v>368</v>
      </c>
      <c r="E125" s="22" t="s">
        <v>369</v>
      </c>
    </row>
    <row r="126" customFormat="false" ht="23.85" hidden="false" customHeight="false" outlineLevel="0" collapsed="false">
      <c r="A126" s="5" t="s">
        <v>710</v>
      </c>
      <c r="B126" s="5" t="s">
        <v>299</v>
      </c>
      <c r="C126" s="28" t="s">
        <v>711</v>
      </c>
      <c r="D126" s="5" t="s">
        <v>331</v>
      </c>
      <c r="E126" s="22" t="s">
        <v>332</v>
      </c>
    </row>
    <row r="127" customFormat="false" ht="23.85" hidden="false" customHeight="false" outlineLevel="0" collapsed="false">
      <c r="A127" s="5" t="s">
        <v>712</v>
      </c>
      <c r="B127" s="5" t="s">
        <v>299</v>
      </c>
      <c r="C127" s="28" t="s">
        <v>713</v>
      </c>
      <c r="D127" s="5" t="s">
        <v>389</v>
      </c>
      <c r="E127" s="22" t="s">
        <v>714</v>
      </c>
    </row>
    <row r="128" customFormat="false" ht="23.85" hidden="false" customHeight="false" outlineLevel="0" collapsed="false">
      <c r="A128" s="5" t="s">
        <v>715</v>
      </c>
      <c r="B128" s="5" t="s">
        <v>299</v>
      </c>
      <c r="C128" s="28" t="s">
        <v>716</v>
      </c>
      <c r="D128" s="5" t="s">
        <v>717</v>
      </c>
      <c r="E128" s="22" t="s">
        <v>718</v>
      </c>
    </row>
    <row r="129" customFormat="false" ht="23.85" hidden="false" customHeight="false" outlineLevel="0" collapsed="false">
      <c r="A129" s="5" t="s">
        <v>719</v>
      </c>
      <c r="B129" s="5" t="s">
        <v>299</v>
      </c>
      <c r="C129" s="28" t="s">
        <v>720</v>
      </c>
      <c r="D129" s="5" t="s">
        <v>721</v>
      </c>
      <c r="E129" s="22" t="s">
        <v>722</v>
      </c>
    </row>
    <row r="130" customFormat="false" ht="23.85" hidden="false" customHeight="false" outlineLevel="0" collapsed="false">
      <c r="A130" s="5" t="s">
        <v>723</v>
      </c>
      <c r="B130" s="5" t="s">
        <v>299</v>
      </c>
      <c r="C130" s="28" t="s">
        <v>724</v>
      </c>
      <c r="D130" s="5" t="s">
        <v>725</v>
      </c>
      <c r="E130" s="22" t="s">
        <v>726</v>
      </c>
    </row>
    <row r="131" customFormat="false" ht="23.85" hidden="false" customHeight="false" outlineLevel="0" collapsed="false">
      <c r="A131" s="5" t="s">
        <v>727</v>
      </c>
      <c r="B131" s="5" t="s">
        <v>299</v>
      </c>
      <c r="C131" s="28" t="s">
        <v>728</v>
      </c>
      <c r="D131" s="5" t="s">
        <v>400</v>
      </c>
      <c r="E131" s="22" t="s">
        <v>729</v>
      </c>
    </row>
    <row r="132" customFormat="false" ht="15" hidden="false" customHeight="false" outlineLevel="0" collapsed="false">
      <c r="A132" s="5" t="s">
        <v>730</v>
      </c>
      <c r="B132" s="5" t="s">
        <v>299</v>
      </c>
      <c r="C132" s="28" t="s">
        <v>731</v>
      </c>
      <c r="D132" s="5" t="s">
        <v>400</v>
      </c>
      <c r="E132" s="22" t="s">
        <v>732</v>
      </c>
    </row>
    <row r="133" customFormat="false" ht="23.85" hidden="false" customHeight="false" outlineLevel="0" collapsed="false">
      <c r="A133" s="5" t="s">
        <v>733</v>
      </c>
      <c r="B133" s="5" t="s">
        <v>299</v>
      </c>
      <c r="C133" s="28" t="s">
        <v>734</v>
      </c>
      <c r="D133" s="5" t="s">
        <v>400</v>
      </c>
      <c r="E133" s="22" t="s">
        <v>735</v>
      </c>
    </row>
    <row r="134" customFormat="false" ht="23.85" hidden="false" customHeight="false" outlineLevel="0" collapsed="false">
      <c r="A134" s="5" t="s">
        <v>736</v>
      </c>
      <c r="B134" s="5" t="s">
        <v>299</v>
      </c>
      <c r="C134" s="28" t="s">
        <v>737</v>
      </c>
      <c r="D134" s="5" t="s">
        <v>400</v>
      </c>
      <c r="E134" s="22" t="s">
        <v>738</v>
      </c>
    </row>
    <row r="135" customFormat="false" ht="23.85" hidden="false" customHeight="false" outlineLevel="0" collapsed="false">
      <c r="A135" s="5" t="s">
        <v>739</v>
      </c>
      <c r="B135" s="5" t="s">
        <v>299</v>
      </c>
      <c r="C135" s="28" t="s">
        <v>740</v>
      </c>
      <c r="D135" s="5" t="s">
        <v>356</v>
      </c>
      <c r="E135" s="22" t="s">
        <v>741</v>
      </c>
    </row>
    <row r="136" customFormat="false" ht="23.85" hidden="false" customHeight="false" outlineLevel="0" collapsed="false">
      <c r="A136" s="5" t="s">
        <v>742</v>
      </c>
      <c r="B136" s="5" t="s">
        <v>299</v>
      </c>
      <c r="C136" s="28" t="s">
        <v>743</v>
      </c>
      <c r="D136" s="5" t="s">
        <v>356</v>
      </c>
      <c r="E136" s="22" t="s">
        <v>744</v>
      </c>
    </row>
    <row r="137" customFormat="false" ht="23.85" hidden="false" customHeight="false" outlineLevel="0" collapsed="false">
      <c r="A137" s="5" t="s">
        <v>745</v>
      </c>
      <c r="B137" s="5" t="s">
        <v>299</v>
      </c>
      <c r="C137" s="28" t="s">
        <v>746</v>
      </c>
      <c r="D137" s="5" t="s">
        <v>400</v>
      </c>
      <c r="E137" s="22" t="s">
        <v>747</v>
      </c>
    </row>
    <row r="138" customFormat="false" ht="23.85" hidden="false" customHeight="false" outlineLevel="0" collapsed="false">
      <c r="A138" s="5" t="s">
        <v>748</v>
      </c>
      <c r="B138" s="5" t="s">
        <v>299</v>
      </c>
      <c r="C138" s="28" t="s">
        <v>749</v>
      </c>
      <c r="D138" s="5" t="s">
        <v>400</v>
      </c>
      <c r="E138" s="22" t="s">
        <v>750</v>
      </c>
    </row>
    <row r="139" customFormat="false" ht="23.85" hidden="false" customHeight="false" outlineLevel="0" collapsed="false">
      <c r="A139" s="5" t="s">
        <v>751</v>
      </c>
      <c r="B139" s="5" t="s">
        <v>299</v>
      </c>
      <c r="C139" s="28" t="s">
        <v>752</v>
      </c>
      <c r="D139" s="5" t="s">
        <v>400</v>
      </c>
      <c r="E139" s="22" t="s">
        <v>753</v>
      </c>
    </row>
    <row r="140" customFormat="false" ht="23.85" hidden="false" customHeight="false" outlineLevel="0" collapsed="false">
      <c r="A140" s="5" t="s">
        <v>754</v>
      </c>
      <c r="B140" s="5" t="s">
        <v>299</v>
      </c>
      <c r="C140" s="28" t="s">
        <v>755</v>
      </c>
      <c r="D140" s="5" t="s">
        <v>554</v>
      </c>
      <c r="E140" s="22" t="s">
        <v>756</v>
      </c>
    </row>
    <row r="141" customFormat="false" ht="15" hidden="false" customHeight="false" outlineLevel="0" collapsed="false">
      <c r="A141" s="5" t="s">
        <v>757</v>
      </c>
      <c r="B141" s="5" t="s">
        <v>299</v>
      </c>
      <c r="C141" s="28" t="s">
        <v>758</v>
      </c>
      <c r="D141" s="5" t="s">
        <v>481</v>
      </c>
      <c r="E141" s="22" t="s">
        <v>759</v>
      </c>
    </row>
    <row r="142" customFormat="false" ht="46.25" hidden="false" customHeight="false" outlineLevel="0" collapsed="false">
      <c r="A142" s="5" t="s">
        <v>760</v>
      </c>
      <c r="B142" s="5" t="s">
        <v>299</v>
      </c>
      <c r="C142" s="28" t="s">
        <v>761</v>
      </c>
      <c r="D142" s="5" t="s">
        <v>335</v>
      </c>
      <c r="E142" s="22" t="s">
        <v>336</v>
      </c>
    </row>
    <row r="143" customFormat="false" ht="23.85" hidden="false" customHeight="false" outlineLevel="0" collapsed="false">
      <c r="A143" s="5" t="s">
        <v>762</v>
      </c>
      <c r="B143" s="5" t="s">
        <v>299</v>
      </c>
      <c r="C143" s="28" t="s">
        <v>763</v>
      </c>
      <c r="D143" s="5" t="s">
        <v>335</v>
      </c>
      <c r="E143" s="22" t="s">
        <v>764</v>
      </c>
    </row>
    <row r="144" customFormat="false" ht="15" hidden="false" customHeight="false" outlineLevel="0" collapsed="false">
      <c r="A144" s="5" t="s">
        <v>765</v>
      </c>
      <c r="B144" s="5" t="s">
        <v>299</v>
      </c>
      <c r="C144" s="28" t="s">
        <v>766</v>
      </c>
      <c r="D144" s="5" t="s">
        <v>767</v>
      </c>
      <c r="E144" s="22" t="s">
        <v>669</v>
      </c>
    </row>
    <row r="145" customFormat="false" ht="23.85" hidden="false" customHeight="false" outlineLevel="0" collapsed="false">
      <c r="A145" s="5" t="s">
        <v>768</v>
      </c>
      <c r="B145" s="5" t="s">
        <v>299</v>
      </c>
      <c r="C145" s="28" t="s">
        <v>769</v>
      </c>
      <c r="D145" s="5" t="s">
        <v>400</v>
      </c>
      <c r="E145" s="22" t="s">
        <v>401</v>
      </c>
    </row>
    <row r="146" customFormat="false" ht="35.05" hidden="false" customHeight="false" outlineLevel="0" collapsed="false">
      <c r="A146" s="5" t="s">
        <v>770</v>
      </c>
      <c r="B146" s="5" t="s">
        <v>299</v>
      </c>
      <c r="C146" s="28" t="s">
        <v>771</v>
      </c>
      <c r="D146" s="5" t="s">
        <v>400</v>
      </c>
      <c r="E146" s="22" t="s">
        <v>772</v>
      </c>
    </row>
    <row r="147" customFormat="false" ht="23.85" hidden="false" customHeight="false" outlineLevel="0" collapsed="false">
      <c r="A147" s="5" t="s">
        <v>773</v>
      </c>
      <c r="B147" s="5" t="s">
        <v>774</v>
      </c>
      <c r="C147" s="28" t="s">
        <v>775</v>
      </c>
      <c r="D147" s="5" t="s">
        <v>776</v>
      </c>
      <c r="E147" s="22" t="s">
        <v>465</v>
      </c>
    </row>
    <row r="148" customFormat="false" ht="15" hidden="false" customHeight="false" outlineLevel="0" collapsed="false">
      <c r="A148" s="5" t="s">
        <v>777</v>
      </c>
      <c r="B148" s="5" t="s">
        <v>774</v>
      </c>
      <c r="C148" s="28" t="s">
        <v>778</v>
      </c>
      <c r="D148" s="5" t="s">
        <v>554</v>
      </c>
      <c r="E148" s="22" t="s">
        <v>779</v>
      </c>
    </row>
    <row r="149" customFormat="false" ht="23.85" hidden="false" customHeight="false" outlineLevel="0" collapsed="false">
      <c r="A149" s="5" t="s">
        <v>780</v>
      </c>
      <c r="B149" s="5" t="s">
        <v>774</v>
      </c>
      <c r="C149" s="28" t="s">
        <v>781</v>
      </c>
      <c r="D149" s="5" t="s">
        <v>385</v>
      </c>
      <c r="E149" s="22" t="s">
        <v>613</v>
      </c>
    </row>
    <row r="150" customFormat="false" ht="23.85" hidden="false" customHeight="false" outlineLevel="0" collapsed="false">
      <c r="A150" s="5" t="s">
        <v>782</v>
      </c>
      <c r="B150" s="5" t="s">
        <v>774</v>
      </c>
      <c r="C150" s="28" t="s">
        <v>576</v>
      </c>
      <c r="D150" s="5" t="s">
        <v>372</v>
      </c>
      <c r="E150" s="22" t="s">
        <v>373</v>
      </c>
    </row>
    <row r="151" customFormat="false" ht="23.85" hidden="false" customHeight="false" outlineLevel="0" collapsed="false">
      <c r="A151" s="5" t="s">
        <v>783</v>
      </c>
      <c r="B151" s="5" t="s">
        <v>774</v>
      </c>
      <c r="C151" s="28" t="s">
        <v>784</v>
      </c>
      <c r="D151" s="5" t="s">
        <v>407</v>
      </c>
      <c r="E151" s="22" t="s">
        <v>461</v>
      </c>
    </row>
    <row r="152" customFormat="false" ht="15" hidden="false" customHeight="false" outlineLevel="0" collapsed="false">
      <c r="A152" s="5" t="s">
        <v>785</v>
      </c>
      <c r="B152" s="5" t="s">
        <v>774</v>
      </c>
      <c r="C152" s="28" t="s">
        <v>786</v>
      </c>
      <c r="D152" s="5" t="s">
        <v>464</v>
      </c>
      <c r="E152" s="22" t="s">
        <v>787</v>
      </c>
    </row>
    <row r="153" customFormat="false" ht="15" hidden="false" customHeight="false" outlineLevel="0" collapsed="false">
      <c r="A153" s="5" t="s">
        <v>788</v>
      </c>
      <c r="B153" s="5" t="s">
        <v>774</v>
      </c>
      <c r="C153" s="28" t="s">
        <v>789</v>
      </c>
      <c r="D153" s="5" t="s">
        <v>422</v>
      </c>
      <c r="E153" s="22" t="s">
        <v>607</v>
      </c>
    </row>
    <row r="154" customFormat="false" ht="15" hidden="false" customHeight="false" outlineLevel="0" collapsed="false">
      <c r="A154" s="5" t="s">
        <v>790</v>
      </c>
      <c r="B154" s="5" t="s">
        <v>774</v>
      </c>
      <c r="C154" s="28" t="s">
        <v>791</v>
      </c>
      <c r="D154" s="5" t="s">
        <v>550</v>
      </c>
      <c r="E154" s="22" t="s">
        <v>551</v>
      </c>
    </row>
    <row r="155" customFormat="false" ht="15" hidden="false" customHeight="false" outlineLevel="0" collapsed="false">
      <c r="A155" s="5" t="s">
        <v>792</v>
      </c>
      <c r="B155" s="5" t="s">
        <v>774</v>
      </c>
      <c r="C155" s="28" t="s">
        <v>793</v>
      </c>
      <c r="D155" s="5" t="s">
        <v>400</v>
      </c>
      <c r="E155" s="22" t="s">
        <v>772</v>
      </c>
    </row>
    <row r="156" customFormat="false" ht="15" hidden="false" customHeight="false" outlineLevel="0" collapsed="false">
      <c r="A156" s="5" t="s">
        <v>794</v>
      </c>
      <c r="B156" s="5" t="s">
        <v>774</v>
      </c>
      <c r="C156" s="28" t="s">
        <v>795</v>
      </c>
      <c r="D156" s="5" t="s">
        <v>400</v>
      </c>
      <c r="E156" s="22" t="s">
        <v>401</v>
      </c>
    </row>
    <row r="157" customFormat="false" ht="15" hidden="false" customHeight="false" outlineLevel="0" collapsed="false">
      <c r="A157" s="5" t="s">
        <v>796</v>
      </c>
      <c r="B157" s="5" t="s">
        <v>774</v>
      </c>
      <c r="C157" s="28" t="s">
        <v>797</v>
      </c>
      <c r="D157" s="5" t="s">
        <v>335</v>
      </c>
      <c r="E157" s="22" t="s">
        <v>336</v>
      </c>
    </row>
    <row r="158" customFormat="false" ht="23.85" hidden="false" customHeight="false" outlineLevel="0" collapsed="false">
      <c r="A158" s="5" t="s">
        <v>798</v>
      </c>
      <c r="B158" s="5" t="s">
        <v>774</v>
      </c>
      <c r="C158" s="28" t="s">
        <v>799</v>
      </c>
      <c r="D158" s="5" t="s">
        <v>400</v>
      </c>
      <c r="E158" s="22" t="s">
        <v>800</v>
      </c>
    </row>
  </sheetData>
  <hyperlinks>
    <hyperlink ref="E5" r:id="rId1" display="https://www.sec.gov/Archives/edgar/data/0000050863/000005086326000155/q226earningsrelease.htm"/>
    <hyperlink ref="E6" r:id="rId2" display="https://www.sec.gov/Archives/edgar/data/0000050863/000005086326000157/intc-20260627.htm"/>
    <hyperlink ref="E7" r:id="rId3" display="https://www.sec.gov/Archives/edgar/data/50863/000119312526346806/d117670d8k.htm"/>
    <hyperlink ref="E8" r:id="rId4" display="https://www.sec.gov/Archives/edgar/data/50863/000119312526345221/d98483d424b5.htm"/>
    <hyperlink ref="E9" r:id="rId5" display="https://www.sec.gov/Archives/edgar/data/50863/000005086326000177/"/>
    <hyperlink ref="E10" r:id="rId6" display="https://data.sec.gov/api/xbrl/companyfacts/CIK0000050863.json"/>
    <hyperlink ref="E11" r:id="rId7" display="https://equibles.com/stocks/intc/calls/2026-q2"/>
    <hyperlink ref="E12" r:id="rId8" display="https://www.investing.com/news/transcripts/intel-at-deutsche-bank-2026-technology-conference-turnaround-gains-pace-93CH-4877740"/>
    <hyperlink ref="E13" r:id="rId9" display="https://semiwiki.com/forum/threads/intel-cfo-at-deutsche-bank-technology-conference-2026-aug-26.25782/"/>
    <hyperlink ref="E14" r:id="rId10" display="https://www.intc.com/news-events/press-releases"/>
    <hyperlink ref="E15" r:id="rId11" display="https://247wallst.com/investing/2026/09/30/32-analysts-say-hold-on-intel-heres-what-the-numbers-actually-show/"/>
    <hyperlink ref="E16" r:id="rId12" display="https://www.fool.com/investing/2026/09/27/intel-stock-surged-over-40-in-september-history-sh/"/>
    <hyperlink ref="E17" r:id="rId13" display="https://www.trefis.com/stock/intc/articles/616955/what-changed-for-intel-stock-and-what-did-not/2026-09-29"/>
    <hyperlink ref="E18" r:id="rId14" display="https://www.techspot.com/news/113984-amazon-apple-amd-google-tesla-microsoft-nvidia-qualcomm.html"/>
    <hyperlink ref="E19" r:id="rId15" display="https://www.earningslens.ai/stock/intc/preview/2026-Q3"/>
    <hyperlink ref="E20" r:id="rId16" display="https://www.fool.com/investing/2026/09/25/why-intel-stock-jumped-this-week/"/>
    <hyperlink ref="E21" r:id="rId17" display="https://www.marketbeat.com/earnings/reports/2026-10-22-intel-co-stock/"/>
    <hyperlink ref="E22" r:id="rId18" display="https://www.sec.gov/Archives/edgar/data/50863/000005086326000083/intc-20260424.htm"/>
    <hyperlink ref="E23" r:id="rId19" display="https://www.sec.gov/Archives/edgar/data/50863/000119312526197845/d143782d8k.htm"/>
    <hyperlink ref="E24" r:id="rId20" display="https://seekingalpha.com/news/4541893-intel-outlines-path-to-45-percent-client-market-share-and-signals-14a-foundry-customer"/>
    <hyperlink ref="E25" r:id="rId21" display="https://d1io3yog0oux5.cloudfront.net/_c348c7c46c1f6cb83c19e66e1c989d69/intel/db/887/9266/prepared_remarks/Q2+2026+Prepared+Remarks.pdf"/>
    <hyperlink ref="E26" r:id="rId22" display="https://data.sec.gov/submissions/CIK0000050863.json"/>
    <hyperlink ref="E27" r:id="rId23" display="https://www.intc.com/news-events/ir-calendar"/>
    <hyperlink ref="E28" r:id="rId24" display="https://www.tomshardware.com/tech-industry/semiconductors/intel-moves-closer-to-building-apples-entry-level-m-series-chips-on-18a"/>
    <hyperlink ref="E29" r:id="rId25" display="https://www.sec.gov/Archives/edgar/data/0000050863/000005086326000155/q226earningsrelease.htm"/>
    <hyperlink ref="E30" r:id="rId26" display="https://ashtoninvests.substack.com/p/intc-deep-dive-what-a-635-billion"/>
    <hyperlink ref="E31" r:id="rId27" display="https://247wallst.com/investing/2026/09/30/32-analysts-say-hold-on-intel-heres-what-the-numbers-actually-show/"/>
    <hyperlink ref="E32" r:id="rId28" display="https://www.theregister.com/systems/2026/08/21/amd-grabs-more-cpu-share-while-pricier-pcs-punish-desktop-demand/5291053"/>
    <hyperlink ref="E33" r:id="rId29" display="https://wccftech.com/intels-market-share-of-the-x86-cpu-market-falls-to-1995-levels-as-amd-now-controls-an-adjusted-46-4-of-the-market-for-server-cpus-vs-intels-53-6-share-claims-mercury-research/"/>
    <hyperlink ref="E34" r:id="rId30" display="https://www.idc.com/resource-center/blog/pc-market-enters-volatile-territory-as-memory-shortage-persists-through-2027/"/>
    <hyperlink ref="E35" r:id="rId31" display="https://www.gartner.com/en/newsroom/press-releases/2026-02-26-gartner-says-surging-memory-costs-will-reduce-global-pc-and-smartphone-shipments-in-2026"/>
    <hyperlink ref="E36" r:id="rId32" display="https://www.trendforce.com/presscenter/news/20260930-13258.html"/>
    <hyperlink ref="E37" r:id="rId33" display="https://www.fusionww.com/insights/server-cpu-shortage-2026"/>
    <hyperlink ref="E38" r:id="rId34" display="https://www.astutegroup.com/news/memory-shortages/cpu-price-increases-hit-15-as-ai-demand-strains-supply/"/>
    <hyperlink ref="E39" r:id="rId35" display="https://www.buysellram.com/blog/server-cpu-lead-times-2026/"/>
    <hyperlink ref="E40" r:id="rId36" display="https://www.tradingkey.com/analysis/stocks/us-stocks/262130382-amd-q2-2026-11-536b-revenue-50-pct-data-center-6-7b-107-pct-q3-13b-helios-taalas-tradingkey"/>
    <hyperlink ref="E41" r:id="rId37" display="https://www.investing.com/news/transcripts/earnings-call-transcript-tsmc-lifts-2026-outlook-as-ai-demand-stays-hot-in-q2-2026-93CH-4794777"/>
    <hyperlink ref="E42" r:id="rId38" display="https://www.cnbc.com/2026/05/08/intel-stock-apple-chip-deal.html"/>
    <hyperlink ref="E43" r:id="rId39" display="https://finance.yahoo.com/markets/article/intel-stock-hits-fourth-straight-record-high-as-apple-report-fuels-chip-rally-171524007.html"/>
    <hyperlink ref="E44" r:id="rId40" display="https://www.tomshardware.com/tech-industry/semiconductors/intel-foundry-secures-contract-to-build-microsofts-maia-2-next-gen-ai-processor-on-18a-18a-p-node-claims-report-could-be-first-step-in-ongoing-partnership"/>
    <hyperlink ref="E45" r:id="rId41" display="https://bits-chips.com/article/intel-signals-external-customer-wins-for-14a-foundry-process/"/>
    <hyperlink ref="E46" r:id="rId42" display="https://www.tomshardware.com/pc-components/cpus/intels-pivotal-18a-process-is-making-steady-progress-but-still-lags-behind-yields-only-set-to-reach-industry-standard-levels-in-2027"/>
    <hyperlink ref="E47" r:id="rId43" display="https://x.com/Alex_Intel_/status/2103145329889857774"/>
    <hyperlink ref="E48" r:id="rId44" display="https://www.tweaktown.com/news/111546/intel-ceo-confirms-ongoing-collaboration-with-nvidia-on-new-products/index.html"/>
    <hyperlink ref="E49" r:id="rId45" display="https://www.ad-hoc-news.de/boerse/news/nachboerse/intel-stock-at-usd-115-92-on-september-28-2026-down-5-76-percent/70195069"/>
    <hyperlink ref="E50" r:id="rId46" display="https://www.marketbeat.com/earnings/reports/2026-10-22-intel-co-stock/"/>
    <hyperlink ref="E51" r:id="rId47" display="https://www.sec.gov/Archives/edgar/data/50863/000119312526345221/d98483d424b5.htm"/>
    <hyperlink ref="E52" r:id="rId48" display="https://www.sec.gov/Archives/edgar/data/50863/000119312526346806/d117670d8k.htm"/>
    <hyperlink ref="E53" r:id="rId49" display="https://d1io3yog0oux5.cloudfront.net/_c348c7c46c1f6cb83c19e66e1c989d69/intel/db/887/9266/prepared_remarks/Q2+2026+Prepared+Remarks.pdf"/>
    <hyperlink ref="E54" r:id="rId50" display="https://www.trendforce.com/news/2026/04/22/news-server-cpu-prices-up-as-much-as-20-since-march-intel-may-raise-prices-another-8-10-in-2h26/"/>
    <hyperlink ref="E55" r:id="rId51" display="https://www.trendforce.com/news/2026/07/07/news-intel-reportedly-raises-cpu-prices-flagship-xeon-up-us1495-select-desktop-chips-us30-50/"/>
    <hyperlink ref="E56" r:id="rId52" display="https://www.trendforce.com/news/2026/06/17/news-intel-18a-p-enters-risk-production-targets-9-performance-gain-with-potentially-shortened-ramp/"/>
    <hyperlink ref="E57" r:id="rId53" display="https://www.tweaktown.com/news/111590/intel-foundry-reportedly-scores-apples-m7-production-on-18a-p-in-2027-future-smartphone-chips-on-14a/index.html"/>
    <hyperlink ref="E58" r:id="rId54" display="https://www.tomshardware.com/tech-industry/semiconductors/intel-says-it-has-two-prospective-customers-for-14a-expects-to-hear-about-commitments-in-second-half-of-2026"/>
    <hyperlink ref="E59" r:id="rId55" display="https://www.tomshardware.com/tech-industry/semiconductors/intel-4-gets-its-first-foundry-customer-in-fortinet-three-years-after-intel-scoped-the-node-to-meteor-lake"/>
    <hyperlink ref="E60" r:id="rId56" display="https://www.fxleaders.com/news/2026/10/01/intel-stock-rally-micron-earnings-chip-sector/"/>
    <hyperlink ref="E61" r:id="rId57" display="https://www.tomshardware.com/desktops/gaming-pcs/idc-slashes-2026-pc-shipment-forecast-amid-memory-shortages-total-pc-market-value-to-nonetheless-increase-to-usd274-billion-due-to-ongoing-price-hikes"/>
    <hyperlink ref="E62" r:id="rId58" display="https://www.tomshardware.com/pc-components/cpus/intel-commits-to-14a-mass-production-in-2028-as-its-sales-rise-25-percent-year-over-year"/>
    <hyperlink ref="E63" r:id="rId59" display="https://www.sec.gov/Archives/edgar/data/50863/000005086326000155/q226earningsrelease.htm"/>
    <hyperlink ref="E64" r:id="rId60" display="https://www.sec.gov/Archives/edgar/data/0000050863/000119312526345221/d98483d424b5.htm"/>
    <hyperlink ref="E65" r:id="rId61" display="https://www.tikr.com/blog/intel-stock-fell-nearly-6-in-a-day-heres-the-foundry-deadline-that-matters-more"/>
    <hyperlink ref="E66" r:id="rId62" display="https://financefeeds.com/intel-intc-stock-prediction-172-bull-74-bear/"/>
    <hyperlink ref="E67" r:id="rId63" display="https://ashtoninvests.substack.com/p/intc-deep-dive-what-a-635-billion"/>
    <hyperlink ref="E68" r:id="rId64" display="https://247wallst.com/investing/2026/09/30/32-analysts-say-hold-on-intel-heres-what-the-numbers-actually-show"/>
    <hyperlink ref="E69" r:id="rId65" display="https://finance.yahoo.com/markets/stocks/articles/prediction-stock-going-plummet-second-134950193.html"/>
    <hyperlink ref="E70" r:id="rId66" display="https://www.investing.com/news/analyst-ratings/northland-downgrades-intel-stock-rating-on-valuation-concerns-93CH-4709491"/>
    <hyperlink ref="E71" r:id="rId67" display="https://www.investing.com/news/stock-market-news/intel-downgraded-by-moodys-to-baa2-on-weak-profitability-outlook-93CH-4186211"/>
    <hyperlink ref="E72" r:id="rId68" display="https://www.cnbc.com/2025/08/05/intels-credit-rating-downgraded-by-fitch-on-demand-challenges.html"/>
    <hyperlink ref="E73" r:id="rId69" display="https://www.stocktitan.net/sec-filings/INTC/424b5-intel-corp-prospectus-supplement-debt-securities-4d3042e45fa9.html"/>
    <hyperlink ref="E74" r:id="rId70" display="https://pluang.com/en/news-feed/peringatan-pasar-kredit-terhadap-saham-ai"/>
    <hyperlink ref="E75" r:id="rId71" display="https://www.gurufocus.com/news/8843605/intel-intc-stock-surge-raises-concerns-over-ai-bubble"/>
    <hyperlink ref="E76" r:id="rId72" display="https://www.sec.gov/Archives/edgar/data/0000050863/000005086326000157/intc-20260627.htm"/>
    <hyperlink ref="E77" r:id="rId73" display="https://blockonomi.com/intel-intc-stock-soars-236-in-2026-as-ai-cpu-demand-creates-supply-shortage"/>
    <hyperlink ref="E78" r:id="rId74" display="https://finance.yahoo.com/markets/stocks/articles/insiders-only-buy-one-reason-140819796.html"/>
    <hyperlink ref="E79" r:id="rId75" display="https://hwbusters.com/news/intel-18a-yield-is-pegged-at-80-and-14a-starts-at-just-6000-wafers-a-month/"/>
    <hyperlink ref="E80" r:id="rId76" display="https://techspot.com/news/113984-amazon-apple-amd-google-tesla-microsoft-nvidia-qualcomm.html"/>
    <hyperlink ref="E81" r:id="rId77" display="https://aimagazine.com/news/intel-to-make-apple-chips-in-new-deal"/>
    <hyperlink ref="E82" r:id="rId78" display="https://www.nextplatform.com/compute/2026/04/27/ai-driven-cpu-shortage-saves-intels-financial-cookies/5218916"/>
    <hyperlink ref="E83" r:id="rId79" display="https://247wallst.com/investing/2026/09/29/intel-is-trying-to-reinvent-itself-heres-where-intc-stock-could-be-in-2027/"/>
    <hyperlink ref="E84" r:id="rId80" display="https://www.marketbeat.com/instant-alerts/price-intel-nasdaq-intc-shares-down-57-heres-why-2026-09-28/"/>
    <hyperlink ref="E85" r:id="rId81" display="https://www.bloomberg.com/news/articles/2026-04-24/us-government-stake-in-intel-has-jumped-300-to-36-billion"/>
    <hyperlink ref="E86" r:id="rId82" display="https://www.tomshardware.com/tech-industry/nvidia-gives-intel-a-lifeline-with-usd5-billion-common-stock-deal-september-deal-gets-ftc-approval-for-more-than-217-4-million-intel-shares-at-usd23-28-per-share"/>
    <hyperlink ref="E87" r:id="rId83" display="https://www.sec.gov/Archives/edgar/data/0000050863/000119312526346806/d117670d8k.htm"/>
    <hyperlink ref="E88" r:id="rId84" display="https://kalkinemedia.com/us/news/announcements/intel-announces-95-pricing-for-2105-million-share-stock-offering-with-full-overallotment-exercise"/>
    <hyperlink ref="E89" r:id="rId85" display="https://x.com/imnotharsh/status/2089776063991673322"/>
    <hyperlink ref="E90" r:id="rId86" display="https://wccftech.com/intel-ceo-lip-bu-tan-reportedly-moves-up-14a-risk-production-to-q1-2027-as-the-nodes-defect-density-races-toward-target/"/>
    <hyperlink ref="E91" r:id="rId87" display="https://finance.yahoo.com/markets/stocks/articles/intel-tesla-terafab-deal-tests-080701413.html"/>
    <hyperlink ref="E92" r:id="rId88" display="https://finance.yahoo.com/markets/stocks/articles/huge-insider-selling-hits-intel-163103542.html"/>
    <hyperlink ref="E93" r:id="rId89" display="https://www.sec.gov/Archives/edgar/data/0000050863/000005086326000177/form4.xml"/>
    <hyperlink ref="E94" r:id="rId90" display="https://www.sec.gov/Archives/edgar/data/0000050863/000005086326000155/q226earningsrelease.htm"/>
    <hyperlink ref="E95" r:id="rId91" display="https://www.alphavantage.co/query?function=EARNINGS_ESTIMATES&amp;symbol=INTC"/>
    <hyperlink ref="E96" r:id="rId92" display="https://ashtoninvests.substack.com/p/intc-deep-dive-what-a-635-billion"/>
    <hyperlink ref="E97" r:id="rId93" display="https://marklapedus.substack.com/p/analyst-intels-foundry-unit-wins"/>
    <hyperlink ref="E98" r:id="rId94" display="https://intellionaire.substack.com/p/the-intellionaire-ep-24-unofficial"/>
    <hyperlink ref="E99" r:id="rId95" display="https://x.com/Alex_Intel_/status/2103145329889857774"/>
    <hyperlink ref="E100" r:id="rId96" display="https://x.com/SemiAnalysis_/status/2024182368064475637"/>
    <hyperlink ref="E101" r:id="rId97" display="https://gamma-api.polymarket.com/public-search?q=intel"/>
    <hyperlink ref="E102" r:id="rId98" display="https://www.buysellram.com/blog/server-cpu-prices-are-still-climbing-in-mid-2026/"/>
    <hyperlink ref="E103" r:id="rId99" display="https://www.fusionww.com/insights/server-cpu-shortage-2026"/>
    <hyperlink ref="E104" r:id="rId100" display="https://www.techtimes.com/articles/319581/20260703/steam-hardware-survey-june-2026-windows-11-tops-70-amd-closes-intel.htm"/>
    <hyperlink ref="E105" r:id="rId101" display="https://www.ziprecruiter.com/co/Intel/Jobs/--in-Ohio"/>
    <hyperlink ref="E106" r:id="rId102" display="https://finance.biggo.com/news/543ca6ee-70ea-4767-8a89-c4d0f031e5e5"/>
    <hyperlink ref="E107" r:id="rId103" display="https://semiwiki.com/forum/threads/morgan-stanley-reports-intel-18a-yield-at-50.25207/"/>
    <hyperlink ref="E108" r:id="rId104" display="https://startupfortune.com/intels-stock-has-tripled-in-2026-on-apple-chip-deal-buzz/"/>
    <hyperlink ref="E109" r:id="rId105" display="https://www.intc.com/news-events/press-releases/detail/1779/intel-announces-upsize-and-pricing-of-20-billion-common"/>
    <hyperlink ref="E110" r:id="rId106" display="https://www.fool.com/investing/2026/09/27/intel-stock-surged-over-40-in-september-history-sh/"/>
    <hyperlink ref="E111" r:id="rId107" display="https://www.tomshardware.com/tech-industry/semiconductors/intel-joins-elon-musks-terafab-project-intel-is-proud-to-join-the-terafab-project-with-spacex-xai-and-tesla-to-help-refactor-silicon-fab-technology"/>
    <hyperlink ref="E112" r:id="rId108" display="https://hwbusters.com/news/intel-18a-yield-is-pegged-at-80-and-14a-starts-at-just-6000-wafers-a-month/"/>
    <hyperlink ref="E113" r:id="rId109" display="https://d1io3yog0oux5.cloudfront.net/_c348c7c46c1f6cb83c19e66e1c989d69/intel/db/887/9266/prepared_remarks/Q2+2026+Prepared+Remarks.pdf"/>
    <hyperlink ref="E114" r:id="rId110" display="https://www.trendforce.com/news/2026/07/24/news-intel-pulls-forward-14a-timeline-by-one-year-targeting-2028-mass-production-near-tsmcs-roadmap/"/>
    <hyperlink ref="E115" r:id="rId111" display="https://www.sec.gov/cgi-bin/browse-edgar?action=getcompany&amp;CIK=0000050863&amp;type=424B5"/>
    <hyperlink ref="E116" r:id="rId112" display="https://www.tomshardware.com/pc-components/cpus/intel-confirms-price-hikes-on-select-consumer-and-server-cpus-citing-supply-costs-and-demand-select-xeon-processors-now-over-usd1-000-more-expensive"/>
    <hyperlink ref="E117" r:id="rId113" display="https://newsletter.semianalysis.com/p/cpus-are-back-the-datacenter-cpu"/>
    <hyperlink ref="E118" r:id="rId114" display="https://x.com/AIStockSavvy/status/2073960757507621143"/>
    <hyperlink ref="E119" r:id="rId115" display="https://gamma-api.polymarket.com/public-search?q=intel"/>
    <hyperlink ref="E120" r:id="rId116" display="https://www.marketbeat.com/earnings/reports/2026-10-22-intel-co-stock/"/>
    <hyperlink ref="E121" r:id="rId117" display="https://www.alphavantage.co/query?function=OVERVIEW&amp;symbol=INTC"/>
    <hyperlink ref="E122" r:id="rId118" display="https://www.alphavantage.co/query?function=EARNINGS_ESTIMATES&amp;symbol=INTC"/>
    <hyperlink ref="E123" r:id="rId119" display="https://www.sec.gov/Archives/edgar/data/0000050863/000005086326000155/q226earningsrelease.htm"/>
    <hyperlink ref="E124" r:id="rId120" display="https://www.fool.com/investing/2026/09/27/intel-stock-surged-over-40-in-september-history-sh/"/>
    <hyperlink ref="E125" r:id="rId121" display="https://www.trefis.com/stock/intc/articles/616955/what-changed-for-intel-stock-and-what-did-not/2026-09-29"/>
    <hyperlink ref="E126" r:id="rId122" display="https://www.sec.gov/Archives/edgar/data/50863/000119312526346806/d117670d8k.htm"/>
    <hyperlink ref="E127" r:id="rId123" display="https://www.cnbc.com/2026/04/30/intel-has-best-month-ever-after-years-of-losing-to-tsmc-and-nvidia.html"/>
    <hyperlink ref="E128" r:id="rId124" display="https://www.fool.com/investing/2026/05/04/how-intel-stock-more-than-doubled-last-month/"/>
    <hyperlink ref="E129" r:id="rId125" display="https://www.tradingkey.com/analysis/stocks/us-stocks/262068420-intel-stock-price-forecast-stock-price-fallen-30-july-continue-fall-tradingkey"/>
    <hyperlink ref="E130" r:id="rId126" display="https://247wallst.com/investing/2026/09/23/intels-price-targets-reveal-just-how-much-is-riding-on-its-turnaround/"/>
    <hyperlink ref="E131" r:id="rId127" display="https://polymarket.com/event/us-recession-by-end-of-2027"/>
    <hyperlink ref="E132" r:id="rId128" display="https://polymarket.com/event/how-many-fed-rate-cuts-in-2026"/>
    <hyperlink ref="E133" r:id="rId129" display="https://polymarket.com/event/ai-bubble-burst-by"/>
    <hyperlink ref="E134" r:id="rId130" display="https://polymarket.com/event/will-china-invade-taiwan-by-june-30-2027"/>
    <hyperlink ref="E135" r:id="rId131" display="https://manifold.markets/sama/will-intel-stock-intc-reach-150-in"/>
    <hyperlink ref="E136" r:id="rId132" display="https://manifold.markets/Gen/ai-bubble-which-ai-companies-will-d"/>
    <hyperlink ref="E137" r:id="rId133" display="https://query1.finance.yahoo.com/v8/finance/chart/AMD?range=max&amp;interval=1mo"/>
    <hyperlink ref="E138" r:id="rId134" display="https://query1.finance.yahoo.com/v8/finance/chart/INTC?range=3y&amp;interval=1d"/>
    <hyperlink ref="E139" r:id="rId135" display="https://twelvedata.com/"/>
    <hyperlink ref="E140" r:id="rId136" display="https://www.thestreet.com/investing/stocks/intel-just-broke-a-26-year-curse"/>
    <hyperlink ref="E141" r:id="rId137" display="https://www.marketbeat.com/stocks/NASDAQ/INTC/earnings/"/>
    <hyperlink ref="E142" r:id="rId138" display="https://www.sec.gov/Archives/edgar/data/50863/000119312526345221/d98483d424b5.htm"/>
    <hyperlink ref="E143" r:id="rId139" display="https://www.intc.com/news-events/press-releases/detail/1778/intel-announces-proposed-15-billion-common-stock-offering"/>
    <hyperlink ref="E144" r:id="rId140" display="https://www.intc.com/news-events/press-releases/detail/1779/intel-announces-upsize-and-pricing-of-20-billion-common"/>
    <hyperlink ref="E145" r:id="rId141" display="https://data.sec.gov/submissions/CIK0000050863.json"/>
    <hyperlink ref="E146" r:id="rId142" display="https://www.intc.com/news-events/press-releases/rss"/>
    <hyperlink ref="E147" r:id="rId143" display="https://bits-chips.com/article/intel-signals-external-customer-wins-for-14a-foundry-process/"/>
    <hyperlink ref="E148" r:id="rId144" display="https://www.benzinga.com/markets/tech/26/04/51989223/intel-lifeline-elon-musk-tesla-14a-chip-deal-terafab"/>
    <hyperlink ref="E149" r:id="rId145" display="https://finance.yahoo.com/markets/stocks/articles/intel-tesla-terafab-deal-tests-080701413.html"/>
    <hyperlink ref="E150" r:id="rId146" display="https://www.techspot.com/news/113984-amazon-apple-amd-google-tesla-microsoft-nvidia-qualcomm.html"/>
    <hyperlink ref="E151" r:id="rId147" display="https://www.tomshardware.com/tech-industry/semiconductors/intel-foundry-secures-contract-to-build-microsofts-maia-2-next-gen-ai-processor-on-18a-18a-p-node-claims-report-could-be-first-step-in-ongoing-partnership"/>
    <hyperlink ref="E152" r:id="rId148" display="https://www.sec.gov/Archives/edgar/data/0000723125/000072312526000018/a2026q4ex991-pressrelease.htm"/>
    <hyperlink ref="E153" r:id="rId149" display="https://x.com/imnotharsh/status/2089776063991673322"/>
    <hyperlink ref="E154" r:id="rId150" display="https://www.cnbc.com/2025/08/05/intels-credit-rating-downgraded-by-fitch-on-demand-challenges.html"/>
    <hyperlink ref="E155" r:id="rId151" display="https://www.intc.com/news-events/press-releases/rss"/>
    <hyperlink ref="E156" r:id="rId152" display="https://data.sec.gov/submissions/CIK0000050863.json"/>
    <hyperlink ref="E157" r:id="rId153" display="https://www.sec.gov/Archives/edgar/data/50863/000119312526345221/d98483d424b5.htm"/>
    <hyperlink ref="E158" r:id="rId154" display="https://query1.finance.yahoo.com/v8/finance/chart/INTC?range=2y&amp;interval=1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2026-10-30T22:16:13Z</dcterms:created>
  <dc:creator>openpyxl</dc:creator>
  <dc:description/>
  <dc:language>en-US</dc:language>
  <cp:lastModifiedBy/>
  <dcterms:modified xsi:type="dcterms:W3CDTF">2026-10-30T22:16:13Z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