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<sst xmlns="http://schemas.openxmlformats.org/spreadsheetml/2006/main" count="1954" uniqueCount="1088">
  <si>
    <t xml:space="preserve">MOD 12-month price target model</t>
  </si>
  <si>
    <t xml:space="preserve">Close 2026-10-30 · agents' research 2026-10-23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</si>
  <si>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</si>
  <si>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</si>
  <si>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</si>
  <si>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</si>
  <si>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</si>
  <si>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</si>
  <si>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</si>
  <si>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</si>
  <si>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</si>
  <si>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</si>
  <si>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</si>
  <si>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</si>
  <si>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9 analysts, https://stockanalysis.com/stocks/mod/forecast/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</si>
  <si>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</si>
  <si>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</si>
  <si>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</si>
  <si>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0.691 Platt-scaled (a = 1.732) to 0.691,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</si>
  <si>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</si>
  <si>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</si>
  <si>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</si>
  <si>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</si>
  <si>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</si>
  <si>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</si>
  <si>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</si>
  <si>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</si>
  <si>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</si>
  <si>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</si>
  <si>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</si>
  <si>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</si>
  <si>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</si>
  <si>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</si>
  <si>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</si>
  <si>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</si>
  <si>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</si>
  <si>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</si>
  <si>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EXIT k=0.8 RE-SET 2026-10-26 (Kilian card 12:16Z: exit = peer median x (own / median)^0.8): EV/EBITDA 14.17x -&gt; 13.57x; P/E 23.23x -&gt; 21.25x. Research target (12m) $180.00 -&gt; $169.01 (engine: multiple: EV/EBITDA (ntm) $166.64 x 0.6; multiple: P/E (ntm) $172.58 x 0.4; scenarios bear $87.02 / base $169.01 / bull $243.88, median $168.79). Multiples and values quoted in the older text below are superseded by these. Model update 2026-10-23 (update): peer set refresh (Kilian 2026-10-26 06:07Z); approved 12-peer set at plain medians (card 06:25Z), 14.17x consensus NTM EV/EBITDA and 23.23x P/E on MOD's EPS basis (were 17.0x / 24.5x against 20.2x / 25.9x medians); drivers unchanged; engine value 180.00. Base round 2026-10-05 working below, superseded on the multiples: Citation audit 2026-10-06 correction. Oct-2027 NTM RemainCo EBITDA ~$665M (median of the five agents' revised builds, corporate -$80M; estimate) at 17x (judgment; ~16% below the 20.2x peer median derived from filings, Oct-5 closes and consensus growth) = EV $11.3B, less ~$280M net debt at close (estimate: $432.9M at 2026-06-30 per Q1 FY27 release minus the $156.0M cash distribution per the Oct-1 8-K; pro forma 8-K/A not yet filed), over 54.0M diluted shares (Q1 FY27 10-Q) = ~$204. P/E: ($665M - D&amp;A $85M - interest $15M) x 0.76 / 54.0M = ~$7.95 x 24.5x (judgment; ~6% below the 25.9x derived P/E median) = ~$195. Blend 60/40 = ~$200. Previously used ~$160M (the agents' projected Oct-2027 net debt, unlabelled) and 54.1M shares, giving $202. [2026-10-26: the 8-K/A pro forma has since been filed (2026-10-07, Ex.99.1): post-spin net debt 265.3M at 2026-06-30 vs the 280M estimate in the balance; ~+$0.25/share, not applied in this exit-k update.]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</si>
  <si>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</si>
  <si>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</si>
  <si>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</si>
  <si>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</si>
  <si>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</si>
  <si>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</si>
  <si>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</si>
  <si>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</si>
  <si>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</si>
  <si>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</si>
  <si>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</si>
  <si>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</si>
  <si>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</si>
  <si>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</si>
  <si>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noise floor (2 x 1M IV))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</si>
  <si>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</si>
  <si>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</si>
  <si>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</si>
  <si>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</si>
  <si>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</si>
  <si>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</si>
  <si>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</si>
  <si>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</si>
  <si>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</si>
  <si>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</si>
  <si>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</si>
  <si>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</si>
  <si>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</si>
  <si>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</si>
  <si>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</si>
  <si>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</si>
  <si>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</si>
  <si>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</si>
  <si>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</si>
  <si>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MOD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</si>
  <si>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</si>
  <si>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</si>
  <si>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</si>
  <si>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</si>
  <si>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</si>
  <si>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</si>
  <si>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</si>
  <si>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</si>
  <si>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</si>
  <si>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</si>
  <si>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</si>
  <si>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MOD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</si>
  <si>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</si>
  <si>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</si>
  <si>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</si>
  <si>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</si>
  <si>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</si>
  <si>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</si>
  <si>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</si>
  <si>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</si>
  <si>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</si>
  <si>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</si>
  <si>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</si>
  <si>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</si>
  <si>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</si>
  <si>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</si>
  <si>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</si>
  <si>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</si>
  <si>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</si>
  <si>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</si>
  <si>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MOD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</si>
  <si>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</si>
  <si>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</si>
  <si>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</si>
  <si>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</si>
  <si>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</si>
  <si>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</si>
  <si>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</si>
  <si>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</si>
  <si>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EV/EBITDA</t>
  </si>
  <si>
    <t xml:space="preserve">NTM (Oct27-Sep28) EBITDA $700M (avg FY28E $635M / FY29E $765M, corporate -$80M) x 16.5x = EV $11.55B; less ~$120M net debt at Oct-2027; / 54.3M diluted shares</t>
  </si>
  <si>
    <t xml:space="preserve">P/E</t>
  </si>
  <si>
    <t xml:space="preserve">NTM EPS at Oct-2027 $8.54 x 24x</t>
  </si>
  <si>
    <t xml:space="preserve">Blended value</t>
  </si>
  <si>
    <t xml:space="preserve">Stated research target (12m)</t>
  </si>
  <si>
    <t xml:space="preserve">12-month-forward value of the remaining Climate Solutions company only (Data Centers + Commercial HVAC). EV/EBITDA: 16.5x NTM EBITDA at Oct-2027 of ~$700M (avg FY28E $635M / FY29E $765M, corporate -$80M), less ~$120M net debt, over 54.3M shares = $210.5. P/E: 24x NTM EPS of $8.54 = $204.9. Blend 60/40 = $208.3.</t>
  </si>
  <si>
    <t xml:space="preserve">Oct-2027 NTM RemainCo adj. EBITDA ~$655M x 17.0x = EV $11.14B; less ~$175M net debt at Oct-2027 = $10.96B equity / 54.3M diluted shares = ~$202</t>
  </si>
  <si>
    <t xml:space="preserve">Oct-2027 NTM adj. EPS ~$7.80 x 25x = ~$195</t>
  </si>
  <si>
    <t xml:space="preserve">50/50 blend of EV/EBITDA (17x on ~$655M Oct-2027 NTM RemainCo EBITDA, less ~$175M net debt at Oct-2027, over 54.3M diluted shares = $202) and P/E (25x on ~$7.80 NTM EPS = $195). The multiples are ~12% and ~4% below the 8-core-peer medians (19.34x / 25.93x, re-derived from filings by the citation audit 2026-10-06) and inside the 10-peer range.</t>
  </si>
  <si>
    <t xml:space="preserve">Oct-2027 NTM EPS $7.60 (avg FY28 $6.86, FY29 $8.33) x 24x</t>
  </si>
  <si>
    <t xml:space="preserve">NTM EBITDA $638M x 17x = EV $10.85B - net debt $0.175B / 54.0M sh</t>
  </si>
  <si>
    <t xml:space="preserve">DCF</t>
  </si>
  <si>
    <t xml:space="preserve">FCF $244M (FY28) -&gt; $546M (FY32); WACC 10.5%; g 3.5%; EV $6.68B - $0.175B net debt / 54.0M</t>
  </si>
  <si>
    <t xml:space="preserve">Blend at a 12-month horizon of P/E (24x Oct-2027 NTM RemainCo EPS $7.60 = $182, 45%), EV/EBITDA (17x NTM EBITDA $638M less ~$175M net debt over 54.0M shares = $198, 35%) and a DCF (10.5% WACC, 3.5% terminal = $120, 20%), giving ~$175, about 4% below the $182.91 close.</t>
  </si>
  <si>
    <t xml:space="preserve">NTM EBITDA at horizon $680M (avg of FY28 $625M and FY29 $734M) x 17.0x = EV $11.56B; less net debt ~$0.16B at Oct-2027; / 54.0M diluted shares = $211</t>
  </si>
  <si>
    <t xml:space="preserve">NTM EPS at horizon $8.21 x 26.0x (vs 26.14x filing/consensus-derived peer median forward P/E)</t>
  </si>
  <si>
    <t xml:space="preserve">12-month-forward value of the remaining Climate Solutions company: NTM (Oct-27 to Sep-28) adj. EBITDA ~$680M (corporate -$80-85M) x 17x less ~$0.16B net debt over 54.0M diluted shares = ~$211; NTM EPS ~$8.21 x 26x = ~$213; blended 50/50 to ~$212.</t>
  </si>
  <si>
    <t xml:space="preserve">NTM EBITDA at Oct-2027 $665M (avg of FY28E $610M and FY29E $721M) x 17.5x = EV $11.64B; less net debt ~$150M = $11.49B equity; / 54.0M diluted = $213</t>
  </si>
  <si>
    <t xml:space="preserve">NTM EPS at Oct-2027 $7.88 x 25x = $197</t>
  </si>
  <si>
    <t xml:space="preserve">12-month-forward value of RemainCo (Data Centers + Commercial HVAC). 60% weight on EV/EBITDA: 17.5x NTM-at-Oct-2027 EBITDA of $665M = EV $11.64B, less ~$150M net debt, over 54.0M diluted shares = $213. 40% weight on P/E: 25x NTM EPS of $7.88 = $197. Blended about $207 (+13% vs $182.91). Corporate cost is now -$80M/yr (Q1 actual -$23.0M/qtr).</t>
  </si>
  <si>
    <t xml:space="preserve">MOD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</si>
  <si>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</si>
  <si>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</si>
  <si>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</si>
  <si>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</si>
  <si>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</si>
  <si>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</si>
  <si>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</si>
  <si>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AI capex digestion, share loss (Vertiv/Trane/JCI chillers, CDU price competition) or a slip at the large technology customer (~11% of FY26 sales per the 10-K) takes DC growth to ~+15-20% in FY28 with margins stuck at ~16%, and corporate stays at ~-$90M. NTM EBITDA is ~$480M and the market de-rates MOD to an HVAC multiple of ~12x -&gt; ~$100-120.</t>
  </si>
  <si>
    <t xml:space="preserve">Q2 resets FY27 to ~$440-470M of RemainCo EBITDA (below the &gt;85% DC-earnings promise), which the market largely expects. DC grows ~45% in FY28 at ~20% margins and the Nov 18 Investor Day targets are credible but not raised. NTM EBITDA ~$700M at 16-17x -&gt; ~$205.</t>
  </si>
  <si>
    <t xml:space="preserve">DC delivers the top of the 50-70% target with 21%+ margins as US capacity runs clean, the Investor Day sets ambitious multi-year targets and new hyperscaler/neocloud wins dilute the concentration. NTM EBITDA ~$820M at ~20-21x (VRT/NVT-like) -&gt; ~$295-320.</t>
  </si>
  <si>
    <t xml:space="preserve">The Q2 standalone guide lands well below the &gt;85% DC earnings growth, DC margins stay in the mid-teens, and the large hyperscaler (~11% of FY26 consolidated sales per the 10-K; ~30% of DC if all DC, an estimate) defers chiller pull-ins. 45C warm-water designs cut chiller content per MW in new halls while Trane, JCI and Carrier capacity pressures pricing. A 2027 capex digestion compresses the multiple to ~13x on ~$480M NTM EBITDA, less net debt, = ~$115.</t>
  </si>
  <si>
    <t xml:space="preserve">Supply issues fade, DC margins reach ~20% from Q2-Q3, and FY27 RemainCo EBITDA is ~$460M (just under the guide). The $4B LTA and broad DC demand drive DC sales +35% in FY28. Oct-2027 NTM EBITDA is ~$655M at 17x and EPS ~$7.80 at 25x.</t>
  </si>
  <si>
    <t xml:space="preserve">Hyperscaler 2027 capex follows the high path and the Nov-18 Investor Day sets credible targets (DC 50%+ growth, low-20s margins) that MOD then delivers. MOD adds a second LTA, chillers stay needed for trim and hybrid cooling, and NTM EBITDA reaches ~$790M at ~19.5x, the core peer median.</t>
  </si>
  <si>
    <t xml:space="preserve">AI capex growth stalls in 2028 (capex file low case) or the ~11%-of-sales technology customer defers or dual-sources; supply bottlenecks keep DC margins ~15%; corporate stays ~-$90M; FY28 EBITDA ~$420M; multiple de-rates to ~13x EBITDA / ~20x EPS.</t>
  </si>
  <si>
    <t xml:space="preserve">DC +65% in FY27 and +30% in FY28 with margins back to ~20%, CHVAC +7%, corporate -$80M; FY28 EBITDA ~$580M, Oct-2027 NTM ~$640M at ~17x less ~$175M net debt -&gt; roughly flat stock.</t>
  </si>
  <si>
    <t xml:space="preserve">Investor-day targets credible and the $4B LTA plus hyperscale order book convert: DC ~$2.9B in FY28 at 21%, FY28 EBITDA ~$720M, NTM ~$800M at ~19-20x (peer median).</t>
  </si>
  <si>
    <t xml:space="preserve">AI data-center capex digests in 2027 (internal note low case) or warm-water liquid cooling cuts chiller attach; supply gating persists and the LTA customer flexes volumes. NTM EBITDA ~$520M x 13x (CARR/SPXC-like) less ~$0.2B net debt = ~$120.</t>
  </si>
  <si>
    <t xml:space="preserve">Q2 shows DC margin recovering toward 19-20%; LTA shipments begin CY27; DC grows ~40% in FY28; corporate ~-$80M; NTM EBITDA ~$680M at 17x / EPS $8.21 at 26x.</t>
  </si>
  <si>
    <t xml:space="preserve">Investor Day targets and conversion of the hyperscaler pipeline put DC on management's 50-70%/yr path (&gt; $3B FY28); NTM EBITDA ~$820M x 21x (between peer median and VRT) less ~$0.1B = ~$315.</t>
  </si>
  <si>
    <t xml:space="preserve">AI capex digestion or a hyperscaler pause, recurring supply and margin misses, or share loss to VRT/TT/JCI. The Q2 reset or the Nov 18 targets disappoint. NTM EBITDA ~$520M x 13.5x (CARR/SPXC level) less ~$300M net debt = ~$124. Kalshi prices a 2027 recession at 20% [9].</t>
  </si>
  <si>
    <t xml:space="preserve">DC grows ~40% in FY28 on the $4B agreement, DC margin recovers to ~19.5%, corporate is about -$80M, and the multiple holds at ~17.5x NTM EBITDA of ~$665M.</t>
  </si>
  <si>
    <t xml:space="preserve">DC grows at management's 50-70% pace, margins pass 20%, and NTM EBITDA reaches ~$800M. The multiple goes to ~20.5x, the upper half of the peer range but below VRT's 25.9x: (800 x 20.5 - 100) / 54 = ~$302. Round 1's bull needed 22x on $850M; I have cut it per the supervisor's review.</t>
  </si>
  <si>
    <t xml:space="preserve">Average</t>
  </si>
  <si>
    <t xml:space="preserve">MOD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</si>
  <si>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</si>
  <si>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</si>
  <si>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</si>
  <si>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</si>
  <si>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</si>
  <si>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</si>
  <si>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</si>
  <si>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I valued only the remaining Climate Solutions company from recast segment data in Modine's filings: FY26 Data Centers $1.11B sales / $214.7M EBITDA, Commercial HVAC $974M / $162.4M. FY27 guidance is DC +60-80% and HVAC +5-10%. The Q1 slides also promise DC 'full-year earnings growth in excess of 85%', and the Jan-2026 deck targets DC +50-70% a year for two years. Round 2 changes after re-checking the supervisor's points in the filings. (1) Corporate cost: the Q1 FY27 release shows adjusted corporate &amp; eliminations of -$23.0M for the quarter (vs -$15.5M a year earlier), so I raise it from -$55M to -$80M a year. That cuts FY27E RemainCo EBITDA to ~$445M (Q1 actual $70.3M) and FY28E to ~$635M. (2) Net debt: I confirmed $432.9M at Jun 30 less the ~$156M distribution = ~$277M, i.e. ~$280M, as in round 1. (3) Comps: I dropped HUBB and the +3pt margin allowance and recomputed all 10 peers on TTM/(1+3Y revenue CAGR): median 20.5x, or ~19x reconciled with the EPS-divisor result. 16.5x is now a ~13% discount, justified by 10-K concentration (one customer ~11% of consolidated sales; ~30% of DC if all DC, an estimate), the HVAC mix and DC margins below VRT. (4) Calendar: the Nov 18 Analyst &amp; Investor Day is confirmed and sits outside the 1-month window. The Q2 date is still unannounced but very likely ~Oct 26-29. On NTM Oct-2027 EBITDA of $700M at 16.5x and EPS of $8.54 at 24x, fair value is ~$208 (+14%), down from $215; most of the upside is earnings growth, not re-rating. I am still explicitly below management's DC earnings guide because Q1 margins make the &gt;85% promise require ~23% margins for the rest of the year. Scenarios: bear $110 (25%), base $205 (50%), bull $305 (25%). The ladder is a lognormal mixture around those (sds ~0.30/0.22/0.20) with tails fattened toward the 71% realized vol: median ~$202, P(&gt;=183) 0.605. Research limits: www.sec.gov blocked curl, so filings were read via WebFetch, and the pro forma 8-K/A is still unfiled.</t>
  </si>
  <si>
    <t xml:space="preserve">At ~$125 the EV is ~$6.9B (53.2M x $125 + ~$280M net debt), ~11x my FY28E EBITDA of $635M and ~15.5x FY27E. That would price DC growth stalling, margins structurally below 15% or the loss or deferral of the large technology customer (~11% of consolidated FY26 sales per the 10-K; ~30% of DC sales if all DC, an estimate) or the multi-year capacity agreement, not ordinary volatility. It is also below the pre-spin July/August lows after adjusting for the ~$14-15/share of THRM distributed.</t>
  </si>
  <si>
    <t xml:space="preserve">• Whether DC margins recover to ~20% as supply shortages ease (Q1 lost 450-550bp to excess labor and absorption)
• Size of the FY27 reset at Q2: the Q1 slides promise DC earnings growth &gt;85% (&gt;= ~$397M), against my ~$350M
• RemainCo corporate cost: Q1 ran -$23.0M (~-$92M annualised) vs -$62.6M in FY26; TSA offsets and post-spin savings are unclear
• Durability of hyperscale/neocloud cooling demand into 2028 (AI capex digestion) and dependence on one technology customer (~11% of consolidated FY26 sales)
• Competitive intensity in chillers and CDUs from Vertiv, Trane, JCI, Carrier, nVent
• Exact post-close net debt (pro forma 8-K/A not yet filed)
• Nov 18 Investor Day targets could re-anchor expectations either way; most analyst targets (avg $310) predate the spin</t>
  </si>
  <si>
    <t xml:space="preserve">• a fact: RemainCo corporate cost -$55M/yr → -$80M/yr (-$82M FY28, -$85M FY29) (Supervisor finding, verified in Q1 FY27 Ex.99.1: adjusted corporate &amp; eliminations -$23.0M in Q1 (vs -$15.5M a year earlier), ~-$92M annualised. I take slightly less than the run-rate for TSA offsets.)
• a method: FY27E RemainCo EBITDA ~$475M → ~$445M (Higher corporate cost, partly offset by raising the DC margin to ~19% from 18.5%. I now say explicitly that I sit below the Q1 slides' DC 'earnings growth in excess of 85%' guide (&gt;= $397M vs my ~$348M).)
• a method: FY28E $660M / FY29E $775M; NTM $718M → FY28E $635M / FY29E $765M; NTM $700M (Corporate cost correction (supervisor's revisit: FY28 ~$635M).)
• a fact: Net debt ~$275M post-close, ~$75M Oct-2027 → ~$280M post-close, ~$120M Oct-2027 (Post-close figure confirmed against the Jun-30 net debt and the distribution. The Oct-2027 figure is raised because lower EBITDA, a higher cash corporate cost, separation costs and Q1's -$5.0M FCF imply ~$160M of NTM FCF, not $200M.)
• a method: EV/EBITDA $216.0 (16.5x on $718M, 54.5M shares) → $210.5 (16.5x on $700M, 54.3M shares) (EBITDA and net-debt revisions; share count re-based on 53.20M basic at the record date (23,735,961 THRM / 0.44619).)
• a method: P/E $214.1 ($8.92 x 24x) → $204.9 ($8.54 x 24x) (Lower NTM EBITDA and D&amp;A raised to $80M from $68M for capacity capex.)
• fair value: 215.2 → 208.3 (Corporate cost correction and net debt at Oct-2027. I stay above the supervisor's $204 because I use $80M of D&amp;A (not $85M) and lower interest after the prepayment, and keep 16.5x/24x.)
• a fact: Peer set of 11 incl. HUBB; fwd EV/EBITDA = TTM/(1+rev CAGR+3pt); median 18.8x; P/E median 26.78x → 10 peers (HUBB dropped); TTM/(1+rev CAGR); median 20.54x (~19x reconciled); P/E median 27.62x (Supervisor's comps_review: the +3pt allowance arbitrarily lowered every multiple and HUBB is electrical-only. I keep ETN (Boyd liquid cooling) and CSWI (HVAC/R) to meet the 10-peer requirement, which the supervisor's core 8 would not.)
• a fact: Discount justified by margins/execution/HVAC mix → Adds 10-K concentration: one customer ~11% of consolidated FY26 sales (~30% of DC if all DC, estimate), top ten 49% (Supervisor's concentration finding, verified in the 10-K.)
• a scenario: bear $112 / base $212 / bull $315 → bear $110 / base $205 / bull $305 (Corporate cost correction applied to every case; the bull case now also needs the Investor Day targets to land well.)
• P(close &gt;= K): 201: 0.53, 219: 0.45, 247: 0.33, 274: 0.235, 320: 0.125, 366: 0.06 → 201: 0.512, 219: 0.425, 247: 0.31, 274: 0.22, 320: 0.115, 366: 0.055 (Lower fair value and scenario prices; the median falls from ~$207 to ~$202. The left tail is barely changed (bear prob unchanged); P(&gt;=457) is slightly higher (0.014) to respect the 71% realized vol.)
• a fact: Catalyst list without Investor Day → Nov 18, 2026 Analyst &amp; Investor Day added (outside the 1-month window) (Supervisor finding, verified in the company's Sep 14 press release.)
• thesis break: 125 (EV ~$7.0B, ~12x NTM EBITDA) → 125 (EV ~$6.9B, ~11x FY28E $635M) (Level unchanged; the rationale is restated on the revised EBITDA and adds the risk of losing the concentrated customer.)
• citation fix: claims flagged in citation_audit.md (2026-10-06) → corrected / relabelled / removed; see citation_fix.json (Rule: no unverified claims. Every change is to labels, citations or non-driving text; fair value stays $208.3, so the 12-month ladder is unchanged.)
• 2026-10-06 citation restore: 'DC margin 19-20% expected in Q2' was wrongly removed as unverifiable; it is in the company's Q1 FY27 call transcript (https://s205.q4cdn.com/270741342/files/doc_financials/2027/q1/Modine_-Transcript-Q1-FY27.pdf). Values unchanged.</t>
  </si>
  <si>
    <t xml:space="preserve">RemainCo (Data Centers + Commercial HVAC) only; the THRM stake (~$14/sh) is already out of the price. Round-2 changes, all checked against primary filings: Q1 corporate was -$23.0M (Ex.99.1), so I now use -$80M/yr. Net debt is $432.9M - $156.0M = ~$277M at close (Ex.99.1, 8-K); the 8-K/A is still unfiled per the EDGAR index. Concentration comes from the 10-K: one customer ~11% of consolidated sales, top ten 49%; my 'half of DC capacity' claim is withdrawn. The Q1 slides guide Commercial HVAC sales at +5-10%, not the +12% I used, and DC earnings growth at &gt;85%. The Nov-18 Investor Day is confirmed. FY27E RemainCo EBITDA is ~$461M, below the guide-implied ~$490M after Q1's 14.8% DC margin. Oct-2027 NTM is ~$655M (FY28E $600M, FY29E $725M). The industry lane still says demand is strong (TT applied bookings +130%, CARR DC orders ~4x, JCI Americas +37%, Munters orders +137% with book-to-bill 2.3x and large multi-year DC chiller orders, 66 GW NA under construction at ~1% vacancy). The same sources show competitor capacity growth and warm-water/chiller-free CDU marketing (DCX), so I keep DC growth below management's 50-70%. Comps: rebuilt on 10 US peers with one formula (TTM EV/EBITDA over average 3Y growth). Medians are 20.9x / 28.6x, or 19.2x / 27.6x on the core-8 the supervisor used; Daikin and Munters are dropped. I keep 17x / 25x, a ~10% persistent discount for concentration, lower margin, execution and chiller-substitution exposure. Fair value $198 (from $196). Distribution: 50/50 blend of a scenario mixture (bear $115 25%, base $198 50%, bull $285 25%, each lognormal) and one lognormal (median $192, sigma 0.52, consistent with ~71% realised vol damped for horizon mean-reversion). Ladder median ~$194, P(&gt;= today) ~55%. I broadly agree with the supervisor's fair value (~$204); I sit slightly lower because I take a slightly lower NTM EBITDA ($655M vs $675M) and less deleveraging. Research limits: sec.gov refused scripted fetches, so filings were read via WebFetch; stockanalysis was read via WebFetch.</t>
  </si>
  <si>
    <t xml:space="preserve">At $125 the equity is ~$6.65B and EV ~$6.9B, ~15x FY27E and ~11.5x FY28E RemainCo EBITDA, at the bottom of the peer range (LII 11.6x) for a business guiding DC growth of 60-80%. Trading there would most likely mean something fundamental broke: the $4B LTA was deferred or lost, chiller attach rates fell structurally as 45C designs scaled, share was lost to the expanding big-HVAC capacity, or AI capex retrenched. Ordinary volatility (71% realised) alone is unlikely to explain it. The level is near the spin-adjusted Jan-2026 Vera Rubin panic lows.</t>
  </si>
  <si>
    <t xml:space="preserve">• DC margin recovery from 14.8% to ~20%, and whether FY27 DC earnings reach the &gt;85% growth guide (&gt;= ~$397M; my estimate is ~$370M)
• The first standalone guide (Q2) and the Nov-18 multi-year targets
• Chiller content per MW as 45C warm-water DLC scales (DCX and others market chiller-free CDUs; Trane says chillers shift to air-cooled rather than disappearing)
• Concentration: one customer ~11% of consolidated FY26 sales (10-K; ~30% of DC sales if all DC, an estimate) plus the $4B LTA timing
• Price competition as Trane, JCI and Carrier each multiply DC chiller capacity
• Exact post-close net debt and corporate cost (the 8-K/A was not filed as of Oct 6)
• 2027 hyperscaler capex path and any digestion</t>
  </si>
  <si>
    <t xml:space="preserve">• fair value: 196 → 198 (Lower net debt at Oct-2027 (~$175M vs $250M; close ~$280M per supervisor, re-checked $432.9M - $156.0M) offsets a higher corporate cost and the lower CHVAC growth guide; NTM EBITDA $650M -&gt; $655M on the FY28/FY29 build)
• a method: EV/EBITDA $198 (17x on $650M, net debt $250M, 54.5M sh) → EV/EBITDA $202 (17x on $655M, net debt $175M, 54.3M sh) (Supervisor net-debt resolution plus my own FCF bridge; corporate -$80M (Q1 -$23.0M re-checked in Ex.99.1))
• a method: P/E $195 (25x on $7.80) → P/E $195 (25x on $7.80) (Higher EBITDA and lower interest offset by higher D&amp;A ($85M vs $80M); 25x re-benchmarked to the core-8 median 27.6x)
• a fact: Corporate cost -$75M → -$80M FY27, -$82-85M FY28-29 (Supervisor corporate-cost resolution; verified Q1 -$23.0M in Ex.99.1)
• a fact: Commercial HVAC FY27 sales +12% → +7.5% (guide +5-10%) (New evidence: Q1 FY27 slides (Ex.99.2) guide CHVAC +5-10%)
• a fact: FY27E RemainCo EBITDA ~$470M → ~$461M, stated as below the &gt;85% DC earnings guide (&gt;= ~$397M DC) (Supervisor flagged the explicit DC earnings guide; I stay ~7% below it because of the Q1 supply miss and the lower CHVAC guide)
• a fact: One hyperscaler fills ~half of DC capacity → One customer ~11% of consolidated FY26 sales (~30% of DC if all DC, estimate), top ten 49% (Supervisor feedback; verified in the FY2026 10-K)
• a fact: Net debt ~$300M at close → ~$280-290M at close (Supervisor resolution ($432.9M - $156.0M, Cash Transfer offsets PT cash), re-checked in Ex.99.1 and the 8-K)
• a fact: Peer set of 12 incl. Daikin and Munters; own growth-blend EV/EBITDA; medians 18.5x / 27.6x → 10 US peers, one formula (TTM EV/EBITDA / (1 + avg 3Y rev and EPS CAGR)); medians 20.9x / 28.6x (core-8 19.2x / 27.6x) (Supervisor comps_review and revise brief (one consistent basis, remove non-US consensus); TTM and CAGR data re-fetched from stockanalysis Oct 6)
• a scenario: bear $110 / base $196 / bull $280 → bear $115 / base $198 / bull $285 (Lower net debt lifts all three; bull now benchmarked to the core peer median of ~19.5x)
• P(close &gt;= K): 183: 0.545, 201: 0.46, 219: 0.385, 274: 0.21, 320: 0.12, 366: 0.07 → 183: 0.549, 201: 0.471, 219: 0.399, 274: 0.229, 320: 0.139, 366: 0.084 (Slightly higher fair value and bull case; right tail moved toward the 50/50 scenario/lognormal blend (median ~$194))
• thesis break: 125 → 125 (Unchanged; re-derived at ~15x FY27E / 11.5x FY28E EBITDA, the bottom of the peer range)
• a fact: Catalyst list without Investor Day → Nov-18-2026 Analyst &amp; Investor Day added; 8-K/A due Oct 7 added (Supervisor feedback; confirmed via the company press release)
• citation fix: claims flagged in citation_audit.md (2026-10-06) → corrected / relabelled / removed; see citation_fix.json (Rule: no unverified claims. Every change is to labels, citations or non-driving text; fair value stays $198.0, so the 12-month ladder is unchanged.)</t>
  </si>
  <si>
    <t xml:space="preserve">Valued only the post-spin Climate Solutions company. Round 2 re-verified the supervisor's findings in the filings: Q1 FY27 corporate was -$23.0M (consolidated adj. EBITDA $106.5M less DC $51.7M, CHVAC $41.6M, PT $36.2M), Jun-30 net debt $432.9M, Cash Distribution $155,991,275 used to prepay the JPM facility, the 10-K's ~11% customer and the 10-Q's $8.3M 5.8% notes. So corporate goes from -$60M to -$80M (-$21M FY28 EBITDA) and close net debt from $320-350M to ~$280M (~$175M at horizon). I stay ~9% below the DC '&gt;85% earnings growth' guide after the 14.8% Q1 margin, which the supervisor accepts as defensible. FY28E EBITDA $581M, FY29E $694M, Oct-2027 NTM EPS $7.60. On a cleaner 10-peer set (median P/E 27.6x, EV/EBITDA ~19-20.5x), I use 24x and 17x (raised P/E from 22x after removing the double-counted horizon fade). That gives $182 and $198, and a DCF of $120 at 10.5% (5Y beta 1.71 supports the high WACC; weight cut to 20%). Blend $175, essentially unchanged from $174: lower net debt and a higher P/E offset higher corporate cost. My multiples now match the supervisor's (17x / 24x); I stay below its ~$204 because my NTM EBITDA is $638M rather than $675M (a slower DC ramp after the Q1 miss) and because I keep a 20%-weight DCF check. Skeptic findings: no short report, low leverage, covenant headroom; the bear case is execution, concentration and AI-capex cyclicality, plus uniform insider selling. The ladder is a 60/40 mix of a lognormal (median $178, sigma 0.55, below the spin- and crash-inflated 71% realized vol) and the scenarios (bear $105/25%, base $180/50%, bull $280/25%), giving a median ~$180. The right tail is slightly thinner than round 1. Research limits: 8-K/A not yet filed; peer forward EV/EBITDA is derived, not vendor consensus.</t>
  </si>
  <si>
    <t xml:space="preserve">Below ~$120 (EV ~$6.7B, ~11.5x FY28E EBITDA of $581M, ~17x FY28E EPS) the market would be pricing FY28 RemainCo EBITDA near $420M: DC growth stalling or margins stuck ~15%, most likely a deferred or lost hyperscale program (the ~11%-of-sales customer or the $4B LTA), a guide cut at the first standalone outlook or Investor Day, or an AI-capex down-cycle - not ordinary volatility.</t>
  </si>
  <si>
    <t xml:space="preserve">• Whether DC supply/capacity bottlenecks clear so margins return from 14.8% to ~20% (the guide needs ~22% for the year)
• Durability of hyperscaler AI capex into 2028 and MOD's share vs Vertiv, Trane, JCI and in-house designs
• Customer concentration: one technology customer ~11% of consolidated sales, ~30% of DC if all DC (estimate)
• RemainCo corporate cost (-$23M in Q1) and the final post-close cash settlement (8-K/A unfiled)
• Multiple compression across AI-infrastructure stocks as growth decelerates
• Persistent insider selling (~$31M in six months, no buys) and 6.5% short interest</t>
  </si>
  <si>
    <t xml:space="preserve">• a fact: post-close net debt: $320-350M at close, $250M at horizon → ~$280M at close, ~$175M at horizon (Supervisor net-debt resolution, re-verified: Q1 Ex.99.1 net debt $432.9M less $155,991,275 Cash Distribution (Oct-1 8-K Item 8.01) = $277M; round 1 double-counted disposition costs)
• a fact: corporate cost: -$60M/yr → -$80M/yr (FY27) rising to -$85M (Supervisor finding, re-verified: Q1 FY27 corporate adj. EBITDA -$23.0M derived from Ex.99.1/99.2 segment figures)
• a fact: debt maturity: $50M 5.75% Series B notes due 2026-11-28 → $8.3M 5.8% senior notes due FY2027 (Supervisor finding, confirmed in 10-Q Note 17)
• a fact: customer concentration: Google+AWS ~85-90% of pipeline (Hunterbrook) → one technology customer ~11% of consolidated FY26 sales (~30% of DC if all DC, estimate); top ten 49% (Supervisor source_review discounted the single-source Hunterbrook claim; 10-K Item 1 checked directly)
• a fact: 424B3 citation: Climate Solutions TTM $1.6B revenue / $307M EBITDA cited to 424B3 → figure removed; 424B3 cited only for Cash Transfer mechanics (Supervisor could not find the figure in the 424B3; not re-verified, so dropped)
• a method: P/E: $179 (22x x $8.15, 40%) → $182 (24x x $7.60, 45%) (EPS lower on -$80M corporate and a slower DC ramp; multiple raised after the supervisor flagged the horizon-fade double count; 24x is a 13% discount to the 10-peer 27.6x median)
• a method: EV/EBITDA: $209 (17x x $673M, net debt $250M) → $198 (17x x $638M, net debt $175M) (Higher corporate cost, lower net debt; 17x is now measured against a ~19-20.5x 10-peer median rather than 22x)
• a method: DCF: $132, weight 30% → $120, weight 20% (Lower EBITDA path; supervisor asked to justify the beta or cut the weight - 5Y beta 1.71 supports the WACC, weight cut because the terminal judgment dominates)
• fair value: 174 → 175 (Net of the above; still below the supervisor's ~$204 because of a lower NTM EBITDA ($638M vs $675M) and the DCF check)
• a fact: peer set: 12 peers incl. FIX, POWL, MTRS; medians 28.6x P/E, 22.0x EV/EBITDA → 10 peers (dropped FIX, POWL, MTRS; added CSWI); medians 27.6x, 20.5x (~18x EPS-divisor) (Supervisor comps_review: core thermal/HVAC set, one consistent basis)
• a scenario: bull: $285 → $280 (Lower EBITDA base after corporate-cost correction)
• P(close &gt;= K): 183: 0.47; 274: 0.21; 366: 0.09 → 183: 0.482; 274: 0.197; 366: 0.078 (Lower net debt lifts the middle slightly; higher corporate cost and the thinner bull scenario trim the right tail)
• thesis break: 120 → 120 (Unchanged: ~11.5x FY28E EBITDA after the corporate and net-debt corrections)
• citation fix: claims flagged in citation_audit.md (2026-10-06) → corrected / relabelled / removed; see citation_fix.json (Rule: no unverified claims. Every change is to labels, citations or non-driving text; fair value stays $175.0, so the 12-month ladder is unchanged.)</t>
  </si>
  <si>
    <t xml:space="preserve">Round 2. Valued only the remaining Climate Solutions company. I accepted and verified three supervisor findings against primary filings: (a) Q1 FY27 corporate &amp; eliminations was -$23.0M in one quarter (src 23), so my round-1 -$40M/yr was too light; I now use -$80M to -$85M; (b) the 10-K says one global technology customer was ~11% of consolidated FY26 sales and top-10 were 49% (src 25), which I use instead of leak-based shares; (c) the Nov 18 Investor Day exists (src 26) and the Q2 report is unannounced but very likely ~Oct 26-29. I also verified the Q1 slides' DC 'earnings growth in excess of 85%' guide (src 24) and stay ~$27M below it (judgment after the Q1 margin miss). Net debt: verified $432.9M at Jun-30 and the $156M distribution; the Gentherm 8-K confirms a separate Cash Transfer was funded (src 30) but not its size, so ~$280M at close is an estimate; with Q1 FCF -$5M and $150-200M capex I cut 12-month FCF to ~$120M (net debt ~$160M at horizon). Peers: dropped Daikin and Munters (different fiscal/consensus basis; Daikin's 7.7x was a basis artifact), leaving 10 peers on one formula: medians 17.9x EV/EBITDA and 27.6x P/E; I withdrew the round-1 premium and apply a ~5% discount for contractually persistent concentration. Result: EBITDA FY27/28/29 $462M/$625M/$734M, NTM at horizon $680M; EV/EBITDA $211 and P/E $213, fair value $212 (from $230); scenario mean ~$215. Alt-lane evidence: Hunterbrook leak still used only as bull-case colour; plant hiring/capacity trackers (src 13, 15, 29) confirm the build-out is real; the 11.5% Sep 28 record-date drop (src 28) looks like spin mechanics. Because execution has missed twice and the market capitalises ~18x my near-term EBITDA, I shade the ladder median to ~$196 (about halfway from $183 to fair value), lognormal sigma ~0.52 with a slightly fatter left tail and a thinner right tail than round 1 (P&gt;=320 0.155 vs 0.205; P&gt;=457 0.04 vs 0.065), consistent with a bull case that needs ~21x on ~$820M. Research limits: sec.gov blocked direct downloads (filings read via WebFetch; EDGAR JSON index fetched directly); X/Reddit not reachable via search. Lane share fell further (~40%) because the supervisor's findings required primary-filing verification.</t>
  </si>
  <si>
    <t xml:space="preserve">Below ~$125 the EV would be ~$6.9B (53.2M x $125 + ~$0.28B net debt), ~11x my FY28 EBITDA of $625M or ~15x FY27E $462M - consistent only with DC growth or the $4B LTA breaking (customer deferral/cancellation, share loss to Vertiv/Trane, chiller-free designs) or an AI-capex down-cycle, not ordinary volatility.</t>
  </si>
  <si>
    <t xml:space="preserve">• Whether DC margin recovers from 14.8% (Q1) toward ~20% from Q2 as management expects; component shortages gated Q1 output
• RemainCo corporate cost: Q1 ran -$23M/qtr; the 8-K/A pro forma and Q2 report will show the true standalone level
• 2027-28 AI data-center capex path and whether next-gen liquid cooling reduces chiller content per MW
• Customer concentration: one customer ~11% of consolidated FY26 sales per the 10-K (~30% of DC if all DC, an estimate); the identity (Google per Hunterbrook) is single-sourced
• Post-close net debt (~$280M estimated, range $245-320M) until the 8-K/A is filed
• Nov 18 Investor Day targets could reset expectations either way; high realized volatility (71%)</t>
  </si>
  <si>
    <t xml:space="preserve">• a fact: RemainCo corporate cost -$40M/yr → -$80M (FY27) to -$85M (FY29) (Supervisor finding, verified: Q1 FY27 adjusted corporate &amp; eliminations -$23.0M in one quarter (Q1 Ex.99.1, src 23).)
• a fact: RemainCo EBITDA FY27/28/29 $470M/$650M/$780M; NTM at horizon $715M → $462M/$625M/$734M; NTM $680M (Higher corporate cost; DC FY27 raised slightly to $370M to sit closer to the verified '&gt;85% DC earnings growth' guide (src 24) while staying below it after the Q1 miss.)
• a fact: Net debt at horizon ~$100M (FCF ~$180M) → ~$160M (FCF ~$120M); ~$280M at close (Supervisor finding; Q1 FCF -$5.0M and capex guide $150-200M verified (src 23, 24); Cash Transfer funding confirmed in Gentherm 8-K (src 30).)
• a fact: Customer concentration from Hunterbrook (one hyperscaler ~half of capacity) → 10-K: one customer ~11% of consolidated FY26 sales (~30% of DC if all DC, estimate), top-10 49% (Supervisor finding, verified in the FY2026 10-K (src 25); Hunterbrook discounted as single, biased source.)
• a method: EV/EBITDA 18.0x (premium to 16.35x median of 12 peers incl. Daikin, Munters) = $236.5 → 17.0x (~5% discount to 17.9x median of 10 peers) = $211.1 (Supervisor comps_review: Daikin/Munters on a different basis deflated the median; premium argument withdrawn; small concentration discount argued as persistent through CY2029.)
• a method: P/E 25.4x x $8.82 = $224 → 26.0x x $8.21 = $213.4 (Peer median rises to 27.6x on the 10-peer set; EPS lower from corporate cost; 6% concentration discount.)
• fair value: 230.0 → 212.0 (Corporate cost, net debt and peer-set corrections above. I stay above the supervisor's $204 because I use a smaller discount (5-6% vs 10%) and slightly higher FY28-29 DC margin; concentration is real but already an estimated ~30% of DC and growth is about double peers'.)
• a scenario: bear $122 / base $230 / bull $345 → bear $120 / base $212 / bull $315 (Corporate cost lowers every case; bull multiple kept at ~21-22x on ~$820M per supervisor's tail check.)
• P(close &gt;= K): 201: 0.51, 247: 0.365, 320: 0.205, 366: 0.14, 457: 0.065; median ~$205 → 201: 0.475, 247: 0.32, 320: 0.155, 366: 0.095, 457: 0.04; median ~$196 (Lower fair value and supervisor note to shade the fat right tail; left tail slightly fatter (P&gt;=46 0.985) for AI-capex/LTA break risk.)
• P(close &gt;= K): 1-month ladder centred ~$184 → essentially unchanged, centred ~$183.5 (Q2 report very likely inside the window (~Oct 26-29) with two-sided risk; Investor Day Nov 18 just outside; no directional edge.)
• thesis break: 125.0 → 125.0 (reason updated) (Unchanged level; recomputed EV multiples with corrected EBITDA (~11x FY28E, ~15x FY27E).)
• citation fix: claims flagged in citation_audit.md (2026-10-06) → corrected / relabelled / removed; see citation_fix.json (Rule: no unverified claims. Every change is to labels, citations or non-driving text; fair value stays $212.0, so the 12-month ladder is unchanged.)</t>
  </si>
  <si>
    <t xml:space="preserve">Round 2, lane: base rates and events. Facts re-checked against primary filings, not copied from the supervisor. Q1 FY27 segment table: DC $51.7M on $348.6M, CHVAC $41.6M, corporate -$23.0M; net debt $432.9M; diluted 54.0M [30]. FY26 recast: DC $214.7M, CHVAC $162.4M, corporate -$62.6M [32]. Q1 slides: DC earnings growth &gt;85% [31]. Cash Distribution $155,991,275 and 0.44619 ratio [1]. 10-K: one customer ~11% of sales [33]. Investor Day Nov 18 [34]. No 8-K/A yet [36]. Changes: corporate moves to -$80M; FY27E/28E/29E EBITDA $459/610/721M (from $470/630/748M), so NTM EBITDA at the horizon is $665M (from $690M). Peers: FIX and POWL dropped, CSWI added (10 peers). The EV/EBITDA median falls from 20.5x to 18.65x (~19x reconciled), so I use 17.5x (from 18x). P/E is 25x on $7.88. Fair value $207 (from $218). The bull case is trimmed to $300 (20.5x on $800M) because the supervisor flagged that round 1's 22x on $850M was a stretch. Base rates are unchanged: 71% realized vol, earnings-week moves of -7% to -17% and +25% [7,13], modest parent outperformance after spins [11,12], Kalshi 2027 recession 20% [9], Polymarket AI-bubble-2026 7.4% [10]. Distribution: 85% lognormal with median $194 and sigma 0.44, plus a 15% fat-tail component with sigma 0.85 (effective ~50% vol). The median of $194 sits below fair value because the market already pays ~18x NTM, delivery risk is high and the two near-term binary events lean negative historically. The mean is ~$220, against a scenario mean of ~$212. The right tail is cut (P&gt;=366 0.098 from 0.126; P&gt;=457 0.045 from 0.062). Limits: Twelve Data estimates and statistics are unavailable on this plan, and stockanalysis FY27+ estimates are paywalled, so forward EV/EBITDA is derived. sec.gov blocked one curl request, so I read those filings through WebFetch.</t>
  </si>
  <si>
    <t xml:space="preserve">Below ~$125 (-32%) the EV would be ~$7.0B (125 x 54.0M + ~$290M net debt). That is ~11.5x FY28E EBITDA of $610M and ~15x FY27E of $459M, which implies FY28 EBITDA with little growth from FY27, against DC guided +60-80% this year [31]. Such a level would most likely mean the $4B capacity agreement or DC share is impaired, or AI capex has turned down, rather than ordinary 71%-vol noise. It also equals my bear-scenario value.</t>
  </si>
  <si>
    <t xml:space="preserve">• Post-close net debt and the RemainCo corporate cost base until the 8-K/A pro forma is filed (estimates: ~$290M; -$80M/yr)
• Whether DC margin recovers from 14.8% to ~19-20%, and whether FY27 DC earnings reach the '&gt;85% growth' guide (my FY27E sits below it)
• Durability of hyperscaler AI capex into 2027-28; concentration in one customer (~11% of FY26 consolidated sales per the 10-K; ~30% of DC if all DC, an estimate)
• Size and framing of the Q2 guidance reset and the Nov 18 multi-year targets
• Volatility regime: 71% realized vol, ~40% drawdown from the May high on a RemainCo basis</t>
  </si>
  <si>
    <t xml:space="preserve">• a fact: corporate -$65-85M/yr, supported by the 'no stranded costs' call recap → -$80M/yr, from the Q1 FY27 primary segment table (-$23.0M/qtr) (Supervisor feedback: the recap was a secondary source. Verified in Ex.99.1 [30].)
• a fact: post-close net debt ~$310M → ~$290M ($432.9M - $156.0M + part of the transaction costs) (Supervisor net-debt resolution (~$280M), re-derived from Ex.99.1 [30] and the 8-K [1]. Oct-2027 net debt stays ~$150M.)
• a fact: customer concentration described only as one $4B agreement → one customer ~11% of FY26 consolidated sales (~30% of DC if all DC, estimate); top ten 49% (Supervisor concentration resolution, verified in the 10-K [33].)
• a method: EV/EBITDA $227: 18x on $690M → $213: 17.5x on $665M (Lower EBITDA path from the corporate cost and a FY27E below the guide, plus a lower peer median after FIX/POWL were dropped (supervisor comps_review).)
• a method: P/E $204: 25x on $8.16 → $197: 25x on $7.88 (Lower NTM EBITDA flows through to EPS. The 10-peer P/E median is now 27.6x (from 28.7x).)
• fair value: 218 → 207 (The combined effect of the two method changes.)
• a scenario: bull $345 (22x on $850M) → bull $300 (20.5x on $800M) (Supervisor: the right tail needed 22x on $850M. 20.5x keeps the bull inside the upper half of the peer range.)
• a scenario: bear $130 / base $215 → bear $125 / base $210 (Higher corporate cost and slightly higher net debt at close.)
• P(close &gt;= K): K=201 0.489, 247 0.338, 320 0.184, 366 0.126, 457 0.062 → K=201 0.470, 247 0.306, 320 0.150, 366 0.098, 457 0.045 (Median cut from $198 to $194, sigma from 0.50 to 0.44 and a lighter fat tail, following the lower fair value and the supervisor's right-tail check.)
• a fact: comps: 11 peers incl. FIX, POWL; EV/EBITDA median 20.5x → 10 peers (FIX, POWL out; CSWI in); median 18.65x on one formula, ~19x reconciled (Supervisor comps_review; round-2 brief rule on one consistent basis, with the basis caveat stated.)
• thesis break: 125 → 125 (unchanged) (Recomputed with ~$290M net debt and FY28E $610M; still ~11.5x FY28E EBITDA, consistent with a broken growth thesis.)
• a fact: no Investor Day in catalysts → Nov 18, 2026 Analyst &amp; Investor Day added; 8-K/A due ~Oct 7 added (Supervisor feedback; verified in the company release [34] and the EDGAR index [36].)
• a fact: (disagreement noted) → I keep FY27E RemainCo EBITDA ($459M) below the DC '&gt;85% earnings growth' guide (~$490M implied) (I disagree with treating the guide as the base. Q1 DC sales fell sequentially ($401.9M to $348.6M) at a 14.8% margin, so the guide needs ~23% DC margins in Q2-Q4 [30,31,32].)
• citation fix: claims flagged in citation_audit.md (2026-10-06) → corrected / relabelled / removed; see citation_fix.json (Rule: no unverified claims. Every change is to labels, citations or non-driving text; fair value stays $207.0, so the 12-month ladder is unchanged.)</t>
  </si>
  <si>
    <t xml:space="preserve">MOD supervisor</t>
  </si>
  <si>
    <t xml:space="preserve">Confidence: low. Round 2 has already absorbed the round-1 corrections and the agents converged on my round-1 inputs. This round's checks confirmed the inputs (CHVAC guide, segment figures, the distribution, share count) and found one method inconsistency (agent_3's DCF). My only ladder change is a small lift of the middle, which is within noise, so the mean should stand.</t>
  </si>
  <si>
    <t xml:space="preserve">Summary</t>
  </si>
  <si>
    <t xml:space="preserve">EXIT k=0.8 RE-SET 2026-10-26 (Kilian card 12:16Z: exit = peer median x (own / median)^0.8): EV/EBITDA 14.17x -&gt; 13.57x; P/E 23.23x -&gt; 21.25x. Research target (12m) $180.00 -&gt; $169.01 (engine: multiple: EV/EBITDA (ntm) $166.64 x 0.6; multiple: P/E (ntm) $172.58 x 0.4; scenarios bear $87.02 / base $169.01 / bull $243.88, median $168.79). Multiples and values quoted in the older text below are superseded by these. MOD is now pure Climate Solutions (Data Centers + Commercial HVAC). Round 2 converged on fair values of $175-212 (four of five at $198-212; mean $200.1), mainly by adopting my verified round-1 inputs (corporate -$80M, ~$280M net debt, ~19x peers), so the convergence is anchoring rather than independent confirmation. This round verified the Commercial HVAC +5-10% guide and all copied segment figures, found agent_3's fair value inconsistent with its own scenarios, and set a one-basis peer median of 20.2x (derived from peers' filings and Oct-5 prices), against which 17x is a ~16% discount and 24.5x P/E ~6% below the 25.9x median, a justified ~12% blended discount. Reconciled fair value is ~$200 (+9% vs $182.91; ~$280M at-close net debt estimate, 54.0M diluted shares) with a 12-month median of ~$193; the 8-K/A pro forma is still unfiled, and the Q2 report (first standalone guide) and the Nov 18 Investor Day are the next tests. [2026-10-26: the 8-K/A pro forma has since been filed (2026-10-07, Ex.99.1): post-spin net debt 265.3M at 2026-06-30 vs the 280M estimate in the balance; ~+$0.25/share, not applied in this exit-k update.]</t>
  </si>
  <si>
    <t xml:space="preserve">Research target (12m)</t>
  </si>
  <si>
    <t xml:space="preserve">Key drivers</t>
  </si>
  <si>
    <t xml:space="preserve">• Data Centers segment net sales: 1,108 -&gt; 1,829/2,590/3,110 (estimate; quarterly, sum)
• Data Centers segment adj. EBITDA margin: 0.1937 -&gt; 0.1938/0.2001/0.2 (estimate; quarterly, wmean:dc_rev)
• Commercial HVAC segment net sales: 973.8 -&gt; 1,070/1,131/1,203 (estimate; quarterly, sum)
• Commercial HVAC segment adj. EBITDA margin: 0.1668 -&gt; 0.1653/0.1677/0.1677 (estimate; quarterly, wmean:chvac_rev)
• RemainCo corporate &amp; eliminations (adj. EBITDA): -62.6 -&gt; -80/-82/-85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</si>
  <si>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</si>
  <si>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</si>
  <si>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</si>
  <si>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</si>
  <si>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</si>
  <si>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Post-close net debt (8-K/A pro forma)</t>
  </si>
  <si>
    <t xml:space="preserve">agent_1 ~$280M, agent_2 ~$280-290M, agent_3 ~$280M, agent_4 ~$280M, agent_5 ~$290M at close; Oct-2027 estimates $120-175M.</t>
  </si>
  <si>
    <t xml:space="preserve">Settled at ~$280M at close (range $245-320M) as an ESTIMATE. EDGAR was checked again on Oct 6: the Modine submissions index (latest filing a Form 4 on Oct 5) still shows no 8-K/A, and the Oct-1 8-K says the pro forma 'will be filed by amendment ... not later than four business days after the Closing Date' (i.e. by Oct 7). The estimate is $432.9M Jun-30 net debt less the $155,991,275 Cash Distribution (verified), with the Cash Transfer offsetting PT's cash. The agents' Oct-2027 projections ($120-175M, median $160M) are not used in my fair value, which subtracts the ~$280M at-close estimate. The ~$35M range is worth about +/-$0.65/share, so it is ordinary estimate uncertainty, not an open flag.</t>
  </si>
  <si>
    <t xml:space="preserve">Modine 8-K 2026-10-01 (Items 2.01/8.01/9.01); data.sec.gov submissions index for CIK 67347 fetched 2026-10-06; Q1 FY27 Ex.99.1 net debt table ($528.2M debt, $95.3M cash)</t>
  </si>
  <si>
    <t xml:space="preserve">Commercial HVAC FY27 growth</t>
  </si>
  <si>
    <t xml:space="preserve">agent_2 moved from +12% to +7.5% citing the Q1 slides' +5-10% guide; agent_1 +7%, agent_3 ~+7%, agent_4 ~+7%, agent_5 +9%.</t>
  </si>
  <si>
    <t xml:space="preserve">Verified: the Q1 FY27 slides (slide 12) guide Commercial HVAC sales +5% to +10%, Data Centers +60% to +80% and PT flat to +5%, with consolidated adjusted EBITDA $650-680M. All five now sit inside the CHVAC guide.</t>
  </si>
  <si>
    <t xml:space="preserve">Modine Q1 FY27 Ex.99.2 slide 12 (fetched 2026-10-06)</t>
  </si>
  <si>
    <t xml:space="preserve">Agent_3's fair value vs the group</t>
  </si>
  <si>
    <t xml:space="preserve">agent_3 $175 vs $198-212 for the other four.</t>
  </si>
  <si>
    <t xml:space="preserve">The gap is mostly method, not facts: its DCF ($120 at 20%) equals its thesis-break price and its scenario mean is $186, $11 above its fair value. Its P/E and EV/EBITDA methods alone give ~$189. I do not adopt the $175 and lift the middle of the ladder slightly; I do keep its lower NTM EBITDA ($638M) as a legitimate low-side view.</t>
  </si>
  <si>
    <t xml:space="preserve">agent_3.json scenarios and methods</t>
  </si>
  <si>
    <t xml:space="preserve">Peer median and discount</t>
  </si>
  <si>
    <t xml:space="preserve">Medians quoted: agent_1 20.5x (revenue divisor), agent_2 20.9x (avg divisor, 10 peers incl. FIX) / 19.2x core-8, agent_3 20.5x, agent_4 17.9x (EPS divisor, incl. SU.PA), agent_5 18.65x (EPS divisor). Multiples used 16.5-17.5x. (Agents' round-2 quotes on aggregator ratios; after the 2026-10-06 citation audit re-derived the multiples from filings their medians are agent_1 20.73x, agent_2 21.26x / 19.34x core-8, agent_3 20.73x, agent_4 20.26x (9 peers, SU.PA removed), agent_5 19.75x.)</t>
  </si>
  <si>
    <t xml:space="preserve">On ONE basis (filing-derived TTM EV/EBITDA / (1 + average of 3Y consensus revenue and EPS CAGR)) for the 10-peer set VRT, NVT, AAON, TT, JCI, CARR, LII, SPXC, CSWI, ETN, the median is 20.2x (19.45x on the aggregator's ratios before the 2026-10-06 citation audit). 17x is a ~16% discount, which is justified as persistent (see comps_review).</t>
  </si>
  <si>
    <t xml:space="preserve">Peers' latest 10-Q/10-K (EDGAR XBRL company facts; CARR, LII, JCI June 10-Qs), Twelve Data Oct-5 closes, stockanalysis consensus growth and EPS (fetched 2026-10-06)</t>
  </si>
  <si>
    <t xml:space="preserve">FY27 RemainCo EBITDA vs the DC earnings guide</t>
  </si>
  <si>
    <t xml:space="preserve">All five at $445-462M, below the ~$490M implied by '&gt;85% DC earnings growth'.</t>
  </si>
  <si>
    <t xml:space="preserve">Kept below the guide. Agent_5's arithmetic (verified inputs: Q4 FY26 DC sales $401.9M, Q1 $348.6M at 14.8%) shows the guide needs ~23% DC margins for Q2-Q4. The Q2 report (date not yet announced) brings the first continuing-ops guide.</t>
  </si>
  <si>
    <t xml:space="preserve">Jul-24 recast Ex.99.1; Q1 FY27 Ex.99.1/99.2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</si>
  <si>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</si>
  <si>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</si>
  <si>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</si>
  <si>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</si>
  <si>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</si>
  <si>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exit multiple (k=0.8 rule, Kilian card 2026-10-26 12:16Z)</t>
  </si>
  <si>
    <t xml:space="preserve">EV/EBITDA 14.17x, P/E 23.23x</t>
  </si>
  <si>
    <t xml:space="preserve">EV/EBITDA 13.57x, P/E 21.25x</t>
  </si>
  <si>
    <t xml:space="preserve">Exit = peer median x (own NTM multiple on the peers' basis / median)^0.8; research target (12m) $180.00 -&gt; $169.01. See inputs_detail and comps_summary (own_multiple, exit_k).</t>
  </si>
  <si>
    <t xml:space="preserve">P(close &gt;= K) for K = 146-219</t>
  </si>
  <si>
    <t xml:space="preserve">mean 0.7134/0.6294/0.547/0.4666/0.3942</t>
  </si>
  <si>
    <t xml:space="preserve">0.718/0.636/0.554/0.472/0.398</t>
  </si>
  <si>
    <t xml:space="preserve">Agent_3's fair value ($175) sits $11 below its own scenario mean because of a DCF equal to its thesis break, which pulls the mean middle down slightly.</t>
  </si>
  <si>
    <t xml:space="preserve">fair value</t>
  </si>
  <si>
    <t xml:space="preserve">200.1</t>
  </si>
  <si>
    <t xml:space="preserve">202.0</t>
  </si>
  <si>
    <t xml:space="preserve">Median agent NTM EBITDA ($665M) at 17x and 24.5x P/E against the one-basis peer medians, without agent_3's inconsistent DCF.</t>
  </si>
  <si>
    <t xml:space="preserve">fact: one-basis peer median fwd EV/EBITDA</t>
  </si>
  <si>
    <t xml:space="preserve">19.0</t>
  </si>
  <si>
    <t xml:space="preserve">20.23</t>
  </si>
  <si>
    <t xml:space="preserve">Same 10 peers on one formula (average of revenue and EPS CAGR divisors); agents quoted 17.9-20.9x on different divisors and sets. Citation audit 2026-10-06: re-derived from filings (EV, TTM GAAP EBITDA) and Oct-5 closes instead of aggregator ratios; was 19.45.</t>
  </si>
  <si>
    <t xml:space="preserve">fact: agent_4 discount to peer median (%)</t>
  </si>
  <si>
    <t xml:space="preserve">5</t>
  </si>
  <si>
    <t xml:space="preserve">16</t>
  </si>
  <si>
    <t xml:space="preserve">SU.PA removed from its median; on the filing-derived one-basis 20.2x median 17x is a ~16% discount (13% on the earlier aggregator-based 19.45x).</t>
  </si>
  <si>
    <t xml:space="preserve">fair value and 12-month ladder</t>
  </si>
  <si>
    <t xml:space="preserve">202.0; P(&gt;=183/201/219) 0.554/0.472/0.398</t>
  </si>
  <si>
    <t xml:space="preserve">200.0; P(&gt;=183/201/219) 0.545/0.463/0.390</t>
  </si>
  <si>
    <t xml:space="preserve">Citation fix 2026-10-06: fair value uses the ~$280M at-close net debt estimate and 54.0M reported diluted shares (EV/EBITDA: (17 x $665M - $280M) / 54.0M = $204.2; P/E: ($665M - $85M - $15M) x 0.76 / 54.0M = $7.95 x 24.5 = $194.8; 0.6 x 204.2 + 0.4 x 194.8 = $200.4 -&gt; ~$200). The ladder is shifted by the same proportion in price terms: K fixed, new P(close &gt;= K) = old curve at K / (200/202), interpolated linearly in log K. 12-month median 194.9 -&gt; 193.0. The 8-K/A (due Oct 7) was still unfiled on EDGAR on 2026-10-06, so ~$280M remains an estimate.</t>
  </si>
  <si>
    <t xml:space="preserve">research target (12m) multiples (update 2026-10-23)</t>
  </si>
  <si>
    <t xml:space="preserve">EV/EBITDA 17.0x, P/E 24.5x (16% / 6% below 20.23x / 25.93x medians)</t>
  </si>
  <si>
    <t xml:space="preserve">EV/EBITDA 14.17x, P/E 23.23x (plain 12-peer medians)</t>
  </si>
  <si>
    <t xml:space="preserve">Peer set refresh (Kilian 2026-10-26 06:07Z): approved 12 peers, EV/EBITDA on consensus NTM EBITDA (the base proxy read ~18% high), P/E on MOD EPS basis; Kilian card 06:25Z chose plain medians. Engine value 205.63 (as_of roll) -&gt; 180.00.</t>
  </si>
  <si>
    <t xml:space="preserve">Citation audit (2026-10-06)</t>
  </si>
  <si>
    <t xml:space="preserve">{'item': 'supervisor fair value (net debt in the arithmetic)', 'from': '202.0 using ~$160M unlabelled Oct-2027 net debt and 54.1M shares', 'to': '200.0 using ~$280M at-close net debt (estimate) and 54.0M diluted shares', 'source': 'https://www.sec.gov/Archives/edgar/data/67347/000110465926088230/mod-20260729xex99d1.htm ; Oct-1 8-K'}</t>
  </si>
  <si>
    <t xml:space="preserve">{'item': '53.20M basic shares at the Sep-28 record date', 'from': "'verified in the Oct-1 8-K'", 'to': 'Form 4 of 2026-10-05: 53,197,549 SpinCo shares distributed 1:1', 'source': 'https://www.sec.gov/Archives/edgar/data/67347/000110465926113588/xslF345X06/tm2626713-4_4seq1.xml'}</t>
  </si>
  <si>
    <t xml:space="preserve">{'item': 'diluted shares', 'from': '54.1M (not stated anywhere)', 'to': '54.0M (Q1 FY27 diluted weighted)', 'source': 'https://www.sec.gov/Archives/edgar/data/67347/000110465926088230/mod-20260729xex99d1.htm'}</t>
  </si>
  <si>
    <t xml:space="preserve">{'item': 'large customer share of DC sales', 'from': "~30% of DC 'per the 10-K'", 'to': '~11% of consolidated sales per the 10-K; ~30-32% of DC labelled estimate (0.11 x 3,181.1 / 1,108.2)', 'source': 'https://www.sec.gov/Archives/edgar/data/67347/000110465926066795/mod-20260331x10k.htm'}</t>
  </si>
  <si>
    <t xml:space="preserve">{'item': 'Commercial HVAC share of segment EBITDA', 'from': '~28% (unlabelled)', 'to': '~28% of projected NTM (estimate); reported 43% FY26, 45% Q1 FY27', 'source': 'https://www.sec.gov/Archives/edgar/data/67347/000110465926086644/mod-20260724xex99d1.htm'}</t>
  </si>
  <si>
    <t xml:space="preserve">{'item': '12-month ladder and summary', 'from': "centred on $202; median 194.9; range '$198-212 (mean $200)'", 'to': 'shifted to $200 (K x 202/200, log-K interpolation); median 193.0; range $175-212', 'source': 'arithmetic (citation_fix.json)'}</t>
  </si>
  <si>
    <t xml:space="preserve">{'item': 'agent items (earlier passes)', 'from': "DC margin 19-20% in Q2; 'no material stranded costs'; chiller lines ~20; Munters DCT B/B 3.6x; 424B3 &lt;1.0x as RemainCo; agent_5 FY27E $455M; SU.PA EPS CAGR 18.1%; 54.3M labelled reported", 'to': 'removed / corrected to orders +137%, B/B 2.3x / 424B3 combined-Gentherm leverage / $459M / 18.81% / estimate', 'source': 'citation_audit.md; citation_fix.json'}</t>
  </si>
  <si>
    <t xml:space="preserve">{'item': 'reconciled peer median fwd EV/EBITDA (citation gate 2026-10-06)', 'from': 19.45, 'to': 20.23, 'source': "peers' 10-Q/10-K (EDGAR), Twelve Data Oct-5 closes, stockanalysis consensus growth; derivations in agent comps"}</t>
  </si>
  <si>
    <t xml:space="preserve">{'item': 'reconciled peer median fwd P/E (citation gate 2026-10-06)', 'from': 27.62, 'to': 25.93, 'source': 'Twelve Data Oct-5 closes / calendarised NTM consensus EPS (stockanalysis forecast pages)'}</t>
  </si>
  <si>
    <t xml:space="preserve">{'item': 'discount of 17x / 24.5x to peer medians (multiples and fair value unchanged)', 'from': '~13% / ~11%', 'to': '~16% / ~6% (blend ~12%)', 'source': 'derived medians above'}</t>
  </si>
  <si>
    <t xml:space="preserve">{'item': 'thesis break: median FY28E RemainCo EBITDA', 'from': '~$615M', 'to': '~$610M (median of 635/600/581/625/610); EV $6.93B / 610 = 11.4x, still ~11x', 'source': 'agent_1..5 inputs_detail'}</t>
  </si>
  <si>
    <t xml:space="preserve">{'item': 'LII bottom-of-range multiple / CHVAC peer range', 'from': '11.6x / 11.6-18.2x', 'to': '11.3x / 11.3-19.6x (derived)', 'source': 'https://www.sec.gov/Archives/edgar/data/1069202/000106920226000087/lii-20260630.htm'}</t>
  </si>
  <si>
    <t xml:space="preserve">{'item': 'prior-year Q2 report date', 'from': 'Oct 29', 'to': 'results Oct 28, call Oct 29 (2025)', 'source': 'https://www.sec.gov/Archives/edgar/data/67347/000110465925103221/mod-20251028x8k.htm'}</t>
  </si>
  <si>
    <t xml:space="preserve">{'item': '~70% realized volatility (sizing, thesis break)', 'from': 'unlabelled', 'to': 'estimate: 71% (1-year daily log returns, Twelve Data)', 'source': 'https://twelvedata.com/'}</t>
  </si>
  <si>
    <t xml:space="preserve">{'item': 'MOD today multiple', 'from': '~18x on ~$555M (unlabelled), ~7% below 19.45x', 'to': '~18-19x on ~$535-555M (estimate), ~8-11% below 20.2x', 'source': 'agent builds'}</t>
  </si>
  <si>
    <t xml:space="preserve">{'item': 'agent comps (all five files)', 'from': 'stockanalysis ratios (aggregator); agent_4 incl. SU.PA', 'to': 'filing-derived multiples with per-row derivation; SU.PA removed (no filing-based figure); agent medians a1 20.73/25.93, a2 21.26 (core-8 19.34)/26.61 (25.93), a3 20.73/25.93, a4 20.26/26.14, a5 19.75/25.93', 'source': "peers' 10-Q/10-K; Twelve Data; stockanalysis consensus"}</t>
  </si>
  <si>
    <t xml:space="preserve">{'item': 'agent_3 DCF risk-free rate', 'from': '~4.3% 10y', 'to': '5.31% (10-year par yield 2026-10-05); beta-implied cost of equity ~13.9%; chosen 10.5% WACC (judgment) unchanged', 'source': 'https://home.treasury.gov/resource-center/data-chart-center/interest-rates/daily-treasury-rates.csv/2026/all?type=daily_treasury_yield_curve&amp;field_tdr_date_value=2026&amp;page&amp;_format=csv'}</t>
  </si>
  <si>
    <t xml:space="preserve">{'item': 'VRT/TT margin comparisons (agents 1, 2, 5)', 'from': "VRT 'mid-20s'; VRT/TT op. margins '~18-24%'", 'to': 'VRT ~22% TTM EBITDA margin; VRT/TT GAAP op. margins ~19%/~18%', 'source': 'VRT/TT/NVT 10-Q XBRL'}</t>
  </si>
  <si>
    <t xml:space="preserve">{'item': 'agent_2 source titles', 'from': "JCI 'data centers ~1/3 of revenue in 3-5 yrs'; CARR '2026 DC sales ~$2B'", 'to': 'removed (not in the releases)', 'source': 'JCI Q3 FY26 Ex.99.1; Carrier Q2 2026 Ex.99'}</t>
  </si>
  <si>
    <t xml:space="preserve">{'item': 'Q2 DC margin 19-20% (agent_1, agent_4)', 'from': 'removed as unverified (not in release/slides; Nasdaq recap unreachable)', 'to': 'verified: CFO Mick Lucareli, Q1 FY27 call (company transcript): "When we look at going into Q2, we would expect, right now, a lift to be back between 19% and 20%, really driven by a significant lift in the volume recovering."', 'source': 'https://s205.q4cdn.com/270741342/files/doc_financials/2027/q1/Modine_-Transcript-Q1-FY27.pdf'}</t>
  </si>
  <si>
    <t xml:space="preserve">{'item': 'EV/EBITDA multiple: median of 12 peers', 'from_': '14.16', 'to': 'EV/EBITDA multiple set to 14.17x (median of unrounded 14.160/14.174); engine rerun 180.00', 'source': 'https://www.marketscreener.com/quote/stock/ALFA-LAVAL-AB-6494532/finances/'}</t>
  </si>
  <si>
    <t xml:space="preserve">{'item': 'fair_value.reason derivation: NTM EBITDA $665M at 17x (~16% below 20.2x median) and 24.5x P/E (~6% below 25.9x) = ~$204 / ~$195, blend ~$200', 'from_': '~$200 at 17.0x / 24.5x', 'to': 'fair_value.reason now leads with the update working (14.17x/23.23x, engine 180.00) and marks the base working as superseded; changes[] entry added', 'source': ''}</t>
  </si>
  <si>
    <t xml:space="preserve">{'item': 'Valuation driver: ~18-19x NTM RemainCo EBITDA today vs a 20.2x filing-derived peer median; upside depends on delivery, not re-rating', 'from_': '20.2x peer median', 'to': 'key_drivers valuation line rewritten to the refreshed medians (no MOD-today multiple claimed)', 'source': ''}</t>
  </si>
  <si>
    <t xml:space="preserve">{'item': "At ~$125: ~11x FY28E / ~15x FY27E 'the bottom of the peer range (LII ~11.3x, derived)'", 'from_': 'LII ~11.3x bottom of range', 'to': 'thesis_break_reason: LII reference replaced with the refreshed peer range 7.8x-18.6x (CARR 11.1x)', 'source': ''}</t>
  </si>
  <si>
    <t xml:space="preserve">{'item': "sizing.reason: 'trading near one-basis peer multiples with ~10% upside to fair value'", 'from_': '~10% upside', 'to': 'sizing.reason: upside restated as ~35% (180.00 / 133.34 - 1, estimate)', 'source': 'https://query1.finance.yahoo.com/v8/finance/chart/MOD?range=5d&amp;interval=1d'}</t>
  </si>
  <si>
    <t xml:space="preserve">Sizing</t>
  </si>
  <si>
    <t xml:space="preserve">max weight pct</t>
  </si>
  <si>
    <t xml:space="preserve">confidence</t>
  </si>
  <si>
    <t xml:space="preserve">entry</t>
  </si>
  <si>
    <t xml:space="preserve">2 tranches: half after the Q2 FY27 report (late Oct, date TBA), half after the Nov 18 Investor Day</t>
  </si>
  <si>
    <t xml:space="preserve">overlap</t>
  </si>
  <si>
    <t xml:space="preserve">NVDA, AVGO, GOOGL (AI data-center capex; the large technology customer), VST (data-center power demand)</t>
  </si>
  <si>
    <t xml:space="preserve">reason</t>
  </si>
  <si>
    <t xml:space="preserve">A single-theme AI-cooling name with ~70% realized volatility (estimate: 71% annualised 1-year daily log-return volatility, Twelve Data closes to 2026-10-05), with ~27% upside to the research target (12m) after the exit k=0.8 re-set (estimate: 169.01 / 133.34 close on 2026-10-23 - 1), so its Sharpe must clear a high bar to beat SPY's. Two binary events fall within seven weeks, and its drivers duplicate the existing AI-capex holdings, so the weight is capped at 3%.</t>
  </si>
  <si>
    <t xml:space="preserve">open flags</t>
  </si>
  <si>
    <t xml:space="preserve">[]</t>
  </si>
  <si>
    <t xml:space="preserve">MOD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</si>
  <si>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</si>
  <si>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</si>
  <si>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</si>
  <si>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</si>
  <si>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</si>
  <si>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</si>
  <si>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</si>
  <si>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Modine 8-K: completion of Performance Technologies spin/merger with Gentherm (Items 1.01/2.01/5.02/8.01)</t>
  </si>
  <si>
    <t xml:space="preserve">2026-10-01</t>
  </si>
  <si>
    <t xml:space="preserve">https://www.sec.gov/Archives/edgar/data/67347/000110465926112870/tm2626618d1_8k.htm</t>
  </si>
  <si>
    <t xml:space="preserve">A1.2</t>
  </si>
  <si>
    <t xml:space="preserve">Modine 8-K Item 7.01: updated exchange ratio; SpinCo cash distribution cut from $210M to $159M</t>
  </si>
  <si>
    <t xml:space="preserve">2026-09-17</t>
  </si>
  <si>
    <t xml:space="preserve">https://www.sec.gov/Archives/edgar/data/67347/000110465926108614/tm2625565d1_8k.htm</t>
  </si>
  <si>
    <t xml:space="preserve">A1.3</t>
  </si>
  <si>
    <t xml:space="preserve">Modine Q1 FY2027 results press release (8-K Ex. 99.1)</t>
  </si>
  <si>
    <t xml:space="preserve">2026-07-29</t>
  </si>
  <si>
    <t xml:space="preserve">https://www.sec.gov/Archives/edgar/data/67347/000110465926088230/mod-20260729xex99d1.htm</t>
  </si>
  <si>
    <t xml:space="preserve">A1.4</t>
  </si>
  <si>
    <t xml:space="preserve">Modine Q1 FY2027 earnings presentation (8-K Ex. 99.2): segment guidance, DC margin bridge, capex and FCF guide</t>
  </si>
  <si>
    <t xml:space="preserve">https://www.sec.gov/Archives/edgar/data/67347/000110465926088230/mod-20260729xex99d2.htm</t>
  </si>
  <si>
    <t xml:space="preserve">A1.5</t>
  </si>
  <si>
    <t xml:space="preserve">Modine 8-K Ex. 99.1: recast FY2026 quarterly segment data (Data Centers / Commercial HVAC / Performance Technologies)</t>
  </si>
  <si>
    <t xml:space="preserve">2026-07-24</t>
  </si>
  <si>
    <t xml:space="preserve">https://www.sec.gov/Archives/edgar/data/67347/000110465926086644/mod-20260724xex99d1.htm</t>
  </si>
  <si>
    <t xml:space="preserve">A1.6</t>
  </si>
  <si>
    <t xml:space="preserve">Modine FY2026 / Q4 results press release (8-K Ex. 99.1)</t>
  </si>
  <si>
    <t xml:space="preserve">2026-05-26</t>
  </si>
  <si>
    <t xml:space="preserve">https://www.sec.gov/Archives/edgar/data/67347/000110465926066291/mod-20260526xex99d1.htm</t>
  </si>
  <si>
    <t xml:space="preserve">A1.7</t>
  </si>
  <si>
    <t xml:space="preserve">Modine transaction announcement presentation (8-K Ex. 99.2): PT valued ~$1B at 6.8x, RemainCo LTM profile, DC growth target 50-70%/yr for two years</t>
  </si>
  <si>
    <t xml:space="preserve">2026-01-29</t>
  </si>
  <si>
    <t xml:space="preserve">https://www.sec.gov/Archives/edgar/data/67347/000110465926008087/mod-20260129xex99d2.htm</t>
  </si>
  <si>
    <t xml:space="preserve">A1.8</t>
  </si>
  <si>
    <t xml:space="preserve">Modine 8-K Item 8.01: rename to Modexus Solutions</t>
  </si>
  <si>
    <t xml:space="preserve">2026-09-10</t>
  </si>
  <si>
    <t xml:space="preserve">https://www.sec.gov/Archives/edgar/data/67347/000110465926106727/tm2625001d1_8k.htm</t>
  </si>
  <si>
    <t xml:space="preserve">A1.9</t>
  </si>
  <si>
    <t xml:space="preserve">Modine 10-Q for quarter ended 2026-06-30 (shares outstanding 53,112,708; interest expense; PT to be discontinued ops)</t>
  </si>
  <si>
    <t xml:space="preserve">2026-07-30</t>
  </si>
  <si>
    <t xml:space="preserve">https://www.sec.gov/Archives/edgar/data/67347/000110465926088569/mod-20260630x10q.htm</t>
  </si>
  <si>
    <t xml:space="preserve">A1.10</t>
  </si>
  <si>
    <t xml:space="preserve">Gentherm 8-K Ex. 99.1: completion of combination with Modine Performance Technologies (~$156M cash to Modine)</t>
  </si>
  <si>
    <t xml:space="preserve">https://www.sec.gov/Archives/edgar/data/0000903129/000119312526410776/d214921dex991.htm</t>
  </si>
  <si>
    <t xml:space="preserve">A1.11</t>
  </si>
  <si>
    <t xml:space="preserve">SEC EDGAR submissions index for Modine (filing list; confirms no pro forma 8-K/A yet)</t>
  </si>
  <si>
    <t xml:space="preserve">2026-10-06</t>
  </si>
  <si>
    <t xml:space="preserve">https://data.sec.gov/submissions/CIK0000067347.json</t>
  </si>
  <si>
    <t xml:space="preserve">A1.12</t>
  </si>
  <si>
    <t xml:space="preserve">Stock Analysis: MOD statistics (shares 53.11M, forward P/E 22.6 on pre-spin consensus, analyst target $310 from 8 analysts, largely pre-spin)</t>
  </si>
  <si>
    <t xml:space="preserve">2026-10-05</t>
  </si>
  <si>
    <t xml:space="preserve">https://stockanalysis.com/stocks/mod/statistics/</t>
  </si>
  <si>
    <t xml:space="preserve">A1.13</t>
  </si>
  <si>
    <t xml:space="preserve">Stock Analysis statistics pages for the 11 peers (VRT, ETN, TT, JCI, CARR, LII, AAON, NVT, SPXC, HUBB, CSWI): price, EV, forward P/E, TTM EV/EBITDA, 3Y growth forecasts; e.g. https://stockanalysis.com/stocks/vrt/statistics/ and same path per ticker</t>
  </si>
  <si>
    <t xml:space="preserve">https://stockanalysis.com/stocks/vrt/statistics/</t>
  </si>
  <si>
    <t xml:space="preserve">A1.14</t>
  </si>
  <si>
    <t xml:space="preserve">Twelve Data daily price history MOD and THRM (Jul-Oct 2026)</t>
  </si>
  <si>
    <t xml:space="preserve">https://twelvedata.com/</t>
  </si>
  <si>
    <t xml:space="preserve">A1.15</t>
  </si>
  <si>
    <t xml:space="preserve">StockTaper Q1 FY2027 earnings-call summary (backlog more than doubled, record orders 3 quarters, sequential margin step-up, buybacks possible post-spin)</t>
  </si>
  <si>
    <t xml:space="preserve">https://stocktaper.com/earningsCallSummary/MOD/2027/Q1</t>
  </si>
  <si>
    <t xml:space="preserve">A1.16</t>
  </si>
  <si>
    <t xml:space="preserve">Zacks: MOD Q1 earnings top estimates on data center growth, sales miss (DC margin 14.8%; company-wide margin +200-250bp expected in Q2)</t>
  </si>
  <si>
    <t xml:space="preserve">https://www.zacks.com/stock/news/2966329/mod-q1-earnings-top-estimates-on-data-center-growth-sales-miss</t>
  </si>
  <si>
    <t xml:space="preserve">A1.17</t>
  </si>
  <si>
    <t xml:space="preserve">Next earnings date listing: MOD Q2 FY2027 expected ~2026-10-26 (unconfirmed by company)</t>
  </si>
  <si>
    <t xml:space="preserve">https://nextearningsdate.com/modine-manufacturing.html</t>
  </si>
  <si>
    <t xml:space="preserve">A1.18</t>
  </si>
  <si>
    <t xml:space="preserve">Internal note: AI data-center capex across NVIDIA customer groups 2026-2028 (base 2027 ex-China $1.84T, +50% y/y)</t>
  </si>
  <si>
    <t xml:space="preserve">file:///mnt/project-files/adhoc/nvda_customer_capex.md</t>
  </si>
  <si>
    <t xml:space="preserve">A1.19</t>
  </si>
  <si>
    <t xml:space="preserve">Stock Analysis forecast pages (AAON, CARR) used to confirm forward P/E is a next-12-month basis</t>
  </si>
  <si>
    <t xml:space="preserve">https://stockanalysis.com/stocks/aaon/forecast/</t>
  </si>
  <si>
    <t xml:space="preserve">A1.20</t>
  </si>
  <si>
    <t xml:space="preserve">Modine FY2026 Form 10-K (customer concentration: one global technology customer ~11% of sales; top ten 49%)</t>
  </si>
  <si>
    <t xml:space="preserve">2026-05-27</t>
  </si>
  <si>
    <t xml:space="preserve">https://www.sec.gov/Archives/edgar/data/67347/000110465926066795/mod-20260331x10k.htm</t>
  </si>
  <si>
    <t xml:space="preserve">A1.21</t>
  </si>
  <si>
    <t xml:space="preserve">Modine to Host Analyst and Investor Day on November 18, 2026 (company press release, PR Newswire copy)</t>
  </si>
  <si>
    <t xml:space="preserve">2026-09-14</t>
  </si>
  <si>
    <t xml:space="preserve">https://finviz.com/news/391412/modine-to-host-analyst-and-investor-day-on-november-18-2026</t>
  </si>
  <si>
    <t xml:space="preserve">A1.22</t>
  </si>
  <si>
    <t xml:space="preserve">Modine Q2 FY2026 call notice (prior-year Q2 reported Oct 29, 2025)</t>
  </si>
  <si>
    <t xml:space="preserve">2025-10</t>
  </si>
  <si>
    <t xml:space="preserve">https://investors.modine.com/news/news-details/2025/Modine-to-Host-Second-Quarter-Fiscal-2026-Earnings-Conference-Call-on-October-29-2025/default.aspx</t>
  </si>
  <si>
    <t xml:space="preserve">A1.23</t>
  </si>
  <si>
    <t xml:space="preserve">Modine Form 4 re Platinum SpinCo (filed 2026-10-05): 53,197,549 SpinCo shares distributed pro rata to Modine holders of record on Sep 28, 2026 (one SpinCo share per Modine share per the Oct-1 8-K)</t>
  </si>
  <si>
    <t xml:space="preserve">https://www.sec.gov/Archives/edgar/data/67347/000110465926113588/xslF345X06/tm2626713-4_4seq1.xml</t>
  </si>
  <si>
    <t xml:space="preserve">A1.24</t>
  </si>
  <si>
    <t xml:space="preserve">Vertiv (VRT) SEC filings, XBRL company facts (10-Q/10-K): TTM operating earnings and D&amp;A, debt, cash and cover-page shares used to derive its EV/EBITDA (citation audit 2026-10-06)</t>
  </si>
  <si>
    <t xml:space="preserve">https://data.sec.gov/api/xbrl/companyfacts/CIK0001674101.json</t>
  </si>
  <si>
    <t xml:space="preserve">A1.25</t>
  </si>
  <si>
    <t xml:space="preserve">nVent (NVT) SEC filings, XBRL company facts (10-Q/10-K): TTM operating earnings and D&amp;A, debt, cash and cover-page shares used to derive its EV/EBITDA (citation audit 2026-10-06)</t>
  </si>
  <si>
    <t xml:space="preserve">https://data.sec.gov/api/xbrl/companyfacts/CIK0001720635.json</t>
  </si>
  <si>
    <t xml:space="preserve">A1.26</t>
  </si>
  <si>
    <t xml:space="preserve">AAON (AAON) SEC filings, XBRL company facts (10-Q/10-K): TTM operating earnings and D&amp;A, debt, cash and cover-page shares used to derive its EV/EBITDA (citation audit 2026-10-06)</t>
  </si>
  <si>
    <t xml:space="preserve">https://data.sec.gov/api/xbrl/companyfacts/CIK0000824142.json</t>
  </si>
  <si>
    <t xml:space="preserve">A1.27</t>
  </si>
  <si>
    <t xml:space="preserve">Trane (TT) SEC filings, XBRL company facts (10-Q/10-K): TTM operating earnings and D&amp;A, debt, cash and cover-page shares used to derive its EV/EBITDA (citation audit 2026-10-06)</t>
  </si>
  <si>
    <t xml:space="preserve">https://data.sec.gov/api/xbrl/companyfacts/CIK0001466258.json</t>
  </si>
  <si>
    <t xml:space="preserve">A1.28</t>
  </si>
  <si>
    <t xml:space="preserve">Johnson Controls (JCI) SEC filings, 10-Q: TTM operating earnings and D&amp;A, debt, cash and cover-page shares used to derive its EV/EBITDA (citation audit 2026-10-06)</t>
  </si>
  <si>
    <t xml:space="preserve">https://www.sec.gov/Archives/edgar/data/833444/000083344426000087/jci-20260630.htm</t>
  </si>
  <si>
    <t xml:space="preserve">A1.29</t>
  </si>
  <si>
    <t xml:space="preserve">Carrier (CARR) SEC filings, 10-Q: TTM operating earnings and D&amp;A, debt, cash and cover-page shares used to derive its EV/EBITDA (citation audit 2026-10-06)</t>
  </si>
  <si>
    <t xml:space="preserve">https://www.sec.gov/Archives/edgar/data/1783180/000178318026000032/carr-20260630.htm</t>
  </si>
  <si>
    <t xml:space="preserve">A1.30</t>
  </si>
  <si>
    <t xml:space="preserve">Lennox (LII) SEC filings, 10-Q: TTM operating earnings and D&amp;A, debt, cash and cover-page shares used to derive its EV/EBITDA (citation audit 2026-10-06)</t>
  </si>
  <si>
    <t xml:space="preserve">https://www.sec.gov/Archives/edgar/data/1069202/000106920226000087/lii-20260630.htm</t>
  </si>
  <si>
    <t xml:space="preserve">A1.31</t>
  </si>
  <si>
    <t xml:space="preserve">SPX Technologies (SPXC) SEC filings, XBRL company facts (10-Q/10-K): TTM operating earnings and D&amp;A, debt, cash and cover-page shares used to derive its EV/EBITDA (citation audit 2026-10-06)</t>
  </si>
  <si>
    <t xml:space="preserve">https://data.sec.gov/api/xbrl/companyfacts/CIK0000088205.json</t>
  </si>
  <si>
    <t xml:space="preserve">A1.32</t>
  </si>
  <si>
    <t xml:space="preserve">CSW Industrials (CSWI) SEC filings, XBRL company facts (10-Q/10-K): TTM operating earnings and D&amp;A, debt, cash and cover-page shares used to derive its EV/EBITDA (citation audit 2026-10-06)</t>
  </si>
  <si>
    <t xml:space="preserve">https://data.sec.gov/api/xbrl/companyfacts/CIK0001624794.json</t>
  </si>
  <si>
    <t xml:space="preserve">A1.33</t>
  </si>
  <si>
    <t xml:space="preserve">Eaton (ETN) SEC filings, XBRL company facts (10-Q/10-K): TTM operating earnings and D&amp;A, debt, cash and cover-page shares used to derive its EV/EBITDA (citation audit 2026-10-06)</t>
  </si>
  <si>
    <t xml:space="preserve">https://data.sec.gov/api/xbrl/companyfacts/CIK0001551182.json</t>
  </si>
  <si>
    <t xml:space="preserve">A1.34</t>
  </si>
  <si>
    <t xml:space="preserve">Comfort Systems (FIX) SEC filings, XBRL company facts (10-Q/10-K): TTM operating earnings and D&amp;A, debt, cash and cover-page shares used to derive its EV/EBITDA (citation audit 2026-10-06)</t>
  </si>
  <si>
    <t xml:space="preserve">https://data.sec.gov/api/xbrl/companyfacts/CIK0001035983.json</t>
  </si>
  <si>
    <t xml:space="preserve">A1.35</t>
  </si>
  <si>
    <t xml:space="preserve">Twelve Data daily closes 2026-10-05 for peers (VRT 253.62, NVT 167.17, AAON 84.35, TT 470.76, JCI 156.85, CARR 55.73, LII 361.15, SPXC 176.80, CSWI 301.99, ETN 432.60, FIX 1713.07)</t>
  </si>
  <si>
    <t xml:space="preserve">A1.36</t>
  </si>
  <si>
    <t xml:space="preserve">stockanalysis forecast pages for peers (consensus EPS this year / next year, used for NTM EPS), e.g. https://stockanalysis.com/stocks/vrt/forecast/ and same path per ticker</t>
  </si>
  <si>
    <t xml:space="preserve">https://stockanalysis.com/stocks/vrt/forecast/</t>
  </si>
  <si>
    <t xml:space="preserve">A1.37</t>
  </si>
  <si>
    <t xml:space="preserve">SEC XBRL company facts for JCI, CARR, LII (FY2025 10-K annual operating/pre-tax income and D&amp;A used in TTM)</t>
  </si>
  <si>
    <t xml:space="preserve">https://data.sec.gov/api/xbrl/companyfacts/CIK0000833444.json</t>
  </si>
  <si>
    <t xml:space="preserve">A1.38</t>
  </si>
  <si>
    <t xml:space="preserve">Modine Q1 FY27 earnings call transcript (company IR PDF)</t>
  </si>
  <si>
    <t xml:space="preserve">https://s205.q4cdn.com/270741342/files/doc_financials/2027/q1/Modine_-Transcript-Q1-FY27.pdf</t>
  </si>
  <si>
    <t xml:space="preserve">A2.1</t>
  </si>
  <si>
    <t xml:space="preserve">agent_2</t>
  </si>
  <si>
    <t xml:space="preserve">Modine Reports First Quarter Fiscal 2027 Results (press release)</t>
  </si>
  <si>
    <t xml:space="preserve">https://www.placera.se/pressmeddelanden/modine-manufacturing-modine-reports-first-quarter-fiscal-2027-results-20260729</t>
  </si>
  <si>
    <t xml:space="preserve">A2.2</t>
  </si>
  <si>
    <t xml:space="preserve">Modine 8-K Ex.99.1 Q1 FY27 results (outlook unchanged, net debt $432.9M, capex)</t>
  </si>
  <si>
    <t xml:space="preserve">https://www.sec.gov/Archives/edgar/data/0000067347/000110465926088230/mod-20260729xex99d1.htm</t>
  </si>
  <si>
    <t xml:space="preserve">A2.3</t>
  </si>
  <si>
    <t xml:space="preserve">Modine 8-K Ex.99.1 recast segment results FY26 (Data Centers, Commercial HVAC, Performance Technologies)</t>
  </si>
  <si>
    <t xml:space="preserve">https://www.sec.gov/Archives/edgar/data/0000067347/000110465926086644/mod-20260724xex99d1.htm</t>
  </si>
  <si>
    <t xml:space="preserve">A2.4</t>
  </si>
  <si>
    <t xml:space="preserve">Modine 8-K Ex.99.1 Q4 FY26 results and FY27 outlook ($650-680M adj. EBITDA incl. PT; $4B hyperscaler chiller LTA)</t>
  </si>
  <si>
    <t xml:space="preserve">https://www.sec.gov/Archives/edgar/data/0000067347/000110465926066291/mod-20260526xex99d1.htm</t>
  </si>
  <si>
    <t xml:space="preserve">A2.5</t>
  </si>
  <si>
    <t xml:space="preserve">Modine 8-K: completion of Performance Technologies spin/merger; $155,991,275 cash distribution used to prepay credit facility</t>
  </si>
  <si>
    <t xml:space="preserve">https://www.sec.gov/Archives/edgar/data/0000067347/000110465926112870/tm2626618d1_8k.htm</t>
  </si>
  <si>
    <t xml:space="preserve">A2.6</t>
  </si>
  <si>
    <t xml:space="preserve">Gentherm 8-K Ex.99.1: combination with Modine PT completed, 0.44619 THRM per MOD share, ~$156M cash to Modine</t>
  </si>
  <si>
    <t xml:space="preserve">A2.7</t>
  </si>
  <si>
    <t xml:space="preserve">Twelve Data MOD daily and weekly price history</t>
  </si>
  <si>
    <t xml:space="preserve">A2.8</t>
  </si>
  <si>
    <t xml:space="preserve">Twelve Data THRM quote (close $32.23)</t>
  </si>
  <si>
    <t xml:space="preserve">A2.9</t>
  </si>
  <si>
    <t xml:space="preserve">StockAnalysis MOD statistics (53.11M shares, fwd P/E 22.55 on stale pre-spin consensus, avg PT $310)</t>
  </si>
  <si>
    <t xml:space="preserve">A2.10</t>
  </si>
  <si>
    <t xml:space="preserve">StockAnalysis VRT statistics (TTM EV/EBITDA 36.53, fwd P/E 32.09, 3Y rev/EPS CAGR 29.6%/40.8%)</t>
  </si>
  <si>
    <t xml:space="preserve">A2.11</t>
  </si>
  <si>
    <t xml:space="preserve">StockAnalysis TT statistics + forecast pages</t>
  </si>
  <si>
    <t xml:space="preserve">https://stockanalysis.com/stocks/tt/statistics/</t>
  </si>
  <si>
    <t xml:space="preserve">A2.12</t>
  </si>
  <si>
    <t xml:space="preserve">StockAnalysis JCI statistics + forecast pages</t>
  </si>
  <si>
    <t xml:space="preserve">https://stockanalysis.com/stocks/jci/statistics/</t>
  </si>
  <si>
    <t xml:space="preserve">A2.13</t>
  </si>
  <si>
    <t xml:space="preserve">StockAnalysis CARR statistics + forecast pages</t>
  </si>
  <si>
    <t xml:space="preserve">https://stockanalysis.com/stocks/carr/statistics/</t>
  </si>
  <si>
    <t xml:space="preserve">A2.14</t>
  </si>
  <si>
    <t xml:space="preserve">StockAnalysis LII statistics + forecast pages</t>
  </si>
  <si>
    <t xml:space="preserve">https://stockanalysis.com/stocks/lii/statistics/</t>
  </si>
  <si>
    <t xml:space="preserve">A2.15</t>
  </si>
  <si>
    <t xml:space="preserve">StockAnalysis AAON statistics + forecast pages</t>
  </si>
  <si>
    <t xml:space="preserve">https://stockanalysis.com/stocks/aaon/statistics/</t>
  </si>
  <si>
    <t xml:space="preserve">A2.16</t>
  </si>
  <si>
    <t xml:space="preserve">StockAnalysis NVT statistics + forecast pages</t>
  </si>
  <si>
    <t xml:space="preserve">https://stockanalysis.com/stocks/nvt/statistics/</t>
  </si>
  <si>
    <t xml:space="preserve">A2.17</t>
  </si>
  <si>
    <t xml:space="preserve">StockAnalysis SPXC statistics + forecast pages</t>
  </si>
  <si>
    <t xml:space="preserve">https://stockanalysis.com/stocks/spxc/statistics/</t>
  </si>
  <si>
    <t xml:space="preserve">A2.18</t>
  </si>
  <si>
    <t xml:space="preserve">StockAnalysis FIX statistics + forecast pages</t>
  </si>
  <si>
    <t xml:space="preserve">https://stockanalysis.com/stocks/fix/statistics/</t>
  </si>
  <si>
    <t xml:space="preserve">A2.19</t>
  </si>
  <si>
    <t xml:space="preserve">StockAnalysis ETN statistics + forecast pages</t>
  </si>
  <si>
    <t xml:space="preserve">https://stockanalysis.com/stocks/etn/statistics/</t>
  </si>
  <si>
    <t xml:space="preserve">A2.20</t>
  </si>
  <si>
    <t xml:space="preserve">StockAnalysis Daikin (TYO:6367) statistics + forecast pages</t>
  </si>
  <si>
    <t xml:space="preserve">https://stockanalysis.com/quote/tyo/6367/statistics/</t>
  </si>
  <si>
    <t xml:space="preserve">A2.21</t>
  </si>
  <si>
    <t xml:space="preserve">StockAnalysis Munters (STO:MTRS) statistics + forecast pages</t>
  </si>
  <si>
    <t xml:space="preserve">https://stockanalysis.com/quote/sto/MTRS/statistics/</t>
  </si>
  <si>
    <t xml:space="preserve">A2.22</t>
  </si>
  <si>
    <t xml:space="preserve">ACHR News: Nvidia's Vera Rubin has chilling effect on HVAC industry (45C supply water, 'no chillers'; MOD -17%, TT -8%, JCI -8%)</t>
  </si>
  <si>
    <t xml:space="preserve">2026-01-09</t>
  </si>
  <si>
    <t xml:space="preserve">https://www.achrnews.com/articles/165683-nvidias-vera-rubin-has-chilling-effect-on-hvac-industry</t>
  </si>
  <si>
    <t xml:space="preserve">A2.23</t>
  </si>
  <si>
    <t xml:space="preserve">DCD: Vera Rubin hot water cooling reveal triggers HVAC share drop (data-center share of JCI/TT/CARR sales)</t>
  </si>
  <si>
    <t xml:space="preserve">2026-01</t>
  </si>
  <si>
    <t xml:space="preserve">https://www.datacenterdynamics.com/en/news/vera-rubin-hot-water-cooling-reveal-triggers-hvac-share-drop</t>
  </si>
  <si>
    <t xml:space="preserve">A2.24</t>
  </si>
  <si>
    <t xml:space="preserve">Trane Technologies Q2 2026 earnings call transcript (applied bookings +130%, backlog $12.1B, ~$6B for 2027+, shift to air-cooled chillers, CDUs, capacity 4x)</t>
  </si>
  <si>
    <t xml:space="preserve">https://www.fool.com/earnings/call-transcripts/2026/07/30/trane-technologies-tt-q2-2026-earnings-call-transcript/</t>
  </si>
  <si>
    <t xml:space="preserve">A2.25</t>
  </si>
  <si>
    <t xml:space="preserve">Johnson Controls Q3 FY26 earnings release (orders +27% organic, Americas +37%, backlog $21.0B) [audit 2026-10-06: data-centers-to-1/3-of-revenue claim removed, not in the release]</t>
  </si>
  <si>
    <t xml:space="preserve">https://www.sec.gov/Archives/edgar/data/0000833444/000083344426000083/q3ex991xq3fy26earningsrele.htm</t>
  </si>
  <si>
    <t xml:space="preserve">A2.26</t>
  </si>
  <si>
    <t xml:space="preserve">Carrier Q2 2026 earnings (commercial HVAC orders up ~65%, data center orders up &gt;300%, i.e. ~4x) [audit 2026-10-06: 2026 DC sales ~$2B claim removed, not in the exhibit]</t>
  </si>
  <si>
    <t xml:space="preserve">2026-07-28</t>
  </si>
  <si>
    <t xml:space="preserve">https://www.sec.gov/Archives/edgar/data/0001783180/000178318026000030/a99-q22026earningsexhibit.htm</t>
  </si>
  <si>
    <t xml:space="preserve">A2.27</t>
  </si>
  <si>
    <t xml:space="preserve">Munters Q2 2026 earnings summary (order intake +137% y/y led by DCT and AirTech; book-to-bill 2.3x; DCT sales down on ramp-up and supply issues)</t>
  </si>
  <si>
    <t xml:space="preserve">2026-07</t>
  </si>
  <si>
    <t xml:space="preserve">https://quartr.com/events/munters-group-mtrs-q2-2026_3eIRXxU4</t>
  </si>
  <si>
    <t xml:space="preserve">A2.28</t>
  </si>
  <si>
    <t xml:space="preserve">Vertiv Q2 2026: sales +24%, adj. EPS $1.52, 2026 guide raised to $14B sales/$6.70 EPS; ThermoKey heat-rejection acquisition</t>
  </si>
  <si>
    <t xml:space="preserve">2026-07/08</t>
  </si>
  <si>
    <t xml:space="preserve">https://www.nasdaq.com/articles/vertivs-15-billion-backlog-loudest-ai-signal-2026</t>
  </si>
  <si>
    <t xml:space="preserve">A2.29</t>
  </si>
  <si>
    <t xml:space="preserve">CBRE: North American data center demand continues to outpace supply despite record construction (H1 2026)</t>
  </si>
  <si>
    <t xml:space="preserve">2026-H2</t>
  </si>
  <si>
    <t xml:space="preserve">https://www.cbre.com/press-releases/north-american-data-center-demand-continues-to-outpace-supply-despite-record-construction</t>
  </si>
  <si>
    <t xml:space="preserve">A2.30</t>
  </si>
  <si>
    <t xml:space="preserve">CRE Daily / JLL: data center demand doubles; &gt;66 GW under construction, ~1% vacancy, &gt;80% preleased</t>
  </si>
  <si>
    <t xml:space="preserve">https://www.credaily.com/briefs/data-center-demand-doubles-as-frontier-markets-surge/</t>
  </si>
  <si>
    <t xml:space="preserve">A2.31</t>
  </si>
  <si>
    <t xml:space="preserve">Internal note: AI data-center capex across NVIDIA's customer groups 2026-2028 (base 2027 customer AI capex $1.84T ex-China)</t>
  </si>
  <si>
    <t xml:space="preserve">A2.32</t>
  </si>
  <si>
    <t xml:space="preserve">Medium post: 'The HVAC shock no one priced in: no chillers doesn't mean no cooling' (lead/sentiment only)</t>
  </si>
  <si>
    <t xml:space="preserve">2026</t>
  </si>
  <si>
    <t xml:space="preserve">https://medium.com/@Elongated_musk/the-hvac-shock-no-one-priced-in-no-chillers-doesn-t-mean-no-cooling-53eec1f0da75</t>
  </si>
  <si>
    <t xml:space="preserve">A2.33</t>
  </si>
  <si>
    <t xml:space="preserve">Modine to become Modexus Solutions (press release)</t>
  </si>
  <si>
    <t xml:space="preserve">https://www.placera.se/pressmeddelanden/modine-manufacturing-modine-to-become-modexus-solutions-marking-next-chapter-as-diversified-thermal-management-solutions-company-20260910</t>
  </si>
  <si>
    <t xml:space="preserve">A2.34</t>
  </si>
  <si>
    <t xml:space="preserve">Projected MOD Q2 FY27 earnings date (Oct 26-27, unconfirmed)</t>
  </si>
  <si>
    <t xml:space="preserve">2026-10</t>
  </si>
  <si>
    <t xml:space="preserve">A2.35</t>
  </si>
  <si>
    <t xml:space="preserve">Modine 8-K Ex.99.2 Q1 FY27 slides (DC sales +60-80%, DC 'full-year earnings growth in excess of 85%', Commercial HVAC +5-10%)</t>
  </si>
  <si>
    <t xml:space="preserve">A2.36</t>
  </si>
  <si>
    <t xml:space="preserve">Modine FY2026 Form 10-K (one global technology customer ~11% of FY26 sales; top ten customers 49%)</t>
  </si>
  <si>
    <t xml:space="preserve">A2.37</t>
  </si>
  <si>
    <t xml:space="preserve">Modine to Host Analyst and Investor Day on November 18, 2026 (new multi-year targets post-spin)</t>
  </si>
  <si>
    <t xml:space="preserve">A2.38</t>
  </si>
  <si>
    <t xml:space="preserve">EDGAR submissions index, Modine (no 8-K/A pro forma and no Q2 date filing as of Oct 6)</t>
  </si>
  <si>
    <t xml:space="preserve">A2.39</t>
  </si>
  <si>
    <t xml:space="preserve">Cooling Post: Munters lands EUR195m data centre cooling orders (CRAHs, CDUs, chillers; deliveries Q4 2026-Q1 2028)</t>
  </si>
  <si>
    <t xml:space="preserve">https://www.coolingpost.com/world-news/munters-lands-e195m-data-centre-cooling-orders/</t>
  </si>
  <si>
    <t xml:space="preserve">A2.40</t>
  </si>
  <si>
    <t xml:space="preserve">DCX Liquid Cooling: 8MW CDU for 45C warm-water Vera Rubin deployments 'eliminating the need for chillers in many deployments'</t>
  </si>
  <si>
    <t xml:space="preserve">2026-01-23</t>
  </si>
  <si>
    <t xml:space="preserve">https://businesswire.com/news/home/20260123068139/en/DCX-Liquid-Cooling-Systems-Announces-New-8MW-Coolant-Distribution-Unit-Optimized-for-45C-Warm-Water-Cooling-in-Next-Gen-NVIDIA-Vera-Rubin-AI-Deployments</t>
  </si>
  <si>
    <t xml:space="preserve">A2.41</t>
  </si>
  <si>
    <t xml:space="preserve">Yahoo/Insider Monkey: DA Davidson raises MOD PT to $255; DC FY28 revenue target, data centers 50-70% growth (pre-spin)</t>
  </si>
  <si>
    <t xml:space="preserve">https://finance.yahoo.com/news/da-davidson-raises-modine-manufacturing-115506026.html</t>
  </si>
  <si>
    <t xml:space="preserve">A2.42</t>
  </si>
  <si>
    <t xml:space="preserve">A2.43</t>
  </si>
  <si>
    <t xml:space="preserve">A2.44</t>
  </si>
  <si>
    <t xml:space="preserve">A2.45</t>
  </si>
  <si>
    <t xml:space="preserve">A2.46</t>
  </si>
  <si>
    <t xml:space="preserve">A2.47</t>
  </si>
  <si>
    <t xml:space="preserve">A2.48</t>
  </si>
  <si>
    <t xml:space="preserve">A2.49</t>
  </si>
  <si>
    <t xml:space="preserve">A2.50</t>
  </si>
  <si>
    <t xml:space="preserve">A2.51</t>
  </si>
  <si>
    <t xml:space="preserve">A2.52</t>
  </si>
  <si>
    <t xml:space="preserve">A2.53</t>
  </si>
  <si>
    <t xml:space="preserve">A2.54</t>
  </si>
  <si>
    <t xml:space="preserve">A2.55</t>
  </si>
  <si>
    <t xml:space="preserve">A2.56</t>
  </si>
  <si>
    <t xml:space="preserve">A3.1</t>
  </si>
  <si>
    <t xml:space="preserve">agent_3</t>
  </si>
  <si>
    <t xml:space="preserve">Modine 8-K: completion of PT spin/merger; $155.99M cash distribution (cut from $210M) used to prepay JPM credit facility</t>
  </si>
  <si>
    <t xml:space="preserve">A3.2</t>
  </si>
  <si>
    <t xml:space="preserve">Modine 8-K: transaction adjustments (cash distribution reduced $210M-&gt;$159M, Gentherm special dividend, ownership 56.4/43.6)</t>
  </si>
  <si>
    <t xml:space="preserve">A3.3</t>
  </si>
  <si>
    <t xml:space="preserve">Modine Q1 FY2027 results press release (Ex.99.1): segment results, net debt $432.9M, FCF -$5.0M, 54.0M diluted shares</t>
  </si>
  <si>
    <t xml:space="preserve">A3.4</t>
  </si>
  <si>
    <t xml:space="preserve">Modine Q1 FY2027 earnings slides (Ex.99.2): FY27 guide DC +60-80%, CHVAC +5-10%, PT flat-+5%, adj. EBITDA $650-680M, capex $150-200M, FCF 4-6% of sales</t>
  </si>
  <si>
    <t xml:space="preserve">A3.5</t>
  </si>
  <si>
    <t xml:space="preserve">Modine 8-K Ex.99.1: recast FY2026 segment data (DC $1,108.2M sales/$214.7M EBITDA; CHVAC $973.8M/$162.4M; PT $1,131.8M/$156.5M; corporate -$62.6M)</t>
  </si>
  <si>
    <t xml:space="preserve">A3.6</t>
  </si>
  <si>
    <t xml:space="preserve">Form 4 (Modine re Platinum SpinCo): 53,197,549 SpinCo shares distributed pro rata = MOD basic shares at record date</t>
  </si>
  <si>
    <t xml:space="preserve">A3.7</t>
  </si>
  <si>
    <t xml:space="preserve">Form 144, officer Brian Agen: 4,306 shares ($0.78M) on 2026-09-10 after 38,282 shares sold 2026-06-18</t>
  </si>
  <si>
    <t xml:space="preserve">https://www.sec.gov/Archives/edgar/data/67347/000195004726009278/xsl144X01/primary_doc.xml</t>
  </si>
  <si>
    <t xml:space="preserve">A3.8</t>
  </si>
  <si>
    <t xml:space="preserve">Form 144, officer Eric McGinnis: prior sales 24,002 sh ($6.9M) 2026-06-01 and 14,080 sh ($3.9M) 2026-05-29 near the highs</t>
  </si>
  <si>
    <t xml:space="preserve">2026-06-18</t>
  </si>
  <si>
    <t xml:space="preserve">https://www.sec.gov/Archives/edgar/data/67347/000195004726006329/xsl144X01/primary_doc.xml</t>
  </si>
  <si>
    <t xml:space="preserve">A3.9</t>
  </si>
  <si>
    <t xml:space="preserve">Hunterbrook investigation: Modine's $4B customer is Google; leaked internal database shows ~$23B pipeline (AWS $12.4B) but component, engineering and factory bottlenecks; 3MW chiller production not started (Hunterbrook Capital long MOD / short basket) [single source, author long; used as lead only]</t>
  </si>
  <si>
    <t xml:space="preserve">2026-08-21</t>
  </si>
  <si>
    <t xml:space="preserve">https://hntrbrk.com/investigations/modine</t>
  </si>
  <si>
    <t xml:space="preserve">A3.10</t>
  </si>
  <si>
    <t xml:space="preserve">Hunterbrook newsletter: Breaking - Modine's anchor multi-billion customer (probability-adjusted Q2 FY27 DC ~$540M; FY27 DC ~$2.3B)</t>
  </si>
  <si>
    <t xml:space="preserve">https://newsletter.hntrbrk.com/p/breaking-modines-anchor-multi-billion</t>
  </si>
  <si>
    <t xml:space="preserve">A3.11</t>
  </si>
  <si>
    <t xml:space="preserve">QuiverQuant: Modine falls as investors revisit margin and execution concerns (DC gross margin decline, flat op income, negative FCF; targets $264-370 are May-June, pre-spin)</t>
  </si>
  <si>
    <t xml:space="preserve">2026-08-24</t>
  </si>
  <si>
    <t xml:space="preserve">https://www.quiverquant.com/news/Modine+Manufacturing+falls+as+investors+appear+to+revisit+margin+and+execution+concerns</t>
  </si>
  <si>
    <t xml:space="preserve">A3.12</t>
  </si>
  <si>
    <t xml:space="preserve">Walnut Invest: Is MOD a buy or sell - bull and bear case (valuation, margin/execution, customer concentration, debt)</t>
  </si>
  <si>
    <t xml:space="preserve">https://walnutinvest.com/stocks/mod/is-it-a-buy-or-sell</t>
  </si>
  <si>
    <t xml:space="preserve">A3.13</t>
  </si>
  <si>
    <t xml:space="preserve">Nasdaq/Zacks: Modine Q4 FY26 earnings call highlights (component shortages late Q4, Q1 margins down y/y, favorable comps from Q2)</t>
  </si>
  <si>
    <t xml:space="preserve">https://www.nasdaq.com/articles/modine-manufacturing-q4-earnings-call-highlights</t>
  </si>
  <si>
    <t xml:space="preserve">A3.14</t>
  </si>
  <si>
    <t xml:space="preserve">StockAnalysis: MOD statistics (53.11M shares, 5Y beta 1.71, short interest 3.36M = 6.46% of float, fwd P/E 22.55 on pre-spin consensus)</t>
  </si>
  <si>
    <t xml:space="preserve">A3.15</t>
  </si>
  <si>
    <t xml:space="preserve">StockAnalysis: MOD forecast - consensus FY27 EPS $7.46 (pre-spin, consolidated), avg target $310 (8 analysts); Baird init $300 (10/5), Oppenheimer $260 (10/2), DA Davidson $330 (9/29), UBS $355 (9/23)</t>
  </si>
  <si>
    <t xml:space="preserve">https://stockanalysis.com/stocks/mod/forecast/</t>
  </si>
  <si>
    <t xml:space="preserve">A3.16</t>
  </si>
  <si>
    <t xml:space="preserve">StockAnalysis: Vertiv (VRT) statistics - forward P/E, EV/EBITDA, growth forecasts</t>
  </si>
  <si>
    <t xml:space="preserve">2026-10-05/06</t>
  </si>
  <si>
    <t xml:space="preserve">A3.17</t>
  </si>
  <si>
    <t xml:space="preserve">StockAnalysis: nVent (NVT) statistics - forward P/E, EV/EBITDA, growth forecasts</t>
  </si>
  <si>
    <t xml:space="preserve">A3.18</t>
  </si>
  <si>
    <t xml:space="preserve">StockAnalysis: AAON (AAON) statistics - forward P/E, EV/EBITDA, growth forecasts</t>
  </si>
  <si>
    <t xml:space="preserve">A3.19</t>
  </si>
  <si>
    <t xml:space="preserve">StockAnalysis: SPX Technologies (SPXC) statistics - forward P/E, EV/EBITDA, growth forecasts</t>
  </si>
  <si>
    <t xml:space="preserve">A3.20</t>
  </si>
  <si>
    <t xml:space="preserve">StockAnalysis: Trane (TT) statistics - forward P/E, EV/EBITDA, growth forecasts</t>
  </si>
  <si>
    <t xml:space="preserve">A3.21</t>
  </si>
  <si>
    <t xml:space="preserve">StockAnalysis: Johnson Controls (JCI) statistics - forward P/E, EV/EBITDA, growth forecasts</t>
  </si>
  <si>
    <t xml:space="preserve">A3.22</t>
  </si>
  <si>
    <t xml:space="preserve">StockAnalysis: Carrier (CARR) statistics - forward P/E, EV/EBITDA, growth forecasts</t>
  </si>
  <si>
    <t xml:space="preserve">A3.23</t>
  </si>
  <si>
    <t xml:space="preserve">StockAnalysis: Lennox (LII) statistics - forward P/E, EV/EBITDA, growth forecasts</t>
  </si>
  <si>
    <t xml:space="preserve">A3.24</t>
  </si>
  <si>
    <t xml:space="preserve">StockAnalysis: Eaton (ETN) statistics - forward P/E, EV/EBITDA, growth forecasts</t>
  </si>
  <si>
    <t xml:space="preserve">A3.25</t>
  </si>
  <si>
    <t xml:space="preserve">Internal research: AI data-center capex across NVIDIA customer groups 2026-2028 (base customer capex 2026 $1,225B, 2027 $1,841B, 2028 $2,255B; low 2028 $1,265B)</t>
  </si>
  <si>
    <t xml:space="preserve">/mnt/project-files/adhoc/nvda_customer_capex.md</t>
  </si>
  <si>
    <t xml:space="preserve">A3.26</t>
  </si>
  <si>
    <t xml:space="preserve">Twelve Data: MOD daily/weekly price history (peak $323.25 wk of 2026-05-25; -30% after Q1; post-spin trading $175-189)</t>
  </si>
  <si>
    <t xml:space="preserve">https://twelvedata.com</t>
  </si>
  <si>
    <t xml:space="preserve">A3.27</t>
  </si>
  <si>
    <t xml:space="preserve">Twelve Data: THRM quote, close $32.23 on 2026-10-05</t>
  </si>
  <si>
    <t xml:space="preserve">A3.28</t>
  </si>
  <si>
    <t xml:space="preserve">Modine press releases (Twelve Data feed): Analyst &amp; Investor Day Nov 18 2026 with new financial targets; $4B Airedale LTA (May 26); Modexus name change (Sep 10)</t>
  </si>
  <si>
    <t xml:space="preserve">A3.29</t>
  </si>
  <si>
    <t xml:space="preserve">Equibles/GuruFocus listing: next MOD earnings date 2026-10-28</t>
  </si>
  <si>
    <t xml:space="preserve">https://equibles.com/stocks/MOD</t>
  </si>
  <si>
    <t xml:space="preserve">A3.30</t>
  </si>
  <si>
    <t xml:space="preserve">Gentherm 424B3 (RMT proxy/prospectus): Separation Agreement 'Cash Transfer' mechanics (the 'pro forma net leverage ratio of approximately 1.0x' in this document refers to the combined Gentherm company, not Modine RemainCo, and is not used; the round-1 '$1.6B / $307M TTM' figure could not be located here and is no longer used)</t>
  </si>
  <si>
    <t xml:space="preserve">2026-08</t>
  </si>
  <si>
    <t xml:space="preserve">https://www.sec.gov/Archives/edgar/data/0000903129/000119312526346909/d52416d424b3.htm</t>
  </si>
  <si>
    <t xml:space="preserve">A3.31</t>
  </si>
  <si>
    <t xml:space="preserve">SFNet: Modine Sixth A&amp;R credit agreement, new five-year facilities (JPMorgan agent), July 2025</t>
  </si>
  <si>
    <t xml:space="preserve">2025-07-16</t>
  </si>
  <si>
    <t xml:space="preserve">https://www.sfnet.com/home/chapters/canada/news-detail/2025/07/16/modine-manufacturing-updates-credit-agreement-with-new-five-year-facilities</t>
  </si>
  <si>
    <t xml:space="preserve">A3.32</t>
  </si>
  <si>
    <t xml:space="preserve">SimpleFunctions prediction-market aggregator: how high will 10-yr Treasury go before 2027 (4.8% level quoted ~80%; venue volume not shown)</t>
  </si>
  <si>
    <t xml:space="preserve">https://simplefunctions.dev/odds/how-high-10-treasury-yield-go.md</t>
  </si>
  <si>
    <t xml:space="preserve">A3.33</t>
  </si>
  <si>
    <t xml:space="preserve">StockAnalysis: VRT forecast (FY26 EPS $6.74, +60%; avg target $338)</t>
  </si>
  <si>
    <t xml:space="preserve">A3.34</t>
  </si>
  <si>
    <t xml:space="preserve">Modine FY2026 10-K: one global technology customer ~11% of consolidated FY26 sales; top ten 49%; DC 35% of sales</t>
  </si>
  <si>
    <t xml:space="preserve">A3.35</t>
  </si>
  <si>
    <t xml:space="preserve">Modine 10-Q quarter ended 2026-06-30, Note 17 Indebtedness: revolver $250M, term loan $192.5M, 5.9% notes $68.8M (FY2029), 5.8% notes $8.3M (FY2027); leverage covenant</t>
  </si>
  <si>
    <t xml:space="preserve">A3.36</t>
  </si>
  <si>
    <t xml:space="preserve">Form 4s Sep 2026: CHRO Agen sold 4,306 sh at $180.30 (9/10) after option exercises; PT president Patten tax-withholding 631 sh at $198.07 (9/28); no open-market buys</t>
  </si>
  <si>
    <t xml:space="preserve">https://www.sec.gov/Archives/edgar/data/67347/000172936626000012/xslF345X06/form4-09142026_070914.xml</t>
  </si>
  <si>
    <t xml:space="preserve">A3.37</t>
  </si>
  <si>
    <t xml:space="preserve">QuiverQuant: Why Modine (MOD) stock is down today - 36 insider trades in 6 months, all sales (~$31M: Agen $11.3M, McGinnis $11.2M, CFO Lucareli $4.3M, CEO Ashleman $4.3M); downgrade to hold</t>
  </si>
  <si>
    <t xml:space="preserve">2026-07-27</t>
  </si>
  <si>
    <t xml:space="preserve">https://www.quiverquant.com/news/Why+Modine+Manufacturing+(MOD)+Stock+Is+Down+Today</t>
  </si>
  <si>
    <t xml:space="preserve">A3.38</t>
  </si>
  <si>
    <t xml:space="preserve">StockAnalysis: CSW Industrials (CSWI) statistics - fwd P/E 23.57, EV/EBITDA 20.19, 3Y revenue growth 8.88%, EPS growth 12.85%</t>
  </si>
  <si>
    <t xml:space="preserve">https://stockanalysis.com/stocks/cswi/statistics/</t>
  </si>
  <si>
    <t xml:space="preserve">A3.39</t>
  </si>
  <si>
    <t xml:space="preserve">EDGAR submissions index, Modine (no 8-K/A pro forma filed as of 2026-10-06; due by Oct 7)</t>
  </si>
  <si>
    <t xml:space="preserve">A3.40</t>
  </si>
  <si>
    <t xml:space="preserve">Round-1 supervisor review (facts re-verified against the filings cited separately)</t>
  </si>
  <si>
    <t xml:space="preserve">/mnt/project-files/valuation/runs/2026-10-05/MOD/round1/supervisor.json</t>
  </si>
  <si>
    <t xml:space="preserve">A3.41</t>
  </si>
  <si>
    <t xml:space="preserve">A3.42</t>
  </si>
  <si>
    <t xml:space="preserve">A3.43</t>
  </si>
  <si>
    <t xml:space="preserve">A3.44</t>
  </si>
  <si>
    <t xml:space="preserve">A3.45</t>
  </si>
  <si>
    <t xml:space="preserve">A3.46</t>
  </si>
  <si>
    <t xml:space="preserve">A3.47</t>
  </si>
  <si>
    <t xml:space="preserve">A3.48</t>
  </si>
  <si>
    <t xml:space="preserve">A3.49</t>
  </si>
  <si>
    <t xml:space="preserve">A3.50</t>
  </si>
  <si>
    <t xml:space="preserve">A3.51</t>
  </si>
  <si>
    <t xml:space="preserve">A3.52</t>
  </si>
  <si>
    <t xml:space="preserve">A3.53</t>
  </si>
  <si>
    <t xml:space="preserve">A3.54</t>
  </si>
  <si>
    <t xml:space="preserve">A3.55</t>
  </si>
  <si>
    <t xml:space="preserve">US Treasury daily par yield curve rates 2026 (10-year 5.31% on 2026-10-05)</t>
  </si>
  <si>
    <t xml:space="preserve">https://home.treasury.gov/resource-center/data-chart-center/interest-rates/daily-treasury-rates.csv/2026/all?type=daily_treasury_yield_curve&amp;field_tdr_date_value=2026&amp;page&amp;_format=csv</t>
  </si>
  <si>
    <t xml:space="preserve">A4.1</t>
  </si>
  <si>
    <t xml:space="preserve">agent_4</t>
  </si>
  <si>
    <t xml:space="preserve">A4.2</t>
  </si>
  <si>
    <t xml:space="preserve">Modine 8-K EX-99.1: Fourth Quarter Fiscal 2026 Results and FY27 outlook</t>
  </si>
  <si>
    <t xml:space="preserve">A4.3</t>
  </si>
  <si>
    <t xml:space="preserve">Modine 8-K EX-99.1: recast segment results (Data Centers / Commercial HVAC / Performance Technologies)</t>
  </si>
  <si>
    <t xml:space="preserve">A4.4</t>
  </si>
  <si>
    <t xml:space="preserve">Modine 8-K: completion of SpinCo distribution and Gentherm merger ($155,991,275 cash distribution; 0.44619 ratio; 23,735,961 THRM shares)</t>
  </si>
  <si>
    <t xml:space="preserve">A4.5</t>
  </si>
  <si>
    <t xml:space="preserve">Modine 8-K EX-99.1: Modine completes separation; PT valued ~$946.4M</t>
  </si>
  <si>
    <t xml:space="preserve">https://www.sec.gov/Archives/edgar/data/67347/000110465926112870/tm2626618d1_ex99-1.htm</t>
  </si>
  <si>
    <t xml:space="preserve">A4.6</t>
  </si>
  <si>
    <t xml:space="preserve">Modine 8-K: adjusted transaction terms (cash distribution cut from $210M to ~$159M)</t>
  </si>
  <si>
    <t xml:space="preserve">A4.7</t>
  </si>
  <si>
    <t xml:space="preserve">Hunterbrook investigation: leaked Modine internal database (customer demand, build plans, supply gating)</t>
  </si>
  <si>
    <t xml:space="preserve">A4.8</t>
  </si>
  <si>
    <t xml:space="preserve">Hunterbrook newsletter: Breaking - Modine's anchor multi-billion customer (Google identified)</t>
  </si>
  <si>
    <t xml:space="preserve">A4.9</t>
  </si>
  <si>
    <t xml:space="preserve">Shareholders Unite (Substack): A Primer on Modine</t>
  </si>
  <si>
    <t xml:space="preserve">2026-06-16</t>
  </si>
  <si>
    <t xml:space="preserve">https://shareholdersunite.substack.com/p/a-primer-on-modine</t>
  </si>
  <si>
    <t xml:space="preserve">A4.10</t>
  </si>
  <si>
    <t xml:space="preserve">DatacenterDynamics: Modine announces $4B long-term capacity agreement through 2029 (Airedale) (returned 403 on 2026-10-06; no longer cited; the $4B figure is cited to the 10-K, src 25)</t>
  </si>
  <si>
    <t xml:space="preserve">https://www.datacenterdynamics.com/en/product-news/modine-announces-landmark-4-billion-long-term-capacity-agreement-through-2029-with-strategic-data-center-customer-for-airedale-by-modine-cooling-solutions/</t>
  </si>
  <si>
    <t xml:space="preserve">A4.11</t>
  </si>
  <si>
    <t xml:space="preserve">Let's Data Science: Modine secures $4B data center cooling deal (prepayment pattern among operators)</t>
  </si>
  <si>
    <t xml:space="preserve">2026-06-08</t>
  </si>
  <si>
    <t xml:space="preserve">https://letsdatascience.com/news/modine-secures-4b-data-center-cooling-deal-6ff93bf5</t>
  </si>
  <si>
    <t xml:space="preserve">A4.12</t>
  </si>
  <si>
    <t xml:space="preserve">Cooling Post: Modine to become Modexus Solutions</t>
  </si>
  <si>
    <t xml:space="preserve">https://www.coolingpost.com/world-news/modine-to-become-modexus-solutions/</t>
  </si>
  <si>
    <t xml:space="preserve">A4.13</t>
  </si>
  <si>
    <t xml:space="preserve">RefIndustry: Modine invests $100M to expand U.S. data center cooling production (DC revenue 'nearly $2B in FY28' capacity aim)</t>
  </si>
  <si>
    <t xml:space="preserve">2025-07-29</t>
  </si>
  <si>
    <t xml:space="preserve">https://refindustry.com/news/market-news/modine-invests-100m-to-expand-u-s-data-center-cooling-production/</t>
  </si>
  <si>
    <t xml:space="preserve">A4.14</t>
  </si>
  <si>
    <t xml:space="preserve">Cooling Post: Modine expands US data centre chiller capacity (Grenada MS, 450+ jobs)</t>
  </si>
  <si>
    <t xml:space="preserve">2025-05-20</t>
  </si>
  <si>
    <t xml:space="preserve">https://www.coolingpost.com/world-news/modine-expands-us-data-centre-chiller-capacity/</t>
  </si>
  <si>
    <t xml:space="preserve">A4.15</t>
  </si>
  <si>
    <t xml:space="preserve">RefIndustry: Modine completes Performance Technologies spin-off and Gentherm combination</t>
  </si>
  <si>
    <t xml:space="preserve">https://refindustry.com/?p=80725</t>
  </si>
  <si>
    <t xml:space="preserve">A4.16</t>
  </si>
  <si>
    <t xml:space="preserve">Business Facilities: Modine expands in Mississippi to serve data center customers (jobs/site tracker)</t>
  </si>
  <si>
    <t xml:space="preserve">2025</t>
  </si>
  <si>
    <t xml:space="preserve">https://businessfacilities.com/modine-expands-in-mississippi-to-serve-data-center-customers/</t>
  </si>
  <si>
    <t xml:space="preserve">A4.17</t>
  </si>
  <si>
    <t xml:space="preserve">stockanalysis.com statistics pages for peers (VRT, ETN, TT, JCI, CARR, LII, AAON, SPXC, NVT, STO:MTRS, TYO:6367, EPA:SU): price, EV, forward P/E, trailing EV/EBITDA, 3Y EPS growth</t>
  </si>
  <si>
    <t xml:space="preserve">A4.18</t>
  </si>
  <si>
    <t xml:space="preserve">stockanalysis.com MOD statistics (shares outstanding 53.11M, stale pre-spin estimates)</t>
  </si>
  <si>
    <t xml:space="preserve">A4.19</t>
  </si>
  <si>
    <t xml:space="preserve">Twelve Data MOD daily/weekly price history</t>
  </si>
  <si>
    <t xml:space="preserve">A4.20</t>
  </si>
  <si>
    <t xml:space="preserve">Internal research note: AI data-center capex across NVIDIA's customer groups 2026-2028 (/mnt/project-files/adhoc/nvda_customer_capex.md)</t>
  </si>
  <si>
    <t xml:space="preserve">A4.21</t>
  </si>
  <si>
    <t xml:space="preserve">Nasdaq/Zacks: How Modine is positioning itself to benefit from the AI push (returned 403 on 2026-10-06; unverified, no longer cited)</t>
  </si>
  <si>
    <t xml:space="preserve">https://www.nasdaq.com/articles/how-modine-positioning-itself-benefit-ai-push</t>
  </si>
  <si>
    <t xml:space="preserve">A4.22</t>
  </si>
  <si>
    <t xml:space="preserve">Benzinga MOD price targets (KeyBanc $280 2026-09-02; B. Riley $305 2026-07-30; pre-spin)</t>
  </si>
  <si>
    <t xml:space="preserve">2026-09</t>
  </si>
  <si>
    <t xml:space="preserve">https://www.benzinga.com/quote/MOD/price-targets</t>
  </si>
  <si>
    <t xml:space="preserve">A4.23</t>
  </si>
  <si>
    <t xml:space="preserve">Modine 8-K EX-99.1: Q1 FY27 results (segment adj. EBITDA, corporate -$23.0M, net debt $432.9M, FCF -$5.0M)</t>
  </si>
  <si>
    <t xml:space="preserve">A4.24</t>
  </si>
  <si>
    <t xml:space="preserve">Modine 8-K EX-99.2: Q1 FY27 slides (DC earnings growth &gt;85%, capex $150-200M, margin recovery from Q2)</t>
  </si>
  <si>
    <t xml:space="preserve">A4.25</t>
  </si>
  <si>
    <t xml:space="preserve">Modine FY2026 Form 10-K (customer concentration: one customer ~11% of sales; top ten 49%)</t>
  </si>
  <si>
    <t xml:space="preserve">A4.26</t>
  </si>
  <si>
    <t xml:space="preserve">Modine to Host Analyst and Investor Day on November 18, 2026</t>
  </si>
  <si>
    <t xml:space="preserve">A4.27</t>
  </si>
  <si>
    <t xml:space="preserve">EDGAR submissions index, Modine (no 8-K/A as of Oct 6, 2026)</t>
  </si>
  <si>
    <t xml:space="preserve">A4.28</t>
  </si>
  <si>
    <t xml:space="preserve">Weiss Ratings alert: MOD down 11.5% on spin record date (Sep 28, 2026)</t>
  </si>
  <si>
    <t xml:space="preserve">2026-09-28</t>
  </si>
  <si>
    <t xml:space="preserve">https://weissratings.com/en/instant-news-alerts/modine-manufacturing-company-mod-down-11-5-should-i-let-it-go</t>
  </si>
  <si>
    <t xml:space="preserve">A4.29</t>
  </si>
  <si>
    <t xml:space="preserve">Modine IR: Growth in Data Center Business Drives Hiring for New Franklin Facility (career fair, billboard hiring campaign) (returned 403 on 2026-10-06; no longer cited)</t>
  </si>
  <si>
    <t xml:space="preserve">https://investors.modine.com/news/news-details/2025/Growth-in-Data-Center-Business-Drives-Hiring-for-New-Franklin-Facility/default.aspx</t>
  </si>
  <si>
    <t xml:space="preserve">A4.30</t>
  </si>
  <si>
    <t xml:space="preserve">Gentherm 8-K: SpinCo $250M term loan funded the SpinCo Cash Distribution and the Cash Transfer</t>
  </si>
  <si>
    <t xml:space="preserve">https://www.sec.gov/Archives/edgar/data/903129/000119312526410776/d214921d8k.htm</t>
  </si>
  <si>
    <t xml:space="preserve">A4.31</t>
  </si>
  <si>
    <t xml:space="preserve">A4.32</t>
  </si>
  <si>
    <t xml:space="preserve">A4.33</t>
  </si>
  <si>
    <t xml:space="preserve">A4.34</t>
  </si>
  <si>
    <t xml:space="preserve">A4.35</t>
  </si>
  <si>
    <t xml:space="preserve">A4.36</t>
  </si>
  <si>
    <t xml:space="preserve">A4.37</t>
  </si>
  <si>
    <t xml:space="preserve">A4.38</t>
  </si>
  <si>
    <t xml:space="preserve">A4.39</t>
  </si>
  <si>
    <t xml:space="preserve">A4.40</t>
  </si>
  <si>
    <t xml:space="preserve">A4.41</t>
  </si>
  <si>
    <t xml:space="preserve">A4.42</t>
  </si>
  <si>
    <t xml:space="preserve">A4.43</t>
  </si>
  <si>
    <t xml:space="preserve">A4.44</t>
  </si>
  <si>
    <t xml:space="preserve">A4.45</t>
  </si>
  <si>
    <t xml:space="preserve">A5.1</t>
  </si>
  <si>
    <t xml:space="preserve">agent_5</t>
  </si>
  <si>
    <t xml:space="preserve">Modine Form 8-K: completion of Performance Technologies separation and merger with Gentherm (Oct 1, 2026)</t>
  </si>
  <si>
    <t xml:space="preserve">A5.2</t>
  </si>
  <si>
    <t xml:space="preserve">Modine press release Ex.99.1: Modine completes Performance Technologies transaction; Modexus Solutions name</t>
  </si>
  <si>
    <t xml:space="preserve">https://www.sec.gov/Archives/edgar/data/0000067347/000110465926112870/tm2626618d1_ex99-1.htm</t>
  </si>
  <si>
    <t xml:space="preserve">A5.3</t>
  </si>
  <si>
    <t xml:space="preserve">Modine Reports First Quarter Fiscal 2027 Results</t>
  </si>
  <si>
    <t xml:space="preserve">A5.4</t>
  </si>
  <si>
    <t xml:space="preserve">Modine Reports Fourth Quarter Fiscal 2026 Results (8-K Ex.99.1)</t>
  </si>
  <si>
    <t xml:space="preserve">A5.5</t>
  </si>
  <si>
    <t xml:space="preserve">Modine FY2026 Form 10-K summary (product-group sales mix, debt, shares)</t>
  </si>
  <si>
    <t xml:space="preserve">2026-05</t>
  </si>
  <si>
    <t xml:space="preserve">https://www.stocktitan.net/sec-filings/MOD/10-k-modine-manufacturing-co-files-annual-report-34f47e6b948d.html</t>
  </si>
  <si>
    <t xml:space="preserve">A5.6</t>
  </si>
  <si>
    <t xml:space="preserve">Modine Manufacturing Q4 earnings call highlights (Nasdaq; returned 403/503 on 2026-10-06, unverified; no longer cited)</t>
  </si>
  <si>
    <t xml:space="preserve">A5.7</t>
  </si>
  <si>
    <t xml:space="preserve">Twelve Data: MOD daily and weekly price history Sep 2025 - Oct 5 2026 (earnings-reaction and drawdown base rates)</t>
  </si>
  <si>
    <t xml:space="preserve">A5.8</t>
  </si>
  <si>
    <t xml:space="preserve">Twelve Data: THRM daily prices Sep 22 - Oct 5 2026 (value of spun shares, 0.44619 x THRM)</t>
  </si>
  <si>
    <t xml:space="preserve">A5.9</t>
  </si>
  <si>
    <t xml:space="preserve">Kalshi: Will there be a recession in 2027? (KXRECSSNBER-27) last 20c, bid 20 / ask 21, volume ~$603K, OI ~314K</t>
  </si>
  <si>
    <t xml:space="preserve">https://kalshi.com/markets/kxrecssnber</t>
  </si>
  <si>
    <t xml:space="preserve">A5.10</t>
  </si>
  <si>
    <t xml:space="preserve">Polymarket: AI bubble burst in 2026? Yes 7.4%, volume ~$2.43M</t>
  </si>
  <si>
    <t xml:space="preserve">https://polymarket.com/event/ai-bubble-burst-by</t>
  </si>
  <si>
    <t xml:space="preserve">A5.11</t>
  </si>
  <si>
    <t xml:space="preserve">TSI Network: spinoffs - parents and spinoffs tend to outperform after initial adjustment</t>
  </si>
  <si>
    <t xml:space="preserve">https://www.tsinetwork.ca/category/topics/spinoffs-topics/</t>
  </si>
  <si>
    <t xml:space="preserve">A5.12</t>
  </si>
  <si>
    <t xml:space="preserve">An Examination of Corporate Spin-Offs on Company Performance and Shareholder Value (Univ. of Nottingham)</t>
  </si>
  <si>
    <t xml:space="preserve">n.d.</t>
  </si>
  <si>
    <t xml:space="preserve">https://eprints.nottingham.ac.uk/30160</t>
  </si>
  <si>
    <t xml:space="preserve">A5.13</t>
  </si>
  <si>
    <t xml:space="preserve">Stock Track: Modine plunges 7.42% despite beating Q2 FY26 estimates</t>
  </si>
  <si>
    <t xml:space="preserve">2025-10-29</t>
  </si>
  <si>
    <t xml:space="preserve">https://www.itiger.com/news/1116514726</t>
  </si>
  <si>
    <t xml:space="preserve">A5.14</t>
  </si>
  <si>
    <t xml:space="preserve">QuiverQuant: Why Modine (MOD) stock is down - repricing of RemainCo ahead of spin</t>
  </si>
  <si>
    <t xml:space="preserve">A5.15</t>
  </si>
  <si>
    <t xml:space="preserve">Oddpool: recession prediction markets overview (Kalshi/Polymarket volumes)</t>
  </si>
  <si>
    <t xml:space="preserve">https://www.oddpool.com/explore/recession</t>
  </si>
  <si>
    <t xml:space="preserve">A5.16</t>
  </si>
  <si>
    <t xml:space="preserve">AI data-center capex across NVIDIA's customer groups 2026-2028 (internal note, base case 2027 +50%, 2028 +22%)</t>
  </si>
  <si>
    <t xml:space="preserve">A5.17</t>
  </si>
  <si>
    <t xml:space="preserve">stockanalysis.com MOD statistics (shares 53.11M, legacy consensus fwd P/E 22.6, avg target $310 mostly pre-spin)</t>
  </si>
  <si>
    <t xml:space="preserve">A5.18</t>
  </si>
  <si>
    <t xml:space="preserve">stockanalysis.com VRT statistics</t>
  </si>
  <si>
    <t xml:space="preserve">A5.19</t>
  </si>
  <si>
    <t xml:space="preserve">stockanalysis.com TT statistics</t>
  </si>
  <si>
    <t xml:space="preserve">A5.20</t>
  </si>
  <si>
    <t xml:space="preserve">stockanalysis.com JCI statistics</t>
  </si>
  <si>
    <t xml:space="preserve">A5.21</t>
  </si>
  <si>
    <t xml:space="preserve">stockanalysis.com CARR statistics</t>
  </si>
  <si>
    <t xml:space="preserve">A5.22</t>
  </si>
  <si>
    <t xml:space="preserve">stockanalysis.com LII statistics</t>
  </si>
  <si>
    <t xml:space="preserve">A5.23</t>
  </si>
  <si>
    <t xml:space="preserve">stockanalysis.com AAON statistics</t>
  </si>
  <si>
    <t xml:space="preserve">A5.24</t>
  </si>
  <si>
    <t xml:space="preserve">stockanalysis.com NVT statistics</t>
  </si>
  <si>
    <t xml:space="preserve">A5.25</t>
  </si>
  <si>
    <t xml:space="preserve">stockanalysis.com ETN statistics</t>
  </si>
  <si>
    <t xml:space="preserve">A5.26</t>
  </si>
  <si>
    <t xml:space="preserve">stockanalysis.com SPXC statistics</t>
  </si>
  <si>
    <t xml:space="preserve">A5.27</t>
  </si>
  <si>
    <t xml:space="preserve">stockanalysis.com FIX statistics</t>
  </si>
  <si>
    <t xml:space="preserve">A5.28</t>
  </si>
  <si>
    <t xml:space="preserve">stockanalysis.com POWL statistics</t>
  </si>
  <si>
    <t xml:space="preserve">https://stockanalysis.com/stocks/powl/statistics/</t>
  </si>
  <si>
    <t xml:space="preserve">A5.29</t>
  </si>
  <si>
    <t xml:space="preserve">Modine to host Q2 FY2026 earnings call on Oct 29, 2025 (prior-year timing for Q2 report)</t>
  </si>
  <si>
    <t xml:space="preserve">https://www.barchart.com/story/news/35462268/modine-to-host-second-quarter-fiscal-2026-earnings-conference-call-on-october-29-2025</t>
  </si>
  <si>
    <t xml:space="preserve">A5.30</t>
  </si>
  <si>
    <t xml:space="preserve">Modine Q1 FY27 results Ex.99.1 (segment table: DC $348.6M/$51.7M, CHVAC $261.6M/$41.6M, PT $36.2M, corporate -$23.0M; net debt $432.9M; FCF -$5.0M; diluted 54.0M)</t>
  </si>
  <si>
    <t xml:space="preserve">A5.31</t>
  </si>
  <si>
    <t xml:space="preserve">Modine Q1 FY27 slides Ex.99.2 (DC +60-80% sales, DC full-year earnings growth in excess of 85%, CHVAC +5-10%, capex $150-200M, $25-35M transaction costs)</t>
  </si>
  <si>
    <t xml:space="preserve">A5.32</t>
  </si>
  <si>
    <t xml:space="preserve">Modine 8-K Ex.99.1 recast segment results FY26 by quarter (DC $1,108.2M/$214.7M; CHVAC $973.8M/$162.4M; corporate -$62.6M)</t>
  </si>
  <si>
    <t xml:space="preserve">A5.33</t>
  </si>
  <si>
    <t xml:space="preserve">Modine FY2026 Form 10-K (one global technology customer ~11% of FY26 sales; top ten 49%)</t>
  </si>
  <si>
    <t xml:space="preserve">A5.34</t>
  </si>
  <si>
    <t xml:space="preserve">A5.35</t>
  </si>
  <si>
    <t xml:space="preserve">stockanalysis.com CSWI statistics (fwd P/E 23.57, TTM EV/EBITDA 20.19, 3Y EPS CAGR 12.85%; FY ends March)</t>
  </si>
  <si>
    <t xml:space="preserve">A5.36</t>
  </si>
  <si>
    <t xml:space="preserve">EDGAR submissions index for Modine (no 8-K/A pro forma and no Q2 date notice filed as of Oct 6)</t>
  </si>
  <si>
    <t xml:space="preserve">A5.37</t>
  </si>
  <si>
    <t xml:space="preserve">Supervisor round-1 review for MOD (fact-checks on net debt, corporate cost, peer medians, concentration)</t>
  </si>
  <si>
    <t xml:space="preserve">A5.38</t>
  </si>
  <si>
    <t xml:space="preserve">stockanalysis.com VRT forecast page (FY26E EPS $6.74; used to check the basis of 'Forward PE': $253.62/32.09 = $7.90, between FY26E and FY27E, i.e. roughly NTM)</t>
  </si>
  <si>
    <t xml:space="preserve">A5.39</t>
  </si>
  <si>
    <t xml:space="preserve">A5.40</t>
  </si>
  <si>
    <t xml:space="preserve">A5.41</t>
  </si>
  <si>
    <t xml:space="preserve">A5.42</t>
  </si>
  <si>
    <t xml:space="preserve">A5.43</t>
  </si>
  <si>
    <t xml:space="preserve">A5.44</t>
  </si>
  <si>
    <t xml:space="preserve">A5.45</t>
  </si>
  <si>
    <t xml:space="preserve">A5.46</t>
  </si>
  <si>
    <t xml:space="preserve">A5.47</t>
  </si>
  <si>
    <t xml:space="preserve">A5.48</t>
  </si>
  <si>
    <t xml:space="preserve">A5.49</t>
  </si>
  <si>
    <t xml:space="preserve">A5.50</t>
  </si>
  <si>
    <t xml:space="preserve">A5.51</t>
  </si>
  <si>
    <t xml:space="preserve">A5.52</t>
  </si>
  <si>
    <t xml:space="preserve">A5.53</t>
  </si>
  <si>
    <t xml:space="preserve">S.1</t>
  </si>
  <si>
    <t xml:space="preserve">supervisor</t>
  </si>
  <si>
    <t xml:space="preserve">Modine 8-K: completion of PT spin/Gentherm merger</t>
  </si>
  <si>
    <t xml:space="preserve">S.2</t>
  </si>
  <si>
    <t xml:space="preserve">EDGAR submissions index, Modine (no 8-K/A as of Oct 6)</t>
  </si>
  <si>
    <t xml:space="preserve">S.3</t>
  </si>
  <si>
    <t xml:space="preserve">EDGAR submissions index, Gentherm</t>
  </si>
  <si>
    <t xml:space="preserve">https://data.sec.gov/submissions/CIK0000903129.json</t>
  </si>
  <si>
    <t xml:space="preserve">S.4</t>
  </si>
  <si>
    <t xml:space="preserve">Modine Q1 FY27 results Ex.99.1</t>
  </si>
  <si>
    <t xml:space="preserve">S.5</t>
  </si>
  <si>
    <t xml:space="preserve">Modine Q1 FY27 slides Ex.99.2 (slide 12 segment outlook)</t>
  </si>
  <si>
    <t xml:space="preserve">S.6</t>
  </si>
  <si>
    <t xml:space="preserve">Modine 8-K Ex.99.1 recast segment results</t>
  </si>
  <si>
    <t xml:space="preserve">S.7</t>
  </si>
  <si>
    <t xml:space="preserve">Modine FY2026 10-K</t>
  </si>
  <si>
    <t xml:space="preserve">S.8</t>
  </si>
  <si>
    <t xml:space="preserve">stockanalysis statistics: SPXC</t>
  </si>
  <si>
    <t xml:space="preserve">S.9</t>
  </si>
  <si>
    <t xml:space="preserve">stockanalysis statistics: CSWI</t>
  </si>
  <si>
    <t xml:space="preserve">S.10</t>
  </si>
  <si>
    <t xml:space="preserve">stockanalysis statistics: ETN</t>
  </si>
  <si>
    <t xml:space="preserve">S.11</t>
  </si>
  <si>
    <t xml:space="preserve">stockanalysis statistics: AAON</t>
  </si>
  <si>
    <t xml:space="preserve">S.12</t>
  </si>
  <si>
    <t xml:space="preserve">S.13</t>
  </si>
  <si>
    <t xml:space="preserve">Modine to Host Analyst and Investor Day on November 18, 2026 (company press release, PR Newswire)</t>
  </si>
  <si>
    <t xml:space="preserve">https://www.prnewswire.com/news-releases/modine-to-host-analyst-and-investor-day-on-november-18-2026-302876675.html</t>
  </si>
  <si>
    <t xml:space="preserve">S.14</t>
  </si>
  <si>
    <t xml:space="preserve">Modine 10-Q for the quarter ended 2026-06-30 (53,112,708 shares outstanding at Jul 24)</t>
  </si>
  <si>
    <t xml:space="preserve">S.15</t>
  </si>
  <si>
    <t xml:space="preserve">Peers' SEC filings for derived multiples: XBRL company facts (VRT, NVT, AAON, TT, SPXC, CSWI, ETN, FIX, and FY2025 annual values for JCI, CARR, LII), e.g. data.sec.gov/api/xbrl/companyfacts/CIK&lt;cik&gt;.json</t>
  </si>
  <si>
    <t xml:space="preserve">S.16</t>
  </si>
  <si>
    <t xml:space="preserve">Carrier 10-Q quarter ended 2026-06-30 (6M operating profit, D&amp;A, debt, cash, NCI, 824,325,057 shares)</t>
  </si>
  <si>
    <t xml:space="preserve">S.17</t>
  </si>
  <si>
    <t xml:space="preserve">Lennox 10-Q quarter ended 2026-06-30 (6M operating income, D&amp;A, debt, cash, 34,560,675 shares)</t>
  </si>
  <si>
    <t xml:space="preserve">S.18</t>
  </si>
  <si>
    <t xml:space="preserve">Johnson Controls 10-Q quarter ended 2026-06-30 (9M pre-tax income, net financing charges, D&amp;A, debt, cash, NCI, 605,741,470 shares)</t>
  </si>
  <si>
    <t xml:space="preserve">S.19</t>
  </si>
  <si>
    <t xml:space="preserve">Johnson Controls FY2025 10-K (net financing charges $319M)</t>
  </si>
  <si>
    <t xml:space="preserve">2025-11-14</t>
  </si>
  <si>
    <t xml:space="preserve">https://www.sec.gov/Archives/edgar/data/833444/000083344425000097/jci-20250930.htm</t>
  </si>
  <si>
    <t xml:space="preserve">S.20</t>
  </si>
  <si>
    <t xml:space="preserve">Twelve Data daily closes 2026-10-05 for the ten peers and MOD; MOD 1-year daily closes (volatility)</t>
  </si>
  <si>
    <t xml:space="preserve">S.21</t>
  </si>
  <si>
    <t xml:space="preserve">stockanalysis forecast pages (consensus EPS this year / next year) and statistics pages (3Y consensus revenue and EPS CAGR) for the ten peers</t>
  </si>
  <si>
    <t xml:space="preserve">S.22</t>
  </si>
  <si>
    <t xml:space="preserve">Modine 8-K 2025-10-28 (Q2 FY26 results released Oct 28, 2025; call Oct 29)</t>
  </si>
  <si>
    <t xml:space="preserve">2025-10-28</t>
  </si>
  <si>
    <t xml:space="preserve">https://www.sec.gov/Archives/edgar/data/67347/000110465925103221/mod-20251028x8k.htm</t>
  </si>
  <si>
    <t xml:space="preserve">S.23</t>
  </si>
  <si>
    <t xml:space="preserve">S.24</t>
  </si>
  <si>
    <t xml:space="preserve">Modine 8-K Ex.99.1, FY2024 results and first Fiscal 2025 outlook (net sales +5-10%, adj. EBITDA $365-385M)</t>
  </si>
  <si>
    <t xml:space="preserve">2024-05-21</t>
  </si>
  <si>
    <t xml:space="preserve">https://www.sec.gov/Archives/edgar/data/67347/000114036124027058/ef20029568_ex99-1.htm</t>
  </si>
  <si>
    <t xml:space="preserve">S.25</t>
  </si>
  <si>
    <t xml:space="preserve">Modine 8-K Ex.99.1, FY2025 results (record adj. EBITDA $392.1M) and first Fiscal 2026 outlook (net sales +2-10%, adj. EBITDA $420-450M)</t>
  </si>
  <si>
    <t xml:space="preserve">https://www.sec.gov/Archives/edgar/data/67347/000155837025008029/tmb-20250520xex99d1.htm</t>
  </si>
  <si>
    <t xml:space="preserve">S.26</t>
  </si>
  <si>
    <t xml:space="preserve">Modine 8-K Ex.99.1, FY2026 results (record adj. EBITDA $471.0M) and Fiscal 2027 outlook (net sales +20-35%, adj. EBITDA $650-680M, incl. PT)</t>
  </si>
  <si>
    <t xml:space="preserve">S.27</t>
  </si>
  <si>
    <t xml:space="preserve">Modine transaction announcement presentation (8-K Ex.99.2): "Expecting 50-70% annual revenue growth over next two years, exceeding the previous $2 billion target for FY28" (Data Centers)</t>
  </si>
  <si>
    <t xml:space="preserve">S.28</t>
  </si>
  <si>
    <t xml:space="preserve">Yahoo Finance chart feed, last close 2026-10-23 for the nine US peers (peers.py price ids, runs/2026-10-23/MOD/peers.json)</t>
  </si>
  <si>
    <t xml:space="preserve">2026-10-26</t>
  </si>
  <si>
    <t xml:space="preserve">https://query1.finance.yahoo.com/v8/finance/chart/VRT?range=5d&amp;interval=1d</t>
  </si>
  <si>
    <t xml:space="preserve">S.29</t>
  </si>
  <si>
    <t xml:space="preserve">Nasdaq.com analyst earnings forecast, Zacks consensus EPS by fiscal year: VRT (snapshot data/estimates/VRT.json, retrieved 2026-10-26)</t>
  </si>
  <si>
    <t xml:space="preserve">https://api.nasdaq.com/api/analyst/VRT/earnings-forecast</t>
  </si>
  <si>
    <t xml:space="preserve">S.30</t>
  </si>
  <si>
    <t xml:space="preserve">Nasdaq.com analyst earnings forecast, Zacks consensus EPS by fiscal year: NVT (snapshot data/estimates/NVT.json, retrieved 2026-10-26)</t>
  </si>
  <si>
    <t xml:space="preserve">https://api.nasdaq.com/api/analyst/NVT/earnings-forecast</t>
  </si>
  <si>
    <t xml:space="preserve">S.31</t>
  </si>
  <si>
    <t xml:space="preserve">Nasdaq.com analyst earnings forecast, Zacks consensus EPS by fiscal year: AAON (snapshot data/estimates/AAON.json, retrieved 2026-10-26)</t>
  </si>
  <si>
    <t xml:space="preserve">https://api.nasdaq.com/api/analyst/AAON/earnings-forecast</t>
  </si>
  <si>
    <t xml:space="preserve">S.32</t>
  </si>
  <si>
    <t xml:space="preserve">Nasdaq.com analyst earnings forecast, Zacks consensus EPS by fiscal year: TT (snapshot data/estimates/TT.json, retrieved 2026-10-26)</t>
  </si>
  <si>
    <t xml:space="preserve">https://api.nasdaq.com/api/analyst/TT/earnings-forecast</t>
  </si>
  <si>
    <t xml:space="preserve">S.33</t>
  </si>
  <si>
    <t xml:space="preserve">Nasdaq.com analyst earnings forecast, Zacks consensus EPS by fiscal year: JCI (snapshot data/estimates/JCI.json, retrieved 2026-10-26)</t>
  </si>
  <si>
    <t xml:space="preserve">https://api.nasdaq.com/api/analyst/JCI/earnings-forecast</t>
  </si>
  <si>
    <t xml:space="preserve">S.34</t>
  </si>
  <si>
    <t xml:space="preserve">Nasdaq.com analyst earnings forecast, Zacks consensus EPS by fiscal year: CARR (snapshot data/estimates/CARR.json, retrieved 2026-10-26)</t>
  </si>
  <si>
    <t xml:space="preserve">https://api.nasdaq.com/api/analyst/CARR/earnings-forecast</t>
  </si>
  <si>
    <t xml:space="preserve">S.35</t>
  </si>
  <si>
    <t xml:space="preserve">Nasdaq.com analyst earnings forecast, Zacks consensus EPS by fiscal year: SPXC (snapshot data/estimates/SPXC.json, retrieved 2026-10-26)</t>
  </si>
  <si>
    <t xml:space="preserve">https://api.nasdaq.com/api/analyst/SPXC/earnings-forecast</t>
  </si>
  <si>
    <t xml:space="preserve">S.36</t>
  </si>
  <si>
    <t xml:space="preserve">Nasdaq.com analyst earnings forecast, Zacks consensus EPS by fiscal year: CSW (snapshot data/estimates/CSW.json, retrieved 2026-10-26)</t>
  </si>
  <si>
    <t xml:space="preserve">https://api.nasdaq.com/api/analyst/CSW/earnings-forecast</t>
  </si>
  <si>
    <t xml:space="preserve">S.37</t>
  </si>
  <si>
    <t xml:space="preserve">Nasdaq.com analyst earnings forecast, Zacks consensus EPS by fiscal year: ETN (snapshot data/estimates/ETN.json, retrieved 2026-10-26)</t>
  </si>
  <si>
    <t xml:space="preserve">https://api.nasdaq.com/api/analyst/ETN/earnings-forecast</t>
  </si>
  <si>
    <t xml:space="preserve">S.38</t>
  </si>
  <si>
    <t xml:space="preserve">Nasdaq.com earnings surprise (Zacks reported quarterly EPS): VRT; latest quarter equals the company adjusted EPS</t>
  </si>
  <si>
    <t xml:space="preserve">https://api.nasdaq.com/api/company/VRT/earnings-surprise</t>
  </si>
  <si>
    <t xml:space="preserve">S.39</t>
  </si>
  <si>
    <t xml:space="preserve">Nasdaq.com earnings surprise (Zacks reported quarterly EPS): NVT; latest quarter equals the company adjusted EPS</t>
  </si>
  <si>
    <t xml:space="preserve">https://api.nasdaq.com/api/company/NVT/earnings-surprise</t>
  </si>
  <si>
    <t xml:space="preserve">S.40</t>
  </si>
  <si>
    <t xml:space="preserve">Nasdaq.com earnings surprise (Zacks reported quarterly EPS): AAON; latest quarter equals the company adjusted EPS</t>
  </si>
  <si>
    <t xml:space="preserve">https://api.nasdaq.com/api/company/AAON/earnings-surprise</t>
  </si>
  <si>
    <t xml:space="preserve">S.41</t>
  </si>
  <si>
    <t xml:space="preserve">Nasdaq.com earnings surprise (Zacks reported quarterly EPS): TT; latest quarter equals the company adjusted EPS</t>
  </si>
  <si>
    <t xml:space="preserve">https://api.nasdaq.com/api/company/TT/earnings-surprise</t>
  </si>
  <si>
    <t xml:space="preserve">S.42</t>
  </si>
  <si>
    <t xml:space="preserve">Nasdaq.com earnings surprise (Zacks reported quarterly EPS): JCI; latest quarter equals the company adjusted EPS</t>
  </si>
  <si>
    <t xml:space="preserve">https://api.nasdaq.com/api/company/JCI/earnings-surprise</t>
  </si>
  <si>
    <t xml:space="preserve">S.43</t>
  </si>
  <si>
    <t xml:space="preserve">Nasdaq.com earnings surprise (Zacks reported quarterly EPS): CARR; latest quarter equals the company adjusted EPS</t>
  </si>
  <si>
    <t xml:space="preserve">https://api.nasdaq.com/api/company/CARR/earnings-surprise</t>
  </si>
  <si>
    <t xml:space="preserve">S.44</t>
  </si>
  <si>
    <t xml:space="preserve">Nasdaq.com earnings surprise (Zacks reported quarterly EPS): SPXC; latest quarter equals the company adjusted EPS</t>
  </si>
  <si>
    <t xml:space="preserve">https://api.nasdaq.com/api/company/SPXC/earnings-surprise</t>
  </si>
  <si>
    <t xml:space="preserve">S.45</t>
  </si>
  <si>
    <t xml:space="preserve">Nasdaq.com earnings surprise (Zacks reported quarterly EPS): CSW; latest quarter equals the company adjusted EPS</t>
  </si>
  <si>
    <t xml:space="preserve">https://api.nasdaq.com/api/company/CSW/earnings-surprise</t>
  </si>
  <si>
    <t xml:space="preserve">S.46</t>
  </si>
  <si>
    <t xml:space="preserve">Nasdaq.com earnings surprise (Zacks reported quarterly EPS): ETN; latest quarter equals the company adjusted EPS</t>
  </si>
  <si>
    <t xml:space="preserve">https://api.nasdaq.com/api/company/ETN/earnings-surprise</t>
  </si>
  <si>
    <t xml:space="preserve">S.47</t>
  </si>
  <si>
    <t xml:space="preserve">VRT latest earnings release (8-K Ex.99.1, 2026): adjusted EPS reconciliation (what it excludes; stock comp not added back)</t>
  </si>
  <si>
    <t xml:space="preserve">2026-07-31</t>
  </si>
  <si>
    <t xml:space="preserve">https://www.sec.gov/Archives/edgar/data/1674101/000162828026050323/q22026exhibit991vrt07292026.htm</t>
  </si>
  <si>
    <t xml:space="preserve">S.48</t>
  </si>
  <si>
    <t xml:space="preserve">NVT latest earnings release (8-K Ex.99.1, 2026): adjusted EPS reconciliation (what it excludes; stock comp not added back)</t>
  </si>
  <si>
    <t xml:space="preserve">https://www.sec.gov/Archives/edgar/data/1720635/000162828026051203/q22026nvtpressrelease.htm</t>
  </si>
  <si>
    <t xml:space="preserve">S.49</t>
  </si>
  <si>
    <t xml:space="preserve">AAON latest earnings release (8-K Ex.99.1, 2026): adjusted EPS reconciliation (what it excludes; stock comp not added back)</t>
  </si>
  <si>
    <t xml:space="preserve">https://www.sec.gov/Archives/edgar/data/824142/000082414226000052/liveaaonpressreleaseexs.htm</t>
  </si>
  <si>
    <t xml:space="preserve">S.50</t>
  </si>
  <si>
    <t xml:space="preserve">TT latest earnings release (8-K Ex.99.1, 2026): adjusted EPS reconciliation (what it excludes; stock comp not added back)</t>
  </si>
  <si>
    <t xml:space="preserve">https://www.sec.gov/Archives/edgar/data/1466258/000162828026050743/exhibit991-q22026earningsr.htm</t>
  </si>
  <si>
    <t xml:space="preserve">S.51</t>
  </si>
  <si>
    <t xml:space="preserve">JCI latest earnings release (8-K Ex.99.1, 2026): adjusted EPS reconciliation (what it excludes; stock comp not added back)</t>
  </si>
  <si>
    <t xml:space="preserve">https://www.sec.gov/Archives/edgar/data/833444/000083344426000083/q3ex991xq3fy26earningsrele.htm</t>
  </si>
  <si>
    <t xml:space="preserve">S.52</t>
  </si>
  <si>
    <t xml:space="preserve">CARR latest earnings release (8-K Ex.99.1, 2026): adjusted EPS reconciliation (what it excludes; stock comp not added back)</t>
  </si>
  <si>
    <t xml:space="preserve">https://www.sec.gov/Archives/edgar/data/1783180/000178318026000030/a99-q22026earningsexhibit.htm</t>
  </si>
  <si>
    <t xml:space="preserve">S.53</t>
  </si>
  <si>
    <t xml:space="preserve">SPXC latest earnings release (8-K Ex.99.1, 2026): adjusted EPS reconciliation (what it excludes; stock comp not added back)</t>
  </si>
  <si>
    <t xml:space="preserve">https://www.sec.gov/Archives/edgar/data/88205/000008820526000052/q22026pressrelease.htm</t>
  </si>
  <si>
    <t xml:space="preserve">S.54</t>
  </si>
  <si>
    <t xml:space="preserve">CSW latest earnings release (8-K Ex.99.1, 2026): adjusted EPS reconciliation (what it excludes; stock comp not added back)</t>
  </si>
  <si>
    <t xml:space="preserve">https://www.sec.gov/Archives/edgar/data/1624794/000162479426000048/er_q12027.htm</t>
  </si>
  <si>
    <t xml:space="preserve">S.55</t>
  </si>
  <si>
    <t xml:space="preserve">ETN latest earnings release (8-K Ex.99.1, 2026): adjusted EPS reconciliation (what it excludes; stock comp not added back)</t>
  </si>
  <si>
    <t xml:space="preserve">https://www.sec.gov/Archives/edgar/data/1551182/000155118226000027/etn06302026exhibit99.htm</t>
  </si>
  <si>
    <t xml:space="preserve">S.56</t>
  </si>
  <si>
    <t xml:space="preserve">MarketScreener finances page VRT: consensus EBITDA by year, net debt, share count, last close 2026-10-23</t>
  </si>
  <si>
    <t xml:space="preserve">https://www.marketscreener.com/quote/stock/VERTIV-HOLDINGS-CO-45109447/finances/</t>
  </si>
  <si>
    <t xml:space="preserve">S.57</t>
  </si>
  <si>
    <t xml:space="preserve">MarketScreener finances page NVT: consensus EBITDA by year, net debt, share count, last close 2026-10-23</t>
  </si>
  <si>
    <t xml:space="preserve">https://www.marketscreener.com/quote/stock/NVENT-ELECTRIC-PLC-42779053/finances/</t>
  </si>
  <si>
    <t xml:space="preserve">S.58</t>
  </si>
  <si>
    <t xml:space="preserve">MarketScreener finances page AAON: consensus EBITDA by year, net debt, share count, last close 2026-10-23</t>
  </si>
  <si>
    <t xml:space="preserve">https://www.marketscreener.com/quote/stock/AAON-INC-8199/finances/</t>
  </si>
  <si>
    <t xml:space="preserve">S.59</t>
  </si>
  <si>
    <t xml:space="preserve">MarketScreener finances page TT: consensus EBITDA by year, net debt, share count, last close 2026-10-23</t>
  </si>
  <si>
    <t xml:space="preserve">https://www.marketscreener.com/quote/stock/TRANE-TECHNOLOGIES-PLC-13109/finances/</t>
  </si>
  <si>
    <t xml:space="preserve">S.60</t>
  </si>
  <si>
    <t xml:space="preserve">MarketScreener finances page JCI: consensus EBITDA by year, net debt, share count, last close 2026-10-23</t>
  </si>
  <si>
    <t xml:space="preserve">https://www.marketscreener.com/quote/stock/JOHNSON-CONTROLS-INTERNAT-31222816/finances/</t>
  </si>
  <si>
    <t xml:space="preserve">S.61</t>
  </si>
  <si>
    <t xml:space="preserve">MarketScreener finances page CARR: consensus EBITDA by year, net debt, share count, last close 2026-10-23</t>
  </si>
  <si>
    <t xml:space="preserve">https://www.marketscreener.com/quote/stock/CARRIER-GLOBAL-CORPORATIO-105026688/finances/</t>
  </si>
  <si>
    <t xml:space="preserve">S.62</t>
  </si>
  <si>
    <t xml:space="preserve">MarketScreener finances page SPXC: consensus EBITDA by year, net debt, share count, last close 2026-10-23</t>
  </si>
  <si>
    <t xml:space="preserve">https://www.marketscreener.com/quote/stock/SPX-TECHNOLOGIES-INC-14462/finances/</t>
  </si>
  <si>
    <t xml:space="preserve">S.63</t>
  </si>
  <si>
    <t xml:space="preserve">MarketScreener finances page CSW: consensus EBITDA by year, net debt, share count, last close 2026-10-23</t>
  </si>
  <si>
    <t xml:space="preserve">https://www.marketscreener.com/quote/stock/CSW-INDUSTRIALS-INC-23733723/finances/</t>
  </si>
  <si>
    <t xml:space="preserve">S.64</t>
  </si>
  <si>
    <t xml:space="preserve">MarketScreener finances page ETN: consensus EBITDA by year, net debt, share count, last close 2026-10-23</t>
  </si>
  <si>
    <t xml:space="preserve">https://www.marketscreener.com/quote/stock/EATON-CORPORATION-PLC-12029421/finances/</t>
  </si>
  <si>
    <t xml:space="preserve">S.65</t>
  </si>
  <si>
    <t xml:space="preserve">MarketScreener finances page MTRS.ST: consensus EBITDA by year, net debt, share count, last close 2026-10-23</t>
  </si>
  <si>
    <t xml:space="preserve">https://www.marketscreener.com/quote/stock/MUNTERS-GROUP-AB-34973373/finances/</t>
  </si>
  <si>
    <t xml:space="preserve">S.66</t>
  </si>
  <si>
    <t xml:space="preserve">MarketScreener finances page ALFA.ST: consensus EBITDA by year, net debt, share count, last close 2026-10-23</t>
  </si>
  <si>
    <t xml:space="preserve">https://www.marketscreener.com/quote/stock/ALFA-LAVAL-AB-6494532/finances/</t>
  </si>
  <si>
    <t xml:space="preserve">S.67</t>
  </si>
  <si>
    <t xml:space="preserve">MarketScreener finances page 6367.T: consensus EBITDA by year, net debt, share count, last close 2026-10-23</t>
  </si>
  <si>
    <t xml:space="preserve">https://www.marketscreener.com/quote/stock/DAIKIN-INDUSTRIES-LTD-6491221/finances/</t>
  </si>
  <si>
    <t xml:space="preserve">S.68</t>
  </si>
  <si>
    <t xml:space="preserve">MarketScreener, Munters Group valuation (EV 2026 SEK 30,155M = cap 23,995M at 131.45 SEK + net debt 6,160M)</t>
  </si>
  <si>
    <t xml:space="preserve">https://www.marketscreener.com/quote/stock/MUNTERS-GROUP-AB-34973373/valuation/</t>
  </si>
  <si>
    <t xml:space="preserve">S.69</t>
  </si>
  <si>
    <t xml:space="preserve">CSW Industrials: Nasdaq-to-NYSE listing transfer, ticker CSWI -&gt; CSW (trading from 2025-06-09)</t>
  </si>
  <si>
    <t xml:space="preserve">2025-04-30</t>
  </si>
  <si>
    <t xml:space="preserve">https://seekingalpha.com/pr/20082498-csw-industrials-announces-transfer-of-listing-of-common-stock-to-the-new-york-stock-exchange</t>
  </si>
  <si>
    <t xml:space="preserve">S.70</t>
  </si>
  <si>
    <t xml:space="preserve">Alfa Laval Q4 and full year 2025 report: EPS 2025 SEK 20.01 (reported); Note 8 net debt incl. lease liabilities 13,179 = 9,384 excl. leases + lease liabilities 3,795; amortization of lease liabilities 2025 SEK -503M</t>
  </si>
  <si>
    <t xml:space="preserve">2026-02-03</t>
  </si>
  <si>
    <t xml:space="preserve">https://www.alfalaval.com/contentassets/7be9ef28760e461c918b66445b4b65eb/wkr0006.pdf</t>
  </si>
  <si>
    <t xml:space="preserve">S.71</t>
  </si>
  <si>
    <t xml:space="preserve">StockAnalysis, Daikin income statement (FY3/26 net income 275,229M JPY, basic EPS 939.92 JPY, JGAAP; amortization of goodwill &amp; intangibles 51,371M JPY)</t>
  </si>
  <si>
    <t xml:space="preserve">https://stockanalysis.com/quote/tyo/6367/financials/income-statement/</t>
  </si>
  <si>
    <t xml:space="preserve">S.72</t>
  </si>
  <si>
    <t xml:space="preserve">Modine 8-K/A Ex.99.1 (filed 2026-10-07): unaudited pro forma condensed combined financial information after the PT spin; 2026-06-30 pro forma debt 43.4 + 276.0, cash 54.1</t>
  </si>
  <si>
    <t xml:space="preserve">2026-10-07</t>
  </si>
  <si>
    <t xml:space="preserve">https://www.sec.gov/Archives/edgar/data/67347/000110465926114220/mod-ex99d1.htm</t>
  </si>
  <si>
    <t xml:space="preserve">S.73</t>
  </si>
  <si>
    <t xml:space="preserve">MarketScreener finances page MOD: consensus EBITDA FY3/26 471, FY3/27 573.8, FY3/28 839; net debt FY3/27 96; 53,113k shares; close 133.34 on 2026-10-23</t>
  </si>
  <si>
    <t xml:space="preserve">https://www.marketscreener.com/quote/stock/MODINE-MANUFACTURING-COMP-13585/finances/</t>
  </si>
  <si>
    <t xml:space="preserve">S.74</t>
  </si>
  <si>
    <t xml:space="preserve">Nasdaq.com analyst earnings forecast (Zacks consensus EPS) MOD: FY3/27 7.02, FY3/28 9.76</t>
  </si>
  <si>
    <t xml:space="preserve">https://api.nasdaq.com/api/analyst/MOD/earnings-forecast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</si>
</sst>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67347/000110465926112870/tm2626618d1_8k.htm" TargetMode="External"/><Relationship Id="rId2" Type="http://schemas.openxmlformats.org/officeDocument/2006/relationships/hyperlink" Target="https://www.sec.gov/Archives/edgar/data/67347/000110465926108614/tm2625565d1_8k.htm" TargetMode="External"/><Relationship Id="rId3" Type="http://schemas.openxmlformats.org/officeDocument/2006/relationships/hyperlink" Target="https://www.sec.gov/Archives/edgar/data/67347/000110465926088230/mod-20260729xex99d1.htm" TargetMode="External"/><Relationship Id="rId4" Type="http://schemas.openxmlformats.org/officeDocument/2006/relationships/hyperlink" Target="https://www.sec.gov/Archives/edgar/data/67347/000110465926088230/mod-20260729xex99d2.htm" TargetMode="External"/><Relationship Id="rId5" Type="http://schemas.openxmlformats.org/officeDocument/2006/relationships/hyperlink" Target="https://www.sec.gov/Archives/edgar/data/67347/000110465926086644/mod-20260724xex99d1.htm" TargetMode="External"/><Relationship Id="rId6" Type="http://schemas.openxmlformats.org/officeDocument/2006/relationships/hyperlink" Target="https://www.sec.gov/Archives/edgar/data/67347/000110465926066291/mod-20260526xex99d1.htm" TargetMode="External"/><Relationship Id="rId7" Type="http://schemas.openxmlformats.org/officeDocument/2006/relationships/hyperlink" Target="https://www.sec.gov/Archives/edgar/data/67347/000110465926008087/mod-20260129xex99d2.htm" TargetMode="External"/><Relationship Id="rId8" Type="http://schemas.openxmlformats.org/officeDocument/2006/relationships/hyperlink" Target="https://www.sec.gov/Archives/edgar/data/67347/000110465926106727/tm2625001d1_8k.htm" TargetMode="External"/><Relationship Id="rId9" Type="http://schemas.openxmlformats.org/officeDocument/2006/relationships/hyperlink" Target="https://www.sec.gov/Archives/edgar/data/67347/000110465926088569/mod-20260630x10q.htm" TargetMode="External"/><Relationship Id="rId10" Type="http://schemas.openxmlformats.org/officeDocument/2006/relationships/hyperlink" Target="https://www.sec.gov/Archives/edgar/data/0000903129/000119312526410776/d214921dex991.htm" TargetMode="External"/><Relationship Id="rId11" Type="http://schemas.openxmlformats.org/officeDocument/2006/relationships/hyperlink" Target="https://data.sec.gov/submissions/CIK0000067347.json" TargetMode="External"/><Relationship Id="rId12" Type="http://schemas.openxmlformats.org/officeDocument/2006/relationships/hyperlink" Target="https://stockanalysis.com/stocks/mod/statistics/" TargetMode="External"/><Relationship Id="rId13" Type="http://schemas.openxmlformats.org/officeDocument/2006/relationships/hyperlink" Target="https://stockanalysis.com/stocks/vrt/statistics/" TargetMode="External"/><Relationship Id="rId14" Type="http://schemas.openxmlformats.org/officeDocument/2006/relationships/hyperlink" Target="https://twelvedata.com/" TargetMode="External"/><Relationship Id="rId15" Type="http://schemas.openxmlformats.org/officeDocument/2006/relationships/hyperlink" Target="https://stocktaper.com/earningsCallSummary/MOD/2027/Q1" TargetMode="External"/><Relationship Id="rId16" Type="http://schemas.openxmlformats.org/officeDocument/2006/relationships/hyperlink" Target="https://www.zacks.com/stock/news/2966329/mod-q1-earnings-top-estimates-on-data-center-growth-sales-miss" TargetMode="External"/><Relationship Id="rId17" Type="http://schemas.openxmlformats.org/officeDocument/2006/relationships/hyperlink" Target="https://nextearningsdate.com/modine-manufacturing.html" TargetMode="External"/><Relationship Id="rId18" Type="http://schemas.openxmlformats.org/officeDocument/2006/relationships/hyperlink" Target="https://stockanalysis.com/stocks/aaon/forecast/" TargetMode="External"/><Relationship Id="rId19" Type="http://schemas.openxmlformats.org/officeDocument/2006/relationships/hyperlink" Target="https://www.sec.gov/Archives/edgar/data/67347/000110465926066795/mod-20260331x10k.htm" TargetMode="External"/><Relationship Id="rId20" Type="http://schemas.openxmlformats.org/officeDocument/2006/relationships/hyperlink" Target="https://finviz.com/news/391412/modine-to-host-analyst-and-investor-day-on-november-18-2026" TargetMode="External"/><Relationship Id="rId21" Type="http://schemas.openxmlformats.org/officeDocument/2006/relationships/hyperlink" Target="https://investors.modine.com/news/news-details/2025/Modine-to-Host-Second-Quarter-Fiscal-2026-Earnings-Conference-Call-on-October-29-2025/default.aspx" TargetMode="External"/><Relationship Id="rId22" Type="http://schemas.openxmlformats.org/officeDocument/2006/relationships/hyperlink" Target="https://www.sec.gov/Archives/edgar/data/67347/000110465926113588/xslF345X06/tm2626713-4_4seq1.xml" TargetMode="External"/><Relationship Id="rId23" Type="http://schemas.openxmlformats.org/officeDocument/2006/relationships/hyperlink" Target="https://data.sec.gov/api/xbrl/companyfacts/CIK0001674101.json" TargetMode="External"/><Relationship Id="rId24" Type="http://schemas.openxmlformats.org/officeDocument/2006/relationships/hyperlink" Target="https://data.sec.gov/api/xbrl/companyfacts/CIK0001720635.json" TargetMode="External"/><Relationship Id="rId25" Type="http://schemas.openxmlformats.org/officeDocument/2006/relationships/hyperlink" Target="https://data.sec.gov/api/xbrl/companyfacts/CIK0000824142.json" TargetMode="External"/><Relationship Id="rId26" Type="http://schemas.openxmlformats.org/officeDocument/2006/relationships/hyperlink" Target="https://data.sec.gov/api/xbrl/companyfacts/CIK0001466258.json" TargetMode="External"/><Relationship Id="rId27" Type="http://schemas.openxmlformats.org/officeDocument/2006/relationships/hyperlink" Target="https://www.sec.gov/Archives/edgar/data/833444/000083344426000087/jci-20260630.htm" TargetMode="External"/><Relationship Id="rId28" Type="http://schemas.openxmlformats.org/officeDocument/2006/relationships/hyperlink" Target="https://www.sec.gov/Archives/edgar/data/1783180/000178318026000032/carr-20260630.htm" TargetMode="External"/><Relationship Id="rId29" Type="http://schemas.openxmlformats.org/officeDocument/2006/relationships/hyperlink" Target="https://www.sec.gov/Archives/edgar/data/1069202/000106920226000087/lii-20260630.htm" TargetMode="External"/><Relationship Id="rId30" Type="http://schemas.openxmlformats.org/officeDocument/2006/relationships/hyperlink" Target="https://data.sec.gov/api/xbrl/companyfacts/CIK0000088205.json" TargetMode="External"/><Relationship Id="rId31" Type="http://schemas.openxmlformats.org/officeDocument/2006/relationships/hyperlink" Target="https://data.sec.gov/api/xbrl/companyfacts/CIK0001624794.json" TargetMode="External"/><Relationship Id="rId32" Type="http://schemas.openxmlformats.org/officeDocument/2006/relationships/hyperlink" Target="https://data.sec.gov/api/xbrl/companyfacts/CIK0001551182.json" TargetMode="External"/><Relationship Id="rId33" Type="http://schemas.openxmlformats.org/officeDocument/2006/relationships/hyperlink" Target="https://data.sec.gov/api/xbrl/companyfacts/CIK0001035983.json" TargetMode="External"/><Relationship Id="rId34" Type="http://schemas.openxmlformats.org/officeDocument/2006/relationships/hyperlink" Target="https://twelvedata.com/" TargetMode="External"/><Relationship Id="rId35" Type="http://schemas.openxmlformats.org/officeDocument/2006/relationships/hyperlink" Target="https://stockanalysis.com/stocks/vrt/forecast/" TargetMode="External"/><Relationship Id="rId36" Type="http://schemas.openxmlformats.org/officeDocument/2006/relationships/hyperlink" Target="https://data.sec.gov/api/xbrl/companyfacts/CIK0000833444.json" TargetMode="External"/><Relationship Id="rId37" Type="http://schemas.openxmlformats.org/officeDocument/2006/relationships/hyperlink" Target="https://s205.q4cdn.com/270741342/files/doc_financials/2027/q1/Modine_-Transcript-Q1-FY27.pdf" TargetMode="External"/><Relationship Id="rId38" Type="http://schemas.openxmlformats.org/officeDocument/2006/relationships/hyperlink" Target="https://www.placera.se/pressmeddelanden/modine-manufacturing-modine-reports-first-quarter-fiscal-2027-results-20260729" TargetMode="External"/><Relationship Id="rId39" Type="http://schemas.openxmlformats.org/officeDocument/2006/relationships/hyperlink" Target="https://www.sec.gov/Archives/edgar/data/0000067347/000110465926088230/mod-20260729xex99d1.htm" TargetMode="External"/><Relationship Id="rId40" Type="http://schemas.openxmlformats.org/officeDocument/2006/relationships/hyperlink" Target="https://www.sec.gov/Archives/edgar/data/0000067347/000110465926086644/mod-20260724xex99d1.htm" TargetMode="External"/><Relationship Id="rId41" Type="http://schemas.openxmlformats.org/officeDocument/2006/relationships/hyperlink" Target="https://www.sec.gov/Archives/edgar/data/0000067347/000110465926066291/mod-20260526xex99d1.htm" TargetMode="External"/><Relationship Id="rId42" Type="http://schemas.openxmlformats.org/officeDocument/2006/relationships/hyperlink" Target="https://www.sec.gov/Archives/edgar/data/0000067347/000110465926112870/tm2626618d1_8k.htm" TargetMode="External"/><Relationship Id="rId43" Type="http://schemas.openxmlformats.org/officeDocument/2006/relationships/hyperlink" Target="https://www.sec.gov/Archives/edgar/data/0000903129/000119312526410776/d214921dex991.htm" TargetMode="External"/><Relationship Id="rId44" Type="http://schemas.openxmlformats.org/officeDocument/2006/relationships/hyperlink" Target="https://twelvedata.com/" TargetMode="External"/><Relationship Id="rId45" Type="http://schemas.openxmlformats.org/officeDocument/2006/relationships/hyperlink" Target="https://twelvedata.com/" TargetMode="External"/><Relationship Id="rId46" Type="http://schemas.openxmlformats.org/officeDocument/2006/relationships/hyperlink" Target="https://stockanalysis.com/stocks/mod/statistics/" TargetMode="External"/><Relationship Id="rId47" Type="http://schemas.openxmlformats.org/officeDocument/2006/relationships/hyperlink" Target="https://stockanalysis.com/stocks/vrt/statistics/" TargetMode="External"/><Relationship Id="rId48" Type="http://schemas.openxmlformats.org/officeDocument/2006/relationships/hyperlink" Target="https://stockanalysis.com/stocks/tt/statistics/" TargetMode="External"/><Relationship Id="rId49" Type="http://schemas.openxmlformats.org/officeDocument/2006/relationships/hyperlink" Target="https://stockanalysis.com/stocks/jci/statistics/" TargetMode="External"/><Relationship Id="rId50" Type="http://schemas.openxmlformats.org/officeDocument/2006/relationships/hyperlink" Target="https://stockanalysis.com/stocks/carr/statistics/" TargetMode="External"/><Relationship Id="rId51" Type="http://schemas.openxmlformats.org/officeDocument/2006/relationships/hyperlink" Target="https://stockanalysis.com/stocks/lii/statistics/" TargetMode="External"/><Relationship Id="rId52" Type="http://schemas.openxmlformats.org/officeDocument/2006/relationships/hyperlink" Target="https://stockanalysis.com/stocks/aaon/statistics/" TargetMode="External"/><Relationship Id="rId53" Type="http://schemas.openxmlformats.org/officeDocument/2006/relationships/hyperlink" Target="https://stockanalysis.com/stocks/nvt/statistics/" TargetMode="External"/><Relationship Id="rId54" Type="http://schemas.openxmlformats.org/officeDocument/2006/relationships/hyperlink" Target="https://stockanalysis.com/stocks/spxc/statistics/" TargetMode="External"/><Relationship Id="rId55" Type="http://schemas.openxmlformats.org/officeDocument/2006/relationships/hyperlink" Target="https://stockanalysis.com/stocks/fix/statistics/" TargetMode="External"/><Relationship Id="rId56" Type="http://schemas.openxmlformats.org/officeDocument/2006/relationships/hyperlink" Target="https://stockanalysis.com/stocks/etn/statistics/" TargetMode="External"/><Relationship Id="rId57" Type="http://schemas.openxmlformats.org/officeDocument/2006/relationships/hyperlink" Target="https://stockanalysis.com/quote/tyo/6367/statistics/" TargetMode="External"/><Relationship Id="rId58" Type="http://schemas.openxmlformats.org/officeDocument/2006/relationships/hyperlink" Target="https://stockanalysis.com/quote/sto/MTRS/statistics/" TargetMode="External"/><Relationship Id="rId59" Type="http://schemas.openxmlformats.org/officeDocument/2006/relationships/hyperlink" Target="https://www.achrnews.com/articles/165683-nvidias-vera-rubin-has-chilling-effect-on-hvac-industry" TargetMode="External"/><Relationship Id="rId60" Type="http://schemas.openxmlformats.org/officeDocument/2006/relationships/hyperlink" Target="https://www.datacenterdynamics.com/en/news/vera-rubin-hot-water-cooling-reveal-triggers-hvac-share-drop" TargetMode="External"/><Relationship Id="rId61" Type="http://schemas.openxmlformats.org/officeDocument/2006/relationships/hyperlink" Target="https://www.fool.com/earnings/call-transcripts/2026/07/30/trane-technologies-tt-q2-2026-earnings-call-transcript/" TargetMode="External"/><Relationship Id="rId62" Type="http://schemas.openxmlformats.org/officeDocument/2006/relationships/hyperlink" Target="https://www.sec.gov/Archives/edgar/data/0000833444/000083344426000083/q3ex991xq3fy26earningsrele.htm" TargetMode="External"/><Relationship Id="rId63" Type="http://schemas.openxmlformats.org/officeDocument/2006/relationships/hyperlink" Target="https://www.sec.gov/Archives/edgar/data/0001783180/000178318026000030/a99-q22026earningsexhibit.htm" TargetMode="External"/><Relationship Id="rId64" Type="http://schemas.openxmlformats.org/officeDocument/2006/relationships/hyperlink" Target="https://quartr.com/events/munters-group-mtrs-q2-2026_3eIRXxU4" TargetMode="External"/><Relationship Id="rId65" Type="http://schemas.openxmlformats.org/officeDocument/2006/relationships/hyperlink" Target="https://www.nasdaq.com/articles/vertivs-15-billion-backlog-loudest-ai-signal-2026" TargetMode="External"/><Relationship Id="rId66" Type="http://schemas.openxmlformats.org/officeDocument/2006/relationships/hyperlink" Target="https://www.cbre.com/press-releases/north-american-data-center-demand-continues-to-outpace-supply-despite-record-construction" TargetMode="External"/><Relationship Id="rId67" Type="http://schemas.openxmlformats.org/officeDocument/2006/relationships/hyperlink" Target="https://www.credaily.com/briefs/data-center-demand-doubles-as-frontier-markets-surge/" TargetMode="External"/><Relationship Id="rId68" Type="http://schemas.openxmlformats.org/officeDocument/2006/relationships/hyperlink" Target="https://medium.com/@Elongated_musk/the-hvac-shock-no-one-priced-in-no-chillers-doesn-t-mean-no-cooling-53eec1f0da75" TargetMode="External"/><Relationship Id="rId69" Type="http://schemas.openxmlformats.org/officeDocument/2006/relationships/hyperlink" Target="https://www.placera.se/pressmeddelanden/modine-manufacturing-modine-to-become-modexus-solutions-marking-next-chapter-as-diversified-thermal-management-solutions-company-20260910" TargetMode="External"/><Relationship Id="rId70" Type="http://schemas.openxmlformats.org/officeDocument/2006/relationships/hyperlink" Target="https://nextearningsdate.com/modine-manufacturing.html" TargetMode="External"/><Relationship Id="rId71" Type="http://schemas.openxmlformats.org/officeDocument/2006/relationships/hyperlink" Target="https://www.sec.gov/Archives/edgar/data/67347/000110465926088230/mod-20260729xex99d2.htm" TargetMode="External"/><Relationship Id="rId72" Type="http://schemas.openxmlformats.org/officeDocument/2006/relationships/hyperlink" Target="https://www.sec.gov/Archives/edgar/data/67347/000110465926066795/mod-20260331x10k.htm" TargetMode="External"/><Relationship Id="rId73" Type="http://schemas.openxmlformats.org/officeDocument/2006/relationships/hyperlink" Target="https://finviz.com/news/391412/modine-to-host-analyst-and-investor-day-on-november-18-2026" TargetMode="External"/><Relationship Id="rId74" Type="http://schemas.openxmlformats.org/officeDocument/2006/relationships/hyperlink" Target="https://data.sec.gov/submissions/CIK0000067347.json" TargetMode="External"/><Relationship Id="rId75" Type="http://schemas.openxmlformats.org/officeDocument/2006/relationships/hyperlink" Target="https://www.coolingpost.com/world-news/munters-lands-e195m-data-centre-cooling-orders/" TargetMode="External"/><Relationship Id="rId76" Type="http://schemas.openxmlformats.org/officeDocument/2006/relationships/hyperlink" Target="https://businesswire.com/news/home/20260123068139/en/DCX-Liquid-Cooling-Systems-Announces-New-8MW-Coolant-Distribution-Unit-Optimized-for-45C-Warm-Water-Cooling-in-Next-Gen-NVIDIA-Vera-Rubin-AI-Deployments" TargetMode="External"/><Relationship Id="rId77" Type="http://schemas.openxmlformats.org/officeDocument/2006/relationships/hyperlink" Target="https://finance.yahoo.com/news/da-davidson-raises-modine-manufacturing-115506026.html" TargetMode="External"/><Relationship Id="rId78" Type="http://schemas.openxmlformats.org/officeDocument/2006/relationships/hyperlink" Target="https://www.sec.gov/Archives/edgar/data/67347/000110465926113588/xslF345X06/tm2626713-4_4seq1.xml" TargetMode="External"/><Relationship Id="rId79" Type="http://schemas.openxmlformats.org/officeDocument/2006/relationships/hyperlink" Target="https://data.sec.gov/api/xbrl/companyfacts/CIK0001674101.json" TargetMode="External"/><Relationship Id="rId80" Type="http://schemas.openxmlformats.org/officeDocument/2006/relationships/hyperlink" Target="https://data.sec.gov/api/xbrl/companyfacts/CIK0001720635.json" TargetMode="External"/><Relationship Id="rId81" Type="http://schemas.openxmlformats.org/officeDocument/2006/relationships/hyperlink" Target="https://data.sec.gov/api/xbrl/companyfacts/CIK0000824142.json" TargetMode="External"/><Relationship Id="rId82" Type="http://schemas.openxmlformats.org/officeDocument/2006/relationships/hyperlink" Target="https://data.sec.gov/api/xbrl/companyfacts/CIK0001466258.json" TargetMode="External"/><Relationship Id="rId83" Type="http://schemas.openxmlformats.org/officeDocument/2006/relationships/hyperlink" Target="https://www.sec.gov/Archives/edgar/data/833444/000083344426000087/jci-20260630.htm" TargetMode="External"/><Relationship Id="rId84" Type="http://schemas.openxmlformats.org/officeDocument/2006/relationships/hyperlink" Target="https://www.sec.gov/Archives/edgar/data/1783180/000178318026000032/carr-20260630.htm" TargetMode="External"/><Relationship Id="rId85" Type="http://schemas.openxmlformats.org/officeDocument/2006/relationships/hyperlink" Target="https://www.sec.gov/Archives/edgar/data/1069202/000106920226000087/lii-20260630.htm" TargetMode="External"/><Relationship Id="rId86" Type="http://schemas.openxmlformats.org/officeDocument/2006/relationships/hyperlink" Target="https://data.sec.gov/api/xbrl/companyfacts/CIK0000088205.json" TargetMode="External"/><Relationship Id="rId87" Type="http://schemas.openxmlformats.org/officeDocument/2006/relationships/hyperlink" Target="https://data.sec.gov/api/xbrl/companyfacts/CIK0001624794.json" TargetMode="External"/><Relationship Id="rId88" Type="http://schemas.openxmlformats.org/officeDocument/2006/relationships/hyperlink" Target="https://data.sec.gov/api/xbrl/companyfacts/CIK0001551182.json" TargetMode="External"/><Relationship Id="rId89" Type="http://schemas.openxmlformats.org/officeDocument/2006/relationships/hyperlink" Target="https://data.sec.gov/api/xbrl/companyfacts/CIK0001035983.json" TargetMode="External"/><Relationship Id="rId90" Type="http://schemas.openxmlformats.org/officeDocument/2006/relationships/hyperlink" Target="https://twelvedata.com/" TargetMode="External"/><Relationship Id="rId91" Type="http://schemas.openxmlformats.org/officeDocument/2006/relationships/hyperlink" Target="https://stockanalysis.com/stocks/vrt/forecast/" TargetMode="External"/><Relationship Id="rId92" Type="http://schemas.openxmlformats.org/officeDocument/2006/relationships/hyperlink" Target="https://data.sec.gov/api/xbrl/companyfacts/CIK0000833444.json" TargetMode="External"/><Relationship Id="rId93" Type="http://schemas.openxmlformats.org/officeDocument/2006/relationships/hyperlink" Target="https://www.sec.gov/Archives/edgar/data/67347/000110465926112870/tm2626618d1_8k.htm" TargetMode="External"/><Relationship Id="rId94" Type="http://schemas.openxmlformats.org/officeDocument/2006/relationships/hyperlink" Target="https://www.sec.gov/Archives/edgar/data/67347/000110465926108614/tm2625565d1_8k.htm" TargetMode="External"/><Relationship Id="rId95" Type="http://schemas.openxmlformats.org/officeDocument/2006/relationships/hyperlink" Target="https://www.sec.gov/Archives/edgar/data/67347/000110465926088230/mod-20260729xex99d1.htm" TargetMode="External"/><Relationship Id="rId96" Type="http://schemas.openxmlformats.org/officeDocument/2006/relationships/hyperlink" Target="https://www.sec.gov/Archives/edgar/data/67347/000110465926088230/mod-20260729xex99d2.htm" TargetMode="External"/><Relationship Id="rId97" Type="http://schemas.openxmlformats.org/officeDocument/2006/relationships/hyperlink" Target="https://www.sec.gov/Archives/edgar/data/67347/000110465926086644/mod-20260724xex99d1.htm" TargetMode="External"/><Relationship Id="rId98" Type="http://schemas.openxmlformats.org/officeDocument/2006/relationships/hyperlink" Target="https://www.sec.gov/Archives/edgar/data/67347/000110465926113588/xslF345X06/tm2626713-4_4seq1.xml" TargetMode="External"/><Relationship Id="rId99" Type="http://schemas.openxmlformats.org/officeDocument/2006/relationships/hyperlink" Target="https://www.sec.gov/Archives/edgar/data/67347/000195004726009278/xsl144X01/primary_doc.xml" TargetMode="External"/><Relationship Id="rId100" Type="http://schemas.openxmlformats.org/officeDocument/2006/relationships/hyperlink" Target="https://www.sec.gov/Archives/edgar/data/67347/000195004726006329/xsl144X01/primary_doc.xml" TargetMode="External"/><Relationship Id="rId101" Type="http://schemas.openxmlformats.org/officeDocument/2006/relationships/hyperlink" Target="https://hntrbrk.com/investigations/modine" TargetMode="External"/><Relationship Id="rId102" Type="http://schemas.openxmlformats.org/officeDocument/2006/relationships/hyperlink" Target="https://newsletter.hntrbrk.com/p/breaking-modines-anchor-multi-billion" TargetMode="External"/><Relationship Id="rId103" Type="http://schemas.openxmlformats.org/officeDocument/2006/relationships/hyperlink" Target="https://www.quiverquant.com/news/Modine+Manufacturing+falls+as+investors+appear+to+revisit+margin+and+execution+concerns" TargetMode="External"/><Relationship Id="rId104" Type="http://schemas.openxmlformats.org/officeDocument/2006/relationships/hyperlink" Target="https://walnutinvest.com/stocks/mod/is-it-a-buy-or-sell" TargetMode="External"/><Relationship Id="rId105" Type="http://schemas.openxmlformats.org/officeDocument/2006/relationships/hyperlink" Target="https://www.nasdaq.com/articles/modine-manufacturing-q4-earnings-call-highlights" TargetMode="External"/><Relationship Id="rId106" Type="http://schemas.openxmlformats.org/officeDocument/2006/relationships/hyperlink" Target="https://stockanalysis.com/stocks/mod/statistics/" TargetMode="External"/><Relationship Id="rId107" Type="http://schemas.openxmlformats.org/officeDocument/2006/relationships/hyperlink" Target="https://stockanalysis.com/stocks/mod/forecast/" TargetMode="External"/><Relationship Id="rId108" Type="http://schemas.openxmlformats.org/officeDocument/2006/relationships/hyperlink" Target="https://stockanalysis.com/stocks/vrt/statistics/" TargetMode="External"/><Relationship Id="rId109" Type="http://schemas.openxmlformats.org/officeDocument/2006/relationships/hyperlink" Target="https://stockanalysis.com/stocks/nvt/statistics/" TargetMode="External"/><Relationship Id="rId110" Type="http://schemas.openxmlformats.org/officeDocument/2006/relationships/hyperlink" Target="https://stockanalysis.com/stocks/aaon/statistics/" TargetMode="External"/><Relationship Id="rId111" Type="http://schemas.openxmlformats.org/officeDocument/2006/relationships/hyperlink" Target="https://stockanalysis.com/stocks/spxc/statistics/" TargetMode="External"/><Relationship Id="rId112" Type="http://schemas.openxmlformats.org/officeDocument/2006/relationships/hyperlink" Target="https://stockanalysis.com/stocks/tt/statistics/" TargetMode="External"/><Relationship Id="rId113" Type="http://schemas.openxmlformats.org/officeDocument/2006/relationships/hyperlink" Target="https://stockanalysis.com/stocks/jci/statistics/" TargetMode="External"/><Relationship Id="rId114" Type="http://schemas.openxmlformats.org/officeDocument/2006/relationships/hyperlink" Target="https://stockanalysis.com/stocks/carr/statistics/" TargetMode="External"/><Relationship Id="rId115" Type="http://schemas.openxmlformats.org/officeDocument/2006/relationships/hyperlink" Target="https://stockanalysis.com/stocks/lii/statistics/" TargetMode="External"/><Relationship Id="rId116" Type="http://schemas.openxmlformats.org/officeDocument/2006/relationships/hyperlink" Target="https://stockanalysis.com/stocks/etn/statistics/" TargetMode="External"/><Relationship Id="rId117" Type="http://schemas.openxmlformats.org/officeDocument/2006/relationships/hyperlink" Target="https://twelvedata.com/" TargetMode="External"/><Relationship Id="rId118" Type="http://schemas.openxmlformats.org/officeDocument/2006/relationships/hyperlink" Target="https://twelvedata.com/" TargetMode="External"/><Relationship Id="rId119" Type="http://schemas.openxmlformats.org/officeDocument/2006/relationships/hyperlink" Target="https://twelvedata.com/" TargetMode="External"/><Relationship Id="rId120" Type="http://schemas.openxmlformats.org/officeDocument/2006/relationships/hyperlink" Target="https://equibles.com/stocks/MOD" TargetMode="External"/><Relationship Id="rId121" Type="http://schemas.openxmlformats.org/officeDocument/2006/relationships/hyperlink" Target="https://www.sec.gov/Archives/edgar/data/0000903129/000119312526346909/d52416d424b3.htm" TargetMode="External"/><Relationship Id="rId122" Type="http://schemas.openxmlformats.org/officeDocument/2006/relationships/hyperlink" Target="https://www.sfnet.com/home/chapters/canada/news-detail/2025/07/16/modine-manufacturing-updates-credit-agreement-with-new-five-year-facilities" TargetMode="External"/><Relationship Id="rId123" Type="http://schemas.openxmlformats.org/officeDocument/2006/relationships/hyperlink" Target="https://simplefunctions.dev/odds/how-high-10-treasury-yield-go.md" TargetMode="External"/><Relationship Id="rId124" Type="http://schemas.openxmlformats.org/officeDocument/2006/relationships/hyperlink" Target="https://stockanalysis.com/stocks/vrt/forecast/" TargetMode="External"/><Relationship Id="rId125" Type="http://schemas.openxmlformats.org/officeDocument/2006/relationships/hyperlink" Target="https://www.sec.gov/Archives/edgar/data/67347/000110465926066795/mod-20260331x10k.htm" TargetMode="External"/><Relationship Id="rId126" Type="http://schemas.openxmlformats.org/officeDocument/2006/relationships/hyperlink" Target="https://www.sec.gov/Archives/edgar/data/67347/000110465926088569/mod-20260630x10q.htm" TargetMode="External"/><Relationship Id="rId127" Type="http://schemas.openxmlformats.org/officeDocument/2006/relationships/hyperlink" Target="https://www.sec.gov/Archives/edgar/data/67347/000172936626000012/xslF345X06/form4-09142026_070914.xml" TargetMode="External"/><Relationship Id="rId128" Type="http://schemas.openxmlformats.org/officeDocument/2006/relationships/hyperlink" Target="https://www.quiverquant.com/news/Why+Modine+Manufacturing+(MOD)+Stock+Is+Down+Today" TargetMode="External"/><Relationship Id="rId129" Type="http://schemas.openxmlformats.org/officeDocument/2006/relationships/hyperlink" Target="https://stockanalysis.com/stocks/cswi/statistics/" TargetMode="External"/><Relationship Id="rId130" Type="http://schemas.openxmlformats.org/officeDocument/2006/relationships/hyperlink" Target="https://data.sec.gov/submissions/CIK0000067347.json" TargetMode="External"/><Relationship Id="rId131" Type="http://schemas.openxmlformats.org/officeDocument/2006/relationships/hyperlink" Target="https://data.sec.gov/api/xbrl/companyfacts/CIK0001674101.json" TargetMode="External"/><Relationship Id="rId132" Type="http://schemas.openxmlformats.org/officeDocument/2006/relationships/hyperlink" Target="https://data.sec.gov/api/xbrl/companyfacts/CIK0001720635.json" TargetMode="External"/><Relationship Id="rId133" Type="http://schemas.openxmlformats.org/officeDocument/2006/relationships/hyperlink" Target="https://data.sec.gov/api/xbrl/companyfacts/CIK0000824142.json" TargetMode="External"/><Relationship Id="rId134" Type="http://schemas.openxmlformats.org/officeDocument/2006/relationships/hyperlink" Target="https://data.sec.gov/api/xbrl/companyfacts/CIK0001466258.json" TargetMode="External"/><Relationship Id="rId135" Type="http://schemas.openxmlformats.org/officeDocument/2006/relationships/hyperlink" Target="https://www.sec.gov/Archives/edgar/data/833444/000083344426000087/jci-20260630.htm" TargetMode="External"/><Relationship Id="rId136" Type="http://schemas.openxmlformats.org/officeDocument/2006/relationships/hyperlink" Target="https://www.sec.gov/Archives/edgar/data/1783180/000178318026000032/carr-20260630.htm" TargetMode="External"/><Relationship Id="rId137" Type="http://schemas.openxmlformats.org/officeDocument/2006/relationships/hyperlink" Target="https://www.sec.gov/Archives/edgar/data/1069202/000106920226000087/lii-20260630.htm" TargetMode="External"/><Relationship Id="rId138" Type="http://schemas.openxmlformats.org/officeDocument/2006/relationships/hyperlink" Target="https://data.sec.gov/api/xbrl/companyfacts/CIK0000088205.json" TargetMode="External"/><Relationship Id="rId139" Type="http://schemas.openxmlformats.org/officeDocument/2006/relationships/hyperlink" Target="https://data.sec.gov/api/xbrl/companyfacts/CIK0001624794.json" TargetMode="External"/><Relationship Id="rId140" Type="http://schemas.openxmlformats.org/officeDocument/2006/relationships/hyperlink" Target="https://data.sec.gov/api/xbrl/companyfacts/CIK0001551182.json" TargetMode="External"/><Relationship Id="rId141" Type="http://schemas.openxmlformats.org/officeDocument/2006/relationships/hyperlink" Target="https://data.sec.gov/api/xbrl/companyfacts/CIK0001035983.json" TargetMode="External"/><Relationship Id="rId142" Type="http://schemas.openxmlformats.org/officeDocument/2006/relationships/hyperlink" Target="https://twelvedata.com/" TargetMode="External"/><Relationship Id="rId143" Type="http://schemas.openxmlformats.org/officeDocument/2006/relationships/hyperlink" Target="https://stockanalysis.com/stocks/vrt/forecast/" TargetMode="External"/><Relationship Id="rId144" Type="http://schemas.openxmlformats.org/officeDocument/2006/relationships/hyperlink" Target="https://data.sec.gov/api/xbrl/companyfacts/CIK0000833444.json" TargetMode="External"/><Relationship Id="rId145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46" Type="http://schemas.openxmlformats.org/officeDocument/2006/relationships/hyperlink" Target="https://www.placera.se/pressmeddelanden/modine-manufacturing-modine-reports-first-quarter-fiscal-2027-results-20260729" TargetMode="External"/><Relationship Id="rId147" Type="http://schemas.openxmlformats.org/officeDocument/2006/relationships/hyperlink" Target="https://www.sec.gov/Archives/edgar/data/0000067347/000110465926066291/mod-20260526xex99d1.htm" TargetMode="External"/><Relationship Id="rId148" Type="http://schemas.openxmlformats.org/officeDocument/2006/relationships/hyperlink" Target="https://www.sec.gov/Archives/edgar/data/67347/000110465926086644/mod-20260724xex99d1.htm" TargetMode="External"/><Relationship Id="rId149" Type="http://schemas.openxmlformats.org/officeDocument/2006/relationships/hyperlink" Target="https://www.sec.gov/Archives/edgar/data/67347/000110465926112870/tm2626618d1_8k.htm" TargetMode="External"/><Relationship Id="rId150" Type="http://schemas.openxmlformats.org/officeDocument/2006/relationships/hyperlink" Target="https://www.sec.gov/Archives/edgar/data/67347/000110465926112870/tm2626618d1_ex99-1.htm" TargetMode="External"/><Relationship Id="rId151" Type="http://schemas.openxmlformats.org/officeDocument/2006/relationships/hyperlink" Target="https://www.sec.gov/Archives/edgar/data/67347/000110465926108614/tm2625565d1_8k.htm" TargetMode="External"/><Relationship Id="rId152" Type="http://schemas.openxmlformats.org/officeDocument/2006/relationships/hyperlink" Target="https://hntrbrk.com/investigations/modine" TargetMode="External"/><Relationship Id="rId153" Type="http://schemas.openxmlformats.org/officeDocument/2006/relationships/hyperlink" Target="https://newsletter.hntrbrk.com/p/breaking-modines-anchor-multi-billion" TargetMode="External"/><Relationship Id="rId154" Type="http://schemas.openxmlformats.org/officeDocument/2006/relationships/hyperlink" Target="https://shareholdersunite.substack.com/p/a-primer-on-modine" TargetMode="External"/><Relationship Id="rId155" Type="http://schemas.openxmlformats.org/officeDocument/2006/relationships/hyperlink" Target="https://www.datacenterdynamics.com/en/product-news/modine-announces-landmark-4-billion-long-term-capacity-agreement-through-2029-with-strategic-data-center-customer-for-airedale-by-modine-cooling-solutions/" TargetMode="External"/><Relationship Id="rId156" Type="http://schemas.openxmlformats.org/officeDocument/2006/relationships/hyperlink" Target="https://letsdatascience.com/news/modine-secures-4b-data-center-cooling-deal-6ff93bf5" TargetMode="External"/><Relationship Id="rId157" Type="http://schemas.openxmlformats.org/officeDocument/2006/relationships/hyperlink" Target="https://www.coolingpost.com/world-news/modine-to-become-modexus-solutions/" TargetMode="External"/><Relationship Id="rId158" Type="http://schemas.openxmlformats.org/officeDocument/2006/relationships/hyperlink" Target="https://refindustry.com/news/market-news/modine-invests-100m-to-expand-u-s-data-center-cooling-production/" TargetMode="External"/><Relationship Id="rId159" Type="http://schemas.openxmlformats.org/officeDocument/2006/relationships/hyperlink" Target="https://www.coolingpost.com/world-news/modine-expands-us-data-centre-chiller-capacity/" TargetMode="External"/><Relationship Id="rId160" Type="http://schemas.openxmlformats.org/officeDocument/2006/relationships/hyperlink" Target="https://refindustry.com/?p=80725" TargetMode="External"/><Relationship Id="rId161" Type="http://schemas.openxmlformats.org/officeDocument/2006/relationships/hyperlink" Target="https://businessfacilities.com/modine-expands-in-mississippi-to-serve-data-center-customers/" TargetMode="External"/><Relationship Id="rId162" Type="http://schemas.openxmlformats.org/officeDocument/2006/relationships/hyperlink" Target="https://stockanalysis.com/stocks/vrt/statistics/" TargetMode="External"/><Relationship Id="rId163" Type="http://schemas.openxmlformats.org/officeDocument/2006/relationships/hyperlink" Target="https://stockanalysis.com/stocks/mod/statistics/" TargetMode="External"/><Relationship Id="rId164" Type="http://schemas.openxmlformats.org/officeDocument/2006/relationships/hyperlink" Target="https://twelvedata.com/" TargetMode="External"/><Relationship Id="rId165" Type="http://schemas.openxmlformats.org/officeDocument/2006/relationships/hyperlink" Target="https://www.nasdaq.com/articles/how-modine-positioning-itself-benefit-ai-push" TargetMode="External"/><Relationship Id="rId166" Type="http://schemas.openxmlformats.org/officeDocument/2006/relationships/hyperlink" Target="https://www.benzinga.com/quote/MOD/price-targets" TargetMode="External"/><Relationship Id="rId167" Type="http://schemas.openxmlformats.org/officeDocument/2006/relationships/hyperlink" Target="https://www.sec.gov/Archives/edgar/data/67347/000110465926088230/mod-20260729xex99d1.htm" TargetMode="External"/><Relationship Id="rId168" Type="http://schemas.openxmlformats.org/officeDocument/2006/relationships/hyperlink" Target="https://www.sec.gov/Archives/edgar/data/67347/000110465926088230/mod-20260729xex99d2.htm" TargetMode="External"/><Relationship Id="rId169" Type="http://schemas.openxmlformats.org/officeDocument/2006/relationships/hyperlink" Target="https://www.sec.gov/Archives/edgar/data/67347/000110465926066795/mod-20260331x10k.htm" TargetMode="External"/><Relationship Id="rId170" Type="http://schemas.openxmlformats.org/officeDocument/2006/relationships/hyperlink" Target="https://finviz.com/news/391412/modine-to-host-analyst-and-investor-day-on-november-18-2026" TargetMode="External"/><Relationship Id="rId171" Type="http://schemas.openxmlformats.org/officeDocument/2006/relationships/hyperlink" Target="https://data.sec.gov/submissions/CIK0000067347.json" TargetMode="External"/><Relationship Id="rId172" Type="http://schemas.openxmlformats.org/officeDocument/2006/relationships/hyperlink" Target="https://weissratings.com/en/instant-news-alerts/modine-manufacturing-company-mod-down-11-5-should-i-let-it-go" TargetMode="External"/><Relationship Id="rId173" Type="http://schemas.openxmlformats.org/officeDocument/2006/relationships/hyperlink" Target="https://investors.modine.com/news/news-details/2025/Growth-in-Data-Center-Business-Drives-Hiring-for-New-Franklin-Facility/default.aspx" TargetMode="External"/><Relationship Id="rId174" Type="http://schemas.openxmlformats.org/officeDocument/2006/relationships/hyperlink" Target="https://www.sec.gov/Archives/edgar/data/903129/000119312526410776/d214921d8k.htm" TargetMode="External"/><Relationship Id="rId175" Type="http://schemas.openxmlformats.org/officeDocument/2006/relationships/hyperlink" Target="https://www.sec.gov/Archives/edgar/data/67347/000110465926113588/xslF345X06/tm2626713-4_4seq1.xml" TargetMode="External"/><Relationship Id="rId176" Type="http://schemas.openxmlformats.org/officeDocument/2006/relationships/hyperlink" Target="https://data.sec.gov/api/xbrl/companyfacts/CIK0001674101.json" TargetMode="External"/><Relationship Id="rId177" Type="http://schemas.openxmlformats.org/officeDocument/2006/relationships/hyperlink" Target="https://data.sec.gov/api/xbrl/companyfacts/CIK0001720635.json" TargetMode="External"/><Relationship Id="rId178" Type="http://schemas.openxmlformats.org/officeDocument/2006/relationships/hyperlink" Target="https://data.sec.gov/api/xbrl/companyfacts/CIK0000824142.json" TargetMode="External"/><Relationship Id="rId179" Type="http://schemas.openxmlformats.org/officeDocument/2006/relationships/hyperlink" Target="https://data.sec.gov/api/xbrl/companyfacts/CIK0001466258.json" TargetMode="External"/><Relationship Id="rId180" Type="http://schemas.openxmlformats.org/officeDocument/2006/relationships/hyperlink" Target="https://www.sec.gov/Archives/edgar/data/833444/000083344426000087/jci-20260630.htm" TargetMode="External"/><Relationship Id="rId181" Type="http://schemas.openxmlformats.org/officeDocument/2006/relationships/hyperlink" Target="https://www.sec.gov/Archives/edgar/data/1783180/000178318026000032/carr-20260630.htm" TargetMode="External"/><Relationship Id="rId182" Type="http://schemas.openxmlformats.org/officeDocument/2006/relationships/hyperlink" Target="https://www.sec.gov/Archives/edgar/data/1069202/000106920226000087/lii-20260630.htm" TargetMode="External"/><Relationship Id="rId183" Type="http://schemas.openxmlformats.org/officeDocument/2006/relationships/hyperlink" Target="https://data.sec.gov/api/xbrl/companyfacts/CIK0000088205.json" TargetMode="External"/><Relationship Id="rId184" Type="http://schemas.openxmlformats.org/officeDocument/2006/relationships/hyperlink" Target="https://data.sec.gov/api/xbrl/companyfacts/CIK0001624794.json" TargetMode="External"/><Relationship Id="rId185" Type="http://schemas.openxmlformats.org/officeDocument/2006/relationships/hyperlink" Target="https://data.sec.gov/api/xbrl/companyfacts/CIK0001551182.json" TargetMode="External"/><Relationship Id="rId186" Type="http://schemas.openxmlformats.org/officeDocument/2006/relationships/hyperlink" Target="https://data.sec.gov/api/xbrl/companyfacts/CIK0001035983.json" TargetMode="External"/><Relationship Id="rId187" Type="http://schemas.openxmlformats.org/officeDocument/2006/relationships/hyperlink" Target="https://twelvedata.com/" TargetMode="External"/><Relationship Id="rId188" Type="http://schemas.openxmlformats.org/officeDocument/2006/relationships/hyperlink" Target="https://stockanalysis.com/stocks/vrt/forecast/" TargetMode="External"/><Relationship Id="rId189" Type="http://schemas.openxmlformats.org/officeDocument/2006/relationships/hyperlink" Target="https://data.sec.gov/api/xbrl/companyfacts/CIK0000833444.json" TargetMode="External"/><Relationship Id="rId190" Type="http://schemas.openxmlformats.org/officeDocument/2006/relationships/hyperlink" Target="https://www.sec.gov/Archives/edgar/data/0000067347/000110465926112870/tm2626618d1_8k.htm" TargetMode="External"/><Relationship Id="rId191" Type="http://schemas.openxmlformats.org/officeDocument/2006/relationships/hyperlink" Target="https://www.sec.gov/Archives/edgar/data/0000067347/000110465926112870/tm2626618d1_ex99-1.htm" TargetMode="External"/><Relationship Id="rId192" Type="http://schemas.openxmlformats.org/officeDocument/2006/relationships/hyperlink" Target="https://www.placera.se/pressmeddelanden/modine-manufacturing-modine-reports-first-quarter-fiscal-2027-results-20260729" TargetMode="External"/><Relationship Id="rId193" Type="http://schemas.openxmlformats.org/officeDocument/2006/relationships/hyperlink" Target="https://www.sec.gov/Archives/edgar/data/0000067347/000110465926066291/mod-20260526xex99d1.htm" TargetMode="External"/><Relationship Id="rId194" Type="http://schemas.openxmlformats.org/officeDocument/2006/relationships/hyperlink" Target="https://www.stocktitan.net/sec-filings/MOD/10-k-modine-manufacturing-co-files-annual-report-34f47e6b948d.html" TargetMode="External"/><Relationship Id="rId195" Type="http://schemas.openxmlformats.org/officeDocument/2006/relationships/hyperlink" Target="https://www.nasdaq.com/articles/modine-manufacturing-q4-earnings-call-highlights" TargetMode="External"/><Relationship Id="rId196" Type="http://schemas.openxmlformats.org/officeDocument/2006/relationships/hyperlink" Target="https://twelvedata.com/" TargetMode="External"/><Relationship Id="rId197" Type="http://schemas.openxmlformats.org/officeDocument/2006/relationships/hyperlink" Target="https://twelvedata.com/" TargetMode="External"/><Relationship Id="rId198" Type="http://schemas.openxmlformats.org/officeDocument/2006/relationships/hyperlink" Target="https://kalshi.com/markets/kxrecssnber" TargetMode="External"/><Relationship Id="rId199" Type="http://schemas.openxmlformats.org/officeDocument/2006/relationships/hyperlink" Target="https://polymarket.com/event/ai-bubble-burst-by" TargetMode="External"/><Relationship Id="rId200" Type="http://schemas.openxmlformats.org/officeDocument/2006/relationships/hyperlink" Target="https://www.tsinetwork.ca/category/topics/spinoffs-topics/" TargetMode="External"/><Relationship Id="rId201" Type="http://schemas.openxmlformats.org/officeDocument/2006/relationships/hyperlink" Target="https://eprints.nottingham.ac.uk/30160" TargetMode="External"/><Relationship Id="rId202" Type="http://schemas.openxmlformats.org/officeDocument/2006/relationships/hyperlink" Target="https://www.itiger.com/news/1116514726" TargetMode="External"/><Relationship Id="rId203" Type="http://schemas.openxmlformats.org/officeDocument/2006/relationships/hyperlink" Target="https://www.quiverquant.com/news/Why+Modine+Manufacturing+(MOD)+Stock+Is+Down+Today" TargetMode="External"/><Relationship Id="rId204" Type="http://schemas.openxmlformats.org/officeDocument/2006/relationships/hyperlink" Target="https://www.oddpool.com/explore/recession" TargetMode="External"/><Relationship Id="rId205" Type="http://schemas.openxmlformats.org/officeDocument/2006/relationships/hyperlink" Target="https://stockanalysis.com/stocks/mod/statistics/" TargetMode="External"/><Relationship Id="rId206" Type="http://schemas.openxmlformats.org/officeDocument/2006/relationships/hyperlink" Target="https://stockanalysis.com/stocks/vrt/statistics/" TargetMode="External"/><Relationship Id="rId207" Type="http://schemas.openxmlformats.org/officeDocument/2006/relationships/hyperlink" Target="https://stockanalysis.com/stocks/tt/statistics/" TargetMode="External"/><Relationship Id="rId208" Type="http://schemas.openxmlformats.org/officeDocument/2006/relationships/hyperlink" Target="https://stockanalysis.com/stocks/jci/statistics/" TargetMode="External"/><Relationship Id="rId209" Type="http://schemas.openxmlformats.org/officeDocument/2006/relationships/hyperlink" Target="https://stockanalysis.com/stocks/carr/statistics/" TargetMode="External"/><Relationship Id="rId210" Type="http://schemas.openxmlformats.org/officeDocument/2006/relationships/hyperlink" Target="https://stockanalysis.com/stocks/lii/statistics/" TargetMode="External"/><Relationship Id="rId211" Type="http://schemas.openxmlformats.org/officeDocument/2006/relationships/hyperlink" Target="https://stockanalysis.com/stocks/aaon/statistics/" TargetMode="External"/><Relationship Id="rId212" Type="http://schemas.openxmlformats.org/officeDocument/2006/relationships/hyperlink" Target="https://stockanalysis.com/stocks/nvt/statistics/" TargetMode="External"/><Relationship Id="rId213" Type="http://schemas.openxmlformats.org/officeDocument/2006/relationships/hyperlink" Target="https://stockanalysis.com/stocks/etn/statistics/" TargetMode="External"/><Relationship Id="rId214" Type="http://schemas.openxmlformats.org/officeDocument/2006/relationships/hyperlink" Target="https://stockanalysis.com/stocks/spxc/statistics/" TargetMode="External"/><Relationship Id="rId215" Type="http://schemas.openxmlformats.org/officeDocument/2006/relationships/hyperlink" Target="https://stockanalysis.com/stocks/fix/statistics/" TargetMode="External"/><Relationship Id="rId216" Type="http://schemas.openxmlformats.org/officeDocument/2006/relationships/hyperlink" Target="https://stockanalysis.com/stocks/powl/statistics/" TargetMode="External"/><Relationship Id="rId217" Type="http://schemas.openxmlformats.org/officeDocument/2006/relationships/hyperlink" Target="https://www.barchart.com/story/news/35462268/modine-to-host-second-quarter-fiscal-2026-earnings-conference-call-on-october-29-2025" TargetMode="External"/><Relationship Id="rId218" Type="http://schemas.openxmlformats.org/officeDocument/2006/relationships/hyperlink" Target="https://www.sec.gov/Archives/edgar/data/67347/000110465926088230/mod-20260729xex99d1.htm" TargetMode="External"/><Relationship Id="rId219" Type="http://schemas.openxmlformats.org/officeDocument/2006/relationships/hyperlink" Target="https://www.sec.gov/Archives/edgar/data/67347/000110465926088230/mod-20260729xex99d2.htm" TargetMode="External"/><Relationship Id="rId220" Type="http://schemas.openxmlformats.org/officeDocument/2006/relationships/hyperlink" Target="https://www.sec.gov/Archives/edgar/data/67347/000110465926086644/mod-20260724xex99d1.htm" TargetMode="External"/><Relationship Id="rId221" Type="http://schemas.openxmlformats.org/officeDocument/2006/relationships/hyperlink" Target="https://www.sec.gov/Archives/edgar/data/67347/000110465926066795/mod-20260331x10k.htm" TargetMode="External"/><Relationship Id="rId222" Type="http://schemas.openxmlformats.org/officeDocument/2006/relationships/hyperlink" Target="https://finviz.com/news/391412/modine-to-host-analyst-and-investor-day-on-november-18-2026" TargetMode="External"/><Relationship Id="rId223" Type="http://schemas.openxmlformats.org/officeDocument/2006/relationships/hyperlink" Target="https://stockanalysis.com/stocks/cswi/statistics/" TargetMode="External"/><Relationship Id="rId224" Type="http://schemas.openxmlformats.org/officeDocument/2006/relationships/hyperlink" Target="https://data.sec.gov/submissions/CIK0000067347.json" TargetMode="External"/><Relationship Id="rId225" Type="http://schemas.openxmlformats.org/officeDocument/2006/relationships/hyperlink" Target="https://stockanalysis.com/stocks/vrt/forecast/" TargetMode="External"/><Relationship Id="rId226" Type="http://schemas.openxmlformats.org/officeDocument/2006/relationships/hyperlink" Target="https://www.sec.gov/Archives/edgar/data/67347/000110465926113588/xslF345X06/tm2626713-4_4seq1.xml" TargetMode="External"/><Relationship Id="rId227" Type="http://schemas.openxmlformats.org/officeDocument/2006/relationships/hyperlink" Target="https://data.sec.gov/api/xbrl/companyfacts/CIK0001674101.json" TargetMode="External"/><Relationship Id="rId228" Type="http://schemas.openxmlformats.org/officeDocument/2006/relationships/hyperlink" Target="https://data.sec.gov/api/xbrl/companyfacts/CIK0001720635.json" TargetMode="External"/><Relationship Id="rId229" Type="http://schemas.openxmlformats.org/officeDocument/2006/relationships/hyperlink" Target="https://data.sec.gov/api/xbrl/companyfacts/CIK0000824142.json" TargetMode="External"/><Relationship Id="rId230" Type="http://schemas.openxmlformats.org/officeDocument/2006/relationships/hyperlink" Target="https://data.sec.gov/api/xbrl/companyfacts/CIK0001466258.json" TargetMode="External"/><Relationship Id="rId231" Type="http://schemas.openxmlformats.org/officeDocument/2006/relationships/hyperlink" Target="https://www.sec.gov/Archives/edgar/data/833444/000083344426000087/jci-20260630.htm" TargetMode="External"/><Relationship Id="rId232" Type="http://schemas.openxmlformats.org/officeDocument/2006/relationships/hyperlink" Target="https://www.sec.gov/Archives/edgar/data/1783180/000178318026000032/carr-20260630.htm" TargetMode="External"/><Relationship Id="rId233" Type="http://schemas.openxmlformats.org/officeDocument/2006/relationships/hyperlink" Target="https://www.sec.gov/Archives/edgar/data/1069202/000106920226000087/lii-20260630.htm" TargetMode="External"/><Relationship Id="rId234" Type="http://schemas.openxmlformats.org/officeDocument/2006/relationships/hyperlink" Target="https://data.sec.gov/api/xbrl/companyfacts/CIK0000088205.json" TargetMode="External"/><Relationship Id="rId235" Type="http://schemas.openxmlformats.org/officeDocument/2006/relationships/hyperlink" Target="https://data.sec.gov/api/xbrl/companyfacts/CIK0001624794.json" TargetMode="External"/><Relationship Id="rId236" Type="http://schemas.openxmlformats.org/officeDocument/2006/relationships/hyperlink" Target="https://data.sec.gov/api/xbrl/companyfacts/CIK0001551182.json" TargetMode="External"/><Relationship Id="rId237" Type="http://schemas.openxmlformats.org/officeDocument/2006/relationships/hyperlink" Target="https://data.sec.gov/api/xbrl/companyfacts/CIK0001035983.json" TargetMode="External"/><Relationship Id="rId238" Type="http://schemas.openxmlformats.org/officeDocument/2006/relationships/hyperlink" Target="https://twelvedata.com/" TargetMode="External"/><Relationship Id="rId239" Type="http://schemas.openxmlformats.org/officeDocument/2006/relationships/hyperlink" Target="https://stockanalysis.com/stocks/vrt/forecast/" TargetMode="External"/><Relationship Id="rId240" Type="http://schemas.openxmlformats.org/officeDocument/2006/relationships/hyperlink" Target="https://data.sec.gov/api/xbrl/companyfacts/CIK0000833444.json" TargetMode="External"/><Relationship Id="rId241" Type="http://schemas.openxmlformats.org/officeDocument/2006/relationships/hyperlink" Target="https://www.sec.gov/Archives/edgar/data/67347/000110465926112870/tm2626618d1_8k.htm" TargetMode="External"/><Relationship Id="rId242" Type="http://schemas.openxmlformats.org/officeDocument/2006/relationships/hyperlink" Target="https://data.sec.gov/submissions/CIK0000067347.json" TargetMode="External"/><Relationship Id="rId243" Type="http://schemas.openxmlformats.org/officeDocument/2006/relationships/hyperlink" Target="https://data.sec.gov/submissions/CIK0000903129.json" TargetMode="External"/><Relationship Id="rId244" Type="http://schemas.openxmlformats.org/officeDocument/2006/relationships/hyperlink" Target="https://www.sec.gov/Archives/edgar/data/67347/000110465926088230/mod-20260729xex99d1.htm" TargetMode="External"/><Relationship Id="rId245" Type="http://schemas.openxmlformats.org/officeDocument/2006/relationships/hyperlink" Target="https://www.sec.gov/Archives/edgar/data/67347/000110465926088230/mod-20260729xex99d2.htm" TargetMode="External"/><Relationship Id="rId246" Type="http://schemas.openxmlformats.org/officeDocument/2006/relationships/hyperlink" Target="https://www.sec.gov/Archives/edgar/data/67347/000110465926086644/mod-20260724xex99d1.htm" TargetMode="External"/><Relationship Id="rId247" Type="http://schemas.openxmlformats.org/officeDocument/2006/relationships/hyperlink" Target="https://www.sec.gov/Archives/edgar/data/67347/000110465926066795/mod-20260331x10k.htm" TargetMode="External"/><Relationship Id="rId248" Type="http://schemas.openxmlformats.org/officeDocument/2006/relationships/hyperlink" Target="https://stockanalysis.com/stocks/spxc/statistics/" TargetMode="External"/><Relationship Id="rId249" Type="http://schemas.openxmlformats.org/officeDocument/2006/relationships/hyperlink" Target="https://stockanalysis.com/stocks/cswi/statistics/" TargetMode="External"/><Relationship Id="rId250" Type="http://schemas.openxmlformats.org/officeDocument/2006/relationships/hyperlink" Target="https://stockanalysis.com/stocks/etn/statistics/" TargetMode="External"/><Relationship Id="rId251" Type="http://schemas.openxmlformats.org/officeDocument/2006/relationships/hyperlink" Target="https://stockanalysis.com/stocks/aaon/statistics/" TargetMode="External"/><Relationship Id="rId252" Type="http://schemas.openxmlformats.org/officeDocument/2006/relationships/hyperlink" Target="https://www.sec.gov/Archives/edgar/data/67347/000110465926113588/xslF345X06/tm2626713-4_4seq1.xml" TargetMode="External"/><Relationship Id="rId253" Type="http://schemas.openxmlformats.org/officeDocument/2006/relationships/hyperlink" Target="https://www.prnewswire.com/news-releases/modine-to-host-analyst-and-investor-day-on-november-18-2026-302876675.html" TargetMode="External"/><Relationship Id="rId254" Type="http://schemas.openxmlformats.org/officeDocument/2006/relationships/hyperlink" Target="https://www.sec.gov/Archives/edgar/data/67347/000110465926088569/mod-20260630x10q.htm" TargetMode="External"/><Relationship Id="rId255" Type="http://schemas.openxmlformats.org/officeDocument/2006/relationships/hyperlink" Target="https://data.sec.gov/api/xbrl/companyfacts/CIK0001674101.json" TargetMode="External"/><Relationship Id="rId256" Type="http://schemas.openxmlformats.org/officeDocument/2006/relationships/hyperlink" Target="https://www.sec.gov/Archives/edgar/data/1783180/000178318026000032/carr-20260630.htm" TargetMode="External"/><Relationship Id="rId257" Type="http://schemas.openxmlformats.org/officeDocument/2006/relationships/hyperlink" Target="https://www.sec.gov/Archives/edgar/data/1069202/000106920226000087/lii-20260630.htm" TargetMode="External"/><Relationship Id="rId258" Type="http://schemas.openxmlformats.org/officeDocument/2006/relationships/hyperlink" Target="https://www.sec.gov/Archives/edgar/data/833444/000083344426000087/jci-20260630.htm" TargetMode="External"/><Relationship Id="rId259" Type="http://schemas.openxmlformats.org/officeDocument/2006/relationships/hyperlink" Target="https://www.sec.gov/Archives/edgar/data/833444/000083344425000097/jci-20250930.htm" TargetMode="External"/><Relationship Id="rId260" Type="http://schemas.openxmlformats.org/officeDocument/2006/relationships/hyperlink" Target="https://twelvedata.com/" TargetMode="External"/><Relationship Id="rId261" Type="http://schemas.openxmlformats.org/officeDocument/2006/relationships/hyperlink" Target="https://stockanalysis.com/stocks/vrt/forecast/" TargetMode="External"/><Relationship Id="rId262" Type="http://schemas.openxmlformats.org/officeDocument/2006/relationships/hyperlink" Target="https://www.sec.gov/Archives/edgar/data/67347/000110465925103221/mod-20251028x8k.htm" TargetMode="External"/><Relationship Id="rId263" Type="http://schemas.openxmlformats.org/officeDocument/2006/relationships/hyperlink" Target="https://s205.q4cdn.com/270741342/files/doc_financials/2027/q1/Modine_-Transcript-Q1-FY27.pdf" TargetMode="External"/><Relationship Id="rId264" Type="http://schemas.openxmlformats.org/officeDocument/2006/relationships/hyperlink" Target="https://www.sec.gov/Archives/edgar/data/67347/000114036124027058/ef20029568_ex99-1.htm" TargetMode="External"/><Relationship Id="rId265" Type="http://schemas.openxmlformats.org/officeDocument/2006/relationships/hyperlink" Target="https://www.sec.gov/Archives/edgar/data/67347/000155837025008029/tmb-20250520xex99d1.htm" TargetMode="External"/><Relationship Id="rId266" Type="http://schemas.openxmlformats.org/officeDocument/2006/relationships/hyperlink" Target="https://www.sec.gov/Archives/edgar/data/67347/000110465926066291/mod-20260526xex99d1.htm" TargetMode="External"/><Relationship Id="rId267" Type="http://schemas.openxmlformats.org/officeDocument/2006/relationships/hyperlink" Target="https://www.sec.gov/Archives/edgar/data/67347/000110465926008087/mod-20260129xex99d2.htm" TargetMode="External"/><Relationship Id="rId268" Type="http://schemas.openxmlformats.org/officeDocument/2006/relationships/hyperlink" Target="https://query1.finance.yahoo.com/v8/finance/chart/VRT?range=5d&amp;interval=1d" TargetMode="External"/><Relationship Id="rId269" Type="http://schemas.openxmlformats.org/officeDocument/2006/relationships/hyperlink" Target="https://api.nasdaq.com/api/analyst/VRT/earnings-forecast" TargetMode="External"/><Relationship Id="rId270" Type="http://schemas.openxmlformats.org/officeDocument/2006/relationships/hyperlink" Target="https://api.nasdaq.com/api/analyst/NVT/earnings-forecast" TargetMode="External"/><Relationship Id="rId271" Type="http://schemas.openxmlformats.org/officeDocument/2006/relationships/hyperlink" Target="https://api.nasdaq.com/api/analyst/AAON/earnings-forecast" TargetMode="External"/><Relationship Id="rId272" Type="http://schemas.openxmlformats.org/officeDocument/2006/relationships/hyperlink" Target="https://api.nasdaq.com/api/analyst/TT/earnings-forecast" TargetMode="External"/><Relationship Id="rId273" Type="http://schemas.openxmlformats.org/officeDocument/2006/relationships/hyperlink" Target="https://api.nasdaq.com/api/analyst/JCI/earnings-forecast" TargetMode="External"/><Relationship Id="rId274" Type="http://schemas.openxmlformats.org/officeDocument/2006/relationships/hyperlink" Target="https://api.nasdaq.com/api/analyst/CARR/earnings-forecast" TargetMode="External"/><Relationship Id="rId275" Type="http://schemas.openxmlformats.org/officeDocument/2006/relationships/hyperlink" Target="https://api.nasdaq.com/api/analyst/SPXC/earnings-forecast" TargetMode="External"/><Relationship Id="rId276" Type="http://schemas.openxmlformats.org/officeDocument/2006/relationships/hyperlink" Target="https://api.nasdaq.com/api/analyst/CSW/earnings-forecast" TargetMode="External"/><Relationship Id="rId277" Type="http://schemas.openxmlformats.org/officeDocument/2006/relationships/hyperlink" Target="https://api.nasdaq.com/api/analyst/ETN/earnings-forecast" TargetMode="External"/><Relationship Id="rId278" Type="http://schemas.openxmlformats.org/officeDocument/2006/relationships/hyperlink" Target="https://api.nasdaq.com/api/company/VRT/earnings-surprise" TargetMode="External"/><Relationship Id="rId279" Type="http://schemas.openxmlformats.org/officeDocument/2006/relationships/hyperlink" Target="https://api.nasdaq.com/api/company/NVT/earnings-surprise" TargetMode="External"/><Relationship Id="rId280" Type="http://schemas.openxmlformats.org/officeDocument/2006/relationships/hyperlink" Target="https://api.nasdaq.com/api/company/AAON/earnings-surprise" TargetMode="External"/><Relationship Id="rId281" Type="http://schemas.openxmlformats.org/officeDocument/2006/relationships/hyperlink" Target="https://api.nasdaq.com/api/company/TT/earnings-surprise" TargetMode="External"/><Relationship Id="rId282" Type="http://schemas.openxmlformats.org/officeDocument/2006/relationships/hyperlink" Target="https://api.nasdaq.com/api/company/JCI/earnings-surprise" TargetMode="External"/><Relationship Id="rId283" Type="http://schemas.openxmlformats.org/officeDocument/2006/relationships/hyperlink" Target="https://api.nasdaq.com/api/company/CARR/earnings-surprise" TargetMode="External"/><Relationship Id="rId284" Type="http://schemas.openxmlformats.org/officeDocument/2006/relationships/hyperlink" Target="https://api.nasdaq.com/api/company/SPXC/earnings-surprise" TargetMode="External"/><Relationship Id="rId285" Type="http://schemas.openxmlformats.org/officeDocument/2006/relationships/hyperlink" Target="https://api.nasdaq.com/api/company/CSW/earnings-surprise" TargetMode="External"/><Relationship Id="rId286" Type="http://schemas.openxmlformats.org/officeDocument/2006/relationships/hyperlink" Target="https://api.nasdaq.com/api/company/ETN/earnings-surprise" TargetMode="External"/><Relationship Id="rId287" Type="http://schemas.openxmlformats.org/officeDocument/2006/relationships/hyperlink" Target="https://www.sec.gov/Archives/edgar/data/1674101/000162828026050323/q22026exhibit991vrt07292026.htm" TargetMode="External"/><Relationship Id="rId288" Type="http://schemas.openxmlformats.org/officeDocument/2006/relationships/hyperlink" Target="https://www.sec.gov/Archives/edgar/data/1720635/000162828026051203/q22026nvtpressrelease.htm" TargetMode="External"/><Relationship Id="rId289" Type="http://schemas.openxmlformats.org/officeDocument/2006/relationships/hyperlink" Target="https://www.sec.gov/Archives/edgar/data/824142/000082414226000052/liveaaonpressreleaseexs.htm" TargetMode="External"/><Relationship Id="rId290" Type="http://schemas.openxmlformats.org/officeDocument/2006/relationships/hyperlink" Target="https://www.sec.gov/Archives/edgar/data/1466258/000162828026050743/exhibit991-q22026earningsr.htm" TargetMode="External"/><Relationship Id="rId291" Type="http://schemas.openxmlformats.org/officeDocument/2006/relationships/hyperlink" Target="https://www.sec.gov/Archives/edgar/data/833444/000083344426000083/q3ex991xq3fy26earningsrele.htm" TargetMode="External"/><Relationship Id="rId292" Type="http://schemas.openxmlformats.org/officeDocument/2006/relationships/hyperlink" Target="https://www.sec.gov/Archives/edgar/data/1783180/000178318026000030/a99-q22026earningsexhibit.htm" TargetMode="External"/><Relationship Id="rId293" Type="http://schemas.openxmlformats.org/officeDocument/2006/relationships/hyperlink" Target="https://www.sec.gov/Archives/edgar/data/88205/000008820526000052/q22026pressrelease.htm" TargetMode="External"/><Relationship Id="rId294" Type="http://schemas.openxmlformats.org/officeDocument/2006/relationships/hyperlink" Target="https://www.sec.gov/Archives/edgar/data/1624794/000162479426000048/er_q12027.htm" TargetMode="External"/><Relationship Id="rId295" Type="http://schemas.openxmlformats.org/officeDocument/2006/relationships/hyperlink" Target="https://www.sec.gov/Archives/edgar/data/1551182/000155118226000027/etn06302026exhibit99.htm" TargetMode="External"/><Relationship Id="rId296" Type="http://schemas.openxmlformats.org/officeDocument/2006/relationships/hyperlink" Target="https://www.marketscreener.com/quote/stock/VERTIV-HOLDINGS-CO-45109447/finances/" TargetMode="External"/><Relationship Id="rId297" Type="http://schemas.openxmlformats.org/officeDocument/2006/relationships/hyperlink" Target="https://www.marketscreener.com/quote/stock/NVENT-ELECTRIC-PLC-42779053/finances/" TargetMode="External"/><Relationship Id="rId298" Type="http://schemas.openxmlformats.org/officeDocument/2006/relationships/hyperlink" Target="https://www.marketscreener.com/quote/stock/AAON-INC-8199/finances/" TargetMode="External"/><Relationship Id="rId299" Type="http://schemas.openxmlformats.org/officeDocument/2006/relationships/hyperlink" Target="https://www.marketscreener.com/quote/stock/TRANE-TECHNOLOGIES-PLC-13109/finances/" TargetMode="External"/><Relationship Id="rId300" Type="http://schemas.openxmlformats.org/officeDocument/2006/relationships/hyperlink" Target="https://www.marketscreener.com/quote/stock/JOHNSON-CONTROLS-INTERNAT-31222816/finances/" TargetMode="External"/><Relationship Id="rId301" Type="http://schemas.openxmlformats.org/officeDocument/2006/relationships/hyperlink" Target="https://www.marketscreener.com/quote/stock/CARRIER-GLOBAL-CORPORATIO-105026688/finances/" TargetMode="External"/><Relationship Id="rId302" Type="http://schemas.openxmlformats.org/officeDocument/2006/relationships/hyperlink" Target="https://www.marketscreener.com/quote/stock/SPX-TECHNOLOGIES-INC-14462/finances/" TargetMode="External"/><Relationship Id="rId303" Type="http://schemas.openxmlformats.org/officeDocument/2006/relationships/hyperlink" Target="https://www.marketscreener.com/quote/stock/CSW-INDUSTRIALS-INC-23733723/finances/" TargetMode="External"/><Relationship Id="rId304" Type="http://schemas.openxmlformats.org/officeDocument/2006/relationships/hyperlink" Target="https://www.marketscreener.com/quote/stock/EATON-CORPORATION-PLC-12029421/finances/" TargetMode="External"/><Relationship Id="rId305" Type="http://schemas.openxmlformats.org/officeDocument/2006/relationships/hyperlink" Target="https://www.marketscreener.com/quote/stock/MUNTERS-GROUP-AB-34973373/finances/" TargetMode="External"/><Relationship Id="rId306" Type="http://schemas.openxmlformats.org/officeDocument/2006/relationships/hyperlink" Target="https://www.marketscreener.com/quote/stock/ALFA-LAVAL-AB-6494532/finances/" TargetMode="External"/><Relationship Id="rId307" Type="http://schemas.openxmlformats.org/officeDocument/2006/relationships/hyperlink" Target="https://www.marketscreener.com/quote/stock/DAIKIN-INDUSTRIES-LTD-6491221/finances/" TargetMode="External"/><Relationship Id="rId308" Type="http://schemas.openxmlformats.org/officeDocument/2006/relationships/hyperlink" Target="https://www.marketscreener.com/quote/stock/MUNTERS-GROUP-AB-34973373/valuation/" TargetMode="External"/><Relationship Id="rId309" Type="http://schemas.openxmlformats.org/officeDocument/2006/relationships/hyperlink" Target="https://seekingalpha.com/pr/20082498-csw-industrials-announces-transfer-of-listing-of-common-stock-to-the-new-york-stock-exchange" TargetMode="External"/><Relationship Id="rId310" Type="http://schemas.openxmlformats.org/officeDocument/2006/relationships/hyperlink" Target="https://www.alfalaval.com/contentassets/7be9ef28760e461c918b66445b4b65eb/wkr0006.pdf" TargetMode="External"/><Relationship Id="rId311" Type="http://schemas.openxmlformats.org/officeDocument/2006/relationships/hyperlink" Target="https://stockanalysis.com/quote/tyo/6367/financials/income-statement/" TargetMode="External"/><Relationship Id="rId312" Type="http://schemas.openxmlformats.org/officeDocument/2006/relationships/hyperlink" Target="https://www.sec.gov/Archives/edgar/data/67347/000110465926114220/mod-ex99d1.htm" TargetMode="External"/><Relationship Id="rId313" Type="http://schemas.openxmlformats.org/officeDocument/2006/relationships/hyperlink" Target="https://www.marketscreener.com/quote/stock/MODINE-MANUFACTURING-COMP-13585/finances/" TargetMode="External"/><Relationship Id="rId314" Type="http://schemas.openxmlformats.org/officeDocument/2006/relationships/hyperlink" Target="https://api.nasdaq.com/api/analyst/MOD/earnings-forecas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126.51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284.82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125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0.9584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112.040104885718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Methods!C7</f>
        <v>208.26</v>
      </c>
      <c r="C18" s="13" t="n">
        <f aca="false">Methods!E7</f>
        <v>208.3</v>
      </c>
    </row>
    <row r="19" customFormat="false" ht="15" hidden="false" customHeight="false" outlineLevel="0" collapsed="false">
      <c r="A19" s="5" t="s">
        <v>30</v>
      </c>
      <c r="B19" s="13" t="n">
        <f aca="false">Methods!C11</f>
        <v>198.5</v>
      </c>
      <c r="C19" s="13" t="n">
        <f aca="false">Methods!E11</f>
        <v>198</v>
      </c>
    </row>
    <row r="20" customFormat="false" ht="15" hidden="false" customHeight="false" outlineLevel="0" collapsed="false">
      <c r="A20" s="5" t="s">
        <v>31</v>
      </c>
      <c r="B20" s="13" t="n">
        <f aca="false">Methods!C16</f>
        <v>175.2</v>
      </c>
      <c r="C20" s="13" t="n">
        <f aca="false">Methods!E16</f>
        <v>175</v>
      </c>
    </row>
    <row r="21" customFormat="false" ht="15" hidden="false" customHeight="false" outlineLevel="0" collapsed="false">
      <c r="A21" s="5" t="s">
        <v>32</v>
      </c>
      <c r="B21" s="13" t="n">
        <f aca="false">Methods!C20</f>
        <v>212.25</v>
      </c>
      <c r="C21" s="13" t="n">
        <f aca="false">Methods!E20</f>
        <v>212</v>
      </c>
    </row>
    <row r="22" customFormat="false" ht="15" hidden="false" customHeight="false" outlineLevel="0" collapsed="false">
      <c r="A22" s="5" t="s">
        <v>33</v>
      </c>
      <c r="B22" s="13" t="n">
        <f aca="false">Methods!C24</f>
        <v>206.6</v>
      </c>
      <c r="C22" s="13" t="n">
        <f aca="false">Methods!E24</f>
        <v>207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200.162</v>
      </c>
      <c r="C23" s="15" t="n">
        <f aca="false">AVERAGE(C18:C22)</f>
        <v>200.06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206.6</v>
      </c>
      <c r="C24" s="16" t="n">
        <f aca="false">MEDIAN(C18:C22)</f>
        <v>207</v>
      </c>
    </row>
    <row r="25" customFormat="false" ht="236.55" hidden="false" customHeight="false" outlineLevel="0" collapsed="false">
      <c r="A25" s="14" t="s">
        <v>36</v>
      </c>
      <c r="C25" s="17" t="n">
        <v>169.01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0.335941822780808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139.693680888162</v>
      </c>
      <c r="C29" s="6" t="n">
        <v>133.3473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219.089303056302</v>
      </c>
      <c r="C30" s="6" t="n">
        <v>148.41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62.679390487784</v>
      </c>
      <c r="C31" s="6" t="n">
        <v>63.4574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72.7470865942476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72.7470865942476</v>
      </c>
      <c r="C33" s="21" t="n">
        <v>72.7471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0.104210583259522</v>
      </c>
      <c r="C34" s="18" t="n">
        <f aca="false">C29/Spot-1</f>
        <v>0.0540455299976286</v>
      </c>
    </row>
    <row r="35" customFormat="false" ht="15" hidden="false" customHeight="false" outlineLevel="0" collapsed="false">
      <c r="A35" s="5" t="s">
        <v>54</v>
      </c>
      <c r="C35" s="12" t="n">
        <v>0.5311</v>
      </c>
    </row>
    <row r="36" customFormat="false" ht="23.85" hidden="false" customHeight="false" outlineLevel="0" collapsed="false">
      <c r="A36" s="5" t="s">
        <v>55</v>
      </c>
      <c r="C36" s="6" t="n">
        <v>154.3418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31.63</v>
      </c>
      <c r="B6" s="24" t="n">
        <f aca="false">LN(A6)</f>
        <v>3.45410603731756</v>
      </c>
      <c r="C6" s="25" t="n">
        <v>0.9582</v>
      </c>
      <c r="D6" s="25" t="n">
        <v>0.9978</v>
      </c>
      <c r="E6" s="25" t="n">
        <v>0.9989</v>
      </c>
      <c r="F6" s="25" t="n">
        <v>0.9986</v>
      </c>
      <c r="G6" s="25" t="n">
        <v>0.993</v>
      </c>
      <c r="H6" s="25" t="n">
        <v>0.9979</v>
      </c>
      <c r="I6" s="24" t="n">
        <f aca="false">AVERAGE(D6:H6)</f>
        <v>0.99724</v>
      </c>
      <c r="J6" s="25" t="n">
        <v>0.9973</v>
      </c>
      <c r="K6" s="24" t="n">
        <f aca="false">IF(AND(Sup_Used=1,ISNUMBER(J6)),J6,I6)</f>
        <v>0.99724</v>
      </c>
      <c r="L6" s="24" t="n">
        <f aca="false">LN(MIN(MAX(K6,0.0001),0.9999)/(1-MIN(MAX(K6,0.0001),0.9999)))</f>
        <v>5.88976078343035</v>
      </c>
      <c r="M6" s="16" t="n">
        <f aca="false">A6*EXP(-Platt_Shift)</f>
        <v>31.63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0.99724</v>
      </c>
      <c r="P6" s="24" t="n">
        <f aca="false">LN(MIN(MAX(C6,0.0001),0.9999)/(1-MIN(MAX(C6,0.0001),0.9999)))</f>
        <v>3.13216018491831</v>
      </c>
      <c r="Q6" s="16" t="n">
        <f aca="false">IF(Analyst_Median&gt;0,A6*Market_Median/Analyst_Median,A6)</f>
        <v>12.4423443491864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0.996738486804179</v>
      </c>
      <c r="T6" s="24" t="n">
        <f aca="false">W_Mkt*C6+W_Agents*O6</f>
        <v>0.9710832</v>
      </c>
      <c r="U6" s="27" t="n">
        <f aca="false">(1-W_Analyst)*T6+W_Analyst*S6</f>
        <v>0.9710832</v>
      </c>
      <c r="V6" s="24" t="n">
        <f aca="false">LN(MIN(MAX(U6,0.0001),0.9999)/(1-MIN(MAX(U6,0.0001),0.9999)))</f>
        <v>3.51398940838232</v>
      </c>
      <c r="W6" s="25" t="n">
        <v>0.9732</v>
      </c>
    </row>
    <row r="7" customFormat="false" ht="15" hidden="false" customHeight="false" outlineLevel="0" collapsed="false">
      <c r="A7" s="6" t="n">
        <v>50.6</v>
      </c>
      <c r="B7" s="24" t="n">
        <f aca="false">LN(A7)</f>
        <v>3.92395157629342</v>
      </c>
      <c r="C7" s="25" t="n">
        <v>0.8615</v>
      </c>
      <c r="D7" s="25" t="n">
        <v>0.9907</v>
      </c>
      <c r="E7" s="25" t="n">
        <v>0.9927</v>
      </c>
      <c r="F7" s="25" t="n">
        <v>0.9895</v>
      </c>
      <c r="G7" s="25" t="n">
        <v>0.9818</v>
      </c>
      <c r="H7" s="25" t="n">
        <v>0.9905</v>
      </c>
      <c r="I7" s="24" t="n">
        <f aca="false">AVERAGE(D7:H7)</f>
        <v>0.98904</v>
      </c>
      <c r="J7" s="25" t="n">
        <v>0.9881</v>
      </c>
      <c r="K7" s="24" t="n">
        <f aca="false">IF(AND(Sup_Used=1,ISNUMBER(J7)),J7,I7)</f>
        <v>0.98904</v>
      </c>
      <c r="L7" s="24" t="n">
        <f aca="false">LN(MIN(MAX(K7,0.0001),0.9999)/(1-MIN(MAX(K7,0.0001),0.9999)))</f>
        <v>4.50248249417879</v>
      </c>
      <c r="M7" s="16" t="n">
        <f aca="false">A7*EXP(-Platt_Shift)</f>
        <v>50.6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0.98904</v>
      </c>
      <c r="P7" s="24" t="n">
        <f aca="false">LN(MIN(MAX(C7,0.0001),0.9999)/(1-MIN(MAX(C7,0.0001),0.9999)))</f>
        <v>1.82780473034059</v>
      </c>
      <c r="Q7" s="16" t="n">
        <f aca="false">IF(Analyst_Median&gt;0,A7*Market_Median/Analyst_Median,A7)</f>
        <v>19.904603985736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0.988084659834777</v>
      </c>
      <c r="T7" s="24" t="n">
        <f aca="false">W_Mkt*C7+W_Agents*O7</f>
        <v>0.9035882</v>
      </c>
      <c r="U7" s="27" t="n">
        <f aca="false">(1-W_Analyst)*T7+W_Analyst*S7</f>
        <v>0.9035882</v>
      </c>
      <c r="V7" s="24" t="n">
        <f aca="false">LN(MIN(MAX(U7,0.0001),0.9999)/(1-MIN(MAX(U7,0.0001),0.9999)))</f>
        <v>2.23774512486855</v>
      </c>
      <c r="W7" s="25" t="n">
        <v>0.9086</v>
      </c>
    </row>
    <row r="8" customFormat="false" ht="15" hidden="false" customHeight="false" outlineLevel="0" collapsed="false">
      <c r="A8" s="6" t="n">
        <v>63.26</v>
      </c>
      <c r="B8" s="24" t="n">
        <f aca="false">LN(A8)</f>
        <v>4.1472532178775</v>
      </c>
      <c r="C8" s="25" t="n">
        <v>0.7828</v>
      </c>
      <c r="D8" s="25" t="n">
        <v>0.9817</v>
      </c>
      <c r="E8" s="25" t="n">
        <v>0.9827</v>
      </c>
      <c r="F8" s="25" t="n">
        <v>0.9733</v>
      </c>
      <c r="G8" s="25" t="n">
        <v>0.9715</v>
      </c>
      <c r="H8" s="25" t="n">
        <v>0.9808</v>
      </c>
      <c r="I8" s="24" t="n">
        <f aca="false">AVERAGE(D8:H8)</f>
        <v>0.978</v>
      </c>
      <c r="J8" s="25" t="n">
        <v>0.9763</v>
      </c>
      <c r="K8" s="24" t="n">
        <f aca="false">IF(AND(Sup_Used=1,ISNUMBER(J8)),J8,I8)</f>
        <v>0.978</v>
      </c>
      <c r="L8" s="24" t="n">
        <f aca="false">LN(MIN(MAX(K8,0.0001),0.9999)/(1-MIN(MAX(K8,0.0001),0.9999)))</f>
        <v>3.79446721667651</v>
      </c>
      <c r="M8" s="16" t="n">
        <f aca="false">A8*EXP(-Platt_Shift)</f>
        <v>63.26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0.978</v>
      </c>
      <c r="P8" s="24" t="n">
        <f aca="false">LN(MIN(MAX(C8,0.0001),0.9999)/(1-MIN(MAX(C8,0.0001),0.9999)))</f>
        <v>1.28205864746214</v>
      </c>
      <c r="Q8" s="16" t="n">
        <f aca="false">IF(Analyst_Median&gt;0,A8*Market_Median/Analyst_Median,A8)</f>
        <v>24.8846886983727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0.978076437137404</v>
      </c>
      <c r="T8" s="24" t="n">
        <f aca="false">W_Mkt*C8+W_Agents*O8</f>
        <v>0.847216</v>
      </c>
      <c r="U8" s="27" t="n">
        <f aca="false">(1-W_Analyst)*T8+W_Analyst*S8</f>
        <v>0.847216</v>
      </c>
      <c r="V8" s="24" t="n">
        <f aca="false">LN(MIN(MAX(U8,0.0001),0.9999)/(1-MIN(MAX(U8,0.0001),0.9999)))</f>
        <v>1.71293052064228</v>
      </c>
      <c r="W8" s="25" t="n">
        <v>0.851</v>
      </c>
    </row>
    <row r="9" customFormat="false" ht="15" hidden="false" customHeight="false" outlineLevel="0" collapsed="false">
      <c r="A9" s="6" t="n">
        <v>75.91</v>
      </c>
      <c r="B9" s="24" t="n">
        <f aca="false">LN(A9)</f>
        <v>4.32954842802868</v>
      </c>
      <c r="C9" s="25" t="n">
        <v>0.7028</v>
      </c>
      <c r="D9" s="25" t="n">
        <v>0.967</v>
      </c>
      <c r="E9" s="25" t="n">
        <v>0.9648</v>
      </c>
      <c r="F9" s="25" t="n">
        <v>0.9449</v>
      </c>
      <c r="G9" s="25" t="n">
        <v>0.9571</v>
      </c>
      <c r="H9" s="25" t="n">
        <v>0.9656</v>
      </c>
      <c r="I9" s="24" t="n">
        <f aca="false">AVERAGE(D9:H9)</f>
        <v>0.95988</v>
      </c>
      <c r="J9" s="25" t="n">
        <v>0.9577</v>
      </c>
      <c r="K9" s="24" t="n">
        <f aca="false">IF(AND(Sup_Used=1,ISNUMBER(J9)),J9,I9)</f>
        <v>0.95988</v>
      </c>
      <c r="L9" s="24" t="n">
        <f aca="false">LN(MIN(MAX(K9,0.0001),0.9999)/(1-MIN(MAX(K9,0.0001),0.9999)))</f>
        <v>3.174933313555</v>
      </c>
      <c r="M9" s="16" t="n">
        <f aca="false">A9*EXP(-Platt_Shift)</f>
        <v>75.91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0.95988</v>
      </c>
      <c r="P9" s="24" t="n">
        <f aca="false">LN(MIN(MAX(C9,0.0001),0.9999)/(1-MIN(MAX(C9,0.0001),0.9999)))</f>
        <v>0.860667043469338</v>
      </c>
      <c r="Q9" s="16" t="n">
        <f aca="false">IF(Analyst_Median&gt;0,A9*Market_Median/Analyst_Median,A9)</f>
        <v>29.8608396948067</v>
      </c>
      <c r="R9" s="26" t="n">
        <f aca="false">MIN(MAX(IFERROR(MATCH(Q9,Distribution!$A$6:$A$20,1),1),1),14)</f>
        <v>1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0.9641515930915</v>
      </c>
      <c r="T9" s="24" t="n">
        <f aca="false">W_Mkt*C9+W_Agents*O9</f>
        <v>0.7876364</v>
      </c>
      <c r="U9" s="27" t="n">
        <f aca="false">(1-W_Analyst)*T9+W_Analyst*S9</f>
        <v>0.7876364</v>
      </c>
      <c r="V9" s="24" t="n">
        <f aca="false">LN(MIN(MAX(U9,0.0001),0.9999)/(1-MIN(MAX(U9,0.0001),0.9999)))</f>
        <v>1.31073666213365</v>
      </c>
      <c r="W9" s="25" t="n">
        <v>0.7872</v>
      </c>
    </row>
    <row r="10" customFormat="false" ht="15" hidden="false" customHeight="false" outlineLevel="0" collapsed="false">
      <c r="A10" s="6" t="n">
        <v>88.56</v>
      </c>
      <c r="B10" s="24" t="n">
        <f aca="false">LN(A10)</f>
        <v>4.48368028840038</v>
      </c>
      <c r="C10" s="25" t="n">
        <v>0.6261</v>
      </c>
      <c r="D10" s="25" t="n">
        <v>0.9373</v>
      </c>
      <c r="E10" s="25" t="n">
        <v>0.9344</v>
      </c>
      <c r="F10" s="25" t="n">
        <v>0.906</v>
      </c>
      <c r="G10" s="25" t="n">
        <v>0.9309</v>
      </c>
      <c r="H10" s="25" t="n">
        <v>0.9416</v>
      </c>
      <c r="I10" s="24" t="n">
        <f aca="false">AVERAGE(D10:H10)</f>
        <v>0.93004</v>
      </c>
      <c r="J10" s="25" t="n">
        <v>0.9269</v>
      </c>
      <c r="K10" s="24" t="n">
        <f aca="false">IF(AND(Sup_Used=1,ISNUMBER(J10)),J10,I10)</f>
        <v>0.93004</v>
      </c>
      <c r="L10" s="24" t="n">
        <f aca="false">LN(MIN(MAX(K10,0.0001),0.9999)/(1-MIN(MAX(K10,0.0001),0.9999)))</f>
        <v>2.58730394582465</v>
      </c>
      <c r="M10" s="16" t="n">
        <f aca="false">A10*EXP(-Platt_Shift)</f>
        <v>88.56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0.93004</v>
      </c>
      <c r="P10" s="24" t="n">
        <f aca="false">LN(MIN(MAX(C10,0.0001),0.9999)/(1-MIN(MAX(C10,0.0001),0.9999)))</f>
        <v>0.515521720768197</v>
      </c>
      <c r="Q10" s="16" t="n">
        <f aca="false">IF(Analyst_Median&gt;0,A10*Market_Median/Analyst_Median,A10)</f>
        <v>34.8369906912407</v>
      </c>
      <c r="R10" s="26" t="n">
        <f aca="false">MIN(MAX(IFERROR(MATCH(Q10,Distribution!$A$6:$A$20,1),1),1),14)</f>
        <v>1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0.946040840777773</v>
      </c>
      <c r="T10" s="24" t="n">
        <f aca="false">W_Mkt*C10+W_Agents*O10</f>
        <v>0.7264002</v>
      </c>
      <c r="U10" s="27" t="n">
        <f aca="false">(1-W_Analyst)*T10+W_Analyst*S10</f>
        <v>0.7264002</v>
      </c>
      <c r="V10" s="24" t="n">
        <f aca="false">LN(MIN(MAX(U10,0.0001),0.9999)/(1-MIN(MAX(U10,0.0001),0.9999)))</f>
        <v>0.976434647863466</v>
      </c>
      <c r="W10" s="25" t="n">
        <v>0.721</v>
      </c>
    </row>
    <row r="11" customFormat="false" ht="15" hidden="false" customHeight="false" outlineLevel="0" collapsed="false">
      <c r="A11" s="6" t="n">
        <v>101.21</v>
      </c>
      <c r="B11" s="24" t="n">
        <f aca="false">LN(A11)</f>
        <v>4.61719756620081</v>
      </c>
      <c r="C11" s="25" t="n">
        <v>0.5553</v>
      </c>
      <c r="D11" s="25" t="n">
        <v>0.9004</v>
      </c>
      <c r="E11" s="25" t="n">
        <v>0.8969</v>
      </c>
      <c r="F11" s="25" t="n">
        <v>0.8606</v>
      </c>
      <c r="G11" s="25" t="n">
        <v>0.8952</v>
      </c>
      <c r="H11" s="25" t="n">
        <v>0.9076</v>
      </c>
      <c r="I11" s="24" t="n">
        <f aca="false">AVERAGE(D11:H11)</f>
        <v>0.89214</v>
      </c>
      <c r="J11" s="25" t="n">
        <v>0.8881</v>
      </c>
      <c r="K11" s="24" t="n">
        <f aca="false">IF(AND(Sup_Used=1,ISNUMBER(J11)),J11,I11)</f>
        <v>0.89214</v>
      </c>
      <c r="L11" s="24" t="n">
        <f aca="false">LN(MIN(MAX(K11,0.0001),0.9999)/(1-MIN(MAX(K11,0.0001),0.9999)))</f>
        <v>2.11278898102811</v>
      </c>
      <c r="M11" s="16" t="n">
        <f aca="false">A11*EXP(-Platt_Shift)</f>
        <v>101.21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0.89214</v>
      </c>
      <c r="P11" s="24" t="n">
        <f aca="false">LN(MIN(MAX(C11,0.0001),0.9999)/(1-MIN(MAX(C11,0.0001),0.9999)))</f>
        <v>0.222108610730911</v>
      </c>
      <c r="Q11" s="16" t="n">
        <f aca="false">IF(Analyst_Median&gt;0,A11*Market_Median/Analyst_Median,A11)</f>
        <v>39.8131416876747</v>
      </c>
      <c r="R11" s="26" t="n">
        <f aca="false">MIN(MAX(IFERROR(MATCH(Q11,Distribution!$A$6:$A$20,1),1),1),14)</f>
        <v>1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0.923677561415642</v>
      </c>
      <c r="T11" s="24" t="n">
        <f aca="false">W_Mkt*C11+W_Agents*O11</f>
        <v>0.6664572</v>
      </c>
      <c r="U11" s="27" t="n">
        <f aca="false">(1-W_Analyst)*T11+W_Analyst*S11</f>
        <v>0.6664572</v>
      </c>
      <c r="V11" s="24" t="n">
        <f aca="false">LN(MIN(MAX(U11,0.0001),0.9999)/(1-MIN(MAX(U11,0.0001),0.9999)))</f>
        <v>0.692204728549387</v>
      </c>
      <c r="W11" s="25" t="n">
        <v>0.6553</v>
      </c>
    </row>
    <row r="12" customFormat="false" ht="15" hidden="false" customHeight="false" outlineLevel="0" collapsed="false">
      <c r="A12" s="6" t="n">
        <v>113.86</v>
      </c>
      <c r="B12" s="24" t="n">
        <f aca="false">LN(A12)</f>
        <v>4.73496962352294</v>
      </c>
      <c r="C12" s="25" t="n">
        <v>0.4912</v>
      </c>
      <c r="D12" s="25" t="n">
        <v>0.8583</v>
      </c>
      <c r="E12" s="25" t="n">
        <v>0.8521</v>
      </c>
      <c r="F12" s="25" t="n">
        <v>0.8087</v>
      </c>
      <c r="G12" s="25" t="n">
        <v>0.8502</v>
      </c>
      <c r="H12" s="25" t="n">
        <v>0.8641</v>
      </c>
      <c r="I12" s="24" t="n">
        <f aca="false">AVERAGE(D12:H12)</f>
        <v>0.84668</v>
      </c>
      <c r="J12" s="25" t="n">
        <v>0.8419</v>
      </c>
      <c r="K12" s="24" t="n">
        <f aca="false">IF(AND(Sup_Used=1,ISNUMBER(J12)),J12,I12)</f>
        <v>0.84668</v>
      </c>
      <c r="L12" s="24" t="n">
        <f aca="false">LN(MIN(MAX(K12,0.0001),0.9999)/(1-MIN(MAX(K12,0.0001),0.9999)))</f>
        <v>1.70879557873961</v>
      </c>
      <c r="M12" s="16" t="n">
        <f aca="false">A12*EXP(-Platt_Shift)</f>
        <v>113.86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0.84668</v>
      </c>
      <c r="P12" s="24" t="n">
        <f aca="false">LN(MIN(MAX(C12,0.0001),0.9999)/(1-MIN(MAX(C12,0.0001),0.9999)))</f>
        <v>-0.0352036351929794</v>
      </c>
      <c r="Q12" s="16" t="n">
        <f aca="false">IF(Analyst_Median&gt;0,A12*Market_Median/Analyst_Median,A12)</f>
        <v>44.7892926841087</v>
      </c>
      <c r="R12" s="26" t="n">
        <f aca="false">MIN(MAX(IFERROR(MATCH(Q12,Distribution!$A$6:$A$20,1),1),1),14)</f>
        <v>1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0.897195507255167</v>
      </c>
      <c r="T12" s="24" t="n">
        <f aca="false">W_Mkt*C12+W_Agents*O12</f>
        <v>0.6085084</v>
      </c>
      <c r="U12" s="27" t="n">
        <f aca="false">(1-W_Analyst)*T12+W_Analyst*S12</f>
        <v>0.6085084</v>
      </c>
      <c r="V12" s="24" t="n">
        <f aca="false">LN(MIN(MAX(U12,0.0001),0.9999)/(1-MIN(MAX(U12,0.0001),0.9999)))</f>
        <v>0.441046657507464</v>
      </c>
      <c r="W12" s="25" t="n">
        <v>0.5915</v>
      </c>
    </row>
    <row r="13" customFormat="false" ht="15" hidden="false" customHeight="false" outlineLevel="0" collapsed="false">
      <c r="A13" s="6" t="n">
        <v>126.51</v>
      </c>
      <c r="B13" s="24" t="n">
        <f aca="false">LN(A13)</f>
        <v>4.84032135642658</v>
      </c>
      <c r="C13" s="25" t="n">
        <v>0.434</v>
      </c>
      <c r="D13" s="25" t="n">
        <v>0.8171</v>
      </c>
      <c r="E13" s="25" t="n">
        <v>0.8023</v>
      </c>
      <c r="F13" s="25" t="n">
        <v>0.752</v>
      </c>
      <c r="G13" s="25" t="n">
        <v>0.7967</v>
      </c>
      <c r="H13" s="25" t="n">
        <v>0.8135</v>
      </c>
      <c r="I13" s="24" t="n">
        <f aca="false">AVERAGE(D13:H13)</f>
        <v>0.79632</v>
      </c>
      <c r="J13" s="25" t="n">
        <v>0.7909</v>
      </c>
      <c r="K13" s="24" t="n">
        <f aca="false">IF(AND(Sup_Used=1,ISNUMBER(J13)),J13,I13)</f>
        <v>0.79632</v>
      </c>
      <c r="L13" s="24" t="n">
        <f aca="false">LN(MIN(MAX(K13,0.0001),0.9999)/(1-MIN(MAX(K13,0.0001),0.9999)))</f>
        <v>1.36345098030115</v>
      </c>
      <c r="M13" s="16" t="n">
        <f aca="false">A13*EXP(-Platt_Shift)</f>
        <v>126.51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0.79632</v>
      </c>
      <c r="P13" s="24" t="n">
        <f aca="false">LN(MIN(MAX(C13,0.0001),0.9999)/(1-MIN(MAX(C13,0.0001),0.9999)))</f>
        <v>-0.265549544102778</v>
      </c>
      <c r="Q13" s="16" t="n">
        <f aca="false">IF(Analyst_Median&gt;0,A13*Market_Median/Analyst_Median,A13)</f>
        <v>49.7654436805427</v>
      </c>
      <c r="R13" s="26" t="n">
        <f aca="false">MIN(MAX(IFERROR(MATCH(Q13,Distribution!$A$6:$A$20,1),1),1),14)</f>
        <v>1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0.866917424426257</v>
      </c>
      <c r="T13" s="24" t="n">
        <f aca="false">W_Mkt*C13+W_Agents*O13</f>
        <v>0.5535656</v>
      </c>
      <c r="U13" s="27" t="n">
        <f aca="false">(1-W_Analyst)*T13+W_Analyst*S13</f>
        <v>0.5535656</v>
      </c>
      <c r="V13" s="24" t="n">
        <f aca="false">LN(MIN(MAX(U13,0.0001),0.9999)/(1-MIN(MAX(U13,0.0001),0.9999)))</f>
        <v>0.215087794614486</v>
      </c>
      <c r="W13" s="25" t="n">
        <v>0.5311</v>
      </c>
    </row>
    <row r="14" customFormat="false" ht="15" hidden="false" customHeight="false" outlineLevel="0" collapsed="false">
      <c r="A14" s="6" t="n">
        <v>139.16</v>
      </c>
      <c r="B14" s="24" t="n">
        <f aca="false">LN(A14)</f>
        <v>4.93562435028374</v>
      </c>
      <c r="C14" s="25" t="n">
        <v>0.3834</v>
      </c>
      <c r="D14" s="25" t="n">
        <v>0.777</v>
      </c>
      <c r="E14" s="25" t="n">
        <v>0.7484</v>
      </c>
      <c r="F14" s="25" t="n">
        <v>0.6926</v>
      </c>
      <c r="G14" s="25" t="n">
        <v>0.7412</v>
      </c>
      <c r="H14" s="25" t="n">
        <v>0.7566</v>
      </c>
      <c r="I14" s="24" t="n">
        <f aca="false">AVERAGE(D14:H14)</f>
        <v>0.74316</v>
      </c>
      <c r="J14" s="25" t="n">
        <v>0.7397</v>
      </c>
      <c r="K14" s="24" t="n">
        <f aca="false">IF(AND(Sup_Used=1,ISNUMBER(J14)),J14,I14)</f>
        <v>0.74316</v>
      </c>
      <c r="L14" s="24" t="n">
        <f aca="false">LN(MIN(MAX(K14,0.0001),0.9999)/(1-MIN(MAX(K14,0.0001),0.9999)))</f>
        <v>1.06245804181212</v>
      </c>
      <c r="M14" s="16" t="n">
        <f aca="false">A14*EXP(-Platt_Shift)</f>
        <v>139.16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0.74316</v>
      </c>
      <c r="P14" s="24" t="n">
        <f aca="false">LN(MIN(MAX(C14,0.0001),0.9999)/(1-MIN(MAX(C14,0.0001),0.9999)))</f>
        <v>-0.475141684840506</v>
      </c>
      <c r="Q14" s="16" t="n">
        <f aca="false">IF(Analyst_Median&gt;0,A14*Market_Median/Analyst_Median,A14)</f>
        <v>54.7415946769767</v>
      </c>
      <c r="R14" s="26" t="n">
        <f aca="false">MIN(MAX(IFERROR(MATCH(Q14,Distribution!$A$6:$A$20,1),1),1),14)</f>
        <v>2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0.836925899326287</v>
      </c>
      <c r="T14" s="24" t="n">
        <f aca="false">W_Mkt*C14+W_Agents*O14</f>
        <v>0.5021208</v>
      </c>
      <c r="U14" s="27" t="n">
        <f aca="false">(1-W_Analyst)*T14+W_Analyst*S14</f>
        <v>0.5021208</v>
      </c>
      <c r="V14" s="24" t="n">
        <f aca="false">LN(MIN(MAX(U14,0.0001),0.9999)/(1-MIN(MAX(U14,0.0001),0.9999)))</f>
        <v>0.00848325087478193</v>
      </c>
      <c r="W14" s="25" t="n">
        <v>0.4748</v>
      </c>
    </row>
    <row r="15" customFormat="false" ht="15" hidden="false" customHeight="false" outlineLevel="0" collapsed="false">
      <c r="A15" s="6" t="n">
        <v>151.81</v>
      </c>
      <c r="B15" s="24" t="n">
        <f aca="false">LN(A15)</f>
        <v>5.02262973894462</v>
      </c>
      <c r="C15" s="25" t="n">
        <v>0.3389</v>
      </c>
      <c r="D15" s="25" t="n">
        <v>0.7338</v>
      </c>
      <c r="E15" s="25" t="n">
        <v>0.6919</v>
      </c>
      <c r="F15" s="25" t="n">
        <v>0.6313</v>
      </c>
      <c r="G15" s="25" t="n">
        <v>0.6856</v>
      </c>
      <c r="H15" s="25" t="n">
        <v>0.6965</v>
      </c>
      <c r="I15" s="24" t="n">
        <f aca="false">AVERAGE(D15:H15)</f>
        <v>0.68782</v>
      </c>
      <c r="J15" s="25" t="n">
        <v>0.6859</v>
      </c>
      <c r="K15" s="24" t="n">
        <f aca="false">IF(AND(Sup_Used=1,ISNUMBER(J15)),J15,I15)</f>
        <v>0.68782</v>
      </c>
      <c r="L15" s="24" t="n">
        <f aca="false">LN(MIN(MAX(K15,0.0001),0.9999)/(1-MIN(MAX(K15,0.0001),0.9999)))</f>
        <v>0.789947231265548</v>
      </c>
      <c r="M15" s="16" t="n">
        <f aca="false">A15*EXP(-Platt_Shift)</f>
        <v>151.81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0.68782</v>
      </c>
      <c r="P15" s="24" t="n">
        <f aca="false">LN(MIN(MAX(C15,0.0001),0.9999)/(1-MIN(MAX(C15,0.0001),0.9999)))</f>
        <v>-0.668200035726527</v>
      </c>
      <c r="Q15" s="16" t="n">
        <f aca="false">IF(Analyst_Median&gt;0,A15*Market_Median/Analyst_Median,A15)</f>
        <v>59.7177456734107</v>
      </c>
      <c r="R15" s="26" t="n">
        <f aca="false">MIN(MAX(IFERROR(MATCH(Q15,Distribution!$A$6:$A$20,1),1),1),14)</f>
        <v>2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0.805791215466121</v>
      </c>
      <c r="T15" s="24" t="n">
        <f aca="false">W_Mkt*C15+W_Agents*O15</f>
        <v>0.4540436</v>
      </c>
      <c r="U15" s="27" t="n">
        <f aca="false">(1-W_Analyst)*T15+W_Analyst*S15</f>
        <v>0.4540436</v>
      </c>
      <c r="V15" s="24" t="n">
        <f aca="false">LN(MIN(MAX(U15,0.0001),0.9999)/(1-MIN(MAX(U15,0.0001),0.9999)))</f>
        <v>-0.184345890404043</v>
      </c>
      <c r="W15" s="25" t="n">
        <v>0.4232</v>
      </c>
    </row>
    <row r="16" customFormat="false" ht="15" hidden="false" customHeight="false" outlineLevel="0" collapsed="false">
      <c r="A16" s="6" t="n">
        <v>170.79</v>
      </c>
      <c r="B16" s="24" t="n">
        <f aca="false">LN(A16)</f>
        <v>5.1404347316311</v>
      </c>
      <c r="C16" s="25" t="n">
        <v>0.2821</v>
      </c>
      <c r="D16" s="25" t="n">
        <v>0.6593</v>
      </c>
      <c r="E16" s="25" t="n">
        <v>0.605</v>
      </c>
      <c r="F16" s="25" t="n">
        <v>0.5389</v>
      </c>
      <c r="G16" s="25" t="n">
        <v>0.6039</v>
      </c>
      <c r="H16" s="25" t="n">
        <v>0.6056</v>
      </c>
      <c r="I16" s="24" t="n">
        <f aca="false">AVERAGE(D16:H16)</f>
        <v>0.60254</v>
      </c>
      <c r="J16" s="25" t="n">
        <v>0.6011</v>
      </c>
      <c r="K16" s="24" t="n">
        <f aca="false">IF(AND(Sup_Used=1,ISNUMBER(J16)),J16,I16)</f>
        <v>0.60254</v>
      </c>
      <c r="L16" s="24" t="n">
        <f aca="false">LN(MIN(MAX(K16,0.0001),0.9999)/(1-MIN(MAX(K16,0.0001),0.9999)))</f>
        <v>0.416059753102444</v>
      </c>
      <c r="M16" s="16" t="n">
        <f aca="false">A16*EXP(-Platt_Shift)</f>
        <v>170.79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0.60254</v>
      </c>
      <c r="P16" s="24" t="n">
        <f aca="false">LN(MIN(MAX(C16,0.0001),0.9999)/(1-MIN(MAX(C16,0.0001),0.9999)))</f>
        <v>-0.934068665574487</v>
      </c>
      <c r="Q16" s="16" t="n">
        <f aca="false">IF(Analyst_Median&gt;0,A16*Market_Median/Analyst_Median,A16)</f>
        <v>67.1839390261631</v>
      </c>
      <c r="R16" s="26" t="n">
        <f aca="false">MIN(MAX(IFERROR(MATCH(Q16,Distribution!$A$6:$A$20,1),1),1),14)</f>
        <v>3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0.758219918168092</v>
      </c>
      <c r="T16" s="24" t="n">
        <f aca="false">W_Mkt*C16+W_Agents*O16</f>
        <v>0.3878452</v>
      </c>
      <c r="U16" s="27" t="n">
        <f aca="false">(1-W_Analyst)*T16+W_Analyst*S16</f>
        <v>0.3878452</v>
      </c>
      <c r="V16" s="24" t="n">
        <f aca="false">LN(MIN(MAX(U16,0.0001),0.9999)/(1-MIN(MAX(U16,0.0001),0.9999)))</f>
        <v>-0.456378900762797</v>
      </c>
      <c r="W16" s="25" t="n">
        <v>0.3456</v>
      </c>
    </row>
    <row r="17" customFormat="false" ht="15" hidden="false" customHeight="false" outlineLevel="0" collapsed="false">
      <c r="A17" s="6" t="n">
        <v>189.76</v>
      </c>
      <c r="B17" s="24" t="n">
        <f aca="false">LN(A17)</f>
        <v>5.24576011580936</v>
      </c>
      <c r="C17" s="25" t="n">
        <v>0.2355</v>
      </c>
      <c r="D17" s="25" t="n">
        <v>0.5695</v>
      </c>
      <c r="E17" s="25" t="n">
        <v>0.5189</v>
      </c>
      <c r="F17" s="25" t="n">
        <v>0.4519</v>
      </c>
      <c r="G17" s="25" t="n">
        <v>0.5211</v>
      </c>
      <c r="H17" s="25" t="n">
        <v>0.5185</v>
      </c>
      <c r="I17" s="24" t="n">
        <f aca="false">AVERAGE(D17:H17)</f>
        <v>0.51598</v>
      </c>
      <c r="J17" s="25" t="n">
        <v>0.5137</v>
      </c>
      <c r="K17" s="24" t="n">
        <f aca="false">IF(AND(Sup_Used=1,ISNUMBER(J17)),J17,I17)</f>
        <v>0.51598</v>
      </c>
      <c r="L17" s="24" t="n">
        <f aca="false">LN(MIN(MAX(K17,0.0001),0.9999)/(1-MIN(MAX(K17,0.0001),0.9999)))</f>
        <v>0.063941776863526</v>
      </c>
      <c r="M17" s="16" t="n">
        <f aca="false">A17*EXP(-Platt_Shift)</f>
        <v>189.76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0.51598</v>
      </c>
      <c r="P17" s="24" t="n">
        <f aca="false">LN(MIN(MAX(C17,0.0001),0.9999)/(1-MIN(MAX(C17,0.0001),0.9999)))</f>
        <v>-1.17751111191264</v>
      </c>
      <c r="Q17" s="16" t="n">
        <f aca="false">IF(Analyst_Median&gt;0,A17*Market_Median/Analyst_Median,A17)</f>
        <v>74.6461986627127</v>
      </c>
      <c r="R17" s="26" t="n">
        <f aca="false">MIN(MAX(IFERROR(MATCH(Q17,Distribution!$A$6:$A$20,1),1),1),14)</f>
        <v>3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0.710841790579961</v>
      </c>
      <c r="T17" s="24" t="n">
        <f aca="false">W_Mkt*C17+W_Agents*O17</f>
        <v>0.3280584</v>
      </c>
      <c r="U17" s="27" t="n">
        <f aca="false">(1-W_Analyst)*T17+W_Analyst*S17</f>
        <v>0.3280584</v>
      </c>
      <c r="V17" s="24" t="n">
        <f aca="false">LN(MIN(MAX(U17,0.0001),0.9999)/(1-MIN(MAX(U17,0.0001),0.9999)))</f>
        <v>-0.716979790668979</v>
      </c>
      <c r="W17" s="25" t="n">
        <v>0.2708</v>
      </c>
    </row>
    <row r="18" customFormat="false" ht="15" hidden="false" customHeight="false" outlineLevel="0" collapsed="false">
      <c r="A18" s="6" t="n">
        <v>221.39</v>
      </c>
      <c r="B18" s="24" t="n">
        <f aca="false">LN(A18)</f>
        <v>5.39992585213613</v>
      </c>
      <c r="C18" s="25" t="n">
        <v>0.1757</v>
      </c>
      <c r="D18" s="25" t="n">
        <v>0.4141</v>
      </c>
      <c r="E18" s="25" t="n">
        <v>0.3899</v>
      </c>
      <c r="F18" s="25" t="n">
        <v>0.3303</v>
      </c>
      <c r="G18" s="25" t="n">
        <v>0.4015</v>
      </c>
      <c r="H18" s="25" t="n">
        <v>0.3902</v>
      </c>
      <c r="I18" s="24" t="n">
        <f aca="false">AVERAGE(D18:H18)</f>
        <v>0.3852</v>
      </c>
      <c r="J18" s="25" t="n">
        <v>0.3805</v>
      </c>
      <c r="K18" s="24" t="n">
        <f aca="false">IF(AND(Sup_Used=1,ISNUMBER(J18)),J18,I18)</f>
        <v>0.3852</v>
      </c>
      <c r="L18" s="24" t="n">
        <f aca="false">LN(MIN(MAX(K18,0.0001),0.9999)/(1-MIN(MAX(K18,0.0001),0.9999)))</f>
        <v>-0.46753433174047</v>
      </c>
      <c r="M18" s="16" t="n">
        <f aca="false">A18*EXP(-Platt_Shift)</f>
        <v>221.39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0.3852</v>
      </c>
      <c r="P18" s="24" t="n">
        <f aca="false">LN(MIN(MAX(C18,0.0001),0.9999)/(1-MIN(MAX(C18,0.0001),0.9999)))</f>
        <v>-1.54575654612613</v>
      </c>
      <c r="Q18" s="16" t="n">
        <f aca="false">IF(Analyst_Median&gt;0,A18*Market_Median/Analyst_Median,A18)</f>
        <v>87.0885430118991</v>
      </c>
      <c r="R18" s="26" t="n">
        <f aca="false">MIN(MAX(IFERROR(MATCH(Q18,Distribution!$A$6:$A$20,1),1),1),14)</f>
        <v>4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0.634840803203923</v>
      </c>
      <c r="T18" s="24" t="n">
        <f aca="false">W_Mkt*C18+W_Agents*O18</f>
        <v>0.244835</v>
      </c>
      <c r="U18" s="27" t="n">
        <f aca="false">(1-W_Analyst)*T18+W_Analyst*S18</f>
        <v>0.244835</v>
      </c>
      <c r="V18" s="24" t="n">
        <f aca="false">LN(MIN(MAX(U18,0.0001),0.9999)/(1-MIN(MAX(U18,0.0001),0.9999)))</f>
        <v>-1.12635175414374</v>
      </c>
      <c r="W18" s="25" t="n">
        <v>0.1754</v>
      </c>
    </row>
    <row r="19" customFormat="false" ht="15" hidden="false" customHeight="false" outlineLevel="0" collapsed="false">
      <c r="A19" s="6" t="n">
        <v>253.02</v>
      </c>
      <c r="B19" s="24" t="n">
        <f aca="false">LN(A19)</f>
        <v>5.53346853698652</v>
      </c>
      <c r="C19" s="25" t="n">
        <v>0.1326</v>
      </c>
      <c r="D19" s="25" t="n">
        <v>0.2874</v>
      </c>
      <c r="E19" s="25" t="n">
        <v>0.2847</v>
      </c>
      <c r="F19" s="25" t="n">
        <v>0.2428</v>
      </c>
      <c r="G19" s="25" t="n">
        <v>0.3015</v>
      </c>
      <c r="H19" s="25" t="n">
        <v>0.2885</v>
      </c>
      <c r="I19" s="24" t="n">
        <f aca="false">AVERAGE(D19:H19)</f>
        <v>0.28098</v>
      </c>
      <c r="J19" s="25" t="n">
        <v>0.2742</v>
      </c>
      <c r="K19" s="24" t="n">
        <f aca="false">IF(AND(Sup_Used=1,ISNUMBER(J19)),J19,I19)</f>
        <v>0.28098</v>
      </c>
      <c r="L19" s="24" t="n">
        <f aca="false">LN(MIN(MAX(K19,0.0001),0.9999)/(1-MIN(MAX(K19,0.0001),0.9999)))</f>
        <v>-0.939605681322355</v>
      </c>
      <c r="M19" s="16" t="n">
        <f aca="false">A19*EXP(-Platt_Shift)</f>
        <v>253.02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0.28098</v>
      </c>
      <c r="P19" s="24" t="n">
        <f aca="false">LN(MIN(MAX(C19,0.0001),0.9999)/(1-MIN(MAX(C19,0.0001),0.9999)))</f>
        <v>-1.8781631536495</v>
      </c>
      <c r="Q19" s="16" t="n">
        <f aca="false">IF(Analyst_Median&gt;0,A19*Market_Median/Analyst_Median,A19)</f>
        <v>99.5308873610855</v>
      </c>
      <c r="R19" s="26" t="n">
        <f aca="false">MIN(MAX(IFERROR(MATCH(Q19,Distribution!$A$6:$A$20,1),1),1),14)</f>
        <v>5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0.564359205222431</v>
      </c>
      <c r="T19" s="24" t="n">
        <f aca="false">W_Mkt*C19+W_Agents*O19</f>
        <v>0.1815654</v>
      </c>
      <c r="U19" s="27" t="n">
        <f aca="false">(1-W_Analyst)*T19+W_Analyst*S19</f>
        <v>0.1815654</v>
      </c>
      <c r="V19" s="24" t="n">
        <f aca="false">LN(MIN(MAX(U19,0.0001),0.9999)/(1-MIN(MAX(U19,0.0001),0.9999)))</f>
        <v>-1.50577757197866</v>
      </c>
      <c r="W19" s="25" t="n">
        <v>0.1168</v>
      </c>
    </row>
    <row r="20" customFormat="false" ht="15" hidden="false" customHeight="false" outlineLevel="0" collapsed="false">
      <c r="A20" s="6" t="n">
        <v>316.27</v>
      </c>
      <c r="B20" s="24" t="n">
        <f aca="false">LN(A20)</f>
        <v>5.75659627914882</v>
      </c>
      <c r="C20" s="25" t="n">
        <v>0.0779</v>
      </c>
      <c r="D20" s="25" t="n">
        <v>0.1211</v>
      </c>
      <c r="E20" s="25" t="n">
        <v>0.1446</v>
      </c>
      <c r="F20" s="25" t="n">
        <v>0.1295</v>
      </c>
      <c r="G20" s="25" t="n">
        <v>0.1607</v>
      </c>
      <c r="H20" s="25" t="n">
        <v>0.1554</v>
      </c>
      <c r="I20" s="24" t="n">
        <f aca="false">AVERAGE(D20:H20)</f>
        <v>0.14226</v>
      </c>
      <c r="J20" s="25" t="n">
        <v>0.1381</v>
      </c>
      <c r="K20" s="24" t="n">
        <f aca="false">IF(AND(Sup_Used=1,ISNUMBER(J20)),J20,I20)</f>
        <v>0.14226</v>
      </c>
      <c r="L20" s="24" t="n">
        <f aca="false">LN(MIN(MAX(K20,0.0001),0.9999)/(1-MIN(MAX(K20,0.0001),0.9999)))</f>
        <v>-1.7966446539566</v>
      </c>
      <c r="M20" s="16" t="n">
        <f aca="false">A20*EXP(-Platt_Shift)</f>
        <v>316.27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0.14226</v>
      </c>
      <c r="P20" s="24" t="n">
        <f aca="false">LN(MIN(MAX(C20,0.0001),0.9999)/(1-MIN(MAX(C20,0.0001),0.9999)))</f>
        <v>-2.47122772466839</v>
      </c>
      <c r="Q20" s="16" t="n">
        <f aca="false">IF(Analyst_Median&gt;0,A20*Market_Median/Analyst_Median,A20)</f>
        <v>124.411642343255</v>
      </c>
      <c r="R20" s="26" t="n">
        <f aca="false">MIN(MAX(IFERROR(MATCH(Q20,Distribution!$A$6:$A$20,1),1),1),14)</f>
        <v>7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0.443003833539932</v>
      </c>
      <c r="T20" s="24" t="n">
        <f aca="false">W_Mkt*C20+W_Agents*O20</f>
        <v>0.0991388</v>
      </c>
      <c r="U20" s="27" t="n">
        <f aca="false">(1-W_Analyst)*T20+W_Analyst*S20</f>
        <v>0.0991388</v>
      </c>
      <c r="V20" s="24" t="n">
        <f aca="false">LN(MIN(MAX(U20,0.0001),0.9999)/(1-MIN(MAX(U20,0.0001),0.9999)))</f>
        <v>-2.20683030626292</v>
      </c>
      <c r="W20" s="25" t="n">
        <v>0.0593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23.85" hidden="false" customHeight="false" outlineLevel="0" collapsed="false">
      <c r="A5" s="5" t="s">
        <v>29</v>
      </c>
      <c r="B5" s="28" t="s">
        <v>112</v>
      </c>
      <c r="C5" s="6" t="n">
        <v>210.5</v>
      </c>
      <c r="D5" s="12" t="n">
        <v>0.6</v>
      </c>
      <c r="E5" s="16" t="n">
        <f aca="false">C5*D5</f>
        <v>126.3</v>
      </c>
      <c r="F5" s="28"/>
      <c r="G5" s="28" t="s">
        <v>113</v>
      </c>
    </row>
    <row r="6" customFormat="false" ht="15" hidden="false" customHeight="false" outlineLevel="0" collapsed="false">
      <c r="A6" s="5" t="s">
        <v>29</v>
      </c>
      <c r="B6" s="28" t="s">
        <v>114</v>
      </c>
      <c r="C6" s="6" t="n">
        <v>204.9</v>
      </c>
      <c r="D6" s="12" t="n">
        <v>0.4</v>
      </c>
      <c r="E6" s="16" t="n">
        <f aca="false">C6*D6</f>
        <v>81.96</v>
      </c>
      <c r="F6" s="28"/>
      <c r="G6" s="28" t="s">
        <v>115</v>
      </c>
    </row>
    <row r="7" customFormat="false" ht="46.25" hidden="false" customHeight="false" outlineLevel="0" collapsed="false">
      <c r="A7" s="29" t="s">
        <v>29</v>
      </c>
      <c r="B7" s="29" t="s">
        <v>116</v>
      </c>
      <c r="C7" s="30" t="n">
        <f aca="false">IF(SUM(D5:D6)&gt;0,SUMPRODUCT(C5:C6,D5:D6)/SUM(D5:D6),"")</f>
        <v>208.26</v>
      </c>
      <c r="D7" s="31" t="n">
        <f aca="false">SUM(D5:D6)</f>
        <v>1</v>
      </c>
      <c r="E7" s="32" t="n">
        <v>208.3</v>
      </c>
      <c r="F7" s="29" t="s">
        <v>117</v>
      </c>
      <c r="G7" s="33" t="s">
        <v>118</v>
      </c>
    </row>
    <row r="9" customFormat="false" ht="23.85" hidden="false" customHeight="false" outlineLevel="0" collapsed="false">
      <c r="A9" s="5" t="s">
        <v>30</v>
      </c>
      <c r="B9" s="28" t="s">
        <v>112</v>
      </c>
      <c r="C9" s="6" t="n">
        <v>202</v>
      </c>
      <c r="D9" s="12" t="n">
        <v>0.5</v>
      </c>
      <c r="E9" s="16" t="n">
        <f aca="false">C9*D9</f>
        <v>101</v>
      </c>
      <c r="F9" s="28"/>
      <c r="G9" s="28" t="s">
        <v>119</v>
      </c>
    </row>
    <row r="10" customFormat="false" ht="15" hidden="false" customHeight="false" outlineLevel="0" collapsed="false">
      <c r="A10" s="5" t="s">
        <v>30</v>
      </c>
      <c r="B10" s="28" t="s">
        <v>114</v>
      </c>
      <c r="C10" s="6" t="n">
        <v>195</v>
      </c>
      <c r="D10" s="12" t="n">
        <v>0.5</v>
      </c>
      <c r="E10" s="16" t="n">
        <f aca="false">C10*D10</f>
        <v>97.5</v>
      </c>
      <c r="F10" s="28"/>
      <c r="G10" s="28" t="s">
        <v>120</v>
      </c>
    </row>
    <row r="11" customFormat="false" ht="46.25" hidden="false" customHeight="false" outlineLevel="0" collapsed="false">
      <c r="A11" s="29" t="s">
        <v>30</v>
      </c>
      <c r="B11" s="29" t="s">
        <v>116</v>
      </c>
      <c r="C11" s="30" t="n">
        <f aca="false">IF(SUM(D9:D10)&gt;0,SUMPRODUCT(C9:C10,D9:D10)/SUM(D9:D10),"")</f>
        <v>198.5</v>
      </c>
      <c r="D11" s="31" t="n">
        <f aca="false">SUM(D9:D10)</f>
        <v>1</v>
      </c>
      <c r="E11" s="32" t="n">
        <v>198</v>
      </c>
      <c r="F11" s="29" t="s">
        <v>117</v>
      </c>
      <c r="G11" s="33" t="s">
        <v>121</v>
      </c>
    </row>
    <row r="13" customFormat="false" ht="15" hidden="false" customHeight="false" outlineLevel="0" collapsed="false">
      <c r="A13" s="5" t="s">
        <v>31</v>
      </c>
      <c r="B13" s="28" t="s">
        <v>114</v>
      </c>
      <c r="C13" s="6" t="n">
        <v>182</v>
      </c>
      <c r="D13" s="12" t="n">
        <v>0.45</v>
      </c>
      <c r="E13" s="16" t="n">
        <f aca="false">C13*D13</f>
        <v>81.9</v>
      </c>
      <c r="F13" s="28"/>
      <c r="G13" s="28" t="s">
        <v>122</v>
      </c>
    </row>
    <row r="14" customFormat="false" ht="15" hidden="false" customHeight="false" outlineLevel="0" collapsed="false">
      <c r="A14" s="5" t="s">
        <v>31</v>
      </c>
      <c r="B14" s="28" t="s">
        <v>112</v>
      </c>
      <c r="C14" s="6" t="n">
        <v>198</v>
      </c>
      <c r="D14" s="12" t="n">
        <v>0.35</v>
      </c>
      <c r="E14" s="16" t="n">
        <f aca="false">C14*D14</f>
        <v>69.3</v>
      </c>
      <c r="F14" s="28"/>
      <c r="G14" s="28" t="s">
        <v>123</v>
      </c>
    </row>
    <row r="15" customFormat="false" ht="15" hidden="false" customHeight="false" outlineLevel="0" collapsed="false">
      <c r="A15" s="5" t="s">
        <v>31</v>
      </c>
      <c r="B15" s="28" t="s">
        <v>124</v>
      </c>
      <c r="C15" s="6" t="n">
        <v>120</v>
      </c>
      <c r="D15" s="12" t="n">
        <v>0.2</v>
      </c>
      <c r="E15" s="16" t="n">
        <f aca="false">C15*D15</f>
        <v>24</v>
      </c>
      <c r="F15" s="28"/>
      <c r="G15" s="28" t="s">
        <v>125</v>
      </c>
    </row>
    <row r="16" customFormat="false" ht="35.05" hidden="false" customHeight="false" outlineLevel="0" collapsed="false">
      <c r="A16" s="29" t="s">
        <v>31</v>
      </c>
      <c r="B16" s="29" t="s">
        <v>116</v>
      </c>
      <c r="C16" s="30" t="n">
        <f aca="false">IF(SUM(D13:D15)&gt;0,SUMPRODUCT(C13:C15,D13:D15)/SUM(D13:D15),"")</f>
        <v>175.2</v>
      </c>
      <c r="D16" s="31" t="n">
        <f aca="false">SUM(D13:D15)</f>
        <v>1</v>
      </c>
      <c r="E16" s="32" t="n">
        <v>175</v>
      </c>
      <c r="F16" s="29" t="s">
        <v>117</v>
      </c>
      <c r="G16" s="33" t="s">
        <v>126</v>
      </c>
    </row>
    <row r="18" customFormat="false" ht="23.85" hidden="false" customHeight="false" outlineLevel="0" collapsed="false">
      <c r="A18" s="5" t="s">
        <v>32</v>
      </c>
      <c r="B18" s="28" t="s">
        <v>112</v>
      </c>
      <c r="C18" s="6" t="n">
        <v>211.1</v>
      </c>
      <c r="D18" s="12" t="n">
        <v>0.5</v>
      </c>
      <c r="E18" s="16" t="n">
        <f aca="false">C18*D18</f>
        <v>105.55</v>
      </c>
      <c r="F18" s="28"/>
      <c r="G18" s="28" t="s">
        <v>127</v>
      </c>
    </row>
    <row r="19" customFormat="false" ht="15" hidden="false" customHeight="false" outlineLevel="0" collapsed="false">
      <c r="A19" s="5" t="s">
        <v>32</v>
      </c>
      <c r="B19" s="28" t="s">
        <v>114</v>
      </c>
      <c r="C19" s="6" t="n">
        <v>213.4</v>
      </c>
      <c r="D19" s="12" t="n">
        <v>0.5</v>
      </c>
      <c r="E19" s="16" t="n">
        <f aca="false">C19*D19</f>
        <v>106.7</v>
      </c>
      <c r="F19" s="28"/>
      <c r="G19" s="28" t="s">
        <v>128</v>
      </c>
    </row>
    <row r="20" customFormat="false" ht="35.05" hidden="false" customHeight="false" outlineLevel="0" collapsed="false">
      <c r="A20" s="29" t="s">
        <v>32</v>
      </c>
      <c r="B20" s="29" t="s">
        <v>116</v>
      </c>
      <c r="C20" s="30" t="n">
        <f aca="false">IF(SUM(D18:D19)&gt;0,SUMPRODUCT(C18:C19,D18:D19)/SUM(D18:D19),"")</f>
        <v>212.25</v>
      </c>
      <c r="D20" s="31" t="n">
        <f aca="false">SUM(D18:D19)</f>
        <v>1</v>
      </c>
      <c r="E20" s="32" t="n">
        <v>212</v>
      </c>
      <c r="F20" s="29" t="s">
        <v>117</v>
      </c>
      <c r="G20" s="33" t="s">
        <v>129</v>
      </c>
    </row>
    <row r="22" customFormat="false" ht="23.85" hidden="false" customHeight="false" outlineLevel="0" collapsed="false">
      <c r="A22" s="5" t="s">
        <v>33</v>
      </c>
      <c r="B22" s="28" t="s">
        <v>112</v>
      </c>
      <c r="C22" s="6" t="n">
        <v>213</v>
      </c>
      <c r="D22" s="12" t="n">
        <v>0.6</v>
      </c>
      <c r="E22" s="16" t="n">
        <f aca="false">C22*D22</f>
        <v>127.8</v>
      </c>
      <c r="F22" s="28"/>
      <c r="G22" s="28" t="s">
        <v>130</v>
      </c>
    </row>
    <row r="23" customFormat="false" ht="15" hidden="false" customHeight="false" outlineLevel="0" collapsed="false">
      <c r="A23" s="5" t="s">
        <v>33</v>
      </c>
      <c r="B23" s="28" t="s">
        <v>114</v>
      </c>
      <c r="C23" s="6" t="n">
        <v>197</v>
      </c>
      <c r="D23" s="12" t="n">
        <v>0.4</v>
      </c>
      <c r="E23" s="16" t="n">
        <f aca="false">C23*D23</f>
        <v>78.8</v>
      </c>
      <c r="F23" s="28"/>
      <c r="G23" s="28" t="s">
        <v>131</v>
      </c>
    </row>
    <row r="24" customFormat="false" ht="46.25" hidden="false" customHeight="false" outlineLevel="0" collapsed="false">
      <c r="A24" s="29" t="s">
        <v>33</v>
      </c>
      <c r="B24" s="29" t="s">
        <v>116</v>
      </c>
      <c r="C24" s="30" t="n">
        <f aca="false">IF(SUM(D22:D23)&gt;0,SUMPRODUCT(C22:C23,D22:D23)/SUM(D22:D23),"")</f>
        <v>206.6</v>
      </c>
      <c r="D24" s="31" t="n">
        <f aca="false">SUM(D22:D23)</f>
        <v>1</v>
      </c>
      <c r="E24" s="32" t="n">
        <v>207</v>
      </c>
      <c r="F24" s="29" t="s">
        <v>117</v>
      </c>
      <c r="G24" s="3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23.85" hidden="false" customHeight="false" outlineLevel="0" collapsed="false">
      <c r="A4" s="23" t="s">
        <v>105</v>
      </c>
      <c r="B4" s="23" t="s">
        <v>135</v>
      </c>
      <c r="C4" s="23" t="s">
        <v>136</v>
      </c>
      <c r="D4" s="23" t="s">
        <v>137</v>
      </c>
      <c r="E4" s="23" t="s">
        <v>138</v>
      </c>
      <c r="F4" s="23" t="s">
        <v>139</v>
      </c>
      <c r="G4" s="23" t="s">
        <v>140</v>
      </c>
    </row>
    <row r="5" customFormat="false" ht="68.65" hidden="false" customHeight="false" outlineLevel="0" collapsed="false">
      <c r="A5" s="5" t="s">
        <v>29</v>
      </c>
      <c r="B5" s="6" t="n">
        <v>110</v>
      </c>
      <c r="C5" s="6" t="n">
        <v>205</v>
      </c>
      <c r="D5" s="6" t="n">
        <v>305</v>
      </c>
      <c r="E5" s="28" t="s">
        <v>141</v>
      </c>
      <c r="F5" s="28" t="s">
        <v>142</v>
      </c>
      <c r="G5" s="28" t="s">
        <v>143</v>
      </c>
    </row>
    <row r="6" customFormat="false" ht="91" hidden="false" customHeight="false" outlineLevel="0" collapsed="false">
      <c r="A6" s="5" t="s">
        <v>30</v>
      </c>
      <c r="B6" s="6" t="n">
        <v>115</v>
      </c>
      <c r="C6" s="6" t="n">
        <v>198</v>
      </c>
      <c r="D6" s="6" t="n">
        <v>285</v>
      </c>
      <c r="E6" s="28" t="s">
        <v>144</v>
      </c>
      <c r="F6" s="28" t="s">
        <v>145</v>
      </c>
      <c r="G6" s="28" t="s">
        <v>146</v>
      </c>
    </row>
    <row r="7" customFormat="false" ht="57.45" hidden="false" customHeight="false" outlineLevel="0" collapsed="false">
      <c r="A7" s="5" t="s">
        <v>31</v>
      </c>
      <c r="B7" s="6" t="n">
        <v>105</v>
      </c>
      <c r="C7" s="6" t="n">
        <v>180</v>
      </c>
      <c r="D7" s="6" t="n">
        <v>280</v>
      </c>
      <c r="E7" s="28" t="s">
        <v>147</v>
      </c>
      <c r="F7" s="28" t="s">
        <v>148</v>
      </c>
      <c r="G7" s="28" t="s">
        <v>149</v>
      </c>
    </row>
    <row r="8" customFormat="false" ht="57.45" hidden="false" customHeight="false" outlineLevel="0" collapsed="false">
      <c r="A8" s="5" t="s">
        <v>32</v>
      </c>
      <c r="B8" s="6" t="n">
        <v>120</v>
      </c>
      <c r="C8" s="6" t="n">
        <v>212</v>
      </c>
      <c r="D8" s="6" t="n">
        <v>315</v>
      </c>
      <c r="E8" s="28" t="s">
        <v>150</v>
      </c>
      <c r="F8" s="28" t="s">
        <v>151</v>
      </c>
      <c r="G8" s="28" t="s">
        <v>152</v>
      </c>
    </row>
    <row r="9" customFormat="false" ht="57.45" hidden="false" customHeight="false" outlineLevel="0" collapsed="false">
      <c r="A9" s="5" t="s">
        <v>33</v>
      </c>
      <c r="B9" s="6" t="n">
        <v>125</v>
      </c>
      <c r="C9" s="6" t="n">
        <v>210</v>
      </c>
      <c r="D9" s="6" t="n">
        <v>300</v>
      </c>
      <c r="E9" s="28" t="s">
        <v>153</v>
      </c>
      <c r="F9" s="28" t="s">
        <v>154</v>
      </c>
      <c r="G9" s="28" t="s">
        <v>155</v>
      </c>
    </row>
    <row r="10" customFormat="false" ht="15" hidden="false" customHeight="false" outlineLevel="0" collapsed="false">
      <c r="A10" s="14" t="s">
        <v>156</v>
      </c>
      <c r="B10" s="15" t="n">
        <f aca="false">AVERAGE(B5:B9)</f>
        <v>115</v>
      </c>
      <c r="C10" s="15" t="n">
        <f aca="false">AVERAGE(C5:C9)</f>
        <v>201</v>
      </c>
      <c r="D10" s="15" t="n">
        <f aca="false">AVERAGE(D5:D9)</f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35.05" hidden="false" customHeight="false" outlineLevel="0" collapsed="false">
      <c r="A4" s="23" t="s">
        <v>105</v>
      </c>
      <c r="B4" s="23" t="s">
        <v>159</v>
      </c>
      <c r="C4" s="23" t="s">
        <v>160</v>
      </c>
      <c r="D4" s="23" t="s">
        <v>161</v>
      </c>
      <c r="E4" s="23" t="s">
        <v>66</v>
      </c>
      <c r="F4" s="23" t="s">
        <v>162</v>
      </c>
      <c r="G4" s="23" t="s">
        <v>163</v>
      </c>
      <c r="H4" s="23" t="s">
        <v>164</v>
      </c>
    </row>
    <row r="5" customFormat="false" ht="594.75" hidden="false" customHeight="false" outlineLevel="0" collapsed="false">
      <c r="A5" s="5" t="s">
        <v>29</v>
      </c>
      <c r="B5" s="6"/>
      <c r="C5" s="6" t="n">
        <v>208.3</v>
      </c>
      <c r="D5" s="6" t="n">
        <v>125</v>
      </c>
      <c r="E5" s="28" t="s">
        <v>165</v>
      </c>
      <c r="F5" s="28" t="s">
        <v>166</v>
      </c>
      <c r="G5" s="28" t="s">
        <v>167</v>
      </c>
      <c r="H5" s="28" t="s">
        <v>168</v>
      </c>
    </row>
    <row r="6" customFormat="false" ht="505.2" hidden="false" customHeight="false" outlineLevel="0" collapsed="false">
      <c r="A6" s="5" t="s">
        <v>30</v>
      </c>
      <c r="B6" s="6"/>
      <c r="C6" s="6" t="n">
        <v>198</v>
      </c>
      <c r="D6" s="6" t="n">
        <v>125</v>
      </c>
      <c r="E6" s="28" t="s">
        <v>169</v>
      </c>
      <c r="F6" s="28" t="s">
        <v>170</v>
      </c>
      <c r="G6" s="28" t="s">
        <v>171</v>
      </c>
      <c r="H6" s="28" t="s">
        <v>172</v>
      </c>
    </row>
    <row r="7" customFormat="false" ht="460.4" hidden="false" customHeight="false" outlineLevel="0" collapsed="false">
      <c r="A7" s="5" t="s">
        <v>31</v>
      </c>
      <c r="B7" s="6"/>
      <c r="C7" s="6" t="n">
        <v>175</v>
      </c>
      <c r="D7" s="6" t="n">
        <v>120</v>
      </c>
      <c r="E7" s="28" t="s">
        <v>173</v>
      </c>
      <c r="F7" s="28" t="s">
        <v>174</v>
      </c>
      <c r="G7" s="28" t="s">
        <v>175</v>
      </c>
      <c r="H7" s="28" t="s">
        <v>176</v>
      </c>
    </row>
    <row r="8" customFormat="false" ht="460.4" hidden="false" customHeight="false" outlineLevel="0" collapsed="false">
      <c r="A8" s="5" t="s">
        <v>32</v>
      </c>
      <c r="B8" s="6"/>
      <c r="C8" s="6" t="n">
        <v>212</v>
      </c>
      <c r="D8" s="6" t="n">
        <v>125</v>
      </c>
      <c r="E8" s="28" t="s">
        <v>177</v>
      </c>
      <c r="F8" s="28" t="s">
        <v>178</v>
      </c>
      <c r="G8" s="28" t="s">
        <v>179</v>
      </c>
      <c r="H8" s="28" t="s">
        <v>180</v>
      </c>
    </row>
    <row r="9" customFormat="false" ht="460.4" hidden="false" customHeight="false" outlineLevel="0" collapsed="false">
      <c r="A9" s="5" t="s">
        <v>33</v>
      </c>
      <c r="B9" s="6"/>
      <c r="C9" s="6" t="n">
        <v>207</v>
      </c>
      <c r="D9" s="6" t="n">
        <v>125</v>
      </c>
      <c r="E9" s="28" t="s">
        <v>181</v>
      </c>
      <c r="F9" s="28" t="s">
        <v>182</v>
      </c>
      <c r="G9" s="28" t="s">
        <v>183</v>
      </c>
      <c r="H9" s="28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91" hidden="false" customHeight="true" outlineLevel="0" collapsed="false">
      <c r="A4" s="14" t="s">
        <v>187</v>
      </c>
      <c r="B4" s="34" t="s">
        <v>188</v>
      </c>
      <c r="C4" s="34"/>
      <c r="D4" s="34"/>
    </row>
    <row r="5" customFormat="false" ht="102.2" hidden="false" customHeight="true" outlineLevel="0" collapsed="false">
      <c r="A5" s="14" t="s">
        <v>189</v>
      </c>
      <c r="B5" s="34" t="s">
        <v>37</v>
      </c>
      <c r="C5" s="34"/>
      <c r="D5" s="34"/>
    </row>
    <row r="6" customFormat="false" ht="57.45" hidden="false" customHeight="true" outlineLevel="0" collapsed="false">
      <c r="A6" s="14" t="s">
        <v>190</v>
      </c>
      <c r="B6" s="34" t="s">
        <v>191</v>
      </c>
      <c r="C6" s="34"/>
      <c r="D6" s="34"/>
    </row>
    <row r="8" customFormat="false" ht="15" hidden="false" customHeight="false" outlineLevel="0" collapsed="false">
      <c r="A8" s="35" t="s">
        <v>192</v>
      </c>
    </row>
    <row r="9" customFormat="false" ht="15" hidden="false" customHeight="false" outlineLevel="0" collapsed="false">
      <c r="A9" s="36" t="s">
        <v>193</v>
      </c>
      <c r="B9" s="36" t="s">
        <v>194</v>
      </c>
      <c r="C9" s="36" t="s">
        <v>195</v>
      </c>
      <c r="D9" s="36" t="s">
        <v>196</v>
      </c>
    </row>
    <row r="10" customFormat="false" ht="113.4" hidden="false" customHeight="false" outlineLevel="0" collapsed="false">
      <c r="A10" s="28" t="s">
        <v>197</v>
      </c>
      <c r="B10" s="28" t="s">
        <v>198</v>
      </c>
      <c r="C10" s="28" t="s">
        <v>199</v>
      </c>
      <c r="D10" s="28" t="s">
        <v>200</v>
      </c>
    </row>
    <row r="11" customFormat="false" ht="46.25" hidden="false" customHeight="false" outlineLevel="0" collapsed="false">
      <c r="A11" s="28" t="s">
        <v>201</v>
      </c>
      <c r="B11" s="28" t="s">
        <v>202</v>
      </c>
      <c r="C11" s="28" t="s">
        <v>203</v>
      </c>
      <c r="D11" s="28" t="s">
        <v>204</v>
      </c>
    </row>
    <row r="12" customFormat="false" ht="57.45" hidden="false" customHeight="false" outlineLevel="0" collapsed="false">
      <c r="A12" s="28" t="s">
        <v>205</v>
      </c>
      <c r="B12" s="28" t="s">
        <v>206</v>
      </c>
      <c r="C12" s="28" t="s">
        <v>207</v>
      </c>
      <c r="D12" s="28" t="s">
        <v>208</v>
      </c>
    </row>
    <row r="13" customFormat="false" ht="79.85" hidden="false" customHeight="false" outlineLevel="0" collapsed="false">
      <c r="A13" s="28" t="s">
        <v>209</v>
      </c>
      <c r="B13" s="28" t="s">
        <v>210</v>
      </c>
      <c r="C13" s="28" t="s">
        <v>211</v>
      </c>
      <c r="D13" s="28" t="s">
        <v>212</v>
      </c>
    </row>
    <row r="14" customFormat="false" ht="46.25" hidden="false" customHeight="false" outlineLevel="0" collapsed="false">
      <c r="A14" s="28" t="s">
        <v>213</v>
      </c>
      <c r="B14" s="28" t="s">
        <v>214</v>
      </c>
      <c r="C14" s="28" t="s">
        <v>215</v>
      </c>
      <c r="D14" s="28" t="s">
        <v>216</v>
      </c>
    </row>
    <row r="16" customFormat="false" ht="15" hidden="false" customHeight="false" outlineLevel="0" collapsed="false">
      <c r="A16" s="35" t="s">
        <v>217</v>
      </c>
    </row>
    <row r="17" customFormat="false" ht="15" hidden="false" customHeight="false" outlineLevel="0" collapsed="false">
      <c r="A17" s="36" t="s">
        <v>218</v>
      </c>
      <c r="B17" s="36" t="s">
        <v>219</v>
      </c>
      <c r="C17" s="36" t="s">
        <v>220</v>
      </c>
      <c r="D17" s="36" t="s">
        <v>221</v>
      </c>
    </row>
    <row r="18" customFormat="false" ht="35.05" hidden="false" customHeight="false" outlineLevel="0" collapsed="false">
      <c r="A18" s="28" t="s">
        <v>222</v>
      </c>
      <c r="B18" s="28" t="s">
        <v>223</v>
      </c>
      <c r="C18" s="28" t="s">
        <v>224</v>
      </c>
      <c r="D18" s="28" t="s">
        <v>225</v>
      </c>
    </row>
    <row r="19" customFormat="false" ht="35.05" hidden="false" customHeight="false" outlineLevel="0" collapsed="false">
      <c r="A19" s="28" t="s">
        <v>226</v>
      </c>
      <c r="B19" s="28" t="s">
        <v>227</v>
      </c>
      <c r="C19" s="28" t="s">
        <v>228</v>
      </c>
      <c r="D19" s="28" t="s">
        <v>229</v>
      </c>
    </row>
    <row r="20" customFormat="false" ht="35.05" hidden="false" customHeight="false" outlineLevel="0" collapsed="false">
      <c r="A20" s="28" t="s">
        <v>230</v>
      </c>
      <c r="B20" s="28" t="s">
        <v>231</v>
      </c>
      <c r="C20" s="28" t="s">
        <v>232</v>
      </c>
      <c r="D20" s="28" t="s">
        <v>233</v>
      </c>
    </row>
    <row r="21" customFormat="false" ht="57.45" hidden="false" customHeight="false" outlineLevel="0" collapsed="false">
      <c r="A21" s="28" t="s">
        <v>234</v>
      </c>
      <c r="B21" s="28" t="s">
        <v>235</v>
      </c>
      <c r="C21" s="28" t="s">
        <v>236</v>
      </c>
      <c r="D21" s="28" t="s">
        <v>237</v>
      </c>
    </row>
    <row r="22" customFormat="false" ht="35.05" hidden="false" customHeight="false" outlineLevel="0" collapsed="false">
      <c r="A22" s="28" t="s">
        <v>238</v>
      </c>
      <c r="B22" s="28" t="s">
        <v>239</v>
      </c>
      <c r="C22" s="28" t="s">
        <v>240</v>
      </c>
      <c r="D22" s="28" t="s">
        <v>241</v>
      </c>
    </row>
    <row r="23" customFormat="false" ht="113.4" hidden="false" customHeight="false" outlineLevel="0" collapsed="false">
      <c r="A23" s="28" t="s">
        <v>242</v>
      </c>
      <c r="B23" s="28" t="s">
        <v>243</v>
      </c>
      <c r="C23" s="28" t="s">
        <v>244</v>
      </c>
      <c r="D23" s="28" t="s">
        <v>245</v>
      </c>
    </row>
    <row r="24" customFormat="false" ht="57.45" hidden="false" customHeight="false" outlineLevel="0" collapsed="false">
      <c r="A24" s="28" t="s">
        <v>246</v>
      </c>
      <c r="B24" s="28" t="s">
        <v>247</v>
      </c>
      <c r="C24" s="28" t="s">
        <v>248</v>
      </c>
      <c r="D24" s="28" t="s">
        <v>249</v>
      </c>
    </row>
    <row r="26" customFormat="false" ht="15" hidden="false" customHeight="false" outlineLevel="0" collapsed="false">
      <c r="A26" s="35" t="s">
        <v>250</v>
      </c>
    </row>
    <row r="27" customFormat="false" ht="23.85" hidden="false" customHeight="true" outlineLevel="0" collapsed="false">
      <c r="B27" s="34" t="s">
        <v>251</v>
      </c>
      <c r="C27" s="34"/>
      <c r="D27" s="34"/>
    </row>
    <row r="28" customFormat="false" ht="23.85" hidden="false" customHeight="true" outlineLevel="0" collapsed="false">
      <c r="B28" s="34" t="s">
        <v>252</v>
      </c>
      <c r="C28" s="34"/>
      <c r="D28" s="34"/>
    </row>
    <row r="29" customFormat="false" ht="15" hidden="false" customHeight="true" outlineLevel="0" collapsed="false">
      <c r="B29" s="34" t="s">
        <v>253</v>
      </c>
      <c r="C29" s="34"/>
      <c r="D29" s="34"/>
    </row>
    <row r="30" customFormat="false" ht="23.85" hidden="false" customHeight="true" outlineLevel="0" collapsed="false">
      <c r="B30" s="34" t="s">
        <v>254</v>
      </c>
      <c r="C30" s="34"/>
      <c r="D30" s="34"/>
    </row>
    <row r="31" customFormat="false" ht="23.85" hidden="false" customHeight="true" outlineLevel="0" collapsed="false">
      <c r="B31" s="34" t="s">
        <v>255</v>
      </c>
      <c r="C31" s="34"/>
      <c r="D31" s="34"/>
    </row>
    <row r="32" customFormat="false" ht="23.85" hidden="false" customHeight="true" outlineLevel="0" collapsed="false">
      <c r="B32" s="34" t="s">
        <v>256</v>
      </c>
      <c r="C32" s="34"/>
      <c r="D32" s="34"/>
    </row>
    <row r="33" customFormat="false" ht="23.85" hidden="false" customHeight="true" outlineLevel="0" collapsed="false">
      <c r="B33" s="34" t="s">
        <v>257</v>
      </c>
      <c r="C33" s="34"/>
      <c r="D33" s="34"/>
    </row>
    <row r="34" customFormat="false" ht="23.85" hidden="false" customHeight="true" outlineLevel="0" collapsed="false">
      <c r="B34" s="34" t="s">
        <v>258</v>
      </c>
      <c r="C34" s="34"/>
      <c r="D34" s="34"/>
    </row>
    <row r="35" customFormat="false" ht="15" hidden="false" customHeight="true" outlineLevel="0" collapsed="false">
      <c r="B35" s="34" t="s">
        <v>259</v>
      </c>
      <c r="C35" s="34"/>
      <c r="D35" s="34"/>
    </row>
    <row r="36" customFormat="false" ht="15" hidden="false" customHeight="true" outlineLevel="0" collapsed="false">
      <c r="B36" s="34" t="s">
        <v>260</v>
      </c>
      <c r="C36" s="34"/>
      <c r="D36" s="34"/>
    </row>
    <row r="37" customFormat="false" ht="15" hidden="false" customHeight="true" outlineLevel="0" collapsed="false">
      <c r="B37" s="34" t="s">
        <v>261</v>
      </c>
      <c r="C37" s="34"/>
      <c r="D37" s="34"/>
    </row>
    <row r="38" customFormat="false" ht="23.85" hidden="false" customHeight="true" outlineLevel="0" collapsed="false">
      <c r="B38" s="34" t="s">
        <v>262</v>
      </c>
      <c r="C38" s="34"/>
      <c r="D38" s="34"/>
    </row>
    <row r="39" customFormat="false" ht="15" hidden="false" customHeight="true" outlineLevel="0" collapsed="false">
      <c r="B39" s="34" t="s">
        <v>263</v>
      </c>
      <c r="C39" s="34"/>
      <c r="D39" s="34"/>
    </row>
    <row r="40" customFormat="false" ht="15" hidden="false" customHeight="true" outlineLevel="0" collapsed="false">
      <c r="B40" s="34" t="s">
        <v>264</v>
      </c>
      <c r="C40" s="34"/>
      <c r="D40" s="34"/>
    </row>
    <row r="41" customFormat="false" ht="15" hidden="false" customHeight="true" outlineLevel="0" collapsed="false">
      <c r="B41" s="34" t="s">
        <v>265</v>
      </c>
      <c r="C41" s="34"/>
      <c r="D41" s="34"/>
    </row>
    <row r="42" customFormat="false" ht="23.85" hidden="false" customHeight="true" outlineLevel="0" collapsed="false">
      <c r="B42" s="34" t="s">
        <v>266</v>
      </c>
      <c r="C42" s="34"/>
      <c r="D42" s="34"/>
    </row>
    <row r="43" customFormat="false" ht="23.85" hidden="false" customHeight="true" outlineLevel="0" collapsed="false">
      <c r="B43" s="34" t="s">
        <v>267</v>
      </c>
      <c r="C43" s="34"/>
      <c r="D43" s="34"/>
    </row>
    <row r="44" customFormat="false" ht="23.85" hidden="false" customHeight="true" outlineLevel="0" collapsed="false">
      <c r="B44" s="34" t="s">
        <v>268</v>
      </c>
      <c r="C44" s="34"/>
      <c r="D44" s="34"/>
    </row>
    <row r="45" customFormat="false" ht="15" hidden="false" customHeight="true" outlineLevel="0" collapsed="false">
      <c r="B45" s="34" t="s">
        <v>269</v>
      </c>
      <c r="C45" s="34"/>
      <c r="D45" s="34"/>
    </row>
    <row r="46" customFormat="false" ht="35.05" hidden="false" customHeight="true" outlineLevel="0" collapsed="false">
      <c r="B46" s="34" t="s">
        <v>270</v>
      </c>
      <c r="C46" s="34"/>
      <c r="D46" s="34"/>
    </row>
    <row r="47" customFormat="false" ht="23.85" hidden="false" customHeight="true" outlineLevel="0" collapsed="false">
      <c r="B47" s="34" t="s">
        <v>271</v>
      </c>
      <c r="C47" s="34"/>
      <c r="D47" s="34"/>
    </row>
    <row r="48" customFormat="false" ht="23.85" hidden="false" customHeight="true" outlineLevel="0" collapsed="false">
      <c r="B48" s="34" t="s">
        <v>272</v>
      </c>
      <c r="C48" s="34"/>
      <c r="D48" s="34"/>
    </row>
    <row r="49" customFormat="false" ht="23.85" hidden="false" customHeight="true" outlineLevel="0" collapsed="false">
      <c r="B49" s="34" t="s">
        <v>273</v>
      </c>
      <c r="C49" s="34"/>
      <c r="D49" s="34"/>
    </row>
    <row r="50" customFormat="false" ht="23.85" hidden="false" customHeight="true" outlineLevel="0" collapsed="false">
      <c r="B50" s="34" t="s">
        <v>274</v>
      </c>
      <c r="C50" s="34"/>
      <c r="D50" s="34"/>
    </row>
    <row r="51" customFormat="false" ht="23.85" hidden="false" customHeight="true" outlineLevel="0" collapsed="false">
      <c r="B51" s="34" t="s">
        <v>275</v>
      </c>
      <c r="C51" s="34"/>
      <c r="D51" s="34"/>
    </row>
    <row r="53" customFormat="false" ht="15" hidden="false" customHeight="false" outlineLevel="0" collapsed="false">
      <c r="A53" s="35" t="s">
        <v>276</v>
      </c>
    </row>
    <row r="54" customFormat="false" ht="15" hidden="false" customHeight="false" outlineLevel="0" collapsed="false">
      <c r="A54" s="5" t="s">
        <v>277</v>
      </c>
      <c r="B54" s="28" t="n">
        <v>3</v>
      </c>
    </row>
    <row r="55" customFormat="false" ht="15" hidden="false" customHeight="false" outlineLevel="0" collapsed="false">
      <c r="A55" s="5" t="s">
        <v>278</v>
      </c>
      <c r="B55" s="28" t="n">
        <v>0.4</v>
      </c>
    </row>
    <row r="56" customFormat="false" ht="23.85" hidden="false" customHeight="false" outlineLevel="0" collapsed="false">
      <c r="A56" s="5" t="s">
        <v>279</v>
      </c>
      <c r="B56" s="28" t="s">
        <v>280</v>
      </c>
    </row>
    <row r="57" customFormat="false" ht="23.85" hidden="false" customHeight="false" outlineLevel="0" collapsed="false">
      <c r="A57" s="5" t="s">
        <v>281</v>
      </c>
      <c r="B57" s="28" t="s">
        <v>282</v>
      </c>
    </row>
    <row r="58" customFormat="false" ht="79.85" hidden="false" customHeight="false" outlineLevel="0" collapsed="false">
      <c r="A58" s="5" t="s">
        <v>283</v>
      </c>
      <c r="B58" s="28" t="s">
        <v>284</v>
      </c>
    </row>
    <row r="59" customFormat="false" ht="15" hidden="false" customHeight="false" outlineLevel="0" collapsed="false">
      <c r="A59" s="5" t="s">
        <v>285</v>
      </c>
      <c r="B59" s="28" t="s">
        <v>286</v>
      </c>
    </row>
  </sheetData>
  <mergeCells count="28">
    <mergeCell ref="B4:D4"/>
    <mergeCell ref="B5:D5"/>
    <mergeCell ref="B6:D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23" t="s">
        <v>74</v>
      </c>
      <c r="B4" s="23" t="s">
        <v>289</v>
      </c>
      <c r="C4" s="23" t="s">
        <v>290</v>
      </c>
      <c r="D4" s="23" t="s">
        <v>291</v>
      </c>
      <c r="E4" s="23" t="s">
        <v>292</v>
      </c>
    </row>
    <row r="5" customFormat="false" ht="23.85" hidden="false" customHeight="false" outlineLevel="0" collapsed="false">
      <c r="A5" s="5" t="s">
        <v>293</v>
      </c>
      <c r="B5" s="5" t="s">
        <v>294</v>
      </c>
      <c r="C5" s="28" t="s">
        <v>295</v>
      </c>
      <c r="D5" s="5" t="s">
        <v>296</v>
      </c>
      <c r="E5" s="22" t="s">
        <v>297</v>
      </c>
    </row>
    <row r="6" customFormat="false" ht="23.85" hidden="false" customHeight="false" outlineLevel="0" collapsed="false">
      <c r="A6" s="5" t="s">
        <v>298</v>
      </c>
      <c r="B6" s="5" t="s">
        <v>294</v>
      </c>
      <c r="C6" s="28" t="s">
        <v>299</v>
      </c>
      <c r="D6" s="5" t="s">
        <v>300</v>
      </c>
      <c r="E6" s="22" t="s">
        <v>301</v>
      </c>
    </row>
    <row r="7" customFormat="false" ht="15" hidden="false" customHeight="false" outlineLevel="0" collapsed="false">
      <c r="A7" s="5" t="s">
        <v>302</v>
      </c>
      <c r="B7" s="5" t="s">
        <v>294</v>
      </c>
      <c r="C7" s="28" t="s">
        <v>303</v>
      </c>
      <c r="D7" s="5" t="s">
        <v>304</v>
      </c>
      <c r="E7" s="22" t="s">
        <v>305</v>
      </c>
    </row>
    <row r="8" customFormat="false" ht="23.85" hidden="false" customHeight="false" outlineLevel="0" collapsed="false">
      <c r="A8" s="5" t="s">
        <v>306</v>
      </c>
      <c r="B8" s="5" t="s">
        <v>294</v>
      </c>
      <c r="C8" s="28" t="s">
        <v>307</v>
      </c>
      <c r="D8" s="5" t="s">
        <v>304</v>
      </c>
      <c r="E8" s="22" t="s">
        <v>308</v>
      </c>
    </row>
    <row r="9" customFormat="false" ht="23.85" hidden="false" customHeight="false" outlineLevel="0" collapsed="false">
      <c r="A9" s="5" t="s">
        <v>309</v>
      </c>
      <c r="B9" s="5" t="s">
        <v>294</v>
      </c>
      <c r="C9" s="28" t="s">
        <v>310</v>
      </c>
      <c r="D9" s="5" t="s">
        <v>311</v>
      </c>
      <c r="E9" s="22" t="s">
        <v>312</v>
      </c>
    </row>
    <row r="10" customFormat="false" ht="15" hidden="false" customHeight="false" outlineLevel="0" collapsed="false">
      <c r="A10" s="5" t="s">
        <v>313</v>
      </c>
      <c r="B10" s="5" t="s">
        <v>294</v>
      </c>
      <c r="C10" s="28" t="s">
        <v>314</v>
      </c>
      <c r="D10" s="5" t="s">
        <v>315</v>
      </c>
      <c r="E10" s="22" t="s">
        <v>316</v>
      </c>
    </row>
    <row r="11" customFormat="false" ht="23.85" hidden="false" customHeight="false" outlineLevel="0" collapsed="false">
      <c r="A11" s="5" t="s">
        <v>317</v>
      </c>
      <c r="B11" s="5" t="s">
        <v>294</v>
      </c>
      <c r="C11" s="28" t="s">
        <v>318</v>
      </c>
      <c r="D11" s="5" t="s">
        <v>319</v>
      </c>
      <c r="E11" s="22" t="s">
        <v>320</v>
      </c>
    </row>
    <row r="12" customFormat="false" ht="15" hidden="false" customHeight="false" outlineLevel="0" collapsed="false">
      <c r="A12" s="5" t="s">
        <v>321</v>
      </c>
      <c r="B12" s="5" t="s">
        <v>294</v>
      </c>
      <c r="C12" s="28" t="s">
        <v>322</v>
      </c>
      <c r="D12" s="5" t="s">
        <v>323</v>
      </c>
      <c r="E12" s="22" t="s">
        <v>324</v>
      </c>
    </row>
    <row r="13" customFormat="false" ht="23.85" hidden="false" customHeight="false" outlineLevel="0" collapsed="false">
      <c r="A13" s="5" t="s">
        <v>325</v>
      </c>
      <c r="B13" s="5" t="s">
        <v>294</v>
      </c>
      <c r="C13" s="28" t="s">
        <v>326</v>
      </c>
      <c r="D13" s="5" t="s">
        <v>327</v>
      </c>
      <c r="E13" s="22" t="s">
        <v>328</v>
      </c>
    </row>
    <row r="14" customFormat="false" ht="23.85" hidden="false" customHeight="false" outlineLevel="0" collapsed="false">
      <c r="A14" s="5" t="s">
        <v>329</v>
      </c>
      <c r="B14" s="5" t="s">
        <v>294</v>
      </c>
      <c r="C14" s="28" t="s">
        <v>330</v>
      </c>
      <c r="D14" s="5" t="s">
        <v>296</v>
      </c>
      <c r="E14" s="22" t="s">
        <v>331</v>
      </c>
    </row>
    <row r="15" customFormat="false" ht="23.85" hidden="false" customHeight="false" outlineLevel="0" collapsed="false">
      <c r="A15" s="5" t="s">
        <v>332</v>
      </c>
      <c r="B15" s="5" t="s">
        <v>294</v>
      </c>
      <c r="C15" s="28" t="s">
        <v>333</v>
      </c>
      <c r="D15" s="5" t="s">
        <v>334</v>
      </c>
      <c r="E15" s="22" t="s">
        <v>335</v>
      </c>
    </row>
    <row r="16" customFormat="false" ht="23.85" hidden="false" customHeight="false" outlineLevel="0" collapsed="false">
      <c r="A16" s="5" t="s">
        <v>336</v>
      </c>
      <c r="B16" s="5" t="s">
        <v>294</v>
      </c>
      <c r="C16" s="28" t="s">
        <v>337</v>
      </c>
      <c r="D16" s="5" t="s">
        <v>338</v>
      </c>
      <c r="E16" s="22" t="s">
        <v>339</v>
      </c>
    </row>
    <row r="17" customFormat="false" ht="46.25" hidden="false" customHeight="false" outlineLevel="0" collapsed="false">
      <c r="A17" s="5" t="s">
        <v>340</v>
      </c>
      <c r="B17" s="5" t="s">
        <v>294</v>
      </c>
      <c r="C17" s="28" t="s">
        <v>341</v>
      </c>
      <c r="D17" s="5" t="s">
        <v>338</v>
      </c>
      <c r="E17" s="22" t="s">
        <v>342</v>
      </c>
    </row>
    <row r="18" customFormat="false" ht="15" hidden="false" customHeight="false" outlineLevel="0" collapsed="false">
      <c r="A18" s="5" t="s">
        <v>343</v>
      </c>
      <c r="B18" s="5" t="s">
        <v>294</v>
      </c>
      <c r="C18" s="28" t="s">
        <v>344</v>
      </c>
      <c r="D18" s="5" t="s">
        <v>338</v>
      </c>
      <c r="E18" s="22" t="s">
        <v>345</v>
      </c>
    </row>
    <row r="19" customFormat="false" ht="23.85" hidden="false" customHeight="false" outlineLevel="0" collapsed="false">
      <c r="A19" s="5" t="s">
        <v>346</v>
      </c>
      <c r="B19" s="5" t="s">
        <v>294</v>
      </c>
      <c r="C19" s="28" t="s">
        <v>347</v>
      </c>
      <c r="D19" s="5" t="s">
        <v>327</v>
      </c>
      <c r="E19" s="22" t="s">
        <v>348</v>
      </c>
    </row>
    <row r="20" customFormat="false" ht="23.85" hidden="false" customHeight="false" outlineLevel="0" collapsed="false">
      <c r="A20" s="5" t="s">
        <v>349</v>
      </c>
      <c r="B20" s="5" t="s">
        <v>294</v>
      </c>
      <c r="C20" s="28" t="s">
        <v>350</v>
      </c>
      <c r="D20" s="5" t="s">
        <v>327</v>
      </c>
      <c r="E20" s="22" t="s">
        <v>351</v>
      </c>
    </row>
    <row r="21" customFormat="false" ht="23.85" hidden="false" customHeight="false" outlineLevel="0" collapsed="false">
      <c r="A21" s="5" t="s">
        <v>352</v>
      </c>
      <c r="B21" s="5" t="s">
        <v>294</v>
      </c>
      <c r="C21" s="28" t="s">
        <v>353</v>
      </c>
      <c r="D21" s="5" t="s">
        <v>338</v>
      </c>
      <c r="E21" s="22" t="s">
        <v>354</v>
      </c>
    </row>
    <row r="22" customFormat="false" ht="23.85" hidden="false" customHeight="false" outlineLevel="0" collapsed="false">
      <c r="A22" s="5" t="s">
        <v>355</v>
      </c>
      <c r="B22" s="5" t="s">
        <v>294</v>
      </c>
      <c r="C22" s="28" t="s">
        <v>356</v>
      </c>
      <c r="D22" s="5" t="s">
        <v>338</v>
      </c>
      <c r="E22" s="5" t="s">
        <v>357</v>
      </c>
    </row>
    <row r="23" customFormat="false" ht="23.85" hidden="false" customHeight="false" outlineLevel="0" collapsed="false">
      <c r="A23" s="5" t="s">
        <v>358</v>
      </c>
      <c r="B23" s="5" t="s">
        <v>294</v>
      </c>
      <c r="C23" s="28" t="s">
        <v>359</v>
      </c>
      <c r="D23" s="5" t="s">
        <v>338</v>
      </c>
      <c r="E23" s="22" t="s">
        <v>360</v>
      </c>
    </row>
    <row r="24" customFormat="false" ht="23.85" hidden="false" customHeight="false" outlineLevel="0" collapsed="false">
      <c r="A24" s="5" t="s">
        <v>361</v>
      </c>
      <c r="B24" s="5" t="s">
        <v>294</v>
      </c>
      <c r="C24" s="28" t="s">
        <v>362</v>
      </c>
      <c r="D24" s="5" t="s">
        <v>363</v>
      </c>
      <c r="E24" s="22" t="s">
        <v>364</v>
      </c>
    </row>
    <row r="25" customFormat="false" ht="23.85" hidden="false" customHeight="false" outlineLevel="0" collapsed="false">
      <c r="A25" s="5" t="s">
        <v>365</v>
      </c>
      <c r="B25" s="5" t="s">
        <v>294</v>
      </c>
      <c r="C25" s="28" t="s">
        <v>366</v>
      </c>
      <c r="D25" s="5" t="s">
        <v>367</v>
      </c>
      <c r="E25" s="22" t="s">
        <v>368</v>
      </c>
    </row>
    <row r="26" customFormat="false" ht="15" hidden="false" customHeight="false" outlineLevel="0" collapsed="false">
      <c r="A26" s="5" t="s">
        <v>369</v>
      </c>
      <c r="B26" s="5" t="s">
        <v>294</v>
      </c>
      <c r="C26" s="28" t="s">
        <v>370</v>
      </c>
      <c r="D26" s="5" t="s">
        <v>371</v>
      </c>
      <c r="E26" s="22" t="s">
        <v>372</v>
      </c>
    </row>
    <row r="27" customFormat="false" ht="35.05" hidden="false" customHeight="false" outlineLevel="0" collapsed="false">
      <c r="A27" s="5" t="s">
        <v>373</v>
      </c>
      <c r="B27" s="5" t="s">
        <v>294</v>
      </c>
      <c r="C27" s="28" t="s">
        <v>374</v>
      </c>
      <c r="D27" s="5" t="s">
        <v>338</v>
      </c>
      <c r="E27" s="22" t="s">
        <v>375</v>
      </c>
    </row>
    <row r="28" customFormat="false" ht="35.05" hidden="false" customHeight="false" outlineLevel="0" collapsed="false">
      <c r="A28" s="5" t="s">
        <v>376</v>
      </c>
      <c r="B28" s="5" t="s">
        <v>294</v>
      </c>
      <c r="C28" s="28" t="s">
        <v>377</v>
      </c>
      <c r="D28" s="5" t="s">
        <v>334</v>
      </c>
      <c r="E28" s="22" t="s">
        <v>378</v>
      </c>
    </row>
    <row r="29" customFormat="false" ht="35.05" hidden="false" customHeight="false" outlineLevel="0" collapsed="false">
      <c r="A29" s="5" t="s">
        <v>379</v>
      </c>
      <c r="B29" s="5" t="s">
        <v>294</v>
      </c>
      <c r="C29" s="28" t="s">
        <v>380</v>
      </c>
      <c r="D29" s="5" t="s">
        <v>334</v>
      </c>
      <c r="E29" s="22" t="s">
        <v>381</v>
      </c>
    </row>
    <row r="30" customFormat="false" ht="35.05" hidden="false" customHeight="false" outlineLevel="0" collapsed="false">
      <c r="A30" s="5" t="s">
        <v>382</v>
      </c>
      <c r="B30" s="5" t="s">
        <v>294</v>
      </c>
      <c r="C30" s="28" t="s">
        <v>383</v>
      </c>
      <c r="D30" s="5" t="s">
        <v>334</v>
      </c>
      <c r="E30" s="22" t="s">
        <v>384</v>
      </c>
    </row>
    <row r="31" customFormat="false" ht="35.05" hidden="false" customHeight="false" outlineLevel="0" collapsed="false">
      <c r="A31" s="5" t="s">
        <v>385</v>
      </c>
      <c r="B31" s="5" t="s">
        <v>294</v>
      </c>
      <c r="C31" s="28" t="s">
        <v>386</v>
      </c>
      <c r="D31" s="5" t="s">
        <v>334</v>
      </c>
      <c r="E31" s="22" t="s">
        <v>387</v>
      </c>
    </row>
    <row r="32" customFormat="false" ht="23.85" hidden="false" customHeight="false" outlineLevel="0" collapsed="false">
      <c r="A32" s="5" t="s">
        <v>388</v>
      </c>
      <c r="B32" s="5" t="s">
        <v>294</v>
      </c>
      <c r="C32" s="28" t="s">
        <v>389</v>
      </c>
      <c r="D32" s="5" t="s">
        <v>334</v>
      </c>
      <c r="E32" s="22" t="s">
        <v>390</v>
      </c>
    </row>
    <row r="33" customFormat="false" ht="23.85" hidden="false" customHeight="false" outlineLevel="0" collapsed="false">
      <c r="A33" s="5" t="s">
        <v>391</v>
      </c>
      <c r="B33" s="5" t="s">
        <v>294</v>
      </c>
      <c r="C33" s="28" t="s">
        <v>392</v>
      </c>
      <c r="D33" s="5" t="s">
        <v>334</v>
      </c>
      <c r="E33" s="22" t="s">
        <v>393</v>
      </c>
    </row>
    <row r="34" customFormat="false" ht="23.85" hidden="false" customHeight="false" outlineLevel="0" collapsed="false">
      <c r="A34" s="5" t="s">
        <v>394</v>
      </c>
      <c r="B34" s="5" t="s">
        <v>294</v>
      </c>
      <c r="C34" s="28" t="s">
        <v>395</v>
      </c>
      <c r="D34" s="5" t="s">
        <v>334</v>
      </c>
      <c r="E34" s="22" t="s">
        <v>396</v>
      </c>
    </row>
    <row r="35" customFormat="false" ht="35.05" hidden="false" customHeight="false" outlineLevel="0" collapsed="false">
      <c r="A35" s="5" t="s">
        <v>397</v>
      </c>
      <c r="B35" s="5" t="s">
        <v>294</v>
      </c>
      <c r="C35" s="28" t="s">
        <v>398</v>
      </c>
      <c r="D35" s="5" t="s">
        <v>334</v>
      </c>
      <c r="E35" s="22" t="s">
        <v>399</v>
      </c>
    </row>
    <row r="36" customFormat="false" ht="35.05" hidden="false" customHeight="false" outlineLevel="0" collapsed="false">
      <c r="A36" s="5" t="s">
        <v>400</v>
      </c>
      <c r="B36" s="5" t="s">
        <v>294</v>
      </c>
      <c r="C36" s="28" t="s">
        <v>401</v>
      </c>
      <c r="D36" s="5" t="s">
        <v>334</v>
      </c>
      <c r="E36" s="22" t="s">
        <v>402</v>
      </c>
    </row>
    <row r="37" customFormat="false" ht="35.05" hidden="false" customHeight="false" outlineLevel="0" collapsed="false">
      <c r="A37" s="5" t="s">
        <v>403</v>
      </c>
      <c r="B37" s="5" t="s">
        <v>294</v>
      </c>
      <c r="C37" s="28" t="s">
        <v>404</v>
      </c>
      <c r="D37" s="5" t="s">
        <v>334</v>
      </c>
      <c r="E37" s="22" t="s">
        <v>405</v>
      </c>
    </row>
    <row r="38" customFormat="false" ht="35.05" hidden="false" customHeight="false" outlineLevel="0" collapsed="false">
      <c r="A38" s="5" t="s">
        <v>406</v>
      </c>
      <c r="B38" s="5" t="s">
        <v>294</v>
      </c>
      <c r="C38" s="28" t="s">
        <v>407</v>
      </c>
      <c r="D38" s="5" t="s">
        <v>334</v>
      </c>
      <c r="E38" s="22" t="s">
        <v>408</v>
      </c>
    </row>
    <row r="39" customFormat="false" ht="35.05" hidden="false" customHeight="false" outlineLevel="0" collapsed="false">
      <c r="A39" s="5" t="s">
        <v>409</v>
      </c>
      <c r="B39" s="5" t="s">
        <v>294</v>
      </c>
      <c r="C39" s="28" t="s">
        <v>410</v>
      </c>
      <c r="D39" s="5" t="s">
        <v>338</v>
      </c>
      <c r="E39" s="22" t="s">
        <v>345</v>
      </c>
    </row>
    <row r="40" customFormat="false" ht="23.85" hidden="false" customHeight="false" outlineLevel="0" collapsed="false">
      <c r="A40" s="5" t="s">
        <v>411</v>
      </c>
      <c r="B40" s="5" t="s">
        <v>294</v>
      </c>
      <c r="C40" s="28" t="s">
        <v>412</v>
      </c>
      <c r="D40" s="5" t="s">
        <v>334</v>
      </c>
      <c r="E40" s="22" t="s">
        <v>413</v>
      </c>
    </row>
    <row r="41" customFormat="false" ht="23.85" hidden="false" customHeight="false" outlineLevel="0" collapsed="false">
      <c r="A41" s="5" t="s">
        <v>414</v>
      </c>
      <c r="B41" s="5" t="s">
        <v>294</v>
      </c>
      <c r="C41" s="28" t="s">
        <v>415</v>
      </c>
      <c r="D41" s="5" t="s">
        <v>334</v>
      </c>
      <c r="E41" s="22" t="s">
        <v>416</v>
      </c>
    </row>
    <row r="42" customFormat="false" ht="15" hidden="false" customHeight="false" outlineLevel="0" collapsed="false">
      <c r="A42" s="5" t="s">
        <v>417</v>
      </c>
      <c r="B42" s="5" t="s">
        <v>294</v>
      </c>
      <c r="C42" s="28" t="s">
        <v>418</v>
      </c>
      <c r="D42" s="5" t="s">
        <v>304</v>
      </c>
      <c r="E42" s="22" t="s">
        <v>419</v>
      </c>
    </row>
    <row r="43" customFormat="false" ht="15" hidden="false" customHeight="false" outlineLevel="0" collapsed="false">
      <c r="A43" s="5" t="s">
        <v>420</v>
      </c>
      <c r="B43" s="5" t="s">
        <v>421</v>
      </c>
      <c r="C43" s="28" t="s">
        <v>422</v>
      </c>
      <c r="D43" s="5" t="s">
        <v>304</v>
      </c>
      <c r="E43" s="22" t="s">
        <v>423</v>
      </c>
    </row>
    <row r="44" customFormat="false" ht="15" hidden="false" customHeight="false" outlineLevel="0" collapsed="false">
      <c r="A44" s="5" t="s">
        <v>424</v>
      </c>
      <c r="B44" s="5" t="s">
        <v>421</v>
      </c>
      <c r="C44" s="28" t="s">
        <v>425</v>
      </c>
      <c r="D44" s="5" t="s">
        <v>304</v>
      </c>
      <c r="E44" s="22" t="s">
        <v>426</v>
      </c>
    </row>
    <row r="45" customFormat="false" ht="23.85" hidden="false" customHeight="false" outlineLevel="0" collapsed="false">
      <c r="A45" s="5" t="s">
        <v>427</v>
      </c>
      <c r="B45" s="5" t="s">
        <v>421</v>
      </c>
      <c r="C45" s="28" t="s">
        <v>428</v>
      </c>
      <c r="D45" s="5" t="s">
        <v>311</v>
      </c>
      <c r="E45" s="22" t="s">
        <v>429</v>
      </c>
    </row>
    <row r="46" customFormat="false" ht="23.85" hidden="false" customHeight="false" outlineLevel="0" collapsed="false">
      <c r="A46" s="5" t="s">
        <v>430</v>
      </c>
      <c r="B46" s="5" t="s">
        <v>421</v>
      </c>
      <c r="C46" s="28" t="s">
        <v>431</v>
      </c>
      <c r="D46" s="5" t="s">
        <v>315</v>
      </c>
      <c r="E46" s="22" t="s">
        <v>432</v>
      </c>
    </row>
    <row r="47" customFormat="false" ht="23.85" hidden="false" customHeight="false" outlineLevel="0" collapsed="false">
      <c r="A47" s="5" t="s">
        <v>433</v>
      </c>
      <c r="B47" s="5" t="s">
        <v>421</v>
      </c>
      <c r="C47" s="28" t="s">
        <v>434</v>
      </c>
      <c r="D47" s="5" t="s">
        <v>296</v>
      </c>
      <c r="E47" s="22" t="s">
        <v>435</v>
      </c>
    </row>
    <row r="48" customFormat="false" ht="23.85" hidden="false" customHeight="false" outlineLevel="0" collapsed="false">
      <c r="A48" s="5" t="s">
        <v>436</v>
      </c>
      <c r="B48" s="5" t="s">
        <v>421</v>
      </c>
      <c r="C48" s="28" t="s">
        <v>437</v>
      </c>
      <c r="D48" s="5" t="s">
        <v>296</v>
      </c>
      <c r="E48" s="22" t="s">
        <v>331</v>
      </c>
    </row>
    <row r="49" customFormat="false" ht="15" hidden="false" customHeight="false" outlineLevel="0" collapsed="false">
      <c r="A49" s="5" t="s">
        <v>438</v>
      </c>
      <c r="B49" s="5" t="s">
        <v>421</v>
      </c>
      <c r="C49" s="28" t="s">
        <v>439</v>
      </c>
      <c r="D49" s="5" t="s">
        <v>338</v>
      </c>
      <c r="E49" s="22" t="s">
        <v>345</v>
      </c>
    </row>
    <row r="50" customFormat="false" ht="15" hidden="false" customHeight="false" outlineLevel="0" collapsed="false">
      <c r="A50" s="5" t="s">
        <v>440</v>
      </c>
      <c r="B50" s="5" t="s">
        <v>421</v>
      </c>
      <c r="C50" s="28" t="s">
        <v>441</v>
      </c>
      <c r="D50" s="5" t="s">
        <v>338</v>
      </c>
      <c r="E50" s="22" t="s">
        <v>345</v>
      </c>
    </row>
    <row r="51" customFormat="false" ht="23.85" hidden="false" customHeight="false" outlineLevel="0" collapsed="false">
      <c r="A51" s="5" t="s">
        <v>442</v>
      </c>
      <c r="B51" s="5" t="s">
        <v>421</v>
      </c>
      <c r="C51" s="28" t="s">
        <v>443</v>
      </c>
      <c r="D51" s="5" t="s">
        <v>338</v>
      </c>
      <c r="E51" s="22" t="s">
        <v>339</v>
      </c>
    </row>
    <row r="52" customFormat="false" ht="23.85" hidden="false" customHeight="false" outlineLevel="0" collapsed="false">
      <c r="A52" s="5" t="s">
        <v>444</v>
      </c>
      <c r="B52" s="5" t="s">
        <v>421</v>
      </c>
      <c r="C52" s="28" t="s">
        <v>445</v>
      </c>
      <c r="D52" s="5" t="s">
        <v>334</v>
      </c>
      <c r="E52" s="22" t="s">
        <v>342</v>
      </c>
    </row>
    <row r="53" customFormat="false" ht="15" hidden="false" customHeight="false" outlineLevel="0" collapsed="false">
      <c r="A53" s="5" t="s">
        <v>446</v>
      </c>
      <c r="B53" s="5" t="s">
        <v>421</v>
      </c>
      <c r="C53" s="28" t="s">
        <v>447</v>
      </c>
      <c r="D53" s="5" t="s">
        <v>338</v>
      </c>
      <c r="E53" s="22" t="s">
        <v>448</v>
      </c>
    </row>
    <row r="54" customFormat="false" ht="15" hidden="false" customHeight="false" outlineLevel="0" collapsed="false">
      <c r="A54" s="5" t="s">
        <v>449</v>
      </c>
      <c r="B54" s="5" t="s">
        <v>421</v>
      </c>
      <c r="C54" s="28" t="s">
        <v>450</v>
      </c>
      <c r="D54" s="5" t="s">
        <v>338</v>
      </c>
      <c r="E54" s="22" t="s">
        <v>451</v>
      </c>
    </row>
    <row r="55" customFormat="false" ht="15" hidden="false" customHeight="false" outlineLevel="0" collapsed="false">
      <c r="A55" s="5" t="s">
        <v>452</v>
      </c>
      <c r="B55" s="5" t="s">
        <v>421</v>
      </c>
      <c r="C55" s="28" t="s">
        <v>453</v>
      </c>
      <c r="D55" s="5" t="s">
        <v>338</v>
      </c>
      <c r="E55" s="22" t="s">
        <v>454</v>
      </c>
    </row>
    <row r="56" customFormat="false" ht="15" hidden="false" customHeight="false" outlineLevel="0" collapsed="false">
      <c r="A56" s="5" t="s">
        <v>455</v>
      </c>
      <c r="B56" s="5" t="s">
        <v>421</v>
      </c>
      <c r="C56" s="28" t="s">
        <v>456</v>
      </c>
      <c r="D56" s="5" t="s">
        <v>338</v>
      </c>
      <c r="E56" s="22" t="s">
        <v>457</v>
      </c>
    </row>
    <row r="57" customFormat="false" ht="15" hidden="false" customHeight="false" outlineLevel="0" collapsed="false">
      <c r="A57" s="5" t="s">
        <v>458</v>
      </c>
      <c r="B57" s="5" t="s">
        <v>421</v>
      </c>
      <c r="C57" s="28" t="s">
        <v>459</v>
      </c>
      <c r="D57" s="5" t="s">
        <v>338</v>
      </c>
      <c r="E57" s="22" t="s">
        <v>460</v>
      </c>
    </row>
    <row r="58" customFormat="false" ht="15" hidden="false" customHeight="false" outlineLevel="0" collapsed="false">
      <c r="A58" s="5" t="s">
        <v>461</v>
      </c>
      <c r="B58" s="5" t="s">
        <v>421</v>
      </c>
      <c r="C58" s="28" t="s">
        <v>462</v>
      </c>
      <c r="D58" s="5" t="s">
        <v>338</v>
      </c>
      <c r="E58" s="22" t="s">
        <v>463</v>
      </c>
    </row>
    <row r="59" customFormat="false" ht="15" hidden="false" customHeight="false" outlineLevel="0" collapsed="false">
      <c r="A59" s="5" t="s">
        <v>464</v>
      </c>
      <c r="B59" s="5" t="s">
        <v>421</v>
      </c>
      <c r="C59" s="28" t="s">
        <v>465</v>
      </c>
      <c r="D59" s="5" t="s">
        <v>338</v>
      </c>
      <c r="E59" s="22" t="s">
        <v>466</v>
      </c>
    </row>
    <row r="60" customFormat="false" ht="15" hidden="false" customHeight="false" outlineLevel="0" collapsed="false">
      <c r="A60" s="5" t="s">
        <v>467</v>
      </c>
      <c r="B60" s="5" t="s">
        <v>421</v>
      </c>
      <c r="C60" s="28" t="s">
        <v>468</v>
      </c>
      <c r="D60" s="5" t="s">
        <v>338</v>
      </c>
      <c r="E60" s="22" t="s">
        <v>469</v>
      </c>
    </row>
    <row r="61" customFormat="false" ht="15" hidden="false" customHeight="false" outlineLevel="0" collapsed="false">
      <c r="A61" s="5" t="s">
        <v>470</v>
      </c>
      <c r="B61" s="5" t="s">
        <v>421</v>
      </c>
      <c r="C61" s="28" t="s">
        <v>471</v>
      </c>
      <c r="D61" s="5" t="s">
        <v>338</v>
      </c>
      <c r="E61" s="22" t="s">
        <v>472</v>
      </c>
    </row>
    <row r="62" customFormat="false" ht="15" hidden="false" customHeight="false" outlineLevel="0" collapsed="false">
      <c r="A62" s="5" t="s">
        <v>473</v>
      </c>
      <c r="B62" s="5" t="s">
        <v>421</v>
      </c>
      <c r="C62" s="28" t="s">
        <v>474</v>
      </c>
      <c r="D62" s="5" t="s">
        <v>334</v>
      </c>
      <c r="E62" s="22" t="s">
        <v>475</v>
      </c>
    </row>
    <row r="63" customFormat="false" ht="15" hidden="false" customHeight="false" outlineLevel="0" collapsed="false">
      <c r="A63" s="5" t="s">
        <v>476</v>
      </c>
      <c r="B63" s="5" t="s">
        <v>421</v>
      </c>
      <c r="C63" s="28" t="s">
        <v>477</v>
      </c>
      <c r="D63" s="5" t="s">
        <v>338</v>
      </c>
      <c r="E63" s="22" t="s">
        <v>478</v>
      </c>
    </row>
    <row r="64" customFormat="false" ht="23.85" hidden="false" customHeight="false" outlineLevel="0" collapsed="false">
      <c r="A64" s="5" t="s">
        <v>479</v>
      </c>
      <c r="B64" s="5" t="s">
        <v>421</v>
      </c>
      <c r="C64" s="28" t="s">
        <v>480</v>
      </c>
      <c r="D64" s="5" t="s">
        <v>481</v>
      </c>
      <c r="E64" s="22" t="s">
        <v>482</v>
      </c>
    </row>
    <row r="65" customFormat="false" ht="23.85" hidden="false" customHeight="false" outlineLevel="0" collapsed="false">
      <c r="A65" s="5" t="s">
        <v>483</v>
      </c>
      <c r="B65" s="5" t="s">
        <v>421</v>
      </c>
      <c r="C65" s="28" t="s">
        <v>484</v>
      </c>
      <c r="D65" s="5" t="s">
        <v>485</v>
      </c>
      <c r="E65" s="22" t="s">
        <v>486</v>
      </c>
    </row>
    <row r="66" customFormat="false" ht="23.85" hidden="false" customHeight="false" outlineLevel="0" collapsed="false">
      <c r="A66" s="5" t="s">
        <v>487</v>
      </c>
      <c r="B66" s="5" t="s">
        <v>421</v>
      </c>
      <c r="C66" s="28" t="s">
        <v>488</v>
      </c>
      <c r="D66" s="5" t="s">
        <v>327</v>
      </c>
      <c r="E66" s="22" t="s">
        <v>489</v>
      </c>
    </row>
    <row r="67" customFormat="false" ht="35.05" hidden="false" customHeight="false" outlineLevel="0" collapsed="false">
      <c r="A67" s="5" t="s">
        <v>490</v>
      </c>
      <c r="B67" s="5" t="s">
        <v>421</v>
      </c>
      <c r="C67" s="28" t="s">
        <v>491</v>
      </c>
      <c r="D67" s="5" t="s">
        <v>304</v>
      </c>
      <c r="E67" s="22" t="s">
        <v>492</v>
      </c>
    </row>
    <row r="68" customFormat="false" ht="35.05" hidden="false" customHeight="false" outlineLevel="0" collapsed="false">
      <c r="A68" s="5" t="s">
        <v>493</v>
      </c>
      <c r="B68" s="5" t="s">
        <v>421</v>
      </c>
      <c r="C68" s="28" t="s">
        <v>494</v>
      </c>
      <c r="D68" s="5" t="s">
        <v>495</v>
      </c>
      <c r="E68" s="22" t="s">
        <v>496</v>
      </c>
    </row>
    <row r="69" customFormat="false" ht="23.85" hidden="false" customHeight="false" outlineLevel="0" collapsed="false">
      <c r="A69" s="5" t="s">
        <v>497</v>
      </c>
      <c r="B69" s="5" t="s">
        <v>421</v>
      </c>
      <c r="C69" s="28" t="s">
        <v>498</v>
      </c>
      <c r="D69" s="5" t="s">
        <v>499</v>
      </c>
      <c r="E69" s="22" t="s">
        <v>500</v>
      </c>
    </row>
    <row r="70" customFormat="false" ht="23.85" hidden="false" customHeight="false" outlineLevel="0" collapsed="false">
      <c r="A70" s="5" t="s">
        <v>501</v>
      </c>
      <c r="B70" s="5" t="s">
        <v>421</v>
      </c>
      <c r="C70" s="28" t="s">
        <v>502</v>
      </c>
      <c r="D70" s="5" t="s">
        <v>503</v>
      </c>
      <c r="E70" s="22" t="s">
        <v>504</v>
      </c>
    </row>
    <row r="71" customFormat="false" ht="23.85" hidden="false" customHeight="false" outlineLevel="0" collapsed="false">
      <c r="A71" s="5" t="s">
        <v>505</v>
      </c>
      <c r="B71" s="5" t="s">
        <v>421</v>
      </c>
      <c r="C71" s="28" t="s">
        <v>506</v>
      </c>
      <c r="D71" s="5" t="s">
        <v>507</v>
      </c>
      <c r="E71" s="22" t="s">
        <v>508</v>
      </c>
    </row>
    <row r="72" customFormat="false" ht="23.85" hidden="false" customHeight="false" outlineLevel="0" collapsed="false">
      <c r="A72" s="5" t="s">
        <v>509</v>
      </c>
      <c r="B72" s="5" t="s">
        <v>421</v>
      </c>
      <c r="C72" s="28" t="s">
        <v>510</v>
      </c>
      <c r="D72" s="5" t="s">
        <v>507</v>
      </c>
      <c r="E72" s="22" t="s">
        <v>511</v>
      </c>
    </row>
    <row r="73" customFormat="false" ht="23.85" hidden="false" customHeight="false" outlineLevel="0" collapsed="false">
      <c r="A73" s="5" t="s">
        <v>512</v>
      </c>
      <c r="B73" s="5" t="s">
        <v>421</v>
      </c>
      <c r="C73" s="28" t="s">
        <v>513</v>
      </c>
      <c r="D73" s="5" t="s">
        <v>338</v>
      </c>
      <c r="E73" s="5" t="s">
        <v>357</v>
      </c>
    </row>
    <row r="74" customFormat="false" ht="23.85" hidden="false" customHeight="false" outlineLevel="0" collapsed="false">
      <c r="A74" s="5" t="s">
        <v>514</v>
      </c>
      <c r="B74" s="5" t="s">
        <v>421</v>
      </c>
      <c r="C74" s="28" t="s">
        <v>515</v>
      </c>
      <c r="D74" s="5" t="s">
        <v>516</v>
      </c>
      <c r="E74" s="22" t="s">
        <v>517</v>
      </c>
    </row>
    <row r="75" customFormat="false" ht="15" hidden="false" customHeight="false" outlineLevel="0" collapsed="false">
      <c r="A75" s="5" t="s">
        <v>518</v>
      </c>
      <c r="B75" s="5" t="s">
        <v>421</v>
      </c>
      <c r="C75" s="28" t="s">
        <v>519</v>
      </c>
      <c r="D75" s="5" t="s">
        <v>323</v>
      </c>
      <c r="E75" s="22" t="s">
        <v>520</v>
      </c>
    </row>
    <row r="76" customFormat="false" ht="15" hidden="false" customHeight="false" outlineLevel="0" collapsed="false">
      <c r="A76" s="5" t="s">
        <v>521</v>
      </c>
      <c r="B76" s="5" t="s">
        <v>421</v>
      </c>
      <c r="C76" s="28" t="s">
        <v>522</v>
      </c>
      <c r="D76" s="5" t="s">
        <v>523</v>
      </c>
      <c r="E76" s="22" t="s">
        <v>354</v>
      </c>
    </row>
    <row r="77" customFormat="false" ht="23.85" hidden="false" customHeight="false" outlineLevel="0" collapsed="false">
      <c r="A77" s="5" t="s">
        <v>524</v>
      </c>
      <c r="B77" s="5" t="s">
        <v>421</v>
      </c>
      <c r="C77" s="28" t="s">
        <v>525</v>
      </c>
      <c r="D77" s="5" t="s">
        <v>304</v>
      </c>
      <c r="E77" s="22" t="s">
        <v>308</v>
      </c>
    </row>
    <row r="78" customFormat="false" ht="23.85" hidden="false" customHeight="false" outlineLevel="0" collapsed="false">
      <c r="A78" s="5" t="s">
        <v>526</v>
      </c>
      <c r="B78" s="5" t="s">
        <v>421</v>
      </c>
      <c r="C78" s="28" t="s">
        <v>527</v>
      </c>
      <c r="D78" s="5" t="s">
        <v>363</v>
      </c>
      <c r="E78" s="22" t="s">
        <v>364</v>
      </c>
    </row>
    <row r="79" customFormat="false" ht="23.85" hidden="false" customHeight="false" outlineLevel="0" collapsed="false">
      <c r="A79" s="5" t="s">
        <v>528</v>
      </c>
      <c r="B79" s="5" t="s">
        <v>421</v>
      </c>
      <c r="C79" s="28" t="s">
        <v>529</v>
      </c>
      <c r="D79" s="5" t="s">
        <v>516</v>
      </c>
      <c r="E79" s="22" t="s">
        <v>368</v>
      </c>
    </row>
    <row r="80" customFormat="false" ht="23.85" hidden="false" customHeight="false" outlineLevel="0" collapsed="false">
      <c r="A80" s="5" t="s">
        <v>530</v>
      </c>
      <c r="B80" s="5" t="s">
        <v>421</v>
      </c>
      <c r="C80" s="28" t="s">
        <v>531</v>
      </c>
      <c r="D80" s="5" t="s">
        <v>334</v>
      </c>
      <c r="E80" s="22" t="s">
        <v>335</v>
      </c>
    </row>
    <row r="81" customFormat="false" ht="23.85" hidden="false" customHeight="false" outlineLevel="0" collapsed="false">
      <c r="A81" s="5" t="s">
        <v>532</v>
      </c>
      <c r="B81" s="5" t="s">
        <v>421</v>
      </c>
      <c r="C81" s="28" t="s">
        <v>533</v>
      </c>
      <c r="D81" s="5" t="s">
        <v>485</v>
      </c>
      <c r="E81" s="22" t="s">
        <v>534</v>
      </c>
    </row>
    <row r="82" customFormat="false" ht="23.85" hidden="false" customHeight="false" outlineLevel="0" collapsed="false">
      <c r="A82" s="5" t="s">
        <v>535</v>
      </c>
      <c r="B82" s="5" t="s">
        <v>421</v>
      </c>
      <c r="C82" s="28" t="s">
        <v>536</v>
      </c>
      <c r="D82" s="5" t="s">
        <v>537</v>
      </c>
      <c r="E82" s="22" t="s">
        <v>538</v>
      </c>
    </row>
    <row r="83" customFormat="false" ht="23.85" hidden="false" customHeight="false" outlineLevel="0" collapsed="false">
      <c r="A83" s="5" t="s">
        <v>539</v>
      </c>
      <c r="B83" s="5" t="s">
        <v>421</v>
      </c>
      <c r="C83" s="28" t="s">
        <v>540</v>
      </c>
      <c r="D83" s="5" t="s">
        <v>516</v>
      </c>
      <c r="E83" s="22" t="s">
        <v>541</v>
      </c>
    </row>
    <row r="84" customFormat="false" ht="35.05" hidden="false" customHeight="false" outlineLevel="0" collapsed="false">
      <c r="A84" s="5" t="s">
        <v>542</v>
      </c>
      <c r="B84" s="5" t="s">
        <v>421</v>
      </c>
      <c r="C84" s="28" t="s">
        <v>374</v>
      </c>
      <c r="D84" s="5" t="s">
        <v>338</v>
      </c>
      <c r="E84" s="22" t="s">
        <v>375</v>
      </c>
    </row>
    <row r="85" customFormat="false" ht="35.05" hidden="false" customHeight="false" outlineLevel="0" collapsed="false">
      <c r="A85" s="5" t="s">
        <v>543</v>
      </c>
      <c r="B85" s="5" t="s">
        <v>421</v>
      </c>
      <c r="C85" s="28" t="s">
        <v>377</v>
      </c>
      <c r="D85" s="5" t="s">
        <v>334</v>
      </c>
      <c r="E85" s="22" t="s">
        <v>378</v>
      </c>
    </row>
    <row r="86" customFormat="false" ht="35.05" hidden="false" customHeight="false" outlineLevel="0" collapsed="false">
      <c r="A86" s="5" t="s">
        <v>544</v>
      </c>
      <c r="B86" s="5" t="s">
        <v>421</v>
      </c>
      <c r="C86" s="28" t="s">
        <v>380</v>
      </c>
      <c r="D86" s="5" t="s">
        <v>334</v>
      </c>
      <c r="E86" s="22" t="s">
        <v>381</v>
      </c>
    </row>
    <row r="87" customFormat="false" ht="35.05" hidden="false" customHeight="false" outlineLevel="0" collapsed="false">
      <c r="A87" s="5" t="s">
        <v>545</v>
      </c>
      <c r="B87" s="5" t="s">
        <v>421</v>
      </c>
      <c r="C87" s="28" t="s">
        <v>383</v>
      </c>
      <c r="D87" s="5" t="s">
        <v>334</v>
      </c>
      <c r="E87" s="22" t="s">
        <v>384</v>
      </c>
    </row>
    <row r="88" customFormat="false" ht="35.05" hidden="false" customHeight="false" outlineLevel="0" collapsed="false">
      <c r="A88" s="5" t="s">
        <v>546</v>
      </c>
      <c r="B88" s="5" t="s">
        <v>421</v>
      </c>
      <c r="C88" s="28" t="s">
        <v>386</v>
      </c>
      <c r="D88" s="5" t="s">
        <v>334</v>
      </c>
      <c r="E88" s="22" t="s">
        <v>387</v>
      </c>
    </row>
    <row r="89" customFormat="false" ht="23.85" hidden="false" customHeight="false" outlineLevel="0" collapsed="false">
      <c r="A89" s="5" t="s">
        <v>547</v>
      </c>
      <c r="B89" s="5" t="s">
        <v>421</v>
      </c>
      <c r="C89" s="28" t="s">
        <v>389</v>
      </c>
      <c r="D89" s="5" t="s">
        <v>334</v>
      </c>
      <c r="E89" s="22" t="s">
        <v>390</v>
      </c>
    </row>
    <row r="90" customFormat="false" ht="23.85" hidden="false" customHeight="false" outlineLevel="0" collapsed="false">
      <c r="A90" s="5" t="s">
        <v>548</v>
      </c>
      <c r="B90" s="5" t="s">
        <v>421</v>
      </c>
      <c r="C90" s="28" t="s">
        <v>392</v>
      </c>
      <c r="D90" s="5" t="s">
        <v>334</v>
      </c>
      <c r="E90" s="22" t="s">
        <v>393</v>
      </c>
    </row>
    <row r="91" customFormat="false" ht="23.85" hidden="false" customHeight="false" outlineLevel="0" collapsed="false">
      <c r="A91" s="5" t="s">
        <v>549</v>
      </c>
      <c r="B91" s="5" t="s">
        <v>421</v>
      </c>
      <c r="C91" s="28" t="s">
        <v>395</v>
      </c>
      <c r="D91" s="5" t="s">
        <v>334</v>
      </c>
      <c r="E91" s="22" t="s">
        <v>396</v>
      </c>
    </row>
    <row r="92" customFormat="false" ht="35.05" hidden="false" customHeight="false" outlineLevel="0" collapsed="false">
      <c r="A92" s="5" t="s">
        <v>550</v>
      </c>
      <c r="B92" s="5" t="s">
        <v>421</v>
      </c>
      <c r="C92" s="28" t="s">
        <v>398</v>
      </c>
      <c r="D92" s="5" t="s">
        <v>334</v>
      </c>
      <c r="E92" s="22" t="s">
        <v>399</v>
      </c>
    </row>
    <row r="93" customFormat="false" ht="35.05" hidden="false" customHeight="false" outlineLevel="0" collapsed="false">
      <c r="A93" s="5" t="s">
        <v>551</v>
      </c>
      <c r="B93" s="5" t="s">
        <v>421</v>
      </c>
      <c r="C93" s="28" t="s">
        <v>401</v>
      </c>
      <c r="D93" s="5" t="s">
        <v>334</v>
      </c>
      <c r="E93" s="22" t="s">
        <v>402</v>
      </c>
    </row>
    <row r="94" customFormat="false" ht="35.05" hidden="false" customHeight="false" outlineLevel="0" collapsed="false">
      <c r="A94" s="5" t="s">
        <v>552</v>
      </c>
      <c r="B94" s="5" t="s">
        <v>421</v>
      </c>
      <c r="C94" s="28" t="s">
        <v>404</v>
      </c>
      <c r="D94" s="5" t="s">
        <v>334</v>
      </c>
      <c r="E94" s="22" t="s">
        <v>405</v>
      </c>
    </row>
    <row r="95" customFormat="false" ht="35.05" hidden="false" customHeight="false" outlineLevel="0" collapsed="false">
      <c r="A95" s="5" t="s">
        <v>553</v>
      </c>
      <c r="B95" s="5" t="s">
        <v>421</v>
      </c>
      <c r="C95" s="28" t="s">
        <v>407</v>
      </c>
      <c r="D95" s="5" t="s">
        <v>334</v>
      </c>
      <c r="E95" s="22" t="s">
        <v>408</v>
      </c>
    </row>
    <row r="96" customFormat="false" ht="35.05" hidden="false" customHeight="false" outlineLevel="0" collapsed="false">
      <c r="A96" s="5" t="s">
        <v>554</v>
      </c>
      <c r="B96" s="5" t="s">
        <v>421</v>
      </c>
      <c r="C96" s="28" t="s">
        <v>410</v>
      </c>
      <c r="D96" s="5" t="s">
        <v>338</v>
      </c>
      <c r="E96" s="22" t="s">
        <v>345</v>
      </c>
    </row>
    <row r="97" customFormat="false" ht="23.85" hidden="false" customHeight="false" outlineLevel="0" collapsed="false">
      <c r="A97" s="5" t="s">
        <v>555</v>
      </c>
      <c r="B97" s="5" t="s">
        <v>421</v>
      </c>
      <c r="C97" s="28" t="s">
        <v>412</v>
      </c>
      <c r="D97" s="5" t="s">
        <v>334</v>
      </c>
      <c r="E97" s="22" t="s">
        <v>413</v>
      </c>
    </row>
    <row r="98" customFormat="false" ht="23.85" hidden="false" customHeight="false" outlineLevel="0" collapsed="false">
      <c r="A98" s="5" t="s">
        <v>556</v>
      </c>
      <c r="B98" s="5" t="s">
        <v>421</v>
      </c>
      <c r="C98" s="28" t="s">
        <v>415</v>
      </c>
      <c r="D98" s="5" t="s">
        <v>334</v>
      </c>
      <c r="E98" s="22" t="s">
        <v>416</v>
      </c>
    </row>
    <row r="99" customFormat="false" ht="23.85" hidden="false" customHeight="false" outlineLevel="0" collapsed="false">
      <c r="A99" s="5" t="s">
        <v>557</v>
      </c>
      <c r="B99" s="5" t="s">
        <v>558</v>
      </c>
      <c r="C99" s="28" t="s">
        <v>559</v>
      </c>
      <c r="D99" s="5" t="s">
        <v>296</v>
      </c>
      <c r="E99" s="22" t="s">
        <v>297</v>
      </c>
    </row>
    <row r="100" customFormat="false" ht="23.85" hidden="false" customHeight="false" outlineLevel="0" collapsed="false">
      <c r="A100" s="5" t="s">
        <v>560</v>
      </c>
      <c r="B100" s="5" t="s">
        <v>558</v>
      </c>
      <c r="C100" s="28" t="s">
        <v>561</v>
      </c>
      <c r="D100" s="5" t="s">
        <v>300</v>
      </c>
      <c r="E100" s="22" t="s">
        <v>301</v>
      </c>
    </row>
    <row r="101" customFormat="false" ht="23.85" hidden="false" customHeight="false" outlineLevel="0" collapsed="false">
      <c r="A101" s="5" t="s">
        <v>562</v>
      </c>
      <c r="B101" s="5" t="s">
        <v>558</v>
      </c>
      <c r="C101" s="28" t="s">
        <v>563</v>
      </c>
      <c r="D101" s="5" t="s">
        <v>304</v>
      </c>
      <c r="E101" s="22" t="s">
        <v>305</v>
      </c>
    </row>
    <row r="102" customFormat="false" ht="23.85" hidden="false" customHeight="false" outlineLevel="0" collapsed="false">
      <c r="A102" s="5" t="s">
        <v>564</v>
      </c>
      <c r="B102" s="5" t="s">
        <v>558</v>
      </c>
      <c r="C102" s="28" t="s">
        <v>565</v>
      </c>
      <c r="D102" s="5" t="s">
        <v>304</v>
      </c>
      <c r="E102" s="22" t="s">
        <v>308</v>
      </c>
    </row>
    <row r="103" customFormat="false" ht="23.85" hidden="false" customHeight="false" outlineLevel="0" collapsed="false">
      <c r="A103" s="5" t="s">
        <v>566</v>
      </c>
      <c r="B103" s="5" t="s">
        <v>558</v>
      </c>
      <c r="C103" s="28" t="s">
        <v>567</v>
      </c>
      <c r="D103" s="5" t="s">
        <v>311</v>
      </c>
      <c r="E103" s="22" t="s">
        <v>312</v>
      </c>
    </row>
    <row r="104" customFormat="false" ht="23.85" hidden="false" customHeight="false" outlineLevel="0" collapsed="false">
      <c r="A104" s="5" t="s">
        <v>568</v>
      </c>
      <c r="B104" s="5" t="s">
        <v>558</v>
      </c>
      <c r="C104" s="28" t="s">
        <v>569</v>
      </c>
      <c r="D104" s="5" t="s">
        <v>338</v>
      </c>
      <c r="E104" s="22" t="s">
        <v>375</v>
      </c>
    </row>
    <row r="105" customFormat="false" ht="23.85" hidden="false" customHeight="false" outlineLevel="0" collapsed="false">
      <c r="A105" s="5" t="s">
        <v>570</v>
      </c>
      <c r="B105" s="5" t="s">
        <v>558</v>
      </c>
      <c r="C105" s="28" t="s">
        <v>571</v>
      </c>
      <c r="D105" s="5" t="s">
        <v>323</v>
      </c>
      <c r="E105" s="22" t="s">
        <v>572</v>
      </c>
    </row>
    <row r="106" customFormat="false" ht="23.85" hidden="false" customHeight="false" outlineLevel="0" collapsed="false">
      <c r="A106" s="5" t="s">
        <v>573</v>
      </c>
      <c r="B106" s="5" t="s">
        <v>558</v>
      </c>
      <c r="C106" s="28" t="s">
        <v>574</v>
      </c>
      <c r="D106" s="5" t="s">
        <v>575</v>
      </c>
      <c r="E106" s="22" t="s">
        <v>576</v>
      </c>
    </row>
    <row r="107" customFormat="false" ht="46.25" hidden="false" customHeight="false" outlineLevel="0" collapsed="false">
      <c r="A107" s="5" t="s">
        <v>577</v>
      </c>
      <c r="B107" s="5" t="s">
        <v>558</v>
      </c>
      <c r="C107" s="28" t="s">
        <v>578</v>
      </c>
      <c r="D107" s="5" t="s">
        <v>579</v>
      </c>
      <c r="E107" s="22" t="s">
        <v>580</v>
      </c>
    </row>
    <row r="108" customFormat="false" ht="23.85" hidden="false" customHeight="false" outlineLevel="0" collapsed="false">
      <c r="A108" s="5" t="s">
        <v>581</v>
      </c>
      <c r="B108" s="5" t="s">
        <v>558</v>
      </c>
      <c r="C108" s="28" t="s">
        <v>582</v>
      </c>
      <c r="D108" s="5" t="s">
        <v>579</v>
      </c>
      <c r="E108" s="22" t="s">
        <v>583</v>
      </c>
    </row>
    <row r="109" customFormat="false" ht="35.05" hidden="false" customHeight="false" outlineLevel="0" collapsed="false">
      <c r="A109" s="5" t="s">
        <v>584</v>
      </c>
      <c r="B109" s="5" t="s">
        <v>558</v>
      </c>
      <c r="C109" s="28" t="s">
        <v>585</v>
      </c>
      <c r="D109" s="5" t="s">
        <v>586</v>
      </c>
      <c r="E109" s="22" t="s">
        <v>587</v>
      </c>
    </row>
    <row r="110" customFormat="false" ht="23.85" hidden="false" customHeight="false" outlineLevel="0" collapsed="false">
      <c r="A110" s="5" t="s">
        <v>588</v>
      </c>
      <c r="B110" s="5" t="s">
        <v>558</v>
      </c>
      <c r="C110" s="28" t="s">
        <v>589</v>
      </c>
      <c r="D110" s="5" t="s">
        <v>516</v>
      </c>
      <c r="E110" s="22" t="s">
        <v>590</v>
      </c>
    </row>
    <row r="111" customFormat="false" ht="23.85" hidden="false" customHeight="false" outlineLevel="0" collapsed="false">
      <c r="A111" s="5" t="s">
        <v>591</v>
      </c>
      <c r="B111" s="5" t="s">
        <v>558</v>
      </c>
      <c r="C111" s="28" t="s">
        <v>592</v>
      </c>
      <c r="D111" s="5" t="s">
        <v>363</v>
      </c>
      <c r="E111" s="22" t="s">
        <v>593</v>
      </c>
    </row>
    <row r="112" customFormat="false" ht="23.85" hidden="false" customHeight="false" outlineLevel="0" collapsed="false">
      <c r="A112" s="5" t="s">
        <v>594</v>
      </c>
      <c r="B112" s="5" t="s">
        <v>558</v>
      </c>
      <c r="C112" s="28" t="s">
        <v>595</v>
      </c>
      <c r="D112" s="5" t="s">
        <v>334</v>
      </c>
      <c r="E112" s="22" t="s">
        <v>339</v>
      </c>
    </row>
    <row r="113" customFormat="false" ht="35.05" hidden="false" customHeight="false" outlineLevel="0" collapsed="false">
      <c r="A113" s="5" t="s">
        <v>596</v>
      </c>
      <c r="B113" s="5" t="s">
        <v>558</v>
      </c>
      <c r="C113" s="28" t="s">
        <v>597</v>
      </c>
      <c r="D113" s="5" t="s">
        <v>334</v>
      </c>
      <c r="E113" s="22" t="s">
        <v>598</v>
      </c>
    </row>
    <row r="114" customFormat="false" ht="15" hidden="false" customHeight="false" outlineLevel="0" collapsed="false">
      <c r="A114" s="5" t="s">
        <v>599</v>
      </c>
      <c r="B114" s="5" t="s">
        <v>558</v>
      </c>
      <c r="C114" s="28" t="s">
        <v>600</v>
      </c>
      <c r="D114" s="5" t="s">
        <v>601</v>
      </c>
      <c r="E114" s="22" t="s">
        <v>342</v>
      </c>
    </row>
    <row r="115" customFormat="false" ht="15" hidden="false" customHeight="false" outlineLevel="0" collapsed="false">
      <c r="A115" s="5" t="s">
        <v>602</v>
      </c>
      <c r="B115" s="5" t="s">
        <v>558</v>
      </c>
      <c r="C115" s="28" t="s">
        <v>603</v>
      </c>
      <c r="D115" s="5" t="s">
        <v>601</v>
      </c>
      <c r="E115" s="22" t="s">
        <v>463</v>
      </c>
    </row>
    <row r="116" customFormat="false" ht="15" hidden="false" customHeight="false" outlineLevel="0" collapsed="false">
      <c r="A116" s="5" t="s">
        <v>604</v>
      </c>
      <c r="B116" s="5" t="s">
        <v>558</v>
      </c>
      <c r="C116" s="28" t="s">
        <v>605</v>
      </c>
      <c r="D116" s="5" t="s">
        <v>601</v>
      </c>
      <c r="E116" s="22" t="s">
        <v>460</v>
      </c>
    </row>
    <row r="117" customFormat="false" ht="23.85" hidden="false" customHeight="false" outlineLevel="0" collapsed="false">
      <c r="A117" s="5" t="s">
        <v>606</v>
      </c>
      <c r="B117" s="5" t="s">
        <v>558</v>
      </c>
      <c r="C117" s="28" t="s">
        <v>607</v>
      </c>
      <c r="D117" s="5" t="s">
        <v>601</v>
      </c>
      <c r="E117" s="22" t="s">
        <v>466</v>
      </c>
    </row>
    <row r="118" customFormat="false" ht="15" hidden="false" customHeight="false" outlineLevel="0" collapsed="false">
      <c r="A118" s="5" t="s">
        <v>608</v>
      </c>
      <c r="B118" s="5" t="s">
        <v>558</v>
      </c>
      <c r="C118" s="28" t="s">
        <v>609</v>
      </c>
      <c r="D118" s="5" t="s">
        <v>601</v>
      </c>
      <c r="E118" s="22" t="s">
        <v>448</v>
      </c>
    </row>
    <row r="119" customFormat="false" ht="23.85" hidden="false" customHeight="false" outlineLevel="0" collapsed="false">
      <c r="A119" s="5" t="s">
        <v>610</v>
      </c>
      <c r="B119" s="5" t="s">
        <v>558</v>
      </c>
      <c r="C119" s="28" t="s">
        <v>611</v>
      </c>
      <c r="D119" s="5" t="s">
        <v>601</v>
      </c>
      <c r="E119" s="22" t="s">
        <v>451</v>
      </c>
    </row>
    <row r="120" customFormat="false" ht="15" hidden="false" customHeight="false" outlineLevel="0" collapsed="false">
      <c r="A120" s="5" t="s">
        <v>612</v>
      </c>
      <c r="B120" s="5" t="s">
        <v>558</v>
      </c>
      <c r="C120" s="28" t="s">
        <v>613</v>
      </c>
      <c r="D120" s="5" t="s">
        <v>601</v>
      </c>
      <c r="E120" s="22" t="s">
        <v>454</v>
      </c>
    </row>
    <row r="121" customFormat="false" ht="15" hidden="false" customHeight="false" outlineLevel="0" collapsed="false">
      <c r="A121" s="5" t="s">
        <v>614</v>
      </c>
      <c r="B121" s="5" t="s">
        <v>558</v>
      </c>
      <c r="C121" s="28" t="s">
        <v>615</v>
      </c>
      <c r="D121" s="5" t="s">
        <v>601</v>
      </c>
      <c r="E121" s="22" t="s">
        <v>457</v>
      </c>
    </row>
    <row r="122" customFormat="false" ht="15" hidden="false" customHeight="false" outlineLevel="0" collapsed="false">
      <c r="A122" s="5" t="s">
        <v>616</v>
      </c>
      <c r="B122" s="5" t="s">
        <v>558</v>
      </c>
      <c r="C122" s="28" t="s">
        <v>617</v>
      </c>
      <c r="D122" s="5" t="s">
        <v>601</v>
      </c>
      <c r="E122" s="22" t="s">
        <v>472</v>
      </c>
    </row>
    <row r="123" customFormat="false" ht="35.05" hidden="false" customHeight="false" outlineLevel="0" collapsed="false">
      <c r="A123" s="5" t="s">
        <v>618</v>
      </c>
      <c r="B123" s="5" t="s">
        <v>558</v>
      </c>
      <c r="C123" s="28" t="s">
        <v>619</v>
      </c>
      <c r="D123" s="5" t="s">
        <v>338</v>
      </c>
      <c r="E123" s="5" t="s">
        <v>620</v>
      </c>
    </row>
    <row r="124" customFormat="false" ht="23.85" hidden="false" customHeight="false" outlineLevel="0" collapsed="false">
      <c r="A124" s="5" t="s">
        <v>621</v>
      </c>
      <c r="B124" s="5" t="s">
        <v>558</v>
      </c>
      <c r="C124" s="28" t="s">
        <v>622</v>
      </c>
      <c r="D124" s="5" t="s">
        <v>338</v>
      </c>
      <c r="E124" s="22" t="s">
        <v>623</v>
      </c>
    </row>
    <row r="125" customFormat="false" ht="15" hidden="false" customHeight="false" outlineLevel="0" collapsed="false">
      <c r="A125" s="5" t="s">
        <v>624</v>
      </c>
      <c r="B125" s="5" t="s">
        <v>558</v>
      </c>
      <c r="C125" s="28" t="s">
        <v>625</v>
      </c>
      <c r="D125" s="5" t="s">
        <v>338</v>
      </c>
      <c r="E125" s="22" t="s">
        <v>623</v>
      </c>
    </row>
    <row r="126" customFormat="false" ht="23.85" hidden="false" customHeight="false" outlineLevel="0" collapsed="false">
      <c r="A126" s="5" t="s">
        <v>626</v>
      </c>
      <c r="B126" s="5" t="s">
        <v>558</v>
      </c>
      <c r="C126" s="28" t="s">
        <v>627</v>
      </c>
      <c r="D126" s="5" t="s">
        <v>367</v>
      </c>
      <c r="E126" s="22" t="s">
        <v>623</v>
      </c>
    </row>
    <row r="127" customFormat="false" ht="15" hidden="false" customHeight="false" outlineLevel="0" collapsed="false">
      <c r="A127" s="5" t="s">
        <v>628</v>
      </c>
      <c r="B127" s="5" t="s">
        <v>558</v>
      </c>
      <c r="C127" s="28" t="s">
        <v>629</v>
      </c>
      <c r="D127" s="5" t="s">
        <v>523</v>
      </c>
      <c r="E127" s="22" t="s">
        <v>630</v>
      </c>
    </row>
    <row r="128" customFormat="false" ht="57.45" hidden="false" customHeight="false" outlineLevel="0" collapsed="false">
      <c r="A128" s="5" t="s">
        <v>631</v>
      </c>
      <c r="B128" s="5" t="s">
        <v>558</v>
      </c>
      <c r="C128" s="28" t="s">
        <v>632</v>
      </c>
      <c r="D128" s="5" t="s">
        <v>633</v>
      </c>
      <c r="E128" s="22" t="s">
        <v>634</v>
      </c>
    </row>
    <row r="129" customFormat="false" ht="23.85" hidden="false" customHeight="false" outlineLevel="0" collapsed="false">
      <c r="A129" s="5" t="s">
        <v>635</v>
      </c>
      <c r="B129" s="5" t="s">
        <v>558</v>
      </c>
      <c r="C129" s="28" t="s">
        <v>636</v>
      </c>
      <c r="D129" s="5" t="s">
        <v>637</v>
      </c>
      <c r="E129" s="22" t="s">
        <v>638</v>
      </c>
    </row>
    <row r="130" customFormat="false" ht="23.85" hidden="false" customHeight="false" outlineLevel="0" collapsed="false">
      <c r="A130" s="5" t="s">
        <v>639</v>
      </c>
      <c r="B130" s="5" t="s">
        <v>558</v>
      </c>
      <c r="C130" s="28" t="s">
        <v>640</v>
      </c>
      <c r="D130" s="5" t="s">
        <v>523</v>
      </c>
      <c r="E130" s="22" t="s">
        <v>641</v>
      </c>
    </row>
    <row r="131" customFormat="false" ht="15" hidden="false" customHeight="false" outlineLevel="0" collapsed="false">
      <c r="A131" s="5" t="s">
        <v>642</v>
      </c>
      <c r="B131" s="5" t="s">
        <v>558</v>
      </c>
      <c r="C131" s="28" t="s">
        <v>643</v>
      </c>
      <c r="D131" s="5" t="s">
        <v>338</v>
      </c>
      <c r="E131" s="22" t="s">
        <v>413</v>
      </c>
    </row>
    <row r="132" customFormat="false" ht="23.85" hidden="false" customHeight="false" outlineLevel="0" collapsed="false">
      <c r="A132" s="5" t="s">
        <v>644</v>
      </c>
      <c r="B132" s="5" t="s">
        <v>558</v>
      </c>
      <c r="C132" s="28" t="s">
        <v>645</v>
      </c>
      <c r="D132" s="5" t="s">
        <v>363</v>
      </c>
      <c r="E132" s="22" t="s">
        <v>364</v>
      </c>
    </row>
    <row r="133" customFormat="false" ht="35.05" hidden="false" customHeight="false" outlineLevel="0" collapsed="false">
      <c r="A133" s="5" t="s">
        <v>646</v>
      </c>
      <c r="B133" s="5" t="s">
        <v>558</v>
      </c>
      <c r="C133" s="28" t="s">
        <v>647</v>
      </c>
      <c r="D133" s="5" t="s">
        <v>327</v>
      </c>
      <c r="E133" s="22" t="s">
        <v>328</v>
      </c>
    </row>
    <row r="134" customFormat="false" ht="35.05" hidden="false" customHeight="false" outlineLevel="0" collapsed="false">
      <c r="A134" s="5" t="s">
        <v>648</v>
      </c>
      <c r="B134" s="5" t="s">
        <v>558</v>
      </c>
      <c r="C134" s="28" t="s">
        <v>649</v>
      </c>
      <c r="D134" s="5" t="s">
        <v>367</v>
      </c>
      <c r="E134" s="22" t="s">
        <v>650</v>
      </c>
    </row>
    <row r="135" customFormat="false" ht="35.05" hidden="false" customHeight="false" outlineLevel="0" collapsed="false">
      <c r="A135" s="5" t="s">
        <v>651</v>
      </c>
      <c r="B135" s="5" t="s">
        <v>558</v>
      </c>
      <c r="C135" s="28" t="s">
        <v>652</v>
      </c>
      <c r="D135" s="5" t="s">
        <v>653</v>
      </c>
      <c r="E135" s="22" t="s">
        <v>654</v>
      </c>
    </row>
    <row r="136" customFormat="false" ht="23.85" hidden="false" customHeight="false" outlineLevel="0" collapsed="false">
      <c r="A136" s="5" t="s">
        <v>655</v>
      </c>
      <c r="B136" s="5" t="s">
        <v>558</v>
      </c>
      <c r="C136" s="28" t="s">
        <v>656</v>
      </c>
      <c r="D136" s="5" t="s">
        <v>334</v>
      </c>
      <c r="E136" s="22" t="s">
        <v>657</v>
      </c>
    </row>
    <row r="137" customFormat="false" ht="23.85" hidden="false" customHeight="false" outlineLevel="0" collapsed="false">
      <c r="A137" s="5" t="s">
        <v>658</v>
      </c>
      <c r="B137" s="5" t="s">
        <v>558</v>
      </c>
      <c r="C137" s="28" t="s">
        <v>659</v>
      </c>
      <c r="D137" s="5" t="s">
        <v>334</v>
      </c>
      <c r="E137" s="22" t="s">
        <v>335</v>
      </c>
    </row>
    <row r="138" customFormat="false" ht="15" hidden="false" customHeight="false" outlineLevel="0" collapsed="false">
      <c r="A138" s="5" t="s">
        <v>660</v>
      </c>
      <c r="B138" s="5" t="s">
        <v>558</v>
      </c>
      <c r="C138" s="28" t="s">
        <v>661</v>
      </c>
      <c r="D138" s="5" t="s">
        <v>334</v>
      </c>
      <c r="E138" s="5" t="s">
        <v>662</v>
      </c>
    </row>
    <row r="139" customFormat="false" ht="35.05" hidden="false" customHeight="false" outlineLevel="0" collapsed="false">
      <c r="A139" s="5" t="s">
        <v>663</v>
      </c>
      <c r="B139" s="5" t="s">
        <v>558</v>
      </c>
      <c r="C139" s="28" t="s">
        <v>377</v>
      </c>
      <c r="D139" s="5" t="s">
        <v>334</v>
      </c>
      <c r="E139" s="22" t="s">
        <v>378</v>
      </c>
    </row>
    <row r="140" customFormat="false" ht="35.05" hidden="false" customHeight="false" outlineLevel="0" collapsed="false">
      <c r="A140" s="5" t="s">
        <v>664</v>
      </c>
      <c r="B140" s="5" t="s">
        <v>558</v>
      </c>
      <c r="C140" s="28" t="s">
        <v>380</v>
      </c>
      <c r="D140" s="5" t="s">
        <v>334</v>
      </c>
      <c r="E140" s="22" t="s">
        <v>381</v>
      </c>
    </row>
    <row r="141" customFormat="false" ht="35.05" hidden="false" customHeight="false" outlineLevel="0" collapsed="false">
      <c r="A141" s="5" t="s">
        <v>665</v>
      </c>
      <c r="B141" s="5" t="s">
        <v>558</v>
      </c>
      <c r="C141" s="28" t="s">
        <v>383</v>
      </c>
      <c r="D141" s="5" t="s">
        <v>334</v>
      </c>
      <c r="E141" s="22" t="s">
        <v>384</v>
      </c>
    </row>
    <row r="142" customFormat="false" ht="35.05" hidden="false" customHeight="false" outlineLevel="0" collapsed="false">
      <c r="A142" s="5" t="s">
        <v>666</v>
      </c>
      <c r="B142" s="5" t="s">
        <v>558</v>
      </c>
      <c r="C142" s="28" t="s">
        <v>386</v>
      </c>
      <c r="D142" s="5" t="s">
        <v>334</v>
      </c>
      <c r="E142" s="22" t="s">
        <v>387</v>
      </c>
    </row>
    <row r="143" customFormat="false" ht="23.85" hidden="false" customHeight="false" outlineLevel="0" collapsed="false">
      <c r="A143" s="5" t="s">
        <v>667</v>
      </c>
      <c r="B143" s="5" t="s">
        <v>558</v>
      </c>
      <c r="C143" s="28" t="s">
        <v>389</v>
      </c>
      <c r="D143" s="5" t="s">
        <v>334</v>
      </c>
      <c r="E143" s="22" t="s">
        <v>390</v>
      </c>
    </row>
    <row r="144" customFormat="false" ht="23.85" hidden="false" customHeight="false" outlineLevel="0" collapsed="false">
      <c r="A144" s="5" t="s">
        <v>668</v>
      </c>
      <c r="B144" s="5" t="s">
        <v>558</v>
      </c>
      <c r="C144" s="28" t="s">
        <v>392</v>
      </c>
      <c r="D144" s="5" t="s">
        <v>334</v>
      </c>
      <c r="E144" s="22" t="s">
        <v>393</v>
      </c>
    </row>
    <row r="145" customFormat="false" ht="23.85" hidden="false" customHeight="false" outlineLevel="0" collapsed="false">
      <c r="A145" s="5" t="s">
        <v>669</v>
      </c>
      <c r="B145" s="5" t="s">
        <v>558</v>
      </c>
      <c r="C145" s="28" t="s">
        <v>395</v>
      </c>
      <c r="D145" s="5" t="s">
        <v>334</v>
      </c>
      <c r="E145" s="22" t="s">
        <v>396</v>
      </c>
    </row>
    <row r="146" customFormat="false" ht="35.05" hidden="false" customHeight="false" outlineLevel="0" collapsed="false">
      <c r="A146" s="5" t="s">
        <v>670</v>
      </c>
      <c r="B146" s="5" t="s">
        <v>558</v>
      </c>
      <c r="C146" s="28" t="s">
        <v>398</v>
      </c>
      <c r="D146" s="5" t="s">
        <v>334</v>
      </c>
      <c r="E146" s="22" t="s">
        <v>399</v>
      </c>
    </row>
    <row r="147" customFormat="false" ht="35.05" hidden="false" customHeight="false" outlineLevel="0" collapsed="false">
      <c r="A147" s="5" t="s">
        <v>671</v>
      </c>
      <c r="B147" s="5" t="s">
        <v>558</v>
      </c>
      <c r="C147" s="28" t="s">
        <v>401</v>
      </c>
      <c r="D147" s="5" t="s">
        <v>334</v>
      </c>
      <c r="E147" s="22" t="s">
        <v>402</v>
      </c>
    </row>
    <row r="148" customFormat="false" ht="35.05" hidden="false" customHeight="false" outlineLevel="0" collapsed="false">
      <c r="A148" s="5" t="s">
        <v>672</v>
      </c>
      <c r="B148" s="5" t="s">
        <v>558</v>
      </c>
      <c r="C148" s="28" t="s">
        <v>404</v>
      </c>
      <c r="D148" s="5" t="s">
        <v>334</v>
      </c>
      <c r="E148" s="22" t="s">
        <v>405</v>
      </c>
    </row>
    <row r="149" customFormat="false" ht="35.05" hidden="false" customHeight="false" outlineLevel="0" collapsed="false">
      <c r="A149" s="5" t="s">
        <v>673</v>
      </c>
      <c r="B149" s="5" t="s">
        <v>558</v>
      </c>
      <c r="C149" s="28" t="s">
        <v>407</v>
      </c>
      <c r="D149" s="5" t="s">
        <v>334</v>
      </c>
      <c r="E149" s="22" t="s">
        <v>408</v>
      </c>
    </row>
    <row r="150" customFormat="false" ht="35.05" hidden="false" customHeight="false" outlineLevel="0" collapsed="false">
      <c r="A150" s="5" t="s">
        <v>674</v>
      </c>
      <c r="B150" s="5" t="s">
        <v>558</v>
      </c>
      <c r="C150" s="28" t="s">
        <v>410</v>
      </c>
      <c r="D150" s="5" t="s">
        <v>338</v>
      </c>
      <c r="E150" s="22" t="s">
        <v>345</v>
      </c>
    </row>
    <row r="151" customFormat="false" ht="23.85" hidden="false" customHeight="false" outlineLevel="0" collapsed="false">
      <c r="A151" s="5" t="s">
        <v>675</v>
      </c>
      <c r="B151" s="5" t="s">
        <v>558</v>
      </c>
      <c r="C151" s="28" t="s">
        <v>412</v>
      </c>
      <c r="D151" s="5" t="s">
        <v>334</v>
      </c>
      <c r="E151" s="22" t="s">
        <v>413</v>
      </c>
    </row>
    <row r="152" customFormat="false" ht="23.85" hidden="false" customHeight="false" outlineLevel="0" collapsed="false">
      <c r="A152" s="5" t="s">
        <v>676</v>
      </c>
      <c r="B152" s="5" t="s">
        <v>558</v>
      </c>
      <c r="C152" s="28" t="s">
        <v>415</v>
      </c>
      <c r="D152" s="5" t="s">
        <v>334</v>
      </c>
      <c r="E152" s="22" t="s">
        <v>416</v>
      </c>
    </row>
    <row r="153" customFormat="false" ht="15" hidden="false" customHeight="false" outlineLevel="0" collapsed="false">
      <c r="A153" s="5" t="s">
        <v>677</v>
      </c>
      <c r="B153" s="5" t="s">
        <v>558</v>
      </c>
      <c r="C153" s="28" t="s">
        <v>678</v>
      </c>
      <c r="D153" s="5" t="s">
        <v>338</v>
      </c>
      <c r="E153" s="22" t="s">
        <v>679</v>
      </c>
    </row>
    <row r="154" customFormat="false" ht="15" hidden="false" customHeight="false" outlineLevel="0" collapsed="false">
      <c r="A154" s="5" t="s">
        <v>680</v>
      </c>
      <c r="B154" s="5" t="s">
        <v>681</v>
      </c>
      <c r="C154" s="28" t="s">
        <v>422</v>
      </c>
      <c r="D154" s="5" t="s">
        <v>304</v>
      </c>
      <c r="E154" s="22" t="s">
        <v>423</v>
      </c>
    </row>
    <row r="155" customFormat="false" ht="15" hidden="false" customHeight="false" outlineLevel="0" collapsed="false">
      <c r="A155" s="5" t="s">
        <v>682</v>
      </c>
      <c r="B155" s="5" t="s">
        <v>681</v>
      </c>
      <c r="C155" s="28" t="s">
        <v>683</v>
      </c>
      <c r="D155" s="5" t="s">
        <v>315</v>
      </c>
      <c r="E155" s="22" t="s">
        <v>432</v>
      </c>
    </row>
    <row r="156" customFormat="false" ht="23.85" hidden="false" customHeight="false" outlineLevel="0" collapsed="false">
      <c r="A156" s="5" t="s">
        <v>684</v>
      </c>
      <c r="B156" s="5" t="s">
        <v>681</v>
      </c>
      <c r="C156" s="28" t="s">
        <v>685</v>
      </c>
      <c r="D156" s="5" t="s">
        <v>311</v>
      </c>
      <c r="E156" s="22" t="s">
        <v>312</v>
      </c>
    </row>
    <row r="157" customFormat="false" ht="23.85" hidden="false" customHeight="false" outlineLevel="0" collapsed="false">
      <c r="A157" s="5" t="s">
        <v>686</v>
      </c>
      <c r="B157" s="5" t="s">
        <v>681</v>
      </c>
      <c r="C157" s="28" t="s">
        <v>687</v>
      </c>
      <c r="D157" s="5" t="s">
        <v>296</v>
      </c>
      <c r="E157" s="22" t="s">
        <v>297</v>
      </c>
    </row>
    <row r="158" customFormat="false" ht="15" hidden="false" customHeight="false" outlineLevel="0" collapsed="false">
      <c r="A158" s="5" t="s">
        <v>688</v>
      </c>
      <c r="B158" s="5" t="s">
        <v>681</v>
      </c>
      <c r="C158" s="28" t="s">
        <v>689</v>
      </c>
      <c r="D158" s="5" t="s">
        <v>296</v>
      </c>
      <c r="E158" s="22" t="s">
        <v>690</v>
      </c>
    </row>
    <row r="159" customFormat="false" ht="15" hidden="false" customHeight="false" outlineLevel="0" collapsed="false">
      <c r="A159" s="5" t="s">
        <v>691</v>
      </c>
      <c r="B159" s="5" t="s">
        <v>681</v>
      </c>
      <c r="C159" s="28" t="s">
        <v>692</v>
      </c>
      <c r="D159" s="5" t="s">
        <v>300</v>
      </c>
      <c r="E159" s="22" t="s">
        <v>301</v>
      </c>
    </row>
    <row r="160" customFormat="false" ht="23.85" hidden="false" customHeight="false" outlineLevel="0" collapsed="false">
      <c r="A160" s="5" t="s">
        <v>693</v>
      </c>
      <c r="B160" s="5" t="s">
        <v>681</v>
      </c>
      <c r="C160" s="28" t="s">
        <v>694</v>
      </c>
      <c r="D160" s="5" t="s">
        <v>579</v>
      </c>
      <c r="E160" s="22" t="s">
        <v>580</v>
      </c>
    </row>
    <row r="161" customFormat="false" ht="23.85" hidden="false" customHeight="false" outlineLevel="0" collapsed="false">
      <c r="A161" s="5" t="s">
        <v>695</v>
      </c>
      <c r="B161" s="5" t="s">
        <v>681</v>
      </c>
      <c r="C161" s="28" t="s">
        <v>696</v>
      </c>
      <c r="D161" s="5" t="s">
        <v>579</v>
      </c>
      <c r="E161" s="22" t="s">
        <v>583</v>
      </c>
    </row>
    <row r="162" customFormat="false" ht="15" hidden="false" customHeight="false" outlineLevel="0" collapsed="false">
      <c r="A162" s="5" t="s">
        <v>697</v>
      </c>
      <c r="B162" s="5" t="s">
        <v>681</v>
      </c>
      <c r="C162" s="28" t="s">
        <v>698</v>
      </c>
      <c r="D162" s="5" t="s">
        <v>699</v>
      </c>
      <c r="E162" s="22" t="s">
        <v>700</v>
      </c>
    </row>
    <row r="163" customFormat="false" ht="35.05" hidden="false" customHeight="false" outlineLevel="0" collapsed="false">
      <c r="A163" s="5" t="s">
        <v>701</v>
      </c>
      <c r="B163" s="5" t="s">
        <v>681</v>
      </c>
      <c r="C163" s="28" t="s">
        <v>702</v>
      </c>
      <c r="D163" s="5" t="s">
        <v>315</v>
      </c>
      <c r="E163" s="22" t="s">
        <v>703</v>
      </c>
    </row>
    <row r="164" customFormat="false" ht="23.85" hidden="false" customHeight="false" outlineLevel="0" collapsed="false">
      <c r="A164" s="5" t="s">
        <v>704</v>
      </c>
      <c r="B164" s="5" t="s">
        <v>681</v>
      </c>
      <c r="C164" s="28" t="s">
        <v>705</v>
      </c>
      <c r="D164" s="5" t="s">
        <v>706</v>
      </c>
      <c r="E164" s="22" t="s">
        <v>707</v>
      </c>
    </row>
    <row r="165" customFormat="false" ht="15" hidden="false" customHeight="false" outlineLevel="0" collapsed="false">
      <c r="A165" s="5" t="s">
        <v>708</v>
      </c>
      <c r="B165" s="5" t="s">
        <v>681</v>
      </c>
      <c r="C165" s="28" t="s">
        <v>709</v>
      </c>
      <c r="D165" s="5" t="s">
        <v>323</v>
      </c>
      <c r="E165" s="22" t="s">
        <v>710</v>
      </c>
    </row>
    <row r="166" customFormat="false" ht="23.85" hidden="false" customHeight="false" outlineLevel="0" collapsed="false">
      <c r="A166" s="5" t="s">
        <v>711</v>
      </c>
      <c r="B166" s="5" t="s">
        <v>681</v>
      </c>
      <c r="C166" s="28" t="s">
        <v>712</v>
      </c>
      <c r="D166" s="5" t="s">
        <v>713</v>
      </c>
      <c r="E166" s="22" t="s">
        <v>714</v>
      </c>
    </row>
    <row r="167" customFormat="false" ht="23.85" hidden="false" customHeight="false" outlineLevel="0" collapsed="false">
      <c r="A167" s="5" t="s">
        <v>715</v>
      </c>
      <c r="B167" s="5" t="s">
        <v>681</v>
      </c>
      <c r="C167" s="28" t="s">
        <v>716</v>
      </c>
      <c r="D167" s="5" t="s">
        <v>717</v>
      </c>
      <c r="E167" s="22" t="s">
        <v>718</v>
      </c>
    </row>
    <row r="168" customFormat="false" ht="23.85" hidden="false" customHeight="false" outlineLevel="0" collapsed="false">
      <c r="A168" s="5" t="s">
        <v>719</v>
      </c>
      <c r="B168" s="5" t="s">
        <v>681</v>
      </c>
      <c r="C168" s="28" t="s">
        <v>720</v>
      </c>
      <c r="D168" s="5" t="s">
        <v>296</v>
      </c>
      <c r="E168" s="22" t="s">
        <v>721</v>
      </c>
    </row>
    <row r="169" customFormat="false" ht="23.85" hidden="false" customHeight="false" outlineLevel="0" collapsed="false">
      <c r="A169" s="5" t="s">
        <v>722</v>
      </c>
      <c r="B169" s="5" t="s">
        <v>681</v>
      </c>
      <c r="C169" s="28" t="s">
        <v>723</v>
      </c>
      <c r="D169" s="5" t="s">
        <v>724</v>
      </c>
      <c r="E169" s="22" t="s">
        <v>725</v>
      </c>
    </row>
    <row r="170" customFormat="false" ht="35.05" hidden="false" customHeight="false" outlineLevel="0" collapsed="false">
      <c r="A170" s="5" t="s">
        <v>726</v>
      </c>
      <c r="B170" s="5" t="s">
        <v>681</v>
      </c>
      <c r="C170" s="28" t="s">
        <v>727</v>
      </c>
      <c r="D170" s="5" t="s">
        <v>338</v>
      </c>
      <c r="E170" s="22" t="s">
        <v>342</v>
      </c>
    </row>
    <row r="171" customFormat="false" ht="23.85" hidden="false" customHeight="false" outlineLevel="0" collapsed="false">
      <c r="A171" s="5" t="s">
        <v>728</v>
      </c>
      <c r="B171" s="5" t="s">
        <v>681</v>
      </c>
      <c r="C171" s="28" t="s">
        <v>729</v>
      </c>
      <c r="D171" s="5" t="s">
        <v>338</v>
      </c>
      <c r="E171" s="22" t="s">
        <v>339</v>
      </c>
    </row>
    <row r="172" customFormat="false" ht="15" hidden="false" customHeight="false" outlineLevel="0" collapsed="false">
      <c r="A172" s="5" t="s">
        <v>730</v>
      </c>
      <c r="B172" s="5" t="s">
        <v>681</v>
      </c>
      <c r="C172" s="28" t="s">
        <v>731</v>
      </c>
      <c r="D172" s="5" t="s">
        <v>338</v>
      </c>
      <c r="E172" s="22" t="s">
        <v>623</v>
      </c>
    </row>
    <row r="173" customFormat="false" ht="23.85" hidden="false" customHeight="false" outlineLevel="0" collapsed="false">
      <c r="A173" s="5" t="s">
        <v>732</v>
      </c>
      <c r="B173" s="5" t="s">
        <v>681</v>
      </c>
      <c r="C173" s="28" t="s">
        <v>733</v>
      </c>
      <c r="D173" s="5" t="s">
        <v>338</v>
      </c>
      <c r="E173" s="5" t="s">
        <v>357</v>
      </c>
    </row>
    <row r="174" customFormat="false" ht="23.85" hidden="false" customHeight="false" outlineLevel="0" collapsed="false">
      <c r="A174" s="5" t="s">
        <v>734</v>
      </c>
      <c r="B174" s="5" t="s">
        <v>681</v>
      </c>
      <c r="C174" s="28" t="s">
        <v>735</v>
      </c>
      <c r="D174" s="5" t="s">
        <v>516</v>
      </c>
      <c r="E174" s="22" t="s">
        <v>736</v>
      </c>
    </row>
    <row r="175" customFormat="false" ht="23.85" hidden="false" customHeight="false" outlineLevel="0" collapsed="false">
      <c r="A175" s="5" t="s">
        <v>737</v>
      </c>
      <c r="B175" s="5" t="s">
        <v>681</v>
      </c>
      <c r="C175" s="28" t="s">
        <v>738</v>
      </c>
      <c r="D175" s="5" t="s">
        <v>739</v>
      </c>
      <c r="E175" s="22" t="s">
        <v>740</v>
      </c>
    </row>
    <row r="176" customFormat="false" ht="23.85" hidden="false" customHeight="false" outlineLevel="0" collapsed="false">
      <c r="A176" s="5" t="s">
        <v>741</v>
      </c>
      <c r="B176" s="5" t="s">
        <v>681</v>
      </c>
      <c r="C176" s="28" t="s">
        <v>742</v>
      </c>
      <c r="D176" s="5" t="s">
        <v>304</v>
      </c>
      <c r="E176" s="22" t="s">
        <v>305</v>
      </c>
    </row>
    <row r="177" customFormat="false" ht="23.85" hidden="false" customHeight="false" outlineLevel="0" collapsed="false">
      <c r="A177" s="5" t="s">
        <v>743</v>
      </c>
      <c r="B177" s="5" t="s">
        <v>681</v>
      </c>
      <c r="C177" s="28" t="s">
        <v>744</v>
      </c>
      <c r="D177" s="5" t="s">
        <v>304</v>
      </c>
      <c r="E177" s="22" t="s">
        <v>308</v>
      </c>
    </row>
    <row r="178" customFormat="false" ht="23.85" hidden="false" customHeight="false" outlineLevel="0" collapsed="false">
      <c r="A178" s="5" t="s">
        <v>745</v>
      </c>
      <c r="B178" s="5" t="s">
        <v>681</v>
      </c>
      <c r="C178" s="28" t="s">
        <v>746</v>
      </c>
      <c r="D178" s="5" t="s">
        <v>363</v>
      </c>
      <c r="E178" s="22" t="s">
        <v>364</v>
      </c>
    </row>
    <row r="179" customFormat="false" ht="15" hidden="false" customHeight="false" outlineLevel="0" collapsed="false">
      <c r="A179" s="5" t="s">
        <v>747</v>
      </c>
      <c r="B179" s="5" t="s">
        <v>681</v>
      </c>
      <c r="C179" s="28" t="s">
        <v>748</v>
      </c>
      <c r="D179" s="5" t="s">
        <v>516</v>
      </c>
      <c r="E179" s="22" t="s">
        <v>368</v>
      </c>
    </row>
    <row r="180" customFormat="false" ht="15" hidden="false" customHeight="false" outlineLevel="0" collapsed="false">
      <c r="A180" s="5" t="s">
        <v>749</v>
      </c>
      <c r="B180" s="5" t="s">
        <v>681</v>
      </c>
      <c r="C180" s="28" t="s">
        <v>750</v>
      </c>
      <c r="D180" s="5" t="s">
        <v>334</v>
      </c>
      <c r="E180" s="22" t="s">
        <v>335</v>
      </c>
    </row>
    <row r="181" customFormat="false" ht="15" hidden="false" customHeight="false" outlineLevel="0" collapsed="false">
      <c r="A181" s="5" t="s">
        <v>751</v>
      </c>
      <c r="B181" s="5" t="s">
        <v>681</v>
      </c>
      <c r="C181" s="28" t="s">
        <v>752</v>
      </c>
      <c r="D181" s="5" t="s">
        <v>753</v>
      </c>
      <c r="E181" s="22" t="s">
        <v>754</v>
      </c>
    </row>
    <row r="182" customFormat="false" ht="23.85" hidden="false" customHeight="false" outlineLevel="0" collapsed="false">
      <c r="A182" s="5" t="s">
        <v>755</v>
      </c>
      <c r="B182" s="5" t="s">
        <v>681</v>
      </c>
      <c r="C182" s="28" t="s">
        <v>756</v>
      </c>
      <c r="D182" s="5" t="s">
        <v>724</v>
      </c>
      <c r="E182" s="22" t="s">
        <v>757</v>
      </c>
    </row>
    <row r="183" customFormat="false" ht="23.85" hidden="false" customHeight="false" outlineLevel="0" collapsed="false">
      <c r="A183" s="5" t="s">
        <v>758</v>
      </c>
      <c r="B183" s="5" t="s">
        <v>681</v>
      </c>
      <c r="C183" s="28" t="s">
        <v>759</v>
      </c>
      <c r="D183" s="5" t="s">
        <v>296</v>
      </c>
      <c r="E183" s="22" t="s">
        <v>760</v>
      </c>
    </row>
    <row r="184" customFormat="false" ht="35.05" hidden="false" customHeight="false" outlineLevel="0" collapsed="false">
      <c r="A184" s="5" t="s">
        <v>761</v>
      </c>
      <c r="B184" s="5" t="s">
        <v>681</v>
      </c>
      <c r="C184" s="28" t="s">
        <v>374</v>
      </c>
      <c r="D184" s="5" t="s">
        <v>338</v>
      </c>
      <c r="E184" s="22" t="s">
        <v>375</v>
      </c>
    </row>
    <row r="185" customFormat="false" ht="35.05" hidden="false" customHeight="false" outlineLevel="0" collapsed="false">
      <c r="A185" s="5" t="s">
        <v>762</v>
      </c>
      <c r="B185" s="5" t="s">
        <v>681</v>
      </c>
      <c r="C185" s="28" t="s">
        <v>377</v>
      </c>
      <c r="D185" s="5" t="s">
        <v>334</v>
      </c>
      <c r="E185" s="22" t="s">
        <v>378</v>
      </c>
    </row>
    <row r="186" customFormat="false" ht="35.05" hidden="false" customHeight="false" outlineLevel="0" collapsed="false">
      <c r="A186" s="5" t="s">
        <v>763</v>
      </c>
      <c r="B186" s="5" t="s">
        <v>681</v>
      </c>
      <c r="C186" s="28" t="s">
        <v>380</v>
      </c>
      <c r="D186" s="5" t="s">
        <v>334</v>
      </c>
      <c r="E186" s="22" t="s">
        <v>381</v>
      </c>
    </row>
    <row r="187" customFormat="false" ht="35.05" hidden="false" customHeight="false" outlineLevel="0" collapsed="false">
      <c r="A187" s="5" t="s">
        <v>764</v>
      </c>
      <c r="B187" s="5" t="s">
        <v>681</v>
      </c>
      <c r="C187" s="28" t="s">
        <v>383</v>
      </c>
      <c r="D187" s="5" t="s">
        <v>334</v>
      </c>
      <c r="E187" s="22" t="s">
        <v>384</v>
      </c>
    </row>
    <row r="188" customFormat="false" ht="35.05" hidden="false" customHeight="false" outlineLevel="0" collapsed="false">
      <c r="A188" s="5" t="s">
        <v>765</v>
      </c>
      <c r="B188" s="5" t="s">
        <v>681</v>
      </c>
      <c r="C188" s="28" t="s">
        <v>386</v>
      </c>
      <c r="D188" s="5" t="s">
        <v>334</v>
      </c>
      <c r="E188" s="22" t="s">
        <v>387</v>
      </c>
    </row>
    <row r="189" customFormat="false" ht="23.85" hidden="false" customHeight="false" outlineLevel="0" collapsed="false">
      <c r="A189" s="5" t="s">
        <v>766</v>
      </c>
      <c r="B189" s="5" t="s">
        <v>681</v>
      </c>
      <c r="C189" s="28" t="s">
        <v>389</v>
      </c>
      <c r="D189" s="5" t="s">
        <v>334</v>
      </c>
      <c r="E189" s="22" t="s">
        <v>390</v>
      </c>
    </row>
    <row r="190" customFormat="false" ht="23.85" hidden="false" customHeight="false" outlineLevel="0" collapsed="false">
      <c r="A190" s="5" t="s">
        <v>767</v>
      </c>
      <c r="B190" s="5" t="s">
        <v>681</v>
      </c>
      <c r="C190" s="28" t="s">
        <v>392</v>
      </c>
      <c r="D190" s="5" t="s">
        <v>334</v>
      </c>
      <c r="E190" s="22" t="s">
        <v>393</v>
      </c>
    </row>
    <row r="191" customFormat="false" ht="23.85" hidden="false" customHeight="false" outlineLevel="0" collapsed="false">
      <c r="A191" s="5" t="s">
        <v>768</v>
      </c>
      <c r="B191" s="5" t="s">
        <v>681</v>
      </c>
      <c r="C191" s="28" t="s">
        <v>395</v>
      </c>
      <c r="D191" s="5" t="s">
        <v>334</v>
      </c>
      <c r="E191" s="22" t="s">
        <v>396</v>
      </c>
    </row>
    <row r="192" customFormat="false" ht="35.05" hidden="false" customHeight="false" outlineLevel="0" collapsed="false">
      <c r="A192" s="5" t="s">
        <v>769</v>
      </c>
      <c r="B192" s="5" t="s">
        <v>681</v>
      </c>
      <c r="C192" s="28" t="s">
        <v>398</v>
      </c>
      <c r="D192" s="5" t="s">
        <v>334</v>
      </c>
      <c r="E192" s="22" t="s">
        <v>399</v>
      </c>
    </row>
    <row r="193" customFormat="false" ht="35.05" hidden="false" customHeight="false" outlineLevel="0" collapsed="false">
      <c r="A193" s="5" t="s">
        <v>770</v>
      </c>
      <c r="B193" s="5" t="s">
        <v>681</v>
      </c>
      <c r="C193" s="28" t="s">
        <v>401</v>
      </c>
      <c r="D193" s="5" t="s">
        <v>334</v>
      </c>
      <c r="E193" s="22" t="s">
        <v>402</v>
      </c>
    </row>
    <row r="194" customFormat="false" ht="35.05" hidden="false" customHeight="false" outlineLevel="0" collapsed="false">
      <c r="A194" s="5" t="s">
        <v>771</v>
      </c>
      <c r="B194" s="5" t="s">
        <v>681</v>
      </c>
      <c r="C194" s="28" t="s">
        <v>404</v>
      </c>
      <c r="D194" s="5" t="s">
        <v>334</v>
      </c>
      <c r="E194" s="22" t="s">
        <v>405</v>
      </c>
    </row>
    <row r="195" customFormat="false" ht="35.05" hidden="false" customHeight="false" outlineLevel="0" collapsed="false">
      <c r="A195" s="5" t="s">
        <v>772</v>
      </c>
      <c r="B195" s="5" t="s">
        <v>681</v>
      </c>
      <c r="C195" s="28" t="s">
        <v>407</v>
      </c>
      <c r="D195" s="5" t="s">
        <v>334</v>
      </c>
      <c r="E195" s="22" t="s">
        <v>408</v>
      </c>
    </row>
    <row r="196" customFormat="false" ht="35.05" hidden="false" customHeight="false" outlineLevel="0" collapsed="false">
      <c r="A196" s="5" t="s">
        <v>773</v>
      </c>
      <c r="B196" s="5" t="s">
        <v>681</v>
      </c>
      <c r="C196" s="28" t="s">
        <v>410</v>
      </c>
      <c r="D196" s="5" t="s">
        <v>338</v>
      </c>
      <c r="E196" s="22" t="s">
        <v>345</v>
      </c>
    </row>
    <row r="197" customFormat="false" ht="23.85" hidden="false" customHeight="false" outlineLevel="0" collapsed="false">
      <c r="A197" s="5" t="s">
        <v>774</v>
      </c>
      <c r="B197" s="5" t="s">
        <v>681</v>
      </c>
      <c r="C197" s="28" t="s">
        <v>412</v>
      </c>
      <c r="D197" s="5" t="s">
        <v>334</v>
      </c>
      <c r="E197" s="22" t="s">
        <v>413</v>
      </c>
    </row>
    <row r="198" customFormat="false" ht="23.85" hidden="false" customHeight="false" outlineLevel="0" collapsed="false">
      <c r="A198" s="5" t="s">
        <v>775</v>
      </c>
      <c r="B198" s="5" t="s">
        <v>681</v>
      </c>
      <c r="C198" s="28" t="s">
        <v>415</v>
      </c>
      <c r="D198" s="5" t="s">
        <v>334</v>
      </c>
      <c r="E198" s="22" t="s">
        <v>416</v>
      </c>
    </row>
    <row r="199" customFormat="false" ht="23.85" hidden="false" customHeight="false" outlineLevel="0" collapsed="false">
      <c r="A199" s="5" t="s">
        <v>776</v>
      </c>
      <c r="B199" s="5" t="s">
        <v>777</v>
      </c>
      <c r="C199" s="28" t="s">
        <v>778</v>
      </c>
      <c r="D199" s="5" t="s">
        <v>296</v>
      </c>
      <c r="E199" s="22" t="s">
        <v>435</v>
      </c>
    </row>
    <row r="200" customFormat="false" ht="23.85" hidden="false" customHeight="false" outlineLevel="0" collapsed="false">
      <c r="A200" s="5" t="s">
        <v>779</v>
      </c>
      <c r="B200" s="5" t="s">
        <v>777</v>
      </c>
      <c r="C200" s="28" t="s">
        <v>780</v>
      </c>
      <c r="D200" s="5" t="s">
        <v>296</v>
      </c>
      <c r="E200" s="22" t="s">
        <v>781</v>
      </c>
    </row>
    <row r="201" customFormat="false" ht="15" hidden="false" customHeight="false" outlineLevel="0" collapsed="false">
      <c r="A201" s="5" t="s">
        <v>782</v>
      </c>
      <c r="B201" s="5" t="s">
        <v>777</v>
      </c>
      <c r="C201" s="28" t="s">
        <v>783</v>
      </c>
      <c r="D201" s="5" t="s">
        <v>304</v>
      </c>
      <c r="E201" s="22" t="s">
        <v>423</v>
      </c>
    </row>
    <row r="202" customFormat="false" ht="15" hidden="false" customHeight="false" outlineLevel="0" collapsed="false">
      <c r="A202" s="5" t="s">
        <v>784</v>
      </c>
      <c r="B202" s="5" t="s">
        <v>777</v>
      </c>
      <c r="C202" s="28" t="s">
        <v>785</v>
      </c>
      <c r="D202" s="5" t="s">
        <v>315</v>
      </c>
      <c r="E202" s="22" t="s">
        <v>432</v>
      </c>
    </row>
    <row r="203" customFormat="false" ht="15" hidden="false" customHeight="false" outlineLevel="0" collapsed="false">
      <c r="A203" s="5" t="s">
        <v>786</v>
      </c>
      <c r="B203" s="5" t="s">
        <v>777</v>
      </c>
      <c r="C203" s="28" t="s">
        <v>787</v>
      </c>
      <c r="D203" s="5" t="s">
        <v>788</v>
      </c>
      <c r="E203" s="22" t="s">
        <v>789</v>
      </c>
    </row>
    <row r="204" customFormat="false" ht="23.85" hidden="false" customHeight="false" outlineLevel="0" collapsed="false">
      <c r="A204" s="5" t="s">
        <v>790</v>
      </c>
      <c r="B204" s="5" t="s">
        <v>777</v>
      </c>
      <c r="C204" s="28" t="s">
        <v>791</v>
      </c>
      <c r="D204" s="5" t="s">
        <v>363</v>
      </c>
      <c r="E204" s="22" t="s">
        <v>593</v>
      </c>
    </row>
    <row r="205" customFormat="false" ht="23.85" hidden="false" customHeight="false" outlineLevel="0" collapsed="false">
      <c r="A205" s="5" t="s">
        <v>792</v>
      </c>
      <c r="B205" s="5" t="s">
        <v>777</v>
      </c>
      <c r="C205" s="28" t="s">
        <v>793</v>
      </c>
      <c r="D205" s="5" t="s">
        <v>338</v>
      </c>
      <c r="E205" s="22" t="s">
        <v>345</v>
      </c>
    </row>
    <row r="206" customFormat="false" ht="23.85" hidden="false" customHeight="false" outlineLevel="0" collapsed="false">
      <c r="A206" s="5" t="s">
        <v>794</v>
      </c>
      <c r="B206" s="5" t="s">
        <v>777</v>
      </c>
      <c r="C206" s="28" t="s">
        <v>795</v>
      </c>
      <c r="D206" s="5" t="s">
        <v>338</v>
      </c>
      <c r="E206" s="22" t="s">
        <v>345</v>
      </c>
    </row>
    <row r="207" customFormat="false" ht="23.85" hidden="false" customHeight="false" outlineLevel="0" collapsed="false">
      <c r="A207" s="5" t="s">
        <v>796</v>
      </c>
      <c r="B207" s="5" t="s">
        <v>777</v>
      </c>
      <c r="C207" s="28" t="s">
        <v>797</v>
      </c>
      <c r="D207" s="5" t="s">
        <v>334</v>
      </c>
      <c r="E207" s="22" t="s">
        <v>798</v>
      </c>
    </row>
    <row r="208" customFormat="false" ht="15" hidden="false" customHeight="false" outlineLevel="0" collapsed="false">
      <c r="A208" s="5" t="s">
        <v>799</v>
      </c>
      <c r="B208" s="5" t="s">
        <v>777</v>
      </c>
      <c r="C208" s="28" t="s">
        <v>800</v>
      </c>
      <c r="D208" s="5" t="s">
        <v>334</v>
      </c>
      <c r="E208" s="22" t="s">
        <v>801</v>
      </c>
    </row>
    <row r="209" customFormat="false" ht="15" hidden="false" customHeight="false" outlineLevel="0" collapsed="false">
      <c r="A209" s="5" t="s">
        <v>802</v>
      </c>
      <c r="B209" s="5" t="s">
        <v>777</v>
      </c>
      <c r="C209" s="28" t="s">
        <v>803</v>
      </c>
      <c r="D209" s="5" t="s">
        <v>516</v>
      </c>
      <c r="E209" s="22" t="s">
        <v>804</v>
      </c>
    </row>
    <row r="210" customFormat="false" ht="23.85" hidden="false" customHeight="false" outlineLevel="0" collapsed="false">
      <c r="A210" s="5" t="s">
        <v>805</v>
      </c>
      <c r="B210" s="5" t="s">
        <v>777</v>
      </c>
      <c r="C210" s="28" t="s">
        <v>806</v>
      </c>
      <c r="D210" s="5" t="s">
        <v>807</v>
      </c>
      <c r="E210" s="22" t="s">
        <v>808</v>
      </c>
    </row>
    <row r="211" customFormat="false" ht="15" hidden="false" customHeight="false" outlineLevel="0" collapsed="false">
      <c r="A211" s="5" t="s">
        <v>809</v>
      </c>
      <c r="B211" s="5" t="s">
        <v>777</v>
      </c>
      <c r="C211" s="28" t="s">
        <v>810</v>
      </c>
      <c r="D211" s="5" t="s">
        <v>811</v>
      </c>
      <c r="E211" s="22" t="s">
        <v>812</v>
      </c>
    </row>
    <row r="212" customFormat="false" ht="15" hidden="false" customHeight="false" outlineLevel="0" collapsed="false">
      <c r="A212" s="5" t="s">
        <v>813</v>
      </c>
      <c r="B212" s="5" t="s">
        <v>777</v>
      </c>
      <c r="C212" s="28" t="s">
        <v>814</v>
      </c>
      <c r="D212" s="5" t="s">
        <v>739</v>
      </c>
      <c r="E212" s="22" t="s">
        <v>654</v>
      </c>
    </row>
    <row r="213" customFormat="false" ht="15" hidden="false" customHeight="false" outlineLevel="0" collapsed="false">
      <c r="A213" s="5" t="s">
        <v>815</v>
      </c>
      <c r="B213" s="5" t="s">
        <v>777</v>
      </c>
      <c r="C213" s="28" t="s">
        <v>816</v>
      </c>
      <c r="D213" s="5" t="s">
        <v>523</v>
      </c>
      <c r="E213" s="22" t="s">
        <v>817</v>
      </c>
    </row>
    <row r="214" customFormat="false" ht="23.85" hidden="false" customHeight="false" outlineLevel="0" collapsed="false">
      <c r="A214" s="5" t="s">
        <v>818</v>
      </c>
      <c r="B214" s="5" t="s">
        <v>777</v>
      </c>
      <c r="C214" s="28" t="s">
        <v>819</v>
      </c>
      <c r="D214" s="5" t="s">
        <v>338</v>
      </c>
      <c r="E214" s="5" t="s">
        <v>620</v>
      </c>
    </row>
    <row r="215" customFormat="false" ht="23.85" hidden="false" customHeight="false" outlineLevel="0" collapsed="false">
      <c r="A215" s="5" t="s">
        <v>820</v>
      </c>
      <c r="B215" s="5" t="s">
        <v>777</v>
      </c>
      <c r="C215" s="28" t="s">
        <v>821</v>
      </c>
      <c r="D215" s="5" t="s">
        <v>338</v>
      </c>
      <c r="E215" s="22" t="s">
        <v>339</v>
      </c>
    </row>
    <row r="216" customFormat="false" ht="15" hidden="false" customHeight="false" outlineLevel="0" collapsed="false">
      <c r="A216" s="5" t="s">
        <v>822</v>
      </c>
      <c r="B216" s="5" t="s">
        <v>777</v>
      </c>
      <c r="C216" s="28" t="s">
        <v>823</v>
      </c>
      <c r="D216" s="5" t="s">
        <v>338</v>
      </c>
      <c r="E216" s="22" t="s">
        <v>342</v>
      </c>
    </row>
    <row r="217" customFormat="false" ht="15" hidden="false" customHeight="false" outlineLevel="0" collapsed="false">
      <c r="A217" s="5" t="s">
        <v>824</v>
      </c>
      <c r="B217" s="5" t="s">
        <v>777</v>
      </c>
      <c r="C217" s="28" t="s">
        <v>825</v>
      </c>
      <c r="D217" s="5" t="s">
        <v>338</v>
      </c>
      <c r="E217" s="22" t="s">
        <v>448</v>
      </c>
    </row>
    <row r="218" customFormat="false" ht="15" hidden="false" customHeight="false" outlineLevel="0" collapsed="false">
      <c r="A218" s="5" t="s">
        <v>826</v>
      </c>
      <c r="B218" s="5" t="s">
        <v>777</v>
      </c>
      <c r="C218" s="28" t="s">
        <v>827</v>
      </c>
      <c r="D218" s="5" t="s">
        <v>338</v>
      </c>
      <c r="E218" s="22" t="s">
        <v>451</v>
      </c>
    </row>
    <row r="219" customFormat="false" ht="15" hidden="false" customHeight="false" outlineLevel="0" collapsed="false">
      <c r="A219" s="5" t="s">
        <v>828</v>
      </c>
      <c r="B219" s="5" t="s">
        <v>777</v>
      </c>
      <c r="C219" s="28" t="s">
        <v>829</v>
      </c>
      <c r="D219" s="5" t="s">
        <v>338</v>
      </c>
      <c r="E219" s="22" t="s">
        <v>454</v>
      </c>
    </row>
    <row r="220" customFormat="false" ht="15" hidden="false" customHeight="false" outlineLevel="0" collapsed="false">
      <c r="A220" s="5" t="s">
        <v>830</v>
      </c>
      <c r="B220" s="5" t="s">
        <v>777</v>
      </c>
      <c r="C220" s="28" t="s">
        <v>831</v>
      </c>
      <c r="D220" s="5" t="s">
        <v>338</v>
      </c>
      <c r="E220" s="22" t="s">
        <v>457</v>
      </c>
    </row>
    <row r="221" customFormat="false" ht="15" hidden="false" customHeight="false" outlineLevel="0" collapsed="false">
      <c r="A221" s="5" t="s">
        <v>832</v>
      </c>
      <c r="B221" s="5" t="s">
        <v>777</v>
      </c>
      <c r="C221" s="28" t="s">
        <v>833</v>
      </c>
      <c r="D221" s="5" t="s">
        <v>338</v>
      </c>
      <c r="E221" s="22" t="s">
        <v>460</v>
      </c>
    </row>
    <row r="222" customFormat="false" ht="15" hidden="false" customHeight="false" outlineLevel="0" collapsed="false">
      <c r="A222" s="5" t="s">
        <v>834</v>
      </c>
      <c r="B222" s="5" t="s">
        <v>777</v>
      </c>
      <c r="C222" s="28" t="s">
        <v>835</v>
      </c>
      <c r="D222" s="5" t="s">
        <v>338</v>
      </c>
      <c r="E222" s="22" t="s">
        <v>463</v>
      </c>
    </row>
    <row r="223" customFormat="false" ht="15" hidden="false" customHeight="false" outlineLevel="0" collapsed="false">
      <c r="A223" s="5" t="s">
        <v>836</v>
      </c>
      <c r="B223" s="5" t="s">
        <v>777</v>
      </c>
      <c r="C223" s="28" t="s">
        <v>837</v>
      </c>
      <c r="D223" s="5" t="s">
        <v>338</v>
      </c>
      <c r="E223" s="22" t="s">
        <v>472</v>
      </c>
    </row>
    <row r="224" customFormat="false" ht="15" hidden="false" customHeight="false" outlineLevel="0" collapsed="false">
      <c r="A224" s="5" t="s">
        <v>838</v>
      </c>
      <c r="B224" s="5" t="s">
        <v>777</v>
      </c>
      <c r="C224" s="28" t="s">
        <v>839</v>
      </c>
      <c r="D224" s="5" t="s">
        <v>338</v>
      </c>
      <c r="E224" s="22" t="s">
        <v>466</v>
      </c>
    </row>
    <row r="225" customFormat="false" ht="15" hidden="false" customHeight="false" outlineLevel="0" collapsed="false">
      <c r="A225" s="5" t="s">
        <v>840</v>
      </c>
      <c r="B225" s="5" t="s">
        <v>777</v>
      </c>
      <c r="C225" s="28" t="s">
        <v>841</v>
      </c>
      <c r="D225" s="5" t="s">
        <v>338</v>
      </c>
      <c r="E225" s="22" t="s">
        <v>469</v>
      </c>
    </row>
    <row r="226" customFormat="false" ht="15" hidden="false" customHeight="false" outlineLevel="0" collapsed="false">
      <c r="A226" s="5" t="s">
        <v>842</v>
      </c>
      <c r="B226" s="5" t="s">
        <v>777</v>
      </c>
      <c r="C226" s="28" t="s">
        <v>843</v>
      </c>
      <c r="D226" s="5" t="s">
        <v>338</v>
      </c>
      <c r="E226" s="22" t="s">
        <v>844</v>
      </c>
    </row>
    <row r="227" customFormat="false" ht="23.85" hidden="false" customHeight="false" outlineLevel="0" collapsed="false">
      <c r="A227" s="5" t="s">
        <v>845</v>
      </c>
      <c r="B227" s="5" t="s">
        <v>777</v>
      </c>
      <c r="C227" s="28" t="s">
        <v>846</v>
      </c>
      <c r="D227" s="5" t="s">
        <v>371</v>
      </c>
      <c r="E227" s="22" t="s">
        <v>847</v>
      </c>
    </row>
    <row r="228" customFormat="false" ht="35.05" hidden="false" customHeight="false" outlineLevel="0" collapsed="false">
      <c r="A228" s="5" t="s">
        <v>848</v>
      </c>
      <c r="B228" s="5" t="s">
        <v>777</v>
      </c>
      <c r="C228" s="28" t="s">
        <v>849</v>
      </c>
      <c r="D228" s="5" t="s">
        <v>304</v>
      </c>
      <c r="E228" s="22" t="s">
        <v>305</v>
      </c>
    </row>
    <row r="229" customFormat="false" ht="23.85" hidden="false" customHeight="false" outlineLevel="0" collapsed="false">
      <c r="A229" s="5" t="s">
        <v>850</v>
      </c>
      <c r="B229" s="5" t="s">
        <v>777</v>
      </c>
      <c r="C229" s="28" t="s">
        <v>851</v>
      </c>
      <c r="D229" s="5" t="s">
        <v>304</v>
      </c>
      <c r="E229" s="22" t="s">
        <v>308</v>
      </c>
    </row>
    <row r="230" customFormat="false" ht="23.85" hidden="false" customHeight="false" outlineLevel="0" collapsed="false">
      <c r="A230" s="5" t="s">
        <v>852</v>
      </c>
      <c r="B230" s="5" t="s">
        <v>777</v>
      </c>
      <c r="C230" s="28" t="s">
        <v>853</v>
      </c>
      <c r="D230" s="5" t="s">
        <v>311</v>
      </c>
      <c r="E230" s="22" t="s">
        <v>312</v>
      </c>
    </row>
    <row r="231" customFormat="false" ht="23.85" hidden="false" customHeight="false" outlineLevel="0" collapsed="false">
      <c r="A231" s="5" t="s">
        <v>854</v>
      </c>
      <c r="B231" s="5" t="s">
        <v>777</v>
      </c>
      <c r="C231" s="28" t="s">
        <v>855</v>
      </c>
      <c r="D231" s="5" t="s">
        <v>363</v>
      </c>
      <c r="E231" s="22" t="s">
        <v>364</v>
      </c>
    </row>
    <row r="232" customFormat="false" ht="23.85" hidden="false" customHeight="false" outlineLevel="0" collapsed="false">
      <c r="A232" s="5" t="s">
        <v>856</v>
      </c>
      <c r="B232" s="5" t="s">
        <v>777</v>
      </c>
      <c r="C232" s="28" t="s">
        <v>529</v>
      </c>
      <c r="D232" s="5" t="s">
        <v>367</v>
      </c>
      <c r="E232" s="22" t="s">
        <v>368</v>
      </c>
    </row>
    <row r="233" customFormat="false" ht="23.85" hidden="false" customHeight="false" outlineLevel="0" collapsed="false">
      <c r="A233" s="5" t="s">
        <v>857</v>
      </c>
      <c r="B233" s="5" t="s">
        <v>777</v>
      </c>
      <c r="C233" s="28" t="s">
        <v>858</v>
      </c>
      <c r="D233" s="5" t="s">
        <v>334</v>
      </c>
      <c r="E233" s="22" t="s">
        <v>657</v>
      </c>
    </row>
    <row r="234" customFormat="false" ht="23.85" hidden="false" customHeight="false" outlineLevel="0" collapsed="false">
      <c r="A234" s="5" t="s">
        <v>859</v>
      </c>
      <c r="B234" s="5" t="s">
        <v>777</v>
      </c>
      <c r="C234" s="28" t="s">
        <v>860</v>
      </c>
      <c r="D234" s="5" t="s">
        <v>334</v>
      </c>
      <c r="E234" s="22" t="s">
        <v>335</v>
      </c>
    </row>
    <row r="235" customFormat="false" ht="23.85" hidden="false" customHeight="false" outlineLevel="0" collapsed="false">
      <c r="A235" s="5" t="s">
        <v>861</v>
      </c>
      <c r="B235" s="5" t="s">
        <v>777</v>
      </c>
      <c r="C235" s="28" t="s">
        <v>862</v>
      </c>
      <c r="D235" s="5" t="s">
        <v>334</v>
      </c>
      <c r="E235" s="5" t="s">
        <v>662</v>
      </c>
    </row>
    <row r="236" customFormat="false" ht="23.85" hidden="false" customHeight="false" outlineLevel="0" collapsed="false">
      <c r="A236" s="5" t="s">
        <v>863</v>
      </c>
      <c r="B236" s="5" t="s">
        <v>777</v>
      </c>
      <c r="C236" s="28" t="s">
        <v>864</v>
      </c>
      <c r="D236" s="5" t="s">
        <v>334</v>
      </c>
      <c r="E236" s="22" t="s">
        <v>413</v>
      </c>
    </row>
    <row r="237" customFormat="false" ht="35.05" hidden="false" customHeight="false" outlineLevel="0" collapsed="false">
      <c r="A237" s="5" t="s">
        <v>865</v>
      </c>
      <c r="B237" s="5" t="s">
        <v>777</v>
      </c>
      <c r="C237" s="28" t="s">
        <v>374</v>
      </c>
      <c r="D237" s="5" t="s">
        <v>338</v>
      </c>
      <c r="E237" s="22" t="s">
        <v>375</v>
      </c>
    </row>
    <row r="238" customFormat="false" ht="35.05" hidden="false" customHeight="false" outlineLevel="0" collapsed="false">
      <c r="A238" s="5" t="s">
        <v>866</v>
      </c>
      <c r="B238" s="5" t="s">
        <v>777</v>
      </c>
      <c r="C238" s="28" t="s">
        <v>377</v>
      </c>
      <c r="D238" s="5" t="s">
        <v>334</v>
      </c>
      <c r="E238" s="22" t="s">
        <v>378</v>
      </c>
    </row>
    <row r="239" customFormat="false" ht="35.05" hidden="false" customHeight="false" outlineLevel="0" collapsed="false">
      <c r="A239" s="5" t="s">
        <v>867</v>
      </c>
      <c r="B239" s="5" t="s">
        <v>777</v>
      </c>
      <c r="C239" s="28" t="s">
        <v>380</v>
      </c>
      <c r="D239" s="5" t="s">
        <v>334</v>
      </c>
      <c r="E239" s="22" t="s">
        <v>381</v>
      </c>
    </row>
    <row r="240" customFormat="false" ht="35.05" hidden="false" customHeight="false" outlineLevel="0" collapsed="false">
      <c r="A240" s="5" t="s">
        <v>868</v>
      </c>
      <c r="B240" s="5" t="s">
        <v>777</v>
      </c>
      <c r="C240" s="28" t="s">
        <v>383</v>
      </c>
      <c r="D240" s="5" t="s">
        <v>334</v>
      </c>
      <c r="E240" s="22" t="s">
        <v>384</v>
      </c>
    </row>
    <row r="241" customFormat="false" ht="35.05" hidden="false" customHeight="false" outlineLevel="0" collapsed="false">
      <c r="A241" s="5" t="s">
        <v>869</v>
      </c>
      <c r="B241" s="5" t="s">
        <v>777</v>
      </c>
      <c r="C241" s="28" t="s">
        <v>386</v>
      </c>
      <c r="D241" s="5" t="s">
        <v>334</v>
      </c>
      <c r="E241" s="22" t="s">
        <v>387</v>
      </c>
    </row>
    <row r="242" customFormat="false" ht="23.85" hidden="false" customHeight="false" outlineLevel="0" collapsed="false">
      <c r="A242" s="5" t="s">
        <v>870</v>
      </c>
      <c r="B242" s="5" t="s">
        <v>777</v>
      </c>
      <c r="C242" s="28" t="s">
        <v>389</v>
      </c>
      <c r="D242" s="5" t="s">
        <v>334</v>
      </c>
      <c r="E242" s="22" t="s">
        <v>390</v>
      </c>
    </row>
    <row r="243" customFormat="false" ht="23.85" hidden="false" customHeight="false" outlineLevel="0" collapsed="false">
      <c r="A243" s="5" t="s">
        <v>871</v>
      </c>
      <c r="B243" s="5" t="s">
        <v>777</v>
      </c>
      <c r="C243" s="28" t="s">
        <v>392</v>
      </c>
      <c r="D243" s="5" t="s">
        <v>334</v>
      </c>
      <c r="E243" s="22" t="s">
        <v>393</v>
      </c>
    </row>
    <row r="244" customFormat="false" ht="23.85" hidden="false" customHeight="false" outlineLevel="0" collapsed="false">
      <c r="A244" s="5" t="s">
        <v>872</v>
      </c>
      <c r="B244" s="5" t="s">
        <v>777</v>
      </c>
      <c r="C244" s="28" t="s">
        <v>395</v>
      </c>
      <c r="D244" s="5" t="s">
        <v>334</v>
      </c>
      <c r="E244" s="22" t="s">
        <v>396</v>
      </c>
    </row>
    <row r="245" customFormat="false" ht="35.05" hidden="false" customHeight="false" outlineLevel="0" collapsed="false">
      <c r="A245" s="5" t="s">
        <v>873</v>
      </c>
      <c r="B245" s="5" t="s">
        <v>777</v>
      </c>
      <c r="C245" s="28" t="s">
        <v>398</v>
      </c>
      <c r="D245" s="5" t="s">
        <v>334</v>
      </c>
      <c r="E245" s="22" t="s">
        <v>399</v>
      </c>
    </row>
    <row r="246" customFormat="false" ht="35.05" hidden="false" customHeight="false" outlineLevel="0" collapsed="false">
      <c r="A246" s="5" t="s">
        <v>874</v>
      </c>
      <c r="B246" s="5" t="s">
        <v>777</v>
      </c>
      <c r="C246" s="28" t="s">
        <v>401</v>
      </c>
      <c r="D246" s="5" t="s">
        <v>334</v>
      </c>
      <c r="E246" s="22" t="s">
        <v>402</v>
      </c>
    </row>
    <row r="247" customFormat="false" ht="35.05" hidden="false" customHeight="false" outlineLevel="0" collapsed="false">
      <c r="A247" s="5" t="s">
        <v>875</v>
      </c>
      <c r="B247" s="5" t="s">
        <v>777</v>
      </c>
      <c r="C247" s="28" t="s">
        <v>404</v>
      </c>
      <c r="D247" s="5" t="s">
        <v>334</v>
      </c>
      <c r="E247" s="22" t="s">
        <v>405</v>
      </c>
    </row>
    <row r="248" customFormat="false" ht="35.05" hidden="false" customHeight="false" outlineLevel="0" collapsed="false">
      <c r="A248" s="5" t="s">
        <v>876</v>
      </c>
      <c r="B248" s="5" t="s">
        <v>777</v>
      </c>
      <c r="C248" s="28" t="s">
        <v>407</v>
      </c>
      <c r="D248" s="5" t="s">
        <v>334</v>
      </c>
      <c r="E248" s="22" t="s">
        <v>408</v>
      </c>
    </row>
    <row r="249" customFormat="false" ht="35.05" hidden="false" customHeight="false" outlineLevel="0" collapsed="false">
      <c r="A249" s="5" t="s">
        <v>877</v>
      </c>
      <c r="B249" s="5" t="s">
        <v>777</v>
      </c>
      <c r="C249" s="28" t="s">
        <v>410</v>
      </c>
      <c r="D249" s="5" t="s">
        <v>338</v>
      </c>
      <c r="E249" s="22" t="s">
        <v>345</v>
      </c>
    </row>
    <row r="250" customFormat="false" ht="23.85" hidden="false" customHeight="false" outlineLevel="0" collapsed="false">
      <c r="A250" s="5" t="s">
        <v>878</v>
      </c>
      <c r="B250" s="5" t="s">
        <v>777</v>
      </c>
      <c r="C250" s="28" t="s">
        <v>412</v>
      </c>
      <c r="D250" s="5" t="s">
        <v>334</v>
      </c>
      <c r="E250" s="22" t="s">
        <v>413</v>
      </c>
    </row>
    <row r="251" customFormat="false" ht="23.85" hidden="false" customHeight="false" outlineLevel="0" collapsed="false">
      <c r="A251" s="5" t="s">
        <v>879</v>
      </c>
      <c r="B251" s="5" t="s">
        <v>777</v>
      </c>
      <c r="C251" s="28" t="s">
        <v>415</v>
      </c>
      <c r="D251" s="5" t="s">
        <v>334</v>
      </c>
      <c r="E251" s="22" t="s">
        <v>416</v>
      </c>
    </row>
    <row r="252" customFormat="false" ht="15" hidden="false" customHeight="false" outlineLevel="0" collapsed="false">
      <c r="A252" s="5" t="s">
        <v>880</v>
      </c>
      <c r="B252" s="5" t="s">
        <v>881</v>
      </c>
      <c r="C252" s="28" t="s">
        <v>882</v>
      </c>
      <c r="D252" s="5" t="s">
        <v>296</v>
      </c>
      <c r="E252" s="22" t="s">
        <v>297</v>
      </c>
    </row>
    <row r="253" customFormat="false" ht="15" hidden="false" customHeight="false" outlineLevel="0" collapsed="false">
      <c r="A253" s="5" t="s">
        <v>883</v>
      </c>
      <c r="B253" s="5" t="s">
        <v>881</v>
      </c>
      <c r="C253" s="28" t="s">
        <v>884</v>
      </c>
      <c r="D253" s="5" t="s">
        <v>334</v>
      </c>
      <c r="E253" s="22" t="s">
        <v>335</v>
      </c>
    </row>
    <row r="254" customFormat="false" ht="15" hidden="false" customHeight="false" outlineLevel="0" collapsed="false">
      <c r="A254" s="5" t="s">
        <v>885</v>
      </c>
      <c r="B254" s="5" t="s">
        <v>881</v>
      </c>
      <c r="C254" s="28" t="s">
        <v>886</v>
      </c>
      <c r="D254" s="5" t="s">
        <v>334</v>
      </c>
      <c r="E254" s="22" t="s">
        <v>887</v>
      </c>
    </row>
    <row r="255" customFormat="false" ht="15" hidden="false" customHeight="false" outlineLevel="0" collapsed="false">
      <c r="A255" s="5" t="s">
        <v>888</v>
      </c>
      <c r="B255" s="5" t="s">
        <v>881</v>
      </c>
      <c r="C255" s="28" t="s">
        <v>889</v>
      </c>
      <c r="D255" s="5" t="s">
        <v>304</v>
      </c>
      <c r="E255" s="22" t="s">
        <v>305</v>
      </c>
    </row>
    <row r="256" customFormat="false" ht="15" hidden="false" customHeight="false" outlineLevel="0" collapsed="false">
      <c r="A256" s="5" t="s">
        <v>890</v>
      </c>
      <c r="B256" s="5" t="s">
        <v>881</v>
      </c>
      <c r="C256" s="28" t="s">
        <v>891</v>
      </c>
      <c r="D256" s="5" t="s">
        <v>304</v>
      </c>
      <c r="E256" s="22" t="s">
        <v>308</v>
      </c>
    </row>
    <row r="257" customFormat="false" ht="15" hidden="false" customHeight="false" outlineLevel="0" collapsed="false">
      <c r="A257" s="5" t="s">
        <v>892</v>
      </c>
      <c r="B257" s="5" t="s">
        <v>881</v>
      </c>
      <c r="C257" s="28" t="s">
        <v>893</v>
      </c>
      <c r="D257" s="5" t="s">
        <v>311</v>
      </c>
      <c r="E257" s="22" t="s">
        <v>312</v>
      </c>
    </row>
    <row r="258" customFormat="false" ht="15" hidden="false" customHeight="false" outlineLevel="0" collapsed="false">
      <c r="A258" s="5" t="s">
        <v>894</v>
      </c>
      <c r="B258" s="5" t="s">
        <v>881</v>
      </c>
      <c r="C258" s="28" t="s">
        <v>895</v>
      </c>
      <c r="D258" s="5" t="s">
        <v>363</v>
      </c>
      <c r="E258" s="22" t="s">
        <v>364</v>
      </c>
    </row>
    <row r="259" customFormat="false" ht="15" hidden="false" customHeight="false" outlineLevel="0" collapsed="false">
      <c r="A259" s="5" t="s">
        <v>896</v>
      </c>
      <c r="B259" s="5" t="s">
        <v>881</v>
      </c>
      <c r="C259" s="28" t="s">
        <v>897</v>
      </c>
      <c r="D259" s="5" t="s">
        <v>334</v>
      </c>
      <c r="E259" s="22" t="s">
        <v>466</v>
      </c>
    </row>
    <row r="260" customFormat="false" ht="15" hidden="false" customHeight="false" outlineLevel="0" collapsed="false">
      <c r="A260" s="5" t="s">
        <v>898</v>
      </c>
      <c r="B260" s="5" t="s">
        <v>881</v>
      </c>
      <c r="C260" s="28" t="s">
        <v>899</v>
      </c>
      <c r="D260" s="5" t="s">
        <v>334</v>
      </c>
      <c r="E260" s="22" t="s">
        <v>657</v>
      </c>
    </row>
    <row r="261" customFormat="false" ht="15" hidden="false" customHeight="false" outlineLevel="0" collapsed="false">
      <c r="A261" s="5" t="s">
        <v>900</v>
      </c>
      <c r="B261" s="5" t="s">
        <v>881</v>
      </c>
      <c r="C261" s="28" t="s">
        <v>901</v>
      </c>
      <c r="D261" s="5" t="s">
        <v>334</v>
      </c>
      <c r="E261" s="22" t="s">
        <v>472</v>
      </c>
    </row>
    <row r="262" customFormat="false" ht="15" hidden="false" customHeight="false" outlineLevel="0" collapsed="false">
      <c r="A262" s="5" t="s">
        <v>902</v>
      </c>
      <c r="B262" s="5" t="s">
        <v>881</v>
      </c>
      <c r="C262" s="28" t="s">
        <v>903</v>
      </c>
      <c r="D262" s="5" t="s">
        <v>334</v>
      </c>
      <c r="E262" s="22" t="s">
        <v>460</v>
      </c>
    </row>
    <row r="263" customFormat="false" ht="35.05" hidden="false" customHeight="false" outlineLevel="0" collapsed="false">
      <c r="A263" s="5" t="s">
        <v>904</v>
      </c>
      <c r="B263" s="5" t="s">
        <v>881</v>
      </c>
      <c r="C263" s="28" t="s">
        <v>374</v>
      </c>
      <c r="D263" s="5" t="s">
        <v>338</v>
      </c>
      <c r="E263" s="22" t="s">
        <v>375</v>
      </c>
    </row>
    <row r="264" customFormat="false" ht="23.85" hidden="false" customHeight="false" outlineLevel="0" collapsed="false">
      <c r="A264" s="5" t="s">
        <v>905</v>
      </c>
      <c r="B264" s="5" t="s">
        <v>881</v>
      </c>
      <c r="C264" s="28" t="s">
        <v>906</v>
      </c>
      <c r="D264" s="5" t="s">
        <v>367</v>
      </c>
      <c r="E264" s="22" t="s">
        <v>907</v>
      </c>
    </row>
    <row r="265" customFormat="false" ht="23.85" hidden="false" customHeight="false" outlineLevel="0" collapsed="false">
      <c r="A265" s="5" t="s">
        <v>908</v>
      </c>
      <c r="B265" s="5" t="s">
        <v>881</v>
      </c>
      <c r="C265" s="28" t="s">
        <v>909</v>
      </c>
      <c r="D265" s="5" t="s">
        <v>327</v>
      </c>
      <c r="E265" s="22" t="s">
        <v>328</v>
      </c>
    </row>
    <row r="266" customFormat="false" ht="35.05" hidden="false" customHeight="false" outlineLevel="0" collapsed="false">
      <c r="A266" s="5" t="s">
        <v>910</v>
      </c>
      <c r="B266" s="5" t="s">
        <v>881</v>
      </c>
      <c r="C266" s="28" t="s">
        <v>911</v>
      </c>
      <c r="D266" s="5" t="s">
        <v>334</v>
      </c>
      <c r="E266" s="22" t="s">
        <v>378</v>
      </c>
    </row>
    <row r="267" customFormat="false" ht="23.85" hidden="false" customHeight="false" outlineLevel="0" collapsed="false">
      <c r="A267" s="5" t="s">
        <v>912</v>
      </c>
      <c r="B267" s="5" t="s">
        <v>881</v>
      </c>
      <c r="C267" s="28" t="s">
        <v>913</v>
      </c>
      <c r="D267" s="5" t="s">
        <v>495</v>
      </c>
      <c r="E267" s="22" t="s">
        <v>393</v>
      </c>
    </row>
    <row r="268" customFormat="false" ht="23.85" hidden="false" customHeight="false" outlineLevel="0" collapsed="false">
      <c r="A268" s="5" t="s">
        <v>914</v>
      </c>
      <c r="B268" s="5" t="s">
        <v>881</v>
      </c>
      <c r="C268" s="28" t="s">
        <v>915</v>
      </c>
      <c r="D268" s="5" t="s">
        <v>304</v>
      </c>
      <c r="E268" s="22" t="s">
        <v>396</v>
      </c>
    </row>
    <row r="269" customFormat="false" ht="23.85" hidden="false" customHeight="false" outlineLevel="0" collapsed="false">
      <c r="A269" s="5" t="s">
        <v>916</v>
      </c>
      <c r="B269" s="5" t="s">
        <v>881</v>
      </c>
      <c r="C269" s="28" t="s">
        <v>917</v>
      </c>
      <c r="D269" s="5" t="s">
        <v>304</v>
      </c>
      <c r="E269" s="22" t="s">
        <v>390</v>
      </c>
    </row>
    <row r="270" customFormat="false" ht="15" hidden="false" customHeight="false" outlineLevel="0" collapsed="false">
      <c r="A270" s="5" t="s">
        <v>918</v>
      </c>
      <c r="B270" s="5" t="s">
        <v>881</v>
      </c>
      <c r="C270" s="28" t="s">
        <v>919</v>
      </c>
      <c r="D270" s="5" t="s">
        <v>920</v>
      </c>
      <c r="E270" s="22" t="s">
        <v>921</v>
      </c>
    </row>
    <row r="271" customFormat="false" ht="23.85" hidden="false" customHeight="false" outlineLevel="0" collapsed="false">
      <c r="A271" s="5" t="s">
        <v>922</v>
      </c>
      <c r="B271" s="5" t="s">
        <v>881</v>
      </c>
      <c r="C271" s="28" t="s">
        <v>923</v>
      </c>
      <c r="D271" s="5" t="s">
        <v>338</v>
      </c>
      <c r="E271" s="22" t="s">
        <v>345</v>
      </c>
    </row>
    <row r="272" customFormat="false" ht="23.85" hidden="false" customHeight="false" outlineLevel="0" collapsed="false">
      <c r="A272" s="5" t="s">
        <v>924</v>
      </c>
      <c r="B272" s="5" t="s">
        <v>881</v>
      </c>
      <c r="C272" s="28" t="s">
        <v>925</v>
      </c>
      <c r="D272" s="5" t="s">
        <v>334</v>
      </c>
      <c r="E272" s="22" t="s">
        <v>413</v>
      </c>
    </row>
    <row r="273" customFormat="false" ht="15" hidden="false" customHeight="false" outlineLevel="0" collapsed="false">
      <c r="A273" s="5" t="s">
        <v>926</v>
      </c>
      <c r="B273" s="5" t="s">
        <v>881</v>
      </c>
      <c r="C273" s="28" t="s">
        <v>927</v>
      </c>
      <c r="D273" s="5" t="s">
        <v>928</v>
      </c>
      <c r="E273" s="22" t="s">
        <v>929</v>
      </c>
    </row>
    <row r="274" customFormat="false" ht="15" hidden="false" customHeight="false" outlineLevel="0" collapsed="false">
      <c r="A274" s="5" t="s">
        <v>930</v>
      </c>
      <c r="B274" s="5" t="s">
        <v>881</v>
      </c>
      <c r="C274" s="28" t="s">
        <v>418</v>
      </c>
      <c r="D274" s="5" t="s">
        <v>304</v>
      </c>
      <c r="E274" s="22" t="s">
        <v>419</v>
      </c>
    </row>
    <row r="275" customFormat="false" ht="23.85" hidden="false" customHeight="false" outlineLevel="0" collapsed="false">
      <c r="A275" s="5" t="s">
        <v>931</v>
      </c>
      <c r="B275" s="5" t="s">
        <v>881</v>
      </c>
      <c r="C275" s="28" t="s">
        <v>932</v>
      </c>
      <c r="D275" s="5" t="s">
        <v>933</v>
      </c>
      <c r="E275" s="22" t="s">
        <v>934</v>
      </c>
    </row>
    <row r="276" customFormat="false" ht="23.85" hidden="false" customHeight="false" outlineLevel="0" collapsed="false">
      <c r="A276" s="5" t="s">
        <v>935</v>
      </c>
      <c r="B276" s="5" t="s">
        <v>881</v>
      </c>
      <c r="C276" s="28" t="s">
        <v>936</v>
      </c>
      <c r="D276" s="5" t="s">
        <v>717</v>
      </c>
      <c r="E276" s="22" t="s">
        <v>937</v>
      </c>
    </row>
    <row r="277" customFormat="false" ht="23.85" hidden="false" customHeight="false" outlineLevel="0" collapsed="false">
      <c r="A277" s="5" t="s">
        <v>938</v>
      </c>
      <c r="B277" s="5" t="s">
        <v>881</v>
      </c>
      <c r="C277" s="28" t="s">
        <v>939</v>
      </c>
      <c r="D277" s="5" t="s">
        <v>315</v>
      </c>
      <c r="E277" s="22" t="s">
        <v>316</v>
      </c>
    </row>
    <row r="278" customFormat="false" ht="35.05" hidden="false" customHeight="false" outlineLevel="0" collapsed="false">
      <c r="A278" s="5" t="s">
        <v>940</v>
      </c>
      <c r="B278" s="5" t="s">
        <v>881</v>
      </c>
      <c r="C278" s="28" t="s">
        <v>941</v>
      </c>
      <c r="D278" s="5" t="s">
        <v>319</v>
      </c>
      <c r="E278" s="22" t="s">
        <v>320</v>
      </c>
    </row>
    <row r="279" customFormat="false" ht="23.85" hidden="false" customHeight="false" outlineLevel="0" collapsed="false">
      <c r="A279" s="5" t="s">
        <v>942</v>
      </c>
      <c r="B279" s="5" t="s">
        <v>881</v>
      </c>
      <c r="C279" s="28" t="s">
        <v>943</v>
      </c>
      <c r="D279" s="5" t="s">
        <v>944</v>
      </c>
      <c r="E279" s="22" t="s">
        <v>945</v>
      </c>
    </row>
    <row r="280" customFormat="false" ht="23.85" hidden="false" customHeight="false" outlineLevel="0" collapsed="false">
      <c r="A280" s="5" t="s">
        <v>946</v>
      </c>
      <c r="B280" s="5" t="s">
        <v>881</v>
      </c>
      <c r="C280" s="28" t="s">
        <v>947</v>
      </c>
      <c r="D280" s="5" t="s">
        <v>944</v>
      </c>
      <c r="E280" s="22" t="s">
        <v>948</v>
      </c>
    </row>
    <row r="281" customFormat="false" ht="23.85" hidden="false" customHeight="false" outlineLevel="0" collapsed="false">
      <c r="A281" s="5" t="s">
        <v>949</v>
      </c>
      <c r="B281" s="5" t="s">
        <v>881</v>
      </c>
      <c r="C281" s="28" t="s">
        <v>950</v>
      </c>
      <c r="D281" s="5" t="s">
        <v>944</v>
      </c>
      <c r="E281" s="22" t="s">
        <v>951</v>
      </c>
    </row>
    <row r="282" customFormat="false" ht="23.85" hidden="false" customHeight="false" outlineLevel="0" collapsed="false">
      <c r="A282" s="5" t="s">
        <v>952</v>
      </c>
      <c r="B282" s="5" t="s">
        <v>881</v>
      </c>
      <c r="C282" s="28" t="s">
        <v>953</v>
      </c>
      <c r="D282" s="5" t="s">
        <v>944</v>
      </c>
      <c r="E282" s="22" t="s">
        <v>954</v>
      </c>
    </row>
    <row r="283" customFormat="false" ht="23.85" hidden="false" customHeight="false" outlineLevel="0" collapsed="false">
      <c r="A283" s="5" t="s">
        <v>955</v>
      </c>
      <c r="B283" s="5" t="s">
        <v>881</v>
      </c>
      <c r="C283" s="28" t="s">
        <v>956</v>
      </c>
      <c r="D283" s="5" t="s">
        <v>944</v>
      </c>
      <c r="E283" s="22" t="s">
        <v>957</v>
      </c>
    </row>
    <row r="284" customFormat="false" ht="23.85" hidden="false" customHeight="false" outlineLevel="0" collapsed="false">
      <c r="A284" s="5" t="s">
        <v>958</v>
      </c>
      <c r="B284" s="5" t="s">
        <v>881</v>
      </c>
      <c r="C284" s="28" t="s">
        <v>959</v>
      </c>
      <c r="D284" s="5" t="s">
        <v>944</v>
      </c>
      <c r="E284" s="22" t="s">
        <v>960</v>
      </c>
    </row>
    <row r="285" customFormat="false" ht="23.85" hidden="false" customHeight="false" outlineLevel="0" collapsed="false">
      <c r="A285" s="5" t="s">
        <v>961</v>
      </c>
      <c r="B285" s="5" t="s">
        <v>881</v>
      </c>
      <c r="C285" s="28" t="s">
        <v>962</v>
      </c>
      <c r="D285" s="5" t="s">
        <v>944</v>
      </c>
      <c r="E285" s="22" t="s">
        <v>963</v>
      </c>
    </row>
    <row r="286" customFormat="false" ht="23.85" hidden="false" customHeight="false" outlineLevel="0" collapsed="false">
      <c r="A286" s="5" t="s">
        <v>964</v>
      </c>
      <c r="B286" s="5" t="s">
        <v>881</v>
      </c>
      <c r="C286" s="28" t="s">
        <v>965</v>
      </c>
      <c r="D286" s="5" t="s">
        <v>944</v>
      </c>
      <c r="E286" s="22" t="s">
        <v>966</v>
      </c>
    </row>
    <row r="287" customFormat="false" ht="23.85" hidden="false" customHeight="false" outlineLevel="0" collapsed="false">
      <c r="A287" s="5" t="s">
        <v>967</v>
      </c>
      <c r="B287" s="5" t="s">
        <v>881</v>
      </c>
      <c r="C287" s="28" t="s">
        <v>968</v>
      </c>
      <c r="D287" s="5" t="s">
        <v>944</v>
      </c>
      <c r="E287" s="22" t="s">
        <v>969</v>
      </c>
    </row>
    <row r="288" customFormat="false" ht="23.85" hidden="false" customHeight="false" outlineLevel="0" collapsed="false">
      <c r="A288" s="5" t="s">
        <v>970</v>
      </c>
      <c r="B288" s="5" t="s">
        <v>881</v>
      </c>
      <c r="C288" s="28" t="s">
        <v>971</v>
      </c>
      <c r="D288" s="5" t="s">
        <v>944</v>
      </c>
      <c r="E288" s="22" t="s">
        <v>972</v>
      </c>
    </row>
    <row r="289" customFormat="false" ht="23.85" hidden="false" customHeight="false" outlineLevel="0" collapsed="false">
      <c r="A289" s="5" t="s">
        <v>973</v>
      </c>
      <c r="B289" s="5" t="s">
        <v>881</v>
      </c>
      <c r="C289" s="28" t="s">
        <v>974</v>
      </c>
      <c r="D289" s="5" t="s">
        <v>944</v>
      </c>
      <c r="E289" s="22" t="s">
        <v>975</v>
      </c>
    </row>
    <row r="290" customFormat="false" ht="23.85" hidden="false" customHeight="false" outlineLevel="0" collapsed="false">
      <c r="A290" s="5" t="s">
        <v>976</v>
      </c>
      <c r="B290" s="5" t="s">
        <v>881</v>
      </c>
      <c r="C290" s="28" t="s">
        <v>977</v>
      </c>
      <c r="D290" s="5" t="s">
        <v>944</v>
      </c>
      <c r="E290" s="22" t="s">
        <v>978</v>
      </c>
    </row>
    <row r="291" customFormat="false" ht="23.85" hidden="false" customHeight="false" outlineLevel="0" collapsed="false">
      <c r="A291" s="5" t="s">
        <v>979</v>
      </c>
      <c r="B291" s="5" t="s">
        <v>881</v>
      </c>
      <c r="C291" s="28" t="s">
        <v>980</v>
      </c>
      <c r="D291" s="5" t="s">
        <v>944</v>
      </c>
      <c r="E291" s="22" t="s">
        <v>981</v>
      </c>
    </row>
    <row r="292" customFormat="false" ht="23.85" hidden="false" customHeight="false" outlineLevel="0" collapsed="false">
      <c r="A292" s="5" t="s">
        <v>982</v>
      </c>
      <c r="B292" s="5" t="s">
        <v>881</v>
      </c>
      <c r="C292" s="28" t="s">
        <v>983</v>
      </c>
      <c r="D292" s="5" t="s">
        <v>944</v>
      </c>
      <c r="E292" s="22" t="s">
        <v>984</v>
      </c>
    </row>
    <row r="293" customFormat="false" ht="23.85" hidden="false" customHeight="false" outlineLevel="0" collapsed="false">
      <c r="A293" s="5" t="s">
        <v>985</v>
      </c>
      <c r="B293" s="5" t="s">
        <v>881</v>
      </c>
      <c r="C293" s="28" t="s">
        <v>986</v>
      </c>
      <c r="D293" s="5" t="s">
        <v>944</v>
      </c>
      <c r="E293" s="22" t="s">
        <v>987</v>
      </c>
    </row>
    <row r="294" customFormat="false" ht="23.85" hidden="false" customHeight="false" outlineLevel="0" collapsed="false">
      <c r="A294" s="5" t="s">
        <v>988</v>
      </c>
      <c r="B294" s="5" t="s">
        <v>881</v>
      </c>
      <c r="C294" s="28" t="s">
        <v>989</v>
      </c>
      <c r="D294" s="5" t="s">
        <v>944</v>
      </c>
      <c r="E294" s="22" t="s">
        <v>990</v>
      </c>
    </row>
    <row r="295" customFormat="false" ht="23.85" hidden="false" customHeight="false" outlineLevel="0" collapsed="false">
      <c r="A295" s="5" t="s">
        <v>991</v>
      </c>
      <c r="B295" s="5" t="s">
        <v>881</v>
      </c>
      <c r="C295" s="28" t="s">
        <v>992</v>
      </c>
      <c r="D295" s="5" t="s">
        <v>944</v>
      </c>
      <c r="E295" s="22" t="s">
        <v>993</v>
      </c>
    </row>
    <row r="296" customFormat="false" ht="23.85" hidden="false" customHeight="false" outlineLevel="0" collapsed="false">
      <c r="A296" s="5" t="s">
        <v>994</v>
      </c>
      <c r="B296" s="5" t="s">
        <v>881</v>
      </c>
      <c r="C296" s="28" t="s">
        <v>995</v>
      </c>
      <c r="D296" s="5" t="s">
        <v>944</v>
      </c>
      <c r="E296" s="22" t="s">
        <v>996</v>
      </c>
    </row>
    <row r="297" customFormat="false" ht="23.85" hidden="false" customHeight="false" outlineLevel="0" collapsed="false">
      <c r="A297" s="5" t="s">
        <v>997</v>
      </c>
      <c r="B297" s="5" t="s">
        <v>881</v>
      </c>
      <c r="C297" s="28" t="s">
        <v>998</v>
      </c>
      <c r="D297" s="5" t="s">
        <v>944</v>
      </c>
      <c r="E297" s="22" t="s">
        <v>999</v>
      </c>
    </row>
    <row r="298" customFormat="false" ht="23.85" hidden="false" customHeight="false" outlineLevel="0" collapsed="false">
      <c r="A298" s="5" t="s">
        <v>1000</v>
      </c>
      <c r="B298" s="5" t="s">
        <v>881</v>
      </c>
      <c r="C298" s="28" t="s">
        <v>1001</v>
      </c>
      <c r="D298" s="5" t="s">
        <v>1002</v>
      </c>
      <c r="E298" s="22" t="s">
        <v>1003</v>
      </c>
    </row>
    <row r="299" customFormat="false" ht="23.85" hidden="false" customHeight="false" outlineLevel="0" collapsed="false">
      <c r="A299" s="5" t="s">
        <v>1004</v>
      </c>
      <c r="B299" s="5" t="s">
        <v>881</v>
      </c>
      <c r="C299" s="28" t="s">
        <v>1005</v>
      </c>
      <c r="D299" s="5" t="s">
        <v>1002</v>
      </c>
      <c r="E299" s="22" t="s">
        <v>1006</v>
      </c>
    </row>
    <row r="300" customFormat="false" ht="23.85" hidden="false" customHeight="false" outlineLevel="0" collapsed="false">
      <c r="A300" s="5" t="s">
        <v>1007</v>
      </c>
      <c r="B300" s="5" t="s">
        <v>881</v>
      </c>
      <c r="C300" s="28" t="s">
        <v>1008</v>
      </c>
      <c r="D300" s="5" t="s">
        <v>1002</v>
      </c>
      <c r="E300" s="22" t="s">
        <v>1009</v>
      </c>
    </row>
    <row r="301" customFormat="false" ht="23.85" hidden="false" customHeight="false" outlineLevel="0" collapsed="false">
      <c r="A301" s="5" t="s">
        <v>1010</v>
      </c>
      <c r="B301" s="5" t="s">
        <v>881</v>
      </c>
      <c r="C301" s="28" t="s">
        <v>1011</v>
      </c>
      <c r="D301" s="5" t="s">
        <v>1002</v>
      </c>
      <c r="E301" s="22" t="s">
        <v>1012</v>
      </c>
    </row>
    <row r="302" customFormat="false" ht="23.85" hidden="false" customHeight="false" outlineLevel="0" collapsed="false">
      <c r="A302" s="5" t="s">
        <v>1013</v>
      </c>
      <c r="B302" s="5" t="s">
        <v>881</v>
      </c>
      <c r="C302" s="28" t="s">
        <v>1014</v>
      </c>
      <c r="D302" s="5" t="s">
        <v>1002</v>
      </c>
      <c r="E302" s="22" t="s">
        <v>1015</v>
      </c>
    </row>
    <row r="303" customFormat="false" ht="23.85" hidden="false" customHeight="false" outlineLevel="0" collapsed="false">
      <c r="A303" s="5" t="s">
        <v>1016</v>
      </c>
      <c r="B303" s="5" t="s">
        <v>881</v>
      </c>
      <c r="C303" s="28" t="s">
        <v>1017</v>
      </c>
      <c r="D303" s="5" t="s">
        <v>1002</v>
      </c>
      <c r="E303" s="22" t="s">
        <v>1018</v>
      </c>
    </row>
    <row r="304" customFormat="false" ht="23.85" hidden="false" customHeight="false" outlineLevel="0" collapsed="false">
      <c r="A304" s="5" t="s">
        <v>1019</v>
      </c>
      <c r="B304" s="5" t="s">
        <v>881</v>
      </c>
      <c r="C304" s="28" t="s">
        <v>1020</v>
      </c>
      <c r="D304" s="5" t="s">
        <v>1002</v>
      </c>
      <c r="E304" s="22" t="s">
        <v>1021</v>
      </c>
    </row>
    <row r="305" customFormat="false" ht="23.85" hidden="false" customHeight="false" outlineLevel="0" collapsed="false">
      <c r="A305" s="5" t="s">
        <v>1022</v>
      </c>
      <c r="B305" s="5" t="s">
        <v>881</v>
      </c>
      <c r="C305" s="28" t="s">
        <v>1023</v>
      </c>
      <c r="D305" s="5" t="s">
        <v>1002</v>
      </c>
      <c r="E305" s="22" t="s">
        <v>1024</v>
      </c>
    </row>
    <row r="306" customFormat="false" ht="23.85" hidden="false" customHeight="false" outlineLevel="0" collapsed="false">
      <c r="A306" s="5" t="s">
        <v>1025</v>
      </c>
      <c r="B306" s="5" t="s">
        <v>881</v>
      </c>
      <c r="C306" s="28" t="s">
        <v>1026</v>
      </c>
      <c r="D306" s="5" t="s">
        <v>1002</v>
      </c>
      <c r="E306" s="22" t="s">
        <v>1027</v>
      </c>
    </row>
    <row r="307" customFormat="false" ht="23.85" hidden="false" customHeight="false" outlineLevel="0" collapsed="false">
      <c r="A307" s="5" t="s">
        <v>1028</v>
      </c>
      <c r="B307" s="5" t="s">
        <v>881</v>
      </c>
      <c r="C307" s="28" t="s">
        <v>1029</v>
      </c>
      <c r="D307" s="5" t="s">
        <v>944</v>
      </c>
      <c r="E307" s="22" t="s">
        <v>1030</v>
      </c>
    </row>
    <row r="308" customFormat="false" ht="23.85" hidden="false" customHeight="false" outlineLevel="0" collapsed="false">
      <c r="A308" s="5" t="s">
        <v>1031</v>
      </c>
      <c r="B308" s="5" t="s">
        <v>881</v>
      </c>
      <c r="C308" s="28" t="s">
        <v>1032</v>
      </c>
      <c r="D308" s="5" t="s">
        <v>944</v>
      </c>
      <c r="E308" s="22" t="s">
        <v>1033</v>
      </c>
    </row>
    <row r="309" customFormat="false" ht="23.85" hidden="false" customHeight="false" outlineLevel="0" collapsed="false">
      <c r="A309" s="5" t="s">
        <v>1034</v>
      </c>
      <c r="B309" s="5" t="s">
        <v>881</v>
      </c>
      <c r="C309" s="28" t="s">
        <v>1035</v>
      </c>
      <c r="D309" s="5" t="s">
        <v>944</v>
      </c>
      <c r="E309" s="22" t="s">
        <v>1036</v>
      </c>
    </row>
    <row r="310" customFormat="false" ht="23.85" hidden="false" customHeight="false" outlineLevel="0" collapsed="false">
      <c r="A310" s="5" t="s">
        <v>1037</v>
      </c>
      <c r="B310" s="5" t="s">
        <v>881</v>
      </c>
      <c r="C310" s="28" t="s">
        <v>1038</v>
      </c>
      <c r="D310" s="5" t="s">
        <v>944</v>
      </c>
      <c r="E310" s="22" t="s">
        <v>1039</v>
      </c>
    </row>
    <row r="311" customFormat="false" ht="23.85" hidden="false" customHeight="false" outlineLevel="0" collapsed="false">
      <c r="A311" s="5" t="s">
        <v>1040</v>
      </c>
      <c r="B311" s="5" t="s">
        <v>881</v>
      </c>
      <c r="C311" s="28" t="s">
        <v>1041</v>
      </c>
      <c r="D311" s="5" t="s">
        <v>944</v>
      </c>
      <c r="E311" s="22" t="s">
        <v>1042</v>
      </c>
    </row>
    <row r="312" customFormat="false" ht="23.85" hidden="false" customHeight="false" outlineLevel="0" collapsed="false">
      <c r="A312" s="5" t="s">
        <v>1043</v>
      </c>
      <c r="B312" s="5" t="s">
        <v>881</v>
      </c>
      <c r="C312" s="28" t="s">
        <v>1044</v>
      </c>
      <c r="D312" s="5" t="s">
        <v>944</v>
      </c>
      <c r="E312" s="22" t="s">
        <v>1045</v>
      </c>
    </row>
    <row r="313" customFormat="false" ht="23.85" hidden="false" customHeight="false" outlineLevel="0" collapsed="false">
      <c r="A313" s="5" t="s">
        <v>1046</v>
      </c>
      <c r="B313" s="5" t="s">
        <v>881</v>
      </c>
      <c r="C313" s="28" t="s">
        <v>1047</v>
      </c>
      <c r="D313" s="5" t="s">
        <v>944</v>
      </c>
      <c r="E313" s="22" t="s">
        <v>1048</v>
      </c>
    </row>
    <row r="314" customFormat="false" ht="23.85" hidden="false" customHeight="false" outlineLevel="0" collapsed="false">
      <c r="A314" s="5" t="s">
        <v>1049</v>
      </c>
      <c r="B314" s="5" t="s">
        <v>881</v>
      </c>
      <c r="C314" s="28" t="s">
        <v>1050</v>
      </c>
      <c r="D314" s="5" t="s">
        <v>944</v>
      </c>
      <c r="E314" s="22" t="s">
        <v>1051</v>
      </c>
    </row>
    <row r="315" customFormat="false" ht="23.85" hidden="false" customHeight="false" outlineLevel="0" collapsed="false">
      <c r="A315" s="5" t="s">
        <v>1052</v>
      </c>
      <c r="B315" s="5" t="s">
        <v>881</v>
      </c>
      <c r="C315" s="28" t="s">
        <v>1053</v>
      </c>
      <c r="D315" s="5" t="s">
        <v>944</v>
      </c>
      <c r="E315" s="22" t="s">
        <v>1054</v>
      </c>
    </row>
    <row r="316" customFormat="false" ht="23.85" hidden="false" customHeight="false" outlineLevel="0" collapsed="false">
      <c r="A316" s="5" t="s">
        <v>1055</v>
      </c>
      <c r="B316" s="5" t="s">
        <v>881</v>
      </c>
      <c r="C316" s="28" t="s">
        <v>1056</v>
      </c>
      <c r="D316" s="5" t="s">
        <v>944</v>
      </c>
      <c r="E316" s="22" t="s">
        <v>1057</v>
      </c>
    </row>
    <row r="317" customFormat="false" ht="23.85" hidden="false" customHeight="false" outlineLevel="0" collapsed="false">
      <c r="A317" s="5" t="s">
        <v>1058</v>
      </c>
      <c r="B317" s="5" t="s">
        <v>881</v>
      </c>
      <c r="C317" s="28" t="s">
        <v>1059</v>
      </c>
      <c r="D317" s="5" t="s">
        <v>944</v>
      </c>
      <c r="E317" s="22" t="s">
        <v>1060</v>
      </c>
    </row>
    <row r="318" customFormat="false" ht="23.85" hidden="false" customHeight="false" outlineLevel="0" collapsed="false">
      <c r="A318" s="5" t="s">
        <v>1061</v>
      </c>
      <c r="B318" s="5" t="s">
        <v>881</v>
      </c>
      <c r="C318" s="28" t="s">
        <v>1062</v>
      </c>
      <c r="D318" s="5" t="s">
        <v>944</v>
      </c>
      <c r="E318" s="22" t="s">
        <v>1063</v>
      </c>
    </row>
    <row r="319" customFormat="false" ht="23.85" hidden="false" customHeight="false" outlineLevel="0" collapsed="false">
      <c r="A319" s="5" t="s">
        <v>1064</v>
      </c>
      <c r="B319" s="5" t="s">
        <v>881</v>
      </c>
      <c r="C319" s="28" t="s">
        <v>1065</v>
      </c>
      <c r="D319" s="5" t="s">
        <v>944</v>
      </c>
      <c r="E319" s="22" t="s">
        <v>1066</v>
      </c>
    </row>
    <row r="320" customFormat="false" ht="23.85" hidden="false" customHeight="false" outlineLevel="0" collapsed="false">
      <c r="A320" s="5" t="s">
        <v>1067</v>
      </c>
      <c r="B320" s="5" t="s">
        <v>881</v>
      </c>
      <c r="C320" s="28" t="s">
        <v>1068</v>
      </c>
      <c r="D320" s="5" t="s">
        <v>1069</v>
      </c>
      <c r="E320" s="22" t="s">
        <v>1070</v>
      </c>
    </row>
    <row r="321" customFormat="false" ht="35.05" hidden="false" customHeight="false" outlineLevel="0" collapsed="false">
      <c r="A321" s="5" t="s">
        <v>1071</v>
      </c>
      <c r="B321" s="5" t="s">
        <v>881</v>
      </c>
      <c r="C321" s="28" t="s">
        <v>1072</v>
      </c>
      <c r="D321" s="5" t="s">
        <v>1073</v>
      </c>
      <c r="E321" s="22" t="s">
        <v>1074</v>
      </c>
    </row>
    <row r="322" customFormat="false" ht="23.85" hidden="false" customHeight="false" outlineLevel="0" collapsed="false">
      <c r="A322" s="5" t="s">
        <v>1075</v>
      </c>
      <c r="B322" s="5" t="s">
        <v>881</v>
      </c>
      <c r="C322" s="28" t="s">
        <v>1076</v>
      </c>
      <c r="D322" s="5" t="s">
        <v>944</v>
      </c>
      <c r="E322" s="22" t="s">
        <v>1077</v>
      </c>
    </row>
    <row r="323" customFormat="false" ht="35.05" hidden="false" customHeight="false" outlineLevel="0" collapsed="false">
      <c r="A323" s="5" t="s">
        <v>1078</v>
      </c>
      <c r="B323" s="5" t="s">
        <v>881</v>
      </c>
      <c r="C323" s="28" t="s">
        <v>1079</v>
      </c>
      <c r="D323" s="5" t="s">
        <v>1080</v>
      </c>
      <c r="E323" s="22" t="s">
        <v>1081</v>
      </c>
    </row>
    <row r="324" customFormat="false" ht="23.85" hidden="false" customHeight="false" outlineLevel="0" collapsed="false">
      <c r="A324" s="5" t="s">
        <v>1082</v>
      </c>
      <c r="B324" s="5" t="s">
        <v>881</v>
      </c>
      <c r="C324" s="28" t="s">
        <v>1083</v>
      </c>
      <c r="D324" s="5" t="s">
        <v>944</v>
      </c>
      <c r="E324" s="22" t="s">
        <v>1084</v>
      </c>
    </row>
    <row r="325" customFormat="false" ht="23.85" hidden="false" customHeight="false" outlineLevel="0" collapsed="false">
      <c r="A325" s="5" t="s">
        <v>1085</v>
      </c>
      <c r="B325" s="5" t="s">
        <v>881</v>
      </c>
      <c r="C325" s="28" t="s">
        <v>1086</v>
      </c>
      <c r="D325" s="5" t="s">
        <v>944</v>
      </c>
      <c r="E325" s="22" t="s">
        <v>1087</v>
      </c>
    </row>
  </sheetData>
  <hyperlinks>
    <hyperlink ref="E5" r:id="rId1" display="https://www.sec.gov/Archives/edgar/data/67347/000110465926112870/tm2626618d1_8k.htm"/>
    <hyperlink ref="E6" r:id="rId2" display="https://www.sec.gov/Archives/edgar/data/67347/000110465926108614/tm2625565d1_8k.htm"/>
    <hyperlink ref="E7" r:id="rId3" display="https://www.sec.gov/Archives/edgar/data/67347/000110465926088230/mod-20260729xex99d1.htm"/>
    <hyperlink ref="E8" r:id="rId4" display="https://www.sec.gov/Archives/edgar/data/67347/000110465926088230/mod-20260729xex99d2.htm"/>
    <hyperlink ref="E9" r:id="rId5" display="https://www.sec.gov/Archives/edgar/data/67347/000110465926086644/mod-20260724xex99d1.htm"/>
    <hyperlink ref="E10" r:id="rId6" display="https://www.sec.gov/Archives/edgar/data/67347/000110465926066291/mod-20260526xex99d1.htm"/>
    <hyperlink ref="E11" r:id="rId7" display="https://www.sec.gov/Archives/edgar/data/67347/000110465926008087/mod-20260129xex99d2.htm"/>
    <hyperlink ref="E12" r:id="rId8" display="https://www.sec.gov/Archives/edgar/data/67347/000110465926106727/tm2625001d1_8k.htm"/>
    <hyperlink ref="E13" r:id="rId9" display="https://www.sec.gov/Archives/edgar/data/67347/000110465926088569/mod-20260630x10q.htm"/>
    <hyperlink ref="E14" r:id="rId10" display="https://www.sec.gov/Archives/edgar/data/0000903129/000119312526410776/d214921dex991.htm"/>
    <hyperlink ref="E15" r:id="rId11" display="https://data.sec.gov/submissions/CIK0000067347.json"/>
    <hyperlink ref="E16" r:id="rId12" display="https://stockanalysis.com/stocks/mod/statistics/"/>
    <hyperlink ref="E17" r:id="rId13" display="https://stockanalysis.com/stocks/vrt/statistics/"/>
    <hyperlink ref="E18" r:id="rId14" display="https://twelvedata.com/"/>
    <hyperlink ref="E19" r:id="rId15" display="https://stocktaper.com/earningsCallSummary/MOD/2027/Q1"/>
    <hyperlink ref="E20" r:id="rId16" display="https://www.zacks.com/stock/news/2966329/mod-q1-earnings-top-estimates-on-data-center-growth-sales-miss"/>
    <hyperlink ref="E21" r:id="rId17" display="https://nextearningsdate.com/modine-manufacturing.html"/>
    <hyperlink ref="E23" r:id="rId18" display="https://stockanalysis.com/stocks/aaon/forecast/"/>
    <hyperlink ref="E24" r:id="rId19" display="https://www.sec.gov/Archives/edgar/data/67347/000110465926066795/mod-20260331x10k.htm"/>
    <hyperlink ref="E25" r:id="rId20" display="https://finviz.com/news/391412/modine-to-host-analyst-and-investor-day-on-november-18-2026"/>
    <hyperlink ref="E26" r:id="rId21" display="https://investors.modine.com/news/news-details/2025/Modine-to-Host-Second-Quarter-Fiscal-2026-Earnings-Conference-Call-on-October-29-2025/default.aspx"/>
    <hyperlink ref="E27" r:id="rId22" display="https://www.sec.gov/Archives/edgar/data/67347/000110465926113588/xslF345X06/tm2626713-4_4seq1.xml"/>
    <hyperlink ref="E28" r:id="rId23" display="https://data.sec.gov/api/xbrl/companyfacts/CIK0001674101.json"/>
    <hyperlink ref="E29" r:id="rId24" display="https://data.sec.gov/api/xbrl/companyfacts/CIK0001720635.json"/>
    <hyperlink ref="E30" r:id="rId25" display="https://data.sec.gov/api/xbrl/companyfacts/CIK0000824142.json"/>
    <hyperlink ref="E31" r:id="rId26" display="https://data.sec.gov/api/xbrl/companyfacts/CIK0001466258.json"/>
    <hyperlink ref="E32" r:id="rId27" display="https://www.sec.gov/Archives/edgar/data/833444/000083344426000087/jci-20260630.htm"/>
    <hyperlink ref="E33" r:id="rId28" display="https://www.sec.gov/Archives/edgar/data/1783180/000178318026000032/carr-20260630.htm"/>
    <hyperlink ref="E34" r:id="rId29" display="https://www.sec.gov/Archives/edgar/data/1069202/000106920226000087/lii-20260630.htm"/>
    <hyperlink ref="E35" r:id="rId30" display="https://data.sec.gov/api/xbrl/companyfacts/CIK0000088205.json"/>
    <hyperlink ref="E36" r:id="rId31" display="https://data.sec.gov/api/xbrl/companyfacts/CIK0001624794.json"/>
    <hyperlink ref="E37" r:id="rId32" display="https://data.sec.gov/api/xbrl/companyfacts/CIK0001551182.json"/>
    <hyperlink ref="E38" r:id="rId33" display="https://data.sec.gov/api/xbrl/companyfacts/CIK0001035983.json"/>
    <hyperlink ref="E39" r:id="rId34" display="https://twelvedata.com/"/>
    <hyperlink ref="E40" r:id="rId35" display="https://stockanalysis.com/stocks/vrt/forecast/"/>
    <hyperlink ref="E41" r:id="rId36" display="https://data.sec.gov/api/xbrl/companyfacts/CIK0000833444.json"/>
    <hyperlink ref="E42" r:id="rId37" display="https://s205.q4cdn.com/270741342/files/doc_financials/2027/q1/Modine_-Transcript-Q1-FY27.pdf"/>
    <hyperlink ref="E43" r:id="rId38" display="https://www.placera.se/pressmeddelanden/modine-manufacturing-modine-reports-first-quarter-fiscal-2027-results-20260729"/>
    <hyperlink ref="E44" r:id="rId39" display="https://www.sec.gov/Archives/edgar/data/0000067347/000110465926088230/mod-20260729xex99d1.htm"/>
    <hyperlink ref="E45" r:id="rId40" display="https://www.sec.gov/Archives/edgar/data/0000067347/000110465926086644/mod-20260724xex99d1.htm"/>
    <hyperlink ref="E46" r:id="rId41" display="https://www.sec.gov/Archives/edgar/data/0000067347/000110465926066291/mod-20260526xex99d1.htm"/>
    <hyperlink ref="E47" r:id="rId42" display="https://www.sec.gov/Archives/edgar/data/0000067347/000110465926112870/tm2626618d1_8k.htm"/>
    <hyperlink ref="E48" r:id="rId43" display="https://www.sec.gov/Archives/edgar/data/0000903129/000119312526410776/d214921dex991.htm"/>
    <hyperlink ref="E49" r:id="rId44" display="https://twelvedata.com/"/>
    <hyperlink ref="E50" r:id="rId45" display="https://twelvedata.com/"/>
    <hyperlink ref="E51" r:id="rId46" display="https://stockanalysis.com/stocks/mod/statistics/"/>
    <hyperlink ref="E52" r:id="rId47" display="https://stockanalysis.com/stocks/vrt/statistics/"/>
    <hyperlink ref="E53" r:id="rId48" display="https://stockanalysis.com/stocks/tt/statistics/"/>
    <hyperlink ref="E54" r:id="rId49" display="https://stockanalysis.com/stocks/jci/statistics/"/>
    <hyperlink ref="E55" r:id="rId50" display="https://stockanalysis.com/stocks/carr/statistics/"/>
    <hyperlink ref="E56" r:id="rId51" display="https://stockanalysis.com/stocks/lii/statistics/"/>
    <hyperlink ref="E57" r:id="rId52" display="https://stockanalysis.com/stocks/aaon/statistics/"/>
    <hyperlink ref="E58" r:id="rId53" display="https://stockanalysis.com/stocks/nvt/statistics/"/>
    <hyperlink ref="E59" r:id="rId54" display="https://stockanalysis.com/stocks/spxc/statistics/"/>
    <hyperlink ref="E60" r:id="rId55" display="https://stockanalysis.com/stocks/fix/statistics/"/>
    <hyperlink ref="E61" r:id="rId56" display="https://stockanalysis.com/stocks/etn/statistics/"/>
    <hyperlink ref="E62" r:id="rId57" display="https://stockanalysis.com/quote/tyo/6367/statistics/"/>
    <hyperlink ref="E63" r:id="rId58" display="https://stockanalysis.com/quote/sto/MTRS/statistics/"/>
    <hyperlink ref="E64" r:id="rId59" display="https://www.achrnews.com/articles/165683-nvidias-vera-rubin-has-chilling-effect-on-hvac-industry"/>
    <hyperlink ref="E65" r:id="rId60" display="https://www.datacenterdynamics.com/en/news/vera-rubin-hot-water-cooling-reveal-triggers-hvac-share-drop"/>
    <hyperlink ref="E66" r:id="rId61" display="https://www.fool.com/earnings/call-transcripts/2026/07/30/trane-technologies-tt-q2-2026-earnings-call-transcript/"/>
    <hyperlink ref="E67" r:id="rId62" display="https://www.sec.gov/Archives/edgar/data/0000833444/000083344426000083/q3ex991xq3fy26earningsrele.htm"/>
    <hyperlink ref="E68" r:id="rId63" display="https://www.sec.gov/Archives/edgar/data/0001783180/000178318026000030/a99-q22026earningsexhibit.htm"/>
    <hyperlink ref="E69" r:id="rId64" display="https://quartr.com/events/munters-group-mtrs-q2-2026_3eIRXxU4"/>
    <hyperlink ref="E70" r:id="rId65" display="https://www.nasdaq.com/articles/vertivs-15-billion-backlog-loudest-ai-signal-2026"/>
    <hyperlink ref="E71" r:id="rId66" display="https://www.cbre.com/press-releases/north-american-data-center-demand-continues-to-outpace-supply-despite-record-construction"/>
    <hyperlink ref="E72" r:id="rId67" display="https://www.credaily.com/briefs/data-center-demand-doubles-as-frontier-markets-surge/"/>
    <hyperlink ref="E74" r:id="rId68" display="https://medium.com/@Elongated_musk/the-hvac-shock-no-one-priced-in-no-chillers-doesn-t-mean-no-cooling-53eec1f0da75"/>
    <hyperlink ref="E75" r:id="rId69" display="https://www.placera.se/pressmeddelanden/modine-manufacturing-modine-to-become-modexus-solutions-marking-next-chapter-as-diversified-thermal-management-solutions-company-20260910"/>
    <hyperlink ref="E76" r:id="rId70" display="https://nextearningsdate.com/modine-manufacturing.html"/>
    <hyperlink ref="E77" r:id="rId71" display="https://www.sec.gov/Archives/edgar/data/67347/000110465926088230/mod-20260729xex99d2.htm"/>
    <hyperlink ref="E78" r:id="rId72" display="https://www.sec.gov/Archives/edgar/data/67347/000110465926066795/mod-20260331x10k.htm"/>
    <hyperlink ref="E79" r:id="rId73" display="https://finviz.com/news/391412/modine-to-host-analyst-and-investor-day-on-november-18-2026"/>
    <hyperlink ref="E80" r:id="rId74" display="https://data.sec.gov/submissions/CIK0000067347.json"/>
    <hyperlink ref="E81" r:id="rId75" display="https://www.coolingpost.com/world-news/munters-lands-e195m-data-centre-cooling-orders/"/>
    <hyperlink ref="E82" r:id="rId76" display="https://businesswire.com/news/home/20260123068139/en/DCX-Liquid-Cooling-Systems-Announces-New-8MW-Coolant-Distribution-Unit-Optimized-for-45C-Warm-Water-Cooling-in-Next-Gen-NVIDIA-Vera-Rubin-AI-Deployments"/>
    <hyperlink ref="E83" r:id="rId77" display="https://finance.yahoo.com/news/da-davidson-raises-modine-manufacturing-115506026.html"/>
    <hyperlink ref="E84" r:id="rId78" display="https://www.sec.gov/Archives/edgar/data/67347/000110465926113588/xslF345X06/tm2626713-4_4seq1.xml"/>
    <hyperlink ref="E85" r:id="rId79" display="https://data.sec.gov/api/xbrl/companyfacts/CIK0001674101.json"/>
    <hyperlink ref="E86" r:id="rId80" display="https://data.sec.gov/api/xbrl/companyfacts/CIK0001720635.json"/>
    <hyperlink ref="E87" r:id="rId81" display="https://data.sec.gov/api/xbrl/companyfacts/CIK0000824142.json"/>
    <hyperlink ref="E88" r:id="rId82" display="https://data.sec.gov/api/xbrl/companyfacts/CIK0001466258.json"/>
    <hyperlink ref="E89" r:id="rId83" display="https://www.sec.gov/Archives/edgar/data/833444/000083344426000087/jci-20260630.htm"/>
    <hyperlink ref="E90" r:id="rId84" display="https://www.sec.gov/Archives/edgar/data/1783180/000178318026000032/carr-20260630.htm"/>
    <hyperlink ref="E91" r:id="rId85" display="https://www.sec.gov/Archives/edgar/data/1069202/000106920226000087/lii-20260630.htm"/>
    <hyperlink ref="E92" r:id="rId86" display="https://data.sec.gov/api/xbrl/companyfacts/CIK0000088205.json"/>
    <hyperlink ref="E93" r:id="rId87" display="https://data.sec.gov/api/xbrl/companyfacts/CIK0001624794.json"/>
    <hyperlink ref="E94" r:id="rId88" display="https://data.sec.gov/api/xbrl/companyfacts/CIK0001551182.json"/>
    <hyperlink ref="E95" r:id="rId89" display="https://data.sec.gov/api/xbrl/companyfacts/CIK0001035983.json"/>
    <hyperlink ref="E96" r:id="rId90" display="https://twelvedata.com/"/>
    <hyperlink ref="E97" r:id="rId91" display="https://stockanalysis.com/stocks/vrt/forecast/"/>
    <hyperlink ref="E98" r:id="rId92" display="https://data.sec.gov/api/xbrl/companyfacts/CIK0000833444.json"/>
    <hyperlink ref="E99" r:id="rId93" display="https://www.sec.gov/Archives/edgar/data/67347/000110465926112870/tm2626618d1_8k.htm"/>
    <hyperlink ref="E100" r:id="rId94" display="https://www.sec.gov/Archives/edgar/data/67347/000110465926108614/tm2625565d1_8k.htm"/>
    <hyperlink ref="E101" r:id="rId95" display="https://www.sec.gov/Archives/edgar/data/67347/000110465926088230/mod-20260729xex99d1.htm"/>
    <hyperlink ref="E102" r:id="rId96" display="https://www.sec.gov/Archives/edgar/data/67347/000110465926088230/mod-20260729xex99d2.htm"/>
    <hyperlink ref="E103" r:id="rId97" display="https://www.sec.gov/Archives/edgar/data/67347/000110465926086644/mod-20260724xex99d1.htm"/>
    <hyperlink ref="E104" r:id="rId98" display="https://www.sec.gov/Archives/edgar/data/67347/000110465926113588/xslF345X06/tm2626713-4_4seq1.xml"/>
    <hyperlink ref="E105" r:id="rId99" display="https://www.sec.gov/Archives/edgar/data/67347/000195004726009278/xsl144X01/primary_doc.xml"/>
    <hyperlink ref="E106" r:id="rId100" display="https://www.sec.gov/Archives/edgar/data/67347/000195004726006329/xsl144X01/primary_doc.xml"/>
    <hyperlink ref="E107" r:id="rId101" display="https://hntrbrk.com/investigations/modine"/>
    <hyperlink ref="E108" r:id="rId102" display="https://newsletter.hntrbrk.com/p/breaking-modines-anchor-multi-billion"/>
    <hyperlink ref="E109" r:id="rId103" display="https://www.quiverquant.com/news/Modine+Manufacturing+falls+as+investors+appear+to+revisit+margin+and+execution+concerns"/>
    <hyperlink ref="E110" r:id="rId104" display="https://walnutinvest.com/stocks/mod/is-it-a-buy-or-sell"/>
    <hyperlink ref="E111" r:id="rId105" display="https://www.nasdaq.com/articles/modine-manufacturing-q4-earnings-call-highlights"/>
    <hyperlink ref="E112" r:id="rId106" display="https://stockanalysis.com/stocks/mod/statistics/"/>
    <hyperlink ref="E113" r:id="rId107" display="https://stockanalysis.com/stocks/mod/forecast/"/>
    <hyperlink ref="E114" r:id="rId108" display="https://stockanalysis.com/stocks/vrt/statistics/"/>
    <hyperlink ref="E115" r:id="rId109" display="https://stockanalysis.com/stocks/nvt/statistics/"/>
    <hyperlink ref="E116" r:id="rId110" display="https://stockanalysis.com/stocks/aaon/statistics/"/>
    <hyperlink ref="E117" r:id="rId111" display="https://stockanalysis.com/stocks/spxc/statistics/"/>
    <hyperlink ref="E118" r:id="rId112" display="https://stockanalysis.com/stocks/tt/statistics/"/>
    <hyperlink ref="E119" r:id="rId113" display="https://stockanalysis.com/stocks/jci/statistics/"/>
    <hyperlink ref="E120" r:id="rId114" display="https://stockanalysis.com/stocks/carr/statistics/"/>
    <hyperlink ref="E121" r:id="rId115" display="https://stockanalysis.com/stocks/lii/statistics/"/>
    <hyperlink ref="E122" r:id="rId116" display="https://stockanalysis.com/stocks/etn/statistics/"/>
    <hyperlink ref="E124" r:id="rId117" display="https://twelvedata.com"/>
    <hyperlink ref="E125" r:id="rId118" display="https://twelvedata.com"/>
    <hyperlink ref="E126" r:id="rId119" display="https://twelvedata.com"/>
    <hyperlink ref="E127" r:id="rId120" display="https://equibles.com/stocks/MOD"/>
    <hyperlink ref="E128" r:id="rId121" display="https://www.sec.gov/Archives/edgar/data/0000903129/000119312526346909/d52416d424b3.htm"/>
    <hyperlink ref="E129" r:id="rId122" display="https://www.sfnet.com/home/chapters/canada/news-detail/2025/07/16/modine-manufacturing-updates-credit-agreement-with-new-five-year-facilities"/>
    <hyperlink ref="E130" r:id="rId123" display="https://simplefunctions.dev/odds/how-high-10-treasury-yield-go.md"/>
    <hyperlink ref="E131" r:id="rId124" display="https://stockanalysis.com/stocks/vrt/forecast/"/>
    <hyperlink ref="E132" r:id="rId125" display="https://www.sec.gov/Archives/edgar/data/67347/000110465926066795/mod-20260331x10k.htm"/>
    <hyperlink ref="E133" r:id="rId126" display="https://www.sec.gov/Archives/edgar/data/67347/000110465926088569/mod-20260630x10q.htm"/>
    <hyperlink ref="E134" r:id="rId127" display="https://www.sec.gov/Archives/edgar/data/67347/000172936626000012/xslF345X06/form4-09142026_070914.xml"/>
    <hyperlink ref="E135" r:id="rId128" display="https://www.quiverquant.com/news/Why+Modine+Manufacturing+(MOD)+Stock+Is+Down+Today"/>
    <hyperlink ref="E136" r:id="rId129" display="https://stockanalysis.com/stocks/cswi/statistics/"/>
    <hyperlink ref="E137" r:id="rId130" display="https://data.sec.gov/submissions/CIK0000067347.json"/>
    <hyperlink ref="E139" r:id="rId131" display="https://data.sec.gov/api/xbrl/companyfacts/CIK0001674101.json"/>
    <hyperlink ref="E140" r:id="rId132" display="https://data.sec.gov/api/xbrl/companyfacts/CIK0001720635.json"/>
    <hyperlink ref="E141" r:id="rId133" display="https://data.sec.gov/api/xbrl/companyfacts/CIK0000824142.json"/>
    <hyperlink ref="E142" r:id="rId134" display="https://data.sec.gov/api/xbrl/companyfacts/CIK0001466258.json"/>
    <hyperlink ref="E143" r:id="rId135" display="https://www.sec.gov/Archives/edgar/data/833444/000083344426000087/jci-20260630.htm"/>
    <hyperlink ref="E144" r:id="rId136" display="https://www.sec.gov/Archives/edgar/data/1783180/000178318026000032/carr-20260630.htm"/>
    <hyperlink ref="E145" r:id="rId137" display="https://www.sec.gov/Archives/edgar/data/1069202/000106920226000087/lii-20260630.htm"/>
    <hyperlink ref="E146" r:id="rId138" display="https://data.sec.gov/api/xbrl/companyfacts/CIK0000088205.json"/>
    <hyperlink ref="E147" r:id="rId139" display="https://data.sec.gov/api/xbrl/companyfacts/CIK0001624794.json"/>
    <hyperlink ref="E148" r:id="rId140" display="https://data.sec.gov/api/xbrl/companyfacts/CIK0001551182.json"/>
    <hyperlink ref="E149" r:id="rId141" display="https://data.sec.gov/api/xbrl/companyfacts/CIK0001035983.json"/>
    <hyperlink ref="E150" r:id="rId142" display="https://twelvedata.com/"/>
    <hyperlink ref="E151" r:id="rId143" display="https://stockanalysis.com/stocks/vrt/forecast/"/>
    <hyperlink ref="E152" r:id="rId144" display="https://data.sec.gov/api/xbrl/companyfacts/CIK0000833444.json"/>
    <hyperlink ref="E153" r:id="rId145" display="https://home.treasury.gov/resource-center/data-chart-center/interest-rates/daily-treasury-rates.csv/2026/all?type=daily_treasury_yield_curve&amp;field_tdr_date_value=2026&amp;page&amp;_format=csv"/>
    <hyperlink ref="E154" r:id="rId146" display="https://www.placera.se/pressmeddelanden/modine-manufacturing-modine-reports-first-quarter-fiscal-2027-results-20260729"/>
    <hyperlink ref="E155" r:id="rId147" display="https://www.sec.gov/Archives/edgar/data/0000067347/000110465926066291/mod-20260526xex99d1.htm"/>
    <hyperlink ref="E156" r:id="rId148" display="https://www.sec.gov/Archives/edgar/data/67347/000110465926086644/mod-20260724xex99d1.htm"/>
    <hyperlink ref="E157" r:id="rId149" display="https://www.sec.gov/Archives/edgar/data/67347/000110465926112870/tm2626618d1_8k.htm"/>
    <hyperlink ref="E158" r:id="rId150" display="https://www.sec.gov/Archives/edgar/data/67347/000110465926112870/tm2626618d1_ex99-1.htm"/>
    <hyperlink ref="E159" r:id="rId151" display="https://www.sec.gov/Archives/edgar/data/67347/000110465926108614/tm2625565d1_8k.htm"/>
    <hyperlink ref="E160" r:id="rId152" display="https://hntrbrk.com/investigations/modine"/>
    <hyperlink ref="E161" r:id="rId153" display="https://newsletter.hntrbrk.com/p/breaking-modines-anchor-multi-billion"/>
    <hyperlink ref="E162" r:id="rId154" display="https://shareholdersunite.substack.com/p/a-primer-on-modine"/>
    <hyperlink ref="E163" r:id="rId155" display="https://www.datacenterdynamics.com/en/product-news/modine-announces-landmark-4-billion-long-term-capacity-agreement-through-2029-with-strategic-data-center-customer-for-airedale-by-modine-cooling-solutions/"/>
    <hyperlink ref="E164" r:id="rId156" display="https://letsdatascience.com/news/modine-secures-4b-data-center-cooling-deal-6ff93bf5"/>
    <hyperlink ref="E165" r:id="rId157" display="https://www.coolingpost.com/world-news/modine-to-become-modexus-solutions/"/>
    <hyperlink ref="E166" r:id="rId158" display="https://refindustry.com/news/market-news/modine-invests-100m-to-expand-u-s-data-center-cooling-production/"/>
    <hyperlink ref="E167" r:id="rId159" display="https://www.coolingpost.com/world-news/modine-expands-us-data-centre-chiller-capacity/"/>
    <hyperlink ref="E168" r:id="rId160" display="https://refindustry.com/?p=80725"/>
    <hyperlink ref="E169" r:id="rId161" display="https://businessfacilities.com/modine-expands-in-mississippi-to-serve-data-center-customers/"/>
    <hyperlink ref="E170" r:id="rId162" display="https://stockanalysis.com/stocks/vrt/statistics/"/>
    <hyperlink ref="E171" r:id="rId163" display="https://stockanalysis.com/stocks/mod/statistics/"/>
    <hyperlink ref="E172" r:id="rId164" display="https://twelvedata.com"/>
    <hyperlink ref="E174" r:id="rId165" display="https://www.nasdaq.com/articles/how-modine-positioning-itself-benefit-ai-push"/>
    <hyperlink ref="E175" r:id="rId166" display="https://www.benzinga.com/quote/MOD/price-targets"/>
    <hyperlink ref="E176" r:id="rId167" display="https://www.sec.gov/Archives/edgar/data/67347/000110465926088230/mod-20260729xex99d1.htm"/>
    <hyperlink ref="E177" r:id="rId168" display="https://www.sec.gov/Archives/edgar/data/67347/000110465926088230/mod-20260729xex99d2.htm"/>
    <hyperlink ref="E178" r:id="rId169" display="https://www.sec.gov/Archives/edgar/data/67347/000110465926066795/mod-20260331x10k.htm"/>
    <hyperlink ref="E179" r:id="rId170" display="https://finviz.com/news/391412/modine-to-host-analyst-and-investor-day-on-november-18-2026"/>
    <hyperlink ref="E180" r:id="rId171" display="https://data.sec.gov/submissions/CIK0000067347.json"/>
    <hyperlink ref="E181" r:id="rId172" display="https://weissratings.com/en/instant-news-alerts/modine-manufacturing-company-mod-down-11-5-should-i-let-it-go"/>
    <hyperlink ref="E182" r:id="rId173" display="https://investors.modine.com/news/news-details/2025/Growth-in-Data-Center-Business-Drives-Hiring-for-New-Franklin-Facility/default.aspx"/>
    <hyperlink ref="E183" r:id="rId174" display="https://www.sec.gov/Archives/edgar/data/903129/000119312526410776/d214921d8k.htm"/>
    <hyperlink ref="E184" r:id="rId175" display="https://www.sec.gov/Archives/edgar/data/67347/000110465926113588/xslF345X06/tm2626713-4_4seq1.xml"/>
    <hyperlink ref="E185" r:id="rId176" display="https://data.sec.gov/api/xbrl/companyfacts/CIK0001674101.json"/>
    <hyperlink ref="E186" r:id="rId177" display="https://data.sec.gov/api/xbrl/companyfacts/CIK0001720635.json"/>
    <hyperlink ref="E187" r:id="rId178" display="https://data.sec.gov/api/xbrl/companyfacts/CIK0000824142.json"/>
    <hyperlink ref="E188" r:id="rId179" display="https://data.sec.gov/api/xbrl/companyfacts/CIK0001466258.json"/>
    <hyperlink ref="E189" r:id="rId180" display="https://www.sec.gov/Archives/edgar/data/833444/000083344426000087/jci-20260630.htm"/>
    <hyperlink ref="E190" r:id="rId181" display="https://www.sec.gov/Archives/edgar/data/1783180/000178318026000032/carr-20260630.htm"/>
    <hyperlink ref="E191" r:id="rId182" display="https://www.sec.gov/Archives/edgar/data/1069202/000106920226000087/lii-20260630.htm"/>
    <hyperlink ref="E192" r:id="rId183" display="https://data.sec.gov/api/xbrl/companyfacts/CIK0000088205.json"/>
    <hyperlink ref="E193" r:id="rId184" display="https://data.sec.gov/api/xbrl/companyfacts/CIK0001624794.json"/>
    <hyperlink ref="E194" r:id="rId185" display="https://data.sec.gov/api/xbrl/companyfacts/CIK0001551182.json"/>
    <hyperlink ref="E195" r:id="rId186" display="https://data.sec.gov/api/xbrl/companyfacts/CIK0001035983.json"/>
    <hyperlink ref="E196" r:id="rId187" display="https://twelvedata.com/"/>
    <hyperlink ref="E197" r:id="rId188" display="https://stockanalysis.com/stocks/vrt/forecast/"/>
    <hyperlink ref="E198" r:id="rId189" display="https://data.sec.gov/api/xbrl/companyfacts/CIK0000833444.json"/>
    <hyperlink ref="E199" r:id="rId190" display="https://www.sec.gov/Archives/edgar/data/0000067347/000110465926112870/tm2626618d1_8k.htm"/>
    <hyperlink ref="E200" r:id="rId191" display="https://www.sec.gov/Archives/edgar/data/0000067347/000110465926112870/tm2626618d1_ex99-1.htm"/>
    <hyperlink ref="E201" r:id="rId192" display="https://www.placera.se/pressmeddelanden/modine-manufacturing-modine-reports-first-quarter-fiscal-2027-results-20260729"/>
    <hyperlink ref="E202" r:id="rId193" display="https://www.sec.gov/Archives/edgar/data/0000067347/000110465926066291/mod-20260526xex99d1.htm"/>
    <hyperlink ref="E203" r:id="rId194" display="https://www.stocktitan.net/sec-filings/MOD/10-k-modine-manufacturing-co-files-annual-report-34f47e6b948d.html"/>
    <hyperlink ref="E204" r:id="rId195" display="https://www.nasdaq.com/articles/modine-manufacturing-q4-earnings-call-highlights"/>
    <hyperlink ref="E205" r:id="rId196" display="https://twelvedata.com/"/>
    <hyperlink ref="E206" r:id="rId197" display="https://twelvedata.com/"/>
    <hyperlink ref="E207" r:id="rId198" display="https://kalshi.com/markets/kxrecssnber"/>
    <hyperlink ref="E208" r:id="rId199" display="https://polymarket.com/event/ai-bubble-burst-by"/>
    <hyperlink ref="E209" r:id="rId200" display="https://www.tsinetwork.ca/category/topics/spinoffs-topics/"/>
    <hyperlink ref="E210" r:id="rId201" display="https://eprints.nottingham.ac.uk/30160"/>
    <hyperlink ref="E211" r:id="rId202" display="https://www.itiger.com/news/1116514726"/>
    <hyperlink ref="E212" r:id="rId203" display="https://www.quiverquant.com/news/Why+Modine+Manufacturing+(MOD)+Stock+Is+Down+Today"/>
    <hyperlink ref="E213" r:id="rId204" display="https://www.oddpool.com/explore/recession"/>
    <hyperlink ref="E215" r:id="rId205" display="https://stockanalysis.com/stocks/mod/statistics/"/>
    <hyperlink ref="E216" r:id="rId206" display="https://stockanalysis.com/stocks/vrt/statistics/"/>
    <hyperlink ref="E217" r:id="rId207" display="https://stockanalysis.com/stocks/tt/statistics/"/>
    <hyperlink ref="E218" r:id="rId208" display="https://stockanalysis.com/stocks/jci/statistics/"/>
    <hyperlink ref="E219" r:id="rId209" display="https://stockanalysis.com/stocks/carr/statistics/"/>
    <hyperlink ref="E220" r:id="rId210" display="https://stockanalysis.com/stocks/lii/statistics/"/>
    <hyperlink ref="E221" r:id="rId211" display="https://stockanalysis.com/stocks/aaon/statistics/"/>
    <hyperlink ref="E222" r:id="rId212" display="https://stockanalysis.com/stocks/nvt/statistics/"/>
    <hyperlink ref="E223" r:id="rId213" display="https://stockanalysis.com/stocks/etn/statistics/"/>
    <hyperlink ref="E224" r:id="rId214" display="https://stockanalysis.com/stocks/spxc/statistics/"/>
    <hyperlink ref="E225" r:id="rId215" display="https://stockanalysis.com/stocks/fix/statistics/"/>
    <hyperlink ref="E226" r:id="rId216" display="https://stockanalysis.com/stocks/powl/statistics/"/>
    <hyperlink ref="E227" r:id="rId217" display="https://www.barchart.com/story/news/35462268/modine-to-host-second-quarter-fiscal-2026-earnings-conference-call-on-october-29-2025"/>
    <hyperlink ref="E228" r:id="rId218" display="https://www.sec.gov/Archives/edgar/data/67347/000110465926088230/mod-20260729xex99d1.htm"/>
    <hyperlink ref="E229" r:id="rId219" display="https://www.sec.gov/Archives/edgar/data/67347/000110465926088230/mod-20260729xex99d2.htm"/>
    <hyperlink ref="E230" r:id="rId220" display="https://www.sec.gov/Archives/edgar/data/67347/000110465926086644/mod-20260724xex99d1.htm"/>
    <hyperlink ref="E231" r:id="rId221" display="https://www.sec.gov/Archives/edgar/data/67347/000110465926066795/mod-20260331x10k.htm"/>
    <hyperlink ref="E232" r:id="rId222" display="https://finviz.com/news/391412/modine-to-host-analyst-and-investor-day-on-november-18-2026"/>
    <hyperlink ref="E233" r:id="rId223" display="https://stockanalysis.com/stocks/cswi/statistics/"/>
    <hyperlink ref="E234" r:id="rId224" display="https://data.sec.gov/submissions/CIK0000067347.json"/>
    <hyperlink ref="E236" r:id="rId225" display="https://stockanalysis.com/stocks/vrt/forecast/"/>
    <hyperlink ref="E237" r:id="rId226" display="https://www.sec.gov/Archives/edgar/data/67347/000110465926113588/xslF345X06/tm2626713-4_4seq1.xml"/>
    <hyperlink ref="E238" r:id="rId227" display="https://data.sec.gov/api/xbrl/companyfacts/CIK0001674101.json"/>
    <hyperlink ref="E239" r:id="rId228" display="https://data.sec.gov/api/xbrl/companyfacts/CIK0001720635.json"/>
    <hyperlink ref="E240" r:id="rId229" display="https://data.sec.gov/api/xbrl/companyfacts/CIK0000824142.json"/>
    <hyperlink ref="E241" r:id="rId230" display="https://data.sec.gov/api/xbrl/companyfacts/CIK0001466258.json"/>
    <hyperlink ref="E242" r:id="rId231" display="https://www.sec.gov/Archives/edgar/data/833444/000083344426000087/jci-20260630.htm"/>
    <hyperlink ref="E243" r:id="rId232" display="https://www.sec.gov/Archives/edgar/data/1783180/000178318026000032/carr-20260630.htm"/>
    <hyperlink ref="E244" r:id="rId233" display="https://www.sec.gov/Archives/edgar/data/1069202/000106920226000087/lii-20260630.htm"/>
    <hyperlink ref="E245" r:id="rId234" display="https://data.sec.gov/api/xbrl/companyfacts/CIK0000088205.json"/>
    <hyperlink ref="E246" r:id="rId235" display="https://data.sec.gov/api/xbrl/companyfacts/CIK0001624794.json"/>
    <hyperlink ref="E247" r:id="rId236" display="https://data.sec.gov/api/xbrl/companyfacts/CIK0001551182.json"/>
    <hyperlink ref="E248" r:id="rId237" display="https://data.sec.gov/api/xbrl/companyfacts/CIK0001035983.json"/>
    <hyperlink ref="E249" r:id="rId238" display="https://twelvedata.com/"/>
    <hyperlink ref="E250" r:id="rId239" display="https://stockanalysis.com/stocks/vrt/forecast/"/>
    <hyperlink ref="E251" r:id="rId240" display="https://data.sec.gov/api/xbrl/companyfacts/CIK0000833444.json"/>
    <hyperlink ref="E252" r:id="rId241" display="https://www.sec.gov/Archives/edgar/data/67347/000110465926112870/tm2626618d1_8k.htm"/>
    <hyperlink ref="E253" r:id="rId242" display="https://data.sec.gov/submissions/CIK0000067347.json"/>
    <hyperlink ref="E254" r:id="rId243" display="https://data.sec.gov/submissions/CIK0000903129.json"/>
    <hyperlink ref="E255" r:id="rId244" display="https://www.sec.gov/Archives/edgar/data/67347/000110465926088230/mod-20260729xex99d1.htm"/>
    <hyperlink ref="E256" r:id="rId245" display="https://www.sec.gov/Archives/edgar/data/67347/000110465926088230/mod-20260729xex99d2.htm"/>
    <hyperlink ref="E257" r:id="rId246" display="https://www.sec.gov/Archives/edgar/data/67347/000110465926086644/mod-20260724xex99d1.htm"/>
    <hyperlink ref="E258" r:id="rId247" display="https://www.sec.gov/Archives/edgar/data/67347/000110465926066795/mod-20260331x10k.htm"/>
    <hyperlink ref="E259" r:id="rId248" display="https://stockanalysis.com/stocks/spxc/statistics/"/>
    <hyperlink ref="E260" r:id="rId249" display="https://stockanalysis.com/stocks/cswi/statistics/"/>
    <hyperlink ref="E261" r:id="rId250" display="https://stockanalysis.com/stocks/etn/statistics/"/>
    <hyperlink ref="E262" r:id="rId251" display="https://stockanalysis.com/stocks/aaon/statistics/"/>
    <hyperlink ref="E263" r:id="rId252" display="https://www.sec.gov/Archives/edgar/data/67347/000110465926113588/xslF345X06/tm2626713-4_4seq1.xml"/>
    <hyperlink ref="E264" r:id="rId253" display="https://www.prnewswire.com/news-releases/modine-to-host-analyst-and-investor-day-on-november-18-2026-302876675.html"/>
    <hyperlink ref="E265" r:id="rId254" display="https://www.sec.gov/Archives/edgar/data/67347/000110465926088569/mod-20260630x10q.htm"/>
    <hyperlink ref="E266" r:id="rId255" display="https://data.sec.gov/api/xbrl/companyfacts/CIK0001674101.json"/>
    <hyperlink ref="E267" r:id="rId256" display="https://www.sec.gov/Archives/edgar/data/1783180/000178318026000032/carr-20260630.htm"/>
    <hyperlink ref="E268" r:id="rId257" display="https://www.sec.gov/Archives/edgar/data/1069202/000106920226000087/lii-20260630.htm"/>
    <hyperlink ref="E269" r:id="rId258" display="https://www.sec.gov/Archives/edgar/data/833444/000083344426000087/jci-20260630.htm"/>
    <hyperlink ref="E270" r:id="rId259" display="https://www.sec.gov/Archives/edgar/data/833444/000083344425000097/jci-20250930.htm"/>
    <hyperlink ref="E271" r:id="rId260" display="https://twelvedata.com/"/>
    <hyperlink ref="E272" r:id="rId261" display="https://stockanalysis.com/stocks/vrt/forecast/"/>
    <hyperlink ref="E273" r:id="rId262" display="https://www.sec.gov/Archives/edgar/data/67347/000110465925103221/mod-20251028x8k.htm"/>
    <hyperlink ref="E274" r:id="rId263" display="https://s205.q4cdn.com/270741342/files/doc_financials/2027/q1/Modine_-Transcript-Q1-FY27.pdf"/>
    <hyperlink ref="E275" r:id="rId264" display="https://www.sec.gov/Archives/edgar/data/67347/000114036124027058/ef20029568_ex99-1.htm"/>
    <hyperlink ref="E276" r:id="rId265" display="https://www.sec.gov/Archives/edgar/data/67347/000155837025008029/tmb-20250520xex99d1.htm"/>
    <hyperlink ref="E277" r:id="rId266" display="https://www.sec.gov/Archives/edgar/data/67347/000110465926066291/mod-20260526xex99d1.htm"/>
    <hyperlink ref="E278" r:id="rId267" display="https://www.sec.gov/Archives/edgar/data/67347/000110465926008087/mod-20260129xex99d2.htm"/>
    <hyperlink ref="E279" r:id="rId268" display="https://query1.finance.yahoo.com/v8/finance/chart/VRT?range=5d&amp;interval=1d"/>
    <hyperlink ref="E280" r:id="rId269" display="https://api.nasdaq.com/api/analyst/VRT/earnings-forecast"/>
    <hyperlink ref="E281" r:id="rId270" display="https://api.nasdaq.com/api/analyst/NVT/earnings-forecast"/>
    <hyperlink ref="E282" r:id="rId271" display="https://api.nasdaq.com/api/analyst/AAON/earnings-forecast"/>
    <hyperlink ref="E283" r:id="rId272" display="https://api.nasdaq.com/api/analyst/TT/earnings-forecast"/>
    <hyperlink ref="E284" r:id="rId273" display="https://api.nasdaq.com/api/analyst/JCI/earnings-forecast"/>
    <hyperlink ref="E285" r:id="rId274" display="https://api.nasdaq.com/api/analyst/CARR/earnings-forecast"/>
    <hyperlink ref="E286" r:id="rId275" display="https://api.nasdaq.com/api/analyst/SPXC/earnings-forecast"/>
    <hyperlink ref="E287" r:id="rId276" display="https://api.nasdaq.com/api/analyst/CSW/earnings-forecast"/>
    <hyperlink ref="E288" r:id="rId277" display="https://api.nasdaq.com/api/analyst/ETN/earnings-forecast"/>
    <hyperlink ref="E289" r:id="rId278" display="https://api.nasdaq.com/api/company/VRT/earnings-surprise"/>
    <hyperlink ref="E290" r:id="rId279" display="https://api.nasdaq.com/api/company/NVT/earnings-surprise"/>
    <hyperlink ref="E291" r:id="rId280" display="https://api.nasdaq.com/api/company/AAON/earnings-surprise"/>
    <hyperlink ref="E292" r:id="rId281" display="https://api.nasdaq.com/api/company/TT/earnings-surprise"/>
    <hyperlink ref="E293" r:id="rId282" display="https://api.nasdaq.com/api/company/JCI/earnings-surprise"/>
    <hyperlink ref="E294" r:id="rId283" display="https://api.nasdaq.com/api/company/CARR/earnings-surprise"/>
    <hyperlink ref="E295" r:id="rId284" display="https://api.nasdaq.com/api/company/SPXC/earnings-surprise"/>
    <hyperlink ref="E296" r:id="rId285" display="https://api.nasdaq.com/api/company/CSW/earnings-surprise"/>
    <hyperlink ref="E297" r:id="rId286" display="https://api.nasdaq.com/api/company/ETN/earnings-surprise"/>
    <hyperlink ref="E298" r:id="rId287" display="https://www.sec.gov/Archives/edgar/data/1674101/000162828026050323/q22026exhibit991vrt07292026.htm"/>
    <hyperlink ref="E299" r:id="rId288" display="https://www.sec.gov/Archives/edgar/data/1720635/000162828026051203/q22026nvtpressrelease.htm"/>
    <hyperlink ref="E300" r:id="rId289" display="https://www.sec.gov/Archives/edgar/data/824142/000082414226000052/liveaaonpressreleaseexs.htm"/>
    <hyperlink ref="E301" r:id="rId290" display="https://www.sec.gov/Archives/edgar/data/1466258/000162828026050743/exhibit991-q22026earningsr.htm"/>
    <hyperlink ref="E302" r:id="rId291" display="https://www.sec.gov/Archives/edgar/data/833444/000083344426000083/q3ex991xq3fy26earningsrele.htm"/>
    <hyperlink ref="E303" r:id="rId292" display="https://www.sec.gov/Archives/edgar/data/1783180/000178318026000030/a99-q22026earningsexhibit.htm"/>
    <hyperlink ref="E304" r:id="rId293" display="https://www.sec.gov/Archives/edgar/data/88205/000008820526000052/q22026pressrelease.htm"/>
    <hyperlink ref="E305" r:id="rId294" display="https://www.sec.gov/Archives/edgar/data/1624794/000162479426000048/er_q12027.htm"/>
    <hyperlink ref="E306" r:id="rId295" display="https://www.sec.gov/Archives/edgar/data/1551182/000155118226000027/etn06302026exhibit99.htm"/>
    <hyperlink ref="E307" r:id="rId296" display="https://www.marketscreener.com/quote/stock/VERTIV-HOLDINGS-CO-45109447/finances/"/>
    <hyperlink ref="E308" r:id="rId297" display="https://www.marketscreener.com/quote/stock/NVENT-ELECTRIC-PLC-42779053/finances/"/>
    <hyperlink ref="E309" r:id="rId298" display="https://www.marketscreener.com/quote/stock/AAON-INC-8199/finances/"/>
    <hyperlink ref="E310" r:id="rId299" display="https://www.marketscreener.com/quote/stock/TRANE-TECHNOLOGIES-PLC-13109/finances/"/>
    <hyperlink ref="E311" r:id="rId300" display="https://www.marketscreener.com/quote/stock/JOHNSON-CONTROLS-INTERNAT-31222816/finances/"/>
    <hyperlink ref="E312" r:id="rId301" display="https://www.marketscreener.com/quote/stock/CARRIER-GLOBAL-CORPORATIO-105026688/finances/"/>
    <hyperlink ref="E313" r:id="rId302" display="https://www.marketscreener.com/quote/stock/SPX-TECHNOLOGIES-INC-14462/finances/"/>
    <hyperlink ref="E314" r:id="rId303" display="https://www.marketscreener.com/quote/stock/CSW-INDUSTRIALS-INC-23733723/finances/"/>
    <hyperlink ref="E315" r:id="rId304" display="https://www.marketscreener.com/quote/stock/EATON-CORPORATION-PLC-12029421/finances/"/>
    <hyperlink ref="E316" r:id="rId305" display="https://www.marketscreener.com/quote/stock/MUNTERS-GROUP-AB-34973373/finances/"/>
    <hyperlink ref="E317" r:id="rId306" display="https://www.marketscreener.com/quote/stock/ALFA-LAVAL-AB-6494532/finances/"/>
    <hyperlink ref="E318" r:id="rId307" display="https://www.marketscreener.com/quote/stock/DAIKIN-INDUSTRIES-LTD-6491221/finances/"/>
    <hyperlink ref="E319" r:id="rId308" display="https://www.marketscreener.com/quote/stock/MUNTERS-GROUP-AB-34973373/valuation/"/>
    <hyperlink ref="E320" r:id="rId309" display="https://seekingalpha.com/pr/20082498-csw-industrials-announces-transfer-of-listing-of-common-stock-to-the-new-york-stock-exchange"/>
    <hyperlink ref="E321" r:id="rId310" display="https://www.alfalaval.com/contentassets/7be9ef28760e461c918b66445b4b65eb/wkr0006.pdf"/>
    <hyperlink ref="E322" r:id="rId311" display="https://stockanalysis.com/quote/tyo/6367/financials/income-statement/"/>
    <hyperlink ref="E323" r:id="rId312" display="https://www.sec.gov/Archives/edgar/data/67347/000110465926114220/mod-ex99d1.htm"/>
    <hyperlink ref="E324" r:id="rId313" display="https://www.marketscreener.com/quote/stock/MODINE-MANUFACTURING-COMP-13585/finances/"/>
    <hyperlink ref="E325" r:id="rId314" display="https://api.nasdaq.com/api/analyst/MOD/earnings-foreca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2026-10-30T22:16:21Z</dcterms:created>
  <dc:creator>openpyxl</dc:creator>
  <dc:description/>
  <dc:language>en-US</dc:language>
  <cp:lastModifiedBy/>
  <dcterms:modified xsi:type="dcterms:W3CDTF">2026-10-30T22:16:21Z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