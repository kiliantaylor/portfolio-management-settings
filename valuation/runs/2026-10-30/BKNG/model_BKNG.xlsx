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Distribution" sheetId="3" state="visible" r:id="rId5"/>
    <sheet name="Methods" sheetId="4" state="visible" r:id="rId6"/>
    <sheet name="Scenarios" sheetId="5" state="visible" r:id="rId7"/>
    <sheet name="Reasoning" sheetId="6" state="visible" r:id="rId8"/>
    <sheet name="Supervisor" sheetId="7" state="visible" r:id="rId9"/>
    <sheet name="Sources" sheetId="8" state="visible" r:id="rId10"/>
  </sheets>
  <definedNames>
    <definedName function="false" hidden="false" name="Analyst_Median" vbProcedure="false">Summary!$B$9</definedName>
    <definedName function="false" hidden="false" name="IV30" vbProcedure="false">Summary!$B$13</definedName>
    <definedName function="false" hidden="false" name="Market_Median" vbProcedure="false">Summary!$B$15</definedName>
    <definedName function="false" hidden="false" name="Platt_Shift" vbProcedure="false">Summary!$B$11</definedName>
    <definedName function="false" hidden="false" name="Spot" vbProcedure="false">Summary!$B$5</definedName>
    <definedName function="false" hidden="false" name="Sup_Used" vbProcedure="false">Summary!$B$10</definedName>
    <definedName function="false" hidden="false" name="Thesis_Break" vbProcedure="false">Summary!$B$12</definedName>
    <definedName function="false" hidden="false" name="W_Agents" vbProcedure="false">Summary!$B$7</definedName>
    <definedName function="false" hidden="false" name="W_Analyst" vbProcedure="false">Summary!$B$8</definedName>
    <definedName function="false" hidden="false" name="W_Mkt" vbProcedure="false">Summary!$B$6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<sst xmlns="http://schemas.openxmlformats.org/spreadsheetml/2006/main" count="966" uniqueCount="666">
  <si>
    <t xml:space="preserve">BKNG 12-month price target model</t>
  </si>
  <si>
    <t xml:space="preserve">Close 2026-10-30 · agents' research 2026-10-23 · horizon 2027-10-30. Blue = input you can change, black = formula, green = link to another sheet. Yellow = key assumption.</t>
  </si>
  <si>
    <t xml:space="preserve">Inputs</t>
  </si>
  <si>
    <t xml:space="preserve">Value</t>
  </si>
  <si>
    <t xml:space="preserve">Where it comes from</t>
  </si>
  <si>
    <t xml:space="preserve">Last close</t>
  </si>
  <si>
    <t xml:space="preserve">Close on 2026-10-30</t>
  </si>
  <si>
    <t xml:space="preserve">Weight: options market</t>
  </si>
  <si>
    <t xml:space="preserve">AIA Forecaster default (market 67%); flips to 33% when the option chain is thin</t>
  </si>
  <si>
    <t xml:space="preserve">Weight: agents</t>
  </si>
  <si>
    <t xml:space="preserve">AIA Forecaster default (agents 33%)</t>
  </si>
  <si>
    <t xml:space="preserve">Weight: analyst consensus</t>
  </si>
  <si>
    <t xml:space="preserve">Taken pro rata from the two above; 0 when there are no targets or in a special situation</t>
  </si>
  <si>
    <t xml:space="preserve">Analysts' median target</t>
  </si>
  <si>
    <t xml:space="preserve">35 analysts, https://stockanalysis.com/stocks/bkng/forecast/ as of 2026-10-30</t>
  </si>
  <si>
    <t xml:space="preserve">Use supervisor ladder (1 = yes)</t>
  </si>
  <si>
    <t xml:space="preserve">Supervisor confidence: low; its ladder replaces the agents' mean only when high</t>
  </si>
  <si>
    <t xml:space="preserve">Platt log shift of the agents' curve</t>
  </si>
  <si>
    <t xml:space="preserve">combine.py: P(close &gt;= spot) 0.699 Platt-scaled (a = 1.732) to 0.699, then the whole agents' curve is shifted in log price by this amount</t>
  </si>
  <si>
    <t xml:space="preserve">Thesis-break price (supervisor)</t>
  </si>
  <si>
    <t xml:space="preserve">Supervisor's reconciled thesis break (agents' values on the Reasoning sheet)</t>
  </si>
  <si>
    <t xml:space="preserve">30-day implied vol</t>
  </si>
  <si>
    <t xml:space="preserve">Cboe model-free 30D IV as of 2026-10-30; sets the stop noise floor (2 one-month moves)</t>
  </si>
  <si>
    <t xml:space="preserve">Options-market median</t>
  </si>
  <si>
    <t xml:space="preserve">Median of the options-implied distribution (Distribution sheet); the analyst curve is this curve re-centred on the analysts' median</t>
  </si>
  <si>
    <t xml:space="preserve">Research target (12m) per share</t>
  </si>
  <si>
    <t xml:space="preserve">Method blend</t>
  </si>
  <si>
    <t xml:space="preserve">Stated</t>
  </si>
  <si>
    <t xml:space="preserve">Note</t>
  </si>
  <si>
    <t xml:space="preserve">Agent 1</t>
  </si>
  <si>
    <t xml:space="preserve">Agent 2</t>
  </si>
  <si>
    <t xml:space="preserve">Agent 3</t>
  </si>
  <si>
    <t xml:space="preserve">Agent 4</t>
  </si>
  <si>
    <t xml:space="preserve">Agent 5</t>
  </si>
  <si>
    <t xml:space="preserve">Agents' average</t>
  </si>
  <si>
    <t xml:space="preserve">Agents' median</t>
  </si>
  <si>
    <t xml:space="preserve">Supervisor's reconciled research target (12m)</t>
  </si>
  <si>
    <t xml:space="preserve">EXIT k=0.8 RE-SET 2026-10-26 (Kilian card 12:16Z: exit = peer median x (own / median)^0.8): P/E 14.78x -&gt; 13.32x. Research target (12m) $194.79 -&gt; $183.29 (engine: multiple: P/E (ntm) $174.86 x 0.6; multiple: FCF yield (ntm) $195.92 x 0.4; scenarios bear $108.87 / base $175.32 / bull $229.93, median $170.24). Multiples and values quoted in the older text below are superseded by these. Model update 2026-10-23 (update): peer set refresh (Kilian 2026-10-26); the P/E leg moves from 14.25x to 14.78x, the median of EXPE 14.54x, Amadeus 14.78x and ABNB 28.16x on BKNG's EPS basis; no operating input changed. The agents' round-2 fair values ($184-199) now all use the corrected inputs (751.4M shares falling to ~705-715M, FY25 EPS $9.12, consensus FY27 $12.37 with a 2.5-5% haircut, no net-debt double count), so their mean of $191 needs no further correction. Cross-check: ~$13.1 NTM EPS at Oct 2027 x 14-14.5x = $183-190; ~$11.2B NTM FCF / ~708M shares = ~$15.8 at 8% = ~$198; a 60/40 blend gives ~$191. This is down $2 from my round-1 $193 because I no longer assume 14.5x on top of a haircut EPS.</t>
  </si>
  <si>
    <t xml:space="preserve">Research target (12m) vs last close</t>
  </si>
  <si>
    <t xml:space="preserve">Levels</t>
  </si>
  <si>
    <t xml:space="preserve">This model</t>
  </si>
  <si>
    <t xml:space="preserve">Published</t>
  </si>
  <si>
    <t xml:space="preserve">How</t>
  </si>
  <si>
    <t xml:space="preserve">NTM target (median)</t>
  </si>
  <si>
    <t xml:space="preserve">Price with a 50% chance of closing above it on the horizon date</t>
  </si>
  <si>
    <t xml:space="preserve">Take-profit (75th percentile)</t>
  </si>
  <si>
    <t xml:space="preserve">25% chance of closing above</t>
  </si>
  <si>
    <t xml:space="preserve">15th percentile</t>
  </si>
  <si>
    <t xml:space="preserve">85% chance of closing above</t>
  </si>
  <si>
    <t xml:space="preserve">Stop noise floor</t>
  </si>
  <si>
    <t xml:space="preserve">Two one-month implied moves below the last close; the stop is never tighter than this</t>
  </si>
  <si>
    <t xml:space="preserve">Stop-loss</t>
  </si>
  <si>
    <t xml:space="preserve">Higher of the 15th percentile and the thesis break, capped at the noise floor (published basis: noise floor (2 x 1M IV))</t>
  </si>
  <si>
    <t xml:space="preserve">Target vs last close</t>
  </si>
  <si>
    <t xml:space="preserve">P(close above last)</t>
  </si>
  <si>
    <t xml:space="preserve">Expected price (mean)</t>
  </si>
  <si>
    <t xml:space="preserve">Mean of the blended distribution (combine.py integrates the full curve); above the median when right-skewed</t>
  </si>
  <si>
    <t xml:space="preserve">Sheets</t>
  </si>
  <si>
    <t xml:space="preserve">Assumptions</t>
  </si>
  <si>
    <t xml:space="preserve">The supervisor's table of every driver: each agent's value, reasoning and linked sources</t>
  </si>
  <si>
    <t xml:space="preserve">Methods</t>
  </si>
  <si>
    <t xml:space="preserve">Each agent's valuation methods, values and weights</t>
  </si>
  <si>
    <t xml:space="preserve">Scenarios</t>
  </si>
  <si>
    <t xml:space="preserve">Downside (10th pct) / base / upside (90th pct) price per agent</t>
  </si>
  <si>
    <t xml:space="preserve">Distribution</t>
  </si>
  <si>
    <t xml:space="preserve">The probability ladder and the blend, as formulas</t>
  </si>
  <si>
    <t xml:space="preserve">Reasoning</t>
  </si>
  <si>
    <t xml:space="preserve">Each agent's written reasoning, thesis break and what changed from round 1</t>
  </si>
  <si>
    <t xml:space="preserve">Supervisor</t>
  </si>
  <si>
    <t xml:space="preserve">Disagreements, fact-checks and changes</t>
  </si>
  <si>
    <t xml:space="preserve">Sources</t>
  </si>
  <si>
    <t xml:space="preserve">Every cited source with its link</t>
  </si>
  <si>
    <t xml:space="preserve">BKNG key assumptions, aggregated by the supervisor</t>
  </si>
  <si>
    <t xml:space="preserve">Each driver of the valuation: the supervisor's reconciled value (grey rows), then what each agent assumed, why, and its sources. Blue values are the agents' own numbers; blank means the agent did not use that driver.</t>
  </si>
  <si>
    <t xml:space="preserve">ID</t>
  </si>
  <si>
    <t xml:space="preserve">Assumption / who</t>
  </si>
  <si>
    <t xml:space="preserve">Source 1</t>
  </si>
  <si>
    <t xml:space="preserve">Source 2</t>
  </si>
  <si>
    <t xml:space="preserve">Source 3</t>
  </si>
  <si>
    <t xml:space="preserve">All sources</t>
  </si>
  <si>
    <t xml:space="preserve">Agents low</t>
  </si>
  <si>
    <t xml:space="preserve">Agents high</t>
  </si>
  <si>
    <t xml:space="preserve">Used in</t>
  </si>
  <si>
    <t xml:space="preserve">The supervisor has not aggregated this round yet (model_assumptions.json); see Methods and Reasoning.</t>
  </si>
  <si>
    <t xml:space="preserve">BKNG probability of closing at or above each price on 2027-10-30</t>
  </si>
  <si>
    <t xml:space="preserve">Each column is P(close &gt;= K). Agents' curve is Platt-shifted, blended with the options market, then analysts at W_Analyst (0 since 2026-10-05). Interpolation is linear in logit(p) vs log(K), as in combine.py.</t>
  </si>
  <si>
    <t xml:space="preserve">Price K</t>
  </si>
  <si>
    <t xml:space="preserve">ln K</t>
  </si>
  <si>
    <t xml:space="preserve">Options market</t>
  </si>
  <si>
    <t xml:space="preserve">Agents' mean</t>
  </si>
  <si>
    <t xml:space="preserve">Agents' curve used</t>
  </si>
  <si>
    <t xml:space="preserve">logit(used)</t>
  </si>
  <si>
    <t xml:space="preserve">K shifted</t>
  </si>
  <si>
    <t xml:space="preserve">seg</t>
  </si>
  <si>
    <t xml:space="preserve">Agents Platt-shifted</t>
  </si>
  <si>
    <t xml:space="preserve">logit(market)</t>
  </si>
  <si>
    <t xml:space="preserve">K re-centred</t>
  </si>
  <si>
    <t xml:space="preserve">Analyst curve</t>
  </si>
  <si>
    <t xml:space="preserve">Blend ex analysts</t>
  </si>
  <si>
    <t xml:space="preserve">Final blend</t>
  </si>
  <si>
    <t xml:space="preserve">logit(final)</t>
  </si>
  <si>
    <t xml:space="preserve">Published (combine.py)</t>
  </si>
  <si>
    <t xml:space="preserve">Agents' curves are their final-round answers (Reasoning sheet shows round 1). Market and published columns come from combine.py; the model reproduces the final blend within rounding (combine.py also enforces a non-increasing curve).</t>
  </si>
  <si>
    <t xml:space="preserve">BKNG valuation methods by agent</t>
  </si>
  <si>
    <t xml:space="preserve">Each agent's methods, the value per share and the weight it gave each. Blended value = weight-averaged methods; stated value = what the agent reported (it may round or add a deduction).</t>
  </si>
  <si>
    <t xml:space="preserve">Agent</t>
  </si>
  <si>
    <t xml:space="preserve">Method</t>
  </si>
  <si>
    <t xml:space="preserve">Value / share</t>
  </si>
  <si>
    <t xml:space="preserve">Weight</t>
  </si>
  <si>
    <t xml:space="preserve">Value x weight</t>
  </si>
  <si>
    <t xml:space="preserve">Calculation (assumption IDs on the Assumptions sheet)</t>
  </si>
  <si>
    <t xml:space="preserve">Inputs and reasoning</t>
  </si>
  <si>
    <t xml:space="preserve">P/E</t>
  </si>
  <si>
    <t xml:space="preserve">NTM adj EPS at Oct 2027 ~$13.05 (0.25 x FY27 $11.85 + 0.75 x FY28 $13.45) x 14.0x</t>
  </si>
  <si>
    <t xml:space="preserve">FCF yield</t>
  </si>
  <si>
    <t xml:space="preserve">NTM FCF at Oct 2027 ~$11.4B (0.25 x FY27 $10.8B + 0.75 x FY28 $11.6B) / ~705M shares = ~$16.2 per share, at an 8.0% yield</t>
  </si>
  <si>
    <t xml:space="preserve">Blended value</t>
  </si>
  <si>
    <t xml:space="preserve">Stated research target (12m)</t>
  </si>
  <si>
    <t xml:space="preserve">Blend of NTM P/E (14.0x on ~$13.05 NTM adj EPS as of Oct 2027 = $183, weight 0.65) and FCF yield (8% on ~$16.2 NTM FCF/share = $202, weight 0.35), giving ~$190 twelve months out with no re-rating assumed.</t>
  </si>
  <si>
    <t xml:space="preserve">NTM EPS as of Oct-2027 = 0.25 x 2027E $12.05 + 0.75 x 2028E $13.65 = ~$13.25; multiple 14x NTM (half a turn above today's ~13.4x)</t>
  </si>
  <si>
    <t xml:space="preserve">NTM FCF at Oct-2027 ~$11.0B / ~710M shares = ~$15.5/share at an 8% FCF yield</t>
  </si>
  <si>
    <t xml:space="preserve">Blend of NTM P/E (NTM EPS at Oct-2027 ~$13.25 x 14x = $185, weight 0.6) and FCF yield (NTM FCF ~$11.0B / ~710M shares = ~$15.5/share at 8% = $194, weight 0.4) = ~$188.</t>
  </si>
  <si>
    <t xml:space="preserve">NTM EPS at Oct 2027 ~$12.75 (0.25 x FY27 $11.75 + 0.75 x FY28 $13.10) x 14.5x</t>
  </si>
  <si>
    <t xml:space="preserve">FY27E FCF ~$10.4B less SBC ~$0.58B = ~$9.8B / ~715M average shares = $13.70/share at 7.5% yield</t>
  </si>
  <si>
    <t xml:space="preserve">Equal blend of 14.5x Oct-2027 NTM EPS of ~$12.75 ($185; FY27 $11.75 is a skeptic haircut of ~5% to the $12.37 consensus) and a 7.5% FCF yield on FY27 FCF less SBC of ~$9.8B over ~715M shares = $13.70/share ($183).</t>
  </si>
  <si>
    <t xml:space="preserve">NTM EPS at Oct 2027 ~$12.95 (0.25 x FY27 $11.90 + 0.75 x FY28 $13.30) x 15x forward P/E</t>
  </si>
  <si>
    <t xml:space="preserve">NTM FCF at Oct 2027 ~$10.75B / ~710M shares = ~$15.1 per share at a 7.75% FCF yield</t>
  </si>
  <si>
    <t xml:space="preserve">Blend of forward P/E (NTM EPS at Oct 2027 ~$12.95 x 15x = $194) and FCF yield (NTM FCF ~$10.75B / ~710M shares = ~$15.1 per share at a 7.75% yield = $195), weighted 60/40, giving ~$194. FY27 EPS is a stated ~4% haircut to the ~$12.37 consensus. Shares start from 751.4M outstanding (Jul 27, 2026), not 765M.</t>
  </si>
  <si>
    <t xml:space="preserve">NTM EPS at Oct 2027 ~$13.17 (0.25 x FY27E $12.00 + 0.75 x FY28E $13.56) x 15x</t>
  </si>
  <si>
    <t xml:space="preserve">2027E FCF $10.6B less SBC ~$0.6B = $10.0B / 7% = $143B equity (no net-debt deduction: FCF is after interest) / ~710M shares</t>
  </si>
  <si>
    <t xml:space="preserve">Forward P/E (NTM EPS at Oct 2027 of ~$13.17 x 15x = $198, weight 0.6) blended with an FCF yield (2027E FCF $10.6B less ~$0.6B SBC = $10.0B, at a 7% yield = $143B equity, over ~710M shares = $201, weight 0.4) gives ~$199. The 15x multiple sits between today's ~13.4x NTM and the pre-Muse 16-20x history. That reflects mixed base-rate evidence on whether structural-threat de-ratings revert: 2018-19 BKNG stayed range-bound, while 2026 software (IGV) fully recovered within ~7 months.</t>
  </si>
  <si>
    <t xml:space="preserve">BKNG cases by agent</t>
  </si>
  <si>
    <t xml:space="preserve">Base case = median; downside = 10th percentile, upside = 90th percentile (no probabilities; older rounds' bear/bull shown as downside/upside).</t>
  </si>
  <si>
    <t xml:space="preserve">Downside (P10)</t>
  </si>
  <si>
    <t xml:space="preserve">Base (median)</t>
  </si>
  <si>
    <t xml:space="preserve">Upside (P90)</t>
  </si>
  <si>
    <t xml:space="preserve">Downside story</t>
  </si>
  <si>
    <t xml:space="preserve">Base story</t>
  </si>
  <si>
    <t xml:space="preserve">Upside story</t>
  </si>
  <si>
    <t xml:space="preserve">AI agents (Meta Muse with Expedia, ChatGPT/Gemini/Claude booking) visibly take top-of-funnel share and push marketing costs up; oil &gt; $100, the Middle East conflict and the Fed hiking cycle slow 2027 travel; FY27 EPS ~$11 (vs $12.37 consensus) and the multiple compresses to ~10x NTM ($12).</t>
  </si>
  <si>
    <t xml:space="preserve">Room nights mid-single-digit, EBITDA high-single-digit, ~6%/yr net share shrink; EPS compounds ~14%. AI fears linger, so the multiple stays ~14x NTM ~$13.1 (about today's 13.4-13.8x).</t>
  </si>
  <si>
    <t xml:space="preserve">Travel normalizes as ME impacts fade, transformation savings ($650M by end-2027) land, and AI partnerships prove additive; the multiple re-rates to ~18-19x NTM $13.5.</t>
  </si>
  <si>
    <t xml:space="preserve">AI agents (Meta Muse with Expedia, Google, ChatGPT) visibly divert demand and force take-rate concessions; Airbnb keeps taking alternative-accommodation share; Middle East/oil and a hiking Fed hurt long-haul; FTC complaint and EU parity damages add overhang. ~$11 EPS x ~10x.</t>
  </si>
  <si>
    <t xml:space="preserve">Bookings grow mid-to-high single digits in line with Expedia, low-to-mid-teens EPS growth from buybacks and transformation savings; Middle East drag fades; AI stays a multiple overhang but Booking participates as a supply/merchant partner. ~$13.25 NTM EPS x ~14x minus some residual discount.</t>
  </si>
  <si>
    <t xml:space="preserve">Long-haul recovery, Booking signs visible AI-agent distribution deals, fears ease and the multiple re-rates to ~17x on ~$14 NTM EPS.</t>
  </si>
  <si>
    <t xml:space="preserve">FY27 EPS growth stalls to ~5% at ~$11.0. That is still above FY26 but well below consensus, because AI assistants (Meta Muse with Expedia, Google AI Mode, hotel-chain agentic direct booking) force higher marketing spend or take-rate concessions, Middle East and airfare effects linger, and US consumer confidence fades (Erste downgrade to Hold). Legal overhang builds: the FTC complaint against Priceline, two Dutch foundation claims (hotels and consumers), German hotel parity suits, and Spain CNMC ($472M accrued). The market pays ~10.5x, an 'AI loser' multiple. Buybacks cushion the per-share hit but do not stop the de-rating.</t>
  </si>
  <si>
    <t xml:space="preserve">EPS compounds ~12%/yr through mid-to-high single-digit growth, cost savings and ~6%/yr share shrink. NTM EPS at Oct 2027 is ~$12.6. The AI overhang stays but does not deepen, and the multiple holds near 13.9x NTM, roughly today's level.</t>
  </si>
  <si>
    <t xml:space="preserve">Consensus-plus delivery (NTM EPS ~$13.4). Booking shows it is the supply layer AI agents route through (agent partnerships, stable marketing efficiency), travel normalises after the Middle East conflict, and litigation is contained. The multiple recovers to ~17x, back toward the 52-week high.</t>
  </si>
  <si>
    <t xml:space="preserve">AI agents (Muse via Expedia, Google AI Mode, ChatGPT) take measurable share of hotel discovery, and Booking pays up to stay in those channels. Room nights slip to low single digits, FY27 EPS comes in at ~$11 against $12.37 consensus, and the market applies a ~10x 'structural decline' multiple to ~$11.5 NTM EPS.</t>
  </si>
  <si>
    <t xml:space="preserve">EPS compounds ~13-14% (mid-single-digit room nights, ~6% share shrink). Agents become one more distribution channel in which Booking participates (Google AI Mode launch partner, ChatGPT app). The multiple recovers partly, to ~14.3x on ~$12.95 NTM EPS.</t>
  </si>
  <si>
    <t xml:space="preserve">Q3/Q4 prints and the FY27 guide show no traffic or take-rate damage. Booking proves agents need its supply and lands its own Muse/Meta or OpenAI booking deal. The AI discount narrows to ~17.5-18x on ~$13.4 NTM EPS.</t>
  </si>
  <si>
    <t xml:space="preserve">AI agents (Meta Muse, OpenAI/Google agents) visibly take paid and direct traffic and pressure take rates. The Middle East drag persists, and the Sep 16 Fed hike plus oil weigh on travel. EPS growth slows to high single digits (NTM ~$12.2) and the multiple compresses to ~9.5x: -28%.</t>
  </si>
  <si>
    <t xml:space="preserve">Low-teens EPS growth, about half of it from ~6%/yr share shrink. Long-haul demand normalizes in 2027 and there is no visible disintermediation. As in 2018-19, the multiple stays compressed and recovers only to ~13.7x NTM EPS of ~$13.2.</t>
  </si>
  <si>
    <t xml:space="preserve">Booking becomes a preferred supply partner to AI agents. Demand recovers, and the multiple re-rates to ~17-18x as in the 2022 and 2026-software rebounds, which fully reverted within 7-8 months.</t>
  </si>
  <si>
    <t xml:space="preserve">Average</t>
  </si>
  <si>
    <t xml:space="preserve">BKNG each agent's reasoning</t>
  </si>
  <si>
    <t xml:space="preserve">Final round, with round 1 for comparison. Revisions list what each agent changed after the supervisor's feedback.</t>
  </si>
  <si>
    <t xml:space="preserve">Research target (12m) r1</t>
  </si>
  <si>
    <t xml:space="preserve">Research target (12m) r2</t>
  </si>
  <si>
    <t xml:space="preserve">Thesis break</t>
  </si>
  <si>
    <t xml:space="preserve">Thesis break reason</t>
  </si>
  <si>
    <t xml:space="preserve">Key uncertainties</t>
  </si>
  <si>
    <t xml:space="preserve">Revisions after feedback</t>
  </si>
  <si>
    <t xml:space="preserve">Primary documents show a business still compounding: Q2 2026 revenue +8%, adj EBITDA +9%, adj EPS +15% to $2.54, room nights +5% (beat guide by ~1pt), H1 FCF $6.75B (+7%), and an FY guide of high-single-digit revenue/EBITDA and low-to-mid-teens EPS growth. Booking bought back $3.7B in Q2 (44M shares in H1) with $14.5B left, and had 751.4M shares outstanding on Jul 27. Round-2 updates from the supervisor's checks, which I accept. Consensus is FY26 $10.45 / FY27 ~$12.37 (39 analysts, Sep 24), essentially unchanged through the sell-off, so I now state my FY27 $11.85 as a ~4% haircut to it. The Q3 print is probably ~Nov 3, not late October: I re-checked EDGAR and the company PR feed, and there is no webcast notice as of Oct 2, against four weeks' notice before each of the last two prints. The Aug 31 close was $199.09 (not ~$203), the Sep 23 close of $155.90 is the recent low, and the Oct 27-28 FOMC falls inside the window. Valuation: at $159 BKNG is ~13.4x NTM consensus EPS and has an ~8% TTM FCF yield on a ~$120B market cap. Because the 15-16x 'decade-low support' rests on one pre-Muse eToro piece, I cut my exit P/E from 14.5x to 14.0x (today's level, no re-rating). P/E leg: $13.05 x 14 = $183. FCF leg: $11.4B / ~705M shares at 8% = $202. Blended 65/35, fair value is ~$190 (was $195). Scenarios $120/$186/$255 at 25/50/25 give a mean of ~$187. The 12m ladder is a lognormal mix with median ~$173 (between spot and fair value, discounted for negative momentum and the AI narrative) and sigma 0.36-0.40 (realized vol ~38-39%), with a slightly fat left tail; P(&gt;=159) is ~0.59. The 1m ladder is now centred near spot at ~11% sigma, with no earnings tilt. Research limits: transcripts and earnings PDFs on the IR CDN were blocked in round 1, consensus comes from aggregator pages, and the round-2 checks were limited to EDGAR and the company feed.</t>
  </si>
  <si>
    <t xml:space="preserve">Below ~$118 the stock would be ~9.5x FY27 consensus EPS ($12.37), ~10x my FY27 $11.85 and an ~11-12% FCF yield, and ~21% below the $150.14 52-week low (intraday May 20, 2026). Trading there would most likely mean estimates are falling (room nights turning negative, the marketing ratio jumping as AI agents disintermediate, a large parity-damages award, or a travel recession from the oil shock), not just multiple noise.</t>
  </si>
  <si>
    <t xml:space="preserve">• Whether AI agents (Meta Muse, LLM assistants) disintermediate OTAs or become another paid channel
• Oil above $100, the Middle East conflict and the Fed hiking cycle hurting long-haul and airfare-sensitive demand into 2027
• Multiple: narrative-driven de-rating could continue regardless of earnings; the historical-support evidence is a single pre-Muse source
• Regulatory: EU DMA, FTC action on Priceline, Spain CNMC fine, Dutch parity class action; loss of eTraveli flights optionality
• Q3 date not announced (probably ~Nov 3); Q3/Q4 2026 prints and 2027 guidance not yet known; I could not get the Sep 8 Citi or Goldman Communacopia remarks</t>
  </si>
  <si>
    <t xml:space="preserve">• a fact: Q3 2026 print late Oct (~Oct 27-29), very likely inside the 1m window → Not announced; likely ~Nov 3, ~15% chance inside the window (Supervisor's four-week-notice finding, which I re-verified: no notice on EDGAR or the company PR feed as of Oct 2 (Q2 notice was Jul 7 for Aug 4; Q3 2025 notice was Sep 30 for Oct 28).)
• P(close &gt;= K) 1-month ladder: median ~$161, sigma ~12.5%, beat tilt (P&gt;=159.02 0.535, P&gt;=174.92 0.255) → median ~$159.6, sigma ~11% with a 15% wider component (P&gt;=159.02 0.515, P&gt;=174.92 0.21) (Earnings are likely outside the window, so I removed the earnings widening and the beat tilt. I kept slightly fat tails for the FOMC (Oct 27-28) and AI headlines.)
• a fact: Consensus FY27 EPS $12.33 (Jul 20 preview) → $12.37 (StockAnalysis, 39 analysts, Sep 24); FY26 $10.45 (Supervisor consensus check. My FY27 is now stated as a ~4% haircut to $12.37 ($11.85, was $11.80).)
• a method: P/E: 14.5x on NTM $13.0 = $189 → P/E: 14.0x on NTM $13.05 = $183 (The supervisor found the 15-16x 'decade-low support' traces to a single Feb 2026 eToro piece that predates Muse and eTraveli. Today's multiple is ~13.4x NTM consensus, so I hold roughly today's multiple instead of a mild re-rating.)
• a method: FCF yield: $16.6/share (700M/680M shares 2027/28) = $207 → FCF yield: $11.4B NTM / ~705M shares = $16.2 at 8% = $202 (I aligned the share path with the supervisor's ~6%/yr net shrink from 751.4M (dividends ~$1.3B reduce buyback capacity), so ~705M at Oct 2027 rather than 680M on FY28.)
• fair value: $195 → $190 (Lower P/E multiple and the share-count path above. I stay below the supervisor's $193 because I do not credit the pre-Muse multiple history.)
• a scenario: base $190 → base $186 (Base multiple now ~14x NTM ~$13.1 instead of 14-15x.)
• P(close &gt;= K): median ~$176 (P&gt;=159 0.605, P&gt;=191 0.41, P&gt;=239 0.20) → median ~$173 (P&gt;=159 0.588, P&gt;=191 0.395, P&gt;=239 0.192) (Small downward shift following the lower fair value; tails essentially unchanged (vol ~38-39% confirmed).)
• a fact: Fell from ~$203 on Sep 1 (Form 4 sale prices) → Aug 31 close $199.09; recent closing low Sep 23 $155.90; 52-week low $150.14 intraday May 20 (Supervisor's Twelve Data price check.)
• thesis break: $118 (~10x my FY27 EPS) → $118 unchanged; reason restated against consensus (~9.5x $12.37, ~21% below the 52-week low) (Supervisor confirmed the level; the reason now uses the updated consensus.)</t>
  </si>
  <si>
    <t xml:space="preserve">Round 2 changes: (1) Facts corrected per supervisor: shares outstanding 751.4M at Jul 27 (verified on the 10-Q cover [17]), market cap ~$120B; consensus FY26 $10.45 / FY27 ~$12.37 (Sep 24) [19]; the Q3 print is likely ~Nov 3 because no 4-week notice exists (EDGAR shows no 8-K since Aug 4 [18]). (2) As asked, I quantified the share-loss read like-for-like on Q3 guides: BKNG gross bookings +4-6% (+5-7% CC, ~1pt FX headwind) and room nights +3-5% [1]; Expedia gross bookings +5-7% with FY raised to +8-9% [3]; Airbnb GBV mid-teens incl ~3pt FX tailwind with nights low double digits [4]. So against Expedia Booking trails by only ~0-1pt, and the real share loss is to Airbnb in alternative accommodation (BKNG alt-accom nights +4% in Q2). My round-1 framing overstated it; I cut the FY27 haircut from 3.5% to 2.5% ($12.05). (3) Multiple: FY27 consensus held through the September sell-off, so the ~20% drop is mostly multiple; holding 13.5x flat was a little punitive and I move to 14x (not the 15-18x historical range, since Muse/Expedia and Google are a structural rather than cyclical threat). Fair value ~$188 (P/E $185, FCF $194), up from $182. Scenarios $110/$183/$238 at 25/50/25 give mean ~$179 and median ~$174. The 12m ladder is a lognormal-mixture centred at ~$174 (80% at 31% vol, 20% at 50% vol for AI/legal tail risk), so the effective spread is ~35%, slightly under the realized 38-39%. The 1m ladder is now near-symmetric around spot because the print is probably outside the window. Industry demand context is unchanged: Marriott and Hilton guide RevPAR +3-3.5% with Middle East weakness [5][6], Trip.com outbound hotel +5% [7]. Research in round 2 was limited to primary SEC documents; StockAnalysis did not render, so the consensus figure relies on the supervisor's check.</t>
  </si>
  <si>
    <t xml:space="preserve">Below ~$118 the stock would be ~9.8x my 2027E EPS of $12.05 and ~25% below the Sep 23 closing low ($155.90); that most likely reflects a fundamental break rather than volatility: room nights flat/negative while Expedia and Airbnb grow, evidence of take-rate compression from AI-agent channels, or an EPS guide-down to single-digit growth. The 52-week low ($150.14 intraday, May 20) shows ordinary sentiment shocks have held above ~$150.</t>
  </si>
  <si>
    <t xml:space="preserve">• Whether AI agents (Meta Muse, Google, OpenAI) disintermediate OTAs or route bookings through them at lower take rates
• Booking's share trend versus Airbnb in alternative accommodation (Airbnb nights ~+10% vs BKNG alt-accom nights +4%); versus Expedia the gap is small on a like-for-like basis
• Duration of Middle East conflict and oil prices on long-haul travel
• Size and timing of European hotel parity damages litigation and the FTC matter
• Whether the multiple stays near 13-14x or recovers toward 15-18x if FY27 estimates keep holding</t>
  </si>
  <si>
    <t xml:space="preserve">• fair value: 182 → 188 (Smaller FY27 haircut after the like-for-like peer comparison, multiple 13.5x-&gt;14x because FY27 consensus held through the sell-off (supervisor revisit), FCF leg NTM FCF corrected for timing.)
• a method: P/E: $177 (13.1 x 13.5x) → $185 (13.25 x 14x) (Consensus FY27 updated to ~$12.37 (supervisor); haircut 3.5%-&gt;2.5% because BKNG vs Expedia Q3 bookings guides are roughly equal (+5-7% CC vs +5-7%); multiple +0.5x as the de-rating was not estimate-driven.)
• a method: FCF yield: $190 ($10.8B / 710M at 8%) → $194 ($11.0B / 710M at 8%) (Re-timed NTM FCF to Oct-2027 (two-plus years of ~8% growth from FY25 $9.1B); share count path now anchored on 751.4M outstanding (10-Q cover) rather than 770M weighted average, endpoint unchanged.)
• a fact: Diluted shares 770M in Q2 2026 → 751.4M outstanding at Jul 27, 2026; 770M was the Q2 weighted average (Supervisor finding, verified on the 10-Q cover.)
• a fact: Consensus FY27 $12.33 (Jul 20 preview) → ~$12.37 (39 analysts, Sep 24) (Supervisor finding; my source predated Q2 results.)
• a fact: Q3 print 'very likely' in late October, inside the 1m window → Likely ~Nov 3, ~15% chance inside the window (Supervisor finding on the 4-week notice pattern; EDGAR shows no 8-K since Aug 4.)
• a fact: Expedia (RN +6%) and Airbnb (+10%) outgrowing Booking: general share loss → Like-for-like Q3 guides: BKNG ~level with Expedia on gross bookings; share loss is to Airbnb in alternative accommodation (New evidence from the Expedia Q2 release outlook table and Airbnb Q2 letter outlook, prompted by the supervisor's request to quantify.)
• a scenario: bear $108 / base $178 / bull $235 → bear $110 / base $183 / bull $238 (Higher NTM EPS and 14x base multiple; probabilities unchanged at 25/50/25.)
• P(close &gt;= K): 12m: P(&gt;=159)=0.58, P(&gt;=175)=0.47, P(&gt;=191)=0.37 → P(&gt;=159)=0.605, P(&gt;=175)=0.49, P(&gt;=191)=0.39 (Median moved from ~$170 to ~$174 with the higher fair value; tails kept fat.)
• P(close &gt;= K): 1m: P(&gt;=159.02)=0.54, P(&gt;=174.92)=0.24, P(&gt;=143.12)=0.84 → P(&gt;=159.02)=0.514, P(&gt;=174.92)=0.207, P(&gt;=143.12)=0.835 (Q3 print probably outside the window: removed the beat tilt and most of the earnings widening; FOMC Oct 27-28 and AI headlines keep sigma near 10-11%.)
• thesis break: $118 → $118 (unchanged) (Still ~9.8x the revised 2027E EPS; reason updated to reference the Sep 23 closing low ($155.90) per supervisor's price-path check.)</t>
  </si>
  <si>
    <t xml:space="preserve">Round 2 (skeptic). Supervisor findings accepted: (1) Shares outstanding were 751.4M on Jul 27, 2026 and are falling ~6%/yr (44M retired in H1, $14.5B left), not 765M. I checked this in the 10-Q equity statement, and it lifts my FCF leg by roughly $15 at constant inputs. (2) Consensus FY26/FY27 is $10.45/$12.37. My FY27 is now an explicit ~5% haircut ($11.75), down from the 8% implied by $11.40, which the supervisor rightly called unlabelled. I keep a haircut because consensus needs +18% EPS growth in FY27 while Q3 EBITDA is guided at +4-6%. (3) The Q3 print is likely ~Nov 3, outside the 1-month window, so I narrowed the 1m ladder and removed the beat tilt. (4) The recent closing low was Sep 23 ($155.90), not Sep 17. (5) The supervisor asked whether my bear EPS of $10.5 was consistent with low-to-mid-teens guidance. It was not, since it implied earnings flat to down from FY26. The bear EPS is now $11.0 (+5%), and the bear price moves from $120 to $116 at 10.5x. Where I disagree: I do not adopt 16x on FY27 or a 7% yield, because both leaned on the single pre-Muse eToro source the supervisor flagged. I use 14.5x NTM and a 7.5% yield, with both legs now on corrected per-share figures. New skeptic evidence from the 10-Q (primary source, replacing blog recaps): the FTC staff intend to recommend a complaint against Priceline over fees, disclosures and billing. Beyond the hotel claim there is a Dutch consumer-foundation claim alleging misleading practices by Booking.com and Agoda. German hotels have ongoing parity suits, and class actions in Spain, France and the UK are possible. None of these is accrued except the CNMC ($472M). There is also $313M of unrecognised tax benefits and reliance on the Dutch Innovation Box (9% vs 25.8%). Erste moved to Hold citing US consumer confidence. Credit is still clean: $20.3B of senior notes and the $2B revolver undrawn. Net: fair value rises from $180 to $184, and the scenario mean from $171 to ~$175 (bear $116/23%, base $175/52%, bull $228/25%). The ladder is a lognormal mixture (spreads 17-22%) with tails fattened toward 38% realized vol. P(&gt;=159) is 0.625 and the median is ~$175. Research was limited to the 10-Q (primary) and one search.</t>
  </si>
  <si>
    <t xml:space="preserve">Below ~$118 the stock would trade at ~10x my haircut FY27 EPS ($11.75) and ~9.5x consensus, with a ~12% FCF yield, ~21% below the $150.14 52-week low. With ~6%/yr of buyback shrink supporting the stock, that level would most likely mean estimates are falling: room nights flat or negative, take-rate or marketing-cost damage from AI channels, a multi-billion parity-damages ruling or FTC settlement, or a travel recession. A de-rating alone would be unlikely to get there.</t>
  </si>
  <si>
    <t xml:space="preserve">• Whether AI assistants become a toll collector between consumers and Booking (take-rate and marketing-cost risk) or are just another paid channel
• Size and timing of parity damages: the two Dutch foundation claims (hotels and consumers), German suits, and possible new EU class actions. None has an accrual except the Spain CNMC fine
• FTC action against Priceline: settlement terms or forced changes to fees and disclosures
• Whether FY27 consensus ($12.37, +18%) is reachable with growth guided at +4-6% in Q3 2026
• Consumer travel cyclicality after the Fed's Sep 2026 hike and the fall in US consumer confidence
• Whether the market re-rates a mid-single-digit-growth OTA above ~14-15x regardless of execution</t>
  </si>
  <si>
    <t xml:space="preserve">• a fact: ~765M diluted shares in 2027 → 751.4M outstanding Jul 27, 2026; ~715M average in FY27 (Supervisor share-count finding, checked in the 10-Q equity statement (44M repurchased in H1, $14.5B authorization left).)
• a method: P/E: $11.40 FY27 x 16x = $182 → P/E: NTM $12.75 (FY27 $11.75 = ~5% haircut to the $12.37 consensus) x 14.5x = $185 (Supervisor consensus finding (FY27 $12.37). The haircut is now explicit and smaller. The multiple is lowered because 16x relied on the single pre-Muse eToro source the supervisor flagged.)
• a method: FCF yield: $9.75B / 765M at 7% = $181 → FCF yield: $9.8B / 715M at 7.5% = $183 (Corrected share count (+~$15) partly offset by a higher required yield (today ~8%). The SBC deduction is now sourced to the 10-Q ($281M H1).)
• fair value: 180 → 184 (Net of the share-count correction, the higher EPS base and the lower multiple and yield. This stays below the supervisor's $193 because I keep a skeptic haircut and a 7.5% yield.)
• a scenario: bear $120 / 25% (EPS ~$10.5 x 11.5x) → bear $116 / 23% (EPS ~$11.0 x 10.5x) (Supervisor noted bear EPS of $10.5 implied a decline from FY26 consensus. Bear EPS is now +5% growth, with a lower multiple for the added FTC and consumer-claim legal overhang found in the 10-Q.)
• a scenario: base $170 / 50%; bull $222 / 25% → base $175 / 52%; bull $228 / 25% (Higher per-share earnings base from the corrected share count and consensus.)
• P(close &gt;= K): P(&gt;=159) 0.60, P(&gt;=175) 0.47, P(&gt;=191) 0.35 → P(&gt;=159) 0.625, P(&gt;=175) 0.50, P(&gt;=191) 0.375 (Scenario mean moves from ~$171 to ~$175. Tails kept fat for 38% vol.)
• P(close &gt;= K): 1m: median ~$160 with beat tilt, sigma ~12% → 1m: median ~$159.6, sigma ~10-11% with a modest fat tail (Supervisor finding: Q3 print likely ~Nov 3 (no 4-week notice by Oct 2), outside the window. FOMC on Oct 27-28 is inside it.)
• a fact: ~6% above its Sept 17 low → Recent closing low was Sep 23 at $155.90 (Supervisor Twelve Data price check.)
• thesis break: 118 (~10.5x 2027E EPS of $11.40) → 118 (~10x haircut FY27 EPS of $11.75, ~9.5x consensus) (Level unchanged. The ratio is restated on the revised EPS, and the reason now includes the FTC and consumer-claim risks from the 10-Q.)</t>
  </si>
  <si>
    <t xml:space="preserve">Round 2 changes. (1) I accept the supervisor's facts: FY25 adj EPS is a reported $9.12; consensus is FY26 $10.45 / FY27 ~$12.37 (Sep 24, 39 analysts); shares outstanding were 751.4M on Jul 27 and are falling ~5-6%/yr; market cap is ~$120B; net debt is ~$3B at Q2 and seasonally flattered; the Q3 print is likely ~Nov 3, outside the 1-month window. (2) In my alt-data lane I dropped the LinkedIn-sourced 'Similarweb' ranking and the single-vendor Adthena click-share claim. I replaced them with Semrush traffic panels. Booking.com is still #1 in US hospitality traffic in August 2026 (62.9M visits, -9.4% m/m, a smaller seasonal drop than Marriott -15.8%, Hilton -18.1% or Hotels.com -11.8%) and #1 globally (556M visits in August vs 571M in July). These are panel estimates, but two pages of one vendor agree, and they show no visible traffic break before Muse; Muse launched Sep 8, so September data is not yet available. Muse's adoption is now verified with Sensor Tower/Appfigures data via TechCrunch: #1 US App Store since Sep 18, ~2.3-3.4M downloads. The threat is real and I no longer cite it from a crypto recap. A new finding cuts the other way: Booking.com and Priceline are among the 10 launch partners of Google AI Mode agentic hotel booking (US test, Aug 2026), with the platform remaining merchant of record, and Booking already has a ChatGPT app. So the agent channel is not closed to Booking; Muse's Expedia exclusivity is a channel-share loss, not disintermediation. The SiteMinder survey (AI as the starting point for only 4% of travelers) still stands. (3) Valuation: I fixed the internal inconsistency the supervisor flagged (17x P/E vs a 7.5% FCF yield) by using 15x NTM EPS ($12.95, with FY27 a stated 4% haircut to consensus) = $194, and a 7.75% yield on ~$15.1 FCF per share = $195. The blend is ~$194, up from $188 mainly because of the share-count correction. Scenarios 115/185/240 at 25/50/25% give a mean of ~$181. The ladder is a lognormal with median ~$175 and sigma ~0.37 (realized vol 38-39%), with a slightly fatter left tail for structural AI risk and a thinner far-right tail. The 12-month view moves up only modestly (P(&gt;=159) 0.585 to 0.60) because the buyback and EPS corrections are partly offset by the verified Muse adoption. The 1-month ladder narrows because earnings likely fall outside the window. About 6 extra queries were used; X/Reddit were not fetched.</t>
  </si>
  <si>
    <t xml:space="preserve">Unchanged at ~$118. That is ~9.5x FY27 consensus EPS ($12.37), ~11x FY26 ($10.45), a ~12% FCF yield, and ~21% below the $150.14 intraday 52-week low (May 20, 2026). A price there would most likely reflect falling estimates, not just multiple fear: room nights flat or negative, a guide-down, agent channels taking take-rate or forcing higher marketing spend, a large parity-damages or FTC outcome, or a travel recession. Ordinary 38% volatility from $159 does not get there without such news.</t>
  </si>
  <si>
    <t xml:space="preserve">• Whether consumer AI agents shift hotel bookings to Expedia (Muse) or to hotels directly, or simply become another channel where Booking competes. Muse is verified at #1 on the US App Store since Sep 18 with &gt;3.4M downloads (Sensor Tower), but retention and booking conversion are unknown.
• The economics of agent channels (Google AI Mode, ChatGPT): Booking stays merchant of record, but the take-rate and marketing costs per booking could rise.
• Whether the ~13.4x NTM multiple re-rates at all within 12 months even if EPS compounds ~13%.
• Macro: the Fed hiking cycle, oil above $100 and Middle East effects on long-haul travel.
• Timing of the Q3 print relative to the 1-month window (likely ~Nov 3, not announced).</t>
  </si>
  <si>
    <t xml:space="preserve">• fair value: 188 → 194 (Supervisor share-count finding (751.4M outstanding, ~6%/yr shrink to ~710M, not 765M) raises the FCF leg. I also moved the P/E leg to 15x NTM EPS from 17x FY27 to fix the inconsistency between 17x and a 7.5% FCF yield.)
• a method: P/E: $11.50 FY27 EPS x 17x = $196 → NTM $12.95 (FY27 $11.90 = 4% stated haircut to $12.37 consensus) x 15x = $194 (Supervisor: FY27 consensus ~$12.37 (Sep 24) and my $11.50 was an unlabeled ~7% haircut. Supervisor revisit point on the consistency of 17x and 7.5%.)
• a method: FCF yield: $10.2B / 765M = $13.3 at 7.5% = $177 → $10.75B NTM / 710M = $15.1 at 7.75% = $195 (Supervisor share-count correction (10-Q cover 751.4M, 44M retired in H1 2026). I nudged the yield up to 7.75% because the TTM yield is ~8% on a ~$120B market cap, not 7.7% on $122B.)
• a fact: FY25 adj EPS ~$9.15 (estimated) → $9.12 reported ($228.06 / 25) (Supervisor, citing the Q4 2025 release.)
• a fact: Q3 print late October, almost certainly in the 1m window → Not announced; likely ~Nov 3, ~15% in window; FOMC Oct 27-28 is in the window (Supervisor's 4-week-notice pattern (Sep 30, 2025 and Jul 7, 2026 notices) and the EDGAR index.)
• a fact: Similarweb-type July ranking via a LinkedIn URL; Adthena +4pp click share; Muse downloads from a crypto recap → Dropped the LinkedIn source and stopped using Adthena for numbers. Replaced them with Semrush Aug 2026 traffic (booking.com #1 US hospitality, 62.9M; 556M global) and verified Muse data (Sensor Tower/Appfigures via TechCrunch: #1 since Sep 18, ~2.3-3.4M downloads). (Supervisor source_review discounted those claims and asked for a primary, dated alt-data read.)
• a fact: (not in round 1) → Booking.com and Priceline are launch partners in Google AI Mode agentic hotel booking (US test, Aug 2026); Booking has a ChatGPT app (New evidence from my follow-up searches. It supports 'agents need supply' and limits the downside multiple.)
• a scenario: bear 112 / base 180 / bull 235 → bear 115 / base 185 / bull 240 (Higher per-share earnings power from the share-count correction and the consensus EPS anchor; probabilities unchanged at 25/50/25.)
• P(close &gt;= K): median ~$172; P(&gt;=159) 0.585, P(&gt;=191) 0.385, P(&gt;=239) 0.175 → median ~$175; P(&gt;=159) 0.60, P(&gt;=191) 0.398, P(&gt;=239) 0.18 (Fair value and scenarios moved up modestly. Verified Muse adoption keeps the left tail fat, so the shift is small.)
• P(close &gt;= K) 1-month: P(&gt;=165.38) 0.385, P(&gt;=182.87) 0.12, P(&gt;=143.12) 0.84, earnings-widened with a slight beat tilt → P(&gt;=165.38) 0.38, P(&gt;=182.87) 0.12, P(&gt;=143.12) 0.83; 85/15 mix of 11.2% and 14% sigma, median ~$159.6 (Supervisor finding that the Q3 print likely falls after the window. I removed the beat tilt. The lower tail stays slightly fat because of FOMC and AI-headline risk.)
• thesis break: 118 → 118 (unchanged) (Still ~9.5x FY27 consensus and ~21% below the 52-week low. Rewritten reasoning uses the reported/consensus EPS.)</t>
  </si>
  <si>
    <t xml:space="preserve">Anchors: BKNG is at $159, ~32% below its July 2025 high (src 6). Its past 30%+ drawdowns recovered: 2015-16 in ~7 months, 2022 in ~7 months, and 2018-20 only after ~2 years. Following the supervisor's challenge, I looked for base rates on de-ratings driven by a perceived structural threat. 2018-19 (Google Hotel Ads) is the closest analog. The multiple compressed only to ~17-19x (src 21), but the price went sideways: Dec 2019 was still below Apr 2018 (src 19). The Feb 2026 AI-disruption software sell-off (IGV -24%) fully reverted by October (src 20). So reversion within 12 months happens, but not reliably, and I cut my multiple from 16x to 15x and my FCF yield from 6.5% to 7%. I also took on the supervisor's corrections. FY27 consensus is $12.37 (39 analysts); I haircut it 3% to $12.00, and the $12.36 I cited in round 1 was Erste's single-broker figure. Shares are 751.4M and falling ~6%/yr, not ~750M in 2027. Net debt should not be subtracted from an FCF-yield equity value. The Q2 print was Aug 4. Fair value falls from $210 to $199. The 12-month distribution is a lognormal mix with median ~$170 (+7%): 80% weight at sigma 0.33 and 20% at sigma 0.45 for fat tails (an AI-structural break on the left, a 2022-style re-rating on the right). The upper tail is trimmed slightly from round 1 for the lower fair value. Scenario mean ~$177. P(&gt;= $159) = 0.575; P(&gt;= $215) = 0.235. Research was limited to a few follow-up queries. The Columbia PDF could not be text-extracted, so its multiple comes from the search snippet. The Seeking Alpha page was blocked.</t>
  </si>
  <si>
    <t xml:space="preserve">Below ~$118 the stock would be ~9.5x FY27 consensus EPS ($12.37) and yield ~11% on FCF. That is about 49% below the all-time high, past the 2022 drawdown (-39.5%) and near the COVID trough (-47.8%). Ordinary volatility, macro headlines or the Fed would not get it there. Only evidence of structural disintermediation (falling direct traffic, take-rate cuts, flat room nights) or a deep travel recession would.</t>
  </si>
  <si>
    <t xml:space="preserve">• Whether agentic AI erodes Booking's direct traffic and take rate, or is just another distribution channel
• Whether the multiple reverts to 16-20x (as in 2022 and 2026 software) or stays compressed like 2018-19
• How long the Middle East conflict and high oil weigh on long-haul travel; the share loss to Expedia and Airbnb
• Macro: the Sep 2026 Fed hike; prediction markets put US recession by end-2026 at only ~8%</t>
  </si>
  <si>
    <t xml:space="preserve">• fair value: 210 → 199 (The supervisor flagged my 16x / 6.5% as an outlier resting on one February source and the net-debt double count. New base-rate evidence is mixed (2018-19 BKNG range-bound; 2026 software rebound), so I moved to 15x and 7%)
• a method: P/E: $13.1 NTM x 16x = $210 → $13.17 NTM x 15x = $198 (FY26 consensus $10.45 / FY27 $12.37 per the supervisor (StockAnalysis, Sep 24); my FY27 is a 3% haircut to $12.00; FY28 growth 13% with the ~6%/yr share shrink; multiple cut to 15x)
• a method: FCF yield: $10.8B / 6.5% less $3B net debt / 750M = $217 → ($10.6B - $0.6B SBC) / 7% / 710M = $201 (The supervisor showed the net-debt deduction double-counts and that shares are 751.4M and falling ~6%/yr. I also deducted SBC for conservatism and used a 7% yield)
• a scenario: base $185; bull $240 → base $180; bull $235 (Lower re-rating assumption from the 2018-19 analog)
• P(close &gt;= K): K=175: 0.48, 191: 0.37, 215: 0.245, 239: 0.16, 278: 0.075 → K=175: 0.465, 191: 0.36, 215: 0.235, 239: 0.15, 278: 0.068 (Lower fair value and median (~$170 vs ~$172))
• P(close &gt;= K) 1-month: sigma ~11.5%, ~25% chance of an in-window print → mixture with an effective sigma of ~11%, ~15% chance of a print, FOMC Oct 27-28 added (The supervisor confirmed the 4-week notice pattern with no notice by Oct 2)
• thesis break: 118 (~10x 2027E) → 118 (~9.5x FY27 consensus $12.37) (Unchanged level, now restated on the corrected consensus)
• a fact: Q2 release 2026-07-28; $12.36 FY27 'consensus'; ~750M shares 2027; leg down from $180 on Sep 8 → Q2 release 2026-08-04; consensus $12.37 ($12.36 was Erste alone); 751.4M at Jul 27 falling to ~710M; leg down from $199.09 on Aug 31, closing low $155.90 on Sep 23 (Supervisor fact-checks (8-K, 10-Q cover, StockAnalysis, Twelve Data))</t>
  </si>
  <si>
    <t xml:space="preserve">BKNG supervisor</t>
  </si>
  <si>
    <t xml:space="preserve">Confidence: low. My round-2 checks confirmed the agents' new facts (peer guides, 10-Q legal and tax items, base-rate prices) and corrected two of agent 4's (Muse numbers, the Google partner list), but none of them moves the 12-month distribution. The ladders are left at the round-2 mean. That mean is itself only 0.3-0.7pt from round 1, and much of the round-2 agreement is anchoring on my file.</t>
  </si>
  <si>
    <t xml:space="preserve">Summary</t>
  </si>
  <si>
    <t xml:space="preserve">EXIT k=0.8 RE-SET 2026-10-26 (Kilian card 12:16Z: exit = peer median x (own / median)^0.8): P/E 14.78x -&gt; 13.32x. Research target (12m) $194.79 -&gt; $183.29 (engine: multiple: P/E (ntm) $174.86 x 0.6; multiple: FCF yield (ntm) $195.92 x 0.4; scenarios bear $108.87 / base $175.32 / bull $229.93, median $170.24). Multiples and values quoted in the older text below are superseded by these. The round-2 forecasts converged (fair values $184-199, mean unchanged at $191; median 12m price ~$174; thesis break $118 for all). The convergence is mostly agents adopting my round-1 corrections, not independent agreement, and the 1m ladders are my own round-1 ladder echoed back. The new evidence checks out: BKNG's Q3 bookings guide matches Expedia's and the share loss is to Airbnb; the 10-Q confirms a broad unaccrued legal tail; structural-threat base rates are mixed. Two of agent 4's AI-channel claims were overstated. I keep both ladders at the round-2 mean with low confidence: a cheap (~13.4x NTM, ~8% FCF yield) and compounding stock whose re-rating depends on the AI-agent overhang.</t>
  </si>
  <si>
    <t xml:space="preserve">Research target (12m)</t>
  </si>
  <si>
    <t xml:space="preserve">Key drivers</t>
  </si>
  <si>
    <t xml:space="preserve">• Room nights reserved (all brands): 1,235 -&gt; 1,298/1,362/1,431 (estimate; quarterly, sum)
• Gross bookings per room night (total gross bookings incl. car/flights / room nights): 150.7 -&gt; 156.2/159.3/162.5 (estimate; quarterly, wmean:rn)
• Take rate (total revenues / total gross bookings): 0.1446 -&gt; 0.1438/0.144/0.1445 (estimate; quarterly, wmean:rn*gbrn)
• Marketing expense (performance + brand) % of gross bookings: 0.04399 -&gt; 0.04456/0.045/0.0455 (estimate; quarterly, wmean:rn*gbrn)
• Other operating expense ex marketing, ex impairment and transformation costs, % of revenue (GAAP, incl. SBC and D&amp;A): 0.3434 -&gt; 0.3384/0.337/0.335 (estimate; quarterly, wmean:rn*gbrn*take)
• Diluted shares at period end (post-split): 802 -&gt; 734.7/690.6/649.2 (estimate; quarterly, end)</t>
  </si>
  <si>
    <t xml:space="preserve">Disagreements (final round)</t>
  </si>
  <si>
    <t xml:space="preserve">Topic</t>
  </si>
  <si>
    <t xml:space="preserve">Positions</t>
  </si>
  <si>
    <t xml:space="preserve">Resolution</t>
  </si>
  <si>
    <t xml:space="preserve">Evidence</t>
  </si>
  <si>
    <t xml:space="preserve">Exit multiple / FCF yield (main remaining driver of the $184-199 fair-value spread)</t>
  </si>
  <si>
    <t xml:space="preserve">Agent 1: 14.0x NTM, 8% yield ($190). Agent 2: 14x, 8% ($188). Agent 3: 14.5x, 7.5% after SBC ($184). Agent 4: 15x, 7.75% ($194). Agent 5: 15x, 7% after SBC ($199).</t>
  </si>
  <si>
    <t xml:space="preserve">Not settleable by search; it is judgment about whether a structural-threat de-rating reverts. Agent 5's base rates are verified but split: BKNG in 2018-19 went sideways (Apr 2018 $87.12 to Dec 2019 $82.15) while software in 2026 recovered (IGV -24% Dec-Mar, back above its Dec level by Oct, after a June relapse). The SBC treatment is consistent within each agent: agent 3 (deduct SBC, 7.5%) and agents 1/2 (no deduction, 8%) are both 'today's yield, no re-rating', while agent 5 (deduct SBC, 7%) assumes a partial re-rating. I keep the reconciled fair value at the agents' mean of $191 (14-14.5x on ~$13.1 NTM EPS; ~8% on ~$16 FCF/share).</t>
  </si>
  <si>
    <t xml:space="preserve">Twelve Data monthly IGV (Dec 2025-Oct 2026) and BKNG (2018-2019); Q2 2026 release (H1 FCF $6.75B); 10-Q (SBC $281M H1).</t>
  </si>
  <si>
    <t xml:space="preserve">Share loss to peers (size of the FY27 EPS haircut)</t>
  </si>
  <si>
    <t xml:space="preserve">Agent 2 cut its haircut from 3.5% to 2.5% after a like-for-like comparison. Agent 3 keeps 5% (consensus needs +18% FY27 growth against a +4-6% Q3 EBITDA guide). Agents 1 and 4 use 4%; agent 5 uses 3%.</t>
  </si>
  <si>
    <t xml:space="preserve">Agent 2's facts are correct. BKNG's Q3 gross-bookings guide (+5-7% CC) matches Expedia's (+5-7%), and Expedia's Q2 B2C bookings (+8%) trailed BKNG's +9%, so the share loss is concentrated in alternative accommodation against Airbnb (BKNG alt-accom nights +4% vs Airbnb nights ~+10%). Agent 3's arithmetic is also right: $12.37 / $10.45 = +18.4%. A 2.5-5% haircut range is defensible; the mean (~3.7%) stands.</t>
  </si>
  <si>
    <t xml:space="preserve">BKNG Q2 2026 8-K Ex.99.1 guidance table; Expedia Q2 2026 release (Aug 5) Business Outlook; Airbnb Q2 2026 shareholder letter Outlook.</t>
  </si>
  <si>
    <t xml:space="preserve">AI-agent channel: Muse adoption vs Booking's presence in Google's agentic booking</t>
  </si>
  <si>
    <t xml:space="preserve">Agent 4: Muse adoption verified (#1 since Sep 18, 2.3-3.4M downloads), but Booking/Priceline are Google AI Mode launch partners, so the channel is not closed. Agents 2 and 3: structural overhang. Agent 1: AI-agent marketing-cost risk in the haircut.</t>
  </si>
  <si>
    <t xml:space="preserve">Both sides are partly overstated. Google's agentic hotel booking shipped for US users around Aug 28 with 10 partners, including Expedia, Hotels.com, Trip.com and five hotel chains booking direct, with the hotel or platform as merchant of record. Booking participates, but so do chains' direct channels, so it is neutral, not a Booking moat. Muse: Sensor Tower data via press shows ~2.5M downloads in 13 days and a brief #1 on Sep 18. The cited TechCrunch page shows only #2 and ~83k US iOS downloads on Sep 10. Downloads do not tell us anything about booking volume. Neither fact moves the ladder.</t>
  </si>
  <si>
    <t xml:space="preserve">Hospitality Net, Aug 28, 2026; TechCrunch, Sep 10, 2026; secondary reports of Sensor Tower data (borncity, Digg/TIKR), Sep 2026.</t>
  </si>
  <si>
    <t xml:space="preserve">Legal and tax tail (agent 3)</t>
  </si>
  <si>
    <t xml:space="preserve">Agent 3 raised the bear-case weight on the FTC, the Dutch hotel and consumer foundation claims and the German suits; the others mention FTC/CNMC/Dutch only as catalysts.</t>
  </si>
  <si>
    <t xml:space="preserve">All of agent 3's legal and tax facts are in the 10-Q. Only the CNMC ($472M) is accrued, and unrecognised tax benefits rose $63M to $313M. These are unquantifiable tail risks that suit a fatter left tail, not a lower median. The mean ladder already has P(&lt;127) ~0.2.</t>
  </si>
  <si>
    <t xml:space="preserve">Form 10-Q Q2 2026, Note 13 and the income-tax note.</t>
  </si>
  <si>
    <t xml:space="preserve">Q3 print timing / 1-month window</t>
  </si>
  <si>
    <t xml:space="preserve">All five now say ~Nov 3, ~15% in window.</t>
  </si>
  <si>
    <t xml:space="preserve">Re-verified on Oct 2. EDGAR's last 8-K is Aug 4 (Form 4s through Sep 16). The company PR feed's latest item is Sep 29 (Lola); the Q2 webcast notice was Jul 7, with a one-day 'release available' notice on Aug 3. With no notice, ~15% still stands, but it is my inference, and all five agents adopted it rather than deriving it independently.</t>
  </si>
  <si>
    <t xml:space="preserve">data.sec.gov submissions JSON; bookingholdings.com press-release RSS feed (Oct 2, 2026).</t>
  </si>
  <si>
    <t xml:space="preserve">Changes the supervisor made</t>
  </si>
  <si>
    <t xml:space="preserve">Item</t>
  </si>
  <si>
    <t xml:space="preserve">From</t>
  </si>
  <si>
    <t xml:space="preserve">To</t>
  </si>
  <si>
    <t xml:space="preserve">Why</t>
  </si>
  <si>
    <t xml:space="preserve">exit multiple (k=0.8 rule, Kilian card 2026-10-26 12:16Z)</t>
  </si>
  <si>
    <t xml:space="preserve">P/E 14.78x, FCF yield 0.08x</t>
  </si>
  <si>
    <t xml:space="preserve">P/E 13.32x, FCF yield 0.08x</t>
  </si>
  <si>
    <t xml:space="preserve">Exit = peer median x (own NTM multiple on the peers' basis / median)^0.8; research target (12m) $194.79 -&gt; $183.29. See inputs_detail and comps_summary (own_multiple, exit_k).</t>
  </si>
  <si>
    <t xml:space="preserve">fact: Muse adoption figures (agent 4)</t>
  </si>
  <si>
    <t xml:space="preserve">#1 US App Store since Sep 18, ~2.3-3.4M downloads (cited to TechCrunch)</t>
  </si>
  <si>
    <t xml:space="preserve">TechCrunch Sep 10: #2, ~83k US iOS downloads; Sensor Tower via press: brief #1 on Sep 18, ~2.5M downloads in 13 days</t>
  </si>
  <si>
    <t xml:space="preserve">Read the cited article and the secondary Sensor Tower reports; no ladder impact.</t>
  </si>
  <si>
    <t xml:space="preserve">fact: Google agentic hotel booking (agent 4)</t>
  </si>
  <si>
    <t xml:space="preserve">US test (Aug 2026) with Booking.com and Priceline as launch partners</t>
  </si>
  <si>
    <t xml:space="preserve">Shipped to US users ~Aug 28, 2026; 10 partners incl. Expedia, Hotels.com, Trip.com, Choice, Hilton, IHG, Marriott, Wyndham</t>
  </si>
  <si>
    <t xml:space="preserve">Hospitality Net, Aug 28, 2026; the hotel or platform stays merchant of record, so it is neutral for Booking.</t>
  </si>
  <si>
    <t xml:space="preserve">fact: StockAnalysis analyst count</t>
  </si>
  <si>
    <t xml:space="preserve">39 analysts (my round-1 file, repeated by all agents)</t>
  </si>
  <si>
    <t xml:space="preserve">36 analysts on the price target ($238.78, updated Sep 24); FY26 EPS $10.45</t>
  </si>
  <si>
    <t xml:space="preserve">Re-check of the page on Oct 2; FY27 $12.37 is not re-confirmed but is immaterial.</t>
  </si>
  <si>
    <t xml:space="preserve">Citation audit ()</t>
  </si>
  <si>
    <t xml:space="preserve">{'item': 'model.reconciled_inputs: Zacks reported EPS actuals (consensus basis check), BKNG Q4-25', 'from': '$1.95 in a combined EXPE/BKNG/ABNB row citing only the EXPE earnings-surprise page', 'to': "own row 'Zacks reported EPS actual, BKNG Q4-25 (consensus basis check)' $1.95, source 22", 'source': 'https://api.nasdaq.com/api/company/BKNG/earnings-surprise'}</t>
  </si>
  <si>
    <t xml:space="preserve">{'item': 'model.reconciled_inputs: Zacks reported EPS actuals (consensus basis check), ABNB Q2-26', 'from': '$1.37 in a combined row citing only the EXPE earnings-surprise page', 'to': "own row 'Zacks reported EPS actual, ABNB Q2-26 (consensus basis check)' $1.37, source 23", 'source': 'https://api.nasdaq.com/api/company/ABNB/earnings-surprise'}</t>
  </si>
  <si>
    <t xml:space="preserve">{'item': 'model.reconciled_inputs: Zacks reported EPS actuals (consensus basis check), EXPE Q4-25', 'from': '$3.10 in the combined row', 'to': "own row 'Zacks reported EPS actual, EXPE Q4-25 (consensus basis check)' $3.10, source 21; combined row removed", 'source': 'https://api.nasdaq.com/api/company/EXPE/earnings-surprise'}</t>
  </si>
  <si>
    <t xml:space="preserve">{'item': 'sources[19] BKNG Q4/FY2025 earnings release date', 'from': '2026-02-26', 'to': '2026-02-18', 'source': 'https://www.sec.gov/Archives/edgar/data/1075531/000107553126000008/q4-25bkngearningsrelease.htm'}</t>
  </si>
  <si>
    <t xml:space="preserve">{'item': "NTM P/E peer median basis (ABNB GAAP vs BKNG adjusted); 'NTM P/E', 'ABNB consensus EPS FY2026 / FY2027', comps_review", 'from': "ABNB GAAP asserted to match BKNG's basis without evidence (mixed_basis)", 'to': "new row 'ABNB FY2025 items of the kinds BKNG adjusts out' (FY2025 10-K XBRL: goodwill/intangible/long-lived impairment 0, equity-security impairment $30M = 1.2% and other non-operating expense $112M = 4.5% of net income $2,511M), argument added to the three places; ABNB kept in the approved median; median unchanged at 14.78x, engine base horizon value unchanged at 194.79", 'source': 'https://data.sec.gov/api/xbrl/companyfacts/CIK0001559720.json'}</t>
  </si>
  <si>
    <t xml:space="preserve">Sizing</t>
  </si>
  <si>
    <t xml:space="preserve">max weight pct</t>
  </si>
  <si>
    <t xml:space="preserve">confidence</t>
  </si>
  <si>
    <t xml:space="preserve">entry</t>
  </si>
  <si>
    <t xml:space="preserve">2 tranches: half now, half after the Q3 2026 print (likely ~Nov 3, not yet announced) once the Q4 guide and AI-agent commentary are known</t>
  </si>
  <si>
    <t xml:space="preserve">overlap</t>
  </si>
  <si>
    <t xml:space="preserve">No direct driver overlap with AAPL/GOOGL/META/TSLA/EL/GPRO. It is partly an inverse hedge on the AI theme: META (Muse) and GOOGL (AI Mode agentic booking) are the channel threats. All are exposed to the Fed's hiking cycle.</t>
  </si>
  <si>
    <t xml:space="preserve">reason</t>
  </si>
  <si>
    <t xml:space="preserve">The mean ladder implies ~+15% expected price return (median ~$174), but with ~37-39% vol against SPY's ~16% BKNG needs roughly +15-16% total return to win on Sharpe, which is about a 43-45% event on the ladder. Round-2 checks added verified but two-sided evidence and no new edge, so I hold the confidence just under 0.5. The cap is moderate, and the name diversifies a tech-heavy book.</t>
  </si>
  <si>
    <t xml:space="preserve">conviction label before</t>
  </si>
  <si>
    <t xml:space="preserve">medium</t>
  </si>
  <si>
    <t xml:space="preserve">conviction label reason</t>
  </si>
  <si>
    <t xml:space="preserve">The checked evidence (FY27 consensus intact, ~6%/yr share shrink, ~8% FCF yield, bookings growth in line with Expedia) supports a real but modest expected-return edge over the S&amp;P 500. The unresolved AI-agent de-rating risk and the anchored rather than independent round-2 consensus keep it from being a clear edge.</t>
  </si>
  <si>
    <t xml:space="preserve">BKNG sources</t>
  </si>
  <si>
    <t xml:space="preserve">Every source the forecasters and the supervisor cited. IDs: A1.3 = agent 1, source 3; S.2 = supervisor, source 2; X.4 = found by the supervisor for an assumption the agent left unsourced.</t>
  </si>
  <si>
    <t xml:space="preserve">Cited by</t>
  </si>
  <si>
    <t xml:space="preserve">Title</t>
  </si>
  <si>
    <t xml:space="preserve">Date</t>
  </si>
  <si>
    <t xml:space="preserve">Link</t>
  </si>
  <si>
    <t xml:space="preserve">A1.1</t>
  </si>
  <si>
    <t xml:space="preserve">agent_1</t>
  </si>
  <si>
    <t xml:space="preserve">Booking Holdings Q2 2026 earnings release (8-K Ex.99.1)</t>
  </si>
  <si>
    <t xml:space="preserve">2026-08-04</t>
  </si>
  <si>
    <t xml:space="preserve">https://www.sec.gov/Archives/edgar/data/0001075531/000107553126000036/q2-26bkngearningsrelease.htm</t>
  </si>
  <si>
    <t xml:space="preserve">A1.2</t>
  </si>
  <si>
    <t xml:space="preserve">Booking Holdings Form 10-Q for quarter ended 2026-06-30</t>
  </si>
  <si>
    <t xml:space="preserve">https://www.sec.gov/Archives/edgar/data/0001075531/000107553126000037/bkng-20260630.htm</t>
  </si>
  <si>
    <t xml:space="preserve">A1.3</t>
  </si>
  <si>
    <t xml:space="preserve">Booking Holdings Q4/FY2025 earnings release (8-K Ex.99.1)</t>
  </si>
  <si>
    <t xml:space="preserve">2026-02-18</t>
  </si>
  <si>
    <t xml:space="preserve">https://www.sec.gov/Archives/edgar/data/1075531/000107553126000008/q4-25bkngearningsrelease.htm</t>
  </si>
  <si>
    <t xml:space="preserve">A1.4</t>
  </si>
  <si>
    <t xml:space="preserve">SEC EDGAR submissions index for BKNG (last 8-K Aug 4; filings to Sep 16 Form 4; no Q3 date notice)</t>
  </si>
  <si>
    <t xml:space="preserve">2026-10-02</t>
  </si>
  <si>
    <t xml:space="preserve">https://data.sec.gov/submissions/CIK0001075531.json</t>
  </si>
  <si>
    <t xml:space="preserve">A1.5</t>
  </si>
  <si>
    <t xml:space="preserve">Form 4s, Chief HR Officer and director 10b5-1 sales at $203.48 (Sep 1), $200 (Sep 2), $173.02 (Sep 16)</t>
  </si>
  <si>
    <t xml:space="preserve">2026-09-16</t>
  </si>
  <si>
    <t xml:space="preserve">https://www.sec.gov/Archives/edgar/data/1075531/000187574126000008/form4-09162026_040901.xml</t>
  </si>
  <si>
    <t xml:space="preserve">A1.6</t>
  </si>
  <si>
    <t xml:space="preserve">8-K Item 5.02: new director (K. Sievers) and new Chief Accounting Officer, routine</t>
  </si>
  <si>
    <t xml:space="preserve">2026-04-02</t>
  </si>
  <si>
    <t xml:space="preserve">https://www.sec.gov/Archives/edgar/data/1075531/000107553126000014/bkng-20260402.htm</t>
  </si>
  <si>
    <t xml:space="preserve">A1.7</t>
  </si>
  <si>
    <t xml:space="preserve">BKNG 2Q26 call AI summary (EPS +15%, 6% share-count reduction, ME impacts persist through Q3)</t>
  </si>
  <si>
    <t xml:space="preserve">https://transcripts.platformaeronaut.com/summaries/BKNG-2Q26-AI-Summary</t>
  </si>
  <si>
    <t xml:space="preserve">A1.8</t>
  </si>
  <si>
    <t xml:space="preserve">Stock Taper Q2 2026 earnings call summary (AI traffic minimal, SEO pressure, direct channel stable)</t>
  </si>
  <si>
    <t xml:space="preserve">https://www.stocktaper.com/earningsCallSummary/BKNG/2026/Q2</t>
  </si>
  <si>
    <t xml:space="preserve">A1.9</t>
  </si>
  <si>
    <t xml:space="preserve">Booking Holdings to present at Citi 2026 Global TMT Conference (Sep 8)</t>
  </si>
  <si>
    <t xml:space="preserve">2026-08</t>
  </si>
  <si>
    <t xml:space="preserve">https://finviz.com/news/385299/booking-holdings-inc-to-present-at-the-citi-2026-global-tmt-conference</t>
  </si>
  <si>
    <t xml:space="preserve">A1.10</t>
  </si>
  <si>
    <t xml:space="preserve">eToro: Deep Dive, A Beatdown for Booking Holdings (historical 15-16x P/E support; consensus EPS growth 17.8%/17.2%/14.7% for 2026-28)</t>
  </si>
  <si>
    <t xml:space="preserve">2026-02-20</t>
  </si>
  <si>
    <t xml:space="preserve">https://www.etoro.com/news-and-analysis/the-daily-breakdown/deep-dive-a-beatdown-for-booking-holdings/</t>
  </si>
  <si>
    <t xml:space="preserve">A1.11</t>
  </si>
  <si>
    <t xml:space="preserve">Search-result consensus: FY2027 EPS $12.33 (+18%), avg target ~$229-231, 26 Strong Buy/2 Mod Buy/10 Hold (Barchart)</t>
  </si>
  <si>
    <t xml:space="preserve">2026</t>
  </si>
  <si>
    <t xml:space="preserve">https://www.barchart.com/story/news/1295240/here-s-what-to-expect-from-booking-holdings-next-earnings-report</t>
  </si>
  <si>
    <t xml:space="preserve">A1.12</t>
  </si>
  <si>
    <t xml:space="preserve">Motley Fool: Why Booking Holdings stock was sliding today (Meta Muse AI agent; Expedia partnership)</t>
  </si>
  <si>
    <t xml:space="preserve">2026-09-23</t>
  </si>
  <si>
    <t xml:space="preserve">https://www.fool.com/investing/2026/09/23/why-booking-holdings-stock-was-sliding-today/</t>
  </si>
  <si>
    <t xml:space="preserve">A1.13</t>
  </si>
  <si>
    <t xml:space="preserve">Tickeron: BKNG drops 18.5% over 30 days (EU General Court upholds eTraveli block, Meta Muse, oil &gt; $100, Erste FY27 EPS cut)</t>
  </si>
  <si>
    <t xml:space="preserve">2026-09-29</t>
  </si>
  <si>
    <t xml:space="preserve">https://tickeron.com/blogs/booking-holdings-bkng-drops-18-5-over-30-days-what-s-behind-the-move-17432/</t>
  </si>
  <si>
    <t xml:space="preserve">A1.14</t>
  </si>
  <si>
    <t xml:space="preserve">Quality Stocks Substack: Stock of the Week, Booking Holdings (bear $165 / bull $281; price implies 3-5% FCF growth)</t>
  </si>
  <si>
    <t xml:space="preserve">2026-09-14</t>
  </si>
  <si>
    <t xml:space="preserve">https://qualitystocks.substack.com/p/stock-of-the-week-booking-holdings</t>
  </si>
  <si>
    <t xml:space="preserve">A1.15</t>
  </si>
  <si>
    <t xml:space="preserve">Booking Holdings to webcast Q3 2025 results on Oct 28 (issued Sep 30, 2025: four-week notice precedent)</t>
  </si>
  <si>
    <t xml:space="preserve">2025-09-30</t>
  </si>
  <si>
    <t xml:space="preserve">https://www.bookingholdings.com/press-releases/booking-holdings-to-webcast-third-quarter-2025-financial-results-on-october-28/</t>
  </si>
  <si>
    <t xml:space="preserve">A1.16</t>
  </si>
  <si>
    <t xml:space="preserve">Yahoo Finance: Booking 25-for-1 split effective 2026-04-02</t>
  </si>
  <si>
    <t xml:space="preserve">2026-03</t>
  </si>
  <si>
    <t xml:space="preserve">https://finance.yahoo.com/markets/stocks/articles/4-000-stock-become-affordable-141559947.html</t>
  </si>
  <si>
    <t xml:space="preserve">A1.17</t>
  </si>
  <si>
    <t xml:space="preserve">StockAnalysis BKNG analyst forecast (FY26 $10.45, FY27 $12.37, 39 analysts; cited per supervisor check)</t>
  </si>
  <si>
    <t xml:space="preserve">2026-09-24</t>
  </si>
  <si>
    <t xml:space="preserve">https://stockanalysis.com/stocks/bkng/forecast/</t>
  </si>
  <si>
    <t xml:space="preserve">A1.18</t>
  </si>
  <si>
    <t xml:space="preserve">Booking Holdings press-release RSS feed (latest Sep 29, 2026; no Q3 2026 webcast-date notice; Q2 notice was Jul 7)</t>
  </si>
  <si>
    <t xml:space="preserve">https://www.bookingholdings.com/press-releases/feed/</t>
  </si>
  <si>
    <t xml:space="preserve">A1.19</t>
  </si>
  <si>
    <t xml:space="preserve">Booking Holdings to Webcast Second Quarter 2026 Financial Results on August 4 (issued Jul 7, 2026)</t>
  </si>
  <si>
    <t xml:space="preserve">2026-07-07</t>
  </si>
  <si>
    <t xml:space="preserve">https://www.bookingholdings.com/press-releases/</t>
  </si>
  <si>
    <t xml:space="preserve">A2.1</t>
  </si>
  <si>
    <t xml:space="preserve">agent_2</t>
  </si>
  <si>
    <t xml:space="preserve">Booking Holdings Q2 2026 earnings release (8-K Ex.99)</t>
  </si>
  <si>
    <t xml:space="preserve">A2.2</t>
  </si>
  <si>
    <t xml:space="preserve">Booking Holdings Q4/FY2025 earnings release (8-K)</t>
  </si>
  <si>
    <t xml:space="preserve">2026-02</t>
  </si>
  <si>
    <t xml:space="preserve">A2.3</t>
  </si>
  <si>
    <t xml:space="preserve">Expedia Group Q2 2026 earnings release (8-K)</t>
  </si>
  <si>
    <t xml:space="preserve">2026-08-05</t>
  </si>
  <si>
    <t xml:space="preserve">https://www.sec.gov/Archives/edgar/data/0001324424/000132442426000051/earningsrelease-q22026.htm</t>
  </si>
  <si>
    <t xml:space="preserve">A2.4</t>
  </si>
  <si>
    <t xml:space="preserve">Airbnb Q2 2026 shareholder letter (8-K Ex.99.1)</t>
  </si>
  <si>
    <t xml:space="preserve">2026-08-06</t>
  </si>
  <si>
    <t xml:space="preserve">https://www.sec.gov/Archives/edgar/data/0001559720/000119312526337928/d70413dex991.htm</t>
  </si>
  <si>
    <t xml:space="preserve">A2.5</t>
  </si>
  <si>
    <t xml:space="preserve">Marriott's Second Quarter Results Marred by International Decline (TravelPulse)</t>
  </si>
  <si>
    <t xml:space="preserve">https://www.travelpulse.com/news/hotels-and-resorts/marriott-international-announces-q2-2026-financial-results</t>
  </si>
  <si>
    <t xml:space="preserve">A2.6</t>
  </si>
  <si>
    <t xml:space="preserve">Hilton Reports Q2 2026 Results (Lodging Magazine)</t>
  </si>
  <si>
    <t xml:space="preserve">2026-07</t>
  </si>
  <si>
    <t xml:space="preserve">https://lodgingmagazine.com/hilton-reports-q2-2026-results/</t>
  </si>
  <si>
    <t xml:space="preserve">A2.7</t>
  </si>
  <si>
    <t xml:space="preserve">Trip.com Group Q2 2026 results (6-K Ex.99.1)</t>
  </si>
  <si>
    <t xml:space="preserve">2026-09</t>
  </si>
  <si>
    <t xml:space="preserve">https://www.sec.gov/Archives/edgar/data/0001269238/000119312526392473/d167816dex991.htm</t>
  </si>
  <si>
    <t xml:space="preserve">A2.8</t>
  </si>
  <si>
    <t xml:space="preserve">Travel booking stocks tumble as Muse threatens to bypass them (24/7 Wall St)</t>
  </si>
  <si>
    <t xml:space="preserve">https://247wallst.com/investing/2026/09/23/travel-booking-stocks-tumble-as-muse-threatens-to-bypass-them-expedia-falls-7-airbnb-drops-6-booking-holdings-sinks-5/</t>
  </si>
  <si>
    <t xml:space="preserve">A2.9</t>
  </si>
  <si>
    <t xml:space="preserve">Investors Are Nervous Google's Next AI Agent Will Rival OTAs (AltexSoft travel industry news)</t>
  </si>
  <si>
    <t xml:space="preserve">2025-11-24</t>
  </si>
  <si>
    <t xml:space="preserve">https://www.altexsoft.com/travel-industry-news/investors-are-nervous-googles-next-ai-agent-will-rival-otas</t>
  </si>
  <si>
    <t xml:space="preserve">A2.10</t>
  </si>
  <si>
    <t xml:space="preserve">Booking Holdings (BKNG) Drops -18.5% Over 30 Days: What's Behind the Move (Tickeron)</t>
  </si>
  <si>
    <t xml:space="preserve">2026-09-30</t>
  </si>
  <si>
    <t xml:space="preserve">A2.11</t>
  </si>
  <si>
    <t xml:space="preserve">Over 10,000 European Hotels Now Part of Landmark Collective Action Against Booking.com (Hotel-Online)</t>
  </si>
  <si>
    <t xml:space="preserve">https://www.hotel-online.com/news/over-10000-european-hotels-now-part-of-landmark-collective-action-against-bookingcom</t>
  </si>
  <si>
    <t xml:space="preserve">A2.12</t>
  </si>
  <si>
    <t xml:space="preserve">Booking Holdings Q2 2026 earnings preview with FY26/FY27 consensus EPS (Webull/Barchart)</t>
  </si>
  <si>
    <t xml:space="preserve">2026-07-20</t>
  </si>
  <si>
    <t xml:space="preserve">https://www.webull.com.au/news-detail/15259709058147328</t>
  </si>
  <si>
    <t xml:space="preserve">A2.13</t>
  </si>
  <si>
    <t xml:space="preserve">Skift Global Forum 2026: The Decisions on the Table (Skift)</t>
  </si>
  <si>
    <t xml:space="preserve">2026-06-10</t>
  </si>
  <si>
    <t xml:space="preserve">https://skift.com/2026/06/10/skift-global-forum-2026-the-decisions-on-the-table/</t>
  </si>
  <si>
    <t xml:space="preserve">A2.14</t>
  </si>
  <si>
    <t xml:space="preserve">Booking Holdings Stock Is Down 27% in 2026. Is BKNG Stock Now Undervalued? (TIKR)</t>
  </si>
  <si>
    <t xml:space="preserve">2026-05</t>
  </si>
  <si>
    <t xml:space="preserve">https://www.tikr.com/blog/booking-holdings-stock-is-down-27-in-2026-is-bkng-stock-now-undervalued</t>
  </si>
  <si>
    <t xml:space="preserve">A2.15</t>
  </si>
  <si>
    <t xml:space="preserve">Booking Holdings Bets on Agentic AI to Challenge Big Tech (Skift)</t>
  </si>
  <si>
    <t xml:space="preserve">2025-09-11</t>
  </si>
  <si>
    <t xml:space="preserve">https://skift.com/?p=772452</t>
  </si>
  <si>
    <t xml:space="preserve">A2.16</t>
  </si>
  <si>
    <t xml:space="preserve">Booking stock sinks to 52-week low as Middle East conflict dents outlook (Benzinga)</t>
  </si>
  <si>
    <t xml:space="preserve">2026-04</t>
  </si>
  <si>
    <t xml:space="preserve">https://www.benzinga.com/markets/earnings/26/04/52125208/booking-stock-sinks-to-52-week-low-as-middle-east-conflict-dents-outlook</t>
  </si>
  <si>
    <t xml:space="preserve">A2.17</t>
  </si>
  <si>
    <t xml:space="preserve">Booking Holdings Form 10-Q for Q2 2026 (cover: 751,380,500 shares outstanding at Jul 27, 2026; Q2 diluted weighted avg 770M)</t>
  </si>
  <si>
    <t xml:space="preserve">https://www.sec.gov/Archives/edgar/data/1075531/000107553126000037/bkng-20260630.htm</t>
  </si>
  <si>
    <t xml:space="preserve">A2.18</t>
  </si>
  <si>
    <t xml:space="preserve">Booking Holdings EDGAR submissions index (no 8-K or earnings-date notice after Aug 4, 2026)</t>
  </si>
  <si>
    <t xml:space="preserve">A2.19</t>
  </si>
  <si>
    <t xml:space="preserve">BKNG analyst forecast: FY26 EPS $10.45, FY27 ~$12.37, 39 analysts (StockAnalysis, updated Sep 24, 2026; verified by supervisor, page did not render for me)</t>
  </si>
  <si>
    <t xml:space="preserve">A2.20</t>
  </si>
  <si>
    <t xml:space="preserve">Round-1 supervisor fact-check (earnings-date notice pattern, share count, consensus, price path, Fed hike)</t>
  </si>
  <si>
    <t xml:space="preserve">file:valuation/runs/2026-10-02/BKNG/round1/supervisor.json</t>
  </si>
  <si>
    <t xml:space="preserve">A3.1</t>
  </si>
  <si>
    <t xml:space="preserve">agent_3</t>
  </si>
  <si>
    <t xml:space="preserve">Booking Holdings split: the catalyst Wall Street didn't see coming (25-for-1 split, effective April 2026)</t>
  </si>
  <si>
    <t xml:space="preserve">https://www.marketbeat.com/articles/booking-holdings-split-the-catalyst-wall-street-didnt-see-coming/</t>
  </si>
  <si>
    <t xml:space="preserve">A3.2</t>
  </si>
  <si>
    <t xml:space="preserve">Booking Holdings Q2 2026 earnings release (Form 8-K Ex.99.1)</t>
  </si>
  <si>
    <t xml:space="preserve">A3.3</t>
  </si>
  <si>
    <t xml:space="preserve">Q4 2025 BKNG earnings release (FY2025 adj EPS $228.06, FCF $9.1B)</t>
  </si>
  <si>
    <t xml:space="preserve">https://s201.q4cdn.com/865305287/files/doc_financials/2025/q4/Q4-25-BKNG-Earnings-Release.pdf</t>
  </si>
  <si>
    <t xml:space="preserve">A3.4</t>
  </si>
  <si>
    <t xml:space="preserve">TIKR: Booking Holdings raised its cost savings target after Q2 earnings</t>
  </si>
  <si>
    <t xml:space="preserve">https://www.tikr.com/blog/booking-holdings-raised-its-cost-savings-target-after-q2-earnings</t>
  </si>
  <si>
    <t xml:space="preserve">A3.5</t>
  </si>
  <si>
    <t xml:space="preserve">TIKR: Booking Holdings stock drops as Expedia partners with Meta's Muse AI platform</t>
  </si>
  <si>
    <t xml:space="preserve">https://www.tikr.com/blog/booking-holdings-bkng-shares-drop-expedia-meta-muse-ai-partnership</t>
  </si>
  <si>
    <t xml:space="preserve">A3.6</t>
  </si>
  <si>
    <t xml:space="preserve">TIKR: Booking Holdings stock is down 27% in 2026. Is BKNG now undervalued?</t>
  </si>
  <si>
    <t xml:space="preserve">A3.7</t>
  </si>
  <si>
    <t xml:space="preserve">eToro Deep Dive: A beatdown for Booking Holdings (historical 17-18x forward P/E support)</t>
  </si>
  <si>
    <t xml:space="preserve">A3.8</t>
  </si>
  <si>
    <t xml:space="preserve">Booking Holdings stock hits 52-week low: analysts (Piper Sandler, Cantor) cut targets on AI disruption</t>
  </si>
  <si>
    <t xml:space="preserve">2026-02-19</t>
  </si>
  <si>
    <t xml:space="preserve">https://finviz.com/news/316361/booking-holdings-stock-hits-52-week-low-heres-why</t>
  </si>
  <si>
    <t xml:space="preserve">A3.9</t>
  </si>
  <si>
    <t xml:space="preserve">Over 10,000 European hotels now part of collective action against Booking.com</t>
  </si>
  <si>
    <t xml:space="preserve">A3.10</t>
  </si>
  <si>
    <t xml:space="preserve">Booking Holdings euro notes 2026-2030 (spread, A-/A3 ratings)</t>
  </si>
  <si>
    <t xml:space="preserve">https://www.boerse-stuttgart.de/en/products/bonds/stuttgart/a4eugu-booking-holdings-inc-eo-notes-2026-26-30/</t>
  </si>
  <si>
    <t xml:space="preserve">A3.11</t>
  </si>
  <si>
    <t xml:space="preserve">Booking CEO Glenn Fogel sells 669 shares (Form 4)</t>
  </si>
  <si>
    <t xml:space="preserve">2026-03-18</t>
  </si>
  <si>
    <t xml:space="preserve">https://www.insidertrades.com/alerts/nasdaq-bkng-insider-buying-and-selling-2026-03-18</t>
  </si>
  <si>
    <t xml:space="preserve">A3.12</t>
  </si>
  <si>
    <t xml:space="preserve">Skift: Wyndham and Marriott's agentic plans put pressure on Booking</t>
  </si>
  <si>
    <t xml:space="preserve">https://skift.com/2026/02/20/wyndham-and-marriotts-agentic-plans-put-pressure-on-booking-are-the-concerns-justified/</t>
  </si>
  <si>
    <t xml:space="preserve">A3.13</t>
  </si>
  <si>
    <t xml:space="preserve">AltexSoft: Investors are nervous Google's next AI agent will rival OTAs</t>
  </si>
  <si>
    <t xml:space="preserve">2025-2026</t>
  </si>
  <si>
    <t xml:space="preserve">A3.14</t>
  </si>
  <si>
    <t xml:space="preserve">PhocusWire: Spanish regulators fine Booking.com EUR413M</t>
  </si>
  <si>
    <t xml:space="preserve">2024-07</t>
  </si>
  <si>
    <t xml:space="preserve">https://www.phocuswire.com/spanish-regulators-fine-booking-com-413M</t>
  </si>
  <si>
    <t xml:space="preserve">A3.15</t>
  </si>
  <si>
    <t xml:space="preserve">Skift: ChatGPT bails on transactions, good news for Expedia and Booking</t>
  </si>
  <si>
    <t xml:space="preserve">2026-03-05</t>
  </si>
  <si>
    <t xml:space="preserve">https://skift.com/2026/03/05/openai-chatgpt-checkout-walkback/</t>
  </si>
  <si>
    <t xml:space="preserve">A3.16</t>
  </si>
  <si>
    <t xml:space="preserve">TIKR: Booking stock is down 7.6% this week (Bernstein cut, House Oversight letter on personalized pricing)</t>
  </si>
  <si>
    <t xml:space="preserve">2026-03-29</t>
  </si>
  <si>
    <t xml:space="preserve">https://www.tikr.com/blog/booking-stock-is-down-7-6-this-week-heres-why-analysts-still-see-39-upside</t>
  </si>
  <si>
    <t xml:space="preserve">A3.17</t>
  </si>
  <si>
    <t xml:space="preserve">Booking Holdings Form 10-Q, quarter ended 2026-06-30 (FTC staff complaint recommendation, Dutch foundation hotel and consumer claims, German parity suits, CNMC $472M accrual, SBC $281M H1, 44M shares repurchased, $14.5B authorization, $20.3B senior notes, Innovation Box)</t>
  </si>
  <si>
    <t xml:space="preserve">A3.18</t>
  </si>
  <si>
    <t xml:space="preserve">StockAnalysis BKNG analyst forecast (FY26 $10.45, FY27 $12.37, 39 analysts), as established by the round-1 supervisor</t>
  </si>
  <si>
    <t xml:space="preserve">A3.19</t>
  </si>
  <si>
    <t xml:space="preserve">The Fly via TipRanks: Booking Holdings downgraded to Hold from Buy at Erste Group (US consumer confidence)</t>
  </si>
  <si>
    <t xml:space="preserve">https://www.tipranks.com/news/the-fly/booking-holdings-downgraded-to-hold-from-buy-at-erste-group</t>
  </si>
  <si>
    <t xml:space="preserve">A4.1</t>
  </si>
  <si>
    <t xml:space="preserve">agent_4</t>
  </si>
  <si>
    <t xml:space="preserve">A4.2</t>
  </si>
  <si>
    <t xml:space="preserve">Booking Holdings Q2 2026 results and guidance summary (Quartr)</t>
  </si>
  <si>
    <t xml:space="preserve">https://quartr.com/events/booking-holdings-inc-bkng-q2-2026_o0mILYC2</t>
  </si>
  <si>
    <t xml:space="preserve">A4.3</t>
  </si>
  <si>
    <t xml:space="preserve">A $4,000 Stock Is About to Become Affordable: Inside Booking's Historic Split</t>
  </si>
  <si>
    <t xml:space="preserve">A4.4</t>
  </si>
  <si>
    <t xml:space="preserve">Booking Holdings Stock Is Flat for a Year While EPS Growth Hit 22% (TIKR)</t>
  </si>
  <si>
    <t xml:space="preserve">https://www.tikr.com/blog/booking-holdings-stock-is-flat-for-a-year-while-eps-growth-hit-22-whats-next</t>
  </si>
  <si>
    <t xml:space="preserve">A4.5</t>
  </si>
  <si>
    <t xml:space="preserve">Booking Holdings' CEO Says the AI Fear Is Wrong: 16x Earnings (TIKR)</t>
  </si>
  <si>
    <t xml:space="preserve">https://www.tikr.com/blog/booking-holdings-ceo-says-the-ai-fear-is-wrong-heres-where-the-stock-could-go-from-16x-earnings</t>
  </si>
  <si>
    <t xml:space="preserve">A4.6</t>
  </si>
  <si>
    <t xml:space="preserve">Booking Holdings Stock Drops as Expedia Partners With Meta's Muse AI Platform (TIKR)</t>
  </si>
  <si>
    <t xml:space="preserve">A4.7</t>
  </si>
  <si>
    <t xml:space="preserve">Simply Wall St community narrative: BKNG fair value updates</t>
  </si>
  <si>
    <t xml:space="preserve">https://simplywall.st/community/narratives/us/consumer-services/nasdaq-bkng/booking-holdings/d4792ujb-ai-progress-and-cost-efficiency-will-drive-outperformance-amid-sector-tailwinds/updates/24-analysts-have-adjusted-the-booking-holdings-fair-value-estim</t>
  </si>
  <si>
    <t xml:space="preserve">A4.8</t>
  </si>
  <si>
    <t xml:space="preserve">A4.9</t>
  </si>
  <si>
    <t xml:space="preserve">SiteMinder Changing Traveller Report 2026</t>
  </si>
  <si>
    <t xml:space="preserve">https://www.siteminder.com/news/changing-traveller-report-2026/</t>
  </si>
  <si>
    <t xml:space="preserve">A4.10</t>
  </si>
  <si>
    <t xml:space="preserve">OTAs overtake search engines for sourcing hotels (Travolution)</t>
  </si>
  <si>
    <t xml:space="preserve">https://www.travolution.com/news/otas-overtake-search-engines-for-sourcing-hotels/</t>
  </si>
  <si>
    <t xml:space="preserve">A4.11</t>
  </si>
  <si>
    <t xml:space="preserve">Adthena US Hospitality PPC market share, September 2026 (single-vendor; context only, not used for numbers)</t>
  </si>
  <si>
    <t xml:space="preserve">https://www.adthena.com/market-share/us-hospitality-customer</t>
  </si>
  <si>
    <t xml:space="preserve">A4.12</t>
  </si>
  <si>
    <t xml:space="preserve">Expedia to Offer Hotel Bookings Through Meta's Muse AI Agent (TravelPulse)</t>
  </si>
  <si>
    <t xml:space="preserve">https://www.travelpulse.com/news/hotels-and-resorts/expedia-to-offer-hotel-bookings-through-meta-s-muse-ai-agent</t>
  </si>
  <si>
    <t xml:space="preserve">A4.13</t>
  </si>
  <si>
    <t xml:space="preserve">Meta's Muse uses Expedia to help users search and book travel (browser automation)</t>
  </si>
  <si>
    <t xml:space="preserve">https://cryptobriefing.com/meta-muse-expedia-ai-travel-bookings/</t>
  </si>
  <si>
    <t xml:space="preserve">A4.14</t>
  </si>
  <si>
    <t xml:space="preserve">Meta launches Muse, a general-purpose personal AI agent set to impact travel (Travolution)</t>
  </si>
  <si>
    <t xml:space="preserve">https://www.travolution.com/news/technology/meta-launches-muse-a-general-purpose-personal-ai-agent-set-to-impact-travel/</t>
  </si>
  <si>
    <t xml:space="preserve">A4.15</t>
  </si>
  <si>
    <t xml:space="preserve">Semrush: Top Hospitality Websites in the United States, August 2026 (booking.com #1, 62.92M visits, -9.39% m/m)</t>
  </si>
  <si>
    <t xml:space="preserve">https://www.semrush.com/trending-websites/us/hospitality</t>
  </si>
  <si>
    <t xml:space="preserve">A4.16</t>
  </si>
  <si>
    <t xml:space="preserve">Booking Holdings Q3 2025 earnings date notice (Oct 28; issued Sep 30, 2025)</t>
  </si>
  <si>
    <t xml:space="preserve">https://ir.bookingholdings.com/news/news-details/2025/Booking-Holdings-to-Make-Third-Quarter-2025-Earnings-Press-Release-Available-on-Companys-Investor-Relations-Website-on-October-28/default.aspx</t>
  </si>
  <si>
    <t xml:space="preserve">A4.17</t>
  </si>
  <si>
    <t xml:space="preserve">Booking Holdings Q4/FY2025 earnings release (FY25 adj EPS $228.06 pre-split, FCF $9.1B)</t>
  </si>
  <si>
    <t xml:space="preserve">A4.18</t>
  </si>
  <si>
    <t xml:space="preserve">Booking Holdings Form 10-Q, quarter ended 2026-06-30 (751.4M shares outstanding Jul 27; H1 buybacks; legal)</t>
  </si>
  <si>
    <t xml:space="preserve">A4.19</t>
  </si>
  <si>
    <t xml:space="preserve">StockAnalysis BKNG analyst forecast (FY26 $10.45, FY27 $12.37, 39 analysts)</t>
  </si>
  <si>
    <t xml:space="preserve">A4.20</t>
  </si>
  <si>
    <t xml:space="preserve">Semrush booking.com traffic overview (Aug 2026 556.36M visits, Jul 570.69M, Jun 477.38M; updated Sep 17, 2026)</t>
  </si>
  <si>
    <t xml:space="preserve">2026-09-17</t>
  </si>
  <si>
    <t xml:space="preserve">https://www.semrush.com/website/booking.com/overview</t>
  </si>
  <si>
    <t xml:space="preserve">A4.21</t>
  </si>
  <si>
    <t xml:space="preserve">Meta's AI agent Muse is now the No. 2 app in the US (TechCrunch; Sensor Tower/Appfigures download data)</t>
  </si>
  <si>
    <t xml:space="preserve">2026-09-10</t>
  </si>
  <si>
    <t xml:space="preserve">https://techcrunch.com/2026/09/10/metas-ai-agent-muse-is-now-the-no-2-app-in-the-us/</t>
  </si>
  <si>
    <t xml:space="preserve">A4.22</t>
  </si>
  <si>
    <t xml:space="preserve">Google ships agentic booking (launch partners include Booking.com, Priceline, Expedia, Hotels.com) (Hospitality Net)</t>
  </si>
  <si>
    <t xml:space="preserve">https://www.hospitalitynet.org/news/4134140/google-ships-agentic-booking-and-puts-a-points-price-beside-your-rate-hvs-holds-45-for-2026-98-of-ready-buyers-abandon-anyway</t>
  </si>
  <si>
    <t xml:space="preserve">A4.23</t>
  </si>
  <si>
    <t xml:space="preserve">Booking Holdings Bets on Agentic AI to Challenge Big Tech (Skift; partners OpenAI, Google, Microsoft; Booking app in ChatGPT)</t>
  </si>
  <si>
    <t xml:space="preserve">https://skift.com/2025/09/11/booking-holdings-bets-on-agentic-ai-to-challenge-big-tech/</t>
  </si>
  <si>
    <t xml:space="preserve">A4.24</t>
  </si>
  <si>
    <t xml:space="preserve">SEC EDGAR submissions index for BKNG (no Q3 2026 date notice as of Oct 2)</t>
  </si>
  <si>
    <t xml:space="preserve">A5.1</t>
  </si>
  <si>
    <t xml:space="preserve">agent_5</t>
  </si>
  <si>
    <t xml:space="preserve">A5.2</t>
  </si>
  <si>
    <t xml:space="preserve">A5.3</t>
  </si>
  <si>
    <t xml:space="preserve">A $4,000 stock is about to become affordable: inside Booking's historic split (25-for-1, effective Apr 2026)</t>
  </si>
  <si>
    <t xml:space="preserve">A5.4</t>
  </si>
  <si>
    <t xml:space="preserve">TIKR: Booking's CEO says the AI fear is wrong; stock at 16x earnings vs 5-yr forward avg ~20x</t>
  </si>
  <si>
    <t xml:space="preserve">2026-09-09</t>
  </si>
  <si>
    <t xml:space="preserve">A5.5</t>
  </si>
  <si>
    <t xml:space="preserve">eToro Deep Dive: A beatdown for Booking Holdings (forward P/E lowest in a decade; 17-18x historical support, 15-16x deeper tests; consensus growth)</t>
  </si>
  <si>
    <t xml:space="preserve">A5.6</t>
  </si>
  <si>
    <t xml:space="preserve">ChartRow: BKNG historical drawdowns and recoveries</t>
  </si>
  <si>
    <t xml:space="preserve">https://chartrow.com/quote/bkng/drawdown</t>
  </si>
  <si>
    <t xml:space="preserve">A5.7</t>
  </si>
  <si>
    <t xml:space="preserve">The Stock Observer: Erste Group FY2027 EPS note for Booking (single broker, $12.36; not consensus)</t>
  </si>
  <si>
    <t xml:space="preserve">2026-09-15</t>
  </si>
  <si>
    <t xml:space="preserve">https://www.thestockobserver.com/?p=8913070</t>
  </si>
  <si>
    <t xml:space="preserve">A5.8</t>
  </si>
  <si>
    <t xml:space="preserve">Oddpool: US recession by end of 2026 odds (Polymarket/Kalshi aggregate ~8%)</t>
  </si>
  <si>
    <t xml:space="preserve">https://www.oddpool.com/us-recession-2026</t>
  </si>
  <si>
    <t xml:space="preserve">A5.9</t>
  </si>
  <si>
    <t xml:space="preserve">Crypto Briefing: prediction markets see 92% chance US avoids recession by end of 2026 (Polymarket)</t>
  </si>
  <si>
    <t xml:space="preserve">https://cryptobriefing.com/prediction-markets-us-recession-odds-2026/</t>
  </si>
  <si>
    <t xml:space="preserve">A5.10</t>
  </si>
  <si>
    <t xml:space="preserve">Pythia newsletter: Israel-Iran ceasefire holding market on Polymarket (76% YES, $876K volume)</t>
  </si>
  <si>
    <t xml:space="preserve">2026-07-24</t>
  </si>
  <si>
    <t xml:space="preserve">https://pythia.beehiiv.com/p/new-post-86bb</t>
  </si>
  <si>
    <t xml:space="preserve">A5.11</t>
  </si>
  <si>
    <t xml:space="preserve">Bloomberg Government: Polymarket traders clash over $345 million Iran peace market</t>
  </si>
  <si>
    <t xml:space="preserve">https://news.bgov.com/securities-law/polymarket-traders-clash-over-345-million-iran-peace-market</t>
  </si>
  <si>
    <t xml:space="preserve">A5.12</t>
  </si>
  <si>
    <t xml:space="preserve">TIKR: Expedia stock closed down nearly 8% the day after its Meta Muse tie-up (peer reaction to AI-agent risk)</t>
  </si>
  <si>
    <t xml:space="preserve">https://www.tikr.com/blog/expedia-stock-closed-down-nearly-8-the-day-after-its-meta-muse-tie-up-heres-where-the-stock-could-go</t>
  </si>
  <si>
    <t xml:space="preserve">A5.13</t>
  </si>
  <si>
    <t xml:space="preserve">Trefis: How low could Expedia stock go if a real shock follows this slide? (OTA selloff Sep 23: EXPE -7.7%, BKNG -5.1%, ABNB -7.6%)</t>
  </si>
  <si>
    <t xml:space="preserve">https://www.trefis.com/stock/expe/articles2/616423/how-low-could-expedia-stock-go-if-a-real-shock-follows-this-slide/2026-09-24</t>
  </si>
  <si>
    <t xml:space="preserve">A5.14</t>
  </si>
  <si>
    <t xml:space="preserve">Skift: Booking sees room night growth slowing through the summer (2018 deceleration / Google competition analog)</t>
  </si>
  <si>
    <t xml:space="preserve">2018</t>
  </si>
  <si>
    <t xml:space="preserve">https://skift.com/?p=697905</t>
  </si>
  <si>
    <t xml:space="preserve">A5.15</t>
  </si>
  <si>
    <t xml:space="preserve">TIKR: Is Booking Holdings stock a buy after its Middle East-driven guidance cut?</t>
  </si>
  <si>
    <t xml:space="preserve">2026-07-17</t>
  </si>
  <si>
    <t xml:space="preserve">https://www.tikr.com/de/blog/is-booking-holdings-stock-a-buy-after-its-middle-east-driven-guidance-cut</t>
  </si>
  <si>
    <t xml:space="preserve">A5.16</t>
  </si>
  <si>
    <t xml:space="preserve">MarketScreener: Booking Holdings calendar (Q3 2026 report expected ~Nov 3, 2026)</t>
  </si>
  <si>
    <t xml:space="preserve">2026-10</t>
  </si>
  <si>
    <t xml:space="preserve">https://ca.marketscreener.com/quote/stock/BOOKING-HOLDINGS-INC-41613106/calendar/</t>
  </si>
  <si>
    <t xml:space="preserve">A5.17</t>
  </si>
  <si>
    <t xml:space="preserve">StockAnalysis: BKNG analyst forecast (39 analysts; FY26 EPS $10.45, FY27 ~$12.37; updated Sep 24, 2026)</t>
  </si>
  <si>
    <t xml:space="preserve">A5.18</t>
  </si>
  <si>
    <t xml:space="preserve">Booking Holdings Form 10-Q for Q2 2026 (cover: 751.38M shares outstanding at Jul 27, 2026; 44M shares repurchased in H1)</t>
  </si>
  <si>
    <t xml:space="preserve">https://www.sec.gov/cgi-bin/browse-edgar?action=getcompany&amp;CIK=0001075531&amp;type=10-Q</t>
  </si>
  <si>
    <t xml:space="preserve">A5.19</t>
  </si>
  <si>
    <t xml:space="preserve">Twelve Data: BKNG monthly closes 2018-01 to 2020-01 (split-adjusted; Apr 2018 $87.12, Dec 2018 $68.90, Dec 2019 $82.15)</t>
  </si>
  <si>
    <t xml:space="preserve">https://api.twelvedata.com/time_series?symbol=BKNG&amp;interval=1month</t>
  </si>
  <si>
    <t xml:space="preserve">A5.20</t>
  </si>
  <si>
    <t xml:space="preserve">Twelve Data: IGV (software ETF) monthly closes Dec 2025 to Oct 2026 (Dec $105.69, Mar $80.05, Oct 1 $108.43)</t>
  </si>
  <si>
    <t xml:space="preserve">https://api.twelvedata.com/time_series?symbol=IGV&amp;interval=1month</t>
  </si>
  <si>
    <t xml:space="preserve">A5.21</t>
  </si>
  <si>
    <t xml:space="preserve">Columbia Business School student pitch: Booking Holdings (May 2019; ~19x 2019 forward EPS amid Google Hotel Ads threat)</t>
  </si>
  <si>
    <t xml:space="preserve">2019-05</t>
  </si>
  <si>
    <t xml:space="preserve">https://business.columbia.edu/sites/default/files-efs/imce-uploads/BKNG.pdf</t>
  </si>
  <si>
    <t xml:space="preserve">A5.22</t>
  </si>
  <si>
    <t xml:space="preserve">Seeking Alpha: AI fears deepen selloff in software stocks despite bargain valuations (fetch blocked; headline/search snippet only)</t>
  </si>
  <si>
    <t xml:space="preserve">https://seekingalpha.com/news/4540090-ai-fears-deepen-selloff-in-software-stocks-despite-bargain-valuations</t>
  </si>
  <si>
    <t xml:space="preserve">A5.23</t>
  </si>
  <si>
    <t xml:space="preserve">Round-1 supervisor fact-checks (Q3 date notice pattern, share count, net debt seasonality, price path via Twelve Data)</t>
  </si>
  <si>
    <t xml:space="preserve">S.1</t>
  </si>
  <si>
    <t xml:space="preserve">supervisor</t>
  </si>
  <si>
    <t xml:space="preserve">Booking Holdings Q2 2026 earnings release (8-K Ex.99.1; Q3/FY guide table)</t>
  </si>
  <si>
    <t xml:space="preserve">https://www.sec.gov/Archives/edgar/data/1075531/000107553126000036/q2-26bkngearningsrelease.htm</t>
  </si>
  <si>
    <t xml:space="preserve">S.2</t>
  </si>
  <si>
    <t xml:space="preserve">Booking Holdings Form 10-Q, Q2 2026 (legal note: FTC, Dutch foundations, German suits, CNMC $472M; UTB $313M; Innovation Box; SBC; equity statement)</t>
  </si>
  <si>
    <t xml:space="preserve">S.3</t>
  </si>
  <si>
    <t xml:space="preserve">Expedia Group Q2 2026 earnings release (Q3 gross bookings +5-7%, FY +8-9%)</t>
  </si>
  <si>
    <t xml:space="preserve">https://www.sec.gov/Archives/edgar/data/1324424/000132442426000051/earningsrelease-q22026.htm</t>
  </si>
  <si>
    <t xml:space="preserve">S.4</t>
  </si>
  <si>
    <t xml:space="preserve">Airbnb Q2 2026 shareholder letter (Q3 GBV mid-teens, nights low double digits)</t>
  </si>
  <si>
    <t xml:space="preserve">https://www.sec.gov/Archives/edgar/data/1559720/000119312526337928/d70413dex991.htm</t>
  </si>
  <si>
    <t xml:space="preserve">S.5</t>
  </si>
  <si>
    <t xml:space="preserve">SEC EDGAR submissions index for BKNG (last 8-K Aug 4)</t>
  </si>
  <si>
    <t xml:space="preserve">S.6</t>
  </si>
  <si>
    <t xml:space="preserve">Booking Holdings press-release RSS feed (latest Sep 29; Q2 webcast notice Jul 7)</t>
  </si>
  <si>
    <t xml:space="preserve">S.7</t>
  </si>
  <si>
    <t xml:space="preserve">TechCrunch: Meta's AI agent Muse is now the No. 2 app in the US</t>
  </si>
  <si>
    <t xml:space="preserve">S.8</t>
  </si>
  <si>
    <t xml:space="preserve">Meta Muse: 2.5M downloads in 13 days (Sensor Tower, via borncity)</t>
  </si>
  <si>
    <t xml:space="preserve">https://borncity.com/news/meta-muse-ki-agent-erreicht-25-millionen-downloads-in-13-tagen/</t>
  </si>
  <si>
    <t xml:space="preserve">S.9</t>
  </si>
  <si>
    <t xml:space="preserve">Hospitality Net: Google ships agentic booking (10 launch partners)</t>
  </si>
  <si>
    <t xml:space="preserve">2026-08-28</t>
  </si>
  <si>
    <t xml:space="preserve">https://www.hospitalitynet.org/news/4134140/</t>
  </si>
  <si>
    <t xml:space="preserve">S.10</t>
  </si>
  <si>
    <t xml:space="preserve">StockAnalysis BKNG forecast (FY26 $10.45; 36 analysts; avg PT $238.78)</t>
  </si>
  <si>
    <t xml:space="preserve">S.11</t>
  </si>
  <si>
    <t xml:space="preserve">Twelve Data: IGV monthly Nov 2025-Oct 2026; BKNG monthly 2018-2020; BKNG daily to Oct 2</t>
  </si>
  <si>
    <t xml:space="preserve">https://api.twelvedata.com/time_series</t>
  </si>
  <si>
    <t xml:space="preserve">S.12</t>
  </si>
  <si>
    <t xml:space="preserve">Nasdaq.com analyst earnings forecast, EXPE (Zacks consensus EPS: FY26 $17.35 n=8, FY27 $20.47 n=10)</t>
  </si>
  <si>
    <t xml:space="preserve">2026-10-26</t>
  </si>
  <si>
    <t xml:space="preserve">https://api.nasdaq.com/api/analyst/EXPE/earnings-forecast</t>
  </si>
  <si>
    <t xml:space="preserve">S.13</t>
  </si>
  <si>
    <t xml:space="preserve">Nasdaq.com analyst earnings forecast, ABNB (Zacks consensus EPS: FY26 $5.29 n=14, FY27 $6.30 n=15)</t>
  </si>
  <si>
    <t xml:space="preserve">https://api.nasdaq.com/api/analyst/ABNB/earnings-forecast</t>
  </si>
  <si>
    <t xml:space="preserve">S.14</t>
  </si>
  <si>
    <t xml:space="preserve">Nasdaq.com analyst earnings forecast, UBER (Zacks consensus EPS: FY26 $3.20 n=11, FY27 $4.56 n=12)</t>
  </si>
  <si>
    <t xml:space="preserve">https://api.nasdaq.com/api/analyst/UBER/earnings-forecast</t>
  </si>
  <si>
    <t xml:space="preserve">S.15</t>
  </si>
  <si>
    <t xml:space="preserve">Nasdaq.com analyst earnings forecast, BKNG (Zacks consensus adj EPS: FY26 $10.48 n=16, FY27 $12.36 n=16)</t>
  </si>
  <si>
    <t xml:space="preserve">https://api.nasdaq.com/api/analyst/BKNG/earnings-forecast</t>
  </si>
  <si>
    <t xml:space="preserve">S.16</t>
  </si>
  <si>
    <t xml:space="preserve">MarketScreener Amadeus IT Group finances: EPS (EUR) 2025 3.01, 2026e 3.257, 2027e 3.683; 22 analysts; last 56.60 EUR (BME close 2026-10-23)</t>
  </si>
  <si>
    <t xml:space="preserve">https://www.marketscreener.com/quote/stock/AMADEUS-IT-GROUP-S-A-4027320/finances/</t>
  </si>
  <si>
    <t xml:space="preserve">S.17</t>
  </si>
  <si>
    <t xml:space="preserve">Amadeus FY2025 results press release (2026-02-27): reported diluted EPS EUR 3.01, adjusted diluted EPS EUR 3.20</t>
  </si>
  <si>
    <t xml:space="preserve">2026-02-27</t>
  </si>
  <si>
    <t xml:space="preserve">https://amadeus.com/en/newsroom/press-releases/amadeus-fy-2025-results-revenue-growth</t>
  </si>
  <si>
    <t xml:space="preserve">S.18</t>
  </si>
  <si>
    <t xml:space="preserve">Expedia Group Q4/FY2025 earnings release (8-K Ex.99.1, 2026-02-12): FY25 adjusted EPS $15.86 adds back stock-based compensation $398M ($3.09/sh pre-tax); adjusted shares 128,533k</t>
  </si>
  <si>
    <t xml:space="preserve">2026-02-12</t>
  </si>
  <si>
    <t xml:space="preserve">https://www.sec.gov/Archives/edgar/data/1324424/000132442426000005/earningsrelease-q42025.htm</t>
  </si>
  <si>
    <t xml:space="preserve">S.19</t>
  </si>
  <si>
    <t xml:space="preserve">Booking Holdings Q4/FY2025 earnings release (8-K Ex.99.1): adjusted net income reconciliation has no stock-based compensation add-back (SBC $613M stays in personnel expense)</t>
  </si>
  <si>
    <t xml:space="preserve">S.20</t>
  </si>
  <si>
    <t xml:space="preserve">Yahoo Finance chart feed, last close 2026-10-23 (EXPE 289.01, ABNB 172.01, UBER 66.70, BKNG 155.83); peers.py table runs/2026-10-23/BKNG/peers.md</t>
  </si>
  <si>
    <t xml:space="preserve">https://query1.finance.yahoo.com/v8/finance/chart/</t>
  </si>
  <si>
    <t xml:space="preserve">S.21</t>
  </si>
  <si>
    <t xml:space="preserve">Nasdaq.com earnings surprise, EXPE (Zacks reported EPS by quarter)</t>
  </si>
  <si>
    <t xml:space="preserve">https://api.nasdaq.com/api/company/EXPE/earnings-surprise</t>
  </si>
  <si>
    <t xml:space="preserve">S.22</t>
  </si>
  <si>
    <t xml:space="preserve">Nasdaq.com earnings surprise, BKNG (Zacks reported EPS by quarter)</t>
  </si>
  <si>
    <t xml:space="preserve">https://api.nasdaq.com/api/company/BKNG/earnings-surprise</t>
  </si>
  <si>
    <t xml:space="preserve">S.23</t>
  </si>
  <si>
    <t xml:space="preserve">Nasdaq.com earnings surprise, ABNB (Zacks reported EPS by quarter)</t>
  </si>
  <si>
    <t xml:space="preserve">https://api.nasdaq.com/api/company/ABNB/earnings-surprise</t>
  </si>
  <si>
    <t xml:space="preserve">S.24</t>
  </si>
  <si>
    <t xml:space="preserve">Nasdaq.com earnings surprise, UBER (Zacks reported EPS by quarter)</t>
  </si>
  <si>
    <t xml:space="preserve">https://api.nasdaq.com/api/company/UBER/earnings-surprise</t>
  </si>
  <si>
    <t xml:space="preserve">S.25</t>
  </si>
  <si>
    <t xml:space="preserve">SEC XBRL companyfacts, Airbnb (CIK 1559720): Q2 2026 10-Q (filed 2026-08-06) net income $816M, diluted weighted shares 597.0M; FY2025 10-K (accession 0001559720-26-000004) net income $2,511M, goodwill / intangible / long-lived impairment $0, equity-security impairment $30M, other non-operating expense $112M</t>
  </si>
  <si>
    <t xml:space="preserve">https://data.sec.gov/api/xbrl/companyfacts/CIK0001559720.json</t>
  </si>
</sst>
</file>

<file path=xl/styles.xml><?xml version="1.0" encoding="utf-8"?>
<styleSheet xmlns="http://schemas.openxmlformats.org/spreadsheetml/2006/main">
  <numFmts count="6">
    <numFmt numFmtId="164" formatCode="General"/>
    <numFmt numFmtId="165" formatCode="\$#,##0.00;&quot;($&quot;#,##0.00\);\-"/>
    <numFmt numFmtId="166" formatCode="0.0%;\(0.0%\);\-"/>
    <numFmt numFmtId="167" formatCode="0"/>
    <numFmt numFmtId="168" formatCode="0.0000"/>
    <numFmt numFmtId="169" formatCode="0.0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0"/>
      <color rgb="FF6B6B6B"/>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
      <u val="single"/>
      <sz val="10"/>
      <color rgb="FF0000FF"/>
      <name val="Arial"/>
      <family val="0"/>
      <charset val="1"/>
    </font>
    <font>
      <b val="true"/>
      <sz val="10"/>
      <color rgb="FFFFFFFF"/>
      <name val="Arial"/>
      <family val="0"/>
      <charset val="1"/>
    </font>
    <font>
      <b val="true"/>
      <sz val="12"/>
      <color rgb="FF000000"/>
      <name val="Arial"/>
      <family val="0"/>
      <charset val="1"/>
    </font>
  </fonts>
  <fills count="6">
    <fill>
      <patternFill patternType="none"/>
    </fill>
    <fill>
      <patternFill patternType="gray125"/>
    </fill>
    <fill>
      <patternFill patternType="solid">
        <fgColor rgb="FFE5E7EB"/>
        <bgColor rgb="FFEAF3EA"/>
      </patternFill>
    </fill>
    <fill>
      <patternFill patternType="solid">
        <fgColor rgb="FFFFFF00"/>
        <bgColor rgb="FFFFFF00"/>
      </patternFill>
    </fill>
    <fill>
      <patternFill patternType="solid">
        <fgColor rgb="FFEAF3EA"/>
        <bgColor rgb="FFE5E7EB"/>
      </patternFill>
    </fill>
    <fill>
      <patternFill patternType="solid">
        <fgColor rgb="FF1F2937"/>
        <bgColor rgb="FF333300"/>
      </patternFill>
    </fill>
  </fills>
  <borders count="2">
    <border diagonalUp="false" diagonalDown="false">
      <left/>
      <right/>
      <top/>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3" borderId="0" xfId="0" applyFont="true" applyBorder="false" applyAlignment="true" applyProtection="false">
      <alignment horizontal="general" vertical="top" textRotation="0" wrapText="false" indent="0" shrinkToFit="false"/>
      <protection locked="true" hidden="false"/>
    </xf>
    <xf numFmtId="165" fontId="8" fillId="3"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8"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5" fontId="10" fillId="3"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5" fontId="7" fillId="4" borderId="0" xfId="0" applyFont="true" applyBorder="false" applyAlignment="true" applyProtection="false">
      <alignment horizontal="general" vertical="top" textRotation="0" wrapText="false" indent="0" shrinkToFit="false"/>
      <protection locked="true" hidden="false"/>
    </xf>
    <xf numFmtId="165" fontId="6" fillId="4"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9" fontId="8"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9" fontId="7" fillId="4"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4"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AF3EA"/>
      <rgbColor rgb="FFE5E7EB"/>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hyperlink" Target="https://www.sec.gov/Archives/edgar/data/0001075531/000107553126000036/q2-26bkngearningsrelease.htm" TargetMode="External"/><Relationship Id="rId2" Type="http://schemas.openxmlformats.org/officeDocument/2006/relationships/hyperlink" Target="https://www.sec.gov/Archives/edgar/data/0001075531/000107553126000037/bkng-20260630.htm" TargetMode="External"/><Relationship Id="rId3" Type="http://schemas.openxmlformats.org/officeDocument/2006/relationships/hyperlink" Target="https://www.sec.gov/Archives/edgar/data/1075531/000107553126000008/q4-25bkngearningsrelease.htm" TargetMode="External"/><Relationship Id="rId4" Type="http://schemas.openxmlformats.org/officeDocument/2006/relationships/hyperlink" Target="https://data.sec.gov/submissions/CIK0001075531.json" TargetMode="External"/><Relationship Id="rId5" Type="http://schemas.openxmlformats.org/officeDocument/2006/relationships/hyperlink" Target="https://www.sec.gov/Archives/edgar/data/1075531/000187574126000008/form4-09162026_040901.xml" TargetMode="External"/><Relationship Id="rId6" Type="http://schemas.openxmlformats.org/officeDocument/2006/relationships/hyperlink" Target="https://www.sec.gov/Archives/edgar/data/1075531/000107553126000014/bkng-20260402.htm" TargetMode="External"/><Relationship Id="rId7" Type="http://schemas.openxmlformats.org/officeDocument/2006/relationships/hyperlink" Target="https://transcripts.platformaeronaut.com/summaries/BKNG-2Q26-AI-Summary" TargetMode="External"/><Relationship Id="rId8" Type="http://schemas.openxmlformats.org/officeDocument/2006/relationships/hyperlink" Target="https://www.stocktaper.com/earningsCallSummary/BKNG/2026/Q2" TargetMode="External"/><Relationship Id="rId9" Type="http://schemas.openxmlformats.org/officeDocument/2006/relationships/hyperlink" Target="https://finviz.com/news/385299/booking-holdings-inc-to-present-at-the-citi-2026-global-tmt-conference" TargetMode="External"/><Relationship Id="rId10" Type="http://schemas.openxmlformats.org/officeDocument/2006/relationships/hyperlink" Target="https://www.etoro.com/news-and-analysis/the-daily-breakdown/deep-dive-a-beatdown-for-booking-holdings/" TargetMode="External"/><Relationship Id="rId11" Type="http://schemas.openxmlformats.org/officeDocument/2006/relationships/hyperlink" Target="https://www.barchart.com/story/news/1295240/here-s-what-to-expect-from-booking-holdings-next-earnings-report" TargetMode="External"/><Relationship Id="rId12" Type="http://schemas.openxmlformats.org/officeDocument/2006/relationships/hyperlink" Target="https://www.fool.com/investing/2026/09/23/why-booking-holdings-stock-was-sliding-today/" TargetMode="External"/><Relationship Id="rId13" Type="http://schemas.openxmlformats.org/officeDocument/2006/relationships/hyperlink" Target="https://tickeron.com/blogs/booking-holdings-bkng-drops-18-5-over-30-days-what-s-behind-the-move-17432/" TargetMode="External"/><Relationship Id="rId14" Type="http://schemas.openxmlformats.org/officeDocument/2006/relationships/hyperlink" Target="https://qualitystocks.substack.com/p/stock-of-the-week-booking-holdings" TargetMode="External"/><Relationship Id="rId15" Type="http://schemas.openxmlformats.org/officeDocument/2006/relationships/hyperlink" Target="https://www.bookingholdings.com/press-releases/booking-holdings-to-webcast-third-quarter-2025-financial-results-on-october-28/" TargetMode="External"/><Relationship Id="rId16" Type="http://schemas.openxmlformats.org/officeDocument/2006/relationships/hyperlink" Target="https://finance.yahoo.com/markets/stocks/articles/4-000-stock-become-affordable-141559947.html" TargetMode="External"/><Relationship Id="rId17" Type="http://schemas.openxmlformats.org/officeDocument/2006/relationships/hyperlink" Target="https://stockanalysis.com/stocks/bkng/forecast/" TargetMode="External"/><Relationship Id="rId18" Type="http://schemas.openxmlformats.org/officeDocument/2006/relationships/hyperlink" Target="https://www.bookingholdings.com/press-releases/feed/" TargetMode="External"/><Relationship Id="rId19" Type="http://schemas.openxmlformats.org/officeDocument/2006/relationships/hyperlink" Target="https://www.bookingholdings.com/press-releases/" TargetMode="External"/><Relationship Id="rId20" Type="http://schemas.openxmlformats.org/officeDocument/2006/relationships/hyperlink" Target="https://www.sec.gov/Archives/edgar/data/0001075531/000107553126000036/q2-26bkngearningsrelease.htm" TargetMode="External"/><Relationship Id="rId21" Type="http://schemas.openxmlformats.org/officeDocument/2006/relationships/hyperlink" Target="https://www.sec.gov/Archives/edgar/data/1075531/000107553126000008/q4-25bkngearningsrelease.htm" TargetMode="External"/><Relationship Id="rId22" Type="http://schemas.openxmlformats.org/officeDocument/2006/relationships/hyperlink" Target="https://www.sec.gov/Archives/edgar/data/0001324424/000132442426000051/earningsrelease-q22026.htm" TargetMode="External"/><Relationship Id="rId23" Type="http://schemas.openxmlformats.org/officeDocument/2006/relationships/hyperlink" Target="https://www.sec.gov/Archives/edgar/data/0001559720/000119312526337928/d70413dex991.htm" TargetMode="External"/><Relationship Id="rId24" Type="http://schemas.openxmlformats.org/officeDocument/2006/relationships/hyperlink" Target="https://www.travelpulse.com/news/hotels-and-resorts/marriott-international-announces-q2-2026-financial-results" TargetMode="External"/><Relationship Id="rId25" Type="http://schemas.openxmlformats.org/officeDocument/2006/relationships/hyperlink" Target="https://lodgingmagazine.com/hilton-reports-q2-2026-results/" TargetMode="External"/><Relationship Id="rId26" Type="http://schemas.openxmlformats.org/officeDocument/2006/relationships/hyperlink" Target="https://www.sec.gov/Archives/edgar/data/0001269238/000119312526392473/d167816dex991.htm" TargetMode="External"/><Relationship Id="rId27" Type="http://schemas.openxmlformats.org/officeDocument/2006/relationships/hyperlink" Target="https://247wallst.com/investing/2026/09/23/travel-booking-stocks-tumble-as-muse-threatens-to-bypass-them-expedia-falls-7-airbnb-drops-6-booking-holdings-sinks-5/" TargetMode="External"/><Relationship Id="rId28" Type="http://schemas.openxmlformats.org/officeDocument/2006/relationships/hyperlink" Target="https://www.altexsoft.com/travel-industry-news/investors-are-nervous-googles-next-ai-agent-will-rival-otas" TargetMode="External"/><Relationship Id="rId29" Type="http://schemas.openxmlformats.org/officeDocument/2006/relationships/hyperlink" Target="https://tickeron.com/blogs/booking-holdings-bkng-drops-18-5-over-30-days-what-s-behind-the-move-17432/" TargetMode="External"/><Relationship Id="rId30" Type="http://schemas.openxmlformats.org/officeDocument/2006/relationships/hyperlink" Target="https://www.hotel-online.com/news/over-10000-european-hotels-now-part-of-landmark-collective-action-against-bookingcom" TargetMode="External"/><Relationship Id="rId31" Type="http://schemas.openxmlformats.org/officeDocument/2006/relationships/hyperlink" Target="https://www.webull.com.au/news-detail/15259709058147328" TargetMode="External"/><Relationship Id="rId32" Type="http://schemas.openxmlformats.org/officeDocument/2006/relationships/hyperlink" Target="https://skift.com/2026/06/10/skift-global-forum-2026-the-decisions-on-the-table/" TargetMode="External"/><Relationship Id="rId33" Type="http://schemas.openxmlformats.org/officeDocument/2006/relationships/hyperlink" Target="https://www.tikr.com/blog/booking-holdings-stock-is-down-27-in-2026-is-bkng-stock-now-undervalued" TargetMode="External"/><Relationship Id="rId34" Type="http://schemas.openxmlformats.org/officeDocument/2006/relationships/hyperlink" Target="https://skift.com/?p=772452" TargetMode="External"/><Relationship Id="rId35" Type="http://schemas.openxmlformats.org/officeDocument/2006/relationships/hyperlink" Target="https://www.benzinga.com/markets/earnings/26/04/52125208/booking-stock-sinks-to-52-week-low-as-middle-east-conflict-dents-outlook" TargetMode="External"/><Relationship Id="rId36" Type="http://schemas.openxmlformats.org/officeDocument/2006/relationships/hyperlink" Target="https://www.sec.gov/Archives/edgar/data/1075531/000107553126000037/bkng-20260630.htm" TargetMode="External"/><Relationship Id="rId37" Type="http://schemas.openxmlformats.org/officeDocument/2006/relationships/hyperlink" Target="https://data.sec.gov/submissions/CIK0001075531.json" TargetMode="External"/><Relationship Id="rId38" Type="http://schemas.openxmlformats.org/officeDocument/2006/relationships/hyperlink" Target="https://stockanalysis.com/stocks/bkng/forecast/" TargetMode="External"/><Relationship Id="rId39" Type="http://schemas.openxmlformats.org/officeDocument/2006/relationships/hyperlink" Target="https://www.marketbeat.com/articles/booking-holdings-split-the-catalyst-wall-street-didnt-see-coming/" TargetMode="External"/><Relationship Id="rId40" Type="http://schemas.openxmlformats.org/officeDocument/2006/relationships/hyperlink" Target="https://www.sec.gov/Archives/edgar/data/0001075531/000107553126000036/q2-26bkngearningsrelease.htm" TargetMode="External"/><Relationship Id="rId41" Type="http://schemas.openxmlformats.org/officeDocument/2006/relationships/hyperlink" Target="https://s201.q4cdn.com/865305287/files/doc_financials/2025/q4/Q4-25-BKNG-Earnings-Release.pdf" TargetMode="External"/><Relationship Id="rId42" Type="http://schemas.openxmlformats.org/officeDocument/2006/relationships/hyperlink" Target="https://www.tikr.com/blog/booking-holdings-raised-its-cost-savings-target-after-q2-earnings" TargetMode="External"/><Relationship Id="rId43" Type="http://schemas.openxmlformats.org/officeDocument/2006/relationships/hyperlink" Target="https://www.tikr.com/blog/booking-holdings-bkng-shares-drop-expedia-meta-muse-ai-partnership" TargetMode="External"/><Relationship Id="rId44" Type="http://schemas.openxmlformats.org/officeDocument/2006/relationships/hyperlink" Target="https://www.tikr.com/blog/booking-holdings-stock-is-down-27-in-2026-is-bkng-stock-now-undervalued" TargetMode="External"/><Relationship Id="rId45" Type="http://schemas.openxmlformats.org/officeDocument/2006/relationships/hyperlink" Target="https://www.etoro.com/news-and-analysis/the-daily-breakdown/deep-dive-a-beatdown-for-booking-holdings/" TargetMode="External"/><Relationship Id="rId46" Type="http://schemas.openxmlformats.org/officeDocument/2006/relationships/hyperlink" Target="https://finviz.com/news/316361/booking-holdings-stock-hits-52-week-low-heres-why" TargetMode="External"/><Relationship Id="rId47" Type="http://schemas.openxmlformats.org/officeDocument/2006/relationships/hyperlink" Target="https://www.hotel-online.com/news/over-10000-european-hotels-now-part-of-landmark-collective-action-against-bookingcom" TargetMode="External"/><Relationship Id="rId48" Type="http://schemas.openxmlformats.org/officeDocument/2006/relationships/hyperlink" Target="https://www.boerse-stuttgart.de/en/products/bonds/stuttgart/a4eugu-booking-holdings-inc-eo-notes-2026-26-30/" TargetMode="External"/><Relationship Id="rId49" Type="http://schemas.openxmlformats.org/officeDocument/2006/relationships/hyperlink" Target="https://www.insidertrades.com/alerts/nasdaq-bkng-insider-buying-and-selling-2026-03-18" TargetMode="External"/><Relationship Id="rId50" Type="http://schemas.openxmlformats.org/officeDocument/2006/relationships/hyperlink" Target="https://skift.com/2026/02/20/wyndham-and-marriotts-agentic-plans-put-pressure-on-booking-are-the-concerns-justified/" TargetMode="External"/><Relationship Id="rId51" Type="http://schemas.openxmlformats.org/officeDocument/2006/relationships/hyperlink" Target="https://www.altexsoft.com/travel-industry-news/investors-are-nervous-googles-next-ai-agent-will-rival-otas" TargetMode="External"/><Relationship Id="rId52" Type="http://schemas.openxmlformats.org/officeDocument/2006/relationships/hyperlink" Target="https://www.phocuswire.com/spanish-regulators-fine-booking-com-413M" TargetMode="External"/><Relationship Id="rId53" Type="http://schemas.openxmlformats.org/officeDocument/2006/relationships/hyperlink" Target="https://skift.com/2026/03/05/openai-chatgpt-checkout-walkback/" TargetMode="External"/><Relationship Id="rId54" Type="http://schemas.openxmlformats.org/officeDocument/2006/relationships/hyperlink" Target="https://www.tikr.com/blog/booking-stock-is-down-7-6-this-week-heres-why-analysts-still-see-39-upside" TargetMode="External"/><Relationship Id="rId55" Type="http://schemas.openxmlformats.org/officeDocument/2006/relationships/hyperlink" Target="https://www.sec.gov/Archives/edgar/data/1075531/000107553126000037/bkng-20260630.htm" TargetMode="External"/><Relationship Id="rId56" Type="http://schemas.openxmlformats.org/officeDocument/2006/relationships/hyperlink" Target="https://stockanalysis.com/stocks/bkng/forecast/" TargetMode="External"/><Relationship Id="rId57" Type="http://schemas.openxmlformats.org/officeDocument/2006/relationships/hyperlink" Target="https://www.tipranks.com/news/the-fly/booking-holdings-downgraded-to-hold-from-buy-at-erste-group" TargetMode="External"/><Relationship Id="rId58" Type="http://schemas.openxmlformats.org/officeDocument/2006/relationships/hyperlink" Target="https://www.sec.gov/Archives/edgar/data/0001075531/000107553126000036/q2-26bkngearningsrelease.htm" TargetMode="External"/><Relationship Id="rId59" Type="http://schemas.openxmlformats.org/officeDocument/2006/relationships/hyperlink" Target="https://quartr.com/events/booking-holdings-inc-bkng-q2-2026_o0mILYC2" TargetMode="External"/><Relationship Id="rId60" Type="http://schemas.openxmlformats.org/officeDocument/2006/relationships/hyperlink" Target="https://finance.yahoo.com/markets/stocks/articles/4-000-stock-become-affordable-141559947.html" TargetMode="External"/><Relationship Id="rId61" Type="http://schemas.openxmlformats.org/officeDocument/2006/relationships/hyperlink" Target="https://www.tikr.com/blog/booking-holdings-stock-is-flat-for-a-year-while-eps-growth-hit-22-whats-next" TargetMode="External"/><Relationship Id="rId62" Type="http://schemas.openxmlformats.org/officeDocument/2006/relationships/hyperlink" Target="https://www.tikr.com/blog/booking-holdings-ceo-says-the-ai-fear-is-wrong-heres-where-the-stock-could-go-from-16x-earnings" TargetMode="External"/><Relationship Id="rId63" Type="http://schemas.openxmlformats.org/officeDocument/2006/relationships/hyperlink" Target="https://www.tikr.com/blog/booking-holdings-bkng-shares-drop-expedia-meta-muse-ai-partnership" TargetMode="External"/><Relationship Id="rId64" Type="http://schemas.openxmlformats.org/officeDocument/2006/relationships/hyperlink" Target="https://simplywall.st/community/narratives/us/consumer-services/nasdaq-bkng/booking-holdings/d4792ujb-ai-progress-and-cost-efficiency-will-drive-outperformance-amid-sector-tailwinds/updates/24-analysts-have-adjusted-the-booking-holdings-fair-value-estim" TargetMode="External"/><Relationship Id="rId65" Type="http://schemas.openxmlformats.org/officeDocument/2006/relationships/hyperlink" Target="https://247wallst.com/investing/2026/09/23/travel-booking-stocks-tumble-as-muse-threatens-to-bypass-them-expedia-falls-7-airbnb-drops-6-booking-holdings-sinks-5/" TargetMode="External"/><Relationship Id="rId66" Type="http://schemas.openxmlformats.org/officeDocument/2006/relationships/hyperlink" Target="https://www.siteminder.com/news/changing-traveller-report-2026/" TargetMode="External"/><Relationship Id="rId67" Type="http://schemas.openxmlformats.org/officeDocument/2006/relationships/hyperlink" Target="https://www.travolution.com/news/otas-overtake-search-engines-for-sourcing-hotels/" TargetMode="External"/><Relationship Id="rId68" Type="http://schemas.openxmlformats.org/officeDocument/2006/relationships/hyperlink" Target="https://www.adthena.com/market-share/us-hospitality-customer" TargetMode="External"/><Relationship Id="rId69" Type="http://schemas.openxmlformats.org/officeDocument/2006/relationships/hyperlink" Target="https://www.travelpulse.com/news/hotels-and-resorts/expedia-to-offer-hotel-bookings-through-meta-s-muse-ai-agent" TargetMode="External"/><Relationship Id="rId70" Type="http://schemas.openxmlformats.org/officeDocument/2006/relationships/hyperlink" Target="https://cryptobriefing.com/meta-muse-expedia-ai-travel-bookings/" TargetMode="External"/><Relationship Id="rId71" Type="http://schemas.openxmlformats.org/officeDocument/2006/relationships/hyperlink" Target="https://www.travolution.com/news/technology/meta-launches-muse-a-general-purpose-personal-ai-agent-set-to-impact-travel/" TargetMode="External"/><Relationship Id="rId72" Type="http://schemas.openxmlformats.org/officeDocument/2006/relationships/hyperlink" Target="https://www.semrush.com/trending-websites/us/hospitality" TargetMode="External"/><Relationship Id="rId73" Type="http://schemas.openxmlformats.org/officeDocument/2006/relationships/hyperlink" Target="https://ir.bookingholdings.com/news/news-details/2025/Booking-Holdings-to-Make-Third-Quarter-2025-Earnings-Press-Release-Available-on-Companys-Investor-Relations-Website-on-October-28/default.aspx" TargetMode="External"/><Relationship Id="rId74" Type="http://schemas.openxmlformats.org/officeDocument/2006/relationships/hyperlink" Target="https://www.sec.gov/Archives/edgar/data/1075531/000107553126000008/q4-25bkngearningsrelease.htm" TargetMode="External"/><Relationship Id="rId75" Type="http://schemas.openxmlformats.org/officeDocument/2006/relationships/hyperlink" Target="https://www.sec.gov/Archives/edgar/data/1075531/000107553126000037/bkng-20260630.htm" TargetMode="External"/><Relationship Id="rId76" Type="http://schemas.openxmlformats.org/officeDocument/2006/relationships/hyperlink" Target="https://stockanalysis.com/stocks/bkng/forecast/" TargetMode="External"/><Relationship Id="rId77" Type="http://schemas.openxmlformats.org/officeDocument/2006/relationships/hyperlink" Target="https://www.semrush.com/website/booking.com/overview" TargetMode="External"/><Relationship Id="rId78" Type="http://schemas.openxmlformats.org/officeDocument/2006/relationships/hyperlink" Target="https://techcrunch.com/2026/09/10/metas-ai-agent-muse-is-now-the-no-2-app-in-the-us/" TargetMode="External"/><Relationship Id="rId79" Type="http://schemas.openxmlformats.org/officeDocument/2006/relationships/hyperlink" Target="https://www.hospitalitynet.org/news/4134140/google-ships-agentic-booking-and-puts-a-points-price-beside-your-rate-hvs-holds-45-for-2026-98-of-ready-buyers-abandon-anyway" TargetMode="External"/><Relationship Id="rId80" Type="http://schemas.openxmlformats.org/officeDocument/2006/relationships/hyperlink" Target="https://skift.com/2025/09/11/booking-holdings-bets-on-agentic-ai-to-challenge-big-tech/" TargetMode="External"/><Relationship Id="rId81" Type="http://schemas.openxmlformats.org/officeDocument/2006/relationships/hyperlink" Target="https://data.sec.gov/submissions/CIK0001075531.json" TargetMode="External"/><Relationship Id="rId82" Type="http://schemas.openxmlformats.org/officeDocument/2006/relationships/hyperlink" Target="https://www.sec.gov/Archives/edgar/data/0001075531/000107553126000036/q2-26bkngearningsrelease.htm" TargetMode="External"/><Relationship Id="rId83" Type="http://schemas.openxmlformats.org/officeDocument/2006/relationships/hyperlink" Target="https://www.sec.gov/Archives/edgar/data/1075531/000107553126000008/q4-25bkngearningsrelease.htm" TargetMode="External"/><Relationship Id="rId84" Type="http://schemas.openxmlformats.org/officeDocument/2006/relationships/hyperlink" Target="https://finance.yahoo.com/markets/stocks/articles/4-000-stock-become-affordable-141559947.html" TargetMode="External"/><Relationship Id="rId85" Type="http://schemas.openxmlformats.org/officeDocument/2006/relationships/hyperlink" Target="https://www.tikr.com/blog/booking-holdings-ceo-says-the-ai-fear-is-wrong-heres-where-the-stock-could-go-from-16x-earnings" TargetMode="External"/><Relationship Id="rId86" Type="http://schemas.openxmlformats.org/officeDocument/2006/relationships/hyperlink" Target="https://www.etoro.com/news-and-analysis/the-daily-breakdown/deep-dive-a-beatdown-for-booking-holdings/" TargetMode="External"/><Relationship Id="rId87" Type="http://schemas.openxmlformats.org/officeDocument/2006/relationships/hyperlink" Target="https://chartrow.com/quote/bkng/drawdown" TargetMode="External"/><Relationship Id="rId88" Type="http://schemas.openxmlformats.org/officeDocument/2006/relationships/hyperlink" Target="https://www.thestockobserver.com/?p=8913070" TargetMode="External"/><Relationship Id="rId89" Type="http://schemas.openxmlformats.org/officeDocument/2006/relationships/hyperlink" Target="https://www.oddpool.com/us-recession-2026" TargetMode="External"/><Relationship Id="rId90" Type="http://schemas.openxmlformats.org/officeDocument/2006/relationships/hyperlink" Target="https://cryptobriefing.com/prediction-markets-us-recession-odds-2026/" TargetMode="External"/><Relationship Id="rId91" Type="http://schemas.openxmlformats.org/officeDocument/2006/relationships/hyperlink" Target="https://pythia.beehiiv.com/p/new-post-86bb" TargetMode="External"/><Relationship Id="rId92" Type="http://schemas.openxmlformats.org/officeDocument/2006/relationships/hyperlink" Target="https://news.bgov.com/securities-law/polymarket-traders-clash-over-345-million-iran-peace-market" TargetMode="External"/><Relationship Id="rId93" Type="http://schemas.openxmlformats.org/officeDocument/2006/relationships/hyperlink" Target="https://www.tikr.com/blog/expedia-stock-closed-down-nearly-8-the-day-after-its-meta-muse-tie-up-heres-where-the-stock-could-go" TargetMode="External"/><Relationship Id="rId94" Type="http://schemas.openxmlformats.org/officeDocument/2006/relationships/hyperlink" Target="https://www.trefis.com/stock/expe/articles2/616423/how-low-could-expedia-stock-go-if-a-real-shock-follows-this-slide/2026-09-24" TargetMode="External"/><Relationship Id="rId95" Type="http://schemas.openxmlformats.org/officeDocument/2006/relationships/hyperlink" Target="https://skift.com/?p=697905" TargetMode="External"/><Relationship Id="rId96" Type="http://schemas.openxmlformats.org/officeDocument/2006/relationships/hyperlink" Target="https://www.tikr.com/de/blog/is-booking-holdings-stock-a-buy-after-its-middle-east-driven-guidance-cut" TargetMode="External"/><Relationship Id="rId97" Type="http://schemas.openxmlformats.org/officeDocument/2006/relationships/hyperlink" Target="https://ca.marketscreener.com/quote/stock/BOOKING-HOLDINGS-INC-41613106/calendar/" TargetMode="External"/><Relationship Id="rId98" Type="http://schemas.openxmlformats.org/officeDocument/2006/relationships/hyperlink" Target="https://stockanalysis.com/stocks/bkng/forecast/" TargetMode="External"/><Relationship Id="rId99" Type="http://schemas.openxmlformats.org/officeDocument/2006/relationships/hyperlink" Target="https://www.sec.gov/cgi-bin/browse-edgar?action=getcompany&amp;CIK=0001075531&amp;type=10-Q" TargetMode="External"/><Relationship Id="rId100" Type="http://schemas.openxmlformats.org/officeDocument/2006/relationships/hyperlink" Target="https://api.twelvedata.com/time_series?symbol=BKNG&amp;interval=1month" TargetMode="External"/><Relationship Id="rId101" Type="http://schemas.openxmlformats.org/officeDocument/2006/relationships/hyperlink" Target="https://api.twelvedata.com/time_series?symbol=IGV&amp;interval=1month" TargetMode="External"/><Relationship Id="rId102" Type="http://schemas.openxmlformats.org/officeDocument/2006/relationships/hyperlink" Target="https://business.columbia.edu/sites/default/files-efs/imce-uploads/BKNG.pdf" TargetMode="External"/><Relationship Id="rId103" Type="http://schemas.openxmlformats.org/officeDocument/2006/relationships/hyperlink" Target="https://seekingalpha.com/news/4540090-ai-fears-deepen-selloff-in-software-stocks-despite-bargain-valuations" TargetMode="External"/><Relationship Id="rId104" Type="http://schemas.openxmlformats.org/officeDocument/2006/relationships/hyperlink" Target="https://www.sec.gov/Archives/edgar/data/1075531/000107553126000036/q2-26bkngearningsrelease.htm" TargetMode="External"/><Relationship Id="rId105" Type="http://schemas.openxmlformats.org/officeDocument/2006/relationships/hyperlink" Target="https://www.sec.gov/Archives/edgar/data/1075531/000107553126000037/bkng-20260630.htm" TargetMode="External"/><Relationship Id="rId106" Type="http://schemas.openxmlformats.org/officeDocument/2006/relationships/hyperlink" Target="https://www.sec.gov/Archives/edgar/data/1324424/000132442426000051/earningsrelease-q22026.htm" TargetMode="External"/><Relationship Id="rId107" Type="http://schemas.openxmlformats.org/officeDocument/2006/relationships/hyperlink" Target="https://www.sec.gov/Archives/edgar/data/1559720/000119312526337928/d70413dex991.htm" TargetMode="External"/><Relationship Id="rId108" Type="http://schemas.openxmlformats.org/officeDocument/2006/relationships/hyperlink" Target="https://data.sec.gov/submissions/CIK0001075531.json" TargetMode="External"/><Relationship Id="rId109" Type="http://schemas.openxmlformats.org/officeDocument/2006/relationships/hyperlink" Target="https://www.bookingholdings.com/press-releases/feed/" TargetMode="External"/><Relationship Id="rId110" Type="http://schemas.openxmlformats.org/officeDocument/2006/relationships/hyperlink" Target="https://techcrunch.com/2026/09/10/metas-ai-agent-muse-is-now-the-no-2-app-in-the-us/" TargetMode="External"/><Relationship Id="rId111" Type="http://schemas.openxmlformats.org/officeDocument/2006/relationships/hyperlink" Target="https://borncity.com/news/meta-muse-ki-agent-erreicht-25-millionen-downloads-in-13-tagen/" TargetMode="External"/><Relationship Id="rId112" Type="http://schemas.openxmlformats.org/officeDocument/2006/relationships/hyperlink" Target="https://www.hospitalitynet.org/news/4134140/" TargetMode="External"/><Relationship Id="rId113" Type="http://schemas.openxmlformats.org/officeDocument/2006/relationships/hyperlink" Target="https://stockanalysis.com/stocks/bkng/forecast/" TargetMode="External"/><Relationship Id="rId114" Type="http://schemas.openxmlformats.org/officeDocument/2006/relationships/hyperlink" Target="https://api.twelvedata.com/time_series" TargetMode="External"/><Relationship Id="rId115" Type="http://schemas.openxmlformats.org/officeDocument/2006/relationships/hyperlink" Target="https://api.nasdaq.com/api/analyst/EXPE/earnings-forecast" TargetMode="External"/><Relationship Id="rId116" Type="http://schemas.openxmlformats.org/officeDocument/2006/relationships/hyperlink" Target="https://api.nasdaq.com/api/analyst/ABNB/earnings-forecast" TargetMode="External"/><Relationship Id="rId117" Type="http://schemas.openxmlformats.org/officeDocument/2006/relationships/hyperlink" Target="https://api.nasdaq.com/api/analyst/UBER/earnings-forecast" TargetMode="External"/><Relationship Id="rId118" Type="http://schemas.openxmlformats.org/officeDocument/2006/relationships/hyperlink" Target="https://api.nasdaq.com/api/analyst/BKNG/earnings-forecast" TargetMode="External"/><Relationship Id="rId119" Type="http://schemas.openxmlformats.org/officeDocument/2006/relationships/hyperlink" Target="https://www.marketscreener.com/quote/stock/AMADEUS-IT-GROUP-S-A-4027320/finances/" TargetMode="External"/><Relationship Id="rId120" Type="http://schemas.openxmlformats.org/officeDocument/2006/relationships/hyperlink" Target="https://amadeus.com/en/newsroom/press-releases/amadeus-fy-2025-results-revenue-growth" TargetMode="External"/><Relationship Id="rId121" Type="http://schemas.openxmlformats.org/officeDocument/2006/relationships/hyperlink" Target="https://www.sec.gov/Archives/edgar/data/1324424/000132442426000005/earningsrelease-q42025.htm" TargetMode="External"/><Relationship Id="rId122" Type="http://schemas.openxmlformats.org/officeDocument/2006/relationships/hyperlink" Target="https://www.sec.gov/Archives/edgar/data/1075531/000107553126000008/q4-25bkngearningsrelease.htm" TargetMode="External"/><Relationship Id="rId123" Type="http://schemas.openxmlformats.org/officeDocument/2006/relationships/hyperlink" Target="https://query1.finance.yahoo.com/v8/finance/chart/" TargetMode="External"/><Relationship Id="rId124" Type="http://schemas.openxmlformats.org/officeDocument/2006/relationships/hyperlink" Target="https://api.nasdaq.com/api/company/EXPE/earnings-surprise" TargetMode="External"/><Relationship Id="rId125" Type="http://schemas.openxmlformats.org/officeDocument/2006/relationships/hyperlink" Target="https://api.nasdaq.com/api/company/BKNG/earnings-surprise" TargetMode="External"/><Relationship Id="rId126" Type="http://schemas.openxmlformats.org/officeDocument/2006/relationships/hyperlink" Target="https://api.nasdaq.com/api/company/ABNB/earnings-surprise" TargetMode="External"/><Relationship Id="rId127" Type="http://schemas.openxmlformats.org/officeDocument/2006/relationships/hyperlink" Target="https://api.nasdaq.com/api/company/UBER/earnings-surprise" TargetMode="External"/><Relationship Id="rId128" Type="http://schemas.openxmlformats.org/officeDocument/2006/relationships/hyperlink" Target="https://data.sec.gov/api/xbrl/companyfacts/CIK0001559720.js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4"/>
      <c r="D4" s="3" t="s">
        <v>4</v>
      </c>
    </row>
    <row r="5" customFormat="false" ht="15" hidden="false" customHeight="false" outlineLevel="0" collapsed="false">
      <c r="A5" s="5" t="s">
        <v>5</v>
      </c>
      <c r="B5" s="6" t="n">
        <v>148.13</v>
      </c>
      <c r="D5" s="7" t="s">
        <v>6</v>
      </c>
    </row>
    <row r="6" customFormat="false" ht="15" hidden="false" customHeight="false" outlineLevel="0" collapsed="false">
      <c r="A6" s="5" t="s">
        <v>7</v>
      </c>
      <c r="B6" s="8" t="n">
        <v>0.67</v>
      </c>
      <c r="D6" s="7" t="s">
        <v>8</v>
      </c>
    </row>
    <row r="7" customFormat="false" ht="15" hidden="false" customHeight="false" outlineLevel="0" collapsed="false">
      <c r="A7" s="5" t="s">
        <v>9</v>
      </c>
      <c r="B7" s="8" t="n">
        <v>0.33</v>
      </c>
      <c r="D7" s="7" t="s">
        <v>10</v>
      </c>
    </row>
    <row r="8" customFormat="false" ht="23.85" hidden="false" customHeight="false" outlineLevel="0" collapsed="false">
      <c r="A8" s="5" t="s">
        <v>11</v>
      </c>
      <c r="B8" s="8" t="n">
        <v>0</v>
      </c>
      <c r="D8" s="7" t="s">
        <v>12</v>
      </c>
    </row>
    <row r="9" customFormat="false" ht="15" hidden="false" customHeight="false" outlineLevel="0" collapsed="false">
      <c r="A9" s="5" t="s">
        <v>13</v>
      </c>
      <c r="B9" s="9" t="n">
        <v>236.61</v>
      </c>
      <c r="D9" s="7" t="s">
        <v>14</v>
      </c>
    </row>
    <row r="10" customFormat="false" ht="15" hidden="false" customHeight="false" outlineLevel="0" collapsed="false">
      <c r="A10" s="5" t="s">
        <v>15</v>
      </c>
      <c r="B10" s="10" t="n">
        <v>0</v>
      </c>
      <c r="D10" s="7" t="s">
        <v>16</v>
      </c>
    </row>
    <row r="11" customFormat="false" ht="23.85" hidden="false" customHeight="false" outlineLevel="0" collapsed="false">
      <c r="A11" s="5" t="s">
        <v>17</v>
      </c>
      <c r="B11" s="11" t="n">
        <v>0</v>
      </c>
      <c r="D11" s="7" t="s">
        <v>18</v>
      </c>
    </row>
    <row r="12" customFormat="false" ht="15" hidden="false" customHeight="false" outlineLevel="0" collapsed="false">
      <c r="A12" s="5" t="s">
        <v>19</v>
      </c>
      <c r="B12" s="6" t="n">
        <v>118</v>
      </c>
      <c r="D12" s="7" t="s">
        <v>20</v>
      </c>
    </row>
    <row r="13" customFormat="false" ht="23.85" hidden="false" customHeight="false" outlineLevel="0" collapsed="false">
      <c r="A13" s="5" t="s">
        <v>21</v>
      </c>
      <c r="B13" s="12" t="n">
        <v>0.4799</v>
      </c>
      <c r="D13" s="7" t="s">
        <v>22</v>
      </c>
    </row>
    <row r="15" customFormat="false" ht="23.85" hidden="false" customHeight="false" outlineLevel="0" collapsed="false">
      <c r="A15" s="5" t="s">
        <v>23</v>
      </c>
      <c r="B15" s="13" t="n">
        <f aca="false">EXP(INDEX(Distribution!$B$6:$B$20,MIN(MAX(IFERROR(MATCH(0.5,Distribution!$C$6:$C$20,-1),1),1),14))+(LN(MIN(MAX(0.5,0.0001),0.9999)/(1-MIN(MAX(0.5,0.0001),0.9999)))-INDEX(Distribution!$P$6:$P$20,MIN(MAX(IFERROR(MATCH(0.5,Distribution!$C$6:$C$20,-1),1),1),14)))/(INDEX(Distribution!$P$6:$P$20,MIN(MAX(IFERROR(MATCH(0.5,Distribution!$C$6:$C$20,-1),1),1),14)+1)-INDEX(Distribution!$P$6:$P$20,MIN(MAX(IFERROR(MATCH(0.5,Distribution!$C$6:$C$20,-1),1),1),14)))*(INDEX(Distribution!$B$6:$B$20,MIN(MAX(IFERROR(MATCH(0.5,Distribution!$C$6:$C$20,-1),1),1),14)+1)-INDEX(Distribution!$B$6:$B$20,MIN(MAX(IFERROR(MATCH(0.5,Distribution!$C$6:$C$20,-1),1),1),14))))</f>
        <v>153.274912018902</v>
      </c>
      <c r="D15" s="7" t="s">
        <v>24</v>
      </c>
    </row>
    <row r="17" customFormat="false" ht="15" hidden="false" customHeight="false" outlineLevel="0" collapsed="false">
      <c r="A17" s="3" t="s">
        <v>25</v>
      </c>
      <c r="B17" s="3" t="s">
        <v>26</v>
      </c>
      <c r="C17" s="3" t="s">
        <v>27</v>
      </c>
      <c r="D17" s="3" t="s">
        <v>28</v>
      </c>
    </row>
    <row r="18" customFormat="false" ht="15" hidden="false" customHeight="false" outlineLevel="0" collapsed="false">
      <c r="A18" s="5" t="s">
        <v>29</v>
      </c>
      <c r="B18" s="13" t="n">
        <f aca="false">Methods!C7</f>
        <v>189.65</v>
      </c>
      <c r="C18" s="13" t="n">
        <f aca="false">Methods!E7</f>
        <v>190</v>
      </c>
    </row>
    <row r="19" customFormat="false" ht="15" hidden="false" customHeight="false" outlineLevel="0" collapsed="false">
      <c r="A19" s="5" t="s">
        <v>30</v>
      </c>
      <c r="B19" s="13" t="n">
        <f aca="false">Methods!C11</f>
        <v>188.6</v>
      </c>
      <c r="C19" s="13" t="n">
        <f aca="false">Methods!E11</f>
        <v>188</v>
      </c>
    </row>
    <row r="20" customFormat="false" ht="15" hidden="false" customHeight="false" outlineLevel="0" collapsed="false">
      <c r="A20" s="5" t="s">
        <v>31</v>
      </c>
      <c r="B20" s="13" t="n">
        <f aca="false">Methods!C15</f>
        <v>184</v>
      </c>
      <c r="C20" s="13" t="n">
        <f aca="false">Methods!E15</f>
        <v>184</v>
      </c>
    </row>
    <row r="21" customFormat="false" ht="15" hidden="false" customHeight="false" outlineLevel="0" collapsed="false">
      <c r="A21" s="5" t="s">
        <v>32</v>
      </c>
      <c r="B21" s="13" t="n">
        <f aca="false">Methods!C19</f>
        <v>194.4</v>
      </c>
      <c r="C21" s="13" t="n">
        <f aca="false">Methods!E19</f>
        <v>194</v>
      </c>
    </row>
    <row r="22" customFormat="false" ht="15" hidden="false" customHeight="false" outlineLevel="0" collapsed="false">
      <c r="A22" s="5" t="s">
        <v>33</v>
      </c>
      <c r="B22" s="13" t="n">
        <f aca="false">Methods!C23</f>
        <v>199.2</v>
      </c>
      <c r="C22" s="13" t="n">
        <f aca="false">Methods!E23</f>
        <v>199</v>
      </c>
    </row>
    <row r="23" customFormat="false" ht="15" hidden="false" customHeight="false" outlineLevel="0" collapsed="false">
      <c r="A23" s="14" t="s">
        <v>34</v>
      </c>
      <c r="B23" s="15" t="n">
        <f aca="false">AVERAGE(B18:B22)</f>
        <v>191.17</v>
      </c>
      <c r="C23" s="15" t="n">
        <f aca="false">AVERAGE(C18:C22)</f>
        <v>191</v>
      </c>
    </row>
    <row r="24" customFormat="false" ht="15" hidden="false" customHeight="false" outlineLevel="0" collapsed="false">
      <c r="A24" s="5" t="s">
        <v>35</v>
      </c>
      <c r="B24" s="16" t="n">
        <f aca="false">MEDIAN(B18:B22)</f>
        <v>189.65</v>
      </c>
      <c r="C24" s="16" t="n">
        <f aca="false">MEDIAN(C18:C22)</f>
        <v>190</v>
      </c>
    </row>
    <row r="25" customFormat="false" ht="158.2" hidden="false" customHeight="false" outlineLevel="0" collapsed="false">
      <c r="A25" s="14" t="s">
        <v>36</v>
      </c>
      <c r="C25" s="17" t="n">
        <v>183.29</v>
      </c>
      <c r="D25" s="7" t="s">
        <v>37</v>
      </c>
    </row>
    <row r="26" customFormat="false" ht="15" hidden="false" customHeight="false" outlineLevel="0" collapsed="false">
      <c r="A26" s="5" t="s">
        <v>38</v>
      </c>
      <c r="C26" s="18" t="n">
        <f aca="false">C25/Spot-1</f>
        <v>0.23735907648687</v>
      </c>
    </row>
    <row r="28" customFormat="false" ht="15" hidden="false" customHeight="false" outlineLevel="0" collapsed="false">
      <c r="A28" s="3" t="s">
        <v>39</v>
      </c>
      <c r="B28" s="3" t="s">
        <v>40</v>
      </c>
      <c r="C28" s="3" t="s">
        <v>41</v>
      </c>
      <c r="D28" s="3" t="s">
        <v>42</v>
      </c>
    </row>
    <row r="29" customFormat="false" ht="15" hidden="false" customHeight="false" outlineLevel="0" collapsed="false">
      <c r="A29" s="5" t="s">
        <v>43</v>
      </c>
      <c r="B29" s="19" t="n">
        <f aca="false">EXP(INDEX(Distribution!$B$6:$B$20,MIN(MAX(IFERROR(MATCH(0.5,Distribution!$U$6:$U$20,-1),1),1),14))+(LN(MIN(MAX(0.5,0.0001),0.9999)/(1-MIN(MAX(0.5,0.0001),0.9999)))-INDEX(Distribution!$V$6:$V$20,MIN(MAX(IFERROR(MATCH(0.5,Distribution!$U$6:$U$20,-1),1),1),14)))/(INDEX(Distribution!$V$6:$V$20,MIN(MAX(IFERROR(MATCH(0.5,Distribution!$U$6:$U$20,-1),1),1),14)+1)-INDEX(Distribution!$V$6:$V$20,MIN(MAX(IFERROR(MATCH(0.5,Distribution!$U$6:$U$20,-1),1),1),14)))*(INDEX(Distribution!$B$6:$B$20,MIN(MAX(IFERROR(MATCH(0.5,Distribution!$U$6:$U$20,-1),1),1),14)+1)-INDEX(Distribution!$B$6:$B$20,MIN(MAX(IFERROR(MATCH(0.5,Distribution!$U$6:$U$20,-1),1),1),14))))</f>
        <v>160.275255424494</v>
      </c>
      <c r="C29" s="6" t="n">
        <v>159.9052</v>
      </c>
      <c r="D29" s="7" t="s">
        <v>44</v>
      </c>
    </row>
    <row r="30" customFormat="false" ht="15" hidden="false" customHeight="false" outlineLevel="0" collapsed="false">
      <c r="A30" s="5" t="s">
        <v>45</v>
      </c>
      <c r="B30" s="19" t="n">
        <f aca="false">EXP(INDEX(Distribution!$B$6:$B$20,MIN(MAX(IFERROR(MATCH(0.25,Distribution!$U$6:$U$20,-1),1),1),14))+(LN(MIN(MAX(0.25,0.0001),0.9999)/(1-MIN(MAX(0.25,0.0001),0.9999)))-INDEX(Distribution!$V$6:$V$20,MIN(MAX(IFERROR(MATCH(0.25,Distribution!$U$6:$U$20,-1),1),1),14)))/(INDEX(Distribution!$V$6:$V$20,MIN(MAX(IFERROR(MATCH(0.25,Distribution!$U$6:$U$20,-1),1),1),14)+1)-INDEX(Distribution!$V$6:$V$20,MIN(MAX(IFERROR(MATCH(0.25,Distribution!$U$6:$U$20,-1),1),1),14)))*(INDEX(Distribution!$B$6:$B$20,MIN(MAX(IFERROR(MATCH(0.25,Distribution!$U$6:$U$20,-1),1),1),14)+1)-INDEX(Distribution!$B$6:$B$20,MIN(MAX(IFERROR(MATCH(0.25,Distribution!$U$6:$U$20,-1),1),1),14))))</f>
        <v>207.160851693911</v>
      </c>
      <c r="C30" s="6" t="n">
        <v>161.54</v>
      </c>
      <c r="D30" s="7" t="s">
        <v>46</v>
      </c>
    </row>
    <row r="31" customFormat="false" ht="15" hidden="false" customHeight="false" outlineLevel="0" collapsed="false">
      <c r="A31" s="5" t="s">
        <v>47</v>
      </c>
      <c r="B31" s="19" t="n">
        <f aca="false">EXP(INDEX(Distribution!$B$6:$B$20,MIN(MAX(IFERROR(MATCH(0.85,Distribution!$U$6:$U$20,-1),1),1),14))+(LN(MIN(MAX(0.85,0.0001),0.9999)/(1-MIN(MAX(0.85,0.0001),0.9999)))-INDEX(Distribution!$V$6:$V$20,MIN(MAX(IFERROR(MATCH(0.85,Distribution!$U$6:$U$20,-1),1),1),14)))/(INDEX(Distribution!$V$6:$V$20,MIN(MAX(IFERROR(MATCH(0.85,Distribution!$U$6:$U$20,-1),1),1),14)+1)-INDEX(Distribution!$V$6:$V$20,MIN(MAX(IFERROR(MATCH(0.85,Distribution!$U$6:$U$20,-1),1),1),14)))*(INDEX(Distribution!$B$6:$B$20,MIN(MAX(IFERROR(MATCH(0.85,Distribution!$U$6:$U$20,-1),1),1),14)+1)-INDEX(Distribution!$B$6:$B$20,MIN(MAX(IFERROR(MATCH(0.85,Distribution!$U$6:$U$20,-1),1),1),14))))</f>
        <v>105.417431909998</v>
      </c>
      <c r="C31" s="6" t="n">
        <v>104.222</v>
      </c>
      <c r="D31" s="7" t="s">
        <v>48</v>
      </c>
    </row>
    <row r="32" customFormat="false" ht="15" hidden="false" customHeight="false" outlineLevel="0" collapsed="false">
      <c r="A32" s="5" t="s">
        <v>49</v>
      </c>
      <c r="B32" s="16" t="n">
        <f aca="false">Spot*EXP(-2*IV30*SQRT(21/252))</f>
        <v>112.282708329132</v>
      </c>
      <c r="D32" s="7" t="s">
        <v>50</v>
      </c>
    </row>
    <row r="33" customFormat="false" ht="23.85" hidden="false" customHeight="false" outlineLevel="0" collapsed="false">
      <c r="A33" s="14" t="s">
        <v>51</v>
      </c>
      <c r="B33" s="20" t="n">
        <f aca="false">MIN(IF(AND(Thesis_Break&gt;0,Thesis_Break&lt;Spot),MAX(B31,Thesis_Break),B31),B32)</f>
        <v>112.282708329132</v>
      </c>
      <c r="C33" s="21" t="n">
        <v>112.2827</v>
      </c>
      <c r="D33" s="7" t="s">
        <v>52</v>
      </c>
    </row>
    <row r="34" customFormat="false" ht="15" hidden="false" customHeight="false" outlineLevel="0" collapsed="false">
      <c r="A34" s="5" t="s">
        <v>53</v>
      </c>
      <c r="B34" s="18" t="n">
        <f aca="false">B29/Spot-1</f>
        <v>0.0819905179537839</v>
      </c>
      <c r="C34" s="18" t="n">
        <f aca="false">C29/Spot-1</f>
        <v>0.0794923378113819</v>
      </c>
    </row>
    <row r="35" customFormat="false" ht="15" hidden="false" customHeight="false" outlineLevel="0" collapsed="false">
      <c r="A35" s="5" t="s">
        <v>54</v>
      </c>
      <c r="C35" s="12" t="n">
        <v>0.5738</v>
      </c>
    </row>
    <row r="36" customFormat="false" ht="23.85" hidden="false" customHeight="false" outlineLevel="0" collapsed="false">
      <c r="A36" s="5" t="s">
        <v>55</v>
      </c>
      <c r="C36" s="6" t="n">
        <v>166.3529</v>
      </c>
      <c r="D36" s="7" t="s">
        <v>56</v>
      </c>
    </row>
    <row r="38" customFormat="false" ht="15" hidden="false" customHeight="false" outlineLevel="0" collapsed="false">
      <c r="A38" s="3" t="s">
        <v>57</v>
      </c>
      <c r="B38" s="4"/>
      <c r="C38" s="4"/>
      <c r="D38" s="4"/>
    </row>
    <row r="39" customFormat="false" ht="15" hidden="false" customHeight="false" outlineLevel="0" collapsed="false">
      <c r="A39" s="22" t="s">
        <v>58</v>
      </c>
      <c r="D39" s="2" t="s">
        <v>59</v>
      </c>
    </row>
    <row r="40" customFormat="false" ht="15" hidden="false" customHeight="false" outlineLevel="0" collapsed="false">
      <c r="A40" s="22" t="s">
        <v>60</v>
      </c>
      <c r="D40" s="2" t="s">
        <v>61</v>
      </c>
    </row>
    <row r="41" customFormat="false" ht="15" hidden="false" customHeight="false" outlineLevel="0" collapsed="false">
      <c r="A41" s="22" t="s">
        <v>62</v>
      </c>
      <c r="D41" s="2" t="s">
        <v>63</v>
      </c>
    </row>
    <row r="42" customFormat="false" ht="15" hidden="false" customHeight="false" outlineLevel="0" collapsed="false">
      <c r="A42" s="22" t="s">
        <v>64</v>
      </c>
      <c r="D42" s="2" t="s">
        <v>65</v>
      </c>
    </row>
    <row r="43" customFormat="false" ht="15" hidden="false" customHeight="false" outlineLevel="0" collapsed="false">
      <c r="A43" s="22" t="s">
        <v>66</v>
      </c>
      <c r="D43" s="2" t="s">
        <v>67</v>
      </c>
    </row>
    <row r="44" customFormat="false" ht="15" hidden="false" customHeight="false" outlineLevel="0" collapsed="false">
      <c r="A44" s="22" t="s">
        <v>68</v>
      </c>
      <c r="D44" s="2" t="s">
        <v>69</v>
      </c>
    </row>
    <row r="45" customFormat="false" ht="15" hidden="false" customHeight="false" outlineLevel="0" collapsed="false">
      <c r="A45" s="22" t="s">
        <v>70</v>
      </c>
      <c r="D45" s="2" t="s">
        <v>71</v>
      </c>
    </row>
  </sheetData>
  <hyperlinks>
    <hyperlink ref="A39" location="'Assumptions'!A1" display="Assumptions"/>
    <hyperlink ref="A40" location="'Methods'!A1" display="Methods"/>
    <hyperlink ref="A41" location="'Scenarios'!A1" display="Scenarios"/>
    <hyperlink ref="A42" location="'Distribution'!A1" display="Distribution"/>
    <hyperlink ref="A43" location="'Reasoning'!A1" display="Reasoning"/>
    <hyperlink ref="A44" location="'Supervisor'!A1" display="Supervisor"/>
    <hyperlink ref="A45" location="'Sources'!A1" display="Sourc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3"/>
    <col collapsed="false" customWidth="true" hidden="false" outlineLevel="0" max="4" min="4" style="0" width="85"/>
    <col collapsed="false" customWidth="true" hidden="false" outlineLevel="0" max="7" min="5" style="0" width="28"/>
    <col collapsed="false" customWidth="true" hidden="false" outlineLevel="0" max="8" min="8" style="0" width="14"/>
    <col collapsed="false" customWidth="true" hidden="false" outlineLevel="0" max="10" min="9" style="0" width="12"/>
    <col collapsed="false" customWidth="true" hidden="false" outlineLevel="0" max="11" min="11" style="0" width="22"/>
  </cols>
  <sheetData>
    <row r="1" customFormat="false" ht="17.35" hidden="false" customHeight="false" outlineLevel="0" collapsed="false">
      <c r="A1" s="1" t="s">
        <v>72</v>
      </c>
    </row>
    <row r="2" customFormat="false" ht="15" hidden="false" customHeight="false" outlineLevel="0" collapsed="false">
      <c r="A2" s="2" t="s">
        <v>73</v>
      </c>
    </row>
    <row r="4" customFormat="false" ht="15" hidden="false" customHeight="false" outlineLevel="0" collapsed="false">
      <c r="A4" s="23" t="s">
        <v>74</v>
      </c>
      <c r="B4" s="23" t="s">
        <v>75</v>
      </c>
      <c r="C4" s="23" t="s">
        <v>3</v>
      </c>
      <c r="D4" s="23" t="s">
        <v>66</v>
      </c>
      <c r="E4" s="23" t="s">
        <v>76</v>
      </c>
      <c r="F4" s="23" t="s">
        <v>77</v>
      </c>
      <c r="G4" s="23" t="s">
        <v>78</v>
      </c>
      <c r="H4" s="23" t="s">
        <v>79</v>
      </c>
      <c r="I4" s="23" t="s">
        <v>80</v>
      </c>
      <c r="J4" s="23" t="s">
        <v>81</v>
      </c>
      <c r="K4" s="23" t="s">
        <v>82</v>
      </c>
    </row>
    <row r="5" customFormat="false" ht="15" hidden="false" customHeight="false" outlineLevel="0" collapsed="false">
      <c r="A5" s="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1"/>
    <col collapsed="false" customWidth="true" hidden="false" outlineLevel="0" max="8" min="4" style="0" width="10"/>
    <col collapsed="false" customWidth="true" hidden="false" outlineLevel="0" max="11" min="9" style="0" width="11"/>
    <col collapsed="false" customWidth="true" hidden="false" outlineLevel="0" max="12" min="12" style="0" width="9"/>
    <col collapsed="false" customWidth="true" hidden="false" outlineLevel="0" max="13" min="13" style="0" width="10"/>
    <col collapsed="false" customWidth="true" hidden="false" outlineLevel="0" max="14" min="14" style="0" width="6"/>
    <col collapsed="false" customWidth="true" hidden="false" outlineLevel="0" max="15" min="15" style="0" width="12"/>
    <col collapsed="false" customWidth="true" hidden="false" outlineLevel="0" max="16" min="16" style="0" width="9"/>
    <col collapsed="false" customWidth="true" hidden="false" outlineLevel="0" max="17" min="17" style="0" width="10"/>
    <col collapsed="false" customWidth="true" hidden="false" outlineLevel="0" max="18" min="18" style="0" width="6"/>
    <col collapsed="false" customWidth="true" hidden="false" outlineLevel="0" max="21" min="19" style="0" width="11"/>
    <col collapsed="false" customWidth="true" hidden="false" outlineLevel="0" max="22" min="22" style="0" width="9"/>
    <col collapsed="false" customWidth="true" hidden="false" outlineLevel="0" max="23" min="23" style="0" width="12"/>
  </cols>
  <sheetData>
    <row r="1" customFormat="false" ht="17.35" hidden="false" customHeight="false" outlineLevel="0" collapsed="false">
      <c r="A1" s="1" t="s">
        <v>84</v>
      </c>
    </row>
    <row r="2" customFormat="false" ht="15" hidden="false" customHeight="false" outlineLevel="0" collapsed="false">
      <c r="A2" s="2" t="s">
        <v>85</v>
      </c>
    </row>
    <row r="5" customFormat="false" ht="23.85" hidden="false" customHeight="false" outlineLevel="0" collapsed="false">
      <c r="A5" s="23" t="s">
        <v>86</v>
      </c>
      <c r="B5" s="23" t="s">
        <v>87</v>
      </c>
      <c r="C5" s="23" t="s">
        <v>88</v>
      </c>
      <c r="D5" s="23" t="s">
        <v>29</v>
      </c>
      <c r="E5" s="23" t="s">
        <v>30</v>
      </c>
      <c r="F5" s="23" t="s">
        <v>31</v>
      </c>
      <c r="G5" s="23" t="s">
        <v>32</v>
      </c>
      <c r="H5" s="23" t="s">
        <v>33</v>
      </c>
      <c r="I5" s="23" t="s">
        <v>89</v>
      </c>
      <c r="J5" s="23" t="s">
        <v>68</v>
      </c>
      <c r="K5" s="23" t="s">
        <v>90</v>
      </c>
      <c r="L5" s="23" t="s">
        <v>91</v>
      </c>
      <c r="M5" s="23" t="s">
        <v>92</v>
      </c>
      <c r="N5" s="23" t="s">
        <v>93</v>
      </c>
      <c r="O5" s="23" t="s">
        <v>94</v>
      </c>
      <c r="P5" s="23" t="s">
        <v>95</v>
      </c>
      <c r="Q5" s="23" t="s">
        <v>96</v>
      </c>
      <c r="R5" s="23" t="s">
        <v>93</v>
      </c>
      <c r="S5" s="23" t="s">
        <v>97</v>
      </c>
      <c r="T5" s="23" t="s">
        <v>98</v>
      </c>
      <c r="U5" s="23" t="s">
        <v>99</v>
      </c>
      <c r="V5" s="23" t="s">
        <v>100</v>
      </c>
      <c r="W5" s="23" t="s">
        <v>101</v>
      </c>
    </row>
    <row r="6" customFormat="false" ht="15" hidden="false" customHeight="false" outlineLevel="0" collapsed="false">
      <c r="A6" s="6" t="n">
        <v>37.03</v>
      </c>
      <c r="B6" s="24" t="n">
        <f aca="false">LN(A6)</f>
        <v>3.61172839492552</v>
      </c>
      <c r="C6" s="25" t="n">
        <v>0.9998</v>
      </c>
      <c r="D6" s="25" t="n">
        <v>0.9949</v>
      </c>
      <c r="E6" s="25" t="n">
        <v>0.9958</v>
      </c>
      <c r="F6" s="25" t="n">
        <v>0.9975</v>
      </c>
      <c r="G6" s="25" t="n">
        <v>0.9968</v>
      </c>
      <c r="H6" s="25" t="n">
        <v>0.9958</v>
      </c>
      <c r="I6" s="24" t="n">
        <f aca="false">AVERAGE(D6:H6)</f>
        <v>0.99616</v>
      </c>
      <c r="J6" s="25" t="n">
        <v>0.9962</v>
      </c>
      <c r="K6" s="24" t="n">
        <f aca="false">IF(AND(Sup_Used=1,ISNUMBER(J6)),J6,I6)</f>
        <v>0.99616</v>
      </c>
      <c r="L6" s="24" t="n">
        <f aca="false">LN(MIN(MAX(K6,0.0001),0.9999)/(1-MIN(MAX(K6,0.0001),0.9999)))</f>
        <v>5.55843552065362</v>
      </c>
      <c r="M6" s="16" t="n">
        <f aca="false">A6*EXP(-Platt_Shift)</f>
        <v>37.03</v>
      </c>
      <c r="N6" s="26" t="n">
        <f aca="false">MIN(MAX(IFERROR(MATCH(M6,Distribution!$A$6:$A$20,1),1),1),14)</f>
        <v>1</v>
      </c>
      <c r="O6" s="24" t="n">
        <f aca="false">1/(1+EXP(-(INDEX(Distribution!$L$6:$L$20,N6)+(LN(M6)-INDEX(Distribution!$B$6:$B$20,N6))/(INDEX(Distribution!$B$6:$B$20,N6+1)-INDEX(Distribution!$B$6:$B$20,N6))*(INDEX(Distribution!$L$6:$L$20,N6+1)-INDEX(Distribution!$L$6:$L$20,N6)))))</f>
        <v>0.99616</v>
      </c>
      <c r="P6" s="24" t="n">
        <f aca="false">LN(MIN(MAX(C6,0.0001),0.9999)/(1-MIN(MAX(C6,0.0001),0.9999)))</f>
        <v>8.51699317141368</v>
      </c>
      <c r="Q6" s="16" t="n">
        <f aca="false">IF(Analyst_Median&gt;0,A6*Market_Median/Analyst_Median,A6)</f>
        <v>23.9878703015931</v>
      </c>
      <c r="R6" s="26" t="n">
        <f aca="false">MIN(MAX(IFERROR(MATCH(Q6,Distribution!$A$6:$A$20,1),1),1),14)</f>
        <v>1</v>
      </c>
      <c r="S6" s="24" t="n">
        <f aca="false">1/(1+EXP(-(INDEX(Distribution!$P$6:$P$20,R6)+(LN(Q6)-INDEX(Distribution!$B$6:$B$20,R6))/(INDEX(Distribution!$B$6:$B$20,R6+1)-INDEX(Distribution!$B$6:$B$20,R6))*(INDEX(Distribution!$P$6:$P$20,R6+1)-INDEX(Distribution!$P$6:$P$20,R6)))))</f>
        <v>0.999994502803683</v>
      </c>
      <c r="T6" s="24" t="n">
        <f aca="false">W_Mkt*C6+W_Agents*O6</f>
        <v>0.9985988</v>
      </c>
      <c r="U6" s="27" t="n">
        <f aca="false">(1-W_Analyst)*T6+W_Analyst*S6</f>
        <v>0.9985988</v>
      </c>
      <c r="V6" s="24" t="n">
        <f aca="false">LN(MIN(MAX(U6,0.0001),0.9999)/(1-MIN(MAX(U6,0.0001),0.9999)))</f>
        <v>6.56902408404232</v>
      </c>
      <c r="W6" s="25" t="n">
        <v>0.9998</v>
      </c>
    </row>
    <row r="7" customFormat="false" ht="15" hidden="false" customHeight="false" outlineLevel="0" collapsed="false">
      <c r="A7" s="6" t="n">
        <v>59.25</v>
      </c>
      <c r="B7" s="24" t="n">
        <f aca="false">LN(A7)</f>
        <v>4.08176578001524</v>
      </c>
      <c r="C7" s="25" t="n">
        <v>0.9903</v>
      </c>
      <c r="D7" s="25" t="n">
        <v>0.9857</v>
      </c>
      <c r="E7" s="25" t="n">
        <v>0.9875</v>
      </c>
      <c r="F7" s="25" t="n">
        <v>0.9918</v>
      </c>
      <c r="G7" s="25" t="n">
        <v>0.9872</v>
      </c>
      <c r="H7" s="25" t="n">
        <v>0.9875</v>
      </c>
      <c r="I7" s="24" t="n">
        <f aca="false">AVERAGE(D7:H7)</f>
        <v>0.98794</v>
      </c>
      <c r="J7" s="25" t="n">
        <v>0.9879</v>
      </c>
      <c r="K7" s="24" t="n">
        <f aca="false">IF(AND(Sup_Used=1,ISNUMBER(J7)),J7,I7)</f>
        <v>0.98794</v>
      </c>
      <c r="L7" s="24" t="n">
        <f aca="false">LN(MIN(MAX(K7,0.0001),0.9999)/(1-MIN(MAX(K7,0.0001),0.9999)))</f>
        <v>4.40572777585983</v>
      </c>
      <c r="M7" s="16" t="n">
        <f aca="false">A7*EXP(-Platt_Shift)</f>
        <v>59.25</v>
      </c>
      <c r="N7" s="26" t="n">
        <f aca="false">MIN(MAX(IFERROR(MATCH(M7,Distribution!$A$6:$A$20,1),1),1),14)</f>
        <v>2</v>
      </c>
      <c r="O7" s="24" t="n">
        <f aca="false">1/(1+EXP(-(INDEX(Distribution!$L$6:$L$20,N7)+(LN(M7)-INDEX(Distribution!$B$6:$B$20,N7))/(INDEX(Distribution!$B$6:$B$20,N7+1)-INDEX(Distribution!$B$6:$B$20,N7))*(INDEX(Distribution!$L$6:$L$20,N7+1)-INDEX(Distribution!$L$6:$L$20,N7)))))</f>
        <v>0.98794</v>
      </c>
      <c r="P7" s="24" t="n">
        <f aca="false">LN(MIN(MAX(C7,0.0001),0.9999)/(1-MIN(MAX(C7,0.0001),0.9999)))</f>
        <v>4.62588204201792</v>
      </c>
      <c r="Q7" s="16" t="n">
        <f aca="false">IF(Analyst_Median&gt;0,A7*Market_Median/Analyst_Median,A7)</f>
        <v>38.3818880737076</v>
      </c>
      <c r="R7" s="26" t="n">
        <f aca="false">MIN(MAX(IFERROR(MATCH(Q7,Distribution!$A$6:$A$20,1),1),1),14)</f>
        <v>1</v>
      </c>
      <c r="S7" s="24" t="n">
        <f aca="false">1/(1+EXP(-(INDEX(Distribution!$P$6:$P$20,R7)+(LN(Q7)-INDEX(Distribution!$B$6:$B$20,R7))/(INDEX(Distribution!$B$6:$B$20,R7+1)-INDEX(Distribution!$B$6:$B$20,R7))*(INDEX(Distribution!$P$6:$P$20,R7+1)-INDEX(Distribution!$P$6:$P$20,R7)))))</f>
        <v>0.99973089929127</v>
      </c>
      <c r="T7" s="24" t="n">
        <f aca="false">W_Mkt*C7+W_Agents*O7</f>
        <v>0.9895212</v>
      </c>
      <c r="U7" s="27" t="n">
        <f aca="false">(1-W_Analyst)*T7+W_Analyst*S7</f>
        <v>0.9895212</v>
      </c>
      <c r="V7" s="24" t="n">
        <f aca="false">LN(MIN(MAX(U7,0.0001),0.9999)/(1-MIN(MAX(U7,0.0001),0.9999)))</f>
        <v>4.54786702125517</v>
      </c>
      <c r="W7" s="25" t="n">
        <v>0.9919</v>
      </c>
    </row>
    <row r="8" customFormat="false" ht="15" hidden="false" customHeight="false" outlineLevel="0" collapsed="false">
      <c r="A8" s="6" t="n">
        <v>74.06</v>
      </c>
      <c r="B8" s="24" t="n">
        <f aca="false">LN(A8)</f>
        <v>4.30487557548547</v>
      </c>
      <c r="C8" s="25" t="n">
        <v>0.9632</v>
      </c>
      <c r="D8" s="25" t="n">
        <v>0.9743</v>
      </c>
      <c r="E8" s="25" t="n">
        <v>0.9774</v>
      </c>
      <c r="F8" s="25" t="n">
        <v>0.9818</v>
      </c>
      <c r="G8" s="25" t="n">
        <v>0.9738</v>
      </c>
      <c r="H8" s="25" t="n">
        <v>0.9764</v>
      </c>
      <c r="I8" s="24" t="n">
        <f aca="false">AVERAGE(D8:H8)</f>
        <v>0.97674</v>
      </c>
      <c r="J8" s="25" t="n">
        <v>0.9767</v>
      </c>
      <c r="K8" s="24" t="n">
        <f aca="false">IF(AND(Sup_Used=1,ISNUMBER(J8)),J8,I8)</f>
        <v>0.97674</v>
      </c>
      <c r="L8" s="24" t="n">
        <f aca="false">LN(MIN(MAX(K8,0.0001),0.9999)/(1-MIN(MAX(K8,0.0001),0.9999)))</f>
        <v>3.73748534875796</v>
      </c>
      <c r="M8" s="16" t="n">
        <f aca="false">A8*EXP(-Platt_Shift)</f>
        <v>74.06</v>
      </c>
      <c r="N8" s="26" t="n">
        <f aca="false">MIN(MAX(IFERROR(MATCH(M8,Distribution!$A$6:$A$20,1),1),1),14)</f>
        <v>3</v>
      </c>
      <c r="O8" s="24" t="n">
        <f aca="false">1/(1+EXP(-(INDEX(Distribution!$L$6:$L$20,N8)+(LN(M8)-INDEX(Distribution!$B$6:$B$20,N8))/(INDEX(Distribution!$B$6:$B$20,N8+1)-INDEX(Distribution!$B$6:$B$20,N8))*(INDEX(Distribution!$L$6:$L$20,N8+1)-INDEX(Distribution!$L$6:$L$20,N8)))))</f>
        <v>0.97674</v>
      </c>
      <c r="P8" s="24" t="n">
        <f aca="false">LN(MIN(MAX(C8,0.0001),0.9999)/(1-MIN(MAX(C8,0.0001),0.9999)))</f>
        <v>3.26476322937967</v>
      </c>
      <c r="Q8" s="16" t="n">
        <f aca="false">IF(Analyst_Median&gt;0,A8*Market_Median/Analyst_Median,A8)</f>
        <v>47.9757406031862</v>
      </c>
      <c r="R8" s="26" t="n">
        <f aca="false">MIN(MAX(IFERROR(MATCH(Q8,Distribution!$A$6:$A$20,1),1),1),14)</f>
        <v>1</v>
      </c>
      <c r="S8" s="24" t="n">
        <f aca="false">1/(1+EXP(-(INDEX(Distribution!$P$6:$P$20,R8)+(LN(Q8)-INDEX(Distribution!$B$6:$B$20,R8))/(INDEX(Distribution!$B$6:$B$20,R8+1)-INDEX(Distribution!$B$6:$B$20,R8))*(INDEX(Distribution!$P$6:$P$20,R8+1)-INDEX(Distribution!$P$6:$P$20,R8)))))</f>
        <v>0.99829619426567</v>
      </c>
      <c r="T8" s="24" t="n">
        <f aca="false">W_Mkt*C8+W_Agents*O8</f>
        <v>0.9676682</v>
      </c>
      <c r="U8" s="27" t="n">
        <f aca="false">(1-W_Analyst)*T8+W_Analyst*S8</f>
        <v>0.9676682</v>
      </c>
      <c r="V8" s="24" t="n">
        <f aca="false">LN(MIN(MAX(U8,0.0001),0.9999)/(1-MIN(MAX(U8,0.0001),0.9999)))</f>
        <v>3.39883799389259</v>
      </c>
      <c r="W8" s="25" t="n">
        <v>0.9688</v>
      </c>
    </row>
    <row r="9" customFormat="false" ht="15" hidden="false" customHeight="false" outlineLevel="0" collapsed="false">
      <c r="A9" s="6" t="n">
        <v>88.88</v>
      </c>
      <c r="B9" s="24" t="n">
        <f aca="false">LN(A9)</f>
        <v>4.48728714533138</v>
      </c>
      <c r="C9" s="25" t="n">
        <v>0.9099</v>
      </c>
      <c r="D9" s="25" t="n">
        <v>0.9514</v>
      </c>
      <c r="E9" s="25" t="n">
        <v>0.959</v>
      </c>
      <c r="F9" s="25" t="n">
        <v>0.9594</v>
      </c>
      <c r="G9" s="25" t="n">
        <v>0.9493</v>
      </c>
      <c r="H9" s="25" t="n">
        <v>0.954</v>
      </c>
      <c r="I9" s="24" t="n">
        <f aca="false">AVERAGE(D9:H9)</f>
        <v>0.95462</v>
      </c>
      <c r="J9" s="25" t="n">
        <v>0.9546</v>
      </c>
      <c r="K9" s="24" t="n">
        <f aca="false">IF(AND(Sup_Used=1,ISNUMBER(J9)),J9,I9)</f>
        <v>0.95462</v>
      </c>
      <c r="L9" s="24" t="n">
        <f aca="false">LN(MIN(MAX(K9,0.0001),0.9999)/(1-MIN(MAX(K9,0.0001),0.9999)))</f>
        <v>3.04624187618437</v>
      </c>
      <c r="M9" s="16" t="n">
        <f aca="false">A9*EXP(-Platt_Shift)</f>
        <v>88.88</v>
      </c>
      <c r="N9" s="26" t="n">
        <f aca="false">MIN(MAX(IFERROR(MATCH(M9,Distribution!$A$6:$A$20,1),1),1),14)</f>
        <v>4</v>
      </c>
      <c r="O9" s="24" t="n">
        <f aca="false">1/(1+EXP(-(INDEX(Distribution!$L$6:$L$20,N9)+(LN(M9)-INDEX(Distribution!$B$6:$B$20,N9))/(INDEX(Distribution!$B$6:$B$20,N9+1)-INDEX(Distribution!$B$6:$B$20,N9))*(INDEX(Distribution!$L$6:$L$20,N9+1)-INDEX(Distribution!$L$6:$L$20,N9)))))</f>
        <v>0.95462</v>
      </c>
      <c r="P9" s="24" t="n">
        <f aca="false">LN(MIN(MAX(C9,0.0001),0.9999)/(1-MIN(MAX(C9,0.0001),0.9999)))</f>
        <v>2.31241453874835</v>
      </c>
      <c r="Q9" s="16" t="n">
        <f aca="false">IF(Analyst_Median&gt;0,A9*Market_Median/Analyst_Median,A9)</f>
        <v>57.5760710884579</v>
      </c>
      <c r="R9" s="26" t="n">
        <f aca="false">MIN(MAX(IFERROR(MATCH(Q9,Distribution!$A$6:$A$20,1),1),1),14)</f>
        <v>1</v>
      </c>
      <c r="S9" s="24" t="n">
        <f aca="false">1/(1+EXP(-(INDEX(Distribution!$P$6:$P$20,R9)+(LN(Q9)-INDEX(Distribution!$B$6:$B$20,R9))/(INDEX(Distribution!$B$6:$B$20,R9+1)-INDEX(Distribution!$B$6:$B$20,R9))*(INDEX(Distribution!$P$6:$P$20,R9+1)-INDEX(Distribution!$P$6:$P$20,R9)))))</f>
        <v>0.992332956810226</v>
      </c>
      <c r="T9" s="24" t="n">
        <f aca="false">W_Mkt*C9+W_Agents*O9</f>
        <v>0.9246576</v>
      </c>
      <c r="U9" s="27" t="n">
        <f aca="false">(1-W_Analyst)*T9+W_Analyst*S9</f>
        <v>0.9246576</v>
      </c>
      <c r="V9" s="24" t="n">
        <f aca="false">LN(MIN(MAX(U9,0.0001),0.9999)/(1-MIN(MAX(U9,0.0001),0.9999)))</f>
        <v>2.50738044947882</v>
      </c>
      <c r="W9" s="25" t="n">
        <v>0.9224</v>
      </c>
    </row>
    <row r="10" customFormat="false" ht="15" hidden="false" customHeight="false" outlineLevel="0" collapsed="false">
      <c r="A10" s="6" t="n">
        <v>103.69</v>
      </c>
      <c r="B10" s="24" t="n">
        <f aca="false">LN(A10)</f>
        <v>4.64140567857019</v>
      </c>
      <c r="C10" s="25" t="n">
        <v>0.8318</v>
      </c>
      <c r="D10" s="25" t="n">
        <v>0.9068</v>
      </c>
      <c r="E10" s="25" t="n">
        <v>0.9233</v>
      </c>
      <c r="F10" s="25" t="n">
        <v>0.9184</v>
      </c>
      <c r="G10" s="25" t="n">
        <v>0.9069</v>
      </c>
      <c r="H10" s="25" t="n">
        <v>0.9131</v>
      </c>
      <c r="I10" s="24" t="n">
        <f aca="false">AVERAGE(D10:H10)</f>
        <v>0.9137</v>
      </c>
      <c r="J10" s="25" t="n">
        <v>0.9137</v>
      </c>
      <c r="K10" s="24" t="n">
        <f aca="false">IF(AND(Sup_Used=1,ISNUMBER(J10)),J10,I10)</f>
        <v>0.9137</v>
      </c>
      <c r="L10" s="24" t="n">
        <f aca="false">LN(MIN(MAX(K10,0.0001),0.9999)/(1-MIN(MAX(K10,0.0001),0.9999)))</f>
        <v>2.35967269191519</v>
      </c>
      <c r="M10" s="16" t="n">
        <f aca="false">A10*EXP(-Platt_Shift)</f>
        <v>103.69</v>
      </c>
      <c r="N10" s="26" t="n">
        <f aca="false">MIN(MAX(IFERROR(MATCH(M10,Distribution!$A$6:$A$20,1),1),1),14)</f>
        <v>5</v>
      </c>
      <c r="O10" s="24" t="n">
        <f aca="false">1/(1+EXP(-(INDEX(Distribution!$L$6:$L$20,N10)+(LN(M10)-INDEX(Distribution!$B$6:$B$20,N10))/(INDEX(Distribution!$B$6:$B$20,N10+1)-INDEX(Distribution!$B$6:$B$20,N10))*(INDEX(Distribution!$L$6:$L$20,N10+1)-INDEX(Distribution!$L$6:$L$20,N10)))))</f>
        <v>0.9137</v>
      </c>
      <c r="P10" s="24" t="n">
        <f aca="false">LN(MIN(MAX(C10,0.0001),0.9999)/(1-MIN(MAX(C10,0.0001),0.9999)))</f>
        <v>1.59843827976996</v>
      </c>
      <c r="Q10" s="16" t="n">
        <f aca="false">IF(Analyst_Median&gt;0,A10*Market_Median/Analyst_Median,A10)</f>
        <v>67.1699236179365</v>
      </c>
      <c r="R10" s="26" t="n">
        <f aca="false">MIN(MAX(IFERROR(MATCH(Q10,Distribution!$A$6:$A$20,1),1),1),14)</f>
        <v>2</v>
      </c>
      <c r="S10" s="24" t="n">
        <f aca="false">1/(1+EXP(-(INDEX(Distribution!$P$6:$P$20,R10)+(LN(Q10)-INDEX(Distribution!$B$6:$B$20,R10))/(INDEX(Distribution!$B$6:$B$20,R10+1)-INDEX(Distribution!$B$6:$B$20,R10))*(INDEX(Distribution!$P$6:$P$20,R10+1)-INDEX(Distribution!$P$6:$P$20,R10)))))</f>
        <v>0.979376671414458</v>
      </c>
      <c r="T10" s="24" t="n">
        <f aca="false">W_Mkt*C10+W_Agents*O10</f>
        <v>0.858827</v>
      </c>
      <c r="U10" s="27" t="n">
        <f aca="false">(1-W_Analyst)*T10+W_Analyst*S10</f>
        <v>0.858827</v>
      </c>
      <c r="V10" s="24" t="n">
        <f aca="false">LN(MIN(MAX(U10,0.0001),0.9999)/(1-MIN(MAX(U10,0.0001),0.9999)))</f>
        <v>1.80558141608362</v>
      </c>
      <c r="W10" s="25" t="n">
        <v>0.8528</v>
      </c>
    </row>
    <row r="11" customFormat="false" ht="15" hidden="false" customHeight="false" outlineLevel="0" collapsed="false">
      <c r="A11" s="6" t="n">
        <v>118.5</v>
      </c>
      <c r="B11" s="24" t="n">
        <f aca="false">LN(A11)</f>
        <v>4.77491296057519</v>
      </c>
      <c r="C11" s="25" t="n">
        <v>0.7366</v>
      </c>
      <c r="D11" s="25" t="n">
        <v>0.8381</v>
      </c>
      <c r="E11" s="25" t="n">
        <v>0.8641</v>
      </c>
      <c r="F11" s="25" t="n">
        <v>0.8596</v>
      </c>
      <c r="G11" s="25" t="n">
        <v>0.844</v>
      </c>
      <c r="H11" s="25" t="n">
        <v>0.8465</v>
      </c>
      <c r="I11" s="24" t="n">
        <f aca="false">AVERAGE(D11:H11)</f>
        <v>0.85046</v>
      </c>
      <c r="J11" s="25" t="n">
        <v>0.8504</v>
      </c>
      <c r="K11" s="24" t="n">
        <f aca="false">IF(AND(Sup_Used=1,ISNUMBER(J11)),J11,I11)</f>
        <v>0.85046</v>
      </c>
      <c r="L11" s="24" t="n">
        <f aca="false">LN(MIN(MAX(K11,0.0001),0.9999)/(1-MIN(MAX(K11,0.0001),0.9999)))</f>
        <v>1.73821346400001</v>
      </c>
      <c r="M11" s="16" t="n">
        <f aca="false">A11*EXP(-Platt_Shift)</f>
        <v>118.5</v>
      </c>
      <c r="N11" s="26" t="n">
        <f aca="false">MIN(MAX(IFERROR(MATCH(M11,Distribution!$A$6:$A$20,1),1),1),14)</f>
        <v>6</v>
      </c>
      <c r="O11" s="24" t="n">
        <f aca="false">1/(1+EXP(-(INDEX(Distribution!$L$6:$L$20,N11)+(LN(M11)-INDEX(Distribution!$B$6:$B$20,N11))/(INDEX(Distribution!$B$6:$B$20,N11+1)-INDEX(Distribution!$B$6:$B$20,N11))*(INDEX(Distribution!$L$6:$L$20,N11+1)-INDEX(Distribution!$L$6:$L$20,N11)))))</f>
        <v>0.85046</v>
      </c>
      <c r="P11" s="24" t="n">
        <f aca="false">LN(MIN(MAX(C11,0.0001),0.9999)/(1-MIN(MAX(C11,0.0001),0.9999)))</f>
        <v>1.02837121470178</v>
      </c>
      <c r="Q11" s="16" t="n">
        <f aca="false">IF(Analyst_Median&gt;0,A11*Market_Median/Analyst_Median,A11)</f>
        <v>76.7637761474152</v>
      </c>
      <c r="R11" s="26" t="n">
        <f aca="false">MIN(MAX(IFERROR(MATCH(Q11,Distribution!$A$6:$A$20,1),1),1),14)</f>
        <v>3</v>
      </c>
      <c r="S11" s="24" t="n">
        <f aca="false">1/(1+EXP(-(INDEX(Distribution!$P$6:$P$20,R11)+(LN(Q11)-INDEX(Distribution!$B$6:$B$20,R11))/(INDEX(Distribution!$B$6:$B$20,R11+1)-INDEX(Distribution!$B$6:$B$20,R11))*(INDEX(Distribution!$P$6:$P$20,R11+1)-INDEX(Distribution!$P$6:$P$20,R11)))))</f>
        <v>0.955957428150686</v>
      </c>
      <c r="T11" s="24" t="n">
        <f aca="false">W_Mkt*C11+W_Agents*O11</f>
        <v>0.7741738</v>
      </c>
      <c r="U11" s="27" t="n">
        <f aca="false">(1-W_Analyst)*T11+W_Analyst*S11</f>
        <v>0.7741738</v>
      </c>
      <c r="V11" s="24" t="n">
        <f aca="false">LN(MIN(MAX(U11,0.0001),0.9999)/(1-MIN(MAX(U11,0.0001),0.9999)))</f>
        <v>1.23203071931525</v>
      </c>
      <c r="W11" s="25" t="n">
        <v>0.7659</v>
      </c>
    </row>
    <row r="12" customFormat="false" ht="15" hidden="false" customHeight="false" outlineLevel="0" collapsed="false">
      <c r="A12" s="6" t="n">
        <v>133.32</v>
      </c>
      <c r="B12" s="24" t="n">
        <f aca="false">LN(A12)</f>
        <v>4.89275225343954</v>
      </c>
      <c r="C12" s="25" t="n">
        <v>0.6342</v>
      </c>
      <c r="D12" s="25" t="n">
        <v>0.7522</v>
      </c>
      <c r="E12" s="25" t="n">
        <v>0.7811</v>
      </c>
      <c r="F12" s="25" t="n">
        <v>0.7863</v>
      </c>
      <c r="G12" s="25" t="n">
        <v>0.7642</v>
      </c>
      <c r="H12" s="25" t="n">
        <v>0.7555</v>
      </c>
      <c r="I12" s="24" t="n">
        <f aca="false">AVERAGE(D12:H12)</f>
        <v>0.76786</v>
      </c>
      <c r="J12" s="25" t="n">
        <v>0.7678</v>
      </c>
      <c r="K12" s="24" t="n">
        <f aca="false">IF(AND(Sup_Used=1,ISNUMBER(J12)),J12,I12)</f>
        <v>0.76786</v>
      </c>
      <c r="L12" s="24" t="n">
        <f aca="false">LN(MIN(MAX(K12,0.0001),0.9999)/(1-MIN(MAX(K12,0.0001),0.9999)))</f>
        <v>1.19626678692338</v>
      </c>
      <c r="M12" s="16" t="n">
        <f aca="false">A12*EXP(-Platt_Shift)</f>
        <v>133.32</v>
      </c>
      <c r="N12" s="26" t="n">
        <f aca="false">MIN(MAX(IFERROR(MATCH(M12,Distribution!$A$6:$A$20,1),1),1),14)</f>
        <v>7</v>
      </c>
      <c r="O12" s="24" t="n">
        <f aca="false">1/(1+EXP(-(INDEX(Distribution!$L$6:$L$20,N12)+(LN(M12)-INDEX(Distribution!$B$6:$B$20,N12))/(INDEX(Distribution!$B$6:$B$20,N12+1)-INDEX(Distribution!$B$6:$B$20,N12))*(INDEX(Distribution!$L$6:$L$20,N12+1)-INDEX(Distribution!$L$6:$L$20,N12)))))</f>
        <v>0.76786</v>
      </c>
      <c r="P12" s="24" t="n">
        <f aca="false">LN(MIN(MAX(C12,0.0001),0.9999)/(1-MIN(MAX(C12,0.0001),0.9999)))</f>
        <v>0.550277626147482</v>
      </c>
      <c r="Q12" s="16" t="n">
        <f aca="false">IF(Analyst_Median&gt;0,A12*Market_Median/Analyst_Median,A12)</f>
        <v>86.3641066326869</v>
      </c>
      <c r="R12" s="26" t="n">
        <f aca="false">MIN(MAX(IFERROR(MATCH(Q12,Distribution!$A$6:$A$20,1),1),1),14)</f>
        <v>3</v>
      </c>
      <c r="S12" s="24" t="n">
        <f aca="false">1/(1+EXP(-(INDEX(Distribution!$P$6:$P$20,R12)+(LN(Q12)-INDEX(Distribution!$B$6:$B$20,R12))/(INDEX(Distribution!$B$6:$B$20,R12+1)-INDEX(Distribution!$B$6:$B$20,R12))*(INDEX(Distribution!$P$6:$P$20,R12+1)-INDEX(Distribution!$P$6:$P$20,R12)))))</f>
        <v>0.921458602632203</v>
      </c>
      <c r="T12" s="24" t="n">
        <f aca="false">W_Mkt*C12+W_Agents*O12</f>
        <v>0.6783078</v>
      </c>
      <c r="U12" s="27" t="n">
        <f aca="false">(1-W_Analyst)*T12+W_Analyst*S12</f>
        <v>0.6783078</v>
      </c>
      <c r="V12" s="24" t="n">
        <f aca="false">LN(MIN(MAX(U12,0.0001),0.9999)/(1-MIN(MAX(U12,0.0001),0.9999)))</f>
        <v>0.746005979463561</v>
      </c>
      <c r="W12" s="25" t="n">
        <v>0.6702</v>
      </c>
    </row>
    <row r="13" customFormat="false" ht="15" hidden="false" customHeight="false" outlineLevel="0" collapsed="false">
      <c r="A13" s="6" t="n">
        <v>148.13</v>
      </c>
      <c r="B13" s="24" t="n">
        <f aca="false">LN(A13)</f>
        <v>4.99809026659396</v>
      </c>
      <c r="C13" s="25" t="n">
        <v>0.5335</v>
      </c>
      <c r="D13" s="25" t="n">
        <v>0.6576</v>
      </c>
      <c r="E13" s="25" t="n">
        <v>0.6804</v>
      </c>
      <c r="F13" s="25" t="n">
        <v>0.6972</v>
      </c>
      <c r="G13" s="25" t="n">
        <v>0.6718</v>
      </c>
      <c r="H13" s="25" t="n">
        <v>0.6535</v>
      </c>
      <c r="I13" s="24" t="n">
        <f aca="false">AVERAGE(D13:H13)</f>
        <v>0.6721</v>
      </c>
      <c r="J13" s="25" t="n">
        <v>0.6721</v>
      </c>
      <c r="K13" s="24" t="n">
        <f aca="false">IF(AND(Sup_Used=1,ISNUMBER(J13)),J13,I13)</f>
        <v>0.6721</v>
      </c>
      <c r="L13" s="24" t="n">
        <f aca="false">LN(MIN(MAX(K13,0.0001),0.9999)/(1-MIN(MAX(K13,0.0001),0.9999)))</f>
        <v>0.717698455125318</v>
      </c>
      <c r="M13" s="16" t="n">
        <f aca="false">A13*EXP(-Platt_Shift)</f>
        <v>148.13</v>
      </c>
      <c r="N13" s="26" t="n">
        <f aca="false">MIN(MAX(IFERROR(MATCH(M13,Distribution!$A$6:$A$20,1),1),1),14)</f>
        <v>8</v>
      </c>
      <c r="O13" s="24" t="n">
        <f aca="false">1/(1+EXP(-(INDEX(Distribution!$L$6:$L$20,N13)+(LN(M13)-INDEX(Distribution!$B$6:$B$20,N13))/(INDEX(Distribution!$B$6:$B$20,N13+1)-INDEX(Distribution!$B$6:$B$20,N13))*(INDEX(Distribution!$L$6:$L$20,N13+1)-INDEX(Distribution!$L$6:$L$20,N13)))))</f>
        <v>0.6721</v>
      </c>
      <c r="P13" s="24" t="n">
        <f aca="false">LN(MIN(MAX(C13,0.0001),0.9999)/(1-MIN(MAX(C13,0.0001),0.9999)))</f>
        <v>0.134201050454409</v>
      </c>
      <c r="Q13" s="16" t="n">
        <f aca="false">IF(Analyst_Median&gt;0,A13*Market_Median/Analyst_Median,A13)</f>
        <v>95.9579591621655</v>
      </c>
      <c r="R13" s="26" t="n">
        <f aca="false">MIN(MAX(IFERROR(MATCH(Q13,Distribution!$A$6:$A$20,1),1),1),14)</f>
        <v>4</v>
      </c>
      <c r="S13" s="24" t="n">
        <f aca="false">1/(1+EXP(-(INDEX(Distribution!$P$6:$P$20,R13)+(LN(Q13)-INDEX(Distribution!$B$6:$B$20,R13))/(INDEX(Distribution!$B$6:$B$20,R13+1)-INDEX(Distribution!$B$6:$B$20,R13))*(INDEX(Distribution!$P$6:$P$20,R13+1)-INDEX(Distribution!$P$6:$P$20,R13)))))</f>
        <v>0.87625643283783</v>
      </c>
      <c r="T13" s="24" t="n">
        <f aca="false">W_Mkt*C13+W_Agents*O13</f>
        <v>0.579238</v>
      </c>
      <c r="U13" s="27" t="n">
        <f aca="false">(1-W_Analyst)*T13+W_Analyst*S13</f>
        <v>0.579238</v>
      </c>
      <c r="V13" s="24" t="n">
        <f aca="false">LN(MIN(MAX(U13,0.0001),0.9999)/(1-MIN(MAX(U13,0.0001),0.9999)))</f>
        <v>0.319646093490898</v>
      </c>
      <c r="W13" s="25" t="n">
        <v>0.5738</v>
      </c>
    </row>
    <row r="14" customFormat="false" ht="15" hidden="false" customHeight="false" outlineLevel="0" collapsed="false">
      <c r="A14" s="6" t="n">
        <v>162.94</v>
      </c>
      <c r="B14" s="24" t="n">
        <f aca="false">LN(A14)</f>
        <v>5.0933820348825</v>
      </c>
      <c r="C14" s="25" t="n">
        <v>0.4402</v>
      </c>
      <c r="D14" s="25" t="n">
        <v>0.5628</v>
      </c>
      <c r="E14" s="25" t="n">
        <v>0.5762</v>
      </c>
      <c r="F14" s="25" t="n">
        <v>0.5939</v>
      </c>
      <c r="G14" s="25" t="n">
        <v>0.5737</v>
      </c>
      <c r="H14" s="25" t="n">
        <v>0.5472</v>
      </c>
      <c r="I14" s="24" t="n">
        <f aca="false">AVERAGE(D14:H14)</f>
        <v>0.57076</v>
      </c>
      <c r="J14" s="25" t="n">
        <v>0.5707</v>
      </c>
      <c r="K14" s="24" t="n">
        <f aca="false">IF(AND(Sup_Used=1,ISNUMBER(J14)),J14,I14)</f>
        <v>0.57076</v>
      </c>
      <c r="L14" s="24" t="n">
        <f aca="false">LN(MIN(MAX(K14,0.0001),0.9999)/(1-MIN(MAX(K14,0.0001),0.9999)))</f>
        <v>0.284952603003448</v>
      </c>
      <c r="M14" s="16" t="n">
        <f aca="false">A14*EXP(-Platt_Shift)</f>
        <v>162.94</v>
      </c>
      <c r="N14" s="26" t="n">
        <f aca="false">MIN(MAX(IFERROR(MATCH(M14,Distribution!$A$6:$A$20,1),1),1),14)</f>
        <v>9</v>
      </c>
      <c r="O14" s="24" t="n">
        <f aca="false">1/(1+EXP(-(INDEX(Distribution!$L$6:$L$20,N14)+(LN(M14)-INDEX(Distribution!$B$6:$B$20,N14))/(INDEX(Distribution!$B$6:$B$20,N14+1)-INDEX(Distribution!$B$6:$B$20,N14))*(INDEX(Distribution!$L$6:$L$20,N14+1)-INDEX(Distribution!$L$6:$L$20,N14)))))</f>
        <v>0.57076</v>
      </c>
      <c r="P14" s="24" t="n">
        <f aca="false">LN(MIN(MAX(C14,0.0001),0.9999)/(1-MIN(MAX(C14,0.0001),0.9999)))</f>
        <v>-0.240350407988992</v>
      </c>
      <c r="Q14" s="16" t="n">
        <f aca="false">IF(Analyst_Median&gt;0,A14*Market_Median/Analyst_Median,A14)</f>
        <v>105.551811691644</v>
      </c>
      <c r="R14" s="26" t="n">
        <f aca="false">MIN(MAX(IFERROR(MATCH(Q14,Distribution!$A$6:$A$20,1),1),1),14)</f>
        <v>5</v>
      </c>
      <c r="S14" s="24" t="n">
        <f aca="false">1/(1+EXP(-(INDEX(Distribution!$P$6:$P$20,R14)+(LN(Q14)-INDEX(Distribution!$B$6:$B$20,R14))/(INDEX(Distribution!$B$6:$B$20,R14+1)-INDEX(Distribution!$B$6:$B$20,R14))*(INDEX(Distribution!$P$6:$P$20,R14+1)-INDEX(Distribution!$P$6:$P$20,R14)))))</f>
        <v>0.820898891939072</v>
      </c>
      <c r="T14" s="24" t="n">
        <f aca="false">W_Mkt*C14+W_Agents*O14</f>
        <v>0.4832848</v>
      </c>
      <c r="U14" s="27" t="n">
        <f aca="false">(1-W_Analyst)*T14+W_Analyst*S14</f>
        <v>0.4832848</v>
      </c>
      <c r="V14" s="24" t="n">
        <f aca="false">LN(MIN(MAX(U14,0.0001),0.9999)/(1-MIN(MAX(U14,0.0001),0.9999)))</f>
        <v>-0.0668857244057875</v>
      </c>
      <c r="W14" s="25" t="n">
        <v>0.4817</v>
      </c>
    </row>
    <row r="15" customFormat="false" ht="15" hidden="false" customHeight="false" outlineLevel="0" collapsed="false">
      <c r="A15" s="6" t="n">
        <v>177.76</v>
      </c>
      <c r="B15" s="24" t="n">
        <f aca="false">LN(A15)</f>
        <v>5.18043432589132</v>
      </c>
      <c r="C15" s="25" t="n">
        <v>0.3578</v>
      </c>
      <c r="D15" s="25" t="n">
        <v>0.4711</v>
      </c>
      <c r="E15" s="25" t="n">
        <v>0.4718</v>
      </c>
      <c r="F15" s="25" t="n">
        <v>0.4772</v>
      </c>
      <c r="G15" s="25" t="n">
        <v>0.4774</v>
      </c>
      <c r="H15" s="25" t="n">
        <v>0.4457</v>
      </c>
      <c r="I15" s="24" t="n">
        <f aca="false">AVERAGE(D15:H15)</f>
        <v>0.46864</v>
      </c>
      <c r="J15" s="25" t="n">
        <v>0.4687</v>
      </c>
      <c r="K15" s="24" t="n">
        <f aca="false">IF(AND(Sup_Used=1,ISNUMBER(J15)),J15,I15)</f>
        <v>0.46864</v>
      </c>
      <c r="L15" s="24" t="n">
        <f aca="false">LN(MIN(MAX(K15,0.0001),0.9999)/(1-MIN(MAX(K15,0.0001),0.9999)))</f>
        <v>-0.125604874549013</v>
      </c>
      <c r="M15" s="16" t="n">
        <f aca="false">A15*EXP(-Platt_Shift)</f>
        <v>177.76</v>
      </c>
      <c r="N15" s="26" t="n">
        <f aca="false">MIN(MAX(IFERROR(MATCH(M15,Distribution!$A$6:$A$20,1),1),1),14)</f>
        <v>10</v>
      </c>
      <c r="O15" s="24" t="n">
        <f aca="false">1/(1+EXP(-(INDEX(Distribution!$L$6:$L$20,N15)+(LN(M15)-INDEX(Distribution!$B$6:$B$20,N15))/(INDEX(Distribution!$B$6:$B$20,N15+1)-INDEX(Distribution!$B$6:$B$20,N15))*(INDEX(Distribution!$L$6:$L$20,N15+1)-INDEX(Distribution!$L$6:$L$20,N15)))))</f>
        <v>0.46864</v>
      </c>
      <c r="P15" s="24" t="n">
        <f aca="false">LN(MIN(MAX(C15,0.0001),0.9999)/(1-MIN(MAX(C15,0.0001),0.9999)))</f>
        <v>-0.584925610580795</v>
      </c>
      <c r="Q15" s="16" t="n">
        <f aca="false">IF(Analyst_Median&gt;0,A15*Market_Median/Analyst_Median,A15)</f>
        <v>115.152142176916</v>
      </c>
      <c r="R15" s="26" t="n">
        <f aca="false">MIN(MAX(IFERROR(MATCH(Q15,Distribution!$A$6:$A$20,1),1),1),14)</f>
        <v>5</v>
      </c>
      <c r="S15" s="24" t="n">
        <f aca="false">1/(1+EXP(-(INDEX(Distribution!$P$6:$P$20,R15)+(LN(Q15)-INDEX(Distribution!$B$6:$B$20,R15))/(INDEX(Distribution!$B$6:$B$20,R15+1)-INDEX(Distribution!$B$6:$B$20,R15))*(INDEX(Distribution!$P$6:$P$20,R15+1)-INDEX(Distribution!$P$6:$P$20,R15)))))</f>
        <v>0.759646430844216</v>
      </c>
      <c r="T15" s="24" t="n">
        <f aca="false">W_Mkt*C15+W_Agents*O15</f>
        <v>0.3943772</v>
      </c>
      <c r="U15" s="27" t="n">
        <f aca="false">(1-W_Analyst)*T15+W_Analyst*S15</f>
        <v>0.3943772</v>
      </c>
      <c r="V15" s="24" t="n">
        <f aca="false">LN(MIN(MAX(U15,0.0001),0.9999)/(1-MIN(MAX(U15,0.0001),0.9999)))</f>
        <v>-0.428949538300666</v>
      </c>
      <c r="W15" s="25" t="n">
        <v>0.3909</v>
      </c>
    </row>
    <row r="16" customFormat="false" ht="15" hidden="false" customHeight="false" outlineLevel="0" collapsed="false">
      <c r="A16" s="6" t="n">
        <v>199.98</v>
      </c>
      <c r="B16" s="24" t="n">
        <f aca="false">LN(A16)</f>
        <v>5.2982173615477</v>
      </c>
      <c r="C16" s="25" t="n">
        <v>0.2565</v>
      </c>
      <c r="D16" s="25" t="n">
        <v>0.3481</v>
      </c>
      <c r="E16" s="25" t="n">
        <v>0.3386</v>
      </c>
      <c r="F16" s="25" t="n">
        <v>0.314</v>
      </c>
      <c r="G16" s="25" t="n">
        <v>0.3477</v>
      </c>
      <c r="H16" s="25" t="n">
        <v>0.3079</v>
      </c>
      <c r="I16" s="24" t="n">
        <f aca="false">AVERAGE(D16:H16)</f>
        <v>0.33126</v>
      </c>
      <c r="J16" s="25" t="n">
        <v>0.3313</v>
      </c>
      <c r="K16" s="24" t="n">
        <f aca="false">IF(AND(Sup_Used=1,ISNUMBER(J16)),J16,I16)</f>
        <v>0.33126</v>
      </c>
      <c r="L16" s="24" t="n">
        <f aca="false">LN(MIN(MAX(K16,0.0001),0.9999)/(1-MIN(MAX(K16,0.0001),0.9999)))</f>
        <v>-0.702491779303379</v>
      </c>
      <c r="M16" s="16" t="n">
        <f aca="false">A16*EXP(-Platt_Shift)</f>
        <v>199.98</v>
      </c>
      <c r="N16" s="26" t="n">
        <f aca="false">MIN(MAX(IFERROR(MATCH(M16,Distribution!$A$6:$A$20,1),1),1),14)</f>
        <v>11</v>
      </c>
      <c r="O16" s="24" t="n">
        <f aca="false">1/(1+EXP(-(INDEX(Distribution!$L$6:$L$20,N16)+(LN(M16)-INDEX(Distribution!$B$6:$B$20,N16))/(INDEX(Distribution!$B$6:$B$20,N16+1)-INDEX(Distribution!$B$6:$B$20,N16))*(INDEX(Distribution!$L$6:$L$20,N16+1)-INDEX(Distribution!$L$6:$L$20,N16)))))</f>
        <v>0.33126</v>
      </c>
      <c r="P16" s="24" t="n">
        <f aca="false">LN(MIN(MAX(C16,0.0001),0.9999)/(1-MIN(MAX(C16,0.0001),0.9999)))</f>
        <v>-1.06424010128939</v>
      </c>
      <c r="Q16" s="16" t="n">
        <f aca="false">IF(Analyst_Median&gt;0,A16*Market_Median/Analyst_Median,A16)</f>
        <v>129.54615994903</v>
      </c>
      <c r="R16" s="26" t="n">
        <f aca="false">MIN(MAX(IFERROR(MATCH(Q16,Distribution!$A$6:$A$20,1),1),1),14)</f>
        <v>6</v>
      </c>
      <c r="S16" s="24" t="n">
        <f aca="false">1/(1+EXP(-(INDEX(Distribution!$P$6:$P$20,R16)+(LN(Q16)-INDEX(Distribution!$B$6:$B$20,R16))/(INDEX(Distribution!$B$6:$B$20,R16+1)-INDEX(Distribution!$B$6:$B$20,R16))*(INDEX(Distribution!$P$6:$P$20,R16+1)-INDEX(Distribution!$P$6:$P$20,R16)))))</f>
        <v>0.660781572060532</v>
      </c>
      <c r="T16" s="24" t="n">
        <f aca="false">W_Mkt*C16+W_Agents*O16</f>
        <v>0.2811708</v>
      </c>
      <c r="U16" s="27" t="n">
        <f aca="false">(1-W_Analyst)*T16+W_Analyst*S16</f>
        <v>0.2811708</v>
      </c>
      <c r="V16" s="24" t="n">
        <f aca="false">LN(MIN(MAX(U16,0.0001),0.9999)/(1-MIN(MAX(U16,0.0001),0.9999)))</f>
        <v>-0.938661463483387</v>
      </c>
      <c r="W16" s="25" t="n">
        <v>0.2546</v>
      </c>
    </row>
    <row r="17" customFormat="false" ht="15" hidden="false" customHeight="false" outlineLevel="0" collapsed="false">
      <c r="A17" s="6" t="n">
        <v>222.19</v>
      </c>
      <c r="B17" s="24" t="n">
        <f aca="false">LN(A17)</f>
        <v>5.40353287169235</v>
      </c>
      <c r="C17" s="25" t="n">
        <v>0.1805</v>
      </c>
      <c r="D17" s="25" t="n">
        <v>0.2502</v>
      </c>
      <c r="E17" s="25" t="n">
        <v>0.2341</v>
      </c>
      <c r="F17" s="25" t="n">
        <v>0.1941</v>
      </c>
      <c r="G17" s="25" t="n">
        <v>0.2424</v>
      </c>
      <c r="H17" s="25" t="n">
        <v>0.2054</v>
      </c>
      <c r="I17" s="24" t="n">
        <f aca="false">AVERAGE(D17:H17)</f>
        <v>0.22524</v>
      </c>
      <c r="J17" s="25" t="n">
        <v>0.2253</v>
      </c>
      <c r="K17" s="24" t="n">
        <f aca="false">IF(AND(Sup_Used=1,ISNUMBER(J17)),J17,I17)</f>
        <v>0.22524</v>
      </c>
      <c r="L17" s="24" t="n">
        <f aca="false">LN(MIN(MAX(K17,0.0001),0.9999)/(1-MIN(MAX(K17,0.0001),0.9999)))</f>
        <v>-1.23538680358762</v>
      </c>
      <c r="M17" s="16" t="n">
        <f aca="false">A17*EXP(-Platt_Shift)</f>
        <v>222.19</v>
      </c>
      <c r="N17" s="26" t="n">
        <f aca="false">MIN(MAX(IFERROR(MATCH(M17,Distribution!$A$6:$A$20,1),1),1),14)</f>
        <v>12</v>
      </c>
      <c r="O17" s="24" t="n">
        <f aca="false">1/(1+EXP(-(INDEX(Distribution!$L$6:$L$20,N17)+(LN(M17)-INDEX(Distribution!$B$6:$B$20,N17))/(INDEX(Distribution!$B$6:$B$20,N17+1)-INDEX(Distribution!$B$6:$B$20,N17))*(INDEX(Distribution!$L$6:$L$20,N17+1)-INDEX(Distribution!$L$6:$L$20,N17)))))</f>
        <v>0.22524</v>
      </c>
      <c r="P17" s="24" t="n">
        <f aca="false">LN(MIN(MAX(C17,0.0001),0.9999)/(1-MIN(MAX(C17,0.0001),0.9999)))</f>
        <v>-1.51296362041095</v>
      </c>
      <c r="Q17" s="16" t="n">
        <f aca="false">IF(Analyst_Median&gt;0,A17*Market_Median/Analyst_Median,A17)</f>
        <v>143.933699765352</v>
      </c>
      <c r="R17" s="26" t="n">
        <f aca="false">MIN(MAX(IFERROR(MATCH(Q17,Distribution!$A$6:$A$20,1),1),1),14)</f>
        <v>7</v>
      </c>
      <c r="S17" s="24" t="n">
        <f aca="false">1/(1+EXP(-(INDEX(Distribution!$P$6:$P$20,R17)+(LN(Q17)-INDEX(Distribution!$B$6:$B$20,R17))/(INDEX(Distribution!$B$6:$B$20,R17+1)-INDEX(Distribution!$B$6:$B$20,R17))*(INDEX(Distribution!$P$6:$P$20,R17+1)-INDEX(Distribution!$P$6:$P$20,R17)))))</f>
        <v>0.561613217361505</v>
      </c>
      <c r="T17" s="24" t="n">
        <f aca="false">W_Mkt*C17+W_Agents*O17</f>
        <v>0.1952642</v>
      </c>
      <c r="U17" s="27" t="n">
        <f aca="false">(1-W_Analyst)*T17+W_Analyst*S17</f>
        <v>0.1952642</v>
      </c>
      <c r="V17" s="24" t="n">
        <f aca="false">LN(MIN(MAX(U17,0.0001),0.9999)/(1-MIN(MAX(U17,0.0001),0.9999)))</f>
        <v>-1.41616051144378</v>
      </c>
      <c r="W17" s="25" t="n">
        <v>0.153</v>
      </c>
    </row>
    <row r="18" customFormat="false" ht="15" hidden="false" customHeight="false" outlineLevel="0" collapsed="false">
      <c r="A18" s="6" t="n">
        <v>259.23</v>
      </c>
      <c r="B18" s="24" t="n">
        <f aca="false">LN(A18)</f>
        <v>5.55771569852142</v>
      </c>
      <c r="C18" s="25" t="n">
        <v>0.0981</v>
      </c>
      <c r="D18" s="25" t="n">
        <v>0.1364</v>
      </c>
      <c r="E18" s="25" t="n">
        <v>0.1212</v>
      </c>
      <c r="F18" s="25" t="n">
        <v>0.0744</v>
      </c>
      <c r="G18" s="25" t="n">
        <v>0.1215</v>
      </c>
      <c r="H18" s="25" t="n">
        <v>0.0989</v>
      </c>
      <c r="I18" s="24" t="n">
        <f aca="false">AVERAGE(D18:H18)</f>
        <v>0.11048</v>
      </c>
      <c r="J18" s="25" t="n">
        <v>0.1107</v>
      </c>
      <c r="K18" s="24" t="n">
        <f aca="false">IF(AND(Sup_Used=1,ISNUMBER(J18)),J18,I18)</f>
        <v>0.11048</v>
      </c>
      <c r="L18" s="24" t="n">
        <f aca="false">LN(MIN(MAX(K18,0.0001),0.9999)/(1-MIN(MAX(K18,0.0001),0.9999)))</f>
        <v>-2.08584748229396</v>
      </c>
      <c r="M18" s="16" t="n">
        <f aca="false">A18*EXP(-Platt_Shift)</f>
        <v>259.23</v>
      </c>
      <c r="N18" s="26" t="n">
        <f aca="false">MIN(MAX(IFERROR(MATCH(M18,Distribution!$A$6:$A$20,1),1),1),14)</f>
        <v>13</v>
      </c>
      <c r="O18" s="24" t="n">
        <f aca="false">1/(1+EXP(-(INDEX(Distribution!$L$6:$L$20,N18)+(LN(M18)-INDEX(Distribution!$B$6:$B$20,N18))/(INDEX(Distribution!$B$6:$B$20,N18+1)-INDEX(Distribution!$B$6:$B$20,N18))*(INDEX(Distribution!$L$6:$L$20,N18+1)-INDEX(Distribution!$L$6:$L$20,N18)))))</f>
        <v>0.11048</v>
      </c>
      <c r="P18" s="24" t="n">
        <f aca="false">LN(MIN(MAX(C18,0.0001),0.9999)/(1-MIN(MAX(C18,0.0001),0.9999)))</f>
        <v>-2.21851628260035</v>
      </c>
      <c r="Q18" s="16" t="n">
        <f aca="false">IF(Analyst_Median&gt;0,A18*Market_Median/Analyst_Median,A18)</f>
        <v>167.928048022738</v>
      </c>
      <c r="R18" s="26" t="n">
        <f aca="false">MIN(MAX(IFERROR(MATCH(Q18,Distribution!$A$6:$A$20,1),1),1),14)</f>
        <v>9</v>
      </c>
      <c r="S18" s="24" t="n">
        <f aca="false">1/(1+EXP(-(INDEX(Distribution!$P$6:$P$20,R18)+(LN(Q18)-INDEX(Distribution!$B$6:$B$20,R18))/(INDEX(Distribution!$B$6:$B$20,R18+1)-INDEX(Distribution!$B$6:$B$20,R18))*(INDEX(Distribution!$P$6:$P$20,R18+1)-INDEX(Distribution!$P$6:$P$20,R18)))))</f>
        <v>0.411030754160646</v>
      </c>
      <c r="T18" s="24" t="n">
        <f aca="false">W_Mkt*C18+W_Agents*O18</f>
        <v>0.1021854</v>
      </c>
      <c r="U18" s="27" t="n">
        <f aca="false">(1-W_Analyst)*T18+W_Analyst*S18</f>
        <v>0.1021854</v>
      </c>
      <c r="V18" s="24" t="n">
        <f aca="false">LN(MIN(MAX(U18,0.0001),0.9999)/(1-MIN(MAX(U18,0.0001),0.9999)))</f>
        <v>-2.17317477776763</v>
      </c>
      <c r="W18" s="25" t="n">
        <v>0.0678</v>
      </c>
    </row>
    <row r="19" customFormat="false" ht="15" hidden="false" customHeight="false" outlineLevel="0" collapsed="false">
      <c r="A19" s="6" t="n">
        <v>296.26</v>
      </c>
      <c r="B19" s="24" t="n">
        <f aca="false">LN(A19)</f>
        <v>5.69123744715391</v>
      </c>
      <c r="C19" s="25" t="n">
        <v>0.0525</v>
      </c>
      <c r="D19" s="25" t="n">
        <v>0.071</v>
      </c>
      <c r="E19" s="25" t="n">
        <v>0.0619</v>
      </c>
      <c r="F19" s="25" t="n">
        <v>0.0269</v>
      </c>
      <c r="G19" s="25" t="n">
        <v>0.0584</v>
      </c>
      <c r="H19" s="25" t="n">
        <v>0.0464</v>
      </c>
      <c r="I19" s="24" t="n">
        <f aca="false">AVERAGE(D19:H19)</f>
        <v>0.05292</v>
      </c>
      <c r="J19" s="25" t="n">
        <v>0.053</v>
      </c>
      <c r="K19" s="24" t="n">
        <f aca="false">IF(AND(Sup_Used=1,ISNUMBER(J19)),J19,I19)</f>
        <v>0.05292</v>
      </c>
      <c r="L19" s="24" t="n">
        <f aca="false">LN(MIN(MAX(K19,0.0001),0.9999)/(1-MIN(MAX(K19,0.0001),0.9999)))</f>
        <v>-2.88460222766804</v>
      </c>
      <c r="M19" s="16" t="n">
        <f aca="false">A19*EXP(-Platt_Shift)</f>
        <v>296.26</v>
      </c>
      <c r="N19" s="26" t="n">
        <f aca="false">MIN(MAX(IFERROR(MATCH(M19,Distribution!$A$6:$A$20,1),1),1),14)</f>
        <v>14</v>
      </c>
      <c r="O19" s="24" t="n">
        <f aca="false">1/(1+EXP(-(INDEX(Distribution!$L$6:$L$20,N19)+(LN(M19)-INDEX(Distribution!$B$6:$B$20,N19))/(INDEX(Distribution!$B$6:$B$20,N19+1)-INDEX(Distribution!$B$6:$B$20,N19))*(INDEX(Distribution!$L$6:$L$20,N19+1)-INDEX(Distribution!$L$6:$L$20,N19)))))</f>
        <v>0.05292</v>
      </c>
      <c r="P19" s="24" t="n">
        <f aca="false">LN(MIN(MAX(C19,0.0001),0.9999)/(1-MIN(MAX(C19,0.0001),0.9999)))</f>
        <v>-2.893013767359</v>
      </c>
      <c r="Q19" s="16" t="n">
        <f aca="false">IF(Analyst_Median&gt;0,A19*Market_Median/Analyst_Median,A19)</f>
        <v>191.915918324331</v>
      </c>
      <c r="R19" s="26" t="n">
        <f aca="false">MIN(MAX(IFERROR(MATCH(Q19,Distribution!$A$6:$A$20,1),1),1),14)</f>
        <v>10</v>
      </c>
      <c r="S19" s="24" t="n">
        <f aca="false">1/(1+EXP(-(INDEX(Distribution!$P$6:$P$20,R19)+(LN(Q19)-INDEX(Distribution!$B$6:$B$20,R19))/(INDEX(Distribution!$B$6:$B$20,R19+1)-INDEX(Distribution!$B$6:$B$20,R19))*(INDEX(Distribution!$P$6:$P$20,R19+1)-INDEX(Distribution!$P$6:$P$20,R19)))))</f>
        <v>0.289720747686365</v>
      </c>
      <c r="T19" s="24" t="n">
        <f aca="false">W_Mkt*C19+W_Agents*O19</f>
        <v>0.0526386</v>
      </c>
      <c r="U19" s="27" t="n">
        <f aca="false">(1-W_Analyst)*T19+W_Analyst*S19</f>
        <v>0.0526386</v>
      </c>
      <c r="V19" s="24" t="n">
        <f aca="false">LN(MIN(MAX(U19,0.0001),0.9999)/(1-MIN(MAX(U19,0.0001),0.9999)))</f>
        <v>-2.89023095565458</v>
      </c>
      <c r="W19" s="25" t="n">
        <v>0.0332</v>
      </c>
    </row>
    <row r="20" customFormat="false" ht="15" hidden="false" customHeight="false" outlineLevel="0" collapsed="false">
      <c r="A20" s="6" t="n">
        <v>370.32</v>
      </c>
      <c r="B20" s="24" t="n">
        <f aca="false">LN(A20)</f>
        <v>5.91436749672302</v>
      </c>
      <c r="C20" s="25" t="n">
        <v>0.015</v>
      </c>
      <c r="D20" s="25" t="n">
        <v>0.0188</v>
      </c>
      <c r="E20" s="25" t="n">
        <v>0.017</v>
      </c>
      <c r="F20" s="25" t="n">
        <v>0.005</v>
      </c>
      <c r="G20" s="25" t="n">
        <v>0.0144</v>
      </c>
      <c r="H20" s="25" t="n">
        <v>0.0112</v>
      </c>
      <c r="I20" s="24" t="n">
        <f aca="false">AVERAGE(D20:H20)</f>
        <v>0.01328</v>
      </c>
      <c r="J20" s="25" t="n">
        <v>0.0133</v>
      </c>
      <c r="K20" s="24" t="n">
        <f aca="false">IF(AND(Sup_Used=1,ISNUMBER(J20)),J20,I20)</f>
        <v>0.01328</v>
      </c>
      <c r="L20" s="24" t="n">
        <f aca="false">LN(MIN(MAX(K20,0.0001),0.9999)/(1-MIN(MAX(K20,0.0001),0.9999)))</f>
        <v>-4.3081271671949</v>
      </c>
      <c r="M20" s="16" t="n">
        <f aca="false">A20*EXP(-Platt_Shift)</f>
        <v>370.32</v>
      </c>
      <c r="N20" s="26" t="n">
        <f aca="false">MIN(MAX(IFERROR(MATCH(M20,Distribution!$A$6:$A$20,1),1),1),14)</f>
        <v>14</v>
      </c>
      <c r="O20" s="24" t="n">
        <f aca="false">1/(1+EXP(-(INDEX(Distribution!$L$6:$L$20,N20)+(LN(M20)-INDEX(Distribution!$B$6:$B$20,N20))/(INDEX(Distribution!$B$6:$B$20,N20+1)-INDEX(Distribution!$B$6:$B$20,N20))*(INDEX(Distribution!$L$6:$L$20,N20+1)-INDEX(Distribution!$L$6:$L$20,N20)))))</f>
        <v>0.01328</v>
      </c>
      <c r="P20" s="24" t="n">
        <f aca="false">LN(MIN(MAX(C20,0.0001),0.9999)/(1-MIN(MAX(C20,0.0001),0.9999)))</f>
        <v>-4.18459144006988</v>
      </c>
      <c r="Q20" s="16" t="n">
        <f aca="false">IF(Analyst_Median&gt;0,A20*Market_Median/Analyst_Median,A20)</f>
        <v>239.891658927517</v>
      </c>
      <c r="R20" s="26" t="n">
        <f aca="false">MIN(MAX(IFERROR(MATCH(Q20,Distribution!$A$6:$A$20,1),1),1),14)</f>
        <v>12</v>
      </c>
      <c r="S20" s="24" t="n">
        <f aca="false">1/(1+EXP(-(INDEX(Distribution!$P$6:$P$20,R20)+(LN(Q20)-INDEX(Distribution!$B$6:$B$20,R20))/(INDEX(Distribution!$B$6:$B$20,R20+1)-INDEX(Distribution!$B$6:$B$20,R20))*(INDEX(Distribution!$P$6:$P$20,R20+1)-INDEX(Distribution!$P$6:$P$20,R20)))))</f>
        <v>0.134267634634902</v>
      </c>
      <c r="T20" s="24" t="n">
        <f aca="false">W_Mkt*C20+W_Agents*O20</f>
        <v>0.0144324</v>
      </c>
      <c r="U20" s="27" t="n">
        <f aca="false">(1-W_Analyst)*T20+W_Analyst*S20</f>
        <v>0.0144324</v>
      </c>
      <c r="V20" s="24" t="n">
        <f aca="false">LN(MIN(MAX(U20,0.0001),0.9999)/(1-MIN(MAX(U20,0.0001),0.9999)))</f>
        <v>-4.22374203973986</v>
      </c>
      <c r="W20" s="25" t="n">
        <v>0.0093</v>
      </c>
    </row>
    <row r="22" customFormat="false" ht="15" hidden="false" customHeight="false" outlineLevel="0" collapsed="false">
      <c r="A22" s="2"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3"/>
    <col collapsed="false" customWidth="true" hidden="false" outlineLevel="0" max="4" min="4" style="0" width="9"/>
    <col collapsed="false" customWidth="true" hidden="false" outlineLevel="0" max="5" min="5" style="0" width="13"/>
    <col collapsed="false" customWidth="true" hidden="false" outlineLevel="0" max="6" min="6" style="0" width="44"/>
    <col collapsed="false" customWidth="true" hidden="false" outlineLevel="0" max="7" min="7" style="0" width="90"/>
  </cols>
  <sheetData>
    <row r="1" customFormat="false" ht="17.35" hidden="false" customHeight="false" outlineLevel="0" collapsed="false">
      <c r="A1" s="1" t="s">
        <v>103</v>
      </c>
    </row>
    <row r="2" customFormat="false" ht="15" hidden="false" customHeight="false" outlineLevel="0" collapsed="false">
      <c r="A2" s="2" t="s">
        <v>104</v>
      </c>
    </row>
    <row r="4" customFormat="false" ht="23.85" hidden="false" customHeight="false" outlineLevel="0" collapsed="false">
      <c r="A4" s="23" t="s">
        <v>105</v>
      </c>
      <c r="B4" s="23" t="s">
        <v>106</v>
      </c>
      <c r="C4" s="23" t="s">
        <v>107</v>
      </c>
      <c r="D4" s="23" t="s">
        <v>108</v>
      </c>
      <c r="E4" s="23" t="s">
        <v>109</v>
      </c>
      <c r="F4" s="23" t="s">
        <v>110</v>
      </c>
      <c r="G4" s="23" t="s">
        <v>111</v>
      </c>
    </row>
    <row r="5" customFormat="false" ht="15" hidden="false" customHeight="false" outlineLevel="0" collapsed="false">
      <c r="A5" s="5" t="s">
        <v>29</v>
      </c>
      <c r="B5" s="28" t="s">
        <v>112</v>
      </c>
      <c r="C5" s="6" t="n">
        <v>183</v>
      </c>
      <c r="D5" s="12" t="n">
        <v>0.65</v>
      </c>
      <c r="E5" s="16" t="n">
        <f aca="false">C5*D5</f>
        <v>118.95</v>
      </c>
      <c r="F5" s="28"/>
      <c r="G5" s="28" t="s">
        <v>113</v>
      </c>
    </row>
    <row r="6" customFormat="false" ht="23.85" hidden="false" customHeight="false" outlineLevel="0" collapsed="false">
      <c r="A6" s="5" t="s">
        <v>29</v>
      </c>
      <c r="B6" s="28" t="s">
        <v>114</v>
      </c>
      <c r="C6" s="6" t="n">
        <v>202</v>
      </c>
      <c r="D6" s="12" t="n">
        <v>0.35</v>
      </c>
      <c r="E6" s="16" t="n">
        <f aca="false">C6*D6</f>
        <v>70.7</v>
      </c>
      <c r="F6" s="28"/>
      <c r="G6" s="28" t="s">
        <v>115</v>
      </c>
    </row>
    <row r="7" customFormat="false" ht="23.85" hidden="false" customHeight="false" outlineLevel="0" collapsed="false">
      <c r="A7" s="29" t="s">
        <v>29</v>
      </c>
      <c r="B7" s="29" t="s">
        <v>116</v>
      </c>
      <c r="C7" s="30" t="n">
        <f aca="false">IF(SUM(D5:D6)&gt;0,SUMPRODUCT(C5:C6,D5:D6)/SUM(D5:D6),"")</f>
        <v>189.65</v>
      </c>
      <c r="D7" s="31" t="n">
        <f aca="false">SUM(D5:D6)</f>
        <v>1</v>
      </c>
      <c r="E7" s="32" t="n">
        <v>190</v>
      </c>
      <c r="F7" s="29" t="s">
        <v>117</v>
      </c>
      <c r="G7" s="33" t="s">
        <v>118</v>
      </c>
    </row>
    <row r="9" customFormat="false" ht="23.85" hidden="false" customHeight="false" outlineLevel="0" collapsed="false">
      <c r="A9" s="5" t="s">
        <v>30</v>
      </c>
      <c r="B9" s="28" t="s">
        <v>112</v>
      </c>
      <c r="C9" s="6" t="n">
        <v>185</v>
      </c>
      <c r="D9" s="12" t="n">
        <v>0.6</v>
      </c>
      <c r="E9" s="16" t="n">
        <f aca="false">C9*D9</f>
        <v>111</v>
      </c>
      <c r="F9" s="28"/>
      <c r="G9" s="28" t="s">
        <v>119</v>
      </c>
    </row>
    <row r="10" customFormat="false" ht="15" hidden="false" customHeight="false" outlineLevel="0" collapsed="false">
      <c r="A10" s="5" t="s">
        <v>30</v>
      </c>
      <c r="B10" s="28" t="s">
        <v>114</v>
      </c>
      <c r="C10" s="6" t="n">
        <v>194</v>
      </c>
      <c r="D10" s="12" t="n">
        <v>0.4</v>
      </c>
      <c r="E10" s="16" t="n">
        <f aca="false">C10*D10</f>
        <v>77.6</v>
      </c>
      <c r="F10" s="28"/>
      <c r="G10" s="28" t="s">
        <v>120</v>
      </c>
    </row>
    <row r="11" customFormat="false" ht="23.85" hidden="false" customHeight="false" outlineLevel="0" collapsed="false">
      <c r="A11" s="29" t="s">
        <v>30</v>
      </c>
      <c r="B11" s="29" t="s">
        <v>116</v>
      </c>
      <c r="C11" s="30" t="n">
        <f aca="false">IF(SUM(D9:D10)&gt;0,SUMPRODUCT(C9:C10,D9:D10)/SUM(D9:D10),"")</f>
        <v>188.6</v>
      </c>
      <c r="D11" s="31" t="n">
        <f aca="false">SUM(D9:D10)</f>
        <v>1</v>
      </c>
      <c r="E11" s="32" t="n">
        <v>188</v>
      </c>
      <c r="F11" s="29" t="s">
        <v>117</v>
      </c>
      <c r="G11" s="33" t="s">
        <v>121</v>
      </c>
    </row>
    <row r="13" customFormat="false" ht="15" hidden="false" customHeight="false" outlineLevel="0" collapsed="false">
      <c r="A13" s="5" t="s">
        <v>31</v>
      </c>
      <c r="B13" s="28" t="s">
        <v>112</v>
      </c>
      <c r="C13" s="6" t="n">
        <v>185</v>
      </c>
      <c r="D13" s="12" t="n">
        <v>0.5</v>
      </c>
      <c r="E13" s="16" t="n">
        <f aca="false">C13*D13</f>
        <v>92.5</v>
      </c>
      <c r="F13" s="28"/>
      <c r="G13" s="28" t="s">
        <v>122</v>
      </c>
    </row>
    <row r="14" customFormat="false" ht="15" hidden="false" customHeight="false" outlineLevel="0" collapsed="false">
      <c r="A14" s="5" t="s">
        <v>31</v>
      </c>
      <c r="B14" s="28" t="s">
        <v>114</v>
      </c>
      <c r="C14" s="6" t="n">
        <v>183</v>
      </c>
      <c r="D14" s="12" t="n">
        <v>0.5</v>
      </c>
      <c r="E14" s="16" t="n">
        <f aca="false">C14*D14</f>
        <v>91.5</v>
      </c>
      <c r="F14" s="28"/>
      <c r="G14" s="28" t="s">
        <v>123</v>
      </c>
    </row>
    <row r="15" customFormat="false" ht="35.05" hidden="false" customHeight="false" outlineLevel="0" collapsed="false">
      <c r="A15" s="29" t="s">
        <v>31</v>
      </c>
      <c r="B15" s="29" t="s">
        <v>116</v>
      </c>
      <c r="C15" s="30" t="n">
        <f aca="false">IF(SUM(D13:D14)&gt;0,SUMPRODUCT(C13:C14,D13:D14)/SUM(D13:D14),"")</f>
        <v>184</v>
      </c>
      <c r="D15" s="31" t="n">
        <f aca="false">SUM(D13:D14)</f>
        <v>1</v>
      </c>
      <c r="E15" s="32" t="n">
        <v>184</v>
      </c>
      <c r="F15" s="29" t="s">
        <v>117</v>
      </c>
      <c r="G15" s="33" t="s">
        <v>124</v>
      </c>
    </row>
    <row r="17" customFormat="false" ht="15" hidden="false" customHeight="false" outlineLevel="0" collapsed="false">
      <c r="A17" s="5" t="s">
        <v>32</v>
      </c>
      <c r="B17" s="28" t="s">
        <v>112</v>
      </c>
      <c r="C17" s="6" t="n">
        <v>194</v>
      </c>
      <c r="D17" s="12" t="n">
        <v>0.6</v>
      </c>
      <c r="E17" s="16" t="n">
        <f aca="false">C17*D17</f>
        <v>116.4</v>
      </c>
      <c r="F17" s="28"/>
      <c r="G17" s="28" t="s">
        <v>125</v>
      </c>
    </row>
    <row r="18" customFormat="false" ht="15" hidden="false" customHeight="false" outlineLevel="0" collapsed="false">
      <c r="A18" s="5" t="s">
        <v>32</v>
      </c>
      <c r="B18" s="28" t="s">
        <v>114</v>
      </c>
      <c r="C18" s="6" t="n">
        <v>195</v>
      </c>
      <c r="D18" s="12" t="n">
        <v>0.4</v>
      </c>
      <c r="E18" s="16" t="n">
        <f aca="false">C18*D18</f>
        <v>78</v>
      </c>
      <c r="F18" s="28"/>
      <c r="G18" s="28" t="s">
        <v>126</v>
      </c>
    </row>
    <row r="19" customFormat="false" ht="35.05" hidden="false" customHeight="false" outlineLevel="0" collapsed="false">
      <c r="A19" s="29" t="s">
        <v>32</v>
      </c>
      <c r="B19" s="29" t="s">
        <v>116</v>
      </c>
      <c r="C19" s="30" t="n">
        <f aca="false">IF(SUM(D17:D18)&gt;0,SUMPRODUCT(C17:C18,D17:D18)/SUM(D17:D18),"")</f>
        <v>194.4</v>
      </c>
      <c r="D19" s="31" t="n">
        <f aca="false">SUM(D17:D18)</f>
        <v>1</v>
      </c>
      <c r="E19" s="32" t="n">
        <v>194</v>
      </c>
      <c r="F19" s="29" t="s">
        <v>117</v>
      </c>
      <c r="G19" s="33" t="s">
        <v>127</v>
      </c>
    </row>
    <row r="21" customFormat="false" ht="15" hidden="false" customHeight="false" outlineLevel="0" collapsed="false">
      <c r="A21" s="5" t="s">
        <v>33</v>
      </c>
      <c r="B21" s="28" t="s">
        <v>112</v>
      </c>
      <c r="C21" s="6" t="n">
        <v>198</v>
      </c>
      <c r="D21" s="12" t="n">
        <v>0.6</v>
      </c>
      <c r="E21" s="16" t="n">
        <f aca="false">C21*D21</f>
        <v>118.8</v>
      </c>
      <c r="F21" s="28"/>
      <c r="G21" s="28" t="s">
        <v>128</v>
      </c>
    </row>
    <row r="22" customFormat="false" ht="23.85" hidden="false" customHeight="false" outlineLevel="0" collapsed="false">
      <c r="A22" s="5" t="s">
        <v>33</v>
      </c>
      <c r="B22" s="28" t="s">
        <v>114</v>
      </c>
      <c r="C22" s="6" t="n">
        <v>201</v>
      </c>
      <c r="D22" s="12" t="n">
        <v>0.4</v>
      </c>
      <c r="E22" s="16" t="n">
        <f aca="false">C22*D22</f>
        <v>80.4</v>
      </c>
      <c r="F22" s="28"/>
      <c r="G22" s="28" t="s">
        <v>129</v>
      </c>
    </row>
    <row r="23" customFormat="false" ht="57.45" hidden="false" customHeight="false" outlineLevel="0" collapsed="false">
      <c r="A23" s="29" t="s">
        <v>33</v>
      </c>
      <c r="B23" s="29" t="s">
        <v>116</v>
      </c>
      <c r="C23" s="30" t="n">
        <f aca="false">IF(SUM(D21:D22)&gt;0,SUMPRODUCT(C21:C22,D21:D22)/SUM(D21:D22),"")</f>
        <v>199.2</v>
      </c>
      <c r="D23" s="31" t="n">
        <f aca="false">SUM(D21:D22)</f>
        <v>1</v>
      </c>
      <c r="E23" s="32" t="n">
        <v>199</v>
      </c>
      <c r="F23" s="29" t="s">
        <v>117</v>
      </c>
      <c r="G23" s="33"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3"/>
    <col collapsed="false" customWidth="true" hidden="false" outlineLevel="0" max="7" min="5" style="0" width="50"/>
  </cols>
  <sheetData>
    <row r="1" customFormat="false" ht="17.35" hidden="false" customHeight="false" outlineLevel="0" collapsed="false">
      <c r="A1" s="1" t="s">
        <v>131</v>
      </c>
    </row>
    <row r="2" customFormat="false" ht="15" hidden="false" customHeight="false" outlineLevel="0" collapsed="false">
      <c r="A2" s="2" t="s">
        <v>132</v>
      </c>
    </row>
    <row r="4" customFormat="false" ht="23.85" hidden="false" customHeight="false" outlineLevel="0" collapsed="false">
      <c r="A4" s="23" t="s">
        <v>105</v>
      </c>
      <c r="B4" s="23" t="s">
        <v>133</v>
      </c>
      <c r="C4" s="23" t="s">
        <v>134</v>
      </c>
      <c r="D4" s="23" t="s">
        <v>135</v>
      </c>
      <c r="E4" s="23" t="s">
        <v>136</v>
      </c>
      <c r="F4" s="23" t="s">
        <v>137</v>
      </c>
      <c r="G4" s="23" t="s">
        <v>138</v>
      </c>
    </row>
    <row r="5" customFormat="false" ht="57.45" hidden="false" customHeight="false" outlineLevel="0" collapsed="false">
      <c r="A5" s="5" t="s">
        <v>29</v>
      </c>
      <c r="B5" s="6" t="n">
        <v>120</v>
      </c>
      <c r="C5" s="6" t="n">
        <v>186</v>
      </c>
      <c r="D5" s="6" t="n">
        <v>255</v>
      </c>
      <c r="E5" s="28" t="s">
        <v>139</v>
      </c>
      <c r="F5" s="28" t="s">
        <v>140</v>
      </c>
      <c r="G5" s="28" t="s">
        <v>141</v>
      </c>
    </row>
    <row r="6" customFormat="false" ht="68.65" hidden="false" customHeight="false" outlineLevel="0" collapsed="false">
      <c r="A6" s="5" t="s">
        <v>30</v>
      </c>
      <c r="B6" s="6" t="n">
        <v>110</v>
      </c>
      <c r="C6" s="6" t="n">
        <v>183</v>
      </c>
      <c r="D6" s="6" t="n">
        <v>238</v>
      </c>
      <c r="E6" s="28" t="s">
        <v>142</v>
      </c>
      <c r="F6" s="28" t="s">
        <v>143</v>
      </c>
      <c r="G6" s="28" t="s">
        <v>144</v>
      </c>
    </row>
    <row r="7" customFormat="false" ht="124.6" hidden="false" customHeight="false" outlineLevel="0" collapsed="false">
      <c r="A7" s="5" t="s">
        <v>31</v>
      </c>
      <c r="B7" s="6" t="n">
        <v>116</v>
      </c>
      <c r="C7" s="6" t="n">
        <v>175</v>
      </c>
      <c r="D7" s="6" t="n">
        <v>228</v>
      </c>
      <c r="E7" s="28" t="s">
        <v>145</v>
      </c>
      <c r="F7" s="28" t="s">
        <v>146</v>
      </c>
      <c r="G7" s="28" t="s">
        <v>147</v>
      </c>
    </row>
    <row r="8" customFormat="false" ht="68.65" hidden="false" customHeight="false" outlineLevel="0" collapsed="false">
      <c r="A8" s="5" t="s">
        <v>32</v>
      </c>
      <c r="B8" s="6" t="n">
        <v>115</v>
      </c>
      <c r="C8" s="6" t="n">
        <v>185</v>
      </c>
      <c r="D8" s="6" t="n">
        <v>240</v>
      </c>
      <c r="E8" s="28" t="s">
        <v>148</v>
      </c>
      <c r="F8" s="28" t="s">
        <v>149</v>
      </c>
      <c r="G8" s="28" t="s">
        <v>150</v>
      </c>
    </row>
    <row r="9" customFormat="false" ht="57.45" hidden="false" customHeight="false" outlineLevel="0" collapsed="false">
      <c r="A9" s="5" t="s">
        <v>33</v>
      </c>
      <c r="B9" s="6" t="n">
        <v>115</v>
      </c>
      <c r="C9" s="6" t="n">
        <v>180</v>
      </c>
      <c r="D9" s="6" t="n">
        <v>235</v>
      </c>
      <c r="E9" s="28" t="s">
        <v>151</v>
      </c>
      <c r="F9" s="28" t="s">
        <v>152</v>
      </c>
      <c r="G9" s="28" t="s">
        <v>153</v>
      </c>
    </row>
    <row r="10" customFormat="false" ht="15" hidden="false" customHeight="false" outlineLevel="0" collapsed="false">
      <c r="A10" s="14" t="s">
        <v>154</v>
      </c>
      <c r="B10" s="15" t="n">
        <f aca="false">AVERAGE(B5:B9)</f>
        <v>115.2</v>
      </c>
      <c r="C10" s="15" t="n">
        <f aca="false">AVERAGE(C5:C9)</f>
        <v>181.8</v>
      </c>
      <c r="D10" s="15" t="n">
        <f aca="false">AVERAGE(D5:D9)</f>
        <v>239.2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2"/>
    <col collapsed="false" customWidth="true" hidden="false" outlineLevel="0" max="5" min="5" style="0" width="90"/>
    <col collapsed="false" customWidth="true" hidden="false" outlineLevel="0" max="6" min="6" style="0" width="50"/>
    <col collapsed="false" customWidth="true" hidden="false" outlineLevel="0" max="7" min="7" style="0" width="60"/>
    <col collapsed="false" customWidth="true" hidden="false" outlineLevel="0" max="8" min="8" style="0" width="70"/>
  </cols>
  <sheetData>
    <row r="1" customFormat="false" ht="17.35" hidden="false" customHeight="false" outlineLevel="0" collapsed="false">
      <c r="A1" s="1" t="s">
        <v>155</v>
      </c>
    </row>
    <row r="2" customFormat="false" ht="15" hidden="false" customHeight="false" outlineLevel="0" collapsed="false">
      <c r="A2" s="2" t="s">
        <v>156</v>
      </c>
    </row>
    <row r="4" customFormat="false" ht="35.05" hidden="false" customHeight="false" outlineLevel="0" collapsed="false">
      <c r="A4" s="23" t="s">
        <v>105</v>
      </c>
      <c r="B4" s="23" t="s">
        <v>157</v>
      </c>
      <c r="C4" s="23" t="s">
        <v>158</v>
      </c>
      <c r="D4" s="23" t="s">
        <v>159</v>
      </c>
      <c r="E4" s="23" t="s">
        <v>66</v>
      </c>
      <c r="F4" s="23" t="s">
        <v>160</v>
      </c>
      <c r="G4" s="23" t="s">
        <v>161</v>
      </c>
      <c r="H4" s="23" t="s">
        <v>162</v>
      </c>
    </row>
    <row r="5" customFormat="false" ht="370.85" hidden="false" customHeight="false" outlineLevel="0" collapsed="false">
      <c r="A5" s="5" t="s">
        <v>29</v>
      </c>
      <c r="B5" s="6"/>
      <c r="C5" s="6" t="n">
        <v>190</v>
      </c>
      <c r="D5" s="6" t="n">
        <v>118</v>
      </c>
      <c r="E5" s="28" t="s">
        <v>163</v>
      </c>
      <c r="F5" s="28" t="s">
        <v>164</v>
      </c>
      <c r="G5" s="28" t="s">
        <v>165</v>
      </c>
      <c r="H5" s="28" t="s">
        <v>166</v>
      </c>
    </row>
    <row r="6" customFormat="false" ht="393.25" hidden="false" customHeight="false" outlineLevel="0" collapsed="false">
      <c r="A6" s="5" t="s">
        <v>30</v>
      </c>
      <c r="B6" s="6"/>
      <c r="C6" s="6" t="n">
        <v>188</v>
      </c>
      <c r="D6" s="6" t="n">
        <v>118</v>
      </c>
      <c r="E6" s="28" t="s">
        <v>167</v>
      </c>
      <c r="F6" s="28" t="s">
        <v>168</v>
      </c>
      <c r="G6" s="28" t="s">
        <v>169</v>
      </c>
      <c r="H6" s="28" t="s">
        <v>170</v>
      </c>
    </row>
    <row r="7" customFormat="false" ht="337.3" hidden="false" customHeight="false" outlineLevel="0" collapsed="false">
      <c r="A7" s="5" t="s">
        <v>31</v>
      </c>
      <c r="B7" s="6"/>
      <c r="C7" s="6" t="n">
        <v>184</v>
      </c>
      <c r="D7" s="6" t="n">
        <v>118</v>
      </c>
      <c r="E7" s="28" t="s">
        <v>171</v>
      </c>
      <c r="F7" s="28" t="s">
        <v>172</v>
      </c>
      <c r="G7" s="28" t="s">
        <v>173</v>
      </c>
      <c r="H7" s="28" t="s">
        <v>174</v>
      </c>
    </row>
    <row r="8" customFormat="false" ht="460.4" hidden="false" customHeight="false" outlineLevel="0" collapsed="false">
      <c r="A8" s="5" t="s">
        <v>32</v>
      </c>
      <c r="B8" s="6"/>
      <c r="C8" s="6" t="n">
        <v>194</v>
      </c>
      <c r="D8" s="6" t="n">
        <v>118</v>
      </c>
      <c r="E8" s="28" t="s">
        <v>175</v>
      </c>
      <c r="F8" s="28" t="s">
        <v>176</v>
      </c>
      <c r="G8" s="28" t="s">
        <v>177</v>
      </c>
      <c r="H8" s="28" t="s">
        <v>178</v>
      </c>
    </row>
    <row r="9" customFormat="false" ht="292.5" hidden="false" customHeight="false" outlineLevel="0" collapsed="false">
      <c r="A9" s="5" t="s">
        <v>33</v>
      </c>
      <c r="B9" s="6"/>
      <c r="C9" s="6" t="n">
        <v>199</v>
      </c>
      <c r="D9" s="6" t="n">
        <v>118</v>
      </c>
      <c r="E9" s="28" t="s">
        <v>179</v>
      </c>
      <c r="F9" s="28" t="s">
        <v>180</v>
      </c>
      <c r="G9" s="28" t="s">
        <v>181</v>
      </c>
      <c r="H9" s="28"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60"/>
    <col collapsed="false" customWidth="true" hidden="false" outlineLevel="0" max="4" min="4" style="0" width="50"/>
  </cols>
  <sheetData>
    <row r="1" customFormat="false" ht="17.35" hidden="false" customHeight="false" outlineLevel="0" collapsed="false">
      <c r="A1" s="1" t="s">
        <v>183</v>
      </c>
    </row>
    <row r="2" customFormat="false" ht="15" hidden="false" customHeight="false" outlineLevel="0" collapsed="false">
      <c r="A2" s="2" t="s">
        <v>184</v>
      </c>
    </row>
    <row r="4" customFormat="false" ht="68.65" hidden="false" customHeight="true" outlineLevel="0" collapsed="false">
      <c r="A4" s="14" t="s">
        <v>185</v>
      </c>
      <c r="B4" s="34" t="s">
        <v>186</v>
      </c>
      <c r="C4" s="34"/>
      <c r="D4" s="34"/>
    </row>
    <row r="5" customFormat="false" ht="68.65" hidden="false" customHeight="true" outlineLevel="0" collapsed="false">
      <c r="A5" s="14" t="s">
        <v>187</v>
      </c>
      <c r="B5" s="34" t="s">
        <v>37</v>
      </c>
      <c r="C5" s="34"/>
      <c r="D5" s="34"/>
    </row>
    <row r="6" customFormat="false" ht="68.65" hidden="false" customHeight="true" outlineLevel="0" collapsed="false">
      <c r="A6" s="14" t="s">
        <v>188</v>
      </c>
      <c r="B6" s="34" t="s">
        <v>189</v>
      </c>
      <c r="C6" s="34"/>
      <c r="D6" s="34"/>
    </row>
    <row r="8" customFormat="false" ht="15" hidden="false" customHeight="false" outlineLevel="0" collapsed="false">
      <c r="A8" s="35" t="s">
        <v>190</v>
      </c>
    </row>
    <row r="9" customFormat="false" ht="15" hidden="false" customHeight="false" outlineLevel="0" collapsed="false">
      <c r="A9" s="36" t="s">
        <v>191</v>
      </c>
      <c r="B9" s="36" t="s">
        <v>192</v>
      </c>
      <c r="C9" s="36" t="s">
        <v>193</v>
      </c>
      <c r="D9" s="36" t="s">
        <v>194</v>
      </c>
    </row>
    <row r="10" customFormat="false" ht="102.2" hidden="false" customHeight="false" outlineLevel="0" collapsed="false">
      <c r="A10" s="28" t="s">
        <v>195</v>
      </c>
      <c r="B10" s="28" t="s">
        <v>196</v>
      </c>
      <c r="C10" s="28" t="s">
        <v>197</v>
      </c>
      <c r="D10" s="28" t="s">
        <v>198</v>
      </c>
    </row>
    <row r="11" customFormat="false" ht="68.65" hidden="false" customHeight="false" outlineLevel="0" collapsed="false">
      <c r="A11" s="28" t="s">
        <v>199</v>
      </c>
      <c r="B11" s="28" t="s">
        <v>200</v>
      </c>
      <c r="C11" s="28" t="s">
        <v>201</v>
      </c>
      <c r="D11" s="28" t="s">
        <v>202</v>
      </c>
    </row>
    <row r="12" customFormat="false" ht="102.2" hidden="false" customHeight="false" outlineLevel="0" collapsed="false">
      <c r="A12" s="28" t="s">
        <v>203</v>
      </c>
      <c r="B12" s="28" t="s">
        <v>204</v>
      </c>
      <c r="C12" s="28" t="s">
        <v>205</v>
      </c>
      <c r="D12" s="28" t="s">
        <v>206</v>
      </c>
    </row>
    <row r="13" customFormat="false" ht="46.25" hidden="false" customHeight="false" outlineLevel="0" collapsed="false">
      <c r="A13" s="28" t="s">
        <v>207</v>
      </c>
      <c r="B13" s="28" t="s">
        <v>208</v>
      </c>
      <c r="C13" s="28" t="s">
        <v>209</v>
      </c>
      <c r="D13" s="28" t="s">
        <v>210</v>
      </c>
    </row>
    <row r="14" customFormat="false" ht="57.45" hidden="false" customHeight="false" outlineLevel="0" collapsed="false">
      <c r="A14" s="28" t="s">
        <v>211</v>
      </c>
      <c r="B14" s="28" t="s">
        <v>212</v>
      </c>
      <c r="C14" s="28" t="s">
        <v>213</v>
      </c>
      <c r="D14" s="28" t="s">
        <v>214</v>
      </c>
    </row>
    <row r="16" customFormat="false" ht="15" hidden="false" customHeight="false" outlineLevel="0" collapsed="false">
      <c r="A16" s="35" t="s">
        <v>215</v>
      </c>
    </row>
    <row r="17" customFormat="false" ht="15" hidden="false" customHeight="false" outlineLevel="0" collapsed="false">
      <c r="A17" s="36" t="s">
        <v>216</v>
      </c>
      <c r="B17" s="36" t="s">
        <v>217</v>
      </c>
      <c r="C17" s="36" t="s">
        <v>218</v>
      </c>
      <c r="D17" s="36" t="s">
        <v>219</v>
      </c>
    </row>
    <row r="18" customFormat="false" ht="35.05" hidden="false" customHeight="false" outlineLevel="0" collapsed="false">
      <c r="A18" s="28" t="s">
        <v>220</v>
      </c>
      <c r="B18" s="28" t="s">
        <v>221</v>
      </c>
      <c r="C18" s="28" t="s">
        <v>222</v>
      </c>
      <c r="D18" s="28" t="s">
        <v>223</v>
      </c>
    </row>
    <row r="19" customFormat="false" ht="23.85" hidden="false" customHeight="false" outlineLevel="0" collapsed="false">
      <c r="A19" s="28" t="s">
        <v>224</v>
      </c>
      <c r="B19" s="28" t="s">
        <v>225</v>
      </c>
      <c r="C19" s="28" t="s">
        <v>226</v>
      </c>
      <c r="D19" s="28" t="s">
        <v>227</v>
      </c>
    </row>
    <row r="20" customFormat="false" ht="23.85" hidden="false" customHeight="false" outlineLevel="0" collapsed="false">
      <c r="A20" s="28" t="s">
        <v>228</v>
      </c>
      <c r="B20" s="28" t="s">
        <v>229</v>
      </c>
      <c r="C20" s="28" t="s">
        <v>230</v>
      </c>
      <c r="D20" s="28" t="s">
        <v>231</v>
      </c>
    </row>
    <row r="21" customFormat="false" ht="23.85" hidden="false" customHeight="false" outlineLevel="0" collapsed="false">
      <c r="A21" s="28" t="s">
        <v>232</v>
      </c>
      <c r="B21" s="28" t="s">
        <v>233</v>
      </c>
      <c r="C21" s="28" t="s">
        <v>234</v>
      </c>
      <c r="D21" s="28" t="s">
        <v>235</v>
      </c>
    </row>
    <row r="23" customFormat="false" ht="15" hidden="false" customHeight="false" outlineLevel="0" collapsed="false">
      <c r="A23" s="35" t="s">
        <v>236</v>
      </c>
    </row>
    <row r="24" customFormat="false" ht="23.85" hidden="false" customHeight="true" outlineLevel="0" collapsed="false">
      <c r="B24" s="34" t="s">
        <v>237</v>
      </c>
      <c r="C24" s="34"/>
      <c r="D24" s="34"/>
    </row>
    <row r="25" customFormat="false" ht="23.85" hidden="false" customHeight="true" outlineLevel="0" collapsed="false">
      <c r="B25" s="34" t="s">
        <v>238</v>
      </c>
      <c r="C25" s="34"/>
      <c r="D25" s="34"/>
    </row>
    <row r="26" customFormat="false" ht="23.85" hidden="false" customHeight="true" outlineLevel="0" collapsed="false">
      <c r="B26" s="34" t="s">
        <v>239</v>
      </c>
      <c r="C26" s="34"/>
      <c r="D26" s="34"/>
    </row>
    <row r="27" customFormat="false" ht="23.85" hidden="false" customHeight="true" outlineLevel="0" collapsed="false">
      <c r="B27" s="34" t="s">
        <v>240</v>
      </c>
      <c r="C27" s="34"/>
      <c r="D27" s="34"/>
    </row>
    <row r="28" customFormat="false" ht="46.25" hidden="false" customHeight="true" outlineLevel="0" collapsed="false">
      <c r="B28" s="34" t="s">
        <v>241</v>
      </c>
      <c r="C28" s="34"/>
      <c r="D28" s="34"/>
    </row>
    <row r="30" customFormat="false" ht="15" hidden="false" customHeight="false" outlineLevel="0" collapsed="false">
      <c r="A30" s="35" t="s">
        <v>242</v>
      </c>
    </row>
    <row r="31" customFormat="false" ht="15" hidden="false" customHeight="false" outlineLevel="0" collapsed="false">
      <c r="A31" s="5" t="s">
        <v>243</v>
      </c>
      <c r="B31" s="28" t="n">
        <v>8</v>
      </c>
    </row>
    <row r="32" customFormat="false" ht="15" hidden="false" customHeight="false" outlineLevel="0" collapsed="false">
      <c r="A32" s="5" t="s">
        <v>244</v>
      </c>
      <c r="B32" s="28" t="n">
        <v>0.44</v>
      </c>
    </row>
    <row r="33" customFormat="false" ht="23.85" hidden="false" customHeight="false" outlineLevel="0" collapsed="false">
      <c r="A33" s="5" t="s">
        <v>245</v>
      </c>
      <c r="B33" s="28" t="s">
        <v>246</v>
      </c>
    </row>
    <row r="34" customFormat="false" ht="46.25" hidden="false" customHeight="false" outlineLevel="0" collapsed="false">
      <c r="A34" s="5" t="s">
        <v>247</v>
      </c>
      <c r="B34" s="28" t="s">
        <v>248</v>
      </c>
    </row>
    <row r="35" customFormat="false" ht="68.65" hidden="false" customHeight="false" outlineLevel="0" collapsed="false">
      <c r="A35" s="5" t="s">
        <v>249</v>
      </c>
      <c r="B35" s="28" t="s">
        <v>250</v>
      </c>
    </row>
    <row r="36" customFormat="false" ht="15" hidden="false" customHeight="false" outlineLevel="0" collapsed="false">
      <c r="A36" s="5" t="s">
        <v>251</v>
      </c>
      <c r="B36" s="28" t="s">
        <v>252</v>
      </c>
    </row>
    <row r="37" customFormat="false" ht="57.45" hidden="false" customHeight="false" outlineLevel="0" collapsed="false">
      <c r="A37" s="5" t="s">
        <v>253</v>
      </c>
      <c r="B37" s="28" t="s">
        <v>254</v>
      </c>
    </row>
  </sheetData>
  <mergeCells count="8">
    <mergeCell ref="B4:D4"/>
    <mergeCell ref="B5:D5"/>
    <mergeCell ref="B6:D6"/>
    <mergeCell ref="B24:D24"/>
    <mergeCell ref="B25:D25"/>
    <mergeCell ref="B26:D26"/>
    <mergeCell ref="B27:D27"/>
    <mergeCell ref="B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70"/>
    <col collapsed="false" customWidth="true" hidden="false" outlineLevel="0" max="4" min="4" style="0" width="12"/>
    <col collapsed="false" customWidth="true" hidden="false" outlineLevel="0" max="5" min="5" style="0" width="60"/>
  </cols>
  <sheetData>
    <row r="1" customFormat="false" ht="17.35" hidden="false" customHeight="false" outlineLevel="0" collapsed="false">
      <c r="A1" s="1" t="s">
        <v>255</v>
      </c>
    </row>
    <row r="2" customFormat="false" ht="15" hidden="false" customHeight="false" outlineLevel="0" collapsed="false">
      <c r="A2" s="2" t="s">
        <v>256</v>
      </c>
    </row>
    <row r="4" customFormat="false" ht="15" hidden="false" customHeight="false" outlineLevel="0" collapsed="false">
      <c r="A4" s="23" t="s">
        <v>74</v>
      </c>
      <c r="B4" s="23" t="s">
        <v>257</v>
      </c>
      <c r="C4" s="23" t="s">
        <v>258</v>
      </c>
      <c r="D4" s="23" t="s">
        <v>259</v>
      </c>
      <c r="E4" s="23" t="s">
        <v>260</v>
      </c>
    </row>
    <row r="5" customFormat="false" ht="15" hidden="false" customHeight="false" outlineLevel="0" collapsed="false">
      <c r="A5" s="5" t="s">
        <v>261</v>
      </c>
      <c r="B5" s="5" t="s">
        <v>262</v>
      </c>
      <c r="C5" s="28" t="s">
        <v>263</v>
      </c>
      <c r="D5" s="5" t="s">
        <v>264</v>
      </c>
      <c r="E5" s="22" t="s">
        <v>265</v>
      </c>
    </row>
    <row r="6" customFormat="false" ht="15" hidden="false" customHeight="false" outlineLevel="0" collapsed="false">
      <c r="A6" s="5" t="s">
        <v>266</v>
      </c>
      <c r="B6" s="5" t="s">
        <v>262</v>
      </c>
      <c r="C6" s="28" t="s">
        <v>267</v>
      </c>
      <c r="D6" s="5" t="s">
        <v>264</v>
      </c>
      <c r="E6" s="22" t="s">
        <v>268</v>
      </c>
    </row>
    <row r="7" customFormat="false" ht="15" hidden="false" customHeight="false" outlineLevel="0" collapsed="false">
      <c r="A7" s="5" t="s">
        <v>269</v>
      </c>
      <c r="B7" s="5" t="s">
        <v>262</v>
      </c>
      <c r="C7" s="28" t="s">
        <v>270</v>
      </c>
      <c r="D7" s="5" t="s">
        <v>271</v>
      </c>
      <c r="E7" s="22" t="s">
        <v>272</v>
      </c>
    </row>
    <row r="8" customFormat="false" ht="23.85" hidden="false" customHeight="false" outlineLevel="0" collapsed="false">
      <c r="A8" s="5" t="s">
        <v>273</v>
      </c>
      <c r="B8" s="5" t="s">
        <v>262</v>
      </c>
      <c r="C8" s="28" t="s">
        <v>274</v>
      </c>
      <c r="D8" s="5" t="s">
        <v>275</v>
      </c>
      <c r="E8" s="22" t="s">
        <v>276</v>
      </c>
    </row>
    <row r="9" customFormat="false" ht="23.85" hidden="false" customHeight="false" outlineLevel="0" collapsed="false">
      <c r="A9" s="5" t="s">
        <v>277</v>
      </c>
      <c r="B9" s="5" t="s">
        <v>262</v>
      </c>
      <c r="C9" s="28" t="s">
        <v>278</v>
      </c>
      <c r="D9" s="5" t="s">
        <v>279</v>
      </c>
      <c r="E9" s="22" t="s">
        <v>280</v>
      </c>
    </row>
    <row r="10" customFormat="false" ht="15" hidden="false" customHeight="false" outlineLevel="0" collapsed="false">
      <c r="A10" s="5" t="s">
        <v>281</v>
      </c>
      <c r="B10" s="5" t="s">
        <v>262</v>
      </c>
      <c r="C10" s="28" t="s">
        <v>282</v>
      </c>
      <c r="D10" s="5" t="s">
        <v>283</v>
      </c>
      <c r="E10" s="22" t="s">
        <v>284</v>
      </c>
    </row>
    <row r="11" customFormat="false" ht="23.85" hidden="false" customHeight="false" outlineLevel="0" collapsed="false">
      <c r="A11" s="5" t="s">
        <v>285</v>
      </c>
      <c r="B11" s="5" t="s">
        <v>262</v>
      </c>
      <c r="C11" s="28" t="s">
        <v>286</v>
      </c>
      <c r="D11" s="5" t="s">
        <v>264</v>
      </c>
      <c r="E11" s="22" t="s">
        <v>287</v>
      </c>
    </row>
    <row r="12" customFormat="false" ht="23.85" hidden="false" customHeight="false" outlineLevel="0" collapsed="false">
      <c r="A12" s="5" t="s">
        <v>288</v>
      </c>
      <c r="B12" s="5" t="s">
        <v>262</v>
      </c>
      <c r="C12" s="28" t="s">
        <v>289</v>
      </c>
      <c r="D12" s="5" t="s">
        <v>264</v>
      </c>
      <c r="E12" s="22" t="s">
        <v>290</v>
      </c>
    </row>
    <row r="13" customFormat="false" ht="15" hidden="false" customHeight="false" outlineLevel="0" collapsed="false">
      <c r="A13" s="5" t="s">
        <v>291</v>
      </c>
      <c r="B13" s="5" t="s">
        <v>262</v>
      </c>
      <c r="C13" s="28" t="s">
        <v>292</v>
      </c>
      <c r="D13" s="5" t="s">
        <v>293</v>
      </c>
      <c r="E13" s="22" t="s">
        <v>294</v>
      </c>
    </row>
    <row r="14" customFormat="false" ht="23.85" hidden="false" customHeight="false" outlineLevel="0" collapsed="false">
      <c r="A14" s="5" t="s">
        <v>295</v>
      </c>
      <c r="B14" s="5" t="s">
        <v>262</v>
      </c>
      <c r="C14" s="28" t="s">
        <v>296</v>
      </c>
      <c r="D14" s="5" t="s">
        <v>297</v>
      </c>
      <c r="E14" s="22" t="s">
        <v>298</v>
      </c>
    </row>
    <row r="15" customFormat="false" ht="23.85" hidden="false" customHeight="false" outlineLevel="0" collapsed="false">
      <c r="A15" s="5" t="s">
        <v>299</v>
      </c>
      <c r="B15" s="5" t="s">
        <v>262</v>
      </c>
      <c r="C15" s="28" t="s">
        <v>300</v>
      </c>
      <c r="D15" s="5" t="s">
        <v>301</v>
      </c>
      <c r="E15" s="22" t="s">
        <v>302</v>
      </c>
    </row>
    <row r="16" customFormat="false" ht="23.85" hidden="false" customHeight="false" outlineLevel="0" collapsed="false">
      <c r="A16" s="5" t="s">
        <v>303</v>
      </c>
      <c r="B16" s="5" t="s">
        <v>262</v>
      </c>
      <c r="C16" s="28" t="s">
        <v>304</v>
      </c>
      <c r="D16" s="5" t="s">
        <v>305</v>
      </c>
      <c r="E16" s="22" t="s">
        <v>306</v>
      </c>
    </row>
    <row r="17" customFormat="false" ht="23.85" hidden="false" customHeight="false" outlineLevel="0" collapsed="false">
      <c r="A17" s="5" t="s">
        <v>307</v>
      </c>
      <c r="B17" s="5" t="s">
        <v>262</v>
      </c>
      <c r="C17" s="28" t="s">
        <v>308</v>
      </c>
      <c r="D17" s="5" t="s">
        <v>309</v>
      </c>
      <c r="E17" s="22" t="s">
        <v>310</v>
      </c>
    </row>
    <row r="18" customFormat="false" ht="23.85" hidden="false" customHeight="false" outlineLevel="0" collapsed="false">
      <c r="A18" s="5" t="s">
        <v>311</v>
      </c>
      <c r="B18" s="5" t="s">
        <v>262</v>
      </c>
      <c r="C18" s="28" t="s">
        <v>312</v>
      </c>
      <c r="D18" s="5" t="s">
        <v>313</v>
      </c>
      <c r="E18" s="22" t="s">
        <v>314</v>
      </c>
    </row>
    <row r="19" customFormat="false" ht="23.85" hidden="false" customHeight="false" outlineLevel="0" collapsed="false">
      <c r="A19" s="5" t="s">
        <v>315</v>
      </c>
      <c r="B19" s="5" t="s">
        <v>262</v>
      </c>
      <c r="C19" s="28" t="s">
        <v>316</v>
      </c>
      <c r="D19" s="5" t="s">
        <v>317</v>
      </c>
      <c r="E19" s="22" t="s">
        <v>318</v>
      </c>
    </row>
    <row r="20" customFormat="false" ht="15" hidden="false" customHeight="false" outlineLevel="0" collapsed="false">
      <c r="A20" s="5" t="s">
        <v>319</v>
      </c>
      <c r="B20" s="5" t="s">
        <v>262</v>
      </c>
      <c r="C20" s="28" t="s">
        <v>320</v>
      </c>
      <c r="D20" s="5" t="s">
        <v>321</v>
      </c>
      <c r="E20" s="22" t="s">
        <v>322</v>
      </c>
    </row>
    <row r="21" customFormat="false" ht="23.85" hidden="false" customHeight="false" outlineLevel="0" collapsed="false">
      <c r="A21" s="5" t="s">
        <v>323</v>
      </c>
      <c r="B21" s="5" t="s">
        <v>262</v>
      </c>
      <c r="C21" s="28" t="s">
        <v>324</v>
      </c>
      <c r="D21" s="5" t="s">
        <v>325</v>
      </c>
      <c r="E21" s="22" t="s">
        <v>326</v>
      </c>
    </row>
    <row r="22" customFormat="false" ht="23.85" hidden="false" customHeight="false" outlineLevel="0" collapsed="false">
      <c r="A22" s="5" t="s">
        <v>327</v>
      </c>
      <c r="B22" s="5" t="s">
        <v>262</v>
      </c>
      <c r="C22" s="28" t="s">
        <v>328</v>
      </c>
      <c r="D22" s="5" t="s">
        <v>275</v>
      </c>
      <c r="E22" s="22" t="s">
        <v>329</v>
      </c>
    </row>
    <row r="23" customFormat="false" ht="23.85" hidden="false" customHeight="false" outlineLevel="0" collapsed="false">
      <c r="A23" s="5" t="s">
        <v>330</v>
      </c>
      <c r="B23" s="5" t="s">
        <v>262</v>
      </c>
      <c r="C23" s="28" t="s">
        <v>331</v>
      </c>
      <c r="D23" s="5" t="s">
        <v>332</v>
      </c>
      <c r="E23" s="22" t="s">
        <v>333</v>
      </c>
    </row>
    <row r="24" customFormat="false" ht="15" hidden="false" customHeight="false" outlineLevel="0" collapsed="false">
      <c r="A24" s="5" t="s">
        <v>334</v>
      </c>
      <c r="B24" s="5" t="s">
        <v>335</v>
      </c>
      <c r="C24" s="28" t="s">
        <v>336</v>
      </c>
      <c r="D24" s="5" t="s">
        <v>264</v>
      </c>
      <c r="E24" s="22" t="s">
        <v>265</v>
      </c>
    </row>
    <row r="25" customFormat="false" ht="15" hidden="false" customHeight="false" outlineLevel="0" collapsed="false">
      <c r="A25" s="5" t="s">
        <v>337</v>
      </c>
      <c r="B25" s="5" t="s">
        <v>335</v>
      </c>
      <c r="C25" s="28" t="s">
        <v>338</v>
      </c>
      <c r="D25" s="5" t="s">
        <v>339</v>
      </c>
      <c r="E25" s="22" t="s">
        <v>272</v>
      </c>
    </row>
    <row r="26" customFormat="false" ht="15" hidden="false" customHeight="false" outlineLevel="0" collapsed="false">
      <c r="A26" s="5" t="s">
        <v>340</v>
      </c>
      <c r="B26" s="5" t="s">
        <v>335</v>
      </c>
      <c r="C26" s="28" t="s">
        <v>341</v>
      </c>
      <c r="D26" s="5" t="s">
        <v>342</v>
      </c>
      <c r="E26" s="22" t="s">
        <v>343</v>
      </c>
    </row>
    <row r="27" customFormat="false" ht="15" hidden="false" customHeight="false" outlineLevel="0" collapsed="false">
      <c r="A27" s="5" t="s">
        <v>344</v>
      </c>
      <c r="B27" s="5" t="s">
        <v>335</v>
      </c>
      <c r="C27" s="28" t="s">
        <v>345</v>
      </c>
      <c r="D27" s="5" t="s">
        <v>346</v>
      </c>
      <c r="E27" s="22" t="s">
        <v>347</v>
      </c>
    </row>
    <row r="28" customFormat="false" ht="15" hidden="false" customHeight="false" outlineLevel="0" collapsed="false">
      <c r="A28" s="5" t="s">
        <v>348</v>
      </c>
      <c r="B28" s="5" t="s">
        <v>335</v>
      </c>
      <c r="C28" s="28" t="s">
        <v>349</v>
      </c>
      <c r="D28" s="5" t="s">
        <v>293</v>
      </c>
      <c r="E28" s="22" t="s">
        <v>350</v>
      </c>
    </row>
    <row r="29" customFormat="false" ht="15" hidden="false" customHeight="false" outlineLevel="0" collapsed="false">
      <c r="A29" s="5" t="s">
        <v>351</v>
      </c>
      <c r="B29" s="5" t="s">
        <v>335</v>
      </c>
      <c r="C29" s="28" t="s">
        <v>352</v>
      </c>
      <c r="D29" s="5" t="s">
        <v>353</v>
      </c>
      <c r="E29" s="22" t="s">
        <v>354</v>
      </c>
    </row>
    <row r="30" customFormat="false" ht="15" hidden="false" customHeight="false" outlineLevel="0" collapsed="false">
      <c r="A30" s="5" t="s">
        <v>355</v>
      </c>
      <c r="B30" s="5" t="s">
        <v>335</v>
      </c>
      <c r="C30" s="28" t="s">
        <v>356</v>
      </c>
      <c r="D30" s="5" t="s">
        <v>357</v>
      </c>
      <c r="E30" s="22" t="s">
        <v>358</v>
      </c>
    </row>
    <row r="31" customFormat="false" ht="15" hidden="false" customHeight="false" outlineLevel="0" collapsed="false">
      <c r="A31" s="5" t="s">
        <v>359</v>
      </c>
      <c r="B31" s="5" t="s">
        <v>335</v>
      </c>
      <c r="C31" s="28" t="s">
        <v>360</v>
      </c>
      <c r="D31" s="5" t="s">
        <v>305</v>
      </c>
      <c r="E31" s="22" t="s">
        <v>361</v>
      </c>
    </row>
    <row r="32" customFormat="false" ht="23.85" hidden="false" customHeight="false" outlineLevel="0" collapsed="false">
      <c r="A32" s="5" t="s">
        <v>362</v>
      </c>
      <c r="B32" s="5" t="s">
        <v>335</v>
      </c>
      <c r="C32" s="28" t="s">
        <v>363</v>
      </c>
      <c r="D32" s="5" t="s">
        <v>364</v>
      </c>
      <c r="E32" s="22" t="s">
        <v>365</v>
      </c>
    </row>
    <row r="33" customFormat="false" ht="23.85" hidden="false" customHeight="false" outlineLevel="0" collapsed="false">
      <c r="A33" s="5" t="s">
        <v>366</v>
      </c>
      <c r="B33" s="5" t="s">
        <v>335</v>
      </c>
      <c r="C33" s="28" t="s">
        <v>367</v>
      </c>
      <c r="D33" s="5" t="s">
        <v>368</v>
      </c>
      <c r="E33" s="22" t="s">
        <v>310</v>
      </c>
    </row>
    <row r="34" customFormat="false" ht="23.85" hidden="false" customHeight="false" outlineLevel="0" collapsed="false">
      <c r="A34" s="5" t="s">
        <v>369</v>
      </c>
      <c r="B34" s="5" t="s">
        <v>335</v>
      </c>
      <c r="C34" s="28" t="s">
        <v>370</v>
      </c>
      <c r="D34" s="5" t="s">
        <v>301</v>
      </c>
      <c r="E34" s="22" t="s">
        <v>371</v>
      </c>
    </row>
    <row r="35" customFormat="false" ht="23.85" hidden="false" customHeight="false" outlineLevel="0" collapsed="false">
      <c r="A35" s="5" t="s">
        <v>372</v>
      </c>
      <c r="B35" s="5" t="s">
        <v>335</v>
      </c>
      <c r="C35" s="28" t="s">
        <v>373</v>
      </c>
      <c r="D35" s="5" t="s">
        <v>374</v>
      </c>
      <c r="E35" s="22" t="s">
        <v>375</v>
      </c>
    </row>
    <row r="36" customFormat="false" ht="15" hidden="false" customHeight="false" outlineLevel="0" collapsed="false">
      <c r="A36" s="5" t="s">
        <v>376</v>
      </c>
      <c r="B36" s="5" t="s">
        <v>335</v>
      </c>
      <c r="C36" s="28" t="s">
        <v>377</v>
      </c>
      <c r="D36" s="5" t="s">
        <v>378</v>
      </c>
      <c r="E36" s="22" t="s">
        <v>379</v>
      </c>
    </row>
    <row r="37" customFormat="false" ht="23.85" hidden="false" customHeight="false" outlineLevel="0" collapsed="false">
      <c r="A37" s="5" t="s">
        <v>380</v>
      </c>
      <c r="B37" s="5" t="s">
        <v>335</v>
      </c>
      <c r="C37" s="28" t="s">
        <v>381</v>
      </c>
      <c r="D37" s="5" t="s">
        <v>382</v>
      </c>
      <c r="E37" s="22" t="s">
        <v>383</v>
      </c>
    </row>
    <row r="38" customFormat="false" ht="15" hidden="false" customHeight="false" outlineLevel="0" collapsed="false">
      <c r="A38" s="5" t="s">
        <v>384</v>
      </c>
      <c r="B38" s="5" t="s">
        <v>335</v>
      </c>
      <c r="C38" s="28" t="s">
        <v>385</v>
      </c>
      <c r="D38" s="5" t="s">
        <v>386</v>
      </c>
      <c r="E38" s="22" t="s">
        <v>387</v>
      </c>
    </row>
    <row r="39" customFormat="false" ht="15" hidden="false" customHeight="false" outlineLevel="0" collapsed="false">
      <c r="A39" s="5" t="s">
        <v>388</v>
      </c>
      <c r="B39" s="5" t="s">
        <v>335</v>
      </c>
      <c r="C39" s="28" t="s">
        <v>389</v>
      </c>
      <c r="D39" s="5" t="s">
        <v>390</v>
      </c>
      <c r="E39" s="22" t="s">
        <v>391</v>
      </c>
    </row>
    <row r="40" customFormat="false" ht="23.85" hidden="false" customHeight="false" outlineLevel="0" collapsed="false">
      <c r="A40" s="5" t="s">
        <v>392</v>
      </c>
      <c r="B40" s="5" t="s">
        <v>335</v>
      </c>
      <c r="C40" s="28" t="s">
        <v>393</v>
      </c>
      <c r="D40" s="5" t="s">
        <v>264</v>
      </c>
      <c r="E40" s="22" t="s">
        <v>394</v>
      </c>
    </row>
    <row r="41" customFormat="false" ht="23.85" hidden="false" customHeight="false" outlineLevel="0" collapsed="false">
      <c r="A41" s="5" t="s">
        <v>395</v>
      </c>
      <c r="B41" s="5" t="s">
        <v>335</v>
      </c>
      <c r="C41" s="28" t="s">
        <v>396</v>
      </c>
      <c r="D41" s="5" t="s">
        <v>275</v>
      </c>
      <c r="E41" s="22" t="s">
        <v>276</v>
      </c>
    </row>
    <row r="42" customFormat="false" ht="23.85" hidden="false" customHeight="false" outlineLevel="0" collapsed="false">
      <c r="A42" s="5" t="s">
        <v>397</v>
      </c>
      <c r="B42" s="5" t="s">
        <v>335</v>
      </c>
      <c r="C42" s="28" t="s">
        <v>398</v>
      </c>
      <c r="D42" s="5" t="s">
        <v>325</v>
      </c>
      <c r="E42" s="22" t="s">
        <v>326</v>
      </c>
    </row>
    <row r="43" customFormat="false" ht="23.85" hidden="false" customHeight="false" outlineLevel="0" collapsed="false">
      <c r="A43" s="5" t="s">
        <v>399</v>
      </c>
      <c r="B43" s="5" t="s">
        <v>335</v>
      </c>
      <c r="C43" s="28" t="s">
        <v>400</v>
      </c>
      <c r="D43" s="5" t="s">
        <v>275</v>
      </c>
      <c r="E43" s="5" t="s">
        <v>401</v>
      </c>
    </row>
    <row r="44" customFormat="false" ht="23.85" hidden="false" customHeight="false" outlineLevel="0" collapsed="false">
      <c r="A44" s="5" t="s">
        <v>402</v>
      </c>
      <c r="B44" s="5" t="s">
        <v>403</v>
      </c>
      <c r="C44" s="28" t="s">
        <v>404</v>
      </c>
      <c r="D44" s="5" t="s">
        <v>390</v>
      </c>
      <c r="E44" s="22" t="s">
        <v>405</v>
      </c>
    </row>
    <row r="45" customFormat="false" ht="15" hidden="false" customHeight="false" outlineLevel="0" collapsed="false">
      <c r="A45" s="5" t="s">
        <v>406</v>
      </c>
      <c r="B45" s="5" t="s">
        <v>403</v>
      </c>
      <c r="C45" s="28" t="s">
        <v>407</v>
      </c>
      <c r="D45" s="5" t="s">
        <v>264</v>
      </c>
      <c r="E45" s="22" t="s">
        <v>265</v>
      </c>
    </row>
    <row r="46" customFormat="false" ht="15" hidden="false" customHeight="false" outlineLevel="0" collapsed="false">
      <c r="A46" s="5" t="s">
        <v>408</v>
      </c>
      <c r="B46" s="5" t="s">
        <v>403</v>
      </c>
      <c r="C46" s="28" t="s">
        <v>409</v>
      </c>
      <c r="D46" s="5" t="s">
        <v>271</v>
      </c>
      <c r="E46" s="22" t="s">
        <v>410</v>
      </c>
    </row>
    <row r="47" customFormat="false" ht="15" hidden="false" customHeight="false" outlineLevel="0" collapsed="false">
      <c r="A47" s="5" t="s">
        <v>411</v>
      </c>
      <c r="B47" s="5" t="s">
        <v>403</v>
      </c>
      <c r="C47" s="28" t="s">
        <v>412</v>
      </c>
      <c r="D47" s="5" t="s">
        <v>293</v>
      </c>
      <c r="E47" s="22" t="s">
        <v>413</v>
      </c>
    </row>
    <row r="48" customFormat="false" ht="15" hidden="false" customHeight="false" outlineLevel="0" collapsed="false">
      <c r="A48" s="5" t="s">
        <v>414</v>
      </c>
      <c r="B48" s="5" t="s">
        <v>403</v>
      </c>
      <c r="C48" s="28" t="s">
        <v>415</v>
      </c>
      <c r="D48" s="5" t="s">
        <v>305</v>
      </c>
      <c r="E48" s="22" t="s">
        <v>416</v>
      </c>
    </row>
    <row r="49" customFormat="false" ht="15" hidden="false" customHeight="false" outlineLevel="0" collapsed="false">
      <c r="A49" s="5" t="s">
        <v>417</v>
      </c>
      <c r="B49" s="5" t="s">
        <v>403</v>
      </c>
      <c r="C49" s="28" t="s">
        <v>418</v>
      </c>
      <c r="D49" s="5" t="s">
        <v>382</v>
      </c>
      <c r="E49" s="22" t="s">
        <v>383</v>
      </c>
    </row>
    <row r="50" customFormat="false" ht="23.85" hidden="false" customHeight="false" outlineLevel="0" collapsed="false">
      <c r="A50" s="5" t="s">
        <v>419</v>
      </c>
      <c r="B50" s="5" t="s">
        <v>403</v>
      </c>
      <c r="C50" s="28" t="s">
        <v>420</v>
      </c>
      <c r="D50" s="5" t="s">
        <v>297</v>
      </c>
      <c r="E50" s="22" t="s">
        <v>298</v>
      </c>
    </row>
    <row r="51" customFormat="false" ht="23.85" hidden="false" customHeight="false" outlineLevel="0" collapsed="false">
      <c r="A51" s="5" t="s">
        <v>421</v>
      </c>
      <c r="B51" s="5" t="s">
        <v>403</v>
      </c>
      <c r="C51" s="28" t="s">
        <v>422</v>
      </c>
      <c r="D51" s="5" t="s">
        <v>423</v>
      </c>
      <c r="E51" s="22" t="s">
        <v>424</v>
      </c>
    </row>
    <row r="52" customFormat="false" ht="15" hidden="false" customHeight="false" outlineLevel="0" collapsed="false">
      <c r="A52" s="5" t="s">
        <v>425</v>
      </c>
      <c r="B52" s="5" t="s">
        <v>403</v>
      </c>
      <c r="C52" s="28" t="s">
        <v>426</v>
      </c>
      <c r="D52" s="5" t="s">
        <v>301</v>
      </c>
      <c r="E52" s="22" t="s">
        <v>371</v>
      </c>
    </row>
    <row r="53" customFormat="false" ht="15" hidden="false" customHeight="false" outlineLevel="0" collapsed="false">
      <c r="A53" s="5" t="s">
        <v>427</v>
      </c>
      <c r="B53" s="5" t="s">
        <v>403</v>
      </c>
      <c r="C53" s="28" t="s">
        <v>428</v>
      </c>
      <c r="D53" s="5" t="s">
        <v>301</v>
      </c>
      <c r="E53" s="22" t="s">
        <v>429</v>
      </c>
    </row>
    <row r="54" customFormat="false" ht="15" hidden="false" customHeight="false" outlineLevel="0" collapsed="false">
      <c r="A54" s="5" t="s">
        <v>430</v>
      </c>
      <c r="B54" s="5" t="s">
        <v>403</v>
      </c>
      <c r="C54" s="28" t="s">
        <v>431</v>
      </c>
      <c r="D54" s="5" t="s">
        <v>432</v>
      </c>
      <c r="E54" s="22" t="s">
        <v>433</v>
      </c>
    </row>
    <row r="55" customFormat="false" ht="15" hidden="false" customHeight="false" outlineLevel="0" collapsed="false">
      <c r="A55" s="5" t="s">
        <v>434</v>
      </c>
      <c r="B55" s="5" t="s">
        <v>403</v>
      </c>
      <c r="C55" s="28" t="s">
        <v>435</v>
      </c>
      <c r="D55" s="5" t="s">
        <v>297</v>
      </c>
      <c r="E55" s="22" t="s">
        <v>436</v>
      </c>
    </row>
    <row r="56" customFormat="false" ht="15" hidden="false" customHeight="false" outlineLevel="0" collapsed="false">
      <c r="A56" s="5" t="s">
        <v>437</v>
      </c>
      <c r="B56" s="5" t="s">
        <v>403</v>
      </c>
      <c r="C56" s="28" t="s">
        <v>438</v>
      </c>
      <c r="D56" s="5" t="s">
        <v>439</v>
      </c>
      <c r="E56" s="22" t="s">
        <v>365</v>
      </c>
    </row>
    <row r="57" customFormat="false" ht="15" hidden="false" customHeight="false" outlineLevel="0" collapsed="false">
      <c r="A57" s="5" t="s">
        <v>440</v>
      </c>
      <c r="B57" s="5" t="s">
        <v>403</v>
      </c>
      <c r="C57" s="28" t="s">
        <v>441</v>
      </c>
      <c r="D57" s="5" t="s">
        <v>442</v>
      </c>
      <c r="E57" s="22" t="s">
        <v>443</v>
      </c>
    </row>
    <row r="58" customFormat="false" ht="15" hidden="false" customHeight="false" outlineLevel="0" collapsed="false">
      <c r="A58" s="5" t="s">
        <v>444</v>
      </c>
      <c r="B58" s="5" t="s">
        <v>403</v>
      </c>
      <c r="C58" s="28" t="s">
        <v>445</v>
      </c>
      <c r="D58" s="5" t="s">
        <v>446</v>
      </c>
      <c r="E58" s="22" t="s">
        <v>447</v>
      </c>
    </row>
    <row r="59" customFormat="false" ht="23.85" hidden="false" customHeight="false" outlineLevel="0" collapsed="false">
      <c r="A59" s="5" t="s">
        <v>448</v>
      </c>
      <c r="B59" s="5" t="s">
        <v>403</v>
      </c>
      <c r="C59" s="28" t="s">
        <v>449</v>
      </c>
      <c r="D59" s="5" t="s">
        <v>450</v>
      </c>
      <c r="E59" s="22" t="s">
        <v>451</v>
      </c>
    </row>
    <row r="60" customFormat="false" ht="46.25" hidden="false" customHeight="false" outlineLevel="0" collapsed="false">
      <c r="A60" s="5" t="s">
        <v>452</v>
      </c>
      <c r="B60" s="5" t="s">
        <v>403</v>
      </c>
      <c r="C60" s="28" t="s">
        <v>453</v>
      </c>
      <c r="D60" s="5" t="s">
        <v>264</v>
      </c>
      <c r="E60" s="22" t="s">
        <v>394</v>
      </c>
    </row>
    <row r="61" customFormat="false" ht="23.85" hidden="false" customHeight="false" outlineLevel="0" collapsed="false">
      <c r="A61" s="5" t="s">
        <v>454</v>
      </c>
      <c r="B61" s="5" t="s">
        <v>403</v>
      </c>
      <c r="C61" s="28" t="s">
        <v>455</v>
      </c>
      <c r="D61" s="5" t="s">
        <v>325</v>
      </c>
      <c r="E61" s="22" t="s">
        <v>326</v>
      </c>
    </row>
    <row r="62" customFormat="false" ht="23.85" hidden="false" customHeight="false" outlineLevel="0" collapsed="false">
      <c r="A62" s="5" t="s">
        <v>456</v>
      </c>
      <c r="B62" s="5" t="s">
        <v>403</v>
      </c>
      <c r="C62" s="28" t="s">
        <v>457</v>
      </c>
      <c r="D62" s="5" t="s">
        <v>301</v>
      </c>
      <c r="E62" s="22" t="s">
        <v>458</v>
      </c>
    </row>
    <row r="63" customFormat="false" ht="15" hidden="false" customHeight="false" outlineLevel="0" collapsed="false">
      <c r="A63" s="5" t="s">
        <v>459</v>
      </c>
      <c r="B63" s="5" t="s">
        <v>460</v>
      </c>
      <c r="C63" s="28" t="s">
        <v>263</v>
      </c>
      <c r="D63" s="5" t="s">
        <v>264</v>
      </c>
      <c r="E63" s="22" t="s">
        <v>265</v>
      </c>
    </row>
    <row r="64" customFormat="false" ht="15" hidden="false" customHeight="false" outlineLevel="0" collapsed="false">
      <c r="A64" s="5" t="s">
        <v>461</v>
      </c>
      <c r="B64" s="5" t="s">
        <v>460</v>
      </c>
      <c r="C64" s="28" t="s">
        <v>462</v>
      </c>
      <c r="D64" s="5" t="s">
        <v>293</v>
      </c>
      <c r="E64" s="22" t="s">
        <v>463</v>
      </c>
    </row>
    <row r="65" customFormat="false" ht="15" hidden="false" customHeight="false" outlineLevel="0" collapsed="false">
      <c r="A65" s="5" t="s">
        <v>464</v>
      </c>
      <c r="B65" s="5" t="s">
        <v>460</v>
      </c>
      <c r="C65" s="28" t="s">
        <v>465</v>
      </c>
      <c r="D65" s="5" t="s">
        <v>321</v>
      </c>
      <c r="E65" s="22" t="s">
        <v>322</v>
      </c>
    </row>
    <row r="66" customFormat="false" ht="15" hidden="false" customHeight="false" outlineLevel="0" collapsed="false">
      <c r="A66" s="5" t="s">
        <v>466</v>
      </c>
      <c r="B66" s="5" t="s">
        <v>460</v>
      </c>
      <c r="C66" s="28" t="s">
        <v>467</v>
      </c>
      <c r="D66" s="5" t="s">
        <v>390</v>
      </c>
      <c r="E66" s="22" t="s">
        <v>468</v>
      </c>
    </row>
    <row r="67" customFormat="false" ht="15" hidden="false" customHeight="false" outlineLevel="0" collapsed="false">
      <c r="A67" s="5" t="s">
        <v>469</v>
      </c>
      <c r="B67" s="5" t="s">
        <v>460</v>
      </c>
      <c r="C67" s="28" t="s">
        <v>470</v>
      </c>
      <c r="D67" s="5" t="s">
        <v>293</v>
      </c>
      <c r="E67" s="22" t="s">
        <v>471</v>
      </c>
    </row>
    <row r="68" customFormat="false" ht="23.85" hidden="false" customHeight="false" outlineLevel="0" collapsed="false">
      <c r="A68" s="5" t="s">
        <v>472</v>
      </c>
      <c r="B68" s="5" t="s">
        <v>460</v>
      </c>
      <c r="C68" s="28" t="s">
        <v>473</v>
      </c>
      <c r="D68" s="5" t="s">
        <v>305</v>
      </c>
      <c r="E68" s="22" t="s">
        <v>416</v>
      </c>
    </row>
    <row r="69" customFormat="false" ht="15" hidden="false" customHeight="false" outlineLevel="0" collapsed="false">
      <c r="A69" s="5" t="s">
        <v>474</v>
      </c>
      <c r="B69" s="5" t="s">
        <v>460</v>
      </c>
      <c r="C69" s="28" t="s">
        <v>475</v>
      </c>
      <c r="D69" s="5" t="s">
        <v>301</v>
      </c>
      <c r="E69" s="22" t="s">
        <v>476</v>
      </c>
    </row>
    <row r="70" customFormat="false" ht="15" hidden="false" customHeight="false" outlineLevel="0" collapsed="false">
      <c r="A70" s="5" t="s">
        <v>477</v>
      </c>
      <c r="B70" s="5" t="s">
        <v>460</v>
      </c>
      <c r="C70" s="28" t="s">
        <v>360</v>
      </c>
      <c r="D70" s="5" t="s">
        <v>305</v>
      </c>
      <c r="E70" s="22" t="s">
        <v>361</v>
      </c>
    </row>
    <row r="71" customFormat="false" ht="15" hidden="false" customHeight="false" outlineLevel="0" collapsed="false">
      <c r="A71" s="5" t="s">
        <v>478</v>
      </c>
      <c r="B71" s="5" t="s">
        <v>460</v>
      </c>
      <c r="C71" s="28" t="s">
        <v>479</v>
      </c>
      <c r="D71" s="5" t="s">
        <v>439</v>
      </c>
      <c r="E71" s="22" t="s">
        <v>480</v>
      </c>
    </row>
    <row r="72" customFormat="false" ht="15" hidden="false" customHeight="false" outlineLevel="0" collapsed="false">
      <c r="A72" s="5" t="s">
        <v>481</v>
      </c>
      <c r="B72" s="5" t="s">
        <v>460</v>
      </c>
      <c r="C72" s="28" t="s">
        <v>482</v>
      </c>
      <c r="D72" s="5" t="s">
        <v>439</v>
      </c>
      <c r="E72" s="22" t="s">
        <v>483</v>
      </c>
    </row>
    <row r="73" customFormat="false" ht="23.85" hidden="false" customHeight="false" outlineLevel="0" collapsed="false">
      <c r="A73" s="5" t="s">
        <v>484</v>
      </c>
      <c r="B73" s="5" t="s">
        <v>460</v>
      </c>
      <c r="C73" s="28" t="s">
        <v>485</v>
      </c>
      <c r="D73" s="5" t="s">
        <v>357</v>
      </c>
      <c r="E73" s="22" t="s">
        <v>486</v>
      </c>
    </row>
    <row r="74" customFormat="false" ht="15" hidden="false" customHeight="false" outlineLevel="0" collapsed="false">
      <c r="A74" s="5" t="s">
        <v>487</v>
      </c>
      <c r="B74" s="5" t="s">
        <v>460</v>
      </c>
      <c r="C74" s="28" t="s">
        <v>488</v>
      </c>
      <c r="D74" s="5" t="s">
        <v>357</v>
      </c>
      <c r="E74" s="22" t="s">
        <v>489</v>
      </c>
    </row>
    <row r="75" customFormat="false" ht="15" hidden="false" customHeight="false" outlineLevel="0" collapsed="false">
      <c r="A75" s="5" t="s">
        <v>490</v>
      </c>
      <c r="B75" s="5" t="s">
        <v>460</v>
      </c>
      <c r="C75" s="28" t="s">
        <v>491</v>
      </c>
      <c r="D75" s="5" t="s">
        <v>357</v>
      </c>
      <c r="E75" s="22" t="s">
        <v>492</v>
      </c>
    </row>
    <row r="76" customFormat="false" ht="23.85" hidden="false" customHeight="false" outlineLevel="0" collapsed="false">
      <c r="A76" s="5" t="s">
        <v>493</v>
      </c>
      <c r="B76" s="5" t="s">
        <v>460</v>
      </c>
      <c r="C76" s="28" t="s">
        <v>494</v>
      </c>
      <c r="D76" s="5" t="s">
        <v>357</v>
      </c>
      <c r="E76" s="22" t="s">
        <v>495</v>
      </c>
    </row>
    <row r="77" customFormat="false" ht="23.85" hidden="false" customHeight="false" outlineLevel="0" collapsed="false">
      <c r="A77" s="5" t="s">
        <v>496</v>
      </c>
      <c r="B77" s="5" t="s">
        <v>460</v>
      </c>
      <c r="C77" s="28" t="s">
        <v>497</v>
      </c>
      <c r="D77" s="5" t="s">
        <v>293</v>
      </c>
      <c r="E77" s="22" t="s">
        <v>498</v>
      </c>
    </row>
    <row r="78" customFormat="false" ht="15" hidden="false" customHeight="false" outlineLevel="0" collapsed="false">
      <c r="A78" s="5" t="s">
        <v>499</v>
      </c>
      <c r="B78" s="5" t="s">
        <v>460</v>
      </c>
      <c r="C78" s="28" t="s">
        <v>500</v>
      </c>
      <c r="D78" s="5" t="s">
        <v>317</v>
      </c>
      <c r="E78" s="22" t="s">
        <v>501</v>
      </c>
    </row>
    <row r="79" customFormat="false" ht="23.85" hidden="false" customHeight="false" outlineLevel="0" collapsed="false">
      <c r="A79" s="5" t="s">
        <v>502</v>
      </c>
      <c r="B79" s="5" t="s">
        <v>460</v>
      </c>
      <c r="C79" s="28" t="s">
        <v>503</v>
      </c>
      <c r="D79" s="5" t="s">
        <v>271</v>
      </c>
      <c r="E79" s="22" t="s">
        <v>272</v>
      </c>
    </row>
    <row r="80" customFormat="false" ht="23.85" hidden="false" customHeight="false" outlineLevel="0" collapsed="false">
      <c r="A80" s="5" t="s">
        <v>504</v>
      </c>
      <c r="B80" s="5" t="s">
        <v>460</v>
      </c>
      <c r="C80" s="28" t="s">
        <v>505</v>
      </c>
      <c r="D80" s="5" t="s">
        <v>264</v>
      </c>
      <c r="E80" s="22" t="s">
        <v>394</v>
      </c>
    </row>
    <row r="81" customFormat="false" ht="15" hidden="false" customHeight="false" outlineLevel="0" collapsed="false">
      <c r="A81" s="5" t="s">
        <v>506</v>
      </c>
      <c r="B81" s="5" t="s">
        <v>460</v>
      </c>
      <c r="C81" s="28" t="s">
        <v>507</v>
      </c>
      <c r="D81" s="5" t="s">
        <v>325</v>
      </c>
      <c r="E81" s="22" t="s">
        <v>326</v>
      </c>
    </row>
    <row r="82" customFormat="false" ht="23.85" hidden="false" customHeight="false" outlineLevel="0" collapsed="false">
      <c r="A82" s="5" t="s">
        <v>508</v>
      </c>
      <c r="B82" s="5" t="s">
        <v>460</v>
      </c>
      <c r="C82" s="28" t="s">
        <v>509</v>
      </c>
      <c r="D82" s="5" t="s">
        <v>510</v>
      </c>
      <c r="E82" s="22" t="s">
        <v>511</v>
      </c>
    </row>
    <row r="83" customFormat="false" ht="23.85" hidden="false" customHeight="false" outlineLevel="0" collapsed="false">
      <c r="A83" s="5" t="s">
        <v>512</v>
      </c>
      <c r="B83" s="5" t="s">
        <v>460</v>
      </c>
      <c r="C83" s="28" t="s">
        <v>513</v>
      </c>
      <c r="D83" s="5" t="s">
        <v>514</v>
      </c>
      <c r="E83" s="22" t="s">
        <v>515</v>
      </c>
    </row>
    <row r="84" customFormat="false" ht="23.85" hidden="false" customHeight="false" outlineLevel="0" collapsed="false">
      <c r="A84" s="5" t="s">
        <v>516</v>
      </c>
      <c r="B84" s="5" t="s">
        <v>460</v>
      </c>
      <c r="C84" s="28" t="s">
        <v>517</v>
      </c>
      <c r="D84" s="5" t="s">
        <v>293</v>
      </c>
      <c r="E84" s="22" t="s">
        <v>518</v>
      </c>
    </row>
    <row r="85" customFormat="false" ht="23.85" hidden="false" customHeight="false" outlineLevel="0" collapsed="false">
      <c r="A85" s="5" t="s">
        <v>519</v>
      </c>
      <c r="B85" s="5" t="s">
        <v>460</v>
      </c>
      <c r="C85" s="28" t="s">
        <v>520</v>
      </c>
      <c r="D85" s="5" t="s">
        <v>386</v>
      </c>
      <c r="E85" s="22" t="s">
        <v>521</v>
      </c>
    </row>
    <row r="86" customFormat="false" ht="15" hidden="false" customHeight="false" outlineLevel="0" collapsed="false">
      <c r="A86" s="5" t="s">
        <v>522</v>
      </c>
      <c r="B86" s="5" t="s">
        <v>460</v>
      </c>
      <c r="C86" s="28" t="s">
        <v>523</v>
      </c>
      <c r="D86" s="5" t="s">
        <v>275</v>
      </c>
      <c r="E86" s="22" t="s">
        <v>276</v>
      </c>
    </row>
    <row r="87" customFormat="false" ht="15" hidden="false" customHeight="false" outlineLevel="0" collapsed="false">
      <c r="A87" s="5" t="s">
        <v>524</v>
      </c>
      <c r="B87" s="5" t="s">
        <v>525</v>
      </c>
      <c r="C87" s="28" t="s">
        <v>263</v>
      </c>
      <c r="D87" s="5" t="s">
        <v>264</v>
      </c>
      <c r="E87" s="22" t="s">
        <v>265</v>
      </c>
    </row>
    <row r="88" customFormat="false" ht="15" hidden="false" customHeight="false" outlineLevel="0" collapsed="false">
      <c r="A88" s="5" t="s">
        <v>526</v>
      </c>
      <c r="B88" s="5" t="s">
        <v>525</v>
      </c>
      <c r="C88" s="28" t="s">
        <v>338</v>
      </c>
      <c r="D88" s="5" t="s">
        <v>271</v>
      </c>
      <c r="E88" s="22" t="s">
        <v>272</v>
      </c>
    </row>
    <row r="89" customFormat="false" ht="23.85" hidden="false" customHeight="false" outlineLevel="0" collapsed="false">
      <c r="A89" s="5" t="s">
        <v>527</v>
      </c>
      <c r="B89" s="5" t="s">
        <v>525</v>
      </c>
      <c r="C89" s="28" t="s">
        <v>528</v>
      </c>
      <c r="D89" s="5" t="s">
        <v>321</v>
      </c>
      <c r="E89" s="22" t="s">
        <v>322</v>
      </c>
    </row>
    <row r="90" customFormat="false" ht="23.85" hidden="false" customHeight="false" outlineLevel="0" collapsed="false">
      <c r="A90" s="5" t="s">
        <v>529</v>
      </c>
      <c r="B90" s="5" t="s">
        <v>525</v>
      </c>
      <c r="C90" s="28" t="s">
        <v>530</v>
      </c>
      <c r="D90" s="5" t="s">
        <v>531</v>
      </c>
      <c r="E90" s="22" t="s">
        <v>471</v>
      </c>
    </row>
    <row r="91" customFormat="false" ht="23.85" hidden="false" customHeight="false" outlineLevel="0" collapsed="false">
      <c r="A91" s="5" t="s">
        <v>532</v>
      </c>
      <c r="B91" s="5" t="s">
        <v>525</v>
      </c>
      <c r="C91" s="28" t="s">
        <v>533</v>
      </c>
      <c r="D91" s="5" t="s">
        <v>297</v>
      </c>
      <c r="E91" s="22" t="s">
        <v>298</v>
      </c>
    </row>
    <row r="92" customFormat="false" ht="15" hidden="false" customHeight="false" outlineLevel="0" collapsed="false">
      <c r="A92" s="5" t="s">
        <v>534</v>
      </c>
      <c r="B92" s="5" t="s">
        <v>525</v>
      </c>
      <c r="C92" s="28" t="s">
        <v>535</v>
      </c>
      <c r="D92" s="5" t="s">
        <v>275</v>
      </c>
      <c r="E92" s="22" t="s">
        <v>536</v>
      </c>
    </row>
    <row r="93" customFormat="false" ht="23.85" hidden="false" customHeight="false" outlineLevel="0" collapsed="false">
      <c r="A93" s="5" t="s">
        <v>537</v>
      </c>
      <c r="B93" s="5" t="s">
        <v>525</v>
      </c>
      <c r="C93" s="28" t="s">
        <v>538</v>
      </c>
      <c r="D93" s="5" t="s">
        <v>539</v>
      </c>
      <c r="E93" s="22" t="s">
        <v>540</v>
      </c>
    </row>
    <row r="94" customFormat="false" ht="15" hidden="false" customHeight="false" outlineLevel="0" collapsed="false">
      <c r="A94" s="5" t="s">
        <v>541</v>
      </c>
      <c r="B94" s="5" t="s">
        <v>525</v>
      </c>
      <c r="C94" s="28" t="s">
        <v>542</v>
      </c>
      <c r="D94" s="5" t="s">
        <v>275</v>
      </c>
      <c r="E94" s="22" t="s">
        <v>543</v>
      </c>
    </row>
    <row r="95" customFormat="false" ht="23.85" hidden="false" customHeight="false" outlineLevel="0" collapsed="false">
      <c r="A95" s="5" t="s">
        <v>544</v>
      </c>
      <c r="B95" s="5" t="s">
        <v>525</v>
      </c>
      <c r="C95" s="28" t="s">
        <v>545</v>
      </c>
      <c r="D95" s="5" t="s">
        <v>293</v>
      </c>
      <c r="E95" s="22" t="s">
        <v>546</v>
      </c>
    </row>
    <row r="96" customFormat="false" ht="23.85" hidden="false" customHeight="false" outlineLevel="0" collapsed="false">
      <c r="A96" s="5" t="s">
        <v>547</v>
      </c>
      <c r="B96" s="5" t="s">
        <v>525</v>
      </c>
      <c r="C96" s="28" t="s">
        <v>548</v>
      </c>
      <c r="D96" s="5" t="s">
        <v>549</v>
      </c>
      <c r="E96" s="22" t="s">
        <v>550</v>
      </c>
    </row>
    <row r="97" customFormat="false" ht="15" hidden="false" customHeight="false" outlineLevel="0" collapsed="false">
      <c r="A97" s="5" t="s">
        <v>551</v>
      </c>
      <c r="B97" s="5" t="s">
        <v>525</v>
      </c>
      <c r="C97" s="28" t="s">
        <v>552</v>
      </c>
      <c r="D97" s="5" t="s">
        <v>301</v>
      </c>
      <c r="E97" s="22" t="s">
        <v>553</v>
      </c>
    </row>
    <row r="98" customFormat="false" ht="23.85" hidden="false" customHeight="false" outlineLevel="0" collapsed="false">
      <c r="A98" s="5" t="s">
        <v>554</v>
      </c>
      <c r="B98" s="5" t="s">
        <v>525</v>
      </c>
      <c r="C98" s="28" t="s">
        <v>555</v>
      </c>
      <c r="D98" s="5" t="s">
        <v>325</v>
      </c>
      <c r="E98" s="22" t="s">
        <v>556</v>
      </c>
    </row>
    <row r="99" customFormat="false" ht="23.85" hidden="false" customHeight="false" outlineLevel="0" collapsed="false">
      <c r="A99" s="5" t="s">
        <v>557</v>
      </c>
      <c r="B99" s="5" t="s">
        <v>525</v>
      </c>
      <c r="C99" s="28" t="s">
        <v>558</v>
      </c>
      <c r="D99" s="5" t="s">
        <v>325</v>
      </c>
      <c r="E99" s="22" t="s">
        <v>559</v>
      </c>
    </row>
    <row r="100" customFormat="false" ht="23.85" hidden="false" customHeight="false" outlineLevel="0" collapsed="false">
      <c r="A100" s="5" t="s">
        <v>560</v>
      </c>
      <c r="B100" s="5" t="s">
        <v>525</v>
      </c>
      <c r="C100" s="28" t="s">
        <v>561</v>
      </c>
      <c r="D100" s="5" t="s">
        <v>562</v>
      </c>
      <c r="E100" s="22" t="s">
        <v>563</v>
      </c>
    </row>
    <row r="101" customFormat="false" ht="15" hidden="false" customHeight="false" outlineLevel="0" collapsed="false">
      <c r="A101" s="5" t="s">
        <v>564</v>
      </c>
      <c r="B101" s="5" t="s">
        <v>525</v>
      </c>
      <c r="C101" s="28" t="s">
        <v>565</v>
      </c>
      <c r="D101" s="5" t="s">
        <v>566</v>
      </c>
      <c r="E101" s="22" t="s">
        <v>567</v>
      </c>
    </row>
    <row r="102" customFormat="false" ht="15" hidden="false" customHeight="false" outlineLevel="0" collapsed="false">
      <c r="A102" s="5" t="s">
        <v>568</v>
      </c>
      <c r="B102" s="5" t="s">
        <v>525</v>
      </c>
      <c r="C102" s="28" t="s">
        <v>569</v>
      </c>
      <c r="D102" s="5" t="s">
        <v>570</v>
      </c>
      <c r="E102" s="22" t="s">
        <v>571</v>
      </c>
    </row>
    <row r="103" customFormat="false" ht="23.85" hidden="false" customHeight="false" outlineLevel="0" collapsed="false">
      <c r="A103" s="5" t="s">
        <v>572</v>
      </c>
      <c r="B103" s="5" t="s">
        <v>525</v>
      </c>
      <c r="C103" s="28" t="s">
        <v>573</v>
      </c>
      <c r="D103" s="5" t="s">
        <v>325</v>
      </c>
      <c r="E103" s="22" t="s">
        <v>326</v>
      </c>
    </row>
    <row r="104" customFormat="false" ht="23.85" hidden="false" customHeight="false" outlineLevel="0" collapsed="false">
      <c r="A104" s="5" t="s">
        <v>574</v>
      </c>
      <c r="B104" s="5" t="s">
        <v>525</v>
      </c>
      <c r="C104" s="28" t="s">
        <v>575</v>
      </c>
      <c r="D104" s="5" t="s">
        <v>293</v>
      </c>
      <c r="E104" s="22" t="s">
        <v>576</v>
      </c>
    </row>
    <row r="105" customFormat="false" ht="23.85" hidden="false" customHeight="false" outlineLevel="0" collapsed="false">
      <c r="A105" s="5" t="s">
        <v>577</v>
      </c>
      <c r="B105" s="5" t="s">
        <v>525</v>
      </c>
      <c r="C105" s="28" t="s">
        <v>578</v>
      </c>
      <c r="D105" s="5" t="s">
        <v>275</v>
      </c>
      <c r="E105" s="22" t="s">
        <v>579</v>
      </c>
    </row>
    <row r="106" customFormat="false" ht="23.85" hidden="false" customHeight="false" outlineLevel="0" collapsed="false">
      <c r="A106" s="5" t="s">
        <v>580</v>
      </c>
      <c r="B106" s="5" t="s">
        <v>525</v>
      </c>
      <c r="C106" s="28" t="s">
        <v>581</v>
      </c>
      <c r="D106" s="5" t="s">
        <v>275</v>
      </c>
      <c r="E106" s="22" t="s">
        <v>582</v>
      </c>
    </row>
    <row r="107" customFormat="false" ht="23.85" hidden="false" customHeight="false" outlineLevel="0" collapsed="false">
      <c r="A107" s="5" t="s">
        <v>583</v>
      </c>
      <c r="B107" s="5" t="s">
        <v>525</v>
      </c>
      <c r="C107" s="28" t="s">
        <v>584</v>
      </c>
      <c r="D107" s="5" t="s">
        <v>585</v>
      </c>
      <c r="E107" s="22" t="s">
        <v>586</v>
      </c>
    </row>
    <row r="108" customFormat="false" ht="23.85" hidden="false" customHeight="false" outlineLevel="0" collapsed="false">
      <c r="A108" s="5" t="s">
        <v>587</v>
      </c>
      <c r="B108" s="5" t="s">
        <v>525</v>
      </c>
      <c r="C108" s="28" t="s">
        <v>588</v>
      </c>
      <c r="D108" s="5" t="s">
        <v>339</v>
      </c>
      <c r="E108" s="22" t="s">
        <v>589</v>
      </c>
    </row>
    <row r="109" customFormat="false" ht="23.85" hidden="false" customHeight="false" outlineLevel="0" collapsed="false">
      <c r="A109" s="5" t="s">
        <v>590</v>
      </c>
      <c r="B109" s="5" t="s">
        <v>525</v>
      </c>
      <c r="C109" s="28" t="s">
        <v>591</v>
      </c>
      <c r="D109" s="5" t="s">
        <v>275</v>
      </c>
      <c r="E109" s="5" t="s">
        <v>401</v>
      </c>
    </row>
    <row r="110" customFormat="false" ht="15" hidden="false" customHeight="false" outlineLevel="0" collapsed="false">
      <c r="A110" s="5" t="s">
        <v>592</v>
      </c>
      <c r="B110" s="5" t="s">
        <v>593</v>
      </c>
      <c r="C110" s="28" t="s">
        <v>594</v>
      </c>
      <c r="D110" s="5" t="s">
        <v>264</v>
      </c>
      <c r="E110" s="22" t="s">
        <v>595</v>
      </c>
    </row>
    <row r="111" customFormat="false" ht="23.85" hidden="false" customHeight="false" outlineLevel="0" collapsed="false">
      <c r="A111" s="5" t="s">
        <v>596</v>
      </c>
      <c r="B111" s="5" t="s">
        <v>593</v>
      </c>
      <c r="C111" s="28" t="s">
        <v>597</v>
      </c>
      <c r="D111" s="5" t="s">
        <v>264</v>
      </c>
      <c r="E111" s="22" t="s">
        <v>394</v>
      </c>
    </row>
    <row r="112" customFormat="false" ht="15" hidden="false" customHeight="false" outlineLevel="0" collapsed="false">
      <c r="A112" s="5" t="s">
        <v>598</v>
      </c>
      <c r="B112" s="5" t="s">
        <v>593</v>
      </c>
      <c r="C112" s="28" t="s">
        <v>599</v>
      </c>
      <c r="D112" s="5" t="s">
        <v>342</v>
      </c>
      <c r="E112" s="22" t="s">
        <v>600</v>
      </c>
    </row>
    <row r="113" customFormat="false" ht="15" hidden="false" customHeight="false" outlineLevel="0" collapsed="false">
      <c r="A113" s="5" t="s">
        <v>601</v>
      </c>
      <c r="B113" s="5" t="s">
        <v>593</v>
      </c>
      <c r="C113" s="28" t="s">
        <v>602</v>
      </c>
      <c r="D113" s="5" t="s">
        <v>346</v>
      </c>
      <c r="E113" s="22" t="s">
        <v>603</v>
      </c>
    </row>
    <row r="114" customFormat="false" ht="15" hidden="false" customHeight="false" outlineLevel="0" collapsed="false">
      <c r="A114" s="5" t="s">
        <v>604</v>
      </c>
      <c r="B114" s="5" t="s">
        <v>593</v>
      </c>
      <c r="C114" s="28" t="s">
        <v>605</v>
      </c>
      <c r="D114" s="5" t="s">
        <v>275</v>
      </c>
      <c r="E114" s="22" t="s">
        <v>276</v>
      </c>
    </row>
    <row r="115" customFormat="false" ht="15" hidden="false" customHeight="false" outlineLevel="0" collapsed="false">
      <c r="A115" s="5" t="s">
        <v>606</v>
      </c>
      <c r="B115" s="5" t="s">
        <v>593</v>
      </c>
      <c r="C115" s="28" t="s">
        <v>607</v>
      </c>
      <c r="D115" s="5" t="s">
        <v>275</v>
      </c>
      <c r="E115" s="22" t="s">
        <v>329</v>
      </c>
    </row>
    <row r="116" customFormat="false" ht="15" hidden="false" customHeight="false" outlineLevel="0" collapsed="false">
      <c r="A116" s="5" t="s">
        <v>608</v>
      </c>
      <c r="B116" s="5" t="s">
        <v>593</v>
      </c>
      <c r="C116" s="28" t="s">
        <v>609</v>
      </c>
      <c r="D116" s="5" t="s">
        <v>514</v>
      </c>
      <c r="E116" s="22" t="s">
        <v>515</v>
      </c>
    </row>
    <row r="117" customFormat="false" ht="15" hidden="false" customHeight="false" outlineLevel="0" collapsed="false">
      <c r="A117" s="5" t="s">
        <v>610</v>
      </c>
      <c r="B117" s="5" t="s">
        <v>593</v>
      </c>
      <c r="C117" s="28" t="s">
        <v>611</v>
      </c>
      <c r="D117" s="5" t="s">
        <v>357</v>
      </c>
      <c r="E117" s="22" t="s">
        <v>612</v>
      </c>
    </row>
    <row r="118" customFormat="false" ht="15" hidden="false" customHeight="false" outlineLevel="0" collapsed="false">
      <c r="A118" s="5" t="s">
        <v>613</v>
      </c>
      <c r="B118" s="5" t="s">
        <v>593</v>
      </c>
      <c r="C118" s="28" t="s">
        <v>614</v>
      </c>
      <c r="D118" s="5" t="s">
        <v>615</v>
      </c>
      <c r="E118" s="22" t="s">
        <v>616</v>
      </c>
    </row>
    <row r="119" customFormat="false" ht="15" hidden="false" customHeight="false" outlineLevel="0" collapsed="false">
      <c r="A119" s="5" t="s">
        <v>617</v>
      </c>
      <c r="B119" s="5" t="s">
        <v>593</v>
      </c>
      <c r="C119" s="28" t="s">
        <v>618</v>
      </c>
      <c r="D119" s="5" t="s">
        <v>325</v>
      </c>
      <c r="E119" s="22" t="s">
        <v>326</v>
      </c>
    </row>
    <row r="120" customFormat="false" ht="23.85" hidden="false" customHeight="false" outlineLevel="0" collapsed="false">
      <c r="A120" s="5" t="s">
        <v>619</v>
      </c>
      <c r="B120" s="5" t="s">
        <v>593</v>
      </c>
      <c r="C120" s="28" t="s">
        <v>620</v>
      </c>
      <c r="D120" s="5" t="s">
        <v>275</v>
      </c>
      <c r="E120" s="22" t="s">
        <v>621</v>
      </c>
    </row>
    <row r="121" customFormat="false" ht="23.85" hidden="false" customHeight="false" outlineLevel="0" collapsed="false">
      <c r="A121" s="5" t="s">
        <v>622</v>
      </c>
      <c r="B121" s="5" t="s">
        <v>593</v>
      </c>
      <c r="C121" s="28" t="s">
        <v>623</v>
      </c>
      <c r="D121" s="5" t="s">
        <v>624</v>
      </c>
      <c r="E121" s="22" t="s">
        <v>625</v>
      </c>
    </row>
    <row r="122" customFormat="false" ht="23.85" hidden="false" customHeight="false" outlineLevel="0" collapsed="false">
      <c r="A122" s="5" t="s">
        <v>626</v>
      </c>
      <c r="B122" s="5" t="s">
        <v>593</v>
      </c>
      <c r="C122" s="28" t="s">
        <v>627</v>
      </c>
      <c r="D122" s="5" t="s">
        <v>624</v>
      </c>
      <c r="E122" s="22" t="s">
        <v>628</v>
      </c>
    </row>
    <row r="123" customFormat="false" ht="23.85" hidden="false" customHeight="false" outlineLevel="0" collapsed="false">
      <c r="A123" s="5" t="s">
        <v>629</v>
      </c>
      <c r="B123" s="5" t="s">
        <v>593</v>
      </c>
      <c r="C123" s="28" t="s">
        <v>630</v>
      </c>
      <c r="D123" s="5" t="s">
        <v>624</v>
      </c>
      <c r="E123" s="22" t="s">
        <v>631</v>
      </c>
    </row>
    <row r="124" customFormat="false" ht="23.85" hidden="false" customHeight="false" outlineLevel="0" collapsed="false">
      <c r="A124" s="5" t="s">
        <v>632</v>
      </c>
      <c r="B124" s="5" t="s">
        <v>593</v>
      </c>
      <c r="C124" s="28" t="s">
        <v>633</v>
      </c>
      <c r="D124" s="5" t="s">
        <v>624</v>
      </c>
      <c r="E124" s="22" t="s">
        <v>634</v>
      </c>
    </row>
    <row r="125" customFormat="false" ht="23.85" hidden="false" customHeight="false" outlineLevel="0" collapsed="false">
      <c r="A125" s="5" t="s">
        <v>635</v>
      </c>
      <c r="B125" s="5" t="s">
        <v>593</v>
      </c>
      <c r="C125" s="28" t="s">
        <v>636</v>
      </c>
      <c r="D125" s="5" t="s">
        <v>624</v>
      </c>
      <c r="E125" s="22" t="s">
        <v>637</v>
      </c>
    </row>
    <row r="126" customFormat="false" ht="23.85" hidden="false" customHeight="false" outlineLevel="0" collapsed="false">
      <c r="A126" s="5" t="s">
        <v>638</v>
      </c>
      <c r="B126" s="5" t="s">
        <v>593</v>
      </c>
      <c r="C126" s="28" t="s">
        <v>639</v>
      </c>
      <c r="D126" s="5" t="s">
        <v>640</v>
      </c>
      <c r="E126" s="22" t="s">
        <v>641</v>
      </c>
    </row>
    <row r="127" customFormat="false" ht="35.05" hidden="false" customHeight="false" outlineLevel="0" collapsed="false">
      <c r="A127" s="5" t="s">
        <v>642</v>
      </c>
      <c r="B127" s="5" t="s">
        <v>593</v>
      </c>
      <c r="C127" s="28" t="s">
        <v>643</v>
      </c>
      <c r="D127" s="5" t="s">
        <v>644</v>
      </c>
      <c r="E127" s="22" t="s">
        <v>645</v>
      </c>
    </row>
    <row r="128" customFormat="false" ht="35.05" hidden="false" customHeight="false" outlineLevel="0" collapsed="false">
      <c r="A128" s="5" t="s">
        <v>646</v>
      </c>
      <c r="B128" s="5" t="s">
        <v>593</v>
      </c>
      <c r="C128" s="28" t="s">
        <v>647</v>
      </c>
      <c r="D128" s="5" t="s">
        <v>271</v>
      </c>
      <c r="E128" s="22" t="s">
        <v>272</v>
      </c>
    </row>
    <row r="129" customFormat="false" ht="23.85" hidden="false" customHeight="false" outlineLevel="0" collapsed="false">
      <c r="A129" s="5" t="s">
        <v>648</v>
      </c>
      <c r="B129" s="5" t="s">
        <v>593</v>
      </c>
      <c r="C129" s="28" t="s">
        <v>649</v>
      </c>
      <c r="D129" s="5" t="s">
        <v>624</v>
      </c>
      <c r="E129" s="22" t="s">
        <v>650</v>
      </c>
    </row>
    <row r="130" customFormat="false" ht="15" hidden="false" customHeight="false" outlineLevel="0" collapsed="false">
      <c r="A130" s="5" t="s">
        <v>651</v>
      </c>
      <c r="B130" s="5" t="s">
        <v>593</v>
      </c>
      <c r="C130" s="28" t="s">
        <v>652</v>
      </c>
      <c r="D130" s="5" t="s">
        <v>624</v>
      </c>
      <c r="E130" s="22" t="s">
        <v>653</v>
      </c>
    </row>
    <row r="131" customFormat="false" ht="15" hidden="false" customHeight="false" outlineLevel="0" collapsed="false">
      <c r="A131" s="5" t="s">
        <v>654</v>
      </c>
      <c r="B131" s="5" t="s">
        <v>593</v>
      </c>
      <c r="C131" s="28" t="s">
        <v>655</v>
      </c>
      <c r="D131" s="5" t="s">
        <v>624</v>
      </c>
      <c r="E131" s="22" t="s">
        <v>656</v>
      </c>
    </row>
    <row r="132" customFormat="false" ht="15" hidden="false" customHeight="false" outlineLevel="0" collapsed="false">
      <c r="A132" s="5" t="s">
        <v>657</v>
      </c>
      <c r="B132" s="5" t="s">
        <v>593</v>
      </c>
      <c r="C132" s="28" t="s">
        <v>658</v>
      </c>
      <c r="D132" s="5" t="s">
        <v>624</v>
      </c>
      <c r="E132" s="22" t="s">
        <v>659</v>
      </c>
    </row>
    <row r="133" customFormat="false" ht="15" hidden="false" customHeight="false" outlineLevel="0" collapsed="false">
      <c r="A133" s="5" t="s">
        <v>660</v>
      </c>
      <c r="B133" s="5" t="s">
        <v>593</v>
      </c>
      <c r="C133" s="28" t="s">
        <v>661</v>
      </c>
      <c r="D133" s="5" t="s">
        <v>624</v>
      </c>
      <c r="E133" s="22" t="s">
        <v>662</v>
      </c>
    </row>
    <row r="134" customFormat="false" ht="46.25" hidden="false" customHeight="false" outlineLevel="0" collapsed="false">
      <c r="A134" s="5" t="s">
        <v>663</v>
      </c>
      <c r="B134" s="5" t="s">
        <v>593</v>
      </c>
      <c r="C134" s="28" t="s">
        <v>664</v>
      </c>
      <c r="D134" s="5" t="s">
        <v>624</v>
      </c>
      <c r="E134" s="22" t="s">
        <v>665</v>
      </c>
    </row>
  </sheetData>
  <hyperlinks>
    <hyperlink ref="E5" r:id="rId1" display="https://www.sec.gov/Archives/edgar/data/0001075531/000107553126000036/q2-26bkngearningsrelease.htm"/>
    <hyperlink ref="E6" r:id="rId2" display="https://www.sec.gov/Archives/edgar/data/0001075531/000107553126000037/bkng-20260630.htm"/>
    <hyperlink ref="E7" r:id="rId3" display="https://www.sec.gov/Archives/edgar/data/1075531/000107553126000008/q4-25bkngearningsrelease.htm"/>
    <hyperlink ref="E8" r:id="rId4" display="https://data.sec.gov/submissions/CIK0001075531.json"/>
    <hyperlink ref="E9" r:id="rId5" display="https://www.sec.gov/Archives/edgar/data/1075531/000187574126000008/form4-09162026_040901.xml"/>
    <hyperlink ref="E10" r:id="rId6" display="https://www.sec.gov/Archives/edgar/data/1075531/000107553126000014/bkng-20260402.htm"/>
    <hyperlink ref="E11" r:id="rId7" display="https://transcripts.platformaeronaut.com/summaries/BKNG-2Q26-AI-Summary"/>
    <hyperlink ref="E12" r:id="rId8" display="https://www.stocktaper.com/earningsCallSummary/BKNG/2026/Q2"/>
    <hyperlink ref="E13" r:id="rId9" display="https://finviz.com/news/385299/booking-holdings-inc-to-present-at-the-citi-2026-global-tmt-conference"/>
    <hyperlink ref="E14" r:id="rId10" display="https://www.etoro.com/news-and-analysis/the-daily-breakdown/deep-dive-a-beatdown-for-booking-holdings/"/>
    <hyperlink ref="E15" r:id="rId11" display="https://www.barchart.com/story/news/1295240/here-s-what-to-expect-from-booking-holdings-next-earnings-report"/>
    <hyperlink ref="E16" r:id="rId12" display="https://www.fool.com/investing/2026/09/23/why-booking-holdings-stock-was-sliding-today/"/>
    <hyperlink ref="E17" r:id="rId13" display="https://tickeron.com/blogs/booking-holdings-bkng-drops-18-5-over-30-days-what-s-behind-the-move-17432/"/>
    <hyperlink ref="E18" r:id="rId14" display="https://qualitystocks.substack.com/p/stock-of-the-week-booking-holdings"/>
    <hyperlink ref="E19" r:id="rId15" display="https://www.bookingholdings.com/press-releases/booking-holdings-to-webcast-third-quarter-2025-financial-results-on-october-28/"/>
    <hyperlink ref="E20" r:id="rId16" display="https://finance.yahoo.com/markets/stocks/articles/4-000-stock-become-affordable-141559947.html"/>
    <hyperlink ref="E21" r:id="rId17" display="https://stockanalysis.com/stocks/bkng/forecast/"/>
    <hyperlink ref="E22" r:id="rId18" display="https://www.bookingholdings.com/press-releases/feed/"/>
    <hyperlink ref="E23" r:id="rId19" display="https://www.bookingholdings.com/press-releases/"/>
    <hyperlink ref="E24" r:id="rId20" display="https://www.sec.gov/Archives/edgar/data/0001075531/000107553126000036/q2-26bkngearningsrelease.htm"/>
    <hyperlink ref="E25" r:id="rId21" display="https://www.sec.gov/Archives/edgar/data/1075531/000107553126000008/q4-25bkngearningsrelease.htm"/>
    <hyperlink ref="E26" r:id="rId22" display="https://www.sec.gov/Archives/edgar/data/0001324424/000132442426000051/earningsrelease-q22026.htm"/>
    <hyperlink ref="E27" r:id="rId23" display="https://www.sec.gov/Archives/edgar/data/0001559720/000119312526337928/d70413dex991.htm"/>
    <hyperlink ref="E28" r:id="rId24" display="https://www.travelpulse.com/news/hotels-and-resorts/marriott-international-announces-q2-2026-financial-results"/>
    <hyperlink ref="E29" r:id="rId25" display="https://lodgingmagazine.com/hilton-reports-q2-2026-results/"/>
    <hyperlink ref="E30" r:id="rId26" display="https://www.sec.gov/Archives/edgar/data/0001269238/000119312526392473/d167816dex991.htm"/>
    <hyperlink ref="E31" r:id="rId27" display="https://247wallst.com/investing/2026/09/23/travel-booking-stocks-tumble-as-muse-threatens-to-bypass-them-expedia-falls-7-airbnb-drops-6-booking-holdings-sinks-5/"/>
    <hyperlink ref="E32" r:id="rId28" display="https://www.altexsoft.com/travel-industry-news/investors-are-nervous-googles-next-ai-agent-will-rival-otas"/>
    <hyperlink ref="E33" r:id="rId29" display="https://tickeron.com/blogs/booking-holdings-bkng-drops-18-5-over-30-days-what-s-behind-the-move-17432/"/>
    <hyperlink ref="E34" r:id="rId30" display="https://www.hotel-online.com/news/over-10000-european-hotels-now-part-of-landmark-collective-action-against-bookingcom"/>
    <hyperlink ref="E35" r:id="rId31" display="https://www.webull.com.au/news-detail/15259709058147328"/>
    <hyperlink ref="E36" r:id="rId32" display="https://skift.com/2026/06/10/skift-global-forum-2026-the-decisions-on-the-table/"/>
    <hyperlink ref="E37" r:id="rId33" display="https://www.tikr.com/blog/booking-holdings-stock-is-down-27-in-2026-is-bkng-stock-now-undervalued"/>
    <hyperlink ref="E38" r:id="rId34" display="https://skift.com/?p=772452"/>
    <hyperlink ref="E39" r:id="rId35" display="https://www.benzinga.com/markets/earnings/26/04/52125208/booking-stock-sinks-to-52-week-low-as-middle-east-conflict-dents-outlook"/>
    <hyperlink ref="E40" r:id="rId36" display="https://www.sec.gov/Archives/edgar/data/1075531/000107553126000037/bkng-20260630.htm"/>
    <hyperlink ref="E41" r:id="rId37" display="https://data.sec.gov/submissions/CIK0001075531.json"/>
    <hyperlink ref="E42" r:id="rId38" display="https://stockanalysis.com/stocks/bkng/forecast/"/>
    <hyperlink ref="E44" r:id="rId39" display="https://www.marketbeat.com/articles/booking-holdings-split-the-catalyst-wall-street-didnt-see-coming/"/>
    <hyperlink ref="E45" r:id="rId40" display="https://www.sec.gov/Archives/edgar/data/0001075531/000107553126000036/q2-26bkngearningsrelease.htm"/>
    <hyperlink ref="E46" r:id="rId41" display="https://s201.q4cdn.com/865305287/files/doc_financials/2025/q4/Q4-25-BKNG-Earnings-Release.pdf"/>
    <hyperlink ref="E47" r:id="rId42" display="https://www.tikr.com/blog/booking-holdings-raised-its-cost-savings-target-after-q2-earnings"/>
    <hyperlink ref="E48" r:id="rId43" display="https://www.tikr.com/blog/booking-holdings-bkng-shares-drop-expedia-meta-muse-ai-partnership"/>
    <hyperlink ref="E49" r:id="rId44" display="https://www.tikr.com/blog/booking-holdings-stock-is-down-27-in-2026-is-bkng-stock-now-undervalued"/>
    <hyperlink ref="E50" r:id="rId45" display="https://www.etoro.com/news-and-analysis/the-daily-breakdown/deep-dive-a-beatdown-for-booking-holdings/"/>
    <hyperlink ref="E51" r:id="rId46" display="https://finviz.com/news/316361/booking-holdings-stock-hits-52-week-low-heres-why"/>
    <hyperlink ref="E52" r:id="rId47" display="https://www.hotel-online.com/news/over-10000-european-hotels-now-part-of-landmark-collective-action-against-bookingcom"/>
    <hyperlink ref="E53" r:id="rId48" display="https://www.boerse-stuttgart.de/en/products/bonds/stuttgart/a4eugu-booking-holdings-inc-eo-notes-2026-26-30/"/>
    <hyperlink ref="E54" r:id="rId49" display="https://www.insidertrades.com/alerts/nasdaq-bkng-insider-buying-and-selling-2026-03-18"/>
    <hyperlink ref="E55" r:id="rId50" display="https://skift.com/2026/02/20/wyndham-and-marriotts-agentic-plans-put-pressure-on-booking-are-the-concerns-justified/"/>
    <hyperlink ref="E56" r:id="rId51" display="https://www.altexsoft.com/travel-industry-news/investors-are-nervous-googles-next-ai-agent-will-rival-otas"/>
    <hyperlink ref="E57" r:id="rId52" display="https://www.phocuswire.com/spanish-regulators-fine-booking-com-413M"/>
    <hyperlink ref="E58" r:id="rId53" display="https://skift.com/2026/03/05/openai-chatgpt-checkout-walkback/"/>
    <hyperlink ref="E59" r:id="rId54" display="https://www.tikr.com/blog/booking-stock-is-down-7-6-this-week-heres-why-analysts-still-see-39-upside"/>
    <hyperlink ref="E60" r:id="rId55" display="https://www.sec.gov/Archives/edgar/data/1075531/000107553126000037/bkng-20260630.htm"/>
    <hyperlink ref="E61" r:id="rId56" display="https://stockanalysis.com/stocks/bkng/forecast/"/>
    <hyperlink ref="E62" r:id="rId57" display="https://www.tipranks.com/news/the-fly/booking-holdings-downgraded-to-hold-from-buy-at-erste-group"/>
    <hyperlink ref="E63" r:id="rId58" display="https://www.sec.gov/Archives/edgar/data/0001075531/000107553126000036/q2-26bkngearningsrelease.htm"/>
    <hyperlink ref="E64" r:id="rId59" display="https://quartr.com/events/booking-holdings-inc-bkng-q2-2026_o0mILYC2"/>
    <hyperlink ref="E65" r:id="rId60" display="https://finance.yahoo.com/markets/stocks/articles/4-000-stock-become-affordable-141559947.html"/>
    <hyperlink ref="E66" r:id="rId61" display="https://www.tikr.com/blog/booking-holdings-stock-is-flat-for-a-year-while-eps-growth-hit-22-whats-next"/>
    <hyperlink ref="E67" r:id="rId62" display="https://www.tikr.com/blog/booking-holdings-ceo-says-the-ai-fear-is-wrong-heres-where-the-stock-could-go-from-16x-earnings"/>
    <hyperlink ref="E68" r:id="rId63" display="https://www.tikr.com/blog/booking-holdings-bkng-shares-drop-expedia-meta-muse-ai-partnership"/>
    <hyperlink ref="E69" r:id="rId64" display="https://simplywall.st/community/narratives/us/consumer-services/nasdaq-bkng/booking-holdings/d4792ujb-ai-progress-and-cost-efficiency-will-drive-outperformance-amid-sector-tailwinds/updates/24-analysts-have-adjusted-the-booking-holdings-fair-value-estim"/>
    <hyperlink ref="E70" r:id="rId65" display="https://247wallst.com/investing/2026/09/23/travel-booking-stocks-tumble-as-muse-threatens-to-bypass-them-expedia-falls-7-airbnb-drops-6-booking-holdings-sinks-5/"/>
    <hyperlink ref="E71" r:id="rId66" display="https://www.siteminder.com/news/changing-traveller-report-2026/"/>
    <hyperlink ref="E72" r:id="rId67" display="https://www.travolution.com/news/otas-overtake-search-engines-for-sourcing-hotels/"/>
    <hyperlink ref="E73" r:id="rId68" display="https://www.adthena.com/market-share/us-hospitality-customer"/>
    <hyperlink ref="E74" r:id="rId69" display="https://www.travelpulse.com/news/hotels-and-resorts/expedia-to-offer-hotel-bookings-through-meta-s-muse-ai-agent"/>
    <hyperlink ref="E75" r:id="rId70" display="https://cryptobriefing.com/meta-muse-expedia-ai-travel-bookings/"/>
    <hyperlink ref="E76" r:id="rId71" display="https://www.travolution.com/news/technology/meta-launches-muse-a-general-purpose-personal-ai-agent-set-to-impact-travel/"/>
    <hyperlink ref="E77" r:id="rId72" display="https://www.semrush.com/trending-websites/us/hospitality"/>
    <hyperlink ref="E78" r:id="rId73" display="https://ir.bookingholdings.com/news/news-details/2025/Booking-Holdings-to-Make-Third-Quarter-2025-Earnings-Press-Release-Available-on-Companys-Investor-Relations-Website-on-October-28/default.aspx"/>
    <hyperlink ref="E79" r:id="rId74" display="https://www.sec.gov/Archives/edgar/data/1075531/000107553126000008/q4-25bkngearningsrelease.htm"/>
    <hyperlink ref="E80" r:id="rId75" display="https://www.sec.gov/Archives/edgar/data/1075531/000107553126000037/bkng-20260630.htm"/>
    <hyperlink ref="E81" r:id="rId76" display="https://stockanalysis.com/stocks/bkng/forecast/"/>
    <hyperlink ref="E82" r:id="rId77" display="https://www.semrush.com/website/booking.com/overview"/>
    <hyperlink ref="E83" r:id="rId78" display="https://techcrunch.com/2026/09/10/metas-ai-agent-muse-is-now-the-no-2-app-in-the-us/"/>
    <hyperlink ref="E84" r:id="rId79" display="https://www.hospitalitynet.org/news/4134140/google-ships-agentic-booking-and-puts-a-points-price-beside-your-rate-hvs-holds-45-for-2026-98-of-ready-buyers-abandon-anyway"/>
    <hyperlink ref="E85" r:id="rId80" display="https://skift.com/2025/09/11/booking-holdings-bets-on-agentic-ai-to-challenge-big-tech/"/>
    <hyperlink ref="E86" r:id="rId81" display="https://data.sec.gov/submissions/CIK0001075531.json"/>
    <hyperlink ref="E87" r:id="rId82" display="https://www.sec.gov/Archives/edgar/data/0001075531/000107553126000036/q2-26bkngearningsrelease.htm"/>
    <hyperlink ref="E88" r:id="rId83" display="https://www.sec.gov/Archives/edgar/data/1075531/000107553126000008/q4-25bkngearningsrelease.htm"/>
    <hyperlink ref="E89" r:id="rId84" display="https://finance.yahoo.com/markets/stocks/articles/4-000-stock-become-affordable-141559947.html"/>
    <hyperlink ref="E90" r:id="rId85" display="https://www.tikr.com/blog/booking-holdings-ceo-says-the-ai-fear-is-wrong-heres-where-the-stock-could-go-from-16x-earnings"/>
    <hyperlink ref="E91" r:id="rId86" display="https://www.etoro.com/news-and-analysis/the-daily-breakdown/deep-dive-a-beatdown-for-booking-holdings/"/>
    <hyperlink ref="E92" r:id="rId87" display="https://chartrow.com/quote/bkng/drawdown"/>
    <hyperlink ref="E93" r:id="rId88" display="https://www.thestockobserver.com/?p=8913070"/>
    <hyperlink ref="E94" r:id="rId89" display="https://www.oddpool.com/us-recession-2026"/>
    <hyperlink ref="E95" r:id="rId90" display="https://cryptobriefing.com/prediction-markets-us-recession-odds-2026/"/>
    <hyperlink ref="E96" r:id="rId91" display="https://pythia.beehiiv.com/p/new-post-86bb"/>
    <hyperlink ref="E97" r:id="rId92" display="https://news.bgov.com/securities-law/polymarket-traders-clash-over-345-million-iran-peace-market"/>
    <hyperlink ref="E98" r:id="rId93" display="https://www.tikr.com/blog/expedia-stock-closed-down-nearly-8-the-day-after-its-meta-muse-tie-up-heres-where-the-stock-could-go"/>
    <hyperlink ref="E99" r:id="rId94" display="https://www.trefis.com/stock/expe/articles2/616423/how-low-could-expedia-stock-go-if-a-real-shock-follows-this-slide/2026-09-24"/>
    <hyperlink ref="E100" r:id="rId95" display="https://skift.com/?p=697905"/>
    <hyperlink ref="E101" r:id="rId96" display="https://www.tikr.com/de/blog/is-booking-holdings-stock-a-buy-after-its-middle-east-driven-guidance-cut"/>
    <hyperlink ref="E102" r:id="rId97" display="https://ca.marketscreener.com/quote/stock/BOOKING-HOLDINGS-INC-41613106/calendar/"/>
    <hyperlink ref="E103" r:id="rId98" display="https://stockanalysis.com/stocks/bkng/forecast/"/>
    <hyperlink ref="E104" r:id="rId99" display="https://www.sec.gov/cgi-bin/browse-edgar?action=getcompany&amp;CIK=0001075531&amp;type=10-Q"/>
    <hyperlink ref="E105" r:id="rId100" display="https://api.twelvedata.com/time_series?symbol=BKNG&amp;interval=1month"/>
    <hyperlink ref="E106" r:id="rId101" display="https://api.twelvedata.com/time_series?symbol=IGV&amp;interval=1month"/>
    <hyperlink ref="E107" r:id="rId102" display="https://business.columbia.edu/sites/default/files-efs/imce-uploads/BKNG.pdf"/>
    <hyperlink ref="E108" r:id="rId103" display="https://seekingalpha.com/news/4540090-ai-fears-deepen-selloff-in-software-stocks-despite-bargain-valuations"/>
    <hyperlink ref="E110" r:id="rId104" display="https://www.sec.gov/Archives/edgar/data/1075531/000107553126000036/q2-26bkngearningsrelease.htm"/>
    <hyperlink ref="E111" r:id="rId105" display="https://www.sec.gov/Archives/edgar/data/1075531/000107553126000037/bkng-20260630.htm"/>
    <hyperlink ref="E112" r:id="rId106" display="https://www.sec.gov/Archives/edgar/data/1324424/000132442426000051/earningsrelease-q22026.htm"/>
    <hyperlink ref="E113" r:id="rId107" display="https://www.sec.gov/Archives/edgar/data/1559720/000119312526337928/d70413dex991.htm"/>
    <hyperlink ref="E114" r:id="rId108" display="https://data.sec.gov/submissions/CIK0001075531.json"/>
    <hyperlink ref="E115" r:id="rId109" display="https://www.bookingholdings.com/press-releases/feed/"/>
    <hyperlink ref="E116" r:id="rId110" display="https://techcrunch.com/2026/09/10/metas-ai-agent-muse-is-now-the-no-2-app-in-the-us/"/>
    <hyperlink ref="E117" r:id="rId111" display="https://borncity.com/news/meta-muse-ki-agent-erreicht-25-millionen-downloads-in-13-tagen/"/>
    <hyperlink ref="E118" r:id="rId112" display="https://www.hospitalitynet.org/news/4134140/"/>
    <hyperlink ref="E119" r:id="rId113" display="https://stockanalysis.com/stocks/bkng/forecast/"/>
    <hyperlink ref="E120" r:id="rId114" display="https://api.twelvedata.com/time_series"/>
    <hyperlink ref="E121" r:id="rId115" display="https://api.nasdaq.com/api/analyst/EXPE/earnings-forecast"/>
    <hyperlink ref="E122" r:id="rId116" display="https://api.nasdaq.com/api/analyst/ABNB/earnings-forecast"/>
    <hyperlink ref="E123" r:id="rId117" display="https://api.nasdaq.com/api/analyst/UBER/earnings-forecast"/>
    <hyperlink ref="E124" r:id="rId118" display="https://api.nasdaq.com/api/analyst/BKNG/earnings-forecast"/>
    <hyperlink ref="E125" r:id="rId119" display="https://www.marketscreener.com/quote/stock/AMADEUS-IT-GROUP-S-A-4027320/finances/"/>
    <hyperlink ref="E126" r:id="rId120" display="https://amadeus.com/en/newsroom/press-releases/amadeus-fy-2025-results-revenue-growth"/>
    <hyperlink ref="E127" r:id="rId121" display="https://www.sec.gov/Archives/edgar/data/1324424/000132442426000005/earningsrelease-q42025.htm"/>
    <hyperlink ref="E128" r:id="rId122" display="https://www.sec.gov/Archives/edgar/data/1075531/000107553126000008/q4-25bkngearningsrelease.htm"/>
    <hyperlink ref="E129" r:id="rId123" display="https://query1.finance.yahoo.com/v8/finance/chart/"/>
    <hyperlink ref="E130" r:id="rId124" display="https://api.nasdaq.com/api/company/EXPE/earnings-surprise"/>
    <hyperlink ref="E131" r:id="rId125" display="https://api.nasdaq.com/api/company/BKNG/earnings-surprise"/>
    <hyperlink ref="E132" r:id="rId126" display="https://api.nasdaq.com/api/company/ABNB/earnings-surprise"/>
    <hyperlink ref="E133" r:id="rId127" display="https://api.nasdaq.com/api/company/UBER/earnings-surprise"/>
    <hyperlink ref="E134" r:id="rId128" display="https://data.sec.gov/api/xbrl/companyfacts/CIK0001559720.js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2026-10-30T22:16:03Z</dcterms:created>
  <dc:creator>openpyxl</dc:creator>
  <dc:description/>
  <dc:language>en-US</dc:language>
  <cp:lastModifiedBy/>
  <dcterms:modified xsi:type="dcterms:W3CDTF">2026-10-30T22:16:03Z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