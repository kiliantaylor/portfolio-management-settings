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Distribution" sheetId="3" state="visible" r:id="rId5"/>
    <sheet name="Methods" sheetId="4" state="visible" r:id="rId6"/>
    <sheet name="Scenarios" sheetId="5" state="visible" r:id="rId7"/>
    <sheet name="Reasoning" sheetId="6" state="visible" r:id="rId8"/>
    <sheet name="Supervisor" sheetId="7" state="visible" r:id="rId9"/>
    <sheet name="Sources" sheetId="8" state="visible" r:id="rId10"/>
  </sheets>
  <definedNames>
    <definedName function="false" hidden="false" name="Analyst_Median" vbProcedure="false">Summary!$B$9</definedName>
    <definedName function="false" hidden="false" name="IV30" vbProcedure="false">Summary!$B$13</definedName>
    <definedName function="false" hidden="false" name="Market_Median" vbProcedure="false">Summary!$B$15</definedName>
    <definedName function="false" hidden="false" name="Platt_Shift" vbProcedure="false">Summary!$B$11</definedName>
    <definedName function="false" hidden="false" name="Spot" vbProcedure="false">Summary!$B$5</definedName>
    <definedName function="false" hidden="false" name="Sup_Used" vbProcedure="false">Summary!$B$10</definedName>
    <definedName function="false" hidden="false" name="Thesis_Break" vbProcedure="false">Summary!$B$12</definedName>
    <definedName function="false" hidden="false" name="W_Agents" vbProcedure="false">Summary!$B$7</definedName>
    <definedName function="false" hidden="false" name="W_Analyst" vbProcedure="false">Summary!$B$8</definedName>
    <definedName function="false" hidden="false" name="W_Mkt" vbProcedure="false">Summary!$B$6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<sst xmlns="http://schemas.openxmlformats.org/spreadsheetml/2006/main" count="1309" uniqueCount="890">
  <si>
    <t xml:space="preserve">AMZN 12-month price target model</t>
  </si>
  <si>
    <t xml:space="preserve">Close 2026-10-30 · agents' research 2026-10-29 · horizon 2027-10-30. Blue = input you can change, black = formula, green = link to another sheet. Yellow = key assumption.</t>
  </si>
  <si>
    <t xml:space="preserve">Inputs</t>
  </si>
  <si>
    <t xml:space="preserve">Value</t>
  </si>
  <si>
    <t xml:space="preserve">Where it comes from</t>
  </si>
  <si>
    <t xml:space="preserve">Last close</t>
  </si>
  <si>
    <t xml:space="preserve">Close on 2026-10-30</t>
  </si>
  <si>
    <t xml:space="preserve">Weight: options market</t>
  </si>
  <si>
    <t xml:space="preserve">AIA Forecaster default (market 67%); flips to 33% when the option chain is thin</t>
  </si>
  <si>
    <t xml:space="preserve">Weight: agents</t>
  </si>
  <si>
    <t xml:space="preserve">AIA Forecaster default (agents 33%)</t>
  </si>
  <si>
    <t xml:space="preserve">Weight: analyst consensus</t>
  </si>
  <si>
    <t xml:space="preserve">Taken pro rata from the two above; 0 when there are no targets or in a special situation</t>
  </si>
  <si>
    <t xml:space="preserve">Analysts' median target</t>
  </si>
  <si>
    <t xml:space="preserve">57 analysts, https://stockanalysis.com/stocks/amzn/forecast/ as of 2026-10-30</t>
  </si>
  <si>
    <t xml:space="preserve">Use supervisor ladder (1 = yes)</t>
  </si>
  <si>
    <t xml:space="preserve">Supervisor confidence: low; its ladder replaces the agents' mean only when high</t>
  </si>
  <si>
    <t xml:space="preserve">Platt log shift of the agents' curve</t>
  </si>
  <si>
    <t xml:space="preserve">combine.py: P(close &gt;= spot) 0.631 Platt-scaled (a = 1.732) to 0.631, then the whole agents' curve is shifted in log price by this amount</t>
  </si>
  <si>
    <t xml:space="preserve">Thesis-break price (supervisor)</t>
  </si>
  <si>
    <t xml:space="preserve">Supervisor's reconciled thesis break (agents' values on the Reasoning sheet)</t>
  </si>
  <si>
    <t xml:space="preserve">30-day implied vol</t>
  </si>
  <si>
    <t xml:space="preserve">Cboe model-free 30D IV as of 2026-10-30; sets the stop noise floor (2 one-month moves)</t>
  </si>
  <si>
    <t xml:space="preserve">Options-market median</t>
  </si>
  <si>
    <t xml:space="preserve">Median of the options-implied distribution (Distribution sheet); the analyst curve is this curve re-centred on the analysts' median</t>
  </si>
  <si>
    <t xml:space="preserve">Research target (12m) per share</t>
  </si>
  <si>
    <t xml:space="preserve">Method blend</t>
  </si>
  <si>
    <t xml:space="preserve">Stated</t>
  </si>
  <si>
    <t xml:space="preserve">Note</t>
  </si>
  <si>
    <t xml:space="preserve">Agent 1</t>
  </si>
  <si>
    <t xml:space="preserve">Agent 2</t>
  </si>
  <si>
    <t xml:space="preserve">Agent 3</t>
  </si>
  <si>
    <t xml:space="preserve">Agents' average</t>
  </si>
  <si>
    <t xml:space="preserve">Agents' median</t>
  </si>
  <si>
    <t xml:space="preserve">Supervisor's reconciled research target (12m)</t>
  </si>
  <si>
    <t xml:space="preserve">Citation gate fix 2026-10-30 (10-Q pass): research target (12m) $269.44 -&gt; $269.55 after the 10-Q re-roll of the AWS drivers and the P/E-leg interest cut ($0.2363 a share); engine check: P/E (ntm) $285.46 x 0.425 (EPS 11.4054 from the driver_build.set formula, plus equity adjustments / horizon shares); SOTP $253.64 x 0.425; scenarios downside $177.50 (P10) / base $269.55 / upside $332.74 (P90), q25-q75 $216.34-$301.15. | Citation gate 2026-10-29: horizon net debt $98,775M -&gt; $98,870M (302-day 2027 cash path); engine base $269.44 unchanged (P/E $287.87 x 0.425; SOTP $251.02 -&gt; $251.01 x 0.425; scenarios bear $177.41 / base $269.44 / bull $332.61, median $261.98); thesis break $188 -&gt; $187 (one EPS basis). | Model update 2026-10-29 (update): Q3 2026 rolled in from the release (10-Q not filed). AWS beat the path (+39%, $17.8B OI; 2027 growth 35% -&gt; 38%) and outweighs lower ads (Q3 +11%, Q4 guided high teens), a re-derived horizon net debt ($58.4B -&gt; $98.8B on the 9/30 balance after $48B of Q3 bond proceeds) and the horizon roll; research target (12m) $266.70 -&gt; $269.44 (engine: P/E $287.87 x 0.425; SOTP $251.02 x 0.425; scenarios bear $177.42 / base $269.44 / bull $332.62, median $261.98). | ANTHROPIC S-1 UPDATE 2026-10-27: Amazon's stake from the public S-1 cap table 18.61% at the IPO, notes as converted (was 17.60%), staged lock-up 11.50% (was 10.37%): Anthropic $183.69B -&gt; $191.61B, conglomerate overlay -$26.03B -&gt; -$26.82B, net +$7.12B. Research target (12m) $266.05 -&gt; $266.70 (engine: P/E $285.40 x 0.425; SOTP $247.99 x 0.425; scenarios bear $176.42 / base $266.70 / bull $328.63, median $259.31). Write-up: file:///mnt/project-files/valuation/runs/2026-10-23/GOOGL/anthropic_stake_s1_2026-10-27.md | Corrected 2026-10-26 after the gate: Leo/Zoox add-backs and the stores basis correction now also at 22.88x -&gt; $266.05; legs multiple: P/E (ntm) $284.76 x 0.425; sotp $247.35 x 0.425. EXIT k=0.8 RE-SET 2026-10-26 (Kilian card 12:16Z: exit = peer median x (own / median)^0.8): P/E 21.3x -&gt; 22.88x. Research target (12m) $256.82 -&gt; $265.83 (engine: multiple: P/E (ntm) $284.30 x 0.425; sotp $247.35 x 0.425; scenarios bear $175.49 / base $265.83 / bull $327.78, median $258.46). Multiples and values quoted in the older text below are superseded by these. Model update 2026-10-23 (update): peer set refresh (Kilian 2026-10-26); P/E 23x -&gt; 21.3x, AWS 25x -&gt; 21.3x, retail segment split into ads 19.87x and stores 37.56x on the approved peer medians; research target (12m) $278.28 -&gt; $256.82. Current legs (model_engine check 2026-10-26): P/E (ntm) $266.29 at 21.3x and SOTP $247.35 (AWS 21.3x, Advertising 19.87x, Stores 37.56x), weight 0.425 each with the DCF at 0, = $256.82. Superseded base-round build, kept for the record: 50/50 blend of two horizon (Oct-2027) values, $283.4, rounded to $283. (1) P/E: NTM EPS 0.25 x $10.51 + 0.75 x $13.20 = $12.53, x 23x = $288.1 (estimate). (2) SOTP: AWS NTM pre-tax OI $96.2B x 0.79 x 25 = $1,900B; North America + International $59.0B x 0.79 x 22 = $1,025B; Anthropic after tax $149.0B (estimate: 190.4 - 0.24 x (190.4 - 18.0) = 149.0; 24% rounds the implied H1-26 rate 15.9 / (62.8 + 4.5) = 23.6%, 10-Q); OpenAI $50.0B at cost (10-Q: $28.7B at 6/30 + $21.3B after quarter-end); less net debt $61.1B (estimate: 22.278 + 0.75 x (74.022 - 22.278), MarketScreener consensus) and Globalstar $10.9B (10-Q). That is $3,052B over 10.95B diluted shares (estimate: Q2-26 diluted 10,903M x ~1.005 for SBC and Globalstar stock) = $278.8. The segment estimates and multiples are agent_1's, except AWS at 25x, not 26x, after the CY27 peer re-basing. Against the agents' $290/$278/$267 (mean $278.3): agent_1 falls to ~$283 (23x and AWS 25x), agent_2 rises to ~$281 (OpenAI stake, tax), and agent_3's $267 is pulled down by a 20% DCF I do not weight. No news moved it; see delta_review.</t>
  </si>
  <si>
    <t xml:space="preserve">Research target (12m) vs last close</t>
  </si>
  <si>
    <t xml:space="preserve">Levels</t>
  </si>
  <si>
    <t xml:space="preserve">This model</t>
  </si>
  <si>
    <t xml:space="preserve">Published</t>
  </si>
  <si>
    <t xml:space="preserve">How</t>
  </si>
  <si>
    <t xml:space="preserve">NTM target (median)</t>
  </si>
  <si>
    <t xml:space="preserve">Price with a 50% chance of closing above it on the horizon date</t>
  </si>
  <si>
    <t xml:space="preserve">Take-profit (75th percentile)</t>
  </si>
  <si>
    <t xml:space="preserve">25% chance of closing above</t>
  </si>
  <si>
    <t xml:space="preserve">15th percentile</t>
  </si>
  <si>
    <t xml:space="preserve">85% chance of closing above</t>
  </si>
  <si>
    <t xml:space="preserve">Stop noise floor</t>
  </si>
  <si>
    <t xml:space="preserve">Two one-month implied moves below the last close; the stop is never tighter than this</t>
  </si>
  <si>
    <t xml:space="preserve">Stop-loss</t>
  </si>
  <si>
    <t xml:space="preserve">Higher of the 15th percentile and the thesis break, capped at the noise floor (published basis: thesis break)</t>
  </si>
  <si>
    <t xml:space="preserve">Target vs last close</t>
  </si>
  <si>
    <t xml:space="preserve">P(close above last)</t>
  </si>
  <si>
    <t xml:space="preserve">Expected price (mean)</t>
  </si>
  <si>
    <t xml:space="preserve">Mean of the blended distribution (combine.py integrates the full curve); above the median when right-skewed</t>
  </si>
  <si>
    <t xml:space="preserve">Sheets</t>
  </si>
  <si>
    <t xml:space="preserve">Assumptions</t>
  </si>
  <si>
    <t xml:space="preserve">The supervisor's table of every driver: each agent's value, reasoning and linked sources</t>
  </si>
  <si>
    <t xml:space="preserve">Methods</t>
  </si>
  <si>
    <t xml:space="preserve">Each agent's valuation methods, values and weights</t>
  </si>
  <si>
    <t xml:space="preserve">Scenarios</t>
  </si>
  <si>
    <t xml:space="preserve">Downside (10th pct) / base / upside (90th pct) price per agent</t>
  </si>
  <si>
    <t xml:space="preserve">Distribution</t>
  </si>
  <si>
    <t xml:space="preserve">The probability ladder and the blend, as formulas</t>
  </si>
  <si>
    <t xml:space="preserve">Reasoning</t>
  </si>
  <si>
    <t xml:space="preserve">Each agent's written reasoning, thesis break and what changed from round 1</t>
  </si>
  <si>
    <t xml:space="preserve">Supervisor</t>
  </si>
  <si>
    <t xml:space="preserve">Disagreements, fact-checks and changes</t>
  </si>
  <si>
    <t xml:space="preserve">Sources</t>
  </si>
  <si>
    <t xml:space="preserve">Every cited source with its link</t>
  </si>
  <si>
    <t xml:space="preserve">AMZN key assumptions, aggregated by the supervisor</t>
  </si>
  <si>
    <t xml:space="preserve">Each driver of the valuation: the supervisor's reconciled value (grey rows), then what each agent assumed, why, and its sources. Blue values are the agents' own numbers; blank means the agent did not use that driver.</t>
  </si>
  <si>
    <t xml:space="preserve">ID</t>
  </si>
  <si>
    <t xml:space="preserve">Assumption / who</t>
  </si>
  <si>
    <t xml:space="preserve">Source 1</t>
  </si>
  <si>
    <t xml:space="preserve">Source 2</t>
  </si>
  <si>
    <t xml:space="preserve">Source 3</t>
  </si>
  <si>
    <t xml:space="preserve">All sources</t>
  </si>
  <si>
    <t xml:space="preserve">Agents low</t>
  </si>
  <si>
    <t xml:space="preserve">Agents high</t>
  </si>
  <si>
    <t xml:space="preserve">Used in</t>
  </si>
  <si>
    <t xml:space="preserve">The supervisor has not aggregated this round yet (model_assumptions.json); see Methods and Reasoning.</t>
  </si>
  <si>
    <t xml:space="preserve">AMZN probability of closing at or above each price on 2027-10-30</t>
  </si>
  <si>
    <t xml:space="preserve">Each column is P(close &gt;= K). Agents' curve is Platt-shifted, blended with the options market, then analysts at W_Analyst (0 since 2026-10-05). Interpolation is linear in logit(p) vs log(K), as in combine.py.</t>
  </si>
  <si>
    <t xml:space="preserve">Price K</t>
  </si>
  <si>
    <t xml:space="preserve">ln K</t>
  </si>
  <si>
    <t xml:space="preserve">Options market</t>
  </si>
  <si>
    <t xml:space="preserve">Agents' mean</t>
  </si>
  <si>
    <t xml:space="preserve">Agents' curve used</t>
  </si>
  <si>
    <t xml:space="preserve">logit(used)</t>
  </si>
  <si>
    <t xml:space="preserve">K shifted</t>
  </si>
  <si>
    <t xml:space="preserve">seg</t>
  </si>
  <si>
    <t xml:space="preserve">Agents Platt-shifted</t>
  </si>
  <si>
    <t xml:space="preserve">logit(market)</t>
  </si>
  <si>
    <t xml:space="preserve">K re-centred</t>
  </si>
  <si>
    <t xml:space="preserve">Analyst curve</t>
  </si>
  <si>
    <t xml:space="preserve">Blend ex analysts</t>
  </si>
  <si>
    <t xml:space="preserve">Final blend</t>
  </si>
  <si>
    <t xml:space="preserve">logit(final)</t>
  </si>
  <si>
    <t xml:space="preserve">Published (combine.py)</t>
  </si>
  <si>
    <t xml:space="preserve">Agents' curves are their final-round answers (Reasoning sheet shows round 1). Market and published columns come from combine.py; the model reproduces the final blend within rounding (combine.py also enforces a non-increasing curve).</t>
  </si>
  <si>
    <t xml:space="preserve">AMZN valuation methods by agent</t>
  </si>
  <si>
    <t xml:space="preserve">Each agent's methods, the value per share and the weight it gave each. Blended value = weight-averaged methods; stated value = what the agent reported (it may round or add a deduction).</t>
  </si>
  <si>
    <t xml:space="preserve">Agent</t>
  </si>
  <si>
    <t xml:space="preserve">Method</t>
  </si>
  <si>
    <t xml:space="preserve">Value / share</t>
  </si>
  <si>
    <t xml:space="preserve">Weight</t>
  </si>
  <si>
    <t xml:space="preserve">Value x weight</t>
  </si>
  <si>
    <t xml:space="preserve">Calculation (assumption IDs on the Assumptions sheet)</t>
  </si>
  <si>
    <t xml:space="preserve">Inputs and reasoning</t>
  </si>
  <si>
    <t xml:space="preserve">P/E</t>
  </si>
  <si>
    <t xml:space="preserve">NTM EPS at Oct-2027 ~$12.68 (0.25 x FY27 $10.51 + 0.75 x FY28 $13.40) x 23.5x forward P/E</t>
  </si>
  <si>
    <t xml:space="preserve">SOTP</t>
  </si>
  <si>
    <t xml:space="preserve">Horizon (NTM at Oct-2027) after-tax OI: AWS 0.25 x 2027 $82.8B + 0.75 x 2028 $100.6B = $96.2B pre-tax, x 0.79 x 26 = $1.975T; North America+International 0.25 x $53B + 0.75 x $61B = $59.0B, x 0.79 x 22 = $1.025T; Anthropic after tax $0.16T; less net debt ~$61B and Globalstar ~$10.9B; 10.95B diluted shares; total ~$3.088T = $282/share</t>
  </si>
  <si>
    <t xml:space="preserve">Blended value</t>
  </si>
  <si>
    <t xml:space="preserve">Stated research target (12m)</t>
  </si>
  <si>
    <t xml:space="preserve">50/50 blend of forward P/E at the horizon ($298 = NTM EPS at Oct-2027 ~$12.68 [25% FY27 consensus $10.51 + 75% FY28 $13.40] x 23.5x) and a horizon SOTP ($282 = AWS NTM after-tax OI ~$76.0B x 26 = $1.98T + retail/ads ~$46.6B x 22 = $1.02T + Anthropic stake after tax ~$0.16T - consensus net debt at Oct-2027 ~$61B - Globalstar ~$11B, over 10.95B shares).</t>
  </si>
  <si>
    <t xml:space="preserve">NTM EPS at Oct-2027 $12.38 (0.25 x $10.51 + 0.75 x $13.00) x 23x = $284.7</t>
  </si>
  <si>
    <t xml:space="preserve">AWS 2027E revenue $230B x 38% margin x (1-17% tax) = $72.5B NOPAT x 25 = $1,813.6B; retail+ads 2027E OI $55B x 0.83 x 22 = $1,004.3B; Anthropic ~$160B after tax; Leo -$50B; net debt -$30.9B; Globalstar -$10.9B; total $2,886.1B / 10.903B diluted shares = $264.7; x 1.025 roll-forward = $271</t>
  </si>
  <si>
    <t xml:space="preserve">50/50 blend of forward P/E ($285: NTM EPS at Oct-2027 $12.38 = 25% FY27 consensus $10.51 + 75% FY28 $13.00 [consensus $13.81 haircut ~6% for depreciation], x 23x vs a 10-peer CY2027 median of 23.8x) and a sum of the parts ($271: AWS $1.81T + retail/ads $1.00T + Anthropic ~$0.16T after tax - Leo $0.05T - net debt $30.9B - Globalstar $10.9B, over 10.90B diluted shares = $264.7, rolled forward 2.5%).</t>
  </si>
  <si>
    <t xml:space="preserve">Oct-2027 NTM EPS $12.53 (=0.25 x 2027E $10.37 + 0.75 x 2028E $13.24, consensus less skeptic capex/D&amp;A haircut) x 23.0x = $288.1, plus AI-lab stakes at 50% of carrying value $11.5/sh</t>
  </si>
  <si>
    <t xml:space="preserve">EV/EBITDA</t>
  </si>
  <si>
    <t xml:space="preserve">Oct-2027 NTM EBITDA $334.8B (0.25 x 2027E $273.5B + 0.75 x 2028E $355.3B) x 9.5x = EV $3,181B, less 2027E net debt $74.0B = $283.7/sh, plus stakes $11.5/sh</t>
  </si>
  <si>
    <t xml:space="preserve">DCF</t>
  </si>
  <si>
    <t xml:space="preserve">Value at end-2027: FCF after SBC from 2028E $8.3B ramping to 8.0% of sales by 2032 (10.5% pre-SBC FCF margin less 2.5% SBC); revenue 2028E $1,097B then +12%..+6% to 2035; WACC 10.44%; g 3.5%; EV $1,527B - net debt $74B + stakes $11.5/sh. Sensitivity: WACC 9.0% -&gt; $187, 9.5% -&gt; $170, 10.0% -&gt; $155</t>
  </si>
  <si>
    <t xml:space="preserve">Blend of P/E (45%: 23x Oct-27 NTM EPS $12.53 + stakes = $299.6), EV/EBITDA (35%: 9.5x NTM EBITDA $334.8B, less $74B net debt, + stakes = $295.2) and a skeptic DCF (20%: WACC 10.44% with 10-yr at 5.31%, = $144.1) = $267. Multiples sit below peer medians (25.2x P/E, 12.2x EV/EBITDA) because AMZN's earnings convert poorly to free cash through 2027.</t>
  </si>
  <si>
    <t xml:space="preserve">AMZN cases by agent</t>
  </si>
  <si>
    <t xml:space="preserve">Base case = median; downside = 10th percentile, upside = 90th percentile (no probabilities; older rounds' bear/bull shown as downside/upside).</t>
  </si>
  <si>
    <t xml:space="preserve">Downside (P10)</t>
  </si>
  <si>
    <t xml:space="preserve">Base (median)</t>
  </si>
  <si>
    <t xml:space="preserve">Upside (P90)</t>
  </si>
  <si>
    <t xml:space="preserve">Downside story</t>
  </si>
  <si>
    <t xml:space="preserve">Base story</t>
  </si>
  <si>
    <t xml:space="preserve">Upside story</t>
  </si>
  <si>
    <t xml:space="preserve">AI capex digestion or share loss: AWS growth slides toward the low 20s while $280-310B 2027 capex lifts D&amp;A, so FY28 EPS lands near $11.5 instead of $13.4. Consensus FCF stays negative into 2027 and net debt climbs past $74B with the 10-year above 5%. The multiple compresses to ~18x NTM EPS of ~$11 (~$198). Q3/Q4 prints disappoint against a revenue consensus already at the top of the guide, and the FTC trial (Mar 29, 2027) and ad-auction suit weigh.</t>
  </si>
  <si>
    <t xml:space="preserve">Consensus broadly delivered: FY27 EPS ~$10.5 (+26%) and FY28 ~$13.4 (+27%) as AWS grows ~30% on capacity that is already reserved, with retail/ads up mid-teens. FCF turns toward positive in 2028. The multiple drifts from ~24x to ~22-23.5x NTM as rates stay high. This is set slightly below my $290 fair value to shrink toward the market for model error, because most of this week's fair-value rise came from method and consensus inputs, not news.</t>
  </si>
  <si>
    <t xml:space="preserve">AWS holds 35%+ as capacity doubles and Trainium gains external customers, and capex discipline shows in 2027 (FCF inflects early). An Anthropic IPO at or above $2T talk re-marks the $190B stake upward. The multiple holds ~25-26x on NTM EPS ~$13.5-14 (consensus FY28 $13.81 delivered), toward the $330.59 sell-side mean and beyond.</t>
  </si>
  <si>
    <t xml:space="preserve">Oracle-style de-rating: AI demand digests or a lab customer stumbles, AWS slows toward the mid-20s while Azure and Google keep taking share in a 40%+ market, 2027 capex rises again on memory prices (Micron GM 87%) so FCF stays negative and the off-balance-sheet chip SPVs read as financing stress, and the Fed keeps hiking. NTM EPS ~$10.8 x ~17x (where ORCL trades today) = ~$185.</t>
  </si>
  <si>
    <t xml:space="preserve">AWS grows ~30% on the $496B backlog with firm GPU pricing (Capacity Blocks +15% on Oct 7, H100 index +16% y/y), ads compound in the mid-20s, normalized EPS reaches ~$13 in FY28 (a bit under the $13.81 consensus), capex growth slows in 2027-28, and the multiple stays ~23x NTM EPS of ~$12.4, near the peer median.</t>
  </si>
  <si>
    <t xml:space="preserve">AWS re-accelerates toward 40% as Trainium capacity (Synopsys IP deal, Anthropic capacity ramp) lands and pricing keeps rising, FCF turns positive in 2027, FY28 EPS beats $13.81, and an Anthropic IPO well above the $190B carrying value crystallizes the stake; ~26x on NTM EPS ~$13.4.</t>
  </si>
  <si>
    <t xml:space="preserve">AI digestion: the standing view's low case has Big-4 capex at $800B in 2028 vs $1,330B base. If lab demand (Anthropic, OpenAI, both partly funded by Amazon's own $50B+ investments) slips, AWS growth falls back toward 20% while depreciation from the 2026-27 build keeps rising. A Burry-style useful-life stress (3 years instead of 5) would cut 2028E EPS by ~$3. The market then pays ~17-18x on ~$11 EPS, Level 3 AI-lab marks get written down, and $164B+ of new debt plus negative FCF becomes the story. Price ~$195, near the Feb-Mar 2026 lows.</t>
  </si>
  <si>
    <t xml:space="preserve">Capex runs above consensus (~$320B in 2027), but sold-out capacity and the $496B backlog convert. 2028 EPS lands ~$13.2 (a 4% haircut to consensus), FCF stays around break-even into 2027, and the multiple holds slightly below the peer median. Price is about fair value.</t>
  </si>
  <si>
    <t xml:space="preserve">AWS sustains 35%+ growth with Trainium share gains, retail/ads margins expand, and an Anthropic or OpenAI liquidity event validates the ~$251B of stakes. 2028E EPS ~$14 is paid ~24x, which also matches the $330.59 average analyst target.</t>
  </si>
  <si>
    <t xml:space="preserve">Average</t>
  </si>
  <si>
    <t xml:space="preserve">AMZN each agent's reasoning</t>
  </si>
  <si>
    <t xml:space="preserve">Final round, with round 1 for comparison. Revisions list what each agent changed after the supervisor's feedback.</t>
  </si>
  <si>
    <t xml:space="preserve">Research target (12m) r1</t>
  </si>
  <si>
    <t xml:space="preserve">Research target (12m) r2</t>
  </si>
  <si>
    <t xml:space="preserve">Thesis break</t>
  </si>
  <si>
    <t xml:space="preserve">Thesis break reason</t>
  </si>
  <si>
    <t xml:space="preserve">Key uncertainties</t>
  </si>
  <si>
    <t xml:space="preserve">Revisions after feedback</t>
  </si>
  <si>
    <t xml:space="preserve">Delta refresh of my 2026-09-29 view ($263 FV, P(&gt;=247) 0.59). What changed in the evidence: (1) No new 8-K/10-Q since Sep 29; EDGAR shows only a Form 4 (a $251.5k 10b5-1 sale by Herrington). The pre-Sep-29 filings I had missed are the GBP 4.25B notes (FWP Sep 9, closed Sep 14 per 8-K, listed on Nasdaq per 8-A12B Sep 24) and a new director (Mandia, 8-K 5.02). The notes raise gross debt and confirm continued debt funding of capex, but are net-neutral at issue. (2) The stock rose 3.9% (246.67 to 256.33) vs QQQ +2.9%, MSFT +4.0%, GOOGL +2.0%, ORCL +5.1%, META flat. That is mostly beta to a Nasdaq at record highs after weak payrolls cut October hike odds to ~20% (Polymarket, $26.9M). There was no company-specific news: the press center shows only AWS customer releases, and the TD Cowen Buy reiteration was a non-event. (3) Consensus edged up: FY26 normalized $8.15 to $8.31, FY27 $10.48 to $10.51 (Yahoo, 4 up / 0 down in 30 days), and I now have a sourced FY28 consensus of $13.81 (MarketScreener), where last week I used my own +20% ($12.56). (4) The new peer-set rule: 11 comps on one FY~CY2027 basis (median 26.7x P/E, 13.5x EV/EBITDA). (5) Method fixes: the SOTP is now rolled to horizon NTM earnings, consistent with the P/E leg; last week it applied today's forward multiples to 2027 earnings, which is a value as of today rather than at the horizon. Net debt now uses the consensus path to Oct-2027 (~$61B) instead of a Q2 proxy (~$31B), and the retail multiple rose from 20x to 22x to stay defensibly inside the peer range. Result: P/E $282 to $298 (FY28 input $12.56 to $13.40, multiple 23.5x unchanged), SOTP $244 to $282, FV $263 to $290. I do not move the forecast distribution all the way to the FV: most of the +$27 is inputs and method, not news, and FV estimates are noisy, so the ladder uses a three-component lognormal mixture (medians 198/280/355, weights 25/50/25, sigmas 0.30/0.19/0.24). That gives a median of ~$278 (+8.5%), mean ~$286, and log-sd ~0.31, close to the 34% realized vol (slightly below, since the dispersion of scenario medians already adds spread). P(&gt;=256) is 0.618 and P(&gt;=449) 0.045. Source mix: the 11 required comp pages and consensus pages push the in-lane share to 12/32 (~38%). Among non-comp sources it is 12/21 (~57%), below the 60% target because the comp rule requires a data page per peer. Lane-unique items: the GBP notes FWP/8-K/8-A12B, the Item 5.02 8-K, the Form 4 and the 10-Q note detail. Not used (unverified): CNN on Anthropic IPO timing (HTTP 451), payroll figures (secondary only), and Microsoft/Alphabet report dates beyond Trefis's estimate.</t>
  </si>
  <si>
    <t xml:space="preserve">Below ~$185 (28% under spot, under the $196 52-week low) the stock would trade at ~17.6x FY27 consensus EPS of $10.51, which is still being revised up (4 up / 0 down in 30 days) and growing ~26%. That is ~35% below the 26.7x peer median and below Meta's 21.8x despite faster growth. Such a level is consistent only with the market pricing an impairment of AWS backlog quality (renegotiated OpenAI/Anthropic commitments), AWS growth falling to the low 20s, or a structural depreciation-driven margin reset, not 34%-vol noise or a rate de-rating. Unchanged from 2026-09-29.</t>
  </si>
  <si>
    <t xml:space="preserve">• 2027 capex and its return: consensus $277B (MarketScreener) vs a standing-view base ~$310B; every extra $10B of capex costs ~$0.13/share of 2028 EPS through D&amp;A, and FCF is negative until 2028E
• Whether the FY28 consensus (+31%) survives: I already haircut it to +27.5%. It is thinly covered and year-ahead estimates are pro-cyclical
• AWS backlog concentration ($496B, triple-digit growth) in AI-lab commitments; share loss to Google Cloud and Azure if AI demand digests
• Rates: 10-year at 5.31% (24-year high) even as October hike odds fell to ~20%; net debt rising to ~$74B by end-2027 (consensus)
• Anthropic stake ($190.4B carrying): IPO timing/price is two-sided for the mark and GAAP EPS; the tax basis was not re-verified
• Q3 print inside the 1-month window, with revenue consensus ($202.03B) at the top of the $197-202B guide</t>
  </si>
  <si>
    <t xml:space="preserve">Delta refresh of the 2026-09-29 industry-lane work. (1) Stock: +3.9% since Sep 29 ($246.67 -&gt; $256.29) against QQQ +2.9%, MSFT +4.0% and GOOGL +2.0%, so the move is mostly market beta plus ~1pt of idiosyncratic strength (coinciding with Prime Big Deal Days). No new Amazon 8-K or 10-Q: EDGAR shows only a Form 4 since Sep 24 (source 33). (2) Industry evidence since Sep 29: AWS's own pricing page confirms Capacity Block GPU prices rise ~15% on Oct 7 (P6-B300 $14.04 -&gt; $16.146; P5 $5.191 -&gt; $5.970). The getdeploying H100 index is $3.47, +16% y/y, and MS's Compute Desk B300 index is up &gt;50% YTD. Micron (Sep 30) printed $54.2B at 87% GM and guided $61.5B. Synopsys signed a &gt;$1B license-plus-royalty silicon IP deal for Trainium/Graviton/Nitro. Reuters/FT report Amazon is weighing an $8B Grace Blackwell SPV leaseback. Synergy's Q2 report (opened directly this time) shows the cloud market +43%, i.e. faster than AWS's +37%. Net: pricing and demand are firmer than my 25% bear case assumed a week ago, but capex intensity and financing optics are worse, so I hold the bear weight at 25% and tie the bear price to Oracle's multiple. (3) Consensus: FY27 EPS $10.51 (from $10.48; 2 up and 0 down revisions in 7 days); FY26 normalized $8.31 (vs $8.15 cited last week; the S&amp;P Global page now shows $8.31). New: FY28 consensus $13.81 (MarketScreener), +31%. I previously assumed +20% ($12.6). I now use $13.00, a ~6% haircut to consensus for depreciation. (4) Peer set built for the first time on one basis (10 names, CY2027, MarketScreener): median P/E 23.8x, median EV/EBITDA 13.7x. I keep 23x. (5) The SOTP arithmetic is corrected: 230 x 0.38 x 0.83 x 25 = $1.81T for AWS, not the $1.77T written last week. Diluted shares are 10.903B (reported), not 10.95B. Fair value moves $271 -&gt; $278 (P/E $277 -&gt; $285, SOTP $266 -&gt; $271). The ladder is a two-lognormal mixture (82%: median $268, sigma 0.29; 18%: median $260, sigma 0.46), giving a median ~$267 (+4% vs spot, shrinking my +8.5% fair-value gap about halfway toward spot for model risk), a mean ~$281 and P(&gt;=spot) 0.554. Scenario mean $274. Research: ~30 queries/fetches. Twelve Data statistics and estimates were paywalled and Alpha Vantage was rate-limited, so consensus came from Yahoo, stockanalysis and MarketScreener. SEC refused the generic user agent, so filings were read via WebFetch. No option prices or implied volatility were used.</t>
  </si>
  <si>
    <t xml:space="preserve">Unchanged at $185. That is 27.8% below today's $256.29, below the $196 52-week low, and 17.6x FY27 consensus EPS of $10.51, exactly where Oracle (the market's example of stressed, debt-funded AI capex) trades on CY27 today. For AMZN to reach that multiple while consensus still says +26% EPS growth in 2027 would most likely mean a structural break: AWS slowing toward the low 20s while the cloud market grows 40%+ (share loss turning competitive), an AI-lab backlog renegotiation, GPU rental pricing rolling over (the AWS Capacity Block and H100 indices are the early warning), or credit stress visible in the off-balance-sheet chip financing. A 34%-vol year alone does not get there.</t>
  </si>
  <si>
    <t xml:space="preserve">• 2027 capex and depreciation: memory costs (Micron 87% GM, FQ1 guide +13% q/q) push dollars up faster than capacity, and FY28 consensus EPS of $13.81 may under-model D&amp;A
• AWS share: market +43% vs AWS +37% in Q2; benign while capacity is short and pricing is rising, a multiple problem if AI demand digests
• Financing optics: the $8B Nvidia chip SPV/leaseback (FT/Reuters, not confirmed by Amazon) and ~$100B of 2026 bond issuance (Quartz) could be read as balance-sheet strain, as with Oracle
• Anthropic: IPO timing and price are two-sided for the $190.4B carrying value and for GAAP EPS (FY26 GAAP $12.88 vs normalized $8.31)
• Rates: an active Fed hiking cycle (3.75-4.00%) against a capex-heavy, FCF-negative mega-cap
• Q3 print inside the 1-month window: calendar-driven sales deceleration (Prime Day moved to June) could be misread</t>
  </si>
  <si>
    <t xml:space="preserve">Lane: skeptic. I read the 10-Q, the 10-K and six 2026 debt documents first. Amazon has gone from $65.6B of long-term debt (Dec-25) to ~$164B face by Sept-26, through USD, EUR, CHF, CAD and GBP issues with coupons up to 6.65% and maturities to 2076. It also signed a $17.5B delayed-draw term loan. TTM FCF is -$7.6B, $29.3B of capex was accrued but not yet paid, and Moody's cut the outlook to stable (external funding). The bigger red flag is circularity: Amazon put $50B into OpenAI and $10B into Anthropic in H1-26, and both labs made $100B+ AWS commitments. Meanwhile $62.8B of H1 pre-tax income came from Level 3 Anthropic mark-ups - so GAAP 2026 EPS ($12.88 consensus) overstates operating earnings; I value only the 2027-28 operating EPS and add the stakes at a 50% haircut. Fitzgerald calls the OpenAI framework 'circular financing'. Amazon also has a precedent of over-building, with the 2021-22 fulfillment glut (shareholder-suit record). Weighed honestly, though: the accounting critique (Burry) mostly spares Amazon, which shortened server lives to 5 years in 2025. Insider activity is routine RSU sales plus Bezos gifts, with no cluster selling. AWS re-accelerated to 37% with $496B of backlog, which rebuts DA Davidson's Feb 'losing the lead' downgrade. Credit is A1/AA with no covenants. So the skeptic case is about FCF quality and valuation, not solvency or fraud. On 12 peers (one MarketScreener basis, FY ending Jun-27 to May-28), AMZN is near the median P/E and below the median EV/EBITDA. Applying below-median multiples and a capex-file-based EPS haircut gives ~$296-300 for the multiple methods. A DCF at a market-implied 10.4% WACC gives only $144, which shows how much of the price rests on long-run margins and low discount rates. Blended fair value is $267 (+4%). Scenarios are $195/$265/$340 at 25/50/25, for an expected ~$266. The ladder blends that scenario mixture with a lognormal (median $262, sigma 0.34, close to the 34% realized vol), so P(&gt;=$256) = 0.54. It is slightly less bullish than the multiple methods alone and well below the $330.59 street target, which I treat as evidence but not the answer. No option data was used.</t>
  </si>
  <si>
    <t xml:space="preserve">Below ~$190 (-26%, under the Feb-Mar 2026 lows of $196-199 hit when the $200B capex guide shocked the market) the stock would trade at ~18x skeptic-adjusted 2027E EPS and ~7.8x 2027E EBITDA. That would most likely mean a fundamental break: an AI-lab customer (OpenAI/Anthropic) failing to meet its AWS commitment, a 2027 capex guide well above $300B without matching AWS acceleration, or write-downs of the Level 3 lab stakes. Ordinary volatility would not do it.</t>
  </si>
  <si>
    <t xml:space="preserve">• Whether the AWS backlog ($496B, 6.4-yr weighted life) is economically sound when its two largest AI-lab customers are partly funded by Amazon ($50B OpenAI; $18B Anthropic = $8B notes 2023-25 + $10B preferred in Q2-26, plus a $20B facility).
• 2027-28 capex path: consensus $277B/$297B vs ~$324B/$399B implied by the standing AI-capex base case; the depreciation and interest drag depends on it.
• Economic life of AI servers (5-6 years on the books vs 2-3-year GPU cycles argued by Burry); Amazon already cut a subset to 5 years in 2025.
• Discount rate: the 10-yr is at 5.31%; a 1pp move in WACC swings the DCF by ~$30/share.
• Antitrust remedies (FTC trial March 2027) are unlikely before the horizon but could weigh on the multiple.</t>
  </si>
  <si>
    <t xml:space="preserve">AMZN supervisor</t>
  </si>
  <si>
    <t xml:space="preserve">Confidence: low. My checks corrected inputs: the OpenAI stake, the Anthropic tax, the peer-median basis, agent_1's AWS multiple and agent_2's net-debt arithmetic. They moved my fair value to $283, but they largely offset agent by agent: agent_1's corrected FV falls to ~$283 and agent_2's rises to ~$281. None changes the distribution enough to beat the mean, so I leave the 12-month ladder at the forecasters' mean; the 1-month ladder is the mean of agents 2 and 3 (citation gate: agent_1's 1-month mixture leaned on press-only Polymarket odds).</t>
  </si>
  <si>
    <t xml:space="preserve">Summary</t>
  </si>
  <si>
    <t xml:space="preserve">EXIT k=0.8 RE-SET 2026-10-26 (Kilian card 12:16Z: exit = peer median x (own / median)^0.8): P/E 21.3x -&gt; 22.88x. Research target (12m) $256.82 -&gt; $265.83 (engine: multiple: P/E (ntm) $284.30 x 0.425; sotp $247.35 x 0.425; scenarios bear $175.49 / base $265.83 / bull $327.78, median $258.46). Multiples and values quoted in the older text below are superseded by these. No Amazon-specific news since Sep 29 (EDGAR shows only a Form 4). The stock's +3.9% is mostly market beta, and the 10-year was flat then (FRED; now 4.99% on 2026-10-27). The delta agents' higher fair values come from inputs and method: a sourced FY28 consensus ($13.81, which I use at $13.20) and a SOTP rolled to the horizon. I fixed real errors: the $50B OpenAI stake was missing, the peer median is 23.5x on a CY2027 basis (not 26.7x), and agent_2's net-debt bridge was wrong. The corrected fair value is $283 (+10% vs spot), but the blind agent confirms the multiple legs and I leave the 12-month ladder at the forecasters' mean: median ~$270, P(&gt;=spot) 0.57. The citation gate re-based the peer set to Oct 6 closes (median still 23.5x; ORCL 17.9x, so the thesis break moves $185 -&gt; $188), corrected the claim that AMZN alone has negative FCF (META, GOOGL, ORCL do too; multiple unchanged), and set the 1-month ladder to the agents 2-3 mean (P(&gt;=spot) 0.501). The Q3 print (not yet dated, est. ~Oct 29) and the Oct 27-28 FOMC fall inside the 1-month window. No revise round is needed.</t>
  </si>
  <si>
    <t xml:space="preserve">Research target (12m)</t>
  </si>
  <si>
    <t xml:space="preserve">Key drivers</t>
  </si>
  <si>
    <t xml:space="preserve">• AWS average net property and equipment (installed capacity, $): 146.8 -&gt; 266.2/425.9/590.4 (estimate; quarterly, mean)
• AWS revenue per $ of average net PP&amp;E (capacity turnover): 0.8771 -&gt; 0.6591/0.5685/0.5135 (estimate; quarterly, wmean:aws_ppe)
• AWS EBITDA margin (segment OI + segment D&amp;A) / AWS sales: 0.5209 -&gt; 0.583/0.585/0.6 (estimate; quarterly, wmean:aws_ppe*aws_turn)
• Advertising services revenue: 68.64 -&gt; 81.63/94.69/107.9 (estimate; quarterly, sum)
• North America + International revenue excluding advertising (stores, 3P services, subscriptions, other): 519.6 -&gt; 572.2/617.9/667.4 (estimate; quarterly, sum)
• Operating margin of NA + International excluding advertising (ads at an assumed 50% margin): 9.904e-05 -&gt; 0.006736/0.006738/0.006738 (estimate; quarterly, wmean:stores_rev)</t>
  </si>
  <si>
    <t xml:space="preserve">Disagreements (final round)</t>
  </si>
  <si>
    <t xml:space="preserve">Topic</t>
  </si>
  <si>
    <t xml:space="preserve">Positions</t>
  </si>
  <si>
    <t xml:space="preserve">Resolution</t>
  </si>
  <si>
    <t xml:space="preserve">Evidence</t>
  </si>
  <si>
    <t xml:space="preserve">Peer median and basis (26.7x vs 23.8x vs 25.15x)</t>
  </si>
  <si>
    <t xml:space="preserve">agent_1 has an 11-name median of 26.7x and agent_3 a 12-name median of 25.15x. Both use MarketScreener's printed P/E for the fiscal year ending Jun-2027 to May-2028, which mixes MSFT FY Jun-27, COST FY Aug-27, ORCL FY May-28 and BABA FY Mar-28, and both include CPNG at 40.2x on a depressed base. agent_2 calendarizes 10 names to CY2027 and gets 23.8x.</t>
  </si>
  <si>
    <t xml:space="preserve">I use one basis, CY2027, with 11 names (CPNG excluded). The median is 23.5x (SE), and the mega-cap cloud subgroup median is 22.5x (Oct 6 closes; citation gate). agent_1's 26.7x median is exactly MSFT's off-basis FY Jun-27 multiple (MSFT on CY27 is 24.5x). AMZN trades at 24.4x CY27 (256.29/10.51). 23x is a 2.3% discount to the reconciled median, so no agent's P/E multiple changes. agent_1's AWS 26x, which was anchored on MSFT's 26.7x, goes to 25x.</t>
  </si>
  <si>
    <t xml:space="preserve">MarketScreener finances pages opened Oct 6 for MSFT, GOOGL, META, ORCL, WMT, COST, MELI, SE, SHOP, BABA and PDD (consensus EPS), and stockanalysis.com Oct 6 closes (see comps_review)</t>
  </si>
  <si>
    <t xml:space="preserve">FY28 EPS input ($13.40 / $13.00 / $13.24 vs consensus $13.81)</t>
  </si>
  <si>
    <t xml:space="preserve">All three haircut the MarketScreener FY28 consensus for capex/D&amp;A above consensus: agent_1 -$0.41 (2027 capex ~$310B), agent_2 -6% (memory costs), agent_3 -$0.57 (capex scaled to the standing-view Big-4 base, 50% revenue offset).</t>
  </si>
  <si>
    <t xml:space="preserve">Consensus verified: EPS 2027 $10.51 and 2028 $13.81; capex 2027 $277.4B and 2028 $296.9B; EBIT 2028 $182.7B. The haircut is warranted because consensus 2028 capex growth (+7%) is far below the standing view, in which Big-4 capex goes 1,080 -&gt; 1,330 ($B) in 2028. I use $13.20, the mean of the three independent haircuts ((13.40 + 13.00 + 13.24)/3 = 13.21, rounded). NTM EPS at the horizon = 0.25 x 10.51 + 0.75 x 13.20 = $12.53 (estimate).</t>
  </si>
  <si>
    <t xml:space="preserve">MarketScreener AMZN finances (opened Oct 6); /mnt/project-files/adhoc/nvda_customer_capex.md (Big-4 base 2027 1,080 / 2028 1,330)</t>
  </si>
  <si>
    <t xml:space="preserve">AI-lab stakes: Anthropic only ($160B after tax) vs all investments at 50% ($251B)</t>
  </si>
  <si>
    <t xml:space="preserve">agents 1 and 2 value only Anthropic ($190.4B carrying, ~$160B after tax). agent_3 adds OpenAI and other investments ($229.7B recorded at 6/30 + $21.3B OpenAI after quarter-end = $251.0B) at a 50% haircut, and adds them to its P/E leg.</t>
  </si>
  <si>
    <t xml:space="preserve">The 10-Q confirms Anthropic preferred $92.5B + notes $97.9B = $190.4B. It also shows OpenAI Series C at $28.7B at 6/30, plus $21.3B invested after quarter-end = $50.0B at cost. Agents 1 and 2 (and the 2026-09-29 supervisor) omitted the OpenAI stake. I add it at cost in the SOTP (no embedded gain, so no deferred tax): +$4.6/share. Anthropic after tax is an estimate: cash invested = $8.0B notes + $10.0B preferred in Q2-26 = $18.0B, so the embedded gain is $172.4B. H1 discrete tax was $15.9B on $62.8B of upward adjustments plus a $4.5B reclass gain (23.6%), so I use 24%: 190.4 - 0.24 x 172.4 = $149.0B, vs the agents' $160B. Stakes are not added to the P/E leg: AMZN's own 24.4x already prices them.</t>
  </si>
  <si>
    <t xml:space="preserve">Amazon 10-Q Q2-26, investments note (Anthropic, OpenAI, $229.7B recorded value, $21.3B subsequent investment) and tax note ($15.9B discrete tax)</t>
  </si>
  <si>
    <t xml:space="preserve">Net debt at the horizon (~$61B consensus path vs $30.9B pro forma vs $74B end-2027)</t>
  </si>
  <si>
    <t xml:space="preserve">agent_1: MarketScreener consensus interpolated to Oct-2027 = $61.1B. agent_2: LTD $128.9B + $25B July notes - cash $78.2B - securities $44.8B = $30.9B. agent_3: end-2027 consensus $74.0B.</t>
  </si>
  <si>
    <t xml:space="preserve">Consensus net debt is verified: end-2026 $22.3B, end-2027 $74.0B. The interpolation is labelled an estimate: 22.278 + 0.75 x (74.022 - 22.278) = $61.1B. I use it because the SOTP is a horizon value. agent_2's arithmetic is wrong: it adds the July notes without their cash proceeds and omits the $3.3B current portion. The correct pro forma is 6/30 face debt $133.0B - cash $78.2B - securities $44.8B = $10.0B, plus the $21.3B OpenAI payment = $31.3B (estimate, before Q3 cash flow). By coincidence that is about its figure. Caveat: consensus end-2026 $22.3B looks low against that $31.3B, so the horizon figure may be understated by ~$10B (~$0.9/share).</t>
  </si>
  <si>
    <t xml:space="preserve">Amazon 10-Q Q2-26 balance sheet and debt note; MarketScreener AMZN finances</t>
  </si>
  <si>
    <t xml:space="preserve">Valuation method weight: agent_3's skeptic DCF ($144, 20%)</t>
  </si>
  <si>
    <t xml:space="preserve">agent_3 blends P/E $299.6, EV/EBITDA $295.2 and a DCF at 10.44% WACC of $144.1 into $267. The delta agents use P/E and SOTP only ($278-290).</t>
  </si>
  <si>
    <t xml:space="preserve">The 10-year (4.99% on 2026-10-27, FRED) still supports a high discount rate; agent_3's WACC used its own 5.31% risk-free (not re-checkable), which only feeds the 0-weight DCF. But the DCF hinges on an assumed 8% post-SBC FCF margin by 2032 and a 3.5% terminal growth rate. Both are judgment, and a 1pp WACC move swings it ~$30. I keep it as a downside marker and give it no FV weight. The ladder keeps agent_3's lower distribution through the mean, so its caution is not discarded.</t>
  </si>
  <si>
    <t xml:space="preserve">FRED DGS10 4.99% on 2026-10-27 (5.00% on Oct 23 and 26; https://fred.stlouisfed.org/series/DGS10, opened 2026-10-29); agent_3 sensitivity table. The Oct 5 5.31% reading could not be re-opened (citation gate 2026-10-29) and is not used.</t>
  </si>
  <si>
    <t xml:space="preserve">Q3 report date and the 1-month window</t>
  </si>
  <si>
    <t xml:space="preserve">agents 1 and 2: Oct 29 after the close (Trefis estimate). agent_3: last week of October, TBA.</t>
  </si>
  <si>
    <t xml:space="preserve">Resolved: Amazon reported Q3 2026 on 2026-10-29 (8-K, Items 2.02/9.01: https://www.sec.gov/Archives/edgar/data/1018724/000101872426000038/amzn-20261029.htm), inside the window ending Nov 5. The base round's IR-feed observation (no webcast notice as of Oct 6) could not be re-opened and is removed. FOMC Oct 27-28 is confirmed.</t>
  </si>
  <si>
    <t xml:space="preserve">Amazon IR press-release feed (2026 list: last item 'Amazon.com Announces Second Quarter Results', 07/30/2026); federalreserve.gov FOMC calendar</t>
  </si>
  <si>
    <t xml:space="preserve">Changes the supervisor made</t>
  </si>
  <si>
    <t xml:space="preserve">Item</t>
  </si>
  <si>
    <t xml:space="preserve">From</t>
  </si>
  <si>
    <t xml:space="preserve">To</t>
  </si>
  <si>
    <t xml:space="preserve">Why</t>
  </si>
  <si>
    <t xml:space="preserve">exit multiple (k=0.8 rule, Kilian card 2026-10-26 12:16Z)</t>
  </si>
  <si>
    <t xml:space="preserve">P/E 21.3x</t>
  </si>
  <si>
    <t xml:space="preserve">P/E 22.88x</t>
  </si>
  <si>
    <t xml:space="preserve">Exit = peer median x (own NTM multiple on the peers' basis / median)^0.8; research target (12m) $256.82 -&gt; $265.83. See inputs_detail and comps_summary (own_multiple, exit_k).</t>
  </si>
  <si>
    <t xml:space="preserve">Fair value</t>
  </si>
  <si>
    <t xml:space="preserve">278.3</t>
  </si>
  <si>
    <t xml:space="preserve">283.0</t>
  </si>
  <si>
    <t xml:space="preserve">50/50 horizon P/E ($288.1) and corrected SOTP ($278.8), with the OpenAI stake added, Anthropic tax tightened and AWS at 25x on CY27 comps; agent_3's 20% DCF is not weighted.</t>
  </si>
  <si>
    <t xml:space="preserve">Fact: OpenAI stake omitted by agents 1 and 2</t>
  </si>
  <si>
    <t xml:space="preserve">0.0</t>
  </si>
  <si>
    <t xml:space="preserve">50.0</t>
  </si>
  <si>
    <t xml:space="preserve">10-Q: $28.7B Series C at 6/30 plus $21.3B invested after quarter-end ($B, at cost).</t>
  </si>
  <si>
    <t xml:space="preserve">Estimate: Anthropic stake after tax ($B)</t>
  </si>
  <si>
    <t xml:space="preserve">160.0</t>
  </si>
  <si>
    <t xml:space="preserve">149.0</t>
  </si>
  <si>
    <t xml:space="preserve">10-Q: $190.4B carrying, $18.0B cash invested, $15.9B discrete tax on $62.8B of H1 gains -&gt; ~24% on the $172.4B embedded gain (estimate).</t>
  </si>
  <si>
    <t xml:space="preserve">Fact: peer median forward P/E (agent_1 26.7x, agent_3 25.15x, agent_2 23.8x)</t>
  </si>
  <si>
    <t xml:space="preserve">26.7</t>
  </si>
  <si>
    <t xml:space="preserve">23.5</t>
  </si>
  <si>
    <t xml:space="preserve">Re-based 11 names to CY2027 on MarketScreener pages opened Oct 6 and dropped CPNG; MSFT is 24.5x on CY27, not 26.7x. [Citation gate 2026-10-29: this Oct 6 median is on a mixed EPS basis (adjusted ORCL/MSFT/BABA/PDD vs GAAP peers) and is superseded by the gated 2026-10-26 set (21.3x on AMZN's basis); it feeds no number.]</t>
  </si>
  <si>
    <t xml:space="preserve">AWS after-tax multiple in the SOTP (agent_1)</t>
  </si>
  <si>
    <t xml:space="preserve">26.0</t>
  </si>
  <si>
    <t xml:space="preserve">25.0</t>
  </si>
  <si>
    <t xml:space="preserve">The anchor (MSFT 26.7x) was a FY Jun-27 figure; MSFT is 24.5x on CY27.</t>
  </si>
  <si>
    <t xml:space="preserve">Fact: agent_2 net debt bridge ($B)</t>
  </si>
  <si>
    <t xml:space="preserve">30.9</t>
  </si>
  <si>
    <t xml:space="preserve">31.3</t>
  </si>
  <si>
    <t xml:space="preserve">6/30 face debt $133.0B - cash $78.2B - securities $44.8B = $10.0B, plus the $21.3B OpenAI payment; the July notes are net-neutral.</t>
  </si>
  <si>
    <t xml:space="preserve">186.67</t>
  </si>
  <si>
    <t xml:space="preserve">188.0</t>
  </si>
  <si>
    <t xml:space="preserve">188/10.51 = 17.9x FY27 EPS, equal to ORCL's CY27 multiple at the Oct 6 close (17.9x; citation gate re-based from 17.6x at the Oct 5 close, which gave $185); agent_3's $190 is within noise.</t>
  </si>
  <si>
    <t xml:space="preserve">Removed from numbers: $8B chip SPV, Polymarket odds, '24-year high' yield</t>
  </si>
  <si>
    <t xml:space="preserve">used in agent_2's discount justification and bear story, and in agent_1's 1-month reasoning</t>
  </si>
  <si>
    <t xml:space="preserve">context only</t>
  </si>
  <si>
    <t xml:space="preserve">Press or briefing only; not confirmed at a primary source (hard rule).</t>
  </si>
  <si>
    <t xml:space="preserve">Anthropic stake from the public S-1 (2026-10-26)</t>
  </si>
  <si>
    <t xml:space="preserve">S-1 share counts and lock-up schedule replace the press-based estimates; research target (12m) $266.05 -&gt; $266.70</t>
  </si>
  <si>
    <t xml:space="preserve">Thesis break (citation gate 2026-10-29)</t>
  </si>
  <si>
    <t xml:space="preserve">187.0</t>
  </si>
  <si>
    <t xml:space="preserve">$188 applied ORCL's adjusted-EPS 17.9x (Oct 6) to AMZN GAAP EPS; on one basis and one date (gated Oct 23 set) ORCL is 17.55x and AMZN CY27 consensus $10.65: 17.55 x 10.65 = $186.9.</t>
  </si>
  <si>
    <t xml:space="preserve">Citation audit (2026-10-29)</t>
  </si>
  <si>
    <t xml:space="preserve">{'item': 'Peer CY27 P/E set: price date and source', 'from': 'mixed Oct 5 / Oct 6 prices; 7 of 11 multiples copied from MarketScreener-printed P/E', 'to': 'all 11 computed as Oct 6 close / CY27 consensus EPS (MSFT 24.5, GOOGL 23.3, META 21.7, ORCL 17.9, WMT 33.7, COST 39.8, MELI 33.0, SE 23.5, SHOP 79.9, BABA 14.7, PDD 6.5); median 23.5x unchanged', 'source': 'stockanalysis.com price history (Oct 6 closes); MarketScreener finances pages (consensus EPS); Twelve Data USD/CNY 6.70534'}</t>
  </si>
  <si>
    <t xml:space="preserve">{'item': 'ORCL CY27 P/E', 'from': 17.6, 'to': 17.9, 'source': '144.77 (Oct 6 close, stockanalysis) / 8.102 (5/12 x 6.643 + 7/12 x 9.144, MarketScreener)'}</t>
  </si>
  <si>
    <t xml:space="preserve">{'item': 'Cloud subgroup median P/E', 'from': 22.55, 'to': 22.5, 'source': 'median of MSFT 24.46, GOOGL 23.26, META 21.69, ORCL 17.87'}</t>
  </si>
  <si>
    <t xml:space="preserve">{'item': 'Premium/discount vs peer median (%)', 'from': -2.0, 'to': -2.3, 'source': '23 / 23.54 - 1'}</t>
  </si>
  <si>
    <t xml:space="preserve">{'item': 'Thesis break', 'from': 185.0, 'to': 188.0, 'source': 'ORCL CY27 17.87x x AMZN FY27 EPS $10.51 = $187.8 (same method as before, Oct 6 close)'}</t>
  </si>
  <si>
    <t xml:space="preserve">{'item': "Multiple justification: 'AMZN is the only mega-cap with consensus FCF negative in 2026 and 2027'", 'from': 'stated as fact', 'to': 'replaced: META (-$6.5B / -$25.3B), GOOGL (2027 -$36.7B) and ORCL (FY26-28 negative) also negative; 23x re-justified as a small premium to the 22.5x capex-heavy subgroup; multiple unchanged', 'source': 'MarketScreener finances pages for META, GOOGL, ORCL, MSFT (opened 2026-10-06)'}</t>
  </si>
  <si>
    <t xml:space="preserve">{'item': '1-month ladder', 'from': 'mean of agents 1-3 (P(&gt;=256.29) 0.5057)', 'to': 'mean of agents 2-3 (P(&gt;=256.29) 0.501); every strike moves by &lt;=0.005', 'source': "agent_1's 1-month mixture dropped its rate-shock component on Polymarket odds cited from a news briefing (press-only)"}</t>
  </si>
  <si>
    <t xml:space="preserve">{'item': "Change-log label 'Fact: Anthropic stake after tax'", 'from': 'Fact', 'to': 'Estimate (190.4 - 0.24 x 172.4 = 149.0)', 'source': 'Amazon 10-Q Q2-26 (inputs)'}</t>
  </si>
  <si>
    <t xml:space="preserve">{'item': 'EDGAR filings since Sep 24', 'from': 'Form 4 only', 'to': 'Form 4 (Oct 5), Form 3/A (Oct 6), CERT (Sep 24); still no 8-K or 10-Q', 'source': 'https://data.sec.gov/submissions/CIK0001018724.json'}</t>
  </si>
  <si>
    <t xml:space="preserve">{'item': 'Peer EPS basis, CY2027 P/E medians pe_leg / aws / ads / stores (gate: mixed_basis x4)', 'from': "basis line 'calendar-2027 consensus EPS (Nasdaq.com/Zacks)', basis per peer not stated (GAAP for GOOGL/APP/RDDT/MELI/COST, adjusted for MSFT/META/ORCL/WMT/SHOP)", 'to': "every peer reconciled quarter by quarter to GAAP and put on AMZN's basis (GAAP after stock comp, ex investment marks and one-offs), basis_note per peer; ORCL re-based; medians 21.3 / 21.3 / 19.87 / 37.56 unchanged", 'source': 'peer_refresh/basis_check.json (Nasdaq earnings-surprise vs SEC XBRL EarningsPerShareDiluted); 8-K/6-K earnings releases'}</t>
  </si>
  <si>
    <t xml:space="preserve">{'item': 'ORCL CY2027 P/E (AWS set)', 'from': 15.48, 'to': 17.55, 'source': '126.16 / (8.1475 x 0.8825); 0.8825 = (1.27+1.45+1.56)/(1.43+1.79+1.63), XBRL and Nasdaq; Oracle 8-K Ex.99.1: https://www.sec.gov/Archives/edgar/data/1341439/000119312525314207/orcl-ex99_1.htm, https://www.sec.gov/Archives/edgar/data/1341439/000119312526100148/orcl-ex99_1.htm, https://www.sec.gov/Archives/edgar/data/1341439/000119312526265848/orcl-ex99_1.htm, https://www.sec.gov/Archives/edgar/data/1341439/000119312526387905/orcl-ex99_1.htm'}</t>
  </si>
  <si>
    <t xml:space="preserve">{'item': 'Amazon Leo loss add-back note', 'from': '2,500 x 0.79 x 23 = +$45.4B', 'to': '2,500 x 0.79 x 21.3 = +$42.1B (value 42,067.5)', 'source': 'adjustments value and inputs_detail derivation (P/E leg multiple 21.3x)'}</t>
  </si>
  <si>
    <t xml:space="preserve">{'item': 'Zoox loss add-back note', 'from': '1,500 x 0.79 x 23 = +$27.3B', 'to': '1,500 x 0.79 x 21.3 = +$25.2B (value 25,240.5)', 'source': 'adjustments value and inputs_detail derivation'}</t>
  </si>
  <si>
    <t xml:space="preserve">{'item': 'Legal remedies adjustment (value and note)', 'from': '-34,350; FTC 0.35 x 0.044 x $1,025B = -$15.8B, forward ad pricing x 22 = -$10.1B', 'to': '-32,278.7 (driver formula); FTC 0.35 x 0.044 x $954.2B = -$14.7B, forward ad pricing 0.4 x 50% x 2.9 x 0.79 x 19.87 = -$9.1B, total -$32.3B; inputs_detail says the older sub-figures are superseded', 'source': 'model.reconciled_inputs.driver_build legal formula; model_engine check base horizon value 256.82'}</t>
  </si>
  <si>
    <t xml:space="preserve">{'item': 'Peer basis notes: AMZN, MSFT, META, WMT, COST', 'from': {'AMZN': 'Subject basis: GAAP diluted EPS after stock comp, excluding investment mark-to-market (Zacks 1.88 / 1.56 vs GAAP 5.75 / 2.78 in Q2 / Q1 2026 = the Anthropic gains; equal in Q3 / Q4 2025).', 'MSFT': 'Same basis: GAAP after stock comp ex the OpenAI equity-method effects (Zacks 4.13 vs GAAP 3.72 Sep 2025; 4.14 vs 5.16 Dec 2025; equal in 2026). No re-base.', 'META': 'Zacks = GAAP after stock comp except one-off tax items (Sep 2026 7.40 vs 3.83; Mar 2026 7.31 vs 10.44); forward consensus carries no one-offs. No re-base.', 'WMT': 'Zacks = GAAP ex equity-investment gains/losses (Jan 2026 0.74 vs 0.53; Oct 2025 0.62 vs 0.77); stock comp not added back. Same basis as AMZN. No re-base.', 'COST': 'Zacks = GAAP (Nov 2025 4.34 vs 4.50: one-off tax benefit). No re-base.', 'SE': 'Not re-based: 20-F filer with no quarterly XBRL. A GAAP basis can only lower its EPS and raise its 16.55x; it would have to more than double to pass the 37.56x median, so the stores median does not depend on it (flag).', 'SHOP': 'Not re-based: GAAP EPS swings with equity-investment marks (Zacks 0.32 vs GAAP 1.16 Jun 2026; 0.27 vs -0.45 Mar 2026). At 91.67x it is the top of the stores set; its EPS would have to rise 2.4x to fall below the 37.56x median, so the median does not depend on it (flag).'}, 'to': "reasons for each Zacks/GAAP gap taken from the company releases: AMZN Q3 2025 Zacks kept the $9.5B Anthropic gain (forward basis unaffected); MSFT Jun 2026 differs by the $0.07 OpenAI gain (was 'equal in 2026'); META Sep 2026 is the $9.89B AG settlement charge (was 'tax item'); WMT Oct 2025 also adds back $0.07 PhonePe stock comp; COST $0.16 tax benefit", 'source': 'https://www.sec.gov/Archives/edgar/data/1018724/000101872426000012/amzn-20260331xex991.htm, https://www.sec.gov/Archives/edgar/data/1018724/000101872426000024/amzn-20260630xex991.htm, https://www.sec.gov/Archives/edgar/data/1018724/000101872425000121/amzn-20250930xex991.htm, https://www.sec.gov/Archives/edgar/data/789019/000119312526323632/msft-ex99_1.htm, https://www.sec.gov/Archives/edgar/data/1326801/000162828026066700/meta-09302026xexhibit991.htm, https://www.sec.gov/Archives/edgar/data/1326801/000162828026028364/meta-03312026xexhibit991.htm, https://www.sec.gov/Archives/edgar/data/104169/000010416926000032/earningsreleasefy26q4.htm, https://www.sec.gov/Archives/edgar/data/104169/000010416925000177/earningsreleasefy26q3.htm, https://www.sec.gov/Archives/edgar/data/909832/000090983225000164/costex9918-k121125.htm'}</t>
  </si>
  <si>
    <t xml:space="preserve">{'item': 'SE and SHOP EPS basis (stores median)', 'from': 'not re-based, flagged as median-neutral', 'to': "confirmed on AMZN's basis: SE Zacks = GAAP diluted EPS (0.67 / 0.70 Q1 / Q2 2026); SHOP Zacks = net income excluding equity investments ($360M / $439M), stock comp a cost; stores median 37.56x unchanged", 'source': 'https://www.sec.gov/Archives/edgar/data/1703399/000119312526219378/d78490dex991.htm, https://www.sec.gov/Archives/edgar/data/1703399/000119312526344596/d120948dex991.htm, https://www.sec.gov/Archives/edgar/data/1594805/000159480526000018/exhibit991pressreleaseq120.htm, https://www.sec.gov/Archives/edgar/data/1594805/000159480526000046/exhibit991pressreleaseq220.htm'}</t>
  </si>
  <si>
    <t xml:space="preserve">{'item': 'ORCL re-base statement', 'from': "x 0.8825 = GAAP diluted EPS / Zacks EPS over Feb, May, Aug 2026 quarters (4.28 / 4.85; XBRL EarningsPerShareDiluted vs Nasdaq earnings-surprise); Nov 2025 left out (GAAP carried the $2.7B Ampere sale gain). Reconciled to the company's own figures (8-K Ex.99.1): GAAP / non-GAAP / Zacks = Nov 2025 2.10 / 2.26 / 1.95; Feb 2026 1.27 / 1.79 / 1.43; May 2026 1.45 / 2.11 / 1.79; Aug 2026 1.56 / n.a. / 1.63; FY2026 GAAP 5.83, non-GAAP 7.63, FY2027 non-GAAP guide 8.10 vs Zacks FY2027 6.73. Zacks sits between GAAP and ORCL's non-GAAP (which adds back stock comp and amortization), so the measured GAAP/Zacks gap is applied; AMZN EPS keeps both as costs. Either way ORCL is the low end of the AWS set (15.48x or the re-based figure) and the 21.3x median (GOOGL) does not move.", 'to': "Aug 2026 non-GAAP 1.92 (was 'n.a.'); Ampere gain sits in GAAP and non-GAAP; May 2026 one-time investment gains noted (0.8805 ex gains); range 16.4x-17.9x, all below 21.3x; 0.8825 and 17.55x kept", 'source': 'https://www.sec.gov/Archives/edgar/data/1341439/000119312525314207/orcl-ex99_1.htm, https://www.sec.gov/Archives/edgar/data/1341439/000119312526100148/orcl-ex99_1.htm, https://www.sec.gov/Archives/edgar/data/1341439/000119312526265848/orcl-ex99_1.htm, https://www.sec.gov/Archives/edgar/data/1341439/000119312526387905/orcl-ex99_1.htm'}</t>
  </si>
  <si>
    <t xml:space="preserve">{'item': 'Legal formula constant', 'from': '$17,584M, unexplained', 'to': "explained: base round's $18,560M (from rounded -$34.35B) - 10,080 + 9,104; exact pieces $17,553M, $31M rounding residue kept (FV unchanged)", 'source': 'peer_refresh/build_set.py; driver_models/AMZN/set.json'}</t>
  </si>
  <si>
    <t xml:space="preserve">{'item': 'fair_value.reason', 'from': "update sentence followed by the base round's build (23x, AWS 25x, $283.4) unlabelled", 'to': 'current legs P/E $266.29 and SOTP $247.35 = $256.82 stated; base-round build labelled superseded', 'source': 'model_engine.py check 2026-10-26: base horizon value 256.82'}</t>
  </si>
  <si>
    <t xml:space="preserve">{'item': 'Anthropic: tax and lock-up - S-1 lock-up terms (gate 2026-10-27: wrong)', 'from': "14.36% lock-up discount (Finnerty 1.0 yr, no early release); 'Staged early releases exist but their percentages are blank in the S-1'", 'to': "11.50% (tranche-weighted Finnerty, 65% vol, over the S-1's staged releases for the &gt;0.5% group: 1.8%/1.8%/2.1%/2.1%/3.75%/5x2.85%/4.2%/4x5.6%/7.0%/5x6.3% = 90.9% before the Q3-2027 / day-365 end, weighted 0.66 yr; results dates est.); 'blank' claim removed (only the Shares Eligible for Future Sale table is blank); Amazon in this group labelled an inference. Stake $185,404M -&gt; $191,607M, overlay -$26,204M -&gt; -$26,824M, research target (12m) $266.70", 'source': 'https://www.sec.gov/Archives/edgar/data/2130357/000162828026067168/anthropicpbc-sx1.htm (Underwriting - Lock-up, pp. 322-323); python3 model_engine.py check supervisor.json 2026-10-27: base horizon value 266.70 (P/E $285.40, SOTP $247.99; bear $176.42 / base $266.70 / bull $328.63)'}</t>
  </si>
  <si>
    <t xml:space="preserve">{'item': 'Anthropic: IPO valuation used - variant_view (gate 2026-10-27: arithmetic)', 'from': '$1.924T: +$53.1B after tax and lock-up (+$4.4/share net of the overlay); ~$1.0T (bear): $-62.6B. (S-1 update 2026-10-27 on 18.61%.)', 'to': '$1.924T: +$53.1B (+$4.3 FV net of the overlay); ~$1.0T: -$62.6B (-$5.1 FV)', 'source': '18.6122% x 424 x 0.76 x (1 - 0.1150) = 53.08; 18.6122% x 500 x 0.76 x 0.8850 = 62.59; FV per share from model_engine with the stake at $244.69B / $129.01B and the overlay re-based (271.03 / 261.59 vs 266.70)'}</t>
  </si>
  <si>
    <t xml:space="preserve">{'item': 'Anthropic stake (AMZN deep model 2026-10-19) - variant_view (gate 2026-10-27: arithmetic)', 'from': '$1.92T: $237.3B (after-tax value x 1.28, which also scaled the fixed $18.0B cost)', 'to': '$1.924T: $244.7B; no early release $185.4B; 180-day group $194.0B; cap view $185.0B', 'source': '(18.6122% x 1,924 - 0.24 x (18.6122% x 1,924 - 18.0)) x (1 - 0.1150) = 244.69; (279.18 - 62.68) x 0.8564 = 185.40; x 0.8963 = 194.05; 191.61 - 6.60 = 185.01'}</t>
  </si>
  <si>
    <t xml:space="preserve">{'item': 'Anthropic stake (AMZN deep model 2026-10-19) - derivation: scenario re-mark effect (fix-step re-check)', 'from': 'on the new value they would move by under $0.10/share', 'to': 'bear -$0.24/share, bull +$0.20/share before the overlay; about -$0.01 probability-weighted (base unaffected)', 'source': '0.333 x (191.607 - 183.692) / 11.03B; 0.28 x 7.915 / 11.03B; horizon shares from model_engine (10,903M x 1.009^t; 26.82B overlay = $2.43 FV)'}</t>
  </si>
  <si>
    <t xml:space="preserve">{'item': 'Conglomerate overlay 10% - variant_view (fix-step re-check)', 'from': 'No discount: +$2.4 FV; 25%: -$5.9 FV.', 'to': 'No discount: +$2.4 FV; 25%: -$3.6 FV vs the 10% base (0.25 x $268.2B = -$67.1B overlay in all, -$6.1/share) (model_engine 2026-10-27).', 'source': 'model_engine with the overlay at 0 (269.13) and at 25% of $268.24B (263.05) vs 266.70'}</t>
  </si>
  <si>
    <t xml:space="preserve">{'item': 'fair_value.reason: net effect of the S-1 update', 'from': 'net +$7.13B', 'to': 'net +$7.12B', 'source': '(191,607 - 183,692) + (-26,824 + 26,033) = 7,124M'}</t>
  </si>
  <si>
    <t xml:space="preserve">{'item': 'Thesis break (gate: mixed_basis)', 'from': 188.0, 'to': 187.0, 'source': 'ORCL 126.16 / (8.1475 x 0.8825) = 17.55x x AMZN CY27 consensus 10.65 (Nasdaq.com/Zacks, 2026-10-26) = 186.9; comps_review_2026_10_26 (gated, GAAP-after-stock-comp basis; Oracle 8-K Ex.99.1 https://www.sec.gov/Archives/edgar/data/1341439/000119312526387905/orcl-ex99_1.htm)'}</t>
  </si>
  <si>
    <t xml:space="preserve">{'item': 'Oct 6 CY27 peer medians 23.5x / 22.47x (gate: mixed_basis)', 'from': 'cited as the reconciled peer median (changes, thesis break)', 'to': 'labelled superseded mixed-basis record; feeds no number (thesis break re-based to the gated 2026-10-26 set)', 'source': 'comps_review_2026_10_26 basis and peers (peer_refresh/basis_check.json)'}</t>
  </si>
  <si>
    <t xml:space="preserve">{'item': 'META consensus FCF 2026 / 2027 (gate: not_found)', 'from': '-$6.5B / -$25.3B (Oct 6)', 'to': '-$10.4B / -$36.2B', 'source': 'https://www.marketscreener.com/quote/stock/META-PLATFORMS-INC-10547141/finances/ (opened 2026-10-29: -10,409 / -36,198 $M); wording only, no number uses it'}</t>
  </si>
  <si>
    <t xml:space="preserve">{'item': 'FRED DGS10 5.31% (2026-10-05) (gate: not_found)', 'from': '5.31% (Oct 5)', 'to': "4.99% (2026-10-27) cited; 5.31% kept only as agent_3's own risk-free inside its 0-weight DCF WACC", 'source': 'https://fred.stlouisfed.org/series/DGS10 (opened 2026-10-29)'}</t>
  </si>
  <si>
    <t xml:space="preserve">{'item': 'Amazon IR feed: no Q3 webcast notice as of Oct 6 (gate: not_found)', 'from': 'cited as fact', 'to': 'removed; Q3 date now from the 2026-10-29 8-K', 'source': 'https://www.sec.gov/Archives/edgar/data/1018724/000101872426000038/amzn-20261029.htm'}</t>
  </si>
  <si>
    <t xml:space="preserve">{'item': 'Stock comp % revenue (gate: mislabelled)', 'from': 'basis reported', 'to': 'basis estimate, derivation 19,314 / 775,680 = 2.49%, confidence high', 'source': 'F46, F6 (SEC XBRL)'}</t>
  </si>
  <si>
    <t xml:space="preserve">{'item': 'Net debt at the horizon (day count)', 'from': 98775.0, 'to': 98870.0, 'source': '2027 FCF to 2027-10-29 = 302/365 (not 301/365) x $36.24B = $29,985M; 76,005 - 9,720 + 29,985 + 2,600 = 98,870'}</t>
  </si>
  <si>
    <t xml:space="preserve">{'item': 'driver:aws_turn sourcing (Jassy &gt;40% AWS growth 2027/2028)', 'from': "two outlets, 'not checked against a transcript'", 'to': "cited to Amazon's Q3 release CEO quote; no number changes", 'source': 'https://www.sec.gov/Archives/edgar/data/0001018724/000101872426000038/amzn-20260930xex991.htm'}</t>
  </si>
  <si>
    <t xml:space="preserve">{'item': 'inputs_detail scenario rows and P/E-leg share count (gate: arithmetic)', 'from': '$211.17 / $297.65 / $348.84; 11,027.5M', 'to': '$177.41 / $269.44 / $332.61; 11,035.3M', 'source': 'model_engine check 2026-10-29 (after the 302-day net-debt fix; before it 177.42 / 269.44 / 332.62)'}</t>
  </si>
  <si>
    <t xml:space="preserve">{'item': 'driver:aws_ppe Q3 AWS net additions / 9M ratio', 'from': '58.49 roll-forward proxy; ratio 0.846; YE2026 340.38', 'to': '10-Q reported 57,116 (9M 147,236); ratio 0.8381; YE2026 340.03, Q4 avg 326.52; YE2027 508.10, YE2028 669.14', 'source': 'Q3 FY2026 10-Q accn 0001018724-26-000040 segment note', 'date': '2026-10-30 10-Q pass'}</t>
  </si>
  <si>
    <t xml:space="preserve">{'item': 'P/E-leg EPS interest cut: 6/30 face debt', 'from': '150,250 (left out the $17.5B term loan); rate 4.08%; cut $0.2239', 'to': '132,995 (Q2 10-Q); rate 4.31%; cut $0.2363', 'source': 'Q2 FY2026 10-Q accn 0001018724-26-000026 Debt note; Q3 10-Q', 'date': '2026-10-30 10-Q pass'}</t>
  </si>
  <si>
    <t xml:space="preserve">{'item': 'aws_ppe / aws_turn / aws_ebitda_m years and key_drivers prose', 'from': 'pre-10-Q 271.46/441.38/603.83; 0.6464/0.5486/0.5021; 0.5779', 'to': 'mean of the re-rolled quarters 266.21/425.90/590.38; 0.6591/0.5685/0.5135; FY26 0.5830', 'source': 'arithmetic on the stored quarters', 'date': '2026-10-30 10-Q pass'}</t>
  </si>
  <si>
    <t xml:space="preserve">{'item': 'horizon_multiples P/E eps field', 'from': '12.5275 (stale)', 'to': '11.4054 (driver_build.set formula as the engine resolves it)', 'source': 'model_engine.resolve_drivers', 'date': '2026-10-30 10-Q pass'}</t>
  </si>
  <si>
    <t xml:space="preserve">{'item': 'AWS rows quarter_sources / derivation labels', 'from': "Q3 'release; re-check at 10-Q'", 'to': 'Q3 from the 10-Q accn 0001018724-26-000040', 'source': 'label', 'date': '2026-10-30 10-Q pass'}</t>
  </si>
  <si>
    <t xml:space="preserve">{'item': 'horizon_multiples P/E eps_interest_adj.derivation label', 'from': "text said the cut is applied in driver_build.set as '- 0.2239'", 'to': "'- 0.2363' (the set formula already carries - 0.2363; label only, no number moves)", 'source': 'driver_build.set; Q2 10-Q accn 0001018724-26-000026 and Q3 10-Q accn 0001018724-26-000040 Debt notes', 'date': '2026-10-30 citation gate fix'}</t>
  </si>
  <si>
    <t xml:space="preserve">{'item': 'fair_value.value', 'from': '269.44 (not refreshed after the 10-Q pass)', 'to': '269.55 (model_engine check on the corrected set: P/E $285.46, SOTP $253.64, P10 $177.50, P90 $332.74)', 'source': 'model_engine.py check supervisor.json, 2026-10-30', 'date': '2026-10-30 citation gate fix'}</t>
  </si>
  <si>
    <t xml:space="preserve">{'item': 'gate check: horizon_multiples P/E eps 11.4054', 'from': 'gate merged.json said the engine implies ~12.47-12.49 (P/E leg $285.68 / 22.88)', 'to': '11.4054 kept: it equals the driver_build.set formula on the stored driver years; the leg value is 22.88 x EPS + equity adjustments / horizon shares, so leg / multiple overstates EPS', 'source': 'model_engine.py value() P/E branch; driver_build.set', 'date': '2026-10-30 citation gate fix'}</t>
  </si>
  <si>
    <t xml:space="preserve">Sizing</t>
  </si>
  <si>
    <t xml:space="preserve">max weight pct</t>
  </si>
  <si>
    <t xml:space="preserve">confidence</t>
  </si>
  <si>
    <t xml:space="preserve">entry</t>
  </si>
  <si>
    <t xml:space="preserve">No limit orders are open (the $230 GTC limit was scrapped). After the Q3 update (2026-10-29), adds follow the page's next-share table and Entry below; the $187 thesis break (was $188; citation gate 2026-10-29) still applies.</t>
  </si>
  <si>
    <t xml:space="preserve">overlap</t>
  </si>
  <si>
    <t xml:space="preserve">GOOGL (cloud and digital-ads drivers, same AI-capex cycle); NVDA, AVGO and VST (AI data-center capex theme, where AMZN is the spender); NFLX and BKNG (US consumer discretionary and internet beta).</t>
  </si>
  <si>
    <t xml:space="preserve">reason</t>
  </si>
  <si>
    <t xml:space="preserve">The edge is modest: the ladder median is ~$270 (+5%) and FV $283 (+10%), but both rest on input/method changes rather than news. AMZN is far more volatile than the index, so P(Sharpe beats SPY) is just under a coin flip. A 1-share buy now is ~2.6% of the book, well under a 10% cap, which itself reflects overlap with GOOGL and the AI-capex holdings. The 1-month ladder is centered on spot with no directional edge, so waiting until after the print costs nothing in expectation.</t>
  </si>
  <si>
    <t xml:space="preserve">open flags</t>
  </si>
  <si>
    <t xml:space="preserve">[]</t>
  </si>
  <si>
    <t xml:space="preserve">AMZN sources</t>
  </si>
  <si>
    <t xml:space="preserve">Every source the forecasters and the supervisor cited. IDs: A1.3 = agent 1, source 3; S.2 = supervisor, source 2; X.4 = found by the supervisor for an assumption the agent left unsourced.</t>
  </si>
  <si>
    <t xml:space="preserve">Cited by</t>
  </si>
  <si>
    <t xml:space="preserve">Title</t>
  </si>
  <si>
    <t xml:space="preserve">Date</t>
  </si>
  <si>
    <t xml:space="preserve">Link</t>
  </si>
  <si>
    <t xml:space="preserve">A1.1</t>
  </si>
  <si>
    <t xml:space="preserve">agent_1</t>
  </si>
  <si>
    <t xml:space="preserve">Amazon.com Q2 2026 earnings release (8-K Ex. 99.1): segment results, Q3-26 guidance, TTM cash flow, balance sheet</t>
  </si>
  <si>
    <t xml:space="preserve">2026-07-30</t>
  </si>
  <si>
    <t xml:space="preserve">https://www.sec.gov/Archives/edgar/data/0001018724/000101872426000024/amzn-20260630xex991.htm</t>
  </si>
  <si>
    <t xml:space="preserve">A1.2</t>
  </si>
  <si>
    <t xml:space="preserve">Amazon.com Form 10-Q, quarter ended June 30, 2026 (Anthropic investment note, Globalstar commitments note, July $25B notes subsequent event, repurchase authorization, AWS RPO)</t>
  </si>
  <si>
    <t xml:space="preserve">2026-07-31</t>
  </si>
  <si>
    <t xml:space="preserve">https://www.sec.gov/Archives/edgar/data/1018724/000101872426000026/amzn-20260630.htm</t>
  </si>
  <si>
    <t xml:space="preserve">A1.3</t>
  </si>
  <si>
    <t xml:space="preserve">Amazon Q2 2026 earnings call transcript (capex ~$220B, $496B backlog, 2027 capacity 'largely reserved', power capacity doubling by end-2027)</t>
  </si>
  <si>
    <t xml:space="preserve">https://www.investing.com/news/transcripts/earnings-call-transcript-amazon-tops-q2-2026-estimates-as-aws-growth-accelerates-93CH-4826442</t>
  </si>
  <si>
    <t xml:space="preserve">A1.4</t>
  </si>
  <si>
    <t xml:space="preserve">Amazon.com free writing prospectus: GBP 4.25B notes (5.200% 2029, 5.550% 2032, 6.250% 2038, 6.650% 2045)</t>
  </si>
  <si>
    <t xml:space="preserve">2026-09-09</t>
  </si>
  <si>
    <t xml:space="preserve">https://www.sec.gov/Archives/edgar/data/1018724/000110465926106322/tm2624614d4_fwp.htm</t>
  </si>
  <si>
    <t xml:space="preserve">A1.5</t>
  </si>
  <si>
    <t xml:space="preserve">Amazon.com 8-K Item 8.01: closing of GBP notes sale on Sep 14, 2026 (offering price GBP 4.242B)</t>
  </si>
  <si>
    <t xml:space="preserve">2026-09-14</t>
  </si>
  <si>
    <t xml:space="preserve">https://www.sec.gov/Archives/edgar/data/1018724/000110465926107526/tm2624614d5_8k.htm</t>
  </si>
  <si>
    <t xml:space="preserve">A1.6</t>
  </si>
  <si>
    <t xml:space="preserve">Amazon.com Form 8-A12B: registration of the four GBP note series on Nasdaq</t>
  </si>
  <si>
    <t xml:space="preserve">2026-09-24</t>
  </si>
  <si>
    <t xml:space="preserve">https://www.sec.gov/Archives/edgar/data/1018724/000110465926110227/tm2625860d1_8a12b.htm</t>
  </si>
  <si>
    <t xml:space="preserve">A1.7</t>
  </si>
  <si>
    <t xml:space="preserve">Amazon.com 8-K Item 5.02: Kevin R. Mandia elected director (Audit and Security committees), effective Sep 8, 2026</t>
  </si>
  <si>
    <t xml:space="preserve">https://www.sec.gov/Archives/edgar/data/1018724/000101872426000036/amzn-20260908.htm</t>
  </si>
  <si>
    <t xml:space="preserve">A1.8</t>
  </si>
  <si>
    <t xml:space="preserve">Form 4: Douglas J. Herrington (CEO Worldwide Amazon Stores) sold 1,000 shares at $251.50 on Oct 1, 2026 under a 10b5-1 plan</t>
  </si>
  <si>
    <t xml:space="preserve">2026-10-05</t>
  </si>
  <si>
    <t xml:space="preserve">https://www.sec.gov/Archives/edgar/data/1018724/000193600626000026/xslF345X06/wk-form4_1791230893.xml</t>
  </si>
  <si>
    <t xml:space="preserve">A1.9</t>
  </si>
  <si>
    <t xml:space="preserve">EDGAR filing index for Amazon.com (CIK 1018724): no 8-K/10-Q filed between Sep 29 and Oct 6, 2026 other than Form 4</t>
  </si>
  <si>
    <t xml:space="preserve">2026-10-06</t>
  </si>
  <si>
    <t xml:space="preserve">https://data.sec.gov/submissions/CIK0001018724.json</t>
  </si>
  <si>
    <t xml:space="preserve">A1.10</t>
  </si>
  <si>
    <t xml:space="preserve">Amazon press center: releases Sep 29 - Oct 1, 2026 (AWS customer announcements only; no Q3 webcast notice yet)</t>
  </si>
  <si>
    <t xml:space="preserve">https://press.aboutamazon.com/</t>
  </si>
  <si>
    <t xml:space="preserve">A1.11</t>
  </si>
  <si>
    <t xml:space="preserve">Prime Big Deal Days 2026 is set for October 6-7, 2026 (22 countries)</t>
  </si>
  <si>
    <t xml:space="preserve">2026-09-15</t>
  </si>
  <si>
    <t xml:space="preserve">https://www.aboutamazon.com/news/retail/amazon-prime-big-deals-day-2026-when-october-6-7</t>
  </si>
  <si>
    <t xml:space="preserve">A1.12</t>
  </si>
  <si>
    <t xml:space="preserve">FTC, States Sue Amazon Over Secret Ad Surcharge Scheme (W.D. Wash.)</t>
  </si>
  <si>
    <t xml:space="preserve">2026-08-31</t>
  </si>
  <si>
    <t xml:space="preserve">https://www.ftc.gov/news-events/news/press-releases/2026/08/ftc-states-sue-amazon-over-secret-ad-surcharge-scheme</t>
  </si>
  <si>
    <t xml:space="preserve">A1.13</t>
  </si>
  <si>
    <t xml:space="preserve">US FTC-Amazon antitrust trial pushed back to March 2027 (trial Mar 29, pretrial Mar 15, 2027)</t>
  </si>
  <si>
    <t xml:space="preserve">2026</t>
  </si>
  <si>
    <t xml:space="preserve">https://www.mlex.com/mlex/antitrust/articles/2422758/us-ftc-amazon-antitrust-trial-pushed-back-to-march-2027</t>
  </si>
  <si>
    <t xml:space="preserve">A1.14</t>
  </si>
  <si>
    <t xml:space="preserve">Amazon (AMZN) stock forecast: FY26 EPS $8.31 (+15.86%), avg target $330.59 (59 analysts), page dated Oct 6, 2026</t>
  </si>
  <si>
    <t xml:space="preserve">https://stockanalysis.com/stocks/amzn/forecast/</t>
  </si>
  <si>
    <t xml:space="preserve">A1.15</t>
  </si>
  <si>
    <t xml:space="preserve">Yahoo Finance AMZN analysis: FY26 $12.88 / FY27 $10.51 EPS (52 analysts), EPS trend and revisions, Q3 consensus EPS $1.95 / revenue $202.03B</t>
  </si>
  <si>
    <t xml:space="preserve">https://finance.yahoo.com/quote/AMZN/analysis/</t>
  </si>
  <si>
    <t xml:space="preserve">A1.16</t>
  </si>
  <si>
    <t xml:space="preserve">MarketScreener Amazon.com finances: consensus EPS 2026 $12.88 / 2027 $10.51 / 2028 $13.81; net debt, capex, FCF 2026-28</t>
  </si>
  <si>
    <t xml:space="preserve">https://www.marketscreener.com/quote/stock/AMAZON-COM-INC-12864605/finances/</t>
  </si>
  <si>
    <t xml:space="preserve">A1.17</t>
  </si>
  <si>
    <t xml:space="preserve">MarketScreener Amazon.com valuation: 2027E P/E 23.9x, EV/EBITDA 10.2x (ref. price $251.40)</t>
  </si>
  <si>
    <t xml:space="preserve">https://www.marketscreener.com/quote/stock/AMAZON-COM-INC-12864605/valuation/</t>
  </si>
  <si>
    <t xml:space="preserve">A1.18</t>
  </si>
  <si>
    <t xml:space="preserve">MarketScreener Microsoft valuation (FY Jun-2027 P/E 26.7x, EV/EBITDA 16.1x; FY28 P/E 22.3x)</t>
  </si>
  <si>
    <t xml:space="preserve">https://www.marketscreener.com/quote/stock/MICROSOFT-CORPORATION-4835/valuation/</t>
  </si>
  <si>
    <t xml:space="preserve">A1.19</t>
  </si>
  <si>
    <t xml:space="preserve">MarketScreener Alphabet valuation (2027E P/E 23.2x, EV/EBITDA 13.9x; 2028E P/E 19.4x)</t>
  </si>
  <si>
    <t xml:space="preserve">https://www.marketscreener.com/quote/stock/ALPHABET-INC-24203373/valuation/</t>
  </si>
  <si>
    <t xml:space="preserve">A1.20</t>
  </si>
  <si>
    <t xml:space="preserve">MarketScreener Meta Platforms valuation (2027E P/E 21.8x, EV/EBITDA 10.8x; 2028E P/E 18.8x)</t>
  </si>
  <si>
    <t xml:space="preserve">https://www.marketscreener.com/quote/stock/META-PLATFORMS-INC-10547141/valuation/</t>
  </si>
  <si>
    <t xml:space="preserve">A1.21</t>
  </si>
  <si>
    <t xml:space="preserve">MarketScreener Oracle valuation (FY May-2028 P/E 15.6x, EV/EBITDA 7.76x; FY29 P/E 10.6x)</t>
  </si>
  <si>
    <t xml:space="preserve">https://www.marketscreener.com/quote/stock/ORACLE-CORPORATION-13620698/valuation/</t>
  </si>
  <si>
    <t xml:space="preserve">A1.22</t>
  </si>
  <si>
    <t xml:space="preserve">MarketScreener Walmart valuation (FY Jan-2028 P/E 33.0x, EV/EBITDA 16.6x; FY29 P/E 29.7x)</t>
  </si>
  <si>
    <t xml:space="preserve">https://www.marketscreener.com/quote/stock/WALMART-INC-4841/valuation/</t>
  </si>
  <si>
    <t xml:space="preserve">A1.23</t>
  </si>
  <si>
    <t xml:space="preserve">MarketScreener Costco valuation (FY Aug-2027 P/E 40.5x, EV/EBITDA 24.7x; FY28 P/E 37.0x)</t>
  </si>
  <si>
    <t xml:space="preserve">https://www.marketscreener.com/quote/stock/COSTCO-WHOLESALE-CORPORAT-4866/valuation/</t>
  </si>
  <si>
    <t xml:space="preserve">A1.24</t>
  </si>
  <si>
    <t xml:space="preserve">MarketScreener MercadoLibre valuation (2027E P/E 33x, EV/EBITDA 13.5x; 2028E P/E 23.5x)</t>
  </si>
  <si>
    <t xml:space="preserve">https://www.marketscreener.com/quote/stock/MERCADOLIBRE-INC-58469/valuation/</t>
  </si>
  <si>
    <t xml:space="preserve">A1.25</t>
  </si>
  <si>
    <t xml:space="preserve">MarketScreener Shopify valuation (2027E P/E 77.8x, EV/EBITDA 53.2x; 2028E P/E 55.4x)</t>
  </si>
  <si>
    <t xml:space="preserve">https://www.marketscreener.com/quote/stock/SHOPIFY-INC-22283351/valuation/</t>
  </si>
  <si>
    <t xml:space="preserve">A1.26</t>
  </si>
  <si>
    <t xml:space="preserve">MarketScreener Sea Limited valuation (2027E P/E 23.6x, EV/EBITDA 9.18x; 2028E P/E 18.2x)</t>
  </si>
  <si>
    <t xml:space="preserve">https://www.marketscreener.com/quote/stock/SEA-LIMITED-38150303/valuation/</t>
  </si>
  <si>
    <t xml:space="preserve">A1.27</t>
  </si>
  <si>
    <t xml:space="preserve">MarketScreener Coupang valuation (2027E P/E 40.2x, EV/EBITDA 10.9x; 2028E P/E 20.3x)</t>
  </si>
  <si>
    <t xml:space="preserve">https://www.marketscreener.com/quote/stock/COUPANG-INC-119962175/valuation/</t>
  </si>
  <si>
    <t xml:space="preserve">A1.28</t>
  </si>
  <si>
    <t xml:space="preserve">MarketScreener Alibaba valuation (FY Mar-2028 P/E 13.6x, EV/EBITDA 7.79x; FY29 P/E 9.79x)</t>
  </si>
  <si>
    <t xml:space="preserve">https://www.marketscreener.com/quote/stock/ALIBABA-GROUP-HOLDING-LIM-17916677/valuation/</t>
  </si>
  <si>
    <t xml:space="preserve">A1.29</t>
  </si>
  <si>
    <t xml:space="preserve">Global economy briefing Oct 6, 2026: 10-year Treasury 5.31%; Polymarket Oct 27-28 FOMC no change 80.5% / +25bp 19.5% (~$26.9M traded, Oct 5 11:15pm ET) [citation gate 2026-10-06: news briefing; Polymarket odds and '24-year high' not confirmed at a primary source and enter no number (10-year 5.31% confirmed on FRED DGS10)]</t>
  </si>
  <si>
    <t xml:space="preserve">https://www.riotimesonline.com/global-economy-briefing-october-6-2026/</t>
  </si>
  <si>
    <t xml:space="preserve">A1.30</t>
  </si>
  <si>
    <t xml:space="preserve">The Dates That Matter Most For Amazon Stock (Q3 results Oct 29; Alphabet/Microsoft Oct 27) - estimated, not company-confirmed</t>
  </si>
  <si>
    <t xml:space="preserve">2026-10-02</t>
  </si>
  <si>
    <t xml:space="preserve">https://www.trefis.com/stock/amzn/articles/617445/the-dates-that-matter-most-for-amazon-stock/2026-10-02</t>
  </si>
  <si>
    <t xml:space="preserve">A1.31</t>
  </si>
  <si>
    <t xml:space="preserve">Daily closes AMZN, QQQ, MSFT, GOOGL, ORCL, META Sep 28 - Oct 6, 2026 (Twelve Data time series)</t>
  </si>
  <si>
    <t xml:space="preserve">https://twelvedata.com/</t>
  </si>
  <si>
    <t xml:space="preserve">A1.32</t>
  </si>
  <si>
    <t xml:space="preserve">AI data-center capex across NVIDIA's customer groups 2026-2028 (standing view, Amazon 2027 capex consensus $256.5-319.1B; base = consensus +~10%)</t>
  </si>
  <si>
    <t xml:space="preserve">/mnt/project-files/adhoc/nvda_customer_capex.md</t>
  </si>
  <si>
    <t xml:space="preserve">A1.33</t>
  </si>
  <si>
    <t xml:space="preserve">FRED DGS10 10-year Treasury: 5.31% on 2026-10-05 (added by citation gate as the primary source for the 10-year level)</t>
  </si>
  <si>
    <t xml:space="preserve">https://fred.stlouisfed.org/data/DGS10.txt</t>
  </si>
  <si>
    <t xml:space="preserve">A2.1</t>
  </si>
  <si>
    <t xml:space="preserve">agent_2</t>
  </si>
  <si>
    <t xml:space="preserve">Amazon Q2 2026 earnings release (8-K Ex.99.1): sales $200.6B, AWS $42.2B +37%, AWS OI $16.6B, Q3 guide, TTM FCF -$7.6B, diluted shares 10,903M</t>
  </si>
  <si>
    <t xml:space="preserve">A2.2</t>
  </si>
  <si>
    <t xml:space="preserve">Amazon.com Form 10-Q, quarter ended June 30, 2026 (cash $78.2B, securities $44.8B, LTD $128.9B, $25.0B July notes, Anthropic $190.4B, AWS commitments $496B, Globalstar ~$10.9B)</t>
  </si>
  <si>
    <t xml:space="preserve">A2.3</t>
  </si>
  <si>
    <t xml:space="preserve">Yahoo Finance AMZN analysis: FY26 GAAP EPS $12.88, FY27 $10.51 (52 analysts; 7 days ago $10.50, 90 days ago $9.99), Q3 EPS $1.95, Q3 revenue $202.03B</t>
  </si>
  <si>
    <t xml:space="preserve">A2.4</t>
  </si>
  <si>
    <t xml:space="preserve">stockanalysis.com AMZN forecast (S&amp;P Global): FY26 normalized EPS $8.31 (+15.86%), 59 analysts, avg PT $330.59</t>
  </si>
  <si>
    <t xml:space="preserve">A2.5</t>
  </si>
  <si>
    <t xml:space="preserve">stockanalysis.com AMZN statistics: last price $256.29 (Oct 6 close), shares outstanding 10.79B, market cap $2.76T</t>
  </si>
  <si>
    <t xml:space="preserve">https://stockanalysis.com/stocks/amzn/statistics/</t>
  </si>
  <si>
    <t xml:space="preserve">A2.6</t>
  </si>
  <si>
    <t xml:space="preserve">MarketScreener Amazon finances: consensus EPS 2026 $12.88 / 2027 $10.51 / 2028 $13.81; EBITDA 2027 $273.5B; EV/Sales 2027 2.94x</t>
  </si>
  <si>
    <t xml:space="preserve">A2.7</t>
  </si>
  <si>
    <t xml:space="preserve">MarketScreener Microsoft finances (FY Jun): EPS FY27 $19.70 / FY28 $23.58; EBITDA FY27 $239.5B / FY28 $295.6B; EV/Sales FY27 9.84x; close $525.18 [citation gate 2026-10-06: $525.18 is the Oct 5 close; Oct 6 close $529.30 (stockanalysis)]</t>
  </si>
  <si>
    <t xml:space="preserve">https://www.marketscreener.com/quote/stock/MICROSOFT-CORPORATION-4835/finances/</t>
  </si>
  <si>
    <t xml:space="preserve">A2.8</t>
  </si>
  <si>
    <t xml:space="preserve">MarketScreener Alphabet finances: EPS 2027 $14.95 / 2028 $17.89; EBITDA 2027 $298.7B; EV/Sales 2027 6.74x; close $347.68</t>
  </si>
  <si>
    <t xml:space="preserve">https://www.marketscreener.com/quote/stock/ALPHABET-INC-24203373/finances/</t>
  </si>
  <si>
    <t xml:space="preserve">A2.9</t>
  </si>
  <si>
    <t xml:space="preserve">MarketScreener Meta finances: EPS 2027 $34.07 / 2028 $39.47; EBITDA 2027 $180.6B; EV/Sales 2027 6.37x; close $741.90</t>
  </si>
  <si>
    <t xml:space="preserve">https://www.marketscreener.com/quote/stock/META-PLATFORMS-INC-10547141/finances/</t>
  </si>
  <si>
    <t xml:space="preserve">A2.10</t>
  </si>
  <si>
    <t xml:space="preserve">MarketScreener Oracle finances (FY May): EPS FY27 $6.643 / FY28 $9.144; EBITDA FY27 $51.7B / FY28 $74.6B; EV/Sales FY27 6.07x; close $142.48</t>
  </si>
  <si>
    <t xml:space="preserve">https://www.marketscreener.com/quote/stock/ORACLE-CORPORATION-13620698/finances/</t>
  </si>
  <si>
    <t xml:space="preserve">A2.11</t>
  </si>
  <si>
    <t xml:space="preserve">MarketScreener Walmart finances (FY Jan): EPS FY27 $2.877 / FY28 $3.181; EBITDA FY28 $53.3B; EV/Sales FY27 1.18x; close $105.07</t>
  </si>
  <si>
    <t xml:space="preserve">https://www.marketscreener.com/quote/stock/WALMART-INC-4841/finances/</t>
  </si>
  <si>
    <t xml:space="preserve">A2.12</t>
  </si>
  <si>
    <t xml:space="preserve">MarketScreener Costco finances (FY Aug): EPS FY27 $22.78 / FY28 $24.96; EBITDA FY27 $15.9B / FY28 $17.5B; EV/Sales FY27 1.19x; close $923.52 [citation gate 2026-10-06: $923.52 is the Oct 5 close; Oct 6 close $935.68 (stockanalysis)]</t>
  </si>
  <si>
    <t xml:space="preserve">https://www.marketscreener.com/quote/stock/COSTCO-WHOLESALE-CORPORAT-4866/finances/</t>
  </si>
  <si>
    <t xml:space="preserve">A2.13</t>
  </si>
  <si>
    <t xml:space="preserve">MarketScreener MercadoLibre finances: EPS 2027 $56.38 / 2028 $79.12; EBITDA 2027 $5.66B; EV/Sales 2027 1.42x; close $1,857.99</t>
  </si>
  <si>
    <t xml:space="preserve">https://www.marketscreener.com/quote/stock/MERCADOLIBRE-INC-58469/finances/</t>
  </si>
  <si>
    <t xml:space="preserve">A2.14</t>
  </si>
  <si>
    <t xml:space="preserve">MarketScreener Shopify finances: EPS 2027 $2.059 / 2028 $2.89; EBITDA 2027 $3.71B; EV/Sales 2027 10.3x; close $160.11</t>
  </si>
  <si>
    <t xml:space="preserve">https://www.marketscreener.com/quote/stock/SHOPIFY-INC-22283351/finances/</t>
  </si>
  <si>
    <t xml:space="preserve">A2.15</t>
  </si>
  <si>
    <t xml:space="preserve">MarketScreener Alibaba finances (FY Mar, CNY): EPS FY27 34.73 / FY28 54.66; EBITDA FY27 163.0B / FY28 227.7B; P/E FY27 21.4x; EV/Sales FY27 1.56x</t>
  </si>
  <si>
    <t xml:space="preserve">https://www.marketscreener.com/quote/stock/ALIBABA-GROUP-HOLDING-LIM-17916677/finances/</t>
  </si>
  <si>
    <t xml:space="preserve">A2.16</t>
  </si>
  <si>
    <t xml:space="preserve">MarketScreener PDD Holdings finances (CNY): EPS 2027 80.85 / 2028 89.48; EBITDA 2027 127.2B; P/E 2027 6.46x; EV/Sales 2027 0.56x</t>
  </si>
  <si>
    <t xml:space="preserve">https://www.marketscreener.com/quote/stock/PDD-HOLDINGS-INC-45049866/finances/</t>
  </si>
  <si>
    <t xml:space="preserve">A2.17</t>
  </si>
  <si>
    <t xml:space="preserve">AWS EC2 Capacity Blocks for ML pricing: effective Oct 7, 2026 P6-B300 $16.146 (from $14.04 in us-east-1), P6-B200 $14.208 (from $12.355), P5 $5.970 (from $5.191) per accelerator-hour</t>
  </si>
  <si>
    <t xml:space="preserve">https://aws.amazon.com/ec2/capacityblocks/pricing/</t>
  </si>
  <si>
    <t xml:space="preserve">A2.18</t>
  </si>
  <si>
    <t xml:space="preserve">Amazon hiking AI chip rental prices, exploring Nvidia leaseback (Quartz via Yahoo Finance): ~15% Capacity Blocks increase; ~$8B Grace Blackwell SPV [citation gate 2026-10-06: press only (FT via Reuters/Quartz; no Amazon comment, no filing); the $8B SPV enters no number. The ~15% Capacity Block rise is confirmed separately on the AWS pricing page]</t>
  </si>
  <si>
    <t xml:space="preserve">https://finance.yahoo.com/technology/ai/articles/amazon-hiking-ai-chip-rental-122155988.html</t>
  </si>
  <si>
    <t xml:space="preserve">A2.19</t>
  </si>
  <si>
    <t xml:space="preserve">Amazon seeks to offload $8 billion of Nvidia chips to investors, FT reports (Reuters via The Star): SPV funded by debt, Amazon up to 10% equity, 12+ US sites in five states [citation gate 2026-10-06: press only (FT via Reuters/Quartz; no Amazon comment, no filing); the $8B SPV enters no number. The ~15% Capacity Block rise is confirmed separately on the AWS pricing page]</t>
  </si>
  <si>
    <t xml:space="preserve">https://www.thestar.com.my/tech/tech-news/2026/10/02/amazon-seeks-to-offload-8-billion-of-nvidia-chips-to-investors-ft-reports</t>
  </si>
  <si>
    <t xml:space="preserve">A2.20</t>
  </si>
  <si>
    <t xml:space="preserve">Synopsys and Amazon sign multi-year silicon IP agreement valued at more than $1 billion (license-plus-royalty; Nitro, Graviton, Trainium)</t>
  </si>
  <si>
    <t xml:space="preserve">2026-09-30</t>
  </si>
  <si>
    <t xml:space="preserve">https://finviz.com/news/397190/synopsys-and-amazon-sign-multi-year-silicon-ip-agreement-valued-at-more-than-1-billion</t>
  </si>
  <si>
    <t xml:space="preserve">A2.21</t>
  </si>
  <si>
    <t xml:space="preserve">Micron FQ4 FY2026 results (8-K Ex.99.1): revenue $54.23B, non-GAAP GM 87.0%, FQ1 FY27 guide $61.5B +/- $1.5B</t>
  </si>
  <si>
    <t xml:space="preserve">https://www.sec.gov/Archives/edgar/data/0000723125/000072312526000018/a2026q4ex991-pressrelease.htm</t>
  </si>
  <si>
    <t xml:space="preserve">A2.22</t>
  </si>
  <si>
    <t xml:space="preserve">getdeploying GPU Rental Price Index: H100 median $3.47/GPU-hr, +16% y/y (week of Oct 5, 2026); H200 $5.40, B200 $8.55</t>
  </si>
  <si>
    <t xml:space="preserve">https://getdeploying.com/gpu-price-index</t>
  </si>
  <si>
    <t xml:space="preserve">A2.23</t>
  </si>
  <si>
    <t xml:space="preserve">Synergy Research: Q2 cloud market passes $143 billion, +43% y/y; Amazon 28%, Microsoft 20%, Google 15%; GenAI cloud services +165%</t>
  </si>
  <si>
    <t xml:space="preserve">https://www.srgresearch.com/articles/q2-cloud-market-passes-143-billion-highest-growth-rate-in-eight-years</t>
  </si>
  <si>
    <t xml:space="preserve">A2.24</t>
  </si>
  <si>
    <t xml:space="preserve">Digital Commerce 360: Adobe projects 2026 US online holiday sales $275.1B (+6.7%), October $95.8B (+8%)</t>
  </si>
  <si>
    <t xml:space="preserve">2026-09-29</t>
  </si>
  <si>
    <t xml:space="preserve">https://www.digitalcommerce360.com/2026/09/29/adobe-projection-2026-online-holiday-sales-275-billion/amp/</t>
  </si>
  <si>
    <t xml:space="preserve">A2.25</t>
  </si>
  <si>
    <t xml:space="preserve">Prime Big Deal Days 2026 is set for October 6-7 (Amazon)</t>
  </si>
  <si>
    <t xml:space="preserve">2026-09</t>
  </si>
  <si>
    <t xml:space="preserve">A2.26</t>
  </si>
  <si>
    <t xml:space="preserve">Twelve Data daily closes Sep 29-Oct 6, 2026: AMZN 246.67-&gt;256.33, QQQ 737.93-&gt;759.61, MSFT 508.96-&gt;529.49, GOOGL 340.92-&gt;347.70 (API time series)</t>
  </si>
  <si>
    <t xml:space="preserve">A2.27</t>
  </si>
  <si>
    <t xml:space="preserve">Trefis: The dates that matter most for Amazon stock (Q3 results expected on or around Oct 29, 2026; Alphabet/Microsoft expected Oct 27)</t>
  </si>
  <si>
    <t xml:space="preserve">A2.28</t>
  </si>
  <si>
    <t xml:space="preserve">Internal standing view: AI data-center capex across NVIDIA's customer groups 2026-2028 (Amazon 2026 ~$220B; 2027 consensus $256.5-319.1B [secondary]; Big-4 2027 base $1.08T)</t>
  </si>
  <si>
    <t xml:space="preserve">file:///mnt/project-files/adhoc/nvda_customer_capex.md</t>
  </si>
  <si>
    <t xml:space="preserve">A2.29</t>
  </si>
  <si>
    <t xml:space="preserve">MS 2026-10-04, p.4: SPCX $159: Cheap and Getting Cheaper (Compute Desk B300 1-yr rental index up &gt;50% YTD; AMZN 2028 EV/EBIT/growth ~0.5x)</t>
  </si>
  <si>
    <t xml:space="preserve">2026-10-04</t>
  </si>
  <si>
    <t xml:space="preserve">file:///mnt/project-files/valuation/broker/digests/upload_8498b606.json</t>
  </si>
  <si>
    <t xml:space="preserve">A2.30</t>
  </si>
  <si>
    <t xml:space="preserve">Federal Reserve implementation note: target range 3-3/4 to 4 percent effective Sep 17, 2026</t>
  </si>
  <si>
    <t xml:space="preserve">2026-09-16</t>
  </si>
  <si>
    <t xml:space="preserve">https://www.federalreserve.gov/newsevents/pressreleases/monetary20260916a1.htm</t>
  </si>
  <si>
    <t xml:space="preserve">A2.31</t>
  </si>
  <si>
    <t xml:space="preserve">US FTC-Amazon antitrust trial pushed back to March 2027 (MLex; carried from 2026-09-29, not re-opened)</t>
  </si>
  <si>
    <t xml:space="preserve">A2.32</t>
  </si>
  <si>
    <t xml:space="preserve">stockanalysis.com AMZN price history (Oct 6, 2026 close $256.29)</t>
  </si>
  <si>
    <t xml:space="preserve">https://stockanalysis.com/stocks/amzn/history/</t>
  </si>
  <si>
    <t xml:space="preserve">A2.33</t>
  </si>
  <si>
    <t xml:space="preserve">SEC EDGAR submissions feed for Amazon (CIK 1018724): filings since 2026-09-24 are a Form 4 (Oct 5) only; last 8-K Sep 14 (notes offering)</t>
  </si>
  <si>
    <t xml:space="preserve">A3.1</t>
  </si>
  <si>
    <t xml:space="preserve">agent_3</t>
  </si>
  <si>
    <t xml:space="preserve">Amazon.com Q2 2026 results (8-K Ex. 99.1)</t>
  </si>
  <si>
    <t xml:space="preserve">https://www.sec.gov/Archives/edgar/data/1018724/000101872426000024/amzn-20260630xex991.htm</t>
  </si>
  <si>
    <t xml:space="preserve">A3.2</t>
  </si>
  <si>
    <t xml:space="preserve">Amazon.com Form 10-Q for Q2 2026 (debt note, commitments, Anthropic/OpenAI Level 3 investments, legal proceedings)</t>
  </si>
  <si>
    <t xml:space="preserve">A3.3</t>
  </si>
  <si>
    <t xml:space="preserve">Amazon.com 2025 Form 10-K (server useful-life change; FCF reconciliation)</t>
  </si>
  <si>
    <t xml:space="preserve">2026-02-06</t>
  </si>
  <si>
    <t xml:space="preserve">https://www.sec.gov/Archives/edgar/data/1018724/000101872426000004/amzn-20251231.htm</t>
  </si>
  <si>
    <t xml:space="preserve">A3.4</t>
  </si>
  <si>
    <t xml:space="preserve">Amazon Q2 2026 earnings call transcript</t>
  </si>
  <si>
    <t xml:space="preserve">https://www.theglobeandmail.com/investing/markets/stocks/AMZN/pressreleases/3730734/amazon-amzn-q2-2026-earnings-call-transcript/</t>
  </si>
  <si>
    <t xml:space="preserve">A3.5</t>
  </si>
  <si>
    <t xml:space="preserve">424B5: $37.0B USD notes due 2028-2076 (March 2026)</t>
  </si>
  <si>
    <t xml:space="preserve">2026-03-12</t>
  </si>
  <si>
    <t xml:space="preserve">https://www.sec.gov/Archives/edgar/data/1018724/000110465926027125/tm266670-4_424b5.htm</t>
  </si>
  <si>
    <t xml:space="preserve">A3.6</t>
  </si>
  <si>
    <t xml:space="preserve">424B5: EUR 14.5B notes due 2028-2064 (March 2026)</t>
  </si>
  <si>
    <t xml:space="preserve">2026-03-13</t>
  </si>
  <si>
    <t xml:space="preserve">https://www.sec.gov/Archives/edgar/data/1018724/000110465926027669/tm266670-6_424b5.htm</t>
  </si>
  <si>
    <t xml:space="preserve">A3.7</t>
  </si>
  <si>
    <t xml:space="preserve">424B5: C$14.0B notes due 2029-2056 (June 2026)</t>
  </si>
  <si>
    <t xml:space="preserve">2026-06-10</t>
  </si>
  <si>
    <t xml:space="preserve">https://www.sec.gov/Archives/edgar/data/1018724/000110465926072332/tm2613616-2_424b5.htm</t>
  </si>
  <si>
    <t xml:space="preserve">A3.8</t>
  </si>
  <si>
    <t xml:space="preserve">8-K: $17.5B delayed-draw term loan (Citibank agent)</t>
  </si>
  <si>
    <t xml:space="preserve">https://www.sec.gov/Archives/edgar/data/1018724/000110465926072140/tm2613616d4_8k.htm</t>
  </si>
  <si>
    <t xml:space="preserve">A3.9</t>
  </si>
  <si>
    <t xml:space="preserve">424B5: $25.0B USD notes due 2029-2066 (July 2026)</t>
  </si>
  <si>
    <t xml:space="preserve">2026-07-08</t>
  </si>
  <si>
    <t xml:space="preserve">https://www.sec.gov/Archives/edgar/data/1018724/000110465926081786/tm2619352-2_424b5.htm</t>
  </si>
  <si>
    <t xml:space="preserve">A3.10</t>
  </si>
  <si>
    <t xml:space="preserve">424B5: GBP 4.25B notes due 2029-2045 (Sept 2026)</t>
  </si>
  <si>
    <t xml:space="preserve">2026-09-11</t>
  </si>
  <si>
    <t xml:space="preserve">https://www.sec.gov/Archives/edgar/data/1018724/000110465926107122/tm2624614-3_424b5.htm</t>
  </si>
  <si>
    <t xml:space="preserve">A3.11</t>
  </si>
  <si>
    <t xml:space="preserve">8-K: OpenAI equity commitment letter ($15B + $35B Series C)</t>
  </si>
  <si>
    <t xml:space="preserve">2026-02-27</t>
  </si>
  <si>
    <t xml:space="preserve">https://www.sec.gov/Archives/edgar/data/1018724/000110465926021050/tm267374d1_8k.htm</t>
  </si>
  <si>
    <t xml:space="preserve">A3.12</t>
  </si>
  <si>
    <t xml:space="preserve">Insider Monkey via Finviz: Moody's revises Amazon outlook to stable from positive, affirms A1 [citation gate 2026-10-06: secondary (Insider Monkey); Moody's outlook not confirmed at Moody's or Amazon; context only, enters no number]</t>
  </si>
  <si>
    <t xml:space="preserve">2026-02-23</t>
  </si>
  <si>
    <t xml:space="preserve">https://finviz.com/news/319252/amazon-amzn-navigates-investment-cycle-and-strategic-developments</t>
  </si>
  <si>
    <t xml:space="preserve">A3.13</t>
  </si>
  <si>
    <t xml:space="preserve">Tiger Brokers news: S&amp;P says Amazon, Alphabet, Meta could each borrow ~$200B at current ratings</t>
  </si>
  <si>
    <t xml:space="preserve">https://www.itiger.com/news/1145150869</t>
  </si>
  <si>
    <t xml:space="preserve">A3.14</t>
  </si>
  <si>
    <t xml:space="preserve">The Next Web: Amazon takes on $17.5B new debt; total borrowing incl. leases &gt;$225B (CreditSights comment)</t>
  </si>
  <si>
    <t xml:space="preserve">https://thenextweb.com/news/amazon-17-5-billion-loan-citigroup-ai-spending</t>
  </si>
  <si>
    <t xml:space="preserve">A3.15</t>
  </si>
  <si>
    <t xml:space="preserve">FactSet Insight: Hyperscalers tap external financing as AI capex outruns cash flow</t>
  </si>
  <si>
    <t xml:space="preserve">2026-07-23</t>
  </si>
  <si>
    <t xml:space="preserve">https://insight.factset.com/hyperscalers-tap-external-financing-as-ai-capex-outruns-cash-flow</t>
  </si>
  <si>
    <t xml:space="preserve">A3.16</t>
  </si>
  <si>
    <t xml:space="preserve">Yahoo/Insider Monkey: DA Davidson downgrades Amazon to Neutral, PT $175 from $300 ('losing the lead')</t>
  </si>
  <si>
    <t xml:space="preserve">https://finance.yahoo.com/news/da-davidson-thinks-amazon-com-114152031.html</t>
  </si>
  <si>
    <t xml:space="preserve">A3.17</t>
  </si>
  <si>
    <t xml:space="preserve">FXEmpire: Amazon plunges 9% after hours as $200B spending plan shocks investors [citation gate 2026-10-06: press; the -9% was after hours. Close-to-close Feb 5-&gt;6, 2026 was -5.6% (222.69 -&gt; 210.32, Twelve Data)]</t>
  </si>
  <si>
    <t xml:space="preserve">2026-02-05</t>
  </si>
  <si>
    <t xml:space="preserve">https://www.fxempire.com/news/article/amazon-plunges-9-after-hours-as-200b-spending-plan-shocks-wall-street-investors-1577677</t>
  </si>
  <si>
    <t xml:space="preserve">A3.18</t>
  </si>
  <si>
    <t xml:space="preserve">Fortune: Charles Fitzgerald on the Amazon-OpenAI deal ('It certainly looks like circular financing')</t>
  </si>
  <si>
    <t xml:space="preserve">2025-12-17</t>
  </si>
  <si>
    <t xml:space="preserve">https://fortune.com/2025/12/17/amazon-openai-deal-trainium-chips-ai-charles-fitzgerald-anshel-sag/</t>
  </si>
  <si>
    <t xml:space="preserve">A3.19</t>
  </si>
  <si>
    <t xml:space="preserve">Techstrong.ai: Michael Burry alleges hyperscalers understate depreciation (~$176B 2026-28)</t>
  </si>
  <si>
    <t xml:space="preserve">2025-11-11</t>
  </si>
  <si>
    <t xml:space="preserve">https://techstrong.ai/features/tech-investor-michael-burry-alleges-accounting-irregularities-at-hyperscalers-in-pursuit-of-ai-boom/</t>
  </si>
  <si>
    <t xml:space="preserve">A3.20</t>
  </si>
  <si>
    <t xml:space="preserve">Dave Friedman (Substack): The $176 billion accounting question</t>
  </si>
  <si>
    <t xml:space="preserve">2026-01-19</t>
  </si>
  <si>
    <t xml:space="preserve">https://davefriedman.substack.com/p/the-176-billion-accounting-question</t>
  </si>
  <si>
    <t xml:space="preserve">A3.21</t>
  </si>
  <si>
    <t xml:space="preserve">Saxo (Neil Wilson): The Big Short on hyperscaler depreciation</t>
  </si>
  <si>
    <t xml:space="preserve">2025-11-12 (date per URL)</t>
  </si>
  <si>
    <t xml:space="preserve">https://www.home.saxo/content/articles/equities/big-short-12112025</t>
  </si>
  <si>
    <t xml:space="preserve">A3.22</t>
  </si>
  <si>
    <t xml:space="preserve">24/7 Wall St via Yahoo: Is AI coming with a trillion-dollar hangover? (hyperscaler leverage)</t>
  </si>
  <si>
    <t xml:space="preserve">2026-03-10</t>
  </si>
  <si>
    <t xml:space="preserve">https://finance.yahoo.com/news/ai-coming-trillion-dollar-hangover-150642244.html</t>
  </si>
  <si>
    <t xml:space="preserve">A3.23</t>
  </si>
  <si>
    <t xml:space="preserve">MLex: FTC v. Amazon monopolization trial set for March 29, 2027</t>
  </si>
  <si>
    <t xml:space="preserve">2025-12-15</t>
  </si>
  <si>
    <t xml:space="preserve">https://www.mlex.com/mlex/articles/2422758</t>
  </si>
  <si>
    <t xml:space="preserve">A3.24</t>
  </si>
  <si>
    <t xml:space="preserve">MLex: Amazon to ask US FTC to delay trial for monopolization case</t>
  </si>
  <si>
    <t xml:space="preserve">https://www.mlex.com/mlex/antitrust/articles/2526407</t>
  </si>
  <si>
    <t xml:space="preserve">A3.25</t>
  </si>
  <si>
    <t xml:space="preserve">FTC: $2.5B settlement with Amazon over Prime enrollment/cancellation (ROSCA)</t>
  </si>
  <si>
    <t xml:space="preserve">2025-09-25</t>
  </si>
  <si>
    <t xml:space="preserve">https://www.ftc.gov/news-events/news/press-releases/2025/09/ftc-secures-historic-25-billion-settlement-against-amazon</t>
  </si>
  <si>
    <t xml:space="preserve">A3.26</t>
  </si>
  <si>
    <t xml:space="preserve">Business Insurance: Amazon defeats shareholder suit alleging hidden fulfillment over-expansion (2022 excess capacity)</t>
  </si>
  <si>
    <t xml:space="preserve">2025-03-18</t>
  </si>
  <si>
    <t xml:space="preserve">https://www.businessinsurance.com/amazon-defeats-shareholder-lawsuit-over-third-party-sellers-capacity-expansion/</t>
  </si>
  <si>
    <t xml:space="preserve">A3.27</t>
  </si>
  <si>
    <t xml:space="preserve">Form 4: A. Jassy sale of 31,352 sh at $275 (May 4, 2026)</t>
  </si>
  <si>
    <t xml:space="preserve">2026-05-06</t>
  </si>
  <si>
    <t xml:space="preserve">https://www.sec.gov/Archives/edgar/data/1018724/000137454526000006/wk-form4_1778100121.xml</t>
  </si>
  <si>
    <t xml:space="preserve">A3.28</t>
  </si>
  <si>
    <t xml:space="preserve">Form 4: A. Jassy, 50,000 RSUs vested, 20,000 sh sold at ~$257.6-260.4 (Aug 21, 2026)</t>
  </si>
  <si>
    <t xml:space="preserve">2026-08-25</t>
  </si>
  <si>
    <t xml:space="preserve">https://www.sec.gov/Archives/edgar/data/1018724/000137454526000010/wk-form4_1787692115.xml</t>
  </si>
  <si>
    <t xml:space="preserve">A3.29</t>
  </si>
  <si>
    <t xml:space="preserve">Form 144: A. Jassy proposed sale, aggregate market value $5.18M</t>
  </si>
  <si>
    <t xml:space="preserve">2026-08-21</t>
  </si>
  <si>
    <t xml:space="preserve">https://www.sec.gov/Archives/edgar/data/1018724/000195917326006313/primary_doc.xml</t>
  </si>
  <si>
    <t xml:space="preserve">A3.30</t>
  </si>
  <si>
    <t xml:space="preserve">Form 4: J. Bezos gifts of 184,943 and 230,637 shares (Aug 25-26, 2026)</t>
  </si>
  <si>
    <t xml:space="preserve">2026-08-27</t>
  </si>
  <si>
    <t xml:space="preserve">https://www.sec.gov/Archives/edgar/data/1018724/000104329826000002/wk-form4_1787862279.xml</t>
  </si>
  <si>
    <t xml:space="preserve">A3.31</t>
  </si>
  <si>
    <t xml:space="preserve">Form 144: Day 1 Academies proposed sale of 230,637 sh (~$59.2M)</t>
  </si>
  <si>
    <t xml:space="preserve">https://www.sec.gov/Archives/edgar/data/1018724/000195004726008794/primary_doc.xml</t>
  </si>
  <si>
    <t xml:space="preserve">A3.32</t>
  </si>
  <si>
    <t xml:space="preserve">Form 4: D. Herrington sale of 1,000 sh at $251.50 (Oct 1, 2026)</t>
  </si>
  <si>
    <t xml:space="preserve">https://www.sec.gov/Archives/edgar/data/1018724/000193600626000026/wk-form4_1791230893.xml</t>
  </si>
  <si>
    <t xml:space="preserve">A3.33</t>
  </si>
  <si>
    <t xml:space="preserve">Anthropic: multi-gigawatt TPU deal with Google and Broadcom from 2027; Amazon remains primary cloud/training partner</t>
  </si>
  <si>
    <t xml:space="preserve">2026-04-06</t>
  </si>
  <si>
    <t xml:space="preserve">https://anthropic.com/news/google-broadcom-partnership-compute</t>
  </si>
  <si>
    <t xml:space="preserve">A3.34</t>
  </si>
  <si>
    <t xml:space="preserve">MarketScreener AMZN finances (consensus sales, EBITDA, EPS, capex, FCF, net debt)</t>
  </si>
  <si>
    <t xml:space="preserve">A3.35</t>
  </si>
  <si>
    <t xml:space="preserve">MarketScreener AMZN valuation (P/E, EV/EBITDA, EV, EPS by year)</t>
  </si>
  <si>
    <t xml:space="preserve">A3.36</t>
  </si>
  <si>
    <t xml:space="preserve">MarketScreener MSFT valuation</t>
  </si>
  <si>
    <t xml:space="preserve">A3.37</t>
  </si>
  <si>
    <t xml:space="preserve">MarketScreener GOOGL valuation</t>
  </si>
  <si>
    <t xml:space="preserve">A3.38</t>
  </si>
  <si>
    <t xml:space="preserve">MarketScreener META valuation</t>
  </si>
  <si>
    <t xml:space="preserve">A3.39</t>
  </si>
  <si>
    <t xml:space="preserve">MarketScreener ORCL valuation</t>
  </si>
  <si>
    <t xml:space="preserve">A3.40</t>
  </si>
  <si>
    <t xml:space="preserve">MarketScreener WMT valuation</t>
  </si>
  <si>
    <t xml:space="preserve">A3.41</t>
  </si>
  <si>
    <t xml:space="preserve">MarketScreener COST valuation</t>
  </si>
  <si>
    <t xml:space="preserve">A3.42</t>
  </si>
  <si>
    <t xml:space="preserve">MarketScreener MELI valuation</t>
  </si>
  <si>
    <t xml:space="preserve">A3.43</t>
  </si>
  <si>
    <t xml:space="preserve">MarketScreener SHOP valuation</t>
  </si>
  <si>
    <t xml:space="preserve">A3.44</t>
  </si>
  <si>
    <t xml:space="preserve">MarketScreener BABA valuation</t>
  </si>
  <si>
    <t xml:space="preserve">A3.45</t>
  </si>
  <si>
    <t xml:space="preserve">MarketScreener CPNG valuation</t>
  </si>
  <si>
    <t xml:space="preserve">A3.46</t>
  </si>
  <si>
    <t xml:space="preserve">MarketScreener SE valuation</t>
  </si>
  <si>
    <t xml:space="preserve">A3.47</t>
  </si>
  <si>
    <t xml:space="preserve">MarketScreener PDD valuation</t>
  </si>
  <si>
    <t xml:space="preserve">https://www.marketscreener.com/quote/stock/PDD-HOLDINGS-INC-45049866/valuation/</t>
  </si>
  <si>
    <t xml:space="preserve">A3.48</t>
  </si>
  <si>
    <t xml:space="preserve">FRED: 10-Year Treasury constant maturity (DGS10) = 5.31% on 2026-10-05</t>
  </si>
  <si>
    <t xml:space="preserve">https://fred.stlouisfed.org/series/DGS10</t>
  </si>
  <si>
    <t xml:space="preserve">A3.49</t>
  </si>
  <si>
    <t xml:space="preserve">Damodaran Online: implied ERP 4.20% (trailing 12m, adjusted payout) as of Oct 1, 2026</t>
  </si>
  <si>
    <t xml:space="preserve">2026-10-01</t>
  </si>
  <si>
    <t xml:space="preserve">https://pages.stern.nyu.edu/~adamodar/New_Home_Page/home.htm</t>
  </si>
  <si>
    <t xml:space="preserve">A3.50</t>
  </si>
  <si>
    <t xml:space="preserve">Standing view: AI data-center capex across NVIDIA customer groups 2026-2028 (low/base/high)</t>
  </si>
  <si>
    <t xml:space="preserve">A3.51</t>
  </si>
  <si>
    <t xml:space="preserve">Twelve Data API: AMZN and SPY weekly closes Oct-2024 to Oct-2026 (beta calc), AMZN quote 2026-10-06, GBP/USD 1.327</t>
  </si>
  <si>
    <t xml:space="preserve">https://twelvedata.com/stocks/AMZN</t>
  </si>
  <si>
    <t xml:space="preserve">A3.52</t>
  </si>
  <si>
    <t xml:space="preserve">Twelve Data AMZN daily closes around the last three prints (added by citation gate): Q4-25 222.69 -&gt; 210.32 (-5.6%, Feb 5-&gt;6), Q1-26 263.04 -&gt; 265.06 (+0.8%, Apr 29-&gt;30), Q2-26 235.50 -&gt; 271.58 (+15.3%, Jul 30-&gt;31). 'Two of the last three prints moved ~10%+' holds only if the Feb after-hours -9% is counted; close-to-close it is one of three.</t>
  </si>
  <si>
    <t xml:space="preserve">S.1</t>
  </si>
  <si>
    <t xml:space="preserve">supervisor</t>
  </si>
  <si>
    <t xml:space="preserve">Amazon.com Form 10-Q, quarter ended June 30, 2026 (Anthropic $92.5B + $97.9B; OpenAI $28.7B + $21.3B subsequent; debt face $133.0B; cash $78.2B; securities $44.8B; RPO ~$496B; Globalstar ~$10.9B; $15.9B discrete tax)</t>
  </si>
  <si>
    <t xml:space="preserve">S.2</t>
  </si>
  <si>
    <t xml:space="preserve">Amazon Q2 2026 earnings release (8-K Ex.99.1): segments, Q3 guidance, TTM FCF -$7.6B</t>
  </si>
  <si>
    <t xml:space="preserve">S.3</t>
  </si>
  <si>
    <t xml:space="preserve">SEC EDGAR submissions feed, Amazon (CIK 1018724): Form 4 only since Sep 24</t>
  </si>
  <si>
    <t xml:space="preserve">S.4</t>
  </si>
  <si>
    <t xml:space="preserve">MarketScreener Amazon finances: EPS 2027 $10.51 / 2028 $13.81; net debt 2026 $22.3B / 2027 $74.0B; FCF; capex; EBIT; EBITDA</t>
  </si>
  <si>
    <t xml:space="preserve">S.5</t>
  </si>
  <si>
    <t xml:space="preserve">Yahoo Finance AMZN analysis: FY27 $10.51 (52), EPS trend, revisions, Q3 EPS $1.95 / revenue $202.03B</t>
  </si>
  <si>
    <t xml:space="preserve">S.6</t>
  </si>
  <si>
    <t xml:space="preserve">MarketScreener Microsoft finances (FY Jun EPS FY27 $19.70, FY28 $23.58; price $529.30)</t>
  </si>
  <si>
    <t xml:space="preserve">S.7</t>
  </si>
  <si>
    <t xml:space="preserve">MarketScreener Alphabet finances (2027 P/E 23.3x)</t>
  </si>
  <si>
    <t xml:space="preserve">S.8</t>
  </si>
  <si>
    <t xml:space="preserve">MarketScreener Meta finances (2027 P/E 21.8x)</t>
  </si>
  <si>
    <t xml:space="preserve">S.9</t>
  </si>
  <si>
    <t xml:space="preserve">MarketScreener Oracle finances (FY May EPS FY27 $6.643, FY28 $9.144; price $142.48)</t>
  </si>
  <si>
    <t xml:space="preserve">S.10</t>
  </si>
  <si>
    <t xml:space="preserve">MarketScreener Walmart finances (FY Jan-28 P/E 33x)</t>
  </si>
  <si>
    <t xml:space="preserve">S.11</t>
  </si>
  <si>
    <t xml:space="preserve">MarketScreener Costco finances (FY Aug EPS FY27 $22.78, FY28 $24.96; price $935.68)</t>
  </si>
  <si>
    <t xml:space="preserve">S.12</t>
  </si>
  <si>
    <t xml:space="preserve">MarketScreener MercadoLibre finances (2027 P/E 33x)</t>
  </si>
  <si>
    <t xml:space="preserve">S.13</t>
  </si>
  <si>
    <t xml:space="preserve">MarketScreener Sea Limited finances (2027 P/E 23.5x)</t>
  </si>
  <si>
    <t xml:space="preserve">https://www.marketscreener.com/quote/stock/SEA-LIMITED-38150303/finances/</t>
  </si>
  <si>
    <t xml:space="preserve">S.14</t>
  </si>
  <si>
    <t xml:space="preserve">MarketScreener Shopify finances (2027 P/E 77.8x)</t>
  </si>
  <si>
    <t xml:space="preserve">S.15</t>
  </si>
  <si>
    <t xml:space="preserve">MarketScreener Alibaba finances (FY Mar EPS FY27 34.73, FY28 54.66 CNY; P/E FY27 21.4x)</t>
  </si>
  <si>
    <t xml:space="preserve">S.16</t>
  </si>
  <si>
    <t xml:space="preserve">MarketScreener PDD finances (2027 P/E 6.46x)</t>
  </si>
  <si>
    <t xml:space="preserve">S.17</t>
  </si>
  <si>
    <t xml:space="preserve">FRED DGS10: 4.99% on 2026-10-27, 5.00% on 2026-10-23 and 10-26</t>
  </si>
  <si>
    <t xml:space="preserve">2026-10-29</t>
  </si>
  <si>
    <t xml:space="preserve">S.18</t>
  </si>
  <si>
    <t xml:space="preserve">Federal Reserve implementation note: target range 3-3/4 to 4 percent, effective Sep 17, 2026</t>
  </si>
  <si>
    <t xml:space="preserve">S.19</t>
  </si>
  <si>
    <t xml:space="preserve">Federal Reserve FOMC calendar (Oct 27-28, Dec 8-9, 2026)</t>
  </si>
  <si>
    <t xml:space="preserve">https://www.federalreserve.gov/monetarypolicy/fomccalendars.htm</t>
  </si>
  <si>
    <t xml:space="preserve">S.20</t>
  </si>
  <si>
    <t xml:space="preserve">Amazon 8-K 2026-10-29: Q3 2026 results (Items 2.02, 9.01)</t>
  </si>
  <si>
    <t xml:space="preserve">https://www.sec.gov/Archives/edgar/data/1018724/000101872426000038/amzn-20261029.htm</t>
  </si>
  <si>
    <t xml:space="preserve">S.21</t>
  </si>
  <si>
    <t xml:space="preserve">AWS EC2 Capacity Blocks pricing: effective Oct 7, 2026 P6-B300 $16.146 (from $14.04), P6-B200 $14.208, P5 $5.970</t>
  </si>
  <si>
    <t xml:space="preserve">S.22</t>
  </si>
  <si>
    <t xml:space="preserve">Amazon seeks to offload $8 billion of Nvidia chips to investors, FT reports (Reuters via The Star), context only</t>
  </si>
  <si>
    <t xml:space="preserve">S.23</t>
  </si>
  <si>
    <t xml:space="preserve">Standing view: AI data-center capex across NVIDIA customer groups 2026-2028 (Big-4 base 2027 $1,080B, 2028 $1,330B)</t>
  </si>
  <si>
    <t xml:space="preserve">S.24</t>
  </si>
  <si>
    <t xml:space="preserve">stockanalysis.com price history (Oct 6, 2026 closes): AMZN 256.29, MSFT 529.30, GOOGL 347.68, META 738.88, ORCL 144.77, WMT 107.20, COST 935.68, MELI 1,857.99, SE 96.53, SHOP 164.44, BABA 109.26, PDD 78.40</t>
  </si>
  <si>
    <t xml:space="preserve">S.25</t>
  </si>
  <si>
    <t xml:space="preserve">Twelve Data: USD/CNY 6.70534 (Oct 6, 2026 close); AMZN daily closes around the last three prints</t>
  </si>
  <si>
    <t xml:space="preserve">S.26</t>
  </si>
  <si>
    <t xml:space="preserve">FRED DGS10 (base-round text-data link; 2026 rows would not load at the gate, superseded by source 16)</t>
  </si>
  <si>
    <t xml:space="preserve">S.27</t>
  </si>
  <si>
    <t xml:space="preserve">Amazon Q2 2026 earnings call transcript (~$220B 2026 cash capex; 2027 capacity largely reserved; $496B backlog; 520bp ex derivative gain)</t>
  </si>
  <si>
    <t xml:space="preserve">S.28</t>
  </si>
  <si>
    <t xml:space="preserve">Amazon 8-K: closing of GBP 4.25B notes (Sep 14, 2026)</t>
  </si>
  <si>
    <t xml:space="preserve">S.29</t>
  </si>
  <si>
    <t xml:space="preserve">AMZN consensus EPS by fiscal year (Nasdaq.com earnings forecast, Zacks consensus), saved 2026-10-26</t>
  </si>
  <si>
    <t xml:space="preserve">2026-10-26</t>
  </si>
  <si>
    <t xml:space="preserve">https://www.nasdaq.com/market-activity/stocks/amzn/earnings</t>
  </si>
  <si>
    <t xml:space="preserve">S.30</t>
  </si>
  <si>
    <t xml:space="preserve">AMZN daily close history (Oct 23, 2026 close 248.0)</t>
  </si>
  <si>
    <t xml:space="preserve">2026-10-23</t>
  </si>
  <si>
    <t xml:space="preserve">https://finance.yahoo.com/quote/AMZN/history/</t>
  </si>
  <si>
    <t xml:space="preserve">S.31</t>
  </si>
  <si>
    <t xml:space="preserve">APP consensus EPS by fiscal year (Nasdaq.com earnings forecast, Zacks consensus), saved 2026-10-26</t>
  </si>
  <si>
    <t xml:space="preserve">https://www.nasdaq.com/market-activity/stocks/app/earnings</t>
  </si>
  <si>
    <t xml:space="preserve">S.32</t>
  </si>
  <si>
    <t xml:space="preserve">APP daily close history (Oct 23, 2026 close 260.25)</t>
  </si>
  <si>
    <t xml:space="preserve">https://finance.yahoo.com/quote/APP/history/</t>
  </si>
  <si>
    <t xml:space="preserve">S.33</t>
  </si>
  <si>
    <t xml:space="preserve">COST consensus EPS by fiscal year (Nasdaq.com earnings forecast, Zacks consensus), saved 2026-10-26</t>
  </si>
  <si>
    <t xml:space="preserve">https://www.nasdaq.com/market-activity/stocks/cost/earnings</t>
  </si>
  <si>
    <t xml:space="preserve">S.34</t>
  </si>
  <si>
    <t xml:space="preserve">COST daily close history (Oct 23, 2026 close 1003.32)</t>
  </si>
  <si>
    <t xml:space="preserve">https://finance.yahoo.com/quote/COST/history/</t>
  </si>
  <si>
    <t xml:space="preserve">S.35</t>
  </si>
  <si>
    <t xml:space="preserve">GOOGL consensus EPS by fiscal year (Nasdaq.com earnings forecast, Zacks consensus), saved 2026-10-26</t>
  </si>
  <si>
    <t xml:space="preserve">https://www.nasdaq.com/market-activity/stocks/googl/earnings</t>
  </si>
  <si>
    <t xml:space="preserve">S.36</t>
  </si>
  <si>
    <t xml:space="preserve">GOOGL daily close history (Oct 23, 2026 close 320.21)</t>
  </si>
  <si>
    <t xml:space="preserve">https://finance.yahoo.com/quote/GOOGL/history/</t>
  </si>
  <si>
    <t xml:space="preserve">S.37</t>
  </si>
  <si>
    <t xml:space="preserve">MELI consensus EPS by fiscal year (Nasdaq.com earnings forecast, Zacks consensus), saved 2026-10-26</t>
  </si>
  <si>
    <t xml:space="preserve">https://www.nasdaq.com/market-activity/stocks/meli/earnings</t>
  </si>
  <si>
    <t xml:space="preserve">S.38</t>
  </si>
  <si>
    <t xml:space="preserve">MELI daily close history (Oct 23, 2026 close 1810.15)</t>
  </si>
  <si>
    <t xml:space="preserve">https://finance.yahoo.com/quote/MELI/history/</t>
  </si>
  <si>
    <t xml:space="preserve">S.39</t>
  </si>
  <si>
    <t xml:space="preserve">META consensus EPS by fiscal year (Nasdaq.com earnings forecast, Zacks consensus), saved 2026-10-26</t>
  </si>
  <si>
    <t xml:space="preserve">https://www.nasdaq.com/market-activity/stocks/meta/earnings</t>
  </si>
  <si>
    <t xml:space="preserve">S.40</t>
  </si>
  <si>
    <t xml:space="preserve">META daily close history (Oct 23, 2026 close 642.62)</t>
  </si>
  <si>
    <t xml:space="preserve">https://finance.yahoo.com/quote/META/history/</t>
  </si>
  <si>
    <t xml:space="preserve">S.41</t>
  </si>
  <si>
    <t xml:space="preserve">MSFT consensus EPS by fiscal year (Nasdaq.com earnings forecast, Zacks consensus), saved 2026-10-26</t>
  </si>
  <si>
    <t xml:space="preserve">https://www.nasdaq.com/market-activity/stocks/msft/earnings</t>
  </si>
  <si>
    <t xml:space="preserve">S.42</t>
  </si>
  <si>
    <t xml:space="preserve">MSFT daily close history (Oct 23, 2026 close 524.51)</t>
  </si>
  <si>
    <t xml:space="preserve">https://finance.yahoo.com/quote/MSFT/history/</t>
  </si>
  <si>
    <t xml:space="preserve">S.43</t>
  </si>
  <si>
    <t xml:space="preserve">ORCL consensus EPS by fiscal year (Nasdaq.com earnings forecast, Zacks consensus), saved 2026-10-26</t>
  </si>
  <si>
    <t xml:space="preserve">https://www.nasdaq.com/market-activity/stocks/orcl/earnings</t>
  </si>
  <si>
    <t xml:space="preserve">S.44</t>
  </si>
  <si>
    <t xml:space="preserve">ORCL daily close history (Oct 23, 2026 close 126.16)</t>
  </si>
  <si>
    <t xml:space="preserve">https://finance.yahoo.com/quote/ORCL/history/</t>
  </si>
  <si>
    <t xml:space="preserve">S.45</t>
  </si>
  <si>
    <t xml:space="preserve">RDDT consensus EPS by fiscal year (Nasdaq.com earnings forecast, Zacks consensus), saved 2026-10-26</t>
  </si>
  <si>
    <t xml:space="preserve">https://www.nasdaq.com/market-activity/stocks/rddt/earnings</t>
  </si>
  <si>
    <t xml:space="preserve">S.46</t>
  </si>
  <si>
    <t xml:space="preserve">RDDT daily close history (Oct 23, 2026 close 144.25)</t>
  </si>
  <si>
    <t xml:space="preserve">https://finance.yahoo.com/quote/RDDT/history/</t>
  </si>
  <si>
    <t xml:space="preserve">S.47</t>
  </si>
  <si>
    <t xml:space="preserve">SE consensus EPS by fiscal year (Nasdaq.com earnings forecast, Zacks consensus), saved 2026-10-26</t>
  </si>
  <si>
    <t xml:space="preserve">https://www.nasdaq.com/market-activity/stocks/se/earnings</t>
  </si>
  <si>
    <t xml:space="preserve">S.48</t>
  </si>
  <si>
    <t xml:space="preserve">SE daily close history (Oct 23, 2026 close 74.63)</t>
  </si>
  <si>
    <t xml:space="preserve">https://finance.yahoo.com/quote/SE/history/</t>
  </si>
  <si>
    <t xml:space="preserve">S.49</t>
  </si>
  <si>
    <t xml:space="preserve">SHOP consensus EPS by fiscal year (Nasdaq.com earnings forecast, Zacks consensus), saved 2026-10-26</t>
  </si>
  <si>
    <t xml:space="preserve">https://www.nasdaq.com/market-activity/stocks/shop/earnings</t>
  </si>
  <si>
    <t xml:space="preserve">S.50</t>
  </si>
  <si>
    <t xml:space="preserve">SHOP daily close history (Oct 23, 2026 close 168.68)</t>
  </si>
  <si>
    <t xml:space="preserve">https://finance.yahoo.com/quote/SHOP/history/</t>
  </si>
  <si>
    <t xml:space="preserve">S.51</t>
  </si>
  <si>
    <t xml:space="preserve">WMT consensus EPS by fiscal year (Nasdaq.com earnings forecast, Zacks consensus), saved 2026-10-26</t>
  </si>
  <si>
    <t xml:space="preserve">https://www.nasdaq.com/market-activity/stocks/wmt/earnings</t>
  </si>
  <si>
    <t xml:space="preserve">S.52</t>
  </si>
  <si>
    <t xml:space="preserve">WMT daily close history (Oct 23, 2026 close 119.89)</t>
  </si>
  <si>
    <t xml:space="preserve">https://finance.yahoo.com/quote/WMT/history/</t>
  </si>
  <si>
    <t xml:space="preserve">S.53</t>
  </si>
  <si>
    <t xml:space="preserve">Amazon 8-K Ex.99.1 results release 2024-08-01 (net sales and operating income; next-quarter guidance)</t>
  </si>
  <si>
    <t xml:space="preserve">2024-08-01</t>
  </si>
  <si>
    <t xml:space="preserve">https://www.sec.gov/Archives/edgar/data/1018724/000101872424000128/amzn-20240630xex991.htm</t>
  </si>
  <si>
    <t xml:space="preserve">S.54</t>
  </si>
  <si>
    <t xml:space="preserve">Amazon 8-K Ex.99.1 results release 2024-10-31 (net sales and operating income; next-quarter guidance)</t>
  </si>
  <si>
    <t xml:space="preserve">2024-10-31</t>
  </si>
  <si>
    <t xml:space="preserve">https://www.sec.gov/Archives/edgar/data/1018724/000101872424000158/amzn-20240930xex991.htm</t>
  </si>
  <si>
    <t xml:space="preserve">S.55</t>
  </si>
  <si>
    <t xml:space="preserve">Amazon 8-K Ex.99.1 results release 2025-02-06 (net sales and operating income; next-quarter guidance)</t>
  </si>
  <si>
    <t xml:space="preserve">2025-02-06</t>
  </si>
  <si>
    <t xml:space="preserve">https://www.sec.gov/Archives/edgar/data/1018724/000101872425000002/amzn-20241231xex991.htm</t>
  </si>
  <si>
    <t xml:space="preserve">S.56</t>
  </si>
  <si>
    <t xml:space="preserve">Amazon 8-K Ex.99.1 results release 2025-05-01 (net sales and operating income; next-quarter guidance)</t>
  </si>
  <si>
    <t xml:space="preserve">2025-05-01</t>
  </si>
  <si>
    <t xml:space="preserve">https://www.sec.gov/Archives/edgar/data/1018724/000101872425000034/amzn-20250331xex991.htm</t>
  </si>
  <si>
    <t xml:space="preserve">S.57</t>
  </si>
  <si>
    <t xml:space="preserve">Amazon 8-K Ex.99.1 results release 2025-07-31 (net sales and operating income; next-quarter guidance)</t>
  </si>
  <si>
    <t xml:space="preserve">2025-07-31</t>
  </si>
  <si>
    <t xml:space="preserve">https://www.sec.gov/Archives/edgar/data/1018724/000101872425000084/amzn-20250630xex991.htm</t>
  </si>
  <si>
    <t xml:space="preserve">S.58</t>
  </si>
  <si>
    <t xml:space="preserve">Amazon 8-K Ex.99.1 results release 2025-10-30 (net sales and operating income; next-quarter guidance)</t>
  </si>
  <si>
    <t xml:space="preserve">2025-10-30</t>
  </si>
  <si>
    <t xml:space="preserve">https://www.sec.gov/Archives/edgar/data/1018724/000101872425000121/amzn-20250930xex991.htm</t>
  </si>
  <si>
    <t xml:space="preserve">S.59</t>
  </si>
  <si>
    <t xml:space="preserve">Amazon 8-K Ex.99.1 results release 2026-02-05 (net sales and operating income; next-quarter guidance)</t>
  </si>
  <si>
    <t xml:space="preserve">https://www.sec.gov/Archives/edgar/data/1018724/000101872426000002/amzn-20251231xex991.htm</t>
  </si>
  <si>
    <t xml:space="preserve">S.60</t>
  </si>
  <si>
    <t xml:space="preserve">Amazon 8-K Ex.99.1 results release 2026-04-29 (net sales and operating income; next-quarter guidance)</t>
  </si>
  <si>
    <t xml:space="preserve">2026-04-29</t>
  </si>
  <si>
    <t xml:space="preserve">https://www.sec.gov/Archives/edgar/data/1018724/000101872426000012/amzn-20260331xex991.htm</t>
  </si>
  <si>
    <t xml:space="preserve">S.61</t>
  </si>
  <si>
    <t xml:space="preserve">Amazon 8-K Ex.99.1 results release 2026-07-30 (net sales and operating income; next-quarter guidance)</t>
  </si>
  <si>
    <t xml:space="preserve">S.62</t>
  </si>
  <si>
    <t xml:space="preserve">Anthropic, PBC Form S-1 (public), filed 2026-10-26: Notes 9-10 (convertible notes, preferred stock by series), MD&amp;A NPA tables, Initial Public Benefit Issuance, lock-up, Shares Eligible for Future Sale</t>
  </si>
  <si>
    <t xml:space="preserve">https://www.sec.gov/Archives/edgar/data/2130357/000162828026067168/anthropicpbc-sx1.htm</t>
  </si>
  <si>
    <t xml:space="preserve">S.63</t>
  </si>
  <si>
    <t xml:space="preserve">WSJ via Yahoo Finance 2026-10-26: Anthropic targets a debut the week of Nov. 16, raising $100B or more at $1.5T-$2T</t>
  </si>
  <si>
    <t xml:space="preserve">https://finance.yahoo.com/markets/stocks/articles/anthropic-publicly-files-ipo-ant-155552280.html</t>
  </si>
  <si>
    <t xml:space="preserve">S.64</t>
  </si>
  <si>
    <t xml:space="preserve">Amazon 8-K Ex.99.1 Q3 2026 results release (segments, sales by group, cash flow, balance sheet 9/30, Q4 guidance, 2026 capex ~$220B)</t>
  </si>
  <si>
    <t xml:space="preserve">https://www.sec.gov/Archives/edgar/data/0001018724/000101872426000038/amzn-20260930xex991.htm</t>
  </si>
  <si>
    <t xml:space="preserve">S.65</t>
  </si>
  <si>
    <t xml:space="preserve">Amazon 8-K filed 2026-10-29 (items 2.02, 9.01)</t>
  </si>
  <si>
    <t xml:space="preserve">S.66</t>
  </si>
  <si>
    <t xml:space="preserve">Yahoo Finance live blog: Q3 consensus (Bloomberg) EPS $1.97, revenue $202.25B, AWS $45.68B; Q4 consensus sales $244.5B, operating income $32.99B</t>
  </si>
  <si>
    <t xml:space="preserve">https://finance.yahoo.com/markets/stocks/live/amazon-earnings-live-q3-earnings-miss-sends-stock-lower-203345870.html</t>
  </si>
  <si>
    <t xml:space="preserve">S.67</t>
  </si>
  <si>
    <t xml:space="preserve">FN News: LSEG consensus EPS $1.96, revenue $202.31B, AWS $45.29B, advertising $20.82B; reports Jassy projecting AWS growth above 40% in 2027 and 2028</t>
  </si>
  <si>
    <t xml:space="preserve">https://en.fnnews.com/news/202610300602194135</t>
  </si>
  <si>
    <t xml:space="preserve">S.68</t>
  </si>
  <si>
    <t xml:space="preserve">Axios via Yahoo Finance: Amazon shares sink as it spends heavily on AI (AWS backlog $578B vs $496B; 2027 capex 'meaningfully more'; shares -6.5% after hours)</t>
  </si>
  <si>
    <t xml:space="preserve">https://finance.yahoo.com/technology/ai/articles/amazon-shares-sink-spends-heavily-204329843.html</t>
  </si>
  <si>
    <t xml:space="preserve">S.69</t>
  </si>
  <si>
    <t xml:space="preserve">HuggingNews: Amazon projects higher capex in 2027 above $220B pace as AWS backlog hits $578B (AWS growth 'will exceed 40% in both 2027 and 2028')</t>
  </si>
  <si>
    <t xml:space="preserve">https://huggingnews.com/earnings/amazon-projects-higher-capex-in-2027-above-220b-pace-as-aws-backlog-hits-41aeb60e</t>
  </si>
  <si>
    <t xml:space="preserve">S.70</t>
  </si>
  <si>
    <t xml:space="preserve">Amazon 8-K 2026-07-09: $25.0B notes (floating 2029; 4.600% 2029 to 6.250% 2066)</t>
  </si>
  <si>
    <t xml:space="preserve">2026-07-09</t>
  </si>
  <si>
    <t xml:space="preserve">https://www.sec.gov/Archives/edgar/data/0001018724/000110465926082293/tm2619352d4_8k.htm</t>
  </si>
  <si>
    <t xml:space="preserve">S.71</t>
  </si>
  <si>
    <t xml:space="preserve">Reuters via The Daily Guardian: Amazon set to raise GBP 4 billion ($5.43B) in first sterling bond sale</t>
  </si>
  <si>
    <t xml:space="preserve">https://thedailyguardian.com/business/amazon-set-to-raise-over-5-billion-in-first-sterling-bond-sale-lead-managers-say-755559/</t>
  </si>
  <si>
    <t xml:space="preserve">S.72</t>
  </si>
  <si>
    <t xml:space="preserve">Rallies.ai: Amazon raises ~$54B in bonds (about $37B USD in 11 tranches + EUR 14.5B), March 10-11, 2026</t>
  </si>
  <si>
    <t xml:space="preserve">2026-03-17</t>
  </si>
  <si>
    <t xml:space="preserve">https://rallies.ai/news/amazon-raises-54-billion-in-bonds-bofa-sees-hyperscaler-debt-at-175-billion-in-2026</t>
  </si>
  <si>
    <t xml:space="preserve">S.73</t>
  </si>
  <si>
    <t xml:space="preserve">BNN Bloomberg: Amazon issues record C$14 billion Canadian-dollar bond deal</t>
  </si>
  <si>
    <t xml:space="preserve">2026-06-09</t>
  </si>
  <si>
    <t xml:space="preserve">https://www.bnnbloomberg.ca/investing/2026/06/09/amazon-issues-record-setting-canadian-dollar-denominated-corporate-bond-deal/</t>
  </si>
  <si>
    <t xml:space="preserve">S.74</t>
  </si>
  <si>
    <t xml:space="preserve">The Next Platform: Amazon Q4-24 capex $26.3B 'reasonably representative' of the 2025 rate (~$105B first 2025 capex guide)</t>
  </si>
  <si>
    <t xml:space="preserve">2025-02-07</t>
  </si>
  <si>
    <t xml:space="preserve">https://www.nextplatform.com/2025/02/07/amazon-will-spend-nearly-a-year-of-aws-revenue-on-ai-investments/</t>
  </si>
  <si>
    <t xml:space="preserve">S.75</t>
  </si>
  <si>
    <t xml:space="preserve">Pre-print log 'AMZN 2026-10-29': straddle implied move 8.07% (spot 252.0, 2026-10-30 expiry)</t>
  </si>
  <si>
    <t xml:space="preserve">2026-10-28</t>
  </si>
  <si>
    <t xml:space="preserve">file:///mnt/project-files/valuation/data/preprint_log.json</t>
  </si>
  <si>
    <t xml:space="preserve">S.76</t>
  </si>
  <si>
    <t xml:space="preserve">Twelve Data AMZN quote 2026-10-29: close 243.79 (-4.25%), extended-hours 227.60 (-6.64%)</t>
  </si>
  <si>
    <t xml:space="preserve">Twelve Data API get_quote AMZN with extended hours (not a web page; pulled 2026-10-29 ~22:28Z)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</si>
</sst>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;&quot;($&quot;#,##0.00\);\-"/>
    <numFmt numFmtId="166" formatCode="0.0%;\(0.0%\);\-"/>
    <numFmt numFmtId="167" formatCode="0"/>
    <numFmt numFmtId="168" formatCode="0.0000"/>
    <numFmt numFmtId="169" formatCode="0.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10"/>
      <color rgb="FF6B6B6B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u val="singl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5E7EB"/>
        <bgColor rgb="FFEAF3EA"/>
      </patternFill>
    </fill>
    <fill>
      <patternFill patternType="solid">
        <fgColor rgb="FFFFFF00"/>
        <bgColor rgb="FFFFFF00"/>
      </patternFill>
    </fill>
    <fill>
      <patternFill patternType="solid">
        <fgColor rgb="FFEAF3EA"/>
        <bgColor rgb="FFE5E7EB"/>
      </patternFill>
    </fill>
    <fill>
      <patternFill patternType="solid">
        <fgColor rgb="FF1F29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8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7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AF3EA"/>
      <rgbColor rgb="FFE5E7EB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www.sec.gov/Archives/edgar/data/0001018724/000101872426000024/amzn-20260630xex991.htm" TargetMode="External"/><Relationship Id="rId2" Type="http://schemas.openxmlformats.org/officeDocument/2006/relationships/hyperlink" Target="https://www.sec.gov/Archives/edgar/data/1018724/000101872426000026/amzn-20260630.htm" TargetMode="External"/><Relationship Id="rId3" Type="http://schemas.openxmlformats.org/officeDocument/2006/relationships/hyperlink" Target="https://www.investing.com/news/transcripts/earnings-call-transcript-amazon-tops-q2-2026-estimates-as-aws-growth-accelerates-93CH-4826442" TargetMode="External"/><Relationship Id="rId4" Type="http://schemas.openxmlformats.org/officeDocument/2006/relationships/hyperlink" Target="https://www.sec.gov/Archives/edgar/data/1018724/000110465926106322/tm2624614d4_fwp.htm" TargetMode="External"/><Relationship Id="rId5" Type="http://schemas.openxmlformats.org/officeDocument/2006/relationships/hyperlink" Target="https://www.sec.gov/Archives/edgar/data/1018724/000110465926107526/tm2624614d5_8k.htm" TargetMode="External"/><Relationship Id="rId6" Type="http://schemas.openxmlformats.org/officeDocument/2006/relationships/hyperlink" Target="https://www.sec.gov/Archives/edgar/data/1018724/000110465926110227/tm2625860d1_8a12b.htm" TargetMode="External"/><Relationship Id="rId7" Type="http://schemas.openxmlformats.org/officeDocument/2006/relationships/hyperlink" Target="https://www.sec.gov/Archives/edgar/data/1018724/000101872426000036/amzn-20260908.htm" TargetMode="External"/><Relationship Id="rId8" Type="http://schemas.openxmlformats.org/officeDocument/2006/relationships/hyperlink" Target="https://www.sec.gov/Archives/edgar/data/1018724/000193600626000026/xslF345X06/wk-form4_1791230893.xml" TargetMode="External"/><Relationship Id="rId9" Type="http://schemas.openxmlformats.org/officeDocument/2006/relationships/hyperlink" Target="https://data.sec.gov/submissions/CIK0001018724.json" TargetMode="External"/><Relationship Id="rId10" Type="http://schemas.openxmlformats.org/officeDocument/2006/relationships/hyperlink" Target="https://press.aboutamazon.com/" TargetMode="External"/><Relationship Id="rId11" Type="http://schemas.openxmlformats.org/officeDocument/2006/relationships/hyperlink" Target="https://www.aboutamazon.com/news/retail/amazon-prime-big-deals-day-2026-when-october-6-7" TargetMode="External"/><Relationship Id="rId12" Type="http://schemas.openxmlformats.org/officeDocument/2006/relationships/hyperlink" Target="https://www.ftc.gov/news-events/news/press-releases/2026/08/ftc-states-sue-amazon-over-secret-ad-surcharge-scheme" TargetMode="External"/><Relationship Id="rId13" Type="http://schemas.openxmlformats.org/officeDocument/2006/relationships/hyperlink" Target="https://www.mlex.com/mlex/antitrust/articles/2422758/us-ftc-amazon-antitrust-trial-pushed-back-to-march-2027" TargetMode="External"/><Relationship Id="rId14" Type="http://schemas.openxmlformats.org/officeDocument/2006/relationships/hyperlink" Target="https://stockanalysis.com/stocks/amzn/forecast/" TargetMode="External"/><Relationship Id="rId15" Type="http://schemas.openxmlformats.org/officeDocument/2006/relationships/hyperlink" Target="https://finance.yahoo.com/quote/AMZN/analysis/" TargetMode="External"/><Relationship Id="rId16" Type="http://schemas.openxmlformats.org/officeDocument/2006/relationships/hyperlink" Target="https://www.marketscreener.com/quote/stock/AMAZON-COM-INC-12864605/finances/" TargetMode="External"/><Relationship Id="rId17" Type="http://schemas.openxmlformats.org/officeDocument/2006/relationships/hyperlink" Target="https://www.marketscreener.com/quote/stock/AMAZON-COM-INC-12864605/valuation/" TargetMode="External"/><Relationship Id="rId18" Type="http://schemas.openxmlformats.org/officeDocument/2006/relationships/hyperlink" Target="https://www.marketscreener.com/quote/stock/MICROSOFT-CORPORATION-4835/valuation/" TargetMode="External"/><Relationship Id="rId19" Type="http://schemas.openxmlformats.org/officeDocument/2006/relationships/hyperlink" Target="https://www.marketscreener.com/quote/stock/ALPHABET-INC-24203373/valuation/" TargetMode="External"/><Relationship Id="rId20" Type="http://schemas.openxmlformats.org/officeDocument/2006/relationships/hyperlink" Target="https://www.marketscreener.com/quote/stock/META-PLATFORMS-INC-10547141/valuation/" TargetMode="External"/><Relationship Id="rId21" Type="http://schemas.openxmlformats.org/officeDocument/2006/relationships/hyperlink" Target="https://www.marketscreener.com/quote/stock/ORACLE-CORPORATION-13620698/valuation/" TargetMode="External"/><Relationship Id="rId22" Type="http://schemas.openxmlformats.org/officeDocument/2006/relationships/hyperlink" Target="https://www.marketscreener.com/quote/stock/WALMART-INC-4841/valuation/" TargetMode="External"/><Relationship Id="rId23" Type="http://schemas.openxmlformats.org/officeDocument/2006/relationships/hyperlink" Target="https://www.marketscreener.com/quote/stock/COSTCO-WHOLESALE-CORPORAT-4866/valuation/" TargetMode="External"/><Relationship Id="rId24" Type="http://schemas.openxmlformats.org/officeDocument/2006/relationships/hyperlink" Target="https://www.marketscreener.com/quote/stock/MERCADOLIBRE-INC-58469/valuation/" TargetMode="External"/><Relationship Id="rId25" Type="http://schemas.openxmlformats.org/officeDocument/2006/relationships/hyperlink" Target="https://www.marketscreener.com/quote/stock/SHOPIFY-INC-22283351/valuation/" TargetMode="External"/><Relationship Id="rId26" Type="http://schemas.openxmlformats.org/officeDocument/2006/relationships/hyperlink" Target="https://www.marketscreener.com/quote/stock/SEA-LIMITED-38150303/valuation/" TargetMode="External"/><Relationship Id="rId27" Type="http://schemas.openxmlformats.org/officeDocument/2006/relationships/hyperlink" Target="https://www.marketscreener.com/quote/stock/COUPANG-INC-119962175/valuation/" TargetMode="External"/><Relationship Id="rId28" Type="http://schemas.openxmlformats.org/officeDocument/2006/relationships/hyperlink" Target="https://www.marketscreener.com/quote/stock/ALIBABA-GROUP-HOLDING-LIM-17916677/valuation/" TargetMode="External"/><Relationship Id="rId29" Type="http://schemas.openxmlformats.org/officeDocument/2006/relationships/hyperlink" Target="https://www.riotimesonline.com/global-economy-briefing-october-6-2026/" TargetMode="External"/><Relationship Id="rId30" Type="http://schemas.openxmlformats.org/officeDocument/2006/relationships/hyperlink" Target="https://www.trefis.com/stock/amzn/articles/617445/the-dates-that-matter-most-for-amazon-stock/2026-10-02" TargetMode="External"/><Relationship Id="rId31" Type="http://schemas.openxmlformats.org/officeDocument/2006/relationships/hyperlink" Target="https://twelvedata.com/" TargetMode="External"/><Relationship Id="rId32" Type="http://schemas.openxmlformats.org/officeDocument/2006/relationships/hyperlink" Target="https://fred.stlouisfed.org/data/DGS10.txt" TargetMode="External"/><Relationship Id="rId33" Type="http://schemas.openxmlformats.org/officeDocument/2006/relationships/hyperlink" Target="https://www.sec.gov/Archives/edgar/data/0001018724/000101872426000024/amzn-20260630xex991.htm" TargetMode="External"/><Relationship Id="rId34" Type="http://schemas.openxmlformats.org/officeDocument/2006/relationships/hyperlink" Target="https://www.sec.gov/Archives/edgar/data/1018724/000101872426000026/amzn-20260630.htm" TargetMode="External"/><Relationship Id="rId35" Type="http://schemas.openxmlformats.org/officeDocument/2006/relationships/hyperlink" Target="https://finance.yahoo.com/quote/AMZN/analysis/" TargetMode="External"/><Relationship Id="rId36" Type="http://schemas.openxmlformats.org/officeDocument/2006/relationships/hyperlink" Target="https://stockanalysis.com/stocks/amzn/forecast/" TargetMode="External"/><Relationship Id="rId37" Type="http://schemas.openxmlformats.org/officeDocument/2006/relationships/hyperlink" Target="https://stockanalysis.com/stocks/amzn/statistics/" TargetMode="External"/><Relationship Id="rId38" Type="http://schemas.openxmlformats.org/officeDocument/2006/relationships/hyperlink" Target="https://www.marketscreener.com/quote/stock/AMAZON-COM-INC-12864605/finances/" TargetMode="External"/><Relationship Id="rId39" Type="http://schemas.openxmlformats.org/officeDocument/2006/relationships/hyperlink" Target="https://www.marketscreener.com/quote/stock/MICROSOFT-CORPORATION-4835/finances/" TargetMode="External"/><Relationship Id="rId40" Type="http://schemas.openxmlformats.org/officeDocument/2006/relationships/hyperlink" Target="https://www.marketscreener.com/quote/stock/ALPHABET-INC-24203373/finances/" TargetMode="External"/><Relationship Id="rId41" Type="http://schemas.openxmlformats.org/officeDocument/2006/relationships/hyperlink" Target="https://www.marketscreener.com/quote/stock/META-PLATFORMS-INC-10547141/finances/" TargetMode="External"/><Relationship Id="rId42" Type="http://schemas.openxmlformats.org/officeDocument/2006/relationships/hyperlink" Target="https://www.marketscreener.com/quote/stock/ORACLE-CORPORATION-13620698/finances/" TargetMode="External"/><Relationship Id="rId43" Type="http://schemas.openxmlformats.org/officeDocument/2006/relationships/hyperlink" Target="https://www.marketscreener.com/quote/stock/WALMART-INC-4841/finances/" TargetMode="External"/><Relationship Id="rId44" Type="http://schemas.openxmlformats.org/officeDocument/2006/relationships/hyperlink" Target="https://www.marketscreener.com/quote/stock/COSTCO-WHOLESALE-CORPORAT-4866/finances/" TargetMode="External"/><Relationship Id="rId45" Type="http://schemas.openxmlformats.org/officeDocument/2006/relationships/hyperlink" Target="https://www.marketscreener.com/quote/stock/MERCADOLIBRE-INC-58469/finances/" TargetMode="External"/><Relationship Id="rId46" Type="http://schemas.openxmlformats.org/officeDocument/2006/relationships/hyperlink" Target="https://www.marketscreener.com/quote/stock/SHOPIFY-INC-22283351/finances/" TargetMode="External"/><Relationship Id="rId47" Type="http://schemas.openxmlformats.org/officeDocument/2006/relationships/hyperlink" Target="https://www.marketscreener.com/quote/stock/ALIBABA-GROUP-HOLDING-LIM-17916677/finances/" TargetMode="External"/><Relationship Id="rId48" Type="http://schemas.openxmlformats.org/officeDocument/2006/relationships/hyperlink" Target="https://www.marketscreener.com/quote/stock/PDD-HOLDINGS-INC-45049866/finances/" TargetMode="External"/><Relationship Id="rId49" Type="http://schemas.openxmlformats.org/officeDocument/2006/relationships/hyperlink" Target="https://aws.amazon.com/ec2/capacityblocks/pricing/" TargetMode="External"/><Relationship Id="rId50" Type="http://schemas.openxmlformats.org/officeDocument/2006/relationships/hyperlink" Target="https://finance.yahoo.com/technology/ai/articles/amazon-hiking-ai-chip-rental-122155988.html" TargetMode="External"/><Relationship Id="rId51" Type="http://schemas.openxmlformats.org/officeDocument/2006/relationships/hyperlink" Target="https://www.thestar.com.my/tech/tech-news/2026/10/02/amazon-seeks-to-offload-8-billion-of-nvidia-chips-to-investors-ft-reports" TargetMode="External"/><Relationship Id="rId52" Type="http://schemas.openxmlformats.org/officeDocument/2006/relationships/hyperlink" Target="https://finviz.com/news/397190/synopsys-and-amazon-sign-multi-year-silicon-ip-agreement-valued-at-more-than-1-billion" TargetMode="External"/><Relationship Id="rId53" Type="http://schemas.openxmlformats.org/officeDocument/2006/relationships/hyperlink" Target="https://www.sec.gov/Archives/edgar/data/0000723125/000072312526000018/a2026q4ex991-pressrelease.htm" TargetMode="External"/><Relationship Id="rId54" Type="http://schemas.openxmlformats.org/officeDocument/2006/relationships/hyperlink" Target="https://getdeploying.com/gpu-price-index" TargetMode="External"/><Relationship Id="rId55" Type="http://schemas.openxmlformats.org/officeDocument/2006/relationships/hyperlink" Target="https://www.srgresearch.com/articles/q2-cloud-market-passes-143-billion-highest-growth-rate-in-eight-years" TargetMode="External"/><Relationship Id="rId56" Type="http://schemas.openxmlformats.org/officeDocument/2006/relationships/hyperlink" Target="https://www.digitalcommerce360.com/2026/09/29/adobe-projection-2026-online-holiday-sales-275-billion/amp/" TargetMode="External"/><Relationship Id="rId57" Type="http://schemas.openxmlformats.org/officeDocument/2006/relationships/hyperlink" Target="https://www.aboutamazon.com/news/retail/amazon-prime-big-deals-day-2026-when-october-6-7" TargetMode="External"/><Relationship Id="rId58" Type="http://schemas.openxmlformats.org/officeDocument/2006/relationships/hyperlink" Target="https://twelvedata.com/" TargetMode="External"/><Relationship Id="rId59" Type="http://schemas.openxmlformats.org/officeDocument/2006/relationships/hyperlink" Target="https://www.trefis.com/stock/amzn/articles/617445/the-dates-that-matter-most-for-amazon-stock/2026-10-02" TargetMode="External"/><Relationship Id="rId60" Type="http://schemas.openxmlformats.org/officeDocument/2006/relationships/hyperlink" Target="https://www.federalreserve.gov/newsevents/pressreleases/monetary20260916a1.htm" TargetMode="External"/><Relationship Id="rId61" Type="http://schemas.openxmlformats.org/officeDocument/2006/relationships/hyperlink" Target="https://www.mlex.com/mlex/antitrust/articles/2422758/us-ftc-amazon-antitrust-trial-pushed-back-to-march-2027" TargetMode="External"/><Relationship Id="rId62" Type="http://schemas.openxmlformats.org/officeDocument/2006/relationships/hyperlink" Target="https://stockanalysis.com/stocks/amzn/history/" TargetMode="External"/><Relationship Id="rId63" Type="http://schemas.openxmlformats.org/officeDocument/2006/relationships/hyperlink" Target="https://data.sec.gov/submissions/CIK0001018724.json" TargetMode="External"/><Relationship Id="rId64" Type="http://schemas.openxmlformats.org/officeDocument/2006/relationships/hyperlink" Target="https://www.sec.gov/Archives/edgar/data/1018724/000101872426000024/amzn-20260630xex991.htm" TargetMode="External"/><Relationship Id="rId65" Type="http://schemas.openxmlformats.org/officeDocument/2006/relationships/hyperlink" Target="https://www.sec.gov/Archives/edgar/data/1018724/000101872426000026/amzn-20260630.htm" TargetMode="External"/><Relationship Id="rId66" Type="http://schemas.openxmlformats.org/officeDocument/2006/relationships/hyperlink" Target="https://www.sec.gov/Archives/edgar/data/1018724/000101872426000004/amzn-20251231.htm" TargetMode="External"/><Relationship Id="rId67" Type="http://schemas.openxmlformats.org/officeDocument/2006/relationships/hyperlink" Target="https://www.theglobeandmail.com/investing/markets/stocks/AMZN/pressreleases/3730734/amazon-amzn-q2-2026-earnings-call-transcript/" TargetMode="External"/><Relationship Id="rId68" Type="http://schemas.openxmlformats.org/officeDocument/2006/relationships/hyperlink" Target="https://www.sec.gov/Archives/edgar/data/1018724/000110465926027125/tm266670-4_424b5.htm" TargetMode="External"/><Relationship Id="rId69" Type="http://schemas.openxmlformats.org/officeDocument/2006/relationships/hyperlink" Target="https://www.sec.gov/Archives/edgar/data/1018724/000110465926027669/tm266670-6_424b5.htm" TargetMode="External"/><Relationship Id="rId70" Type="http://schemas.openxmlformats.org/officeDocument/2006/relationships/hyperlink" Target="https://www.sec.gov/Archives/edgar/data/1018724/000110465926072332/tm2613616-2_424b5.htm" TargetMode="External"/><Relationship Id="rId71" Type="http://schemas.openxmlformats.org/officeDocument/2006/relationships/hyperlink" Target="https://www.sec.gov/Archives/edgar/data/1018724/000110465926072140/tm2613616d4_8k.htm" TargetMode="External"/><Relationship Id="rId72" Type="http://schemas.openxmlformats.org/officeDocument/2006/relationships/hyperlink" Target="https://www.sec.gov/Archives/edgar/data/1018724/000110465926081786/tm2619352-2_424b5.htm" TargetMode="External"/><Relationship Id="rId73" Type="http://schemas.openxmlformats.org/officeDocument/2006/relationships/hyperlink" Target="https://www.sec.gov/Archives/edgar/data/1018724/000110465926107122/tm2624614-3_424b5.htm" TargetMode="External"/><Relationship Id="rId74" Type="http://schemas.openxmlformats.org/officeDocument/2006/relationships/hyperlink" Target="https://www.sec.gov/Archives/edgar/data/1018724/000110465926021050/tm267374d1_8k.htm" TargetMode="External"/><Relationship Id="rId75" Type="http://schemas.openxmlformats.org/officeDocument/2006/relationships/hyperlink" Target="https://finviz.com/news/319252/amazon-amzn-navigates-investment-cycle-and-strategic-developments" TargetMode="External"/><Relationship Id="rId76" Type="http://schemas.openxmlformats.org/officeDocument/2006/relationships/hyperlink" Target="https://www.itiger.com/news/1145150869" TargetMode="External"/><Relationship Id="rId77" Type="http://schemas.openxmlformats.org/officeDocument/2006/relationships/hyperlink" Target="https://thenextweb.com/news/amazon-17-5-billion-loan-citigroup-ai-spending" TargetMode="External"/><Relationship Id="rId78" Type="http://schemas.openxmlformats.org/officeDocument/2006/relationships/hyperlink" Target="https://insight.factset.com/hyperscalers-tap-external-financing-as-ai-capex-outruns-cash-flow" TargetMode="External"/><Relationship Id="rId79" Type="http://schemas.openxmlformats.org/officeDocument/2006/relationships/hyperlink" Target="https://finance.yahoo.com/news/da-davidson-thinks-amazon-com-114152031.html" TargetMode="External"/><Relationship Id="rId80" Type="http://schemas.openxmlformats.org/officeDocument/2006/relationships/hyperlink" Target="https://www.fxempire.com/news/article/amazon-plunges-9-after-hours-as-200b-spending-plan-shocks-wall-street-investors-1577677" TargetMode="External"/><Relationship Id="rId81" Type="http://schemas.openxmlformats.org/officeDocument/2006/relationships/hyperlink" Target="https://fortune.com/2025/12/17/amazon-openai-deal-trainium-chips-ai-charles-fitzgerald-anshel-sag/" TargetMode="External"/><Relationship Id="rId82" Type="http://schemas.openxmlformats.org/officeDocument/2006/relationships/hyperlink" Target="https://techstrong.ai/features/tech-investor-michael-burry-alleges-accounting-irregularities-at-hyperscalers-in-pursuit-of-ai-boom/" TargetMode="External"/><Relationship Id="rId83" Type="http://schemas.openxmlformats.org/officeDocument/2006/relationships/hyperlink" Target="https://davefriedman.substack.com/p/the-176-billion-accounting-question" TargetMode="External"/><Relationship Id="rId84" Type="http://schemas.openxmlformats.org/officeDocument/2006/relationships/hyperlink" Target="https://www.home.saxo/content/articles/equities/big-short-12112025" TargetMode="External"/><Relationship Id="rId85" Type="http://schemas.openxmlformats.org/officeDocument/2006/relationships/hyperlink" Target="https://finance.yahoo.com/news/ai-coming-trillion-dollar-hangover-150642244.html" TargetMode="External"/><Relationship Id="rId86" Type="http://schemas.openxmlformats.org/officeDocument/2006/relationships/hyperlink" Target="https://www.mlex.com/mlex/articles/2422758" TargetMode="External"/><Relationship Id="rId87" Type="http://schemas.openxmlformats.org/officeDocument/2006/relationships/hyperlink" Target="https://www.mlex.com/mlex/antitrust/articles/2526407" TargetMode="External"/><Relationship Id="rId88" Type="http://schemas.openxmlformats.org/officeDocument/2006/relationships/hyperlink" Target="https://www.ftc.gov/news-events/news/press-releases/2025/09/ftc-secures-historic-25-billion-settlement-against-amazon" TargetMode="External"/><Relationship Id="rId89" Type="http://schemas.openxmlformats.org/officeDocument/2006/relationships/hyperlink" Target="https://www.businessinsurance.com/amazon-defeats-shareholder-lawsuit-over-third-party-sellers-capacity-expansion/" TargetMode="External"/><Relationship Id="rId90" Type="http://schemas.openxmlformats.org/officeDocument/2006/relationships/hyperlink" Target="https://www.sec.gov/Archives/edgar/data/1018724/000137454526000006/wk-form4_1778100121.xml" TargetMode="External"/><Relationship Id="rId91" Type="http://schemas.openxmlformats.org/officeDocument/2006/relationships/hyperlink" Target="https://www.sec.gov/Archives/edgar/data/1018724/000137454526000010/wk-form4_1787692115.xml" TargetMode="External"/><Relationship Id="rId92" Type="http://schemas.openxmlformats.org/officeDocument/2006/relationships/hyperlink" Target="https://www.sec.gov/Archives/edgar/data/1018724/000195917326006313/primary_doc.xml" TargetMode="External"/><Relationship Id="rId93" Type="http://schemas.openxmlformats.org/officeDocument/2006/relationships/hyperlink" Target="https://www.sec.gov/Archives/edgar/data/1018724/000104329826000002/wk-form4_1787862279.xml" TargetMode="External"/><Relationship Id="rId94" Type="http://schemas.openxmlformats.org/officeDocument/2006/relationships/hyperlink" Target="https://www.sec.gov/Archives/edgar/data/1018724/000195004726008794/primary_doc.xml" TargetMode="External"/><Relationship Id="rId95" Type="http://schemas.openxmlformats.org/officeDocument/2006/relationships/hyperlink" Target="https://www.sec.gov/Archives/edgar/data/1018724/000193600626000026/wk-form4_1791230893.xml" TargetMode="External"/><Relationship Id="rId96" Type="http://schemas.openxmlformats.org/officeDocument/2006/relationships/hyperlink" Target="https://anthropic.com/news/google-broadcom-partnership-compute" TargetMode="External"/><Relationship Id="rId97" Type="http://schemas.openxmlformats.org/officeDocument/2006/relationships/hyperlink" Target="https://www.marketscreener.com/quote/stock/AMAZON-COM-INC-12864605/finances/" TargetMode="External"/><Relationship Id="rId98" Type="http://schemas.openxmlformats.org/officeDocument/2006/relationships/hyperlink" Target="https://www.marketscreener.com/quote/stock/AMAZON-COM-INC-12864605/valuation/" TargetMode="External"/><Relationship Id="rId99" Type="http://schemas.openxmlformats.org/officeDocument/2006/relationships/hyperlink" Target="https://www.marketscreener.com/quote/stock/MICROSOFT-CORPORATION-4835/valuation/" TargetMode="External"/><Relationship Id="rId100" Type="http://schemas.openxmlformats.org/officeDocument/2006/relationships/hyperlink" Target="https://www.marketscreener.com/quote/stock/ALPHABET-INC-24203373/valuation/" TargetMode="External"/><Relationship Id="rId101" Type="http://schemas.openxmlformats.org/officeDocument/2006/relationships/hyperlink" Target="https://www.marketscreener.com/quote/stock/META-PLATFORMS-INC-10547141/valuation/" TargetMode="External"/><Relationship Id="rId102" Type="http://schemas.openxmlformats.org/officeDocument/2006/relationships/hyperlink" Target="https://www.marketscreener.com/quote/stock/ORACLE-CORPORATION-13620698/valuation/" TargetMode="External"/><Relationship Id="rId103" Type="http://schemas.openxmlformats.org/officeDocument/2006/relationships/hyperlink" Target="https://www.marketscreener.com/quote/stock/WALMART-INC-4841/valuation/" TargetMode="External"/><Relationship Id="rId104" Type="http://schemas.openxmlformats.org/officeDocument/2006/relationships/hyperlink" Target="https://www.marketscreener.com/quote/stock/COSTCO-WHOLESALE-CORPORAT-4866/valuation/" TargetMode="External"/><Relationship Id="rId105" Type="http://schemas.openxmlformats.org/officeDocument/2006/relationships/hyperlink" Target="https://www.marketscreener.com/quote/stock/MERCADOLIBRE-INC-58469/valuation/" TargetMode="External"/><Relationship Id="rId106" Type="http://schemas.openxmlformats.org/officeDocument/2006/relationships/hyperlink" Target="https://www.marketscreener.com/quote/stock/SHOPIFY-INC-22283351/valuation/" TargetMode="External"/><Relationship Id="rId107" Type="http://schemas.openxmlformats.org/officeDocument/2006/relationships/hyperlink" Target="https://www.marketscreener.com/quote/stock/ALIBABA-GROUP-HOLDING-LIM-17916677/valuation/" TargetMode="External"/><Relationship Id="rId108" Type="http://schemas.openxmlformats.org/officeDocument/2006/relationships/hyperlink" Target="https://www.marketscreener.com/quote/stock/COUPANG-INC-119962175/valuation/" TargetMode="External"/><Relationship Id="rId109" Type="http://schemas.openxmlformats.org/officeDocument/2006/relationships/hyperlink" Target="https://www.marketscreener.com/quote/stock/SEA-LIMITED-38150303/valuation/" TargetMode="External"/><Relationship Id="rId110" Type="http://schemas.openxmlformats.org/officeDocument/2006/relationships/hyperlink" Target="https://www.marketscreener.com/quote/stock/PDD-HOLDINGS-INC-45049866/valuation/" TargetMode="External"/><Relationship Id="rId111" Type="http://schemas.openxmlformats.org/officeDocument/2006/relationships/hyperlink" Target="https://fred.stlouisfed.org/series/DGS10" TargetMode="External"/><Relationship Id="rId112" Type="http://schemas.openxmlformats.org/officeDocument/2006/relationships/hyperlink" Target="https://pages.stern.nyu.edu/~adamodar/New_Home_Page/home.htm" TargetMode="External"/><Relationship Id="rId113" Type="http://schemas.openxmlformats.org/officeDocument/2006/relationships/hyperlink" Target="https://twelvedata.com/stocks/AMZN" TargetMode="External"/><Relationship Id="rId114" Type="http://schemas.openxmlformats.org/officeDocument/2006/relationships/hyperlink" Target="https://twelvedata.com/stocks/AMZN" TargetMode="External"/><Relationship Id="rId115" Type="http://schemas.openxmlformats.org/officeDocument/2006/relationships/hyperlink" Target="https://www.sec.gov/Archives/edgar/data/1018724/000101872426000026/amzn-20260630.htm" TargetMode="External"/><Relationship Id="rId116" Type="http://schemas.openxmlformats.org/officeDocument/2006/relationships/hyperlink" Target="https://www.sec.gov/Archives/edgar/data/1018724/000101872426000024/amzn-20260630xex991.htm" TargetMode="External"/><Relationship Id="rId117" Type="http://schemas.openxmlformats.org/officeDocument/2006/relationships/hyperlink" Target="https://data.sec.gov/submissions/CIK0001018724.json" TargetMode="External"/><Relationship Id="rId118" Type="http://schemas.openxmlformats.org/officeDocument/2006/relationships/hyperlink" Target="https://www.marketscreener.com/quote/stock/AMAZON-COM-INC-12864605/finances/" TargetMode="External"/><Relationship Id="rId119" Type="http://schemas.openxmlformats.org/officeDocument/2006/relationships/hyperlink" Target="https://finance.yahoo.com/quote/AMZN/analysis/" TargetMode="External"/><Relationship Id="rId120" Type="http://schemas.openxmlformats.org/officeDocument/2006/relationships/hyperlink" Target="https://www.marketscreener.com/quote/stock/MICROSOFT-CORPORATION-4835/finances/" TargetMode="External"/><Relationship Id="rId121" Type="http://schemas.openxmlformats.org/officeDocument/2006/relationships/hyperlink" Target="https://www.marketscreener.com/quote/stock/ALPHABET-INC-24203373/finances/" TargetMode="External"/><Relationship Id="rId122" Type="http://schemas.openxmlformats.org/officeDocument/2006/relationships/hyperlink" Target="https://www.marketscreener.com/quote/stock/META-PLATFORMS-INC-10547141/finances/" TargetMode="External"/><Relationship Id="rId123" Type="http://schemas.openxmlformats.org/officeDocument/2006/relationships/hyperlink" Target="https://www.marketscreener.com/quote/stock/ORACLE-CORPORATION-13620698/finances/" TargetMode="External"/><Relationship Id="rId124" Type="http://schemas.openxmlformats.org/officeDocument/2006/relationships/hyperlink" Target="https://www.marketscreener.com/quote/stock/WALMART-INC-4841/finances/" TargetMode="External"/><Relationship Id="rId125" Type="http://schemas.openxmlformats.org/officeDocument/2006/relationships/hyperlink" Target="https://www.marketscreener.com/quote/stock/COSTCO-WHOLESALE-CORPORAT-4866/finances/" TargetMode="External"/><Relationship Id="rId126" Type="http://schemas.openxmlformats.org/officeDocument/2006/relationships/hyperlink" Target="https://www.marketscreener.com/quote/stock/MERCADOLIBRE-INC-58469/finances/" TargetMode="External"/><Relationship Id="rId127" Type="http://schemas.openxmlformats.org/officeDocument/2006/relationships/hyperlink" Target="https://www.marketscreener.com/quote/stock/SEA-LIMITED-38150303/finances/" TargetMode="External"/><Relationship Id="rId128" Type="http://schemas.openxmlformats.org/officeDocument/2006/relationships/hyperlink" Target="https://www.marketscreener.com/quote/stock/SHOPIFY-INC-22283351/finances/" TargetMode="External"/><Relationship Id="rId129" Type="http://schemas.openxmlformats.org/officeDocument/2006/relationships/hyperlink" Target="https://www.marketscreener.com/quote/stock/ALIBABA-GROUP-HOLDING-LIM-17916677/finances/" TargetMode="External"/><Relationship Id="rId130" Type="http://schemas.openxmlformats.org/officeDocument/2006/relationships/hyperlink" Target="https://www.marketscreener.com/quote/stock/PDD-HOLDINGS-INC-45049866/finances/" TargetMode="External"/><Relationship Id="rId131" Type="http://schemas.openxmlformats.org/officeDocument/2006/relationships/hyperlink" Target="https://fred.stlouisfed.org/series/DGS10" TargetMode="External"/><Relationship Id="rId132" Type="http://schemas.openxmlformats.org/officeDocument/2006/relationships/hyperlink" Target="https://www.federalreserve.gov/newsevents/pressreleases/monetary20260916a1.htm" TargetMode="External"/><Relationship Id="rId133" Type="http://schemas.openxmlformats.org/officeDocument/2006/relationships/hyperlink" Target="https://www.federalreserve.gov/monetarypolicy/fomccalendars.htm" TargetMode="External"/><Relationship Id="rId134" Type="http://schemas.openxmlformats.org/officeDocument/2006/relationships/hyperlink" Target="https://www.sec.gov/Archives/edgar/data/1018724/000101872426000038/amzn-20261029.htm" TargetMode="External"/><Relationship Id="rId135" Type="http://schemas.openxmlformats.org/officeDocument/2006/relationships/hyperlink" Target="https://aws.amazon.com/ec2/capacityblocks/pricing/" TargetMode="External"/><Relationship Id="rId136" Type="http://schemas.openxmlformats.org/officeDocument/2006/relationships/hyperlink" Target="https://www.thestar.com.my/tech/tech-news/2026/10/02/amazon-seeks-to-offload-8-billion-of-nvidia-chips-to-investors-ft-reports" TargetMode="External"/><Relationship Id="rId137" Type="http://schemas.openxmlformats.org/officeDocument/2006/relationships/hyperlink" Target="https://stockanalysis.com/stocks/amzn/history/" TargetMode="External"/><Relationship Id="rId138" Type="http://schemas.openxmlformats.org/officeDocument/2006/relationships/hyperlink" Target="https://twelvedata.com/" TargetMode="External"/><Relationship Id="rId139" Type="http://schemas.openxmlformats.org/officeDocument/2006/relationships/hyperlink" Target="https://fred.stlouisfed.org/data/DGS10.txt" TargetMode="External"/><Relationship Id="rId140" Type="http://schemas.openxmlformats.org/officeDocument/2006/relationships/hyperlink" Target="https://www.theglobeandmail.com/investing/markets/stocks/AMZN/pressreleases/3730734/amazon-amzn-q2-2026-earnings-call-transcript/" TargetMode="External"/><Relationship Id="rId141" Type="http://schemas.openxmlformats.org/officeDocument/2006/relationships/hyperlink" Target="https://www.sec.gov/Archives/edgar/data/1018724/000110465926107526/tm2624614d5_8k.htm" TargetMode="External"/><Relationship Id="rId142" Type="http://schemas.openxmlformats.org/officeDocument/2006/relationships/hyperlink" Target="https://www.nasdaq.com/market-activity/stocks/amzn/earnings" TargetMode="External"/><Relationship Id="rId143" Type="http://schemas.openxmlformats.org/officeDocument/2006/relationships/hyperlink" Target="https://finance.yahoo.com/quote/AMZN/history/" TargetMode="External"/><Relationship Id="rId144" Type="http://schemas.openxmlformats.org/officeDocument/2006/relationships/hyperlink" Target="https://www.nasdaq.com/market-activity/stocks/app/earnings" TargetMode="External"/><Relationship Id="rId145" Type="http://schemas.openxmlformats.org/officeDocument/2006/relationships/hyperlink" Target="https://finance.yahoo.com/quote/APP/history/" TargetMode="External"/><Relationship Id="rId146" Type="http://schemas.openxmlformats.org/officeDocument/2006/relationships/hyperlink" Target="https://www.nasdaq.com/market-activity/stocks/cost/earnings" TargetMode="External"/><Relationship Id="rId147" Type="http://schemas.openxmlformats.org/officeDocument/2006/relationships/hyperlink" Target="https://finance.yahoo.com/quote/COST/history/" TargetMode="External"/><Relationship Id="rId148" Type="http://schemas.openxmlformats.org/officeDocument/2006/relationships/hyperlink" Target="https://www.nasdaq.com/market-activity/stocks/googl/earnings" TargetMode="External"/><Relationship Id="rId149" Type="http://schemas.openxmlformats.org/officeDocument/2006/relationships/hyperlink" Target="https://finance.yahoo.com/quote/GOOGL/history/" TargetMode="External"/><Relationship Id="rId150" Type="http://schemas.openxmlformats.org/officeDocument/2006/relationships/hyperlink" Target="https://www.nasdaq.com/market-activity/stocks/meli/earnings" TargetMode="External"/><Relationship Id="rId151" Type="http://schemas.openxmlformats.org/officeDocument/2006/relationships/hyperlink" Target="https://finance.yahoo.com/quote/MELI/history/" TargetMode="External"/><Relationship Id="rId152" Type="http://schemas.openxmlformats.org/officeDocument/2006/relationships/hyperlink" Target="https://www.nasdaq.com/market-activity/stocks/meta/earnings" TargetMode="External"/><Relationship Id="rId153" Type="http://schemas.openxmlformats.org/officeDocument/2006/relationships/hyperlink" Target="https://finance.yahoo.com/quote/META/history/" TargetMode="External"/><Relationship Id="rId154" Type="http://schemas.openxmlformats.org/officeDocument/2006/relationships/hyperlink" Target="https://www.nasdaq.com/market-activity/stocks/msft/earnings" TargetMode="External"/><Relationship Id="rId155" Type="http://schemas.openxmlformats.org/officeDocument/2006/relationships/hyperlink" Target="https://finance.yahoo.com/quote/MSFT/history/" TargetMode="External"/><Relationship Id="rId156" Type="http://schemas.openxmlformats.org/officeDocument/2006/relationships/hyperlink" Target="https://www.nasdaq.com/market-activity/stocks/orcl/earnings" TargetMode="External"/><Relationship Id="rId157" Type="http://schemas.openxmlformats.org/officeDocument/2006/relationships/hyperlink" Target="https://finance.yahoo.com/quote/ORCL/history/" TargetMode="External"/><Relationship Id="rId158" Type="http://schemas.openxmlformats.org/officeDocument/2006/relationships/hyperlink" Target="https://www.nasdaq.com/market-activity/stocks/rddt/earnings" TargetMode="External"/><Relationship Id="rId159" Type="http://schemas.openxmlformats.org/officeDocument/2006/relationships/hyperlink" Target="https://finance.yahoo.com/quote/RDDT/history/" TargetMode="External"/><Relationship Id="rId160" Type="http://schemas.openxmlformats.org/officeDocument/2006/relationships/hyperlink" Target="https://www.nasdaq.com/market-activity/stocks/se/earnings" TargetMode="External"/><Relationship Id="rId161" Type="http://schemas.openxmlformats.org/officeDocument/2006/relationships/hyperlink" Target="https://finance.yahoo.com/quote/SE/history/" TargetMode="External"/><Relationship Id="rId162" Type="http://schemas.openxmlformats.org/officeDocument/2006/relationships/hyperlink" Target="https://www.nasdaq.com/market-activity/stocks/shop/earnings" TargetMode="External"/><Relationship Id="rId163" Type="http://schemas.openxmlformats.org/officeDocument/2006/relationships/hyperlink" Target="https://finance.yahoo.com/quote/SHOP/history/" TargetMode="External"/><Relationship Id="rId164" Type="http://schemas.openxmlformats.org/officeDocument/2006/relationships/hyperlink" Target="https://www.nasdaq.com/market-activity/stocks/wmt/earnings" TargetMode="External"/><Relationship Id="rId165" Type="http://schemas.openxmlformats.org/officeDocument/2006/relationships/hyperlink" Target="https://finance.yahoo.com/quote/WMT/history/" TargetMode="External"/><Relationship Id="rId166" Type="http://schemas.openxmlformats.org/officeDocument/2006/relationships/hyperlink" Target="https://www.sec.gov/Archives/edgar/data/1018724/000101872424000128/amzn-20240630xex991.htm" TargetMode="External"/><Relationship Id="rId167" Type="http://schemas.openxmlformats.org/officeDocument/2006/relationships/hyperlink" Target="https://www.sec.gov/Archives/edgar/data/1018724/000101872424000158/amzn-20240930xex991.htm" TargetMode="External"/><Relationship Id="rId168" Type="http://schemas.openxmlformats.org/officeDocument/2006/relationships/hyperlink" Target="https://www.sec.gov/Archives/edgar/data/1018724/000101872425000002/amzn-20241231xex991.htm" TargetMode="External"/><Relationship Id="rId169" Type="http://schemas.openxmlformats.org/officeDocument/2006/relationships/hyperlink" Target="https://www.sec.gov/Archives/edgar/data/1018724/000101872425000034/amzn-20250331xex991.htm" TargetMode="External"/><Relationship Id="rId170" Type="http://schemas.openxmlformats.org/officeDocument/2006/relationships/hyperlink" Target="https://www.sec.gov/Archives/edgar/data/1018724/000101872425000084/amzn-20250630xex991.htm" TargetMode="External"/><Relationship Id="rId171" Type="http://schemas.openxmlformats.org/officeDocument/2006/relationships/hyperlink" Target="https://www.sec.gov/Archives/edgar/data/1018724/000101872425000121/amzn-20250930xex991.htm" TargetMode="External"/><Relationship Id="rId172" Type="http://schemas.openxmlformats.org/officeDocument/2006/relationships/hyperlink" Target="https://www.sec.gov/Archives/edgar/data/1018724/000101872426000002/amzn-20251231xex991.htm" TargetMode="External"/><Relationship Id="rId173" Type="http://schemas.openxmlformats.org/officeDocument/2006/relationships/hyperlink" Target="https://www.sec.gov/Archives/edgar/data/1018724/000101872426000012/amzn-20260331xex991.htm" TargetMode="External"/><Relationship Id="rId174" Type="http://schemas.openxmlformats.org/officeDocument/2006/relationships/hyperlink" Target="https://www.sec.gov/Archives/edgar/data/1018724/000101872426000024/amzn-20260630xex991.htm" TargetMode="External"/><Relationship Id="rId175" Type="http://schemas.openxmlformats.org/officeDocument/2006/relationships/hyperlink" Target="https://www.sec.gov/Archives/edgar/data/2130357/000162828026067168/anthropicpbc-sx1.htm" TargetMode="External"/><Relationship Id="rId176" Type="http://schemas.openxmlformats.org/officeDocument/2006/relationships/hyperlink" Target="https://finance.yahoo.com/markets/stocks/articles/anthropic-publicly-files-ipo-ant-155552280.html" TargetMode="External"/><Relationship Id="rId177" Type="http://schemas.openxmlformats.org/officeDocument/2006/relationships/hyperlink" Target="https://www.sec.gov/Archives/edgar/data/0001018724/000101872426000038/amzn-20260930xex991.htm" TargetMode="External"/><Relationship Id="rId178" Type="http://schemas.openxmlformats.org/officeDocument/2006/relationships/hyperlink" Target="https://www.sec.gov/Archives/edgar/data/1018724/000101872426000038/amzn-20261029.htm" TargetMode="External"/><Relationship Id="rId179" Type="http://schemas.openxmlformats.org/officeDocument/2006/relationships/hyperlink" Target="https://finance.yahoo.com/markets/stocks/live/amazon-earnings-live-q3-earnings-miss-sends-stock-lower-203345870.html" TargetMode="External"/><Relationship Id="rId180" Type="http://schemas.openxmlformats.org/officeDocument/2006/relationships/hyperlink" Target="https://en.fnnews.com/news/202610300602194135" TargetMode="External"/><Relationship Id="rId181" Type="http://schemas.openxmlformats.org/officeDocument/2006/relationships/hyperlink" Target="https://finance.yahoo.com/technology/ai/articles/amazon-shares-sink-spends-heavily-204329843.html" TargetMode="External"/><Relationship Id="rId182" Type="http://schemas.openxmlformats.org/officeDocument/2006/relationships/hyperlink" Target="https://huggingnews.com/earnings/amazon-projects-higher-capex-in-2027-above-220b-pace-as-aws-backlog-hits-41aeb60e" TargetMode="External"/><Relationship Id="rId183" Type="http://schemas.openxmlformats.org/officeDocument/2006/relationships/hyperlink" Target="https://www.sec.gov/Archives/edgar/data/0001018724/000110465926082293/tm2619352d4_8k.htm" TargetMode="External"/><Relationship Id="rId184" Type="http://schemas.openxmlformats.org/officeDocument/2006/relationships/hyperlink" Target="https://thedailyguardian.com/business/amazon-set-to-raise-over-5-billion-in-first-sterling-bond-sale-lead-managers-say-755559/" TargetMode="External"/><Relationship Id="rId185" Type="http://schemas.openxmlformats.org/officeDocument/2006/relationships/hyperlink" Target="https://rallies.ai/news/amazon-raises-54-billion-in-bonds-bofa-sees-hyperscaler-debt-at-175-billion-in-2026" TargetMode="External"/><Relationship Id="rId186" Type="http://schemas.openxmlformats.org/officeDocument/2006/relationships/hyperlink" Target="https://www.bnnbloomberg.ca/investing/2026/06/09/amazon-issues-record-setting-canadian-dollar-denominated-corporate-bond-deal/" TargetMode="External"/><Relationship Id="rId187" Type="http://schemas.openxmlformats.org/officeDocument/2006/relationships/hyperlink" Target="https://www.nextplatform.com/2025/02/07/amazon-will-spend-nearly-a-year-of-aws-revenue-on-ai-investments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6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4"/>
      <c r="D4" s="3" t="s">
        <v>4</v>
      </c>
    </row>
    <row r="5" customFormat="false" ht="15" hidden="false" customHeight="false" outlineLevel="0" collapsed="false">
      <c r="A5" s="5" t="s">
        <v>5</v>
      </c>
      <c r="B5" s="6" t="n">
        <v>240.35</v>
      </c>
      <c r="D5" s="7" t="s">
        <v>6</v>
      </c>
    </row>
    <row r="6" customFormat="false" ht="15" hidden="false" customHeight="false" outlineLevel="0" collapsed="false">
      <c r="A6" s="5" t="s">
        <v>7</v>
      </c>
      <c r="B6" s="8" t="n">
        <v>0.67</v>
      </c>
      <c r="D6" s="7" t="s">
        <v>8</v>
      </c>
    </row>
    <row r="7" customFormat="false" ht="15" hidden="false" customHeight="false" outlineLevel="0" collapsed="false">
      <c r="A7" s="5" t="s">
        <v>9</v>
      </c>
      <c r="B7" s="8" t="n">
        <v>0.33</v>
      </c>
      <c r="D7" s="7" t="s">
        <v>10</v>
      </c>
    </row>
    <row r="8" customFormat="false" ht="23.85" hidden="false" customHeight="false" outlineLevel="0" collapsed="false">
      <c r="A8" s="5" t="s">
        <v>11</v>
      </c>
      <c r="B8" s="8" t="n">
        <v>0</v>
      </c>
      <c r="D8" s="7" t="s">
        <v>12</v>
      </c>
    </row>
    <row r="9" customFormat="false" ht="15" hidden="false" customHeight="false" outlineLevel="0" collapsed="false">
      <c r="A9" s="5" t="s">
        <v>13</v>
      </c>
      <c r="B9" s="9" t="n">
        <v>327.58</v>
      </c>
      <c r="D9" s="7" t="s">
        <v>14</v>
      </c>
    </row>
    <row r="10" customFormat="false" ht="15" hidden="false" customHeight="false" outlineLevel="0" collapsed="false">
      <c r="A10" s="5" t="s">
        <v>15</v>
      </c>
      <c r="B10" s="10" t="n">
        <v>0</v>
      </c>
      <c r="D10" s="7" t="s">
        <v>16</v>
      </c>
    </row>
    <row r="11" customFormat="false" ht="23.85" hidden="false" customHeight="false" outlineLevel="0" collapsed="false">
      <c r="A11" s="5" t="s">
        <v>17</v>
      </c>
      <c r="B11" s="11" t="n">
        <v>0</v>
      </c>
      <c r="D11" s="7" t="s">
        <v>18</v>
      </c>
    </row>
    <row r="12" customFormat="false" ht="15" hidden="false" customHeight="false" outlineLevel="0" collapsed="false">
      <c r="A12" s="5" t="s">
        <v>19</v>
      </c>
      <c r="B12" s="6" t="n">
        <v>187</v>
      </c>
      <c r="D12" s="7" t="s">
        <v>20</v>
      </c>
    </row>
    <row r="13" customFormat="false" ht="23.85" hidden="false" customHeight="false" outlineLevel="0" collapsed="false">
      <c r="A13" s="5" t="s">
        <v>21</v>
      </c>
      <c r="B13" s="12" t="n">
        <v>0.3199</v>
      </c>
      <c r="D13" s="7" t="s">
        <v>22</v>
      </c>
    </row>
    <row r="15" customFormat="false" ht="23.85" hidden="false" customHeight="false" outlineLevel="0" collapsed="false">
      <c r="A15" s="5" t="s">
        <v>23</v>
      </c>
      <c r="B15" s="13" t="n">
        <f aca="false">EXP(INDEX(Distribution!$B$6:$B$20,MIN(MAX(IFERROR(MATCH(0.5,Distribution!$C$6:$C$20,-1),1),1),14))+(LN(MIN(MAX(0.5,0.0001),0.9999)/(1-MIN(MAX(0.5,0.0001),0.9999)))-INDEX(Distribution!$N$6:$N$20,MIN(MAX(IFERROR(MATCH(0.5,Distribution!$C$6:$C$20,-1),1),1),14)))/(INDEX(Distribution!$N$6:$N$20,MIN(MAX(IFERROR(MATCH(0.5,Distribution!$C$6:$C$20,-1),1),1),14)+1)-INDEX(Distribution!$N$6:$N$20,MIN(MAX(IFERROR(MATCH(0.5,Distribution!$C$6:$C$20,-1),1),1),14)))*(INDEX(Distribution!$B$6:$B$20,MIN(MAX(IFERROR(MATCH(0.5,Distribution!$C$6:$C$20,-1),1),1),14)+1)-INDEX(Distribution!$B$6:$B$20,MIN(MAX(IFERROR(MATCH(0.5,Distribution!$C$6:$C$20,-1),1),1),14))))</f>
        <v>255.088862357163</v>
      </c>
      <c r="D15" s="7" t="s">
        <v>24</v>
      </c>
    </row>
    <row r="17" customFormat="false" ht="15" hidden="false" customHeight="false" outlineLevel="0" collapsed="false">
      <c r="A17" s="3" t="s">
        <v>25</v>
      </c>
      <c r="B17" s="3" t="s">
        <v>26</v>
      </c>
      <c r="C17" s="3" t="s">
        <v>27</v>
      </c>
      <c r="D17" s="3" t="s">
        <v>28</v>
      </c>
    </row>
    <row r="18" customFormat="false" ht="15" hidden="false" customHeight="false" outlineLevel="0" collapsed="false">
      <c r="A18" s="5" t="s">
        <v>29</v>
      </c>
      <c r="B18" s="13" t="n">
        <f aca="false">Methods!C7</f>
        <v>290</v>
      </c>
      <c r="C18" s="13" t="n">
        <f aca="false">Methods!E7</f>
        <v>290</v>
      </c>
    </row>
    <row r="19" customFormat="false" ht="15" hidden="false" customHeight="false" outlineLevel="0" collapsed="false">
      <c r="A19" s="5" t="s">
        <v>30</v>
      </c>
      <c r="B19" s="13" t="n">
        <f aca="false">Methods!C11</f>
        <v>278</v>
      </c>
      <c r="C19" s="13" t="n">
        <f aca="false">Methods!E11</f>
        <v>278</v>
      </c>
    </row>
    <row r="20" customFormat="false" ht="15" hidden="false" customHeight="false" outlineLevel="0" collapsed="false">
      <c r="A20" s="5" t="s">
        <v>31</v>
      </c>
      <c r="B20" s="13" t="n">
        <f aca="false">Methods!C16</f>
        <v>266.96</v>
      </c>
      <c r="C20" s="13" t="n">
        <f aca="false">Methods!E16</f>
        <v>267</v>
      </c>
    </row>
    <row r="21" customFormat="false" ht="15" hidden="false" customHeight="false" outlineLevel="0" collapsed="false">
      <c r="A21" s="14" t="s">
        <v>32</v>
      </c>
      <c r="B21" s="15" t="n">
        <f aca="false">AVERAGE(B18:B20)</f>
        <v>278.32</v>
      </c>
      <c r="C21" s="15" t="n">
        <f aca="false">AVERAGE(C18:C20)</f>
        <v>278.333333333333</v>
      </c>
    </row>
    <row r="22" customFormat="false" ht="15" hidden="false" customHeight="false" outlineLevel="0" collapsed="false">
      <c r="A22" s="5" t="s">
        <v>33</v>
      </c>
      <c r="B22" s="16" t="n">
        <f aca="false">MEDIAN(B18:B20)</f>
        <v>278</v>
      </c>
      <c r="C22" s="16" t="n">
        <f aca="false">MEDIAN(C18:C20)</f>
        <v>278</v>
      </c>
    </row>
    <row r="23" customFormat="false" ht="550" hidden="false" customHeight="false" outlineLevel="0" collapsed="false">
      <c r="A23" s="14" t="s">
        <v>34</v>
      </c>
      <c r="C23" s="17" t="n">
        <v>269.5509</v>
      </c>
      <c r="D23" s="7" t="s">
        <v>35</v>
      </c>
    </row>
    <row r="24" customFormat="false" ht="15" hidden="false" customHeight="false" outlineLevel="0" collapsed="false">
      <c r="A24" s="5" t="s">
        <v>36</v>
      </c>
      <c r="C24" s="18" t="n">
        <f aca="false">C23/Spot-1</f>
        <v>0.12149323902642</v>
      </c>
    </row>
    <row r="26" customFormat="false" ht="15" hidden="false" customHeight="false" outlineLevel="0" collapsed="false">
      <c r="A26" s="3" t="s">
        <v>37</v>
      </c>
      <c r="B26" s="3" t="s">
        <v>38</v>
      </c>
      <c r="C26" s="3" t="s">
        <v>39</v>
      </c>
      <c r="D26" s="3" t="s">
        <v>40</v>
      </c>
    </row>
    <row r="27" customFormat="false" ht="15" hidden="false" customHeight="false" outlineLevel="0" collapsed="false">
      <c r="A27" s="5" t="s">
        <v>41</v>
      </c>
      <c r="B27" s="19" t="n">
        <f aca="false">EXP(INDEX(Distribution!$B$6:$B$20,MIN(MAX(IFERROR(MATCH(0.5,Distribution!$S$6:$S$20,-1),1),1),14))+(LN(MIN(MAX(0.5,0.0001),0.9999)/(1-MIN(MAX(0.5,0.0001),0.9999)))-INDEX(Distribution!$T$6:$T$20,MIN(MAX(IFERROR(MATCH(0.5,Distribution!$S$6:$S$20,-1),1),1),14)))/(INDEX(Distribution!$T$6:$T$20,MIN(MAX(IFERROR(MATCH(0.5,Distribution!$S$6:$S$20,-1),1),1),14)+1)-INDEX(Distribution!$T$6:$T$20,MIN(MAX(IFERROR(MATCH(0.5,Distribution!$S$6:$S$20,-1),1),1),14)))*(INDEX(Distribution!$B$6:$B$20,MIN(MAX(IFERROR(MATCH(0.5,Distribution!$S$6:$S$20,-1),1),1),14)+1)-INDEX(Distribution!$B$6:$B$20,MIN(MAX(IFERROR(MATCH(0.5,Distribution!$S$6:$S$20,-1),1),1),14))))</f>
        <v>260.464118734275</v>
      </c>
      <c r="C27" s="6" t="n">
        <v>262.4473</v>
      </c>
      <c r="D27" s="7" t="s">
        <v>42</v>
      </c>
    </row>
    <row r="28" customFormat="false" ht="15" hidden="false" customHeight="false" outlineLevel="0" collapsed="false">
      <c r="A28" s="5" t="s">
        <v>43</v>
      </c>
      <c r="B28" s="19" t="n">
        <f aca="false">EXP(INDEX(Distribution!$B$6:$B$20,MIN(MAX(IFERROR(MATCH(0.25,Distribution!$S$6:$S$20,-1),1),1),14))+(LN(MIN(MAX(0.25,0.0001),0.9999)/(1-MIN(MAX(0.25,0.0001),0.9999)))-INDEX(Distribution!$T$6:$T$20,MIN(MAX(IFERROR(MATCH(0.25,Distribution!$S$6:$S$20,-1),1),1),14)))/(INDEX(Distribution!$T$6:$T$20,MIN(MAX(IFERROR(MATCH(0.25,Distribution!$S$6:$S$20,-1),1),1),14)+1)-INDEX(Distribution!$T$6:$T$20,MIN(MAX(IFERROR(MATCH(0.25,Distribution!$S$6:$S$20,-1),1),1),14)))*(INDEX(Distribution!$B$6:$B$20,MIN(MAX(IFERROR(MATCH(0.25,Distribution!$S$6:$S$20,-1),1),1),14)+1)-INDEX(Distribution!$B$6:$B$20,MIN(MAX(IFERROR(MATCH(0.25,Distribution!$S$6:$S$20,-1),1),1),14))))</f>
        <v>326.171663215905</v>
      </c>
      <c r="C28" s="6" t="n">
        <v>263.68</v>
      </c>
      <c r="D28" s="7" t="s">
        <v>44</v>
      </c>
    </row>
    <row r="29" customFormat="false" ht="15" hidden="false" customHeight="false" outlineLevel="0" collapsed="false">
      <c r="A29" s="5" t="s">
        <v>45</v>
      </c>
      <c r="B29" s="19" t="n">
        <f aca="false">EXP(INDEX(Distribution!$B$6:$B$20,MIN(MAX(IFERROR(MATCH(0.85,Distribution!$S$6:$S$20,-1),1),1),14))+(LN(MIN(MAX(0.85,0.0001),0.9999)/(1-MIN(MAX(0.85,0.0001),0.9999)))-INDEX(Distribution!$T$6:$T$20,MIN(MAX(IFERROR(MATCH(0.85,Distribution!$S$6:$S$20,-1),1),1),14)))/(INDEX(Distribution!$T$6:$T$20,MIN(MAX(IFERROR(MATCH(0.85,Distribution!$S$6:$S$20,-1),1),1),14)+1)-INDEX(Distribution!$T$6:$T$20,MIN(MAX(IFERROR(MATCH(0.85,Distribution!$S$6:$S$20,-1),1),1),14)))*(INDEX(Distribution!$B$6:$B$20,MIN(MAX(IFERROR(MATCH(0.85,Distribution!$S$6:$S$20,-1),1),1),14)+1)-INDEX(Distribution!$B$6:$B$20,MIN(MAX(IFERROR(MATCH(0.85,Distribution!$S$6:$S$20,-1),1),1),14))))</f>
        <v>181.201910813528</v>
      </c>
      <c r="C29" s="6" t="n">
        <v>183.9915</v>
      </c>
      <c r="D29" s="7" t="s">
        <v>46</v>
      </c>
    </row>
    <row r="30" customFormat="false" ht="15" hidden="false" customHeight="false" outlineLevel="0" collapsed="false">
      <c r="A30" s="5" t="s">
        <v>47</v>
      </c>
      <c r="B30" s="16" t="n">
        <f aca="false">Spot*EXP(-2*IV30*SQRT(21/252))</f>
        <v>199.816979128356</v>
      </c>
      <c r="D30" s="7" t="s">
        <v>48</v>
      </c>
    </row>
    <row r="31" customFormat="false" ht="23.85" hidden="false" customHeight="false" outlineLevel="0" collapsed="false">
      <c r="A31" s="14" t="s">
        <v>49</v>
      </c>
      <c r="B31" s="20" t="n">
        <f aca="false">MIN(IF(AND(Thesis_Break&gt;0,Thesis_Break&lt;Spot),MAX(B29,Thesis_Break),B29),B30)</f>
        <v>187</v>
      </c>
      <c r="C31" s="21" t="n">
        <v>187</v>
      </c>
      <c r="D31" s="7" t="s">
        <v>50</v>
      </c>
    </row>
    <row r="32" customFormat="false" ht="15" hidden="false" customHeight="false" outlineLevel="0" collapsed="false">
      <c r="A32" s="5" t="s">
        <v>51</v>
      </c>
      <c r="B32" s="18" t="n">
        <f aca="false">B27/Spot-1</f>
        <v>0.0836867848315985</v>
      </c>
      <c r="C32" s="18" t="n">
        <f aca="false">C27/Spot-1</f>
        <v>0.0919380070730185</v>
      </c>
    </row>
    <row r="33" customFormat="false" ht="15" hidden="false" customHeight="false" outlineLevel="0" collapsed="false">
      <c r="A33" s="5" t="s">
        <v>52</v>
      </c>
      <c r="C33" s="12" t="n">
        <v>0.6052</v>
      </c>
    </row>
    <row r="34" customFormat="false" ht="23.85" hidden="false" customHeight="false" outlineLevel="0" collapsed="false">
      <c r="A34" s="5" t="s">
        <v>53</v>
      </c>
      <c r="C34" s="6" t="n">
        <v>271.8123</v>
      </c>
      <c r="D34" s="7" t="s">
        <v>54</v>
      </c>
    </row>
    <row r="36" customFormat="false" ht="15" hidden="false" customHeight="false" outlineLevel="0" collapsed="false">
      <c r="A36" s="3" t="s">
        <v>55</v>
      </c>
      <c r="B36" s="4"/>
      <c r="C36" s="4"/>
      <c r="D36" s="4"/>
    </row>
    <row r="37" customFormat="false" ht="15" hidden="false" customHeight="false" outlineLevel="0" collapsed="false">
      <c r="A37" s="22" t="s">
        <v>56</v>
      </c>
      <c r="D37" s="2" t="s">
        <v>57</v>
      </c>
    </row>
    <row r="38" customFormat="false" ht="15" hidden="false" customHeight="false" outlineLevel="0" collapsed="false">
      <c r="A38" s="22" t="s">
        <v>58</v>
      </c>
      <c r="D38" s="2" t="s">
        <v>59</v>
      </c>
    </row>
    <row r="39" customFormat="false" ht="15" hidden="false" customHeight="false" outlineLevel="0" collapsed="false">
      <c r="A39" s="22" t="s">
        <v>60</v>
      </c>
      <c r="D39" s="2" t="s">
        <v>61</v>
      </c>
    </row>
    <row r="40" customFormat="false" ht="15" hidden="false" customHeight="false" outlineLevel="0" collapsed="false">
      <c r="A40" s="22" t="s">
        <v>62</v>
      </c>
      <c r="D40" s="2" t="s">
        <v>63</v>
      </c>
    </row>
    <row r="41" customFormat="false" ht="15" hidden="false" customHeight="false" outlineLevel="0" collapsed="false">
      <c r="A41" s="22" t="s">
        <v>64</v>
      </c>
      <c r="D41" s="2" t="s">
        <v>65</v>
      </c>
    </row>
    <row r="42" customFormat="false" ht="15" hidden="false" customHeight="false" outlineLevel="0" collapsed="false">
      <c r="A42" s="22" t="s">
        <v>66</v>
      </c>
      <c r="D42" s="2" t="s">
        <v>67</v>
      </c>
    </row>
    <row r="43" customFormat="false" ht="15" hidden="false" customHeight="false" outlineLevel="0" collapsed="false">
      <c r="A43" s="22" t="s">
        <v>68</v>
      </c>
      <c r="D43" s="2" t="s">
        <v>69</v>
      </c>
    </row>
  </sheetData>
  <hyperlinks>
    <hyperlink ref="A37" location="'Assumptions'!A1" display="Assumptions"/>
    <hyperlink ref="A38" location="'Methods'!A1" display="Methods"/>
    <hyperlink ref="A39" location="'Scenarios'!A1" display="Scenarios"/>
    <hyperlink ref="A40" location="'Distribution'!A1" display="Distribution"/>
    <hyperlink ref="A41" location="'Reasoning'!A1" display="Reasoning"/>
    <hyperlink ref="A42" location="'Supervisor'!A1" display="Supervisor"/>
    <hyperlink ref="A43" location="'Sources'!A1" display="Source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3"/>
    <col collapsed="false" customWidth="true" hidden="false" outlineLevel="0" max="4" min="4" style="0" width="85"/>
    <col collapsed="false" customWidth="true" hidden="false" outlineLevel="0" max="7" min="5" style="0" width="28"/>
    <col collapsed="false" customWidth="true" hidden="false" outlineLevel="0" max="8" min="8" style="0" width="14"/>
    <col collapsed="false" customWidth="true" hidden="false" outlineLevel="0" max="10" min="9" style="0" width="12"/>
    <col collapsed="false" customWidth="true" hidden="false" outlineLevel="0" max="11" min="11" style="0" width="22"/>
  </cols>
  <sheetData>
    <row r="1" customFormat="false" ht="17.35" hidden="false" customHeight="false" outlineLevel="0" collapsed="false">
      <c r="A1" s="1" t="s">
        <v>70</v>
      </c>
    </row>
    <row r="2" customFormat="false" ht="15" hidden="false" customHeight="false" outlineLevel="0" collapsed="false">
      <c r="A2" s="2" t="s">
        <v>71</v>
      </c>
    </row>
    <row r="4" customFormat="false" ht="15" hidden="false" customHeight="false" outlineLevel="0" collapsed="false">
      <c r="A4" s="23" t="s">
        <v>72</v>
      </c>
      <c r="B4" s="23" t="s">
        <v>73</v>
      </c>
      <c r="C4" s="23" t="s">
        <v>3</v>
      </c>
      <c r="D4" s="23" t="s">
        <v>64</v>
      </c>
      <c r="E4" s="23" t="s">
        <v>74</v>
      </c>
      <c r="F4" s="23" t="s">
        <v>75</v>
      </c>
      <c r="G4" s="23" t="s">
        <v>76</v>
      </c>
      <c r="H4" s="23" t="s">
        <v>77</v>
      </c>
      <c r="I4" s="23" t="s">
        <v>78</v>
      </c>
      <c r="J4" s="23" t="s">
        <v>79</v>
      </c>
      <c r="K4" s="23" t="s">
        <v>80</v>
      </c>
    </row>
    <row r="5" customFormat="false" ht="15" hidden="false" customHeight="false" outlineLevel="0" collapsed="false">
      <c r="A5" s="2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6" min="4" style="0" width="10"/>
    <col collapsed="false" customWidth="true" hidden="false" outlineLevel="0" max="9" min="7" style="0" width="11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6"/>
    <col collapsed="false" customWidth="true" hidden="false" outlineLevel="0" max="13" min="13" style="0" width="12"/>
    <col collapsed="false" customWidth="true" hidden="false" outlineLevel="0" max="14" min="14" style="0" width="9"/>
    <col collapsed="false" customWidth="true" hidden="false" outlineLevel="0" max="15" min="15" style="0" width="10"/>
    <col collapsed="false" customWidth="true" hidden="false" outlineLevel="0" max="16" min="16" style="0" width="6"/>
    <col collapsed="false" customWidth="true" hidden="false" outlineLevel="0" max="19" min="17" style="0" width="11"/>
    <col collapsed="false" customWidth="true" hidden="false" outlineLevel="0" max="20" min="20" style="0" width="9"/>
    <col collapsed="false" customWidth="true" hidden="false" outlineLevel="0" max="21" min="21" style="0" width="12"/>
  </cols>
  <sheetData>
    <row r="1" customFormat="false" ht="17.35" hidden="false" customHeight="false" outlineLevel="0" collapsed="false">
      <c r="A1" s="1" t="s">
        <v>82</v>
      </c>
    </row>
    <row r="2" customFormat="false" ht="15" hidden="false" customHeight="false" outlineLevel="0" collapsed="false">
      <c r="A2" s="2" t="s">
        <v>83</v>
      </c>
    </row>
    <row r="5" customFormat="false" ht="23.85" hidden="false" customHeight="false" outlineLevel="0" collapsed="false">
      <c r="A5" s="23" t="s">
        <v>84</v>
      </c>
      <c r="B5" s="23" t="s">
        <v>85</v>
      </c>
      <c r="C5" s="23" t="s">
        <v>86</v>
      </c>
      <c r="D5" s="23" t="s">
        <v>29</v>
      </c>
      <c r="E5" s="23" t="s">
        <v>30</v>
      </c>
      <c r="F5" s="23" t="s">
        <v>31</v>
      </c>
      <c r="G5" s="23" t="s">
        <v>87</v>
      </c>
      <c r="H5" s="23" t="s">
        <v>66</v>
      </c>
      <c r="I5" s="23" t="s">
        <v>88</v>
      </c>
      <c r="J5" s="23" t="s">
        <v>89</v>
      </c>
      <c r="K5" s="23" t="s">
        <v>90</v>
      </c>
      <c r="L5" s="23" t="s">
        <v>91</v>
      </c>
      <c r="M5" s="23" t="s">
        <v>92</v>
      </c>
      <c r="N5" s="23" t="s">
        <v>93</v>
      </c>
      <c r="O5" s="23" t="s">
        <v>94</v>
      </c>
      <c r="P5" s="23" t="s">
        <v>91</v>
      </c>
      <c r="Q5" s="23" t="s">
        <v>95</v>
      </c>
      <c r="R5" s="23" t="s">
        <v>96</v>
      </c>
      <c r="S5" s="23" t="s">
        <v>97</v>
      </c>
      <c r="T5" s="23" t="s">
        <v>98</v>
      </c>
      <c r="U5" s="23" t="s">
        <v>99</v>
      </c>
    </row>
    <row r="6" customFormat="false" ht="15" hidden="false" customHeight="false" outlineLevel="0" collapsed="false">
      <c r="A6" s="6" t="n">
        <v>60.09</v>
      </c>
      <c r="B6" s="24" t="n">
        <f aca="false">LN(A6)</f>
        <v>4.09584343834584</v>
      </c>
      <c r="C6" s="25" t="n">
        <v>1</v>
      </c>
      <c r="D6" s="25" t="n">
        <v>0.9999</v>
      </c>
      <c r="E6" s="25" t="n">
        <v>0.9982</v>
      </c>
      <c r="F6" s="25" t="n">
        <v>0.9983</v>
      </c>
      <c r="G6" s="24" t="n">
        <f aca="false">AVERAGE(D6:F6)</f>
        <v>0.9988</v>
      </c>
      <c r="H6" s="25" t="n">
        <v>0.9989</v>
      </c>
      <c r="I6" s="24" t="n">
        <f aca="false">IF(AND(Sup_Used=1,ISNUMBER(H6)),H6,G6)</f>
        <v>0.9988</v>
      </c>
      <c r="J6" s="24" t="n">
        <f aca="false">LN(MIN(MAX(I6,0.0001),0.9999)/(1-MIN(MAX(I6,0.0001),0.9999)))</f>
        <v>6.72423300161168</v>
      </c>
      <c r="K6" s="16" t="n">
        <f aca="false">A6*EXP(-Platt_Shift)</f>
        <v>60.09</v>
      </c>
      <c r="L6" s="26" t="n">
        <f aca="false">MIN(MAX(IFERROR(MATCH(K6,Distribution!$A$6:$A$20,1),1),1),14)</f>
        <v>1</v>
      </c>
      <c r="M6" s="24" t="n">
        <f aca="false">1/(1+EXP(-(INDEX(Distribution!$J$6:$J$20,L6)+(LN(K6)-INDEX(Distribution!$B$6:$B$20,L6))/(INDEX(Distribution!$B$6:$B$20,L6+1)-INDEX(Distribution!$B$6:$B$20,L6))*(INDEX(Distribution!$J$6:$J$20,L6+1)-INDEX(Distribution!$J$6:$J$20,L6)))))</f>
        <v>0.9988</v>
      </c>
      <c r="N6" s="24" t="n">
        <f aca="false">LN(MIN(MAX(C6,0.0001),0.9999)/(1-MIN(MAX(C6,0.0001),0.9999)))</f>
        <v>9.21024036697596</v>
      </c>
      <c r="O6" s="16" t="n">
        <f aca="false">IF(Analyst_Median&gt;0,A6*Market_Median/Analyst_Median,A6)</f>
        <v>46.7925079035409</v>
      </c>
      <c r="P6" s="26" t="n">
        <f aca="false">MIN(MAX(IFERROR(MATCH(O6,Distribution!$A$6:$A$20,1),1),1),14)</f>
        <v>1</v>
      </c>
      <c r="Q6" s="24" t="n">
        <f aca="false">1/(1+EXP(-(INDEX(Distribution!$N$6:$N$20,P6)+(LN(O6)-INDEX(Distribution!$B$6:$B$20,P6))/(INDEX(Distribution!$B$6:$B$20,P6+1)-INDEX(Distribution!$B$6:$B$20,P6))*(INDEX(Distribution!$N$6:$N$20,P6+1)-INDEX(Distribution!$N$6:$N$20,P6)))))</f>
        <v>0.999984471785708</v>
      </c>
      <c r="R6" s="24" t="n">
        <f aca="false">W_Mkt*C6+W_Agents*M6</f>
        <v>0.999604</v>
      </c>
      <c r="S6" s="27" t="n">
        <f aca="false">(1-W_Analyst)*R6+W_Analyst*Q6</f>
        <v>0.999604</v>
      </c>
      <c r="T6" s="24" t="n">
        <f aca="false">LN(MIN(MAX(S6,0.0001),0.9999)/(1-MIN(MAX(S6,0.0001),0.9999)))</f>
        <v>7.83370026828121</v>
      </c>
      <c r="U6" s="25" t="n">
        <v>0.9999</v>
      </c>
    </row>
    <row r="7" customFormat="false" ht="15" hidden="false" customHeight="false" outlineLevel="0" collapsed="false">
      <c r="A7" s="6" t="n">
        <v>96.14</v>
      </c>
      <c r="B7" s="24" t="n">
        <f aca="false">LN(A7)</f>
        <v>4.56580546246581</v>
      </c>
      <c r="C7" s="25" t="n">
        <v>0.9967</v>
      </c>
      <c r="D7" s="25" t="n">
        <v>0.9977</v>
      </c>
      <c r="E7" s="25" t="n">
        <v>0.9956</v>
      </c>
      <c r="F7" s="25" t="n">
        <v>0.9942</v>
      </c>
      <c r="G7" s="24" t="n">
        <f aca="false">AVERAGE(D7:F7)</f>
        <v>0.995833333333333</v>
      </c>
      <c r="H7" s="25" t="n">
        <v>0.9957</v>
      </c>
      <c r="I7" s="24" t="n">
        <f aca="false">IF(AND(Sup_Used=1,ISNUMBER(H7)),H7,G7)</f>
        <v>0.995833333333333</v>
      </c>
      <c r="J7" s="24" t="n">
        <f aca="false">LN(MIN(MAX(I7,0.0001),0.9999)/(1-MIN(MAX(I7,0.0001),0.9999)))</f>
        <v>5.47646355193149</v>
      </c>
      <c r="K7" s="16" t="n">
        <f aca="false">A7*EXP(-Platt_Shift)</f>
        <v>96.14</v>
      </c>
      <c r="L7" s="26" t="n">
        <f aca="false">MIN(MAX(IFERROR(MATCH(K7,Distribution!$A$6:$A$20,1),1),1),14)</f>
        <v>2</v>
      </c>
      <c r="M7" s="24" t="n">
        <f aca="false">1/(1+EXP(-(INDEX(Distribution!$J$6:$J$20,L7)+(LN(K7)-INDEX(Distribution!$B$6:$B$20,L7))/(INDEX(Distribution!$B$6:$B$20,L7+1)-INDEX(Distribution!$B$6:$B$20,L7))*(INDEX(Distribution!$J$6:$J$20,L7+1)-INDEX(Distribution!$J$6:$J$20,L7)))))</f>
        <v>0.995833333333333</v>
      </c>
      <c r="N7" s="24" t="n">
        <f aca="false">LN(MIN(MAX(C7,0.0001),0.9999)/(1-MIN(MAX(C7,0.0001),0.9999)))</f>
        <v>5.71052735350099</v>
      </c>
      <c r="O7" s="16" t="n">
        <f aca="false">IF(Analyst_Median&gt;0,A7*Market_Median/Analyst_Median,A7)</f>
        <v>74.864897817381</v>
      </c>
      <c r="P7" s="26" t="n">
        <f aca="false">MIN(MAX(IFERROR(MATCH(O7,Distribution!$A$6:$A$20,1),1),1),14)</f>
        <v>1</v>
      </c>
      <c r="Q7" s="24" t="n">
        <f aca="false">1/(1+EXP(-(INDEX(Distribution!$N$6:$N$20,P7)+(LN(O7)-INDEX(Distribution!$B$6:$B$20,P7))/(INDEX(Distribution!$B$6:$B$20,P7+1)-INDEX(Distribution!$B$6:$B$20,P7))*(INDEX(Distribution!$N$6:$N$20,P7+1)-INDEX(Distribution!$N$6:$N$20,P7)))))</f>
        <v>0.999486179883753</v>
      </c>
      <c r="R7" s="24" t="n">
        <f aca="false">W_Mkt*C7+W_Agents*M7</f>
        <v>0.996414</v>
      </c>
      <c r="S7" s="27" t="n">
        <f aca="false">(1-W_Analyst)*R7+W_Analyst*Q7</f>
        <v>0.996414</v>
      </c>
      <c r="T7" s="24" t="n">
        <f aca="false">LN(MIN(MAX(S7,0.0001),0.9999)/(1-MIN(MAX(S7,0.0001),0.9999)))</f>
        <v>5.62712545868848</v>
      </c>
      <c r="U7" s="25" t="n">
        <v>0.9977</v>
      </c>
    </row>
    <row r="8" customFormat="false" ht="15" hidden="false" customHeight="false" outlineLevel="0" collapsed="false">
      <c r="A8" s="6" t="n">
        <v>120.17</v>
      </c>
      <c r="B8" s="24" t="n">
        <f aca="false">LN(A8)</f>
        <v>4.78890740692321</v>
      </c>
      <c r="C8" s="25" t="n">
        <v>0.982</v>
      </c>
      <c r="D8" s="25" t="n">
        <v>0.9883</v>
      </c>
      <c r="E8" s="25" t="n">
        <v>0.9886</v>
      </c>
      <c r="F8" s="25" t="n">
        <v>0.9863</v>
      </c>
      <c r="G8" s="24" t="n">
        <f aca="false">AVERAGE(D8:F8)</f>
        <v>0.987733333333333</v>
      </c>
      <c r="H8" s="25" t="n">
        <v>0.9877</v>
      </c>
      <c r="I8" s="24" t="n">
        <f aca="false">IF(AND(Sup_Used=1,ISNUMBER(H8)),H8,G8)</f>
        <v>0.987733333333333</v>
      </c>
      <c r="J8" s="24" t="n">
        <f aca="false">LN(MIN(MAX(I8,0.0001),0.9999)/(1-MIN(MAX(I8,0.0001),0.9999)))</f>
        <v>4.38852719927698</v>
      </c>
      <c r="K8" s="16" t="n">
        <f aca="false">A8*EXP(-Platt_Shift)</f>
        <v>120.17</v>
      </c>
      <c r="L8" s="26" t="n">
        <f aca="false">MIN(MAX(IFERROR(MATCH(K8,Distribution!$A$6:$A$20,1),1),1),14)</f>
        <v>3</v>
      </c>
      <c r="M8" s="24" t="n">
        <f aca="false">1/(1+EXP(-(INDEX(Distribution!$J$6:$J$20,L8)+(LN(K8)-INDEX(Distribution!$B$6:$B$20,L8))/(INDEX(Distribution!$B$6:$B$20,L8+1)-INDEX(Distribution!$B$6:$B$20,L8))*(INDEX(Distribution!$J$6:$J$20,L8+1)-INDEX(Distribution!$J$6:$J$20,L8)))))</f>
        <v>0.987733333333333</v>
      </c>
      <c r="N8" s="24" t="n">
        <f aca="false">LN(MIN(MAX(C8,0.0001),0.9999)/(1-MIN(MAX(C8,0.0001),0.9999)))</f>
        <v>3.9992195504583</v>
      </c>
      <c r="O8" s="16" t="n">
        <f aca="false">IF(Analyst_Median&gt;0,A8*Market_Median/Analyst_Median,A8)</f>
        <v>93.5772287363707</v>
      </c>
      <c r="P8" s="26" t="n">
        <f aca="false">MIN(MAX(IFERROR(MATCH(O8,Distribution!$A$6:$A$20,1),1),1),14)</f>
        <v>1</v>
      </c>
      <c r="Q8" s="24" t="n">
        <f aca="false">1/(1+EXP(-(INDEX(Distribution!$N$6:$N$20,P8)+(LN(O8)-INDEX(Distribution!$B$6:$B$20,P8))/(INDEX(Distribution!$B$6:$B$20,P8+1)-INDEX(Distribution!$B$6:$B$20,P8))*(INDEX(Distribution!$N$6:$N$20,P8+1)-INDEX(Distribution!$N$6:$N$20,P8)))))</f>
        <v>0.997299806238386</v>
      </c>
      <c r="R8" s="24" t="n">
        <f aca="false">W_Mkt*C8+W_Agents*M8</f>
        <v>0.983892</v>
      </c>
      <c r="S8" s="27" t="n">
        <f aca="false">(1-W_Analyst)*R8+W_Analyst*Q8</f>
        <v>0.983892</v>
      </c>
      <c r="T8" s="24" t="n">
        <f aca="false">LN(MIN(MAX(S8,0.0001),0.9999)/(1-MIN(MAX(S8,0.0001),0.9999)))</f>
        <v>4.11220009194185</v>
      </c>
      <c r="U8" s="25" t="n">
        <v>0.9873</v>
      </c>
    </row>
    <row r="9" customFormat="false" ht="15" hidden="false" customHeight="false" outlineLevel="0" collapsed="false">
      <c r="A9" s="6" t="n">
        <v>144.21</v>
      </c>
      <c r="B9" s="24" t="n">
        <f aca="false">LN(A9)</f>
        <v>4.97127057057398</v>
      </c>
      <c r="C9" s="25" t="n">
        <v>0.9439</v>
      </c>
      <c r="D9" s="25" t="n">
        <v>0.9646</v>
      </c>
      <c r="E9" s="25" t="n">
        <v>0.9683</v>
      </c>
      <c r="F9" s="25" t="n">
        <v>0.9651</v>
      </c>
      <c r="G9" s="24" t="n">
        <f aca="false">AVERAGE(D9:F9)</f>
        <v>0.966</v>
      </c>
      <c r="H9" s="25" t="n">
        <v>0.966</v>
      </c>
      <c r="I9" s="24" t="n">
        <f aca="false">IF(AND(Sup_Used=1,ISNUMBER(H9)),H9,G9)</f>
        <v>0.966</v>
      </c>
      <c r="J9" s="24" t="n">
        <f aca="false">LN(MIN(MAX(I9,0.0001),0.9999)/(1-MIN(MAX(I9,0.0001),0.9999)))</f>
        <v>3.34680330959636</v>
      </c>
      <c r="K9" s="16" t="n">
        <f aca="false">A9*EXP(-Platt_Shift)</f>
        <v>144.21</v>
      </c>
      <c r="L9" s="26" t="n">
        <f aca="false">MIN(MAX(IFERROR(MATCH(K9,Distribution!$A$6:$A$20,1),1),1),14)</f>
        <v>4</v>
      </c>
      <c r="M9" s="24" t="n">
        <f aca="false">1/(1+EXP(-(INDEX(Distribution!$J$6:$J$20,L9)+(LN(K9)-INDEX(Distribution!$B$6:$B$20,L9))/(INDEX(Distribution!$B$6:$B$20,L9+1)-INDEX(Distribution!$B$6:$B$20,L9))*(INDEX(Distribution!$J$6:$J$20,L9+1)-INDEX(Distribution!$J$6:$J$20,L9)))))</f>
        <v>0.966</v>
      </c>
      <c r="N9" s="24" t="n">
        <f aca="false">LN(MIN(MAX(C9,0.0001),0.9999)/(1-MIN(MAX(C9,0.0001),0.9999)))</f>
        <v>2.82288441580225</v>
      </c>
      <c r="O9" s="16" t="n">
        <f aca="false">IF(Analyst_Median&gt;0,A9*Market_Median/Analyst_Median,A9)</f>
        <v>112.297346726072</v>
      </c>
      <c r="P9" s="26" t="n">
        <f aca="false">MIN(MAX(IFERROR(MATCH(O9,Distribution!$A$6:$A$20,1),1),1),14)</f>
        <v>2</v>
      </c>
      <c r="Q9" s="24" t="n">
        <f aca="false">1/(1+EXP(-(INDEX(Distribution!$N$6:$N$20,P9)+(LN(O9)-INDEX(Distribution!$B$6:$B$20,P9))/(INDEX(Distribution!$B$6:$B$20,P9+1)-INDEX(Distribution!$B$6:$B$20,P9))*(INDEX(Distribution!$N$6:$N$20,P9+1)-INDEX(Distribution!$N$6:$N$20,P9)))))</f>
        <v>0.989217099791921</v>
      </c>
      <c r="R9" s="24" t="n">
        <f aca="false">W_Mkt*C9+W_Agents*M9</f>
        <v>0.951193</v>
      </c>
      <c r="S9" s="27" t="n">
        <f aca="false">(1-W_Analyst)*R9+W_Analyst*Q9</f>
        <v>0.951193</v>
      </c>
      <c r="T9" s="24" t="n">
        <f aca="false">LN(MIN(MAX(S9,0.0001),0.9999)/(1-MIN(MAX(S9,0.0001),0.9999)))</f>
        <v>2.96984324102904</v>
      </c>
      <c r="U9" s="25" t="n">
        <v>0.9577</v>
      </c>
    </row>
    <row r="10" customFormat="false" ht="15" hidden="false" customHeight="false" outlineLevel="0" collapsed="false">
      <c r="A10" s="6" t="n">
        <v>168.25</v>
      </c>
      <c r="B10" s="24" t="n">
        <f aca="false">LN(A10)</f>
        <v>5.12545096852484</v>
      </c>
      <c r="C10" s="25" t="n">
        <v>0.8768</v>
      </c>
      <c r="D10" s="25" t="n">
        <v>0.9253</v>
      </c>
      <c r="E10" s="25" t="n">
        <v>0.9248</v>
      </c>
      <c r="F10" s="25" t="n">
        <v>0.9178</v>
      </c>
      <c r="G10" s="24" t="n">
        <f aca="false">AVERAGE(D10:F10)</f>
        <v>0.922633333333333</v>
      </c>
      <c r="H10" s="25" t="n">
        <v>0.9225</v>
      </c>
      <c r="I10" s="24" t="n">
        <f aca="false">IF(AND(Sup_Used=1,ISNUMBER(H10)),H10,G10)</f>
        <v>0.922633333333333</v>
      </c>
      <c r="J10" s="24" t="n">
        <f aca="false">LN(MIN(MAX(I10,0.0001),0.9999)/(1-MIN(MAX(I10,0.0001),0.9999)))</f>
        <v>2.47867587563694</v>
      </c>
      <c r="K10" s="16" t="n">
        <f aca="false">A10*EXP(-Platt_Shift)</f>
        <v>168.25</v>
      </c>
      <c r="L10" s="26" t="n">
        <f aca="false">MIN(MAX(IFERROR(MATCH(K10,Distribution!$A$6:$A$20,1),1),1),14)</f>
        <v>5</v>
      </c>
      <c r="M10" s="24" t="n">
        <f aca="false">1/(1+EXP(-(INDEX(Distribution!$J$6:$J$20,L10)+(LN(K10)-INDEX(Distribution!$B$6:$B$20,L10))/(INDEX(Distribution!$B$6:$B$20,L10+1)-INDEX(Distribution!$B$6:$B$20,L10))*(INDEX(Distribution!$J$6:$J$20,L10+1)-INDEX(Distribution!$J$6:$J$20,L10)))))</f>
        <v>0.922633333333333</v>
      </c>
      <c r="N10" s="24" t="n">
        <f aca="false">LN(MIN(MAX(C10,0.0001),0.9999)/(1-MIN(MAX(C10,0.0001),0.9999)))</f>
        <v>1.96246986509433</v>
      </c>
      <c r="O10" s="16" t="n">
        <f aca="false">IF(Analyst_Median&gt;0,A10*Market_Median/Analyst_Median,A10)</f>
        <v>131.017464715772</v>
      </c>
      <c r="P10" s="26" t="n">
        <f aca="false">MIN(MAX(IFERROR(MATCH(O10,Distribution!$A$6:$A$20,1),1),1),14)</f>
        <v>3</v>
      </c>
      <c r="Q10" s="24" t="n">
        <f aca="false">1/(1+EXP(-(INDEX(Distribution!$N$6:$N$20,P10)+(LN(O10)-INDEX(Distribution!$B$6:$B$20,P10))/(INDEX(Distribution!$B$6:$B$20,P10+1)-INDEX(Distribution!$B$6:$B$20,P10))*(INDEX(Distribution!$N$6:$N$20,P10+1)-INDEX(Distribution!$N$6:$N$20,P10)))))</f>
        <v>0.968984027028204</v>
      </c>
      <c r="R10" s="24" t="n">
        <f aca="false">W_Mkt*C10+W_Agents*M10</f>
        <v>0.891925</v>
      </c>
      <c r="S10" s="27" t="n">
        <f aca="false">(1-W_Analyst)*R10+W_Analyst*Q10</f>
        <v>0.891925</v>
      </c>
      <c r="T10" s="24" t="n">
        <f aca="false">LN(MIN(MAX(S10,0.0001),0.9999)/(1-MIN(MAX(S10,0.0001),0.9999)))</f>
        <v>2.11055661777384</v>
      </c>
      <c r="U10" s="25" t="n">
        <v>0.901</v>
      </c>
    </row>
    <row r="11" customFormat="false" ht="15" hidden="false" customHeight="false" outlineLevel="0" collapsed="false">
      <c r="A11" s="6" t="n">
        <v>192.28</v>
      </c>
      <c r="B11" s="24" t="n">
        <f aca="false">LN(A11)</f>
        <v>5.25895264302576</v>
      </c>
      <c r="C11" s="25" t="n">
        <v>0.7844</v>
      </c>
      <c r="D11" s="25" t="n">
        <v>0.8714</v>
      </c>
      <c r="E11" s="25" t="n">
        <v>0.8511</v>
      </c>
      <c r="F11" s="25" t="n">
        <v>0.8406</v>
      </c>
      <c r="G11" s="24" t="n">
        <f aca="false">AVERAGE(D11:F11)</f>
        <v>0.854366666666667</v>
      </c>
      <c r="H11" s="25" t="n">
        <v>0.8544</v>
      </c>
      <c r="I11" s="24" t="n">
        <f aca="false">IF(AND(Sup_Used=1,ISNUMBER(H11)),H11,G11)</f>
        <v>0.854366666666667</v>
      </c>
      <c r="J11" s="24" t="n">
        <f aca="false">LN(MIN(MAX(I11,0.0001),0.9999)/(1-MIN(MAX(I11,0.0001),0.9999)))</f>
        <v>1.76926840642276</v>
      </c>
      <c r="K11" s="16" t="n">
        <f aca="false">A11*EXP(-Platt_Shift)</f>
        <v>192.28</v>
      </c>
      <c r="L11" s="26" t="n">
        <f aca="false">MIN(MAX(IFERROR(MATCH(K11,Distribution!$A$6:$A$20,1),1),1),14)</f>
        <v>6</v>
      </c>
      <c r="M11" s="24" t="n">
        <f aca="false">1/(1+EXP(-(INDEX(Distribution!$J$6:$J$20,L11)+(LN(K11)-INDEX(Distribution!$B$6:$B$20,L11))/(INDEX(Distribution!$B$6:$B$20,L11+1)-INDEX(Distribution!$B$6:$B$20,L11))*(INDEX(Distribution!$J$6:$J$20,L11+1)-INDEX(Distribution!$J$6:$J$20,L11)))))</f>
        <v>0.854366666666667</v>
      </c>
      <c r="N11" s="24" t="n">
        <f aca="false">LN(MIN(MAX(C11,0.0001),0.9999)/(1-MIN(MAX(C11,0.0001),0.9999)))</f>
        <v>1.29149425528735</v>
      </c>
      <c r="O11" s="16" t="n">
        <f aca="false">IF(Analyst_Median&gt;0,A11*Market_Median/Analyst_Median,A11)</f>
        <v>149.729795634762</v>
      </c>
      <c r="P11" s="26" t="n">
        <f aca="false">MIN(MAX(IFERROR(MATCH(O11,Distribution!$A$6:$A$20,1),1),1),14)</f>
        <v>4</v>
      </c>
      <c r="Q11" s="24" t="n">
        <f aca="false">1/(1+EXP(-(INDEX(Distribution!$N$6:$N$20,P11)+(LN(O11)-INDEX(Distribution!$B$6:$B$20,P11))/(INDEX(Distribution!$B$6:$B$20,P11+1)-INDEX(Distribution!$B$6:$B$20,P11))*(INDEX(Distribution!$N$6:$N$20,P11+1)-INDEX(Distribution!$N$6:$N$20,P11)))))</f>
        <v>0.931710651462233</v>
      </c>
      <c r="R11" s="24" t="n">
        <f aca="false">W_Mkt*C11+W_Agents*M11</f>
        <v>0.807489</v>
      </c>
      <c r="S11" s="27" t="n">
        <f aca="false">(1-W_Analyst)*R11+W_Analyst*Q11</f>
        <v>0.807489</v>
      </c>
      <c r="T11" s="24" t="n">
        <f aca="false">LN(MIN(MAX(S11,0.0001),0.9999)/(1-MIN(MAX(S11,0.0001),0.9999)))</f>
        <v>1.43377613776061</v>
      </c>
      <c r="U11" s="25" t="n">
        <v>0.8177</v>
      </c>
    </row>
    <row r="12" customFormat="false" ht="15" hidden="false" customHeight="false" outlineLevel="0" collapsed="false">
      <c r="A12" s="6" t="n">
        <v>216.31</v>
      </c>
      <c r="B12" s="24" t="n">
        <f aca="false">LN(A12)</f>
        <v>5.37671256397541</v>
      </c>
      <c r="C12" s="25" t="n">
        <v>0.677</v>
      </c>
      <c r="D12" s="25" t="n">
        <v>0.7964</v>
      </c>
      <c r="E12" s="25" t="n">
        <v>0.7502</v>
      </c>
      <c r="F12" s="25" t="n">
        <v>0.7403</v>
      </c>
      <c r="G12" s="24" t="n">
        <f aca="false">AVERAGE(D12:F12)</f>
        <v>0.7623</v>
      </c>
      <c r="H12" s="25" t="n">
        <v>0.7624</v>
      </c>
      <c r="I12" s="24" t="n">
        <f aca="false">IF(AND(Sup_Used=1,ISNUMBER(H12)),H12,G12)</f>
        <v>0.7623</v>
      </c>
      <c r="J12" s="24" t="n">
        <f aca="false">LN(MIN(MAX(I12,0.0001),0.9999)/(1-MIN(MAX(I12,0.0001),0.9999)))</f>
        <v>1.16533080462808</v>
      </c>
      <c r="K12" s="16" t="n">
        <f aca="false">A12*EXP(-Platt_Shift)</f>
        <v>216.31</v>
      </c>
      <c r="L12" s="26" t="n">
        <f aca="false">MIN(MAX(IFERROR(MATCH(K12,Distribution!$A$6:$A$20,1),1),1),14)</f>
        <v>7</v>
      </c>
      <c r="M12" s="24" t="n">
        <f aca="false">1/(1+EXP(-(INDEX(Distribution!$J$6:$J$20,L12)+(LN(K12)-INDEX(Distribution!$B$6:$B$20,L12))/(INDEX(Distribution!$B$6:$B$20,L12+1)-INDEX(Distribution!$B$6:$B$20,L12))*(INDEX(Distribution!$J$6:$J$20,L12+1)-INDEX(Distribution!$J$6:$J$20,L12)))))</f>
        <v>0.7623</v>
      </c>
      <c r="N12" s="24" t="n">
        <f aca="false">LN(MIN(MAX(C12,0.0001),0.9999)/(1-MIN(MAX(C12,0.0001),0.9999)))</f>
        <v>0.740018949689619</v>
      </c>
      <c r="O12" s="16" t="n">
        <f aca="false">IF(Analyst_Median&gt;0,A12*Market_Median/Analyst_Median,A12)</f>
        <v>168.442126553752</v>
      </c>
      <c r="P12" s="26" t="n">
        <f aca="false">MIN(MAX(IFERROR(MATCH(O12,Distribution!$A$6:$A$20,1),1),1),14)</f>
        <v>5</v>
      </c>
      <c r="Q12" s="24" t="n">
        <f aca="false">1/(1+EXP(-(INDEX(Distribution!$N$6:$N$20,P12)+(LN(O12)-INDEX(Distribution!$B$6:$B$20,P12))/(INDEX(Distribution!$B$6:$B$20,P12+1)-INDEX(Distribution!$B$6:$B$20,P12))*(INDEX(Distribution!$N$6:$N$20,P12+1)-INDEX(Distribution!$N$6:$N$20,P12)))))</f>
        <v>0.876179053464442</v>
      </c>
      <c r="R12" s="24" t="n">
        <f aca="false">W_Mkt*C12+W_Agents*M12</f>
        <v>0.705149</v>
      </c>
      <c r="S12" s="27" t="n">
        <f aca="false">(1-W_Analyst)*R12+W_Analyst*Q12</f>
        <v>0.705149</v>
      </c>
      <c r="T12" s="24" t="n">
        <f aca="false">LN(MIN(MAX(S12,0.0001),0.9999)/(1-MIN(MAX(S12,0.0001),0.9999)))</f>
        <v>0.871938984003469</v>
      </c>
      <c r="U12" s="25" t="n">
        <v>0.7155</v>
      </c>
    </row>
    <row r="13" customFormat="false" ht="15" hidden="false" customHeight="false" outlineLevel="0" collapsed="false">
      <c r="A13" s="6" t="n">
        <v>240.35</v>
      </c>
      <c r="B13" s="24" t="n">
        <f aca="false">LN(A13)</f>
        <v>5.48209619433997</v>
      </c>
      <c r="C13" s="25" t="n">
        <v>0.5658</v>
      </c>
      <c r="D13" s="25" t="n">
        <v>0.6952</v>
      </c>
      <c r="E13" s="25" t="n">
        <v>0.6327</v>
      </c>
      <c r="F13" s="25" t="n">
        <v>0.6217</v>
      </c>
      <c r="G13" s="24" t="n">
        <f aca="false">AVERAGE(D13:F13)</f>
        <v>0.649866666666667</v>
      </c>
      <c r="H13" s="25" t="n">
        <v>0.6499</v>
      </c>
      <c r="I13" s="24" t="n">
        <f aca="false">IF(AND(Sup_Used=1,ISNUMBER(H13)),H13,G13)</f>
        <v>0.649866666666667</v>
      </c>
      <c r="J13" s="24" t="n">
        <f aca="false">LN(MIN(MAX(I13,0.0001),0.9999)/(1-MIN(MAX(I13,0.0001),0.9999)))</f>
        <v>0.61845317932241</v>
      </c>
      <c r="K13" s="16" t="n">
        <f aca="false">A13*EXP(-Platt_Shift)</f>
        <v>240.35</v>
      </c>
      <c r="L13" s="26" t="n">
        <f aca="false">MIN(MAX(IFERROR(MATCH(K13,Distribution!$A$6:$A$20,1),1),1),14)</f>
        <v>8</v>
      </c>
      <c r="M13" s="24" t="n">
        <f aca="false">1/(1+EXP(-(INDEX(Distribution!$J$6:$J$20,L13)+(LN(K13)-INDEX(Distribution!$B$6:$B$20,L13))/(INDEX(Distribution!$B$6:$B$20,L13+1)-INDEX(Distribution!$B$6:$B$20,L13))*(INDEX(Distribution!$J$6:$J$20,L13+1)-INDEX(Distribution!$J$6:$J$20,L13)))))</f>
        <v>0.649866666666667</v>
      </c>
      <c r="N13" s="24" t="n">
        <f aca="false">LN(MIN(MAX(C13,0.0001),0.9999)/(1-MIN(MAX(C13,0.0001),0.9999)))</f>
        <v>0.264735401423275</v>
      </c>
      <c r="O13" s="16" t="n">
        <f aca="false">IF(Analyst_Median&gt;0,A13*Market_Median/Analyst_Median,A13)</f>
        <v>187.162244543453</v>
      </c>
      <c r="P13" s="26" t="n">
        <f aca="false">MIN(MAX(IFERROR(MATCH(O13,Distribution!$A$6:$A$20,1),1),1),14)</f>
        <v>5</v>
      </c>
      <c r="Q13" s="24" t="n">
        <f aca="false">1/(1+EXP(-(INDEX(Distribution!$N$6:$N$20,P13)+(LN(O13)-INDEX(Distribution!$B$6:$B$20,P13))/(INDEX(Distribution!$B$6:$B$20,P13+1)-INDEX(Distribution!$B$6:$B$20,P13))*(INDEX(Distribution!$N$6:$N$20,P13+1)-INDEX(Distribution!$N$6:$N$20,P13)))))</f>
        <v>0.806445751626703</v>
      </c>
      <c r="R13" s="24" t="n">
        <f aca="false">W_Mkt*C13+W_Agents*M13</f>
        <v>0.593542</v>
      </c>
      <c r="S13" s="27" t="n">
        <f aca="false">(1-W_Analyst)*R13+W_Analyst*Q13</f>
        <v>0.593542</v>
      </c>
      <c r="T13" s="24" t="n">
        <f aca="false">LN(MIN(MAX(S13,0.0001),0.9999)/(1-MIN(MAX(S13,0.0001),0.9999)))</f>
        <v>0.378627375567798</v>
      </c>
      <c r="U13" s="25" t="n">
        <v>0.6052</v>
      </c>
    </row>
    <row r="14" customFormat="false" ht="15" hidden="false" customHeight="false" outlineLevel="0" collapsed="false">
      <c r="A14" s="6" t="n">
        <v>264.38</v>
      </c>
      <c r="B14" s="24" t="n">
        <f aca="false">LN(A14)</f>
        <v>5.57738746215125</v>
      </c>
      <c r="C14" s="25" t="n">
        <v>0.4603</v>
      </c>
      <c r="D14" s="25" t="n">
        <v>0.573</v>
      </c>
      <c r="E14" s="25" t="n">
        <v>0.5127</v>
      </c>
      <c r="F14" s="25" t="n">
        <v>0.4964</v>
      </c>
      <c r="G14" s="24" t="n">
        <f aca="false">AVERAGE(D14:F14)</f>
        <v>0.527366666666667</v>
      </c>
      <c r="H14" s="25" t="n">
        <v>0.5273</v>
      </c>
      <c r="I14" s="24" t="n">
        <f aca="false">IF(AND(Sup_Used=1,ISNUMBER(H14)),H14,G14)</f>
        <v>0.527366666666667</v>
      </c>
      <c r="J14" s="24" t="n">
        <f aca="false">LN(MIN(MAX(I14,0.0001),0.9999)/(1-MIN(MAX(I14,0.0001),0.9999)))</f>
        <v>0.109576174711506</v>
      </c>
      <c r="K14" s="16" t="n">
        <f aca="false">A14*EXP(-Platt_Shift)</f>
        <v>264.38</v>
      </c>
      <c r="L14" s="26" t="n">
        <f aca="false">MIN(MAX(IFERROR(MATCH(K14,Distribution!$A$6:$A$20,1),1),1),14)</f>
        <v>9</v>
      </c>
      <c r="M14" s="24" t="n">
        <f aca="false">1/(1+EXP(-(INDEX(Distribution!$J$6:$J$20,L14)+(LN(K14)-INDEX(Distribution!$B$6:$B$20,L14))/(INDEX(Distribution!$B$6:$B$20,L14+1)-INDEX(Distribution!$B$6:$B$20,L14))*(INDEX(Distribution!$J$6:$J$20,L14+1)-INDEX(Distribution!$J$6:$J$20,L14)))))</f>
        <v>0.527366666666667</v>
      </c>
      <c r="N14" s="24" t="n">
        <f aca="false">LN(MIN(MAX(C14,0.0001),0.9999)/(1-MIN(MAX(C14,0.0001),0.9999)))</f>
        <v>-0.159134978801402</v>
      </c>
      <c r="O14" s="16" t="n">
        <f aca="false">IF(Analyst_Median&gt;0,A14*Market_Median/Analyst_Median,A14)</f>
        <v>205.874575462442</v>
      </c>
      <c r="P14" s="26" t="n">
        <f aca="false">MIN(MAX(IFERROR(MATCH(O14,Distribution!$A$6:$A$20,1),1),1),14)</f>
        <v>6</v>
      </c>
      <c r="Q14" s="24" t="n">
        <f aca="false">1/(1+EXP(-(INDEX(Distribution!$N$6:$N$20,P14)+(LN(O14)-INDEX(Distribution!$B$6:$B$20,P14))/(INDEX(Distribution!$B$6:$B$20,P14+1)-INDEX(Distribution!$B$6:$B$20,P14))*(INDEX(Distribution!$N$6:$N$20,P14+1)-INDEX(Distribution!$N$6:$N$20,P14)))))</f>
        <v>0.725433174655549</v>
      </c>
      <c r="R14" s="24" t="n">
        <f aca="false">W_Mkt*C14+W_Agents*M14</f>
        <v>0.482432</v>
      </c>
      <c r="S14" s="27" t="n">
        <f aca="false">(1-W_Analyst)*R14+W_Analyst*Q14</f>
        <v>0.482432</v>
      </c>
      <c r="T14" s="24" t="n">
        <f aca="false">LN(MIN(MAX(S14,0.0001),0.9999)/(1-MIN(MAX(S14,0.0001),0.9999)))</f>
        <v>-0.0703009392687414</v>
      </c>
      <c r="U14" s="25" t="n">
        <v>0.4911</v>
      </c>
    </row>
    <row r="15" customFormat="false" ht="15" hidden="false" customHeight="false" outlineLevel="0" collapsed="false">
      <c r="A15" s="6" t="n">
        <v>288.42</v>
      </c>
      <c r="B15" s="24" t="n">
        <f aca="false">LN(A15)</f>
        <v>5.66441775113392</v>
      </c>
      <c r="C15" s="25" t="n">
        <v>0.3661</v>
      </c>
      <c r="D15" s="25" t="n">
        <v>0.4464</v>
      </c>
      <c r="E15" s="25" t="n">
        <v>0.4016</v>
      </c>
      <c r="F15" s="25" t="n">
        <v>0.3805</v>
      </c>
      <c r="G15" s="24" t="n">
        <f aca="false">AVERAGE(D15:F15)</f>
        <v>0.4095</v>
      </c>
      <c r="H15" s="25" t="n">
        <v>0.4095</v>
      </c>
      <c r="I15" s="24" t="n">
        <f aca="false">IF(AND(Sup_Used=1,ISNUMBER(H15)),H15,G15)</f>
        <v>0.4095</v>
      </c>
      <c r="J15" s="24" t="n">
        <f aca="false">LN(MIN(MAX(I15,0.0001),0.9999)/(1-MIN(MAX(I15,0.0001),0.9999)))</f>
        <v>-0.366032732344293</v>
      </c>
      <c r="K15" s="16" t="n">
        <f aca="false">A15*EXP(-Platt_Shift)</f>
        <v>288.42</v>
      </c>
      <c r="L15" s="26" t="n">
        <f aca="false">MIN(MAX(IFERROR(MATCH(K15,Distribution!$A$6:$A$20,1),1),1),14)</f>
        <v>10</v>
      </c>
      <c r="M15" s="24" t="n">
        <f aca="false">1/(1+EXP(-(INDEX(Distribution!$J$6:$J$20,L15)+(LN(K15)-INDEX(Distribution!$B$6:$B$20,L15))/(INDEX(Distribution!$B$6:$B$20,L15+1)-INDEX(Distribution!$B$6:$B$20,L15))*(INDEX(Distribution!$J$6:$J$20,L15+1)-INDEX(Distribution!$J$6:$J$20,L15)))))</f>
        <v>0.4095</v>
      </c>
      <c r="N15" s="24" t="n">
        <f aca="false">LN(MIN(MAX(C15,0.0001),0.9999)/(1-MIN(MAX(C15,0.0001),0.9999)))</f>
        <v>-0.54898469316393</v>
      </c>
      <c r="O15" s="16" t="n">
        <f aca="false">IF(Analyst_Median&gt;0,A15*Market_Median/Analyst_Median,A15)</f>
        <v>224.594693452143</v>
      </c>
      <c r="P15" s="26" t="n">
        <f aca="false">MIN(MAX(IFERROR(MATCH(O15,Distribution!$A$6:$A$20,1),1),1),14)</f>
        <v>7</v>
      </c>
      <c r="Q15" s="24" t="n">
        <f aca="false">1/(1+EXP(-(INDEX(Distribution!$N$6:$N$20,P15)+(LN(O15)-INDEX(Distribution!$B$6:$B$20,P15))/(INDEX(Distribution!$B$6:$B$20,P15+1)-INDEX(Distribution!$B$6:$B$20,P15))*(INDEX(Distribution!$N$6:$N$20,P15+1)-INDEX(Distribution!$N$6:$N$20,P15)))))</f>
        <v>0.638880861911962</v>
      </c>
      <c r="R15" s="24" t="n">
        <f aca="false">W_Mkt*C15+W_Agents*M15</f>
        <v>0.380422</v>
      </c>
      <c r="S15" s="27" t="n">
        <f aca="false">(1-W_Analyst)*R15+W_Analyst*Q15</f>
        <v>0.380422</v>
      </c>
      <c r="T15" s="24" t="n">
        <f aca="false">LN(MIN(MAX(S15,0.0001),0.9999)/(1-MIN(MAX(S15,0.0001),0.9999)))</f>
        <v>-0.487757438275748</v>
      </c>
      <c r="U15" s="25" t="n">
        <v>0.3735</v>
      </c>
    </row>
    <row r="16" customFormat="false" ht="15" hidden="false" customHeight="false" outlineLevel="0" collapsed="false">
      <c r="A16" s="6" t="n">
        <v>324.47</v>
      </c>
      <c r="B16" s="24" t="n">
        <f aca="false">LN(A16)</f>
        <v>5.78219308194743</v>
      </c>
      <c r="C16" s="25" t="n">
        <v>0.2513</v>
      </c>
      <c r="D16" s="25" t="n">
        <v>0.2829</v>
      </c>
      <c r="E16" s="25" t="n">
        <v>0.2648</v>
      </c>
      <c r="F16" s="25" t="n">
        <v>0.2411</v>
      </c>
      <c r="G16" s="24" t="n">
        <f aca="false">AVERAGE(D16:F16)</f>
        <v>0.262933333333333</v>
      </c>
      <c r="H16" s="25" t="n">
        <v>0.2629</v>
      </c>
      <c r="I16" s="24" t="n">
        <f aca="false">IF(AND(Sup_Used=1,ISNUMBER(H16)),H16,G16)</f>
        <v>0.262933333333333</v>
      </c>
      <c r="J16" s="24" t="n">
        <f aca="false">LN(MIN(MAX(I16,0.0001),0.9999)/(1-MIN(MAX(I16,0.0001),0.9999)))</f>
        <v>-1.03077783028493</v>
      </c>
      <c r="K16" s="16" t="n">
        <f aca="false">A16*EXP(-Platt_Shift)</f>
        <v>324.47</v>
      </c>
      <c r="L16" s="26" t="n">
        <f aca="false">MIN(MAX(IFERROR(MATCH(K16,Distribution!$A$6:$A$20,1),1),1),14)</f>
        <v>11</v>
      </c>
      <c r="M16" s="24" t="n">
        <f aca="false">1/(1+EXP(-(INDEX(Distribution!$J$6:$J$20,L16)+(LN(K16)-INDEX(Distribution!$B$6:$B$20,L16))/(INDEX(Distribution!$B$6:$B$20,L16+1)-INDEX(Distribution!$B$6:$B$20,L16))*(INDEX(Distribution!$J$6:$J$20,L16+1)-INDEX(Distribution!$J$6:$J$20,L16)))))</f>
        <v>0.262933333333333</v>
      </c>
      <c r="N16" s="24" t="n">
        <f aca="false">LN(MIN(MAX(C16,0.0001),0.9999)/(1-MIN(MAX(C16,0.0001),0.9999)))</f>
        <v>-1.09169092468709</v>
      </c>
      <c r="O16" s="16" t="n">
        <f aca="false">IF(Analyst_Median&gt;0,A16*Market_Median/Analyst_Median,A16)</f>
        <v>252.667083365983</v>
      </c>
      <c r="P16" s="26" t="n">
        <f aca="false">MIN(MAX(IFERROR(MATCH(O16,Distribution!$A$6:$A$20,1),1),1),14)</f>
        <v>8</v>
      </c>
      <c r="Q16" s="24" t="n">
        <f aca="false">1/(1+EXP(-(INDEX(Distribution!$N$6:$N$20,P16)+(LN(O16)-INDEX(Distribution!$B$6:$B$20,P16))/(INDEX(Distribution!$B$6:$B$20,P16+1)-INDEX(Distribution!$B$6:$B$20,P16))*(INDEX(Distribution!$N$6:$N$20,P16+1)-INDEX(Distribution!$N$6:$N$20,P16)))))</f>
        <v>0.510606390127448</v>
      </c>
      <c r="R16" s="24" t="n">
        <f aca="false">W_Mkt*C16+W_Agents*M16</f>
        <v>0.255139</v>
      </c>
      <c r="S16" s="27" t="n">
        <f aca="false">(1-W_Analyst)*R16+W_Analyst*Q16</f>
        <v>0.255139</v>
      </c>
      <c r="T16" s="24" t="n">
        <f aca="false">LN(MIN(MAX(S16,0.0001),0.9999)/(1-MIN(MAX(S16,0.0001),0.9999)))</f>
        <v>-1.07138912910499</v>
      </c>
      <c r="U16" s="25" t="n">
        <v>0.2243</v>
      </c>
    </row>
    <row r="17" customFormat="false" ht="15" hidden="false" customHeight="false" outlineLevel="0" collapsed="false">
      <c r="A17" s="6" t="n">
        <v>360.52</v>
      </c>
      <c r="B17" s="24" t="n">
        <f aca="false">LN(A17)</f>
        <v>5.88754743368821</v>
      </c>
      <c r="C17" s="25" t="n">
        <v>0.1676</v>
      </c>
      <c r="D17" s="25" t="n">
        <v>0.1696</v>
      </c>
      <c r="E17" s="25" t="n">
        <v>0.1681</v>
      </c>
      <c r="F17" s="25" t="n">
        <v>0.1437</v>
      </c>
      <c r="G17" s="24" t="n">
        <f aca="false">AVERAGE(D17:F17)</f>
        <v>0.160466666666667</v>
      </c>
      <c r="H17" s="25" t="n">
        <v>0.1605</v>
      </c>
      <c r="I17" s="24" t="n">
        <f aca="false">IF(AND(Sup_Used=1,ISNUMBER(H17)),H17,G17)</f>
        <v>0.160466666666667</v>
      </c>
      <c r="J17" s="24" t="n">
        <f aca="false">LN(MIN(MAX(I17,0.0001),0.9999)/(1-MIN(MAX(I17,0.0001),0.9999)))</f>
        <v>-1.65475994522277</v>
      </c>
      <c r="K17" s="16" t="n">
        <f aca="false">A17*EXP(-Platt_Shift)</f>
        <v>360.52</v>
      </c>
      <c r="L17" s="26" t="n">
        <f aca="false">MIN(MAX(IFERROR(MATCH(K17,Distribution!$A$6:$A$20,1),1),1),14)</f>
        <v>12</v>
      </c>
      <c r="M17" s="24" t="n">
        <f aca="false">1/(1+EXP(-(INDEX(Distribution!$J$6:$J$20,L17)+(LN(K17)-INDEX(Distribution!$B$6:$B$20,L17))/(INDEX(Distribution!$B$6:$B$20,L17+1)-INDEX(Distribution!$B$6:$B$20,L17))*(INDEX(Distribution!$J$6:$J$20,L17+1)-INDEX(Distribution!$J$6:$J$20,L17)))))</f>
        <v>0.160466666666667</v>
      </c>
      <c r="N17" s="24" t="n">
        <f aca="false">LN(MIN(MAX(C17,0.0001),0.9999)/(1-MIN(MAX(C17,0.0001),0.9999)))</f>
        <v>-1.6027329064715</v>
      </c>
      <c r="O17" s="16" t="n">
        <f aca="false">IF(Analyst_Median&gt;0,A17*Market_Median/Analyst_Median,A17)</f>
        <v>280.739473279823</v>
      </c>
      <c r="P17" s="26" t="n">
        <f aca="false">MIN(MAX(IFERROR(MATCH(O17,Distribution!$A$6:$A$20,1),1),1),14)</f>
        <v>9</v>
      </c>
      <c r="Q17" s="24" t="n">
        <f aca="false">1/(1+EXP(-(INDEX(Distribution!$N$6:$N$20,P17)+(LN(O17)-INDEX(Distribution!$B$6:$B$20,P17))/(INDEX(Distribution!$B$6:$B$20,P17+1)-INDEX(Distribution!$B$6:$B$20,P17))*(INDEX(Distribution!$N$6:$N$20,P17+1)-INDEX(Distribution!$N$6:$N$20,P17)))))</f>
        <v>0.394584705451282</v>
      </c>
      <c r="R17" s="24" t="n">
        <f aca="false">W_Mkt*C17+W_Agents*M17</f>
        <v>0.165246</v>
      </c>
      <c r="S17" s="27" t="n">
        <f aca="false">(1-W_Analyst)*R17+W_Analyst*Q17</f>
        <v>0.165246</v>
      </c>
      <c r="T17" s="24" t="n">
        <f aca="false">LN(MIN(MAX(S17,0.0001),0.9999)/(1-MIN(MAX(S17,0.0001),0.9999)))</f>
        <v>-1.61970179797617</v>
      </c>
      <c r="U17" s="25" t="n">
        <v>0.1341</v>
      </c>
    </row>
    <row r="18" customFormat="false" ht="15" hidden="false" customHeight="false" outlineLevel="0" collapsed="false">
      <c r="A18" s="6" t="n">
        <v>420.61</v>
      </c>
      <c r="B18" s="24" t="n">
        <f aca="false">LN(A18)</f>
        <v>6.04170603854469</v>
      </c>
      <c r="C18" s="25" t="n">
        <v>0.0818</v>
      </c>
      <c r="D18" s="25" t="n">
        <v>0.0684</v>
      </c>
      <c r="E18" s="25" t="n">
        <v>0.0754</v>
      </c>
      <c r="F18" s="25" t="n">
        <v>0.0565</v>
      </c>
      <c r="G18" s="24" t="n">
        <f aca="false">AVERAGE(D18:F18)</f>
        <v>0.0667666666666667</v>
      </c>
      <c r="H18" s="25" t="n">
        <v>0.0668</v>
      </c>
      <c r="I18" s="24" t="n">
        <f aca="false">IF(AND(Sup_Used=1,ISNUMBER(H18)),H18,G18)</f>
        <v>0.0667666666666667</v>
      </c>
      <c r="J18" s="24" t="n">
        <f aca="false">LN(MIN(MAX(I18,0.0001),0.9999)/(1-MIN(MAX(I18,0.0001),0.9999)))</f>
        <v>-2.63745130489417</v>
      </c>
      <c r="K18" s="16" t="n">
        <f aca="false">A18*EXP(-Platt_Shift)</f>
        <v>420.61</v>
      </c>
      <c r="L18" s="26" t="n">
        <f aca="false">MIN(MAX(IFERROR(MATCH(K18,Distribution!$A$6:$A$20,1),1),1),14)</f>
        <v>13</v>
      </c>
      <c r="M18" s="24" t="n">
        <f aca="false">1/(1+EXP(-(INDEX(Distribution!$J$6:$J$20,L18)+(LN(K18)-INDEX(Distribution!$B$6:$B$20,L18))/(INDEX(Distribution!$B$6:$B$20,L18+1)-INDEX(Distribution!$B$6:$B$20,L18))*(INDEX(Distribution!$J$6:$J$20,L18+1)-INDEX(Distribution!$J$6:$J$20,L18)))))</f>
        <v>0.0667666666666667</v>
      </c>
      <c r="N18" s="24" t="n">
        <f aca="false">LN(MIN(MAX(C18,0.0001),0.9999)/(1-MIN(MAX(C18,0.0001),0.9999)))</f>
        <v>-2.41813798820642</v>
      </c>
      <c r="O18" s="16" t="n">
        <f aca="false">IF(Analyst_Median&gt;0,A18*Market_Median/Analyst_Median,A18)</f>
        <v>327.531981183364</v>
      </c>
      <c r="P18" s="26" t="n">
        <f aca="false">MIN(MAX(IFERROR(MATCH(O18,Distribution!$A$6:$A$20,1),1),1),14)</f>
        <v>11</v>
      </c>
      <c r="Q18" s="24" t="n">
        <f aca="false">1/(1+EXP(-(INDEX(Distribution!$N$6:$N$20,P18)+(LN(O18)-INDEX(Distribution!$B$6:$B$20,P18))/(INDEX(Distribution!$B$6:$B$20,P18+1)-INDEX(Distribution!$B$6:$B$20,P18))*(INDEX(Distribution!$N$6:$N$20,P18+1)-INDEX(Distribution!$N$6:$N$20,P18)))))</f>
        <v>0.242825313624538</v>
      </c>
      <c r="R18" s="24" t="n">
        <f aca="false">W_Mkt*C18+W_Agents*M18</f>
        <v>0.076839</v>
      </c>
      <c r="S18" s="27" t="n">
        <f aca="false">(1-W_Analyst)*R18+W_Analyst*Q18</f>
        <v>0.076839</v>
      </c>
      <c r="T18" s="24" t="n">
        <f aca="false">LN(MIN(MAX(S18,0.0001),0.9999)/(1-MIN(MAX(S18,0.0001),0.9999)))</f>
        <v>-2.48609132673361</v>
      </c>
      <c r="U18" s="25" t="n">
        <v>0.0607</v>
      </c>
    </row>
    <row r="19" customFormat="false" ht="15" hidden="false" customHeight="false" outlineLevel="0" collapsed="false">
      <c r="A19" s="6" t="n">
        <v>480.7</v>
      </c>
      <c r="B19" s="24" t="n">
        <f aca="false">LN(A19)</f>
        <v>6.17524337489992</v>
      </c>
      <c r="C19" s="25" t="n">
        <v>0.0388</v>
      </c>
      <c r="D19" s="25" t="n">
        <v>0.0266</v>
      </c>
      <c r="E19" s="25" t="n">
        <v>0.0344</v>
      </c>
      <c r="F19" s="25" t="n">
        <v>0.0226</v>
      </c>
      <c r="G19" s="24" t="n">
        <f aca="false">AVERAGE(D19:F19)</f>
        <v>0.0278666666666667</v>
      </c>
      <c r="H19" s="25" t="n">
        <v>0.0279</v>
      </c>
      <c r="I19" s="24" t="n">
        <f aca="false">IF(AND(Sup_Used=1,ISNUMBER(H19)),H19,G19)</f>
        <v>0.0278666666666667</v>
      </c>
      <c r="J19" s="24" t="n">
        <f aca="false">LN(MIN(MAX(I19,0.0001),0.9999)/(1-MIN(MAX(I19,0.0001),0.9999)))</f>
        <v>-3.55206173784162</v>
      </c>
      <c r="K19" s="16" t="n">
        <f aca="false">A19*EXP(-Platt_Shift)</f>
        <v>480.7</v>
      </c>
      <c r="L19" s="26" t="n">
        <f aca="false">MIN(MAX(IFERROR(MATCH(K19,Distribution!$A$6:$A$20,1),1),1),14)</f>
        <v>14</v>
      </c>
      <c r="M19" s="24" t="n">
        <f aca="false">1/(1+EXP(-(INDEX(Distribution!$J$6:$J$20,L19)+(LN(K19)-INDEX(Distribution!$B$6:$B$20,L19))/(INDEX(Distribution!$B$6:$B$20,L19+1)-INDEX(Distribution!$B$6:$B$20,L19))*(INDEX(Distribution!$J$6:$J$20,L19+1)-INDEX(Distribution!$J$6:$J$20,L19)))))</f>
        <v>0.0278666666666667</v>
      </c>
      <c r="N19" s="24" t="n">
        <f aca="false">LN(MIN(MAX(C19,0.0001),0.9999)/(1-MIN(MAX(C19,0.0001),0.9999)))</f>
        <v>-3.20976225723309</v>
      </c>
      <c r="O19" s="16" t="n">
        <f aca="false">IF(Analyst_Median&gt;0,A19*Market_Median/Analyst_Median,A19)</f>
        <v>374.324489086905</v>
      </c>
      <c r="P19" s="26" t="n">
        <f aca="false">MIN(MAX(IFERROR(MATCH(O19,Distribution!$A$6:$A$20,1),1),1),14)</f>
        <v>12</v>
      </c>
      <c r="Q19" s="24" t="n">
        <f aca="false">1/(1+EXP(-(INDEX(Distribution!$N$6:$N$20,P19)+(LN(O19)-INDEX(Distribution!$B$6:$B$20,P19))/(INDEX(Distribution!$B$6:$B$20,P19+1)-INDEX(Distribution!$B$6:$B$20,P19))*(INDEX(Distribution!$N$6:$N$20,P19+1)-INDEX(Distribution!$N$6:$N$20,P19)))))</f>
        <v>0.141670397547304</v>
      </c>
      <c r="R19" s="24" t="n">
        <f aca="false">W_Mkt*C19+W_Agents*M19</f>
        <v>0.035192</v>
      </c>
      <c r="S19" s="27" t="n">
        <f aca="false">(1-W_Analyst)*R19+W_Analyst*Q19</f>
        <v>0.035192</v>
      </c>
      <c r="T19" s="24" t="n">
        <f aca="false">LN(MIN(MAX(S19,0.0001),0.9999)/(1-MIN(MAX(S19,0.0001),0.9999)))</f>
        <v>-3.31111033376609</v>
      </c>
      <c r="U19" s="25" t="n">
        <v>0.0286</v>
      </c>
    </row>
    <row r="20" customFormat="false" ht="15" hidden="false" customHeight="false" outlineLevel="0" collapsed="false">
      <c r="A20" s="6" t="n">
        <v>600.88</v>
      </c>
      <c r="B20" s="24" t="n">
        <f aca="false">LN(A20)</f>
        <v>6.39839524737776</v>
      </c>
      <c r="C20" s="25" t="n">
        <v>0.0085</v>
      </c>
      <c r="D20" s="25" t="n">
        <v>0.0037</v>
      </c>
      <c r="E20" s="25" t="n">
        <v>0.0089</v>
      </c>
      <c r="F20" s="25" t="n">
        <v>0.0047</v>
      </c>
      <c r="G20" s="24" t="n">
        <f aca="false">AVERAGE(D20:F20)</f>
        <v>0.00576666666666667</v>
      </c>
      <c r="H20" s="25" t="n">
        <v>0.0058</v>
      </c>
      <c r="I20" s="24" t="n">
        <f aca="false">IF(AND(Sup_Used=1,ISNUMBER(H20)),H20,G20)</f>
        <v>0.00576666666666667</v>
      </c>
      <c r="J20" s="24" t="n">
        <f aca="false">LN(MIN(MAX(I20,0.0001),0.9999)/(1-MIN(MAX(I20,0.0001),0.9999)))</f>
        <v>-5.14987770805745</v>
      </c>
      <c r="K20" s="16" t="n">
        <f aca="false">A20*EXP(-Platt_Shift)</f>
        <v>600.88</v>
      </c>
      <c r="L20" s="26" t="n">
        <f aca="false">MIN(MAX(IFERROR(MATCH(K20,Distribution!$A$6:$A$20,1),1),1),14)</f>
        <v>14</v>
      </c>
      <c r="M20" s="24" t="n">
        <f aca="false">1/(1+EXP(-(INDEX(Distribution!$J$6:$J$20,L20)+(LN(K20)-INDEX(Distribution!$B$6:$B$20,L20))/(INDEX(Distribution!$B$6:$B$20,L20+1)-INDEX(Distribution!$B$6:$B$20,L20))*(INDEX(Distribution!$J$6:$J$20,L20+1)-INDEX(Distribution!$J$6:$J$20,L20)))))</f>
        <v>0.00576666666666667</v>
      </c>
      <c r="N20" s="24" t="n">
        <f aca="false">LN(MIN(MAX(C20,0.0001),0.9999)/(1-MIN(MAX(C20,0.0001),0.9999)))</f>
        <v>-4.75915278446358</v>
      </c>
      <c r="O20" s="16" t="n">
        <f aca="false">IF(Analyst_Median&gt;0,A20*Market_Median/Analyst_Median,A20)</f>
        <v>467.909504893987</v>
      </c>
      <c r="P20" s="26" t="n">
        <f aca="false">MIN(MAX(IFERROR(MATCH(O20,Distribution!$A$6:$A$20,1),1),1),14)</f>
        <v>13</v>
      </c>
      <c r="Q20" s="24" t="n">
        <f aca="false">1/(1+EXP(-(INDEX(Distribution!$N$6:$N$20,P20)+(LN(O20)-INDEX(Distribution!$B$6:$B$20,P20))/(INDEX(Distribution!$B$6:$B$20,P20+1)-INDEX(Distribution!$B$6:$B$20,P20))*(INDEX(Distribution!$N$6:$N$20,P20+1)-INDEX(Distribution!$N$6:$N$20,P20)))))</f>
        <v>0.0452222145387175</v>
      </c>
      <c r="R20" s="24" t="n">
        <f aca="false">W_Mkt*C20+W_Agents*M20</f>
        <v>0.007598</v>
      </c>
      <c r="S20" s="27" t="n">
        <f aca="false">(1-W_Analyst)*R20+W_Analyst*Q20</f>
        <v>0.007598</v>
      </c>
      <c r="T20" s="24" t="n">
        <f aca="false">LN(MIN(MAX(S20,0.0001),0.9999)/(1-MIN(MAX(S20,0.0001),0.9999)))</f>
        <v>-4.87224321236659</v>
      </c>
      <c r="U20" s="25" t="n">
        <v>0.0064</v>
      </c>
    </row>
    <row r="22" customFormat="false" ht="15" hidden="false" customHeight="false" outlineLevel="0" collapsed="false">
      <c r="A22" s="2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6" min="6" style="0" width="44"/>
    <col collapsed="false" customWidth="true" hidden="false" outlineLevel="0" max="7" min="7" style="0" width="90"/>
  </cols>
  <sheetData>
    <row r="1" customFormat="false" ht="17.35" hidden="false" customHeight="false" outlineLevel="0" collapsed="false">
      <c r="A1" s="1" t="s">
        <v>101</v>
      </c>
    </row>
    <row r="2" customFormat="false" ht="15" hidden="false" customHeight="false" outlineLevel="0" collapsed="false">
      <c r="A2" s="2" t="s">
        <v>102</v>
      </c>
    </row>
    <row r="4" customFormat="false" ht="23.85" hidden="false" customHeight="false" outlineLevel="0" collapsed="false">
      <c r="A4" s="23" t="s">
        <v>103</v>
      </c>
      <c r="B4" s="23" t="s">
        <v>104</v>
      </c>
      <c r="C4" s="23" t="s">
        <v>105</v>
      </c>
      <c r="D4" s="23" t="s">
        <v>106</v>
      </c>
      <c r="E4" s="23" t="s">
        <v>107</v>
      </c>
      <c r="F4" s="23" t="s">
        <v>108</v>
      </c>
      <c r="G4" s="23" t="s">
        <v>109</v>
      </c>
    </row>
    <row r="5" customFormat="false" ht="15" hidden="false" customHeight="false" outlineLevel="0" collapsed="false">
      <c r="A5" s="5" t="s">
        <v>29</v>
      </c>
      <c r="B5" s="28" t="s">
        <v>110</v>
      </c>
      <c r="C5" s="6" t="n">
        <v>298</v>
      </c>
      <c r="D5" s="12" t="n">
        <v>0.5</v>
      </c>
      <c r="E5" s="16" t="n">
        <f aca="false">C5*D5</f>
        <v>149</v>
      </c>
      <c r="F5" s="28"/>
      <c r="G5" s="28" t="s">
        <v>111</v>
      </c>
    </row>
    <row r="6" customFormat="false" ht="46.25" hidden="false" customHeight="false" outlineLevel="0" collapsed="false">
      <c r="A6" s="5" t="s">
        <v>29</v>
      </c>
      <c r="B6" s="28" t="s">
        <v>112</v>
      </c>
      <c r="C6" s="6" t="n">
        <v>282</v>
      </c>
      <c r="D6" s="12" t="n">
        <v>0.5</v>
      </c>
      <c r="E6" s="16" t="n">
        <f aca="false">C6*D6</f>
        <v>141</v>
      </c>
      <c r="F6" s="28"/>
      <c r="G6" s="28" t="s">
        <v>113</v>
      </c>
    </row>
    <row r="7" customFormat="false" ht="46.25" hidden="false" customHeight="false" outlineLevel="0" collapsed="false">
      <c r="A7" s="29" t="s">
        <v>29</v>
      </c>
      <c r="B7" s="29" t="s">
        <v>114</v>
      </c>
      <c r="C7" s="30" t="n">
        <f aca="false">IF(SUM(D5:D6)&gt;0,SUMPRODUCT(C5:C6,D5:D6)/SUM(D5:D6),"")</f>
        <v>290</v>
      </c>
      <c r="D7" s="31" t="n">
        <f aca="false">SUM(D5:D6)</f>
        <v>1</v>
      </c>
      <c r="E7" s="32" t="n">
        <v>290</v>
      </c>
      <c r="F7" s="29" t="s">
        <v>115</v>
      </c>
      <c r="G7" s="33" t="s">
        <v>116</v>
      </c>
    </row>
    <row r="9" customFormat="false" ht="15" hidden="false" customHeight="false" outlineLevel="0" collapsed="false">
      <c r="A9" s="5" t="s">
        <v>30</v>
      </c>
      <c r="B9" s="28" t="s">
        <v>110</v>
      </c>
      <c r="C9" s="6" t="n">
        <v>285</v>
      </c>
      <c r="D9" s="12" t="n">
        <v>0.5</v>
      </c>
      <c r="E9" s="16" t="n">
        <f aca="false">C9*D9</f>
        <v>142.5</v>
      </c>
      <c r="F9" s="28"/>
      <c r="G9" s="28" t="s">
        <v>117</v>
      </c>
    </row>
    <row r="10" customFormat="false" ht="35.05" hidden="false" customHeight="false" outlineLevel="0" collapsed="false">
      <c r="A10" s="5" t="s">
        <v>30</v>
      </c>
      <c r="B10" s="28" t="s">
        <v>112</v>
      </c>
      <c r="C10" s="6" t="n">
        <v>271</v>
      </c>
      <c r="D10" s="12" t="n">
        <v>0.5</v>
      </c>
      <c r="E10" s="16" t="n">
        <f aca="false">C10*D10</f>
        <v>135.5</v>
      </c>
      <c r="F10" s="28"/>
      <c r="G10" s="28" t="s">
        <v>118</v>
      </c>
    </row>
    <row r="11" customFormat="false" ht="46.25" hidden="false" customHeight="false" outlineLevel="0" collapsed="false">
      <c r="A11" s="29" t="s">
        <v>30</v>
      </c>
      <c r="B11" s="29" t="s">
        <v>114</v>
      </c>
      <c r="C11" s="30" t="n">
        <f aca="false">IF(SUM(D9:D10)&gt;0,SUMPRODUCT(C9:C10,D9:D10)/SUM(D9:D10),"")</f>
        <v>278</v>
      </c>
      <c r="D11" s="31" t="n">
        <f aca="false">SUM(D9:D10)</f>
        <v>1</v>
      </c>
      <c r="E11" s="32" t="n">
        <v>278</v>
      </c>
      <c r="F11" s="29" t="s">
        <v>115</v>
      </c>
      <c r="G11" s="33" t="s">
        <v>119</v>
      </c>
    </row>
    <row r="13" customFormat="false" ht="23.85" hidden="false" customHeight="false" outlineLevel="0" collapsed="false">
      <c r="A13" s="5" t="s">
        <v>31</v>
      </c>
      <c r="B13" s="28" t="s">
        <v>110</v>
      </c>
      <c r="C13" s="6" t="n">
        <v>299.6</v>
      </c>
      <c r="D13" s="12" t="n">
        <v>0.45</v>
      </c>
      <c r="E13" s="16" t="n">
        <f aca="false">C13*D13</f>
        <v>134.82</v>
      </c>
      <c r="F13" s="28"/>
      <c r="G13" s="28" t="s">
        <v>120</v>
      </c>
    </row>
    <row r="14" customFormat="false" ht="23.85" hidden="false" customHeight="false" outlineLevel="0" collapsed="false">
      <c r="A14" s="5" t="s">
        <v>31</v>
      </c>
      <c r="B14" s="28" t="s">
        <v>121</v>
      </c>
      <c r="C14" s="6" t="n">
        <v>295.2</v>
      </c>
      <c r="D14" s="12" t="n">
        <v>0.35</v>
      </c>
      <c r="E14" s="16" t="n">
        <f aca="false">C14*D14</f>
        <v>103.32</v>
      </c>
      <c r="F14" s="28"/>
      <c r="G14" s="28" t="s">
        <v>122</v>
      </c>
    </row>
    <row r="15" customFormat="false" ht="35.05" hidden="false" customHeight="false" outlineLevel="0" collapsed="false">
      <c r="A15" s="5" t="s">
        <v>31</v>
      </c>
      <c r="B15" s="28" t="s">
        <v>123</v>
      </c>
      <c r="C15" s="6" t="n">
        <v>144.1</v>
      </c>
      <c r="D15" s="12" t="n">
        <v>0.2</v>
      </c>
      <c r="E15" s="16" t="n">
        <f aca="false">C15*D15</f>
        <v>28.82</v>
      </c>
      <c r="F15" s="28"/>
      <c r="G15" s="28" t="s">
        <v>124</v>
      </c>
    </row>
    <row r="16" customFormat="false" ht="46.25" hidden="false" customHeight="false" outlineLevel="0" collapsed="false">
      <c r="A16" s="29" t="s">
        <v>31</v>
      </c>
      <c r="B16" s="29" t="s">
        <v>114</v>
      </c>
      <c r="C16" s="30" t="n">
        <f aca="false">IF(SUM(D13:D15)&gt;0,SUMPRODUCT(C13:C15,D13:D15)/SUM(D13:D15),"")</f>
        <v>266.96</v>
      </c>
      <c r="D16" s="31" t="n">
        <f aca="false">SUM(D13:D15)</f>
        <v>1</v>
      </c>
      <c r="E16" s="32" t="n">
        <v>267</v>
      </c>
      <c r="F16" s="29" t="s">
        <v>115</v>
      </c>
      <c r="G16" s="33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3"/>
    <col collapsed="false" customWidth="true" hidden="false" outlineLevel="0" max="7" min="5" style="0" width="50"/>
  </cols>
  <sheetData>
    <row r="1" customFormat="false" ht="17.35" hidden="false" customHeight="false" outlineLevel="0" collapsed="false">
      <c r="A1" s="1" t="s">
        <v>126</v>
      </c>
    </row>
    <row r="2" customFormat="false" ht="15" hidden="false" customHeight="false" outlineLevel="0" collapsed="false">
      <c r="A2" s="2" t="s">
        <v>127</v>
      </c>
    </row>
    <row r="4" customFormat="false" ht="23.85" hidden="false" customHeight="false" outlineLevel="0" collapsed="false">
      <c r="A4" s="23" t="s">
        <v>103</v>
      </c>
      <c r="B4" s="23" t="s">
        <v>128</v>
      </c>
      <c r="C4" s="23" t="s">
        <v>129</v>
      </c>
      <c r="D4" s="23" t="s">
        <v>130</v>
      </c>
      <c r="E4" s="23" t="s">
        <v>131</v>
      </c>
      <c r="F4" s="23" t="s">
        <v>132</v>
      </c>
      <c r="G4" s="23" t="s">
        <v>133</v>
      </c>
    </row>
    <row r="5" customFormat="false" ht="91" hidden="false" customHeight="false" outlineLevel="0" collapsed="false">
      <c r="A5" s="5" t="s">
        <v>29</v>
      </c>
      <c r="B5" s="6" t="n">
        <v>198</v>
      </c>
      <c r="C5" s="6" t="n">
        <v>280</v>
      </c>
      <c r="D5" s="6" t="n">
        <v>355</v>
      </c>
      <c r="E5" s="28" t="s">
        <v>134</v>
      </c>
      <c r="F5" s="28" t="s">
        <v>135</v>
      </c>
      <c r="G5" s="28" t="s">
        <v>136</v>
      </c>
    </row>
    <row r="6" customFormat="false" ht="79.85" hidden="false" customHeight="false" outlineLevel="0" collapsed="false">
      <c r="A6" s="5" t="s">
        <v>30</v>
      </c>
      <c r="B6" s="6" t="n">
        <v>185</v>
      </c>
      <c r="C6" s="6" t="n">
        <v>280</v>
      </c>
      <c r="D6" s="6" t="n">
        <v>350</v>
      </c>
      <c r="E6" s="28" t="s">
        <v>137</v>
      </c>
      <c r="F6" s="28" t="s">
        <v>138</v>
      </c>
      <c r="G6" s="28" t="s">
        <v>139</v>
      </c>
    </row>
    <row r="7" customFormat="false" ht="113.4" hidden="false" customHeight="false" outlineLevel="0" collapsed="false">
      <c r="A7" s="5" t="s">
        <v>31</v>
      </c>
      <c r="B7" s="6" t="n">
        <v>195</v>
      </c>
      <c r="C7" s="6" t="n">
        <v>265</v>
      </c>
      <c r="D7" s="6" t="n">
        <v>340</v>
      </c>
      <c r="E7" s="28" t="s">
        <v>140</v>
      </c>
      <c r="F7" s="28" t="s">
        <v>141</v>
      </c>
      <c r="G7" s="28" t="s">
        <v>142</v>
      </c>
    </row>
    <row r="8" customFormat="false" ht="15" hidden="false" customHeight="false" outlineLevel="0" collapsed="false">
      <c r="A8" s="14" t="s">
        <v>143</v>
      </c>
      <c r="B8" s="15" t="n">
        <f aca="false">AVERAGE(B5:B7)</f>
        <v>192.666666666667</v>
      </c>
      <c r="C8" s="15" t="n">
        <f aca="false">AVERAGE(C5:C7)</f>
        <v>275</v>
      </c>
      <c r="D8" s="15" t="n">
        <f aca="false">AVERAGE(D5:D7)</f>
        <v>348.333333333333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2"/>
    <col collapsed="false" customWidth="true" hidden="false" outlineLevel="0" max="5" min="5" style="0" width="90"/>
    <col collapsed="false" customWidth="true" hidden="false" outlineLevel="0" max="6" min="6" style="0" width="50"/>
    <col collapsed="false" customWidth="true" hidden="false" outlineLevel="0" max="7" min="7" style="0" width="60"/>
    <col collapsed="false" customWidth="true" hidden="false" outlineLevel="0" max="8" min="8" style="0" width="70"/>
  </cols>
  <sheetData>
    <row r="1" customFormat="false" ht="17.35" hidden="false" customHeight="false" outlineLevel="0" collapsed="false">
      <c r="A1" s="1" t="s">
        <v>144</v>
      </c>
    </row>
    <row r="2" customFormat="false" ht="15" hidden="false" customHeight="false" outlineLevel="0" collapsed="false">
      <c r="A2" s="2" t="s">
        <v>145</v>
      </c>
    </row>
    <row r="4" customFormat="false" ht="35.05" hidden="false" customHeight="false" outlineLevel="0" collapsed="false">
      <c r="A4" s="23" t="s">
        <v>103</v>
      </c>
      <c r="B4" s="23" t="s">
        <v>146</v>
      </c>
      <c r="C4" s="23" t="s">
        <v>147</v>
      </c>
      <c r="D4" s="23" t="s">
        <v>148</v>
      </c>
      <c r="E4" s="23" t="s">
        <v>64</v>
      </c>
      <c r="F4" s="23" t="s">
        <v>149</v>
      </c>
      <c r="G4" s="23" t="s">
        <v>150</v>
      </c>
      <c r="H4" s="23" t="s">
        <v>151</v>
      </c>
    </row>
    <row r="5" customFormat="false" ht="281.3" hidden="false" customHeight="false" outlineLevel="0" collapsed="false">
      <c r="A5" s="5" t="s">
        <v>29</v>
      </c>
      <c r="B5" s="6"/>
      <c r="C5" s="6" t="n">
        <v>290</v>
      </c>
      <c r="D5" s="6" t="n">
        <v>185</v>
      </c>
      <c r="E5" s="28" t="s">
        <v>152</v>
      </c>
      <c r="F5" s="28" t="s">
        <v>153</v>
      </c>
      <c r="G5" s="28" t="s">
        <v>154</v>
      </c>
      <c r="H5" s="28"/>
    </row>
    <row r="6" customFormat="false" ht="270.1" hidden="false" customHeight="false" outlineLevel="0" collapsed="false">
      <c r="A6" s="5" t="s">
        <v>30</v>
      </c>
      <c r="B6" s="6"/>
      <c r="C6" s="6" t="n">
        <v>278</v>
      </c>
      <c r="D6" s="6" t="n">
        <v>185</v>
      </c>
      <c r="E6" s="28" t="s">
        <v>155</v>
      </c>
      <c r="F6" s="28" t="s">
        <v>156</v>
      </c>
      <c r="G6" s="28" t="s">
        <v>157</v>
      </c>
      <c r="H6" s="28"/>
    </row>
    <row r="7" customFormat="false" ht="236.55" hidden="false" customHeight="false" outlineLevel="0" collapsed="false">
      <c r="A7" s="5" t="s">
        <v>31</v>
      </c>
      <c r="B7" s="6"/>
      <c r="C7" s="6" t="n">
        <v>267</v>
      </c>
      <c r="D7" s="6" t="n">
        <v>190</v>
      </c>
      <c r="E7" s="28" t="s">
        <v>158</v>
      </c>
      <c r="F7" s="28" t="s">
        <v>159</v>
      </c>
      <c r="G7" s="28" t="s">
        <v>160</v>
      </c>
      <c r="H7" s="2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60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1" t="s">
        <v>161</v>
      </c>
    </row>
    <row r="2" customFormat="false" ht="15" hidden="false" customHeight="false" outlineLevel="0" collapsed="false">
      <c r="A2" s="2" t="s">
        <v>162</v>
      </c>
    </row>
    <row r="4" customFormat="false" ht="91" hidden="false" customHeight="true" outlineLevel="0" collapsed="false">
      <c r="A4" s="14" t="s">
        <v>163</v>
      </c>
      <c r="B4" s="34" t="s">
        <v>164</v>
      </c>
      <c r="C4" s="34"/>
      <c r="D4" s="34"/>
    </row>
    <row r="5" customFormat="false" ht="214.15" hidden="false" customHeight="true" outlineLevel="0" collapsed="false">
      <c r="A5" s="14" t="s">
        <v>165</v>
      </c>
      <c r="B5" s="34" t="s">
        <v>35</v>
      </c>
      <c r="C5" s="34"/>
      <c r="D5" s="34"/>
    </row>
    <row r="6" customFormat="false" ht="68.65" hidden="false" customHeight="true" outlineLevel="0" collapsed="false">
      <c r="A6" s="14" t="s">
        <v>166</v>
      </c>
      <c r="B6" s="34" t="s">
        <v>167</v>
      </c>
      <c r="C6" s="34"/>
      <c r="D6" s="34"/>
    </row>
    <row r="8" customFormat="false" ht="15" hidden="false" customHeight="false" outlineLevel="0" collapsed="false">
      <c r="A8" s="35" t="s">
        <v>168</v>
      </c>
    </row>
    <row r="9" customFormat="false" ht="15" hidden="false" customHeight="false" outlineLevel="0" collapsed="false">
      <c r="A9" s="36" t="s">
        <v>169</v>
      </c>
      <c r="B9" s="36" t="s">
        <v>170</v>
      </c>
      <c r="C9" s="36" t="s">
        <v>171</v>
      </c>
      <c r="D9" s="36" t="s">
        <v>172</v>
      </c>
    </row>
    <row r="10" customFormat="false" ht="79.85" hidden="false" customHeight="false" outlineLevel="0" collapsed="false">
      <c r="A10" s="28" t="s">
        <v>173</v>
      </c>
      <c r="B10" s="28" t="s">
        <v>174</v>
      </c>
      <c r="C10" s="28" t="s">
        <v>175</v>
      </c>
      <c r="D10" s="28" t="s">
        <v>176</v>
      </c>
    </row>
    <row r="11" customFormat="false" ht="79.85" hidden="false" customHeight="false" outlineLevel="0" collapsed="false">
      <c r="A11" s="28" t="s">
        <v>177</v>
      </c>
      <c r="B11" s="28" t="s">
        <v>178</v>
      </c>
      <c r="C11" s="28" t="s">
        <v>179</v>
      </c>
      <c r="D11" s="28" t="s">
        <v>180</v>
      </c>
    </row>
    <row r="12" customFormat="false" ht="113.4" hidden="false" customHeight="false" outlineLevel="0" collapsed="false">
      <c r="A12" s="28" t="s">
        <v>181</v>
      </c>
      <c r="B12" s="28" t="s">
        <v>182</v>
      </c>
      <c r="C12" s="28" t="s">
        <v>183</v>
      </c>
      <c r="D12" s="28" t="s">
        <v>184</v>
      </c>
    </row>
    <row r="13" customFormat="false" ht="113.4" hidden="false" customHeight="false" outlineLevel="0" collapsed="false">
      <c r="A13" s="28" t="s">
        <v>185</v>
      </c>
      <c r="B13" s="28" t="s">
        <v>186</v>
      </c>
      <c r="C13" s="28" t="s">
        <v>187</v>
      </c>
      <c r="D13" s="28" t="s">
        <v>188</v>
      </c>
    </row>
    <row r="14" customFormat="false" ht="79.85" hidden="false" customHeight="false" outlineLevel="0" collapsed="false">
      <c r="A14" s="28" t="s">
        <v>189</v>
      </c>
      <c r="B14" s="28" t="s">
        <v>190</v>
      </c>
      <c r="C14" s="28" t="s">
        <v>191</v>
      </c>
      <c r="D14" s="28" t="s">
        <v>192</v>
      </c>
    </row>
    <row r="15" customFormat="false" ht="68.65" hidden="false" customHeight="false" outlineLevel="0" collapsed="false">
      <c r="A15" s="28" t="s">
        <v>193</v>
      </c>
      <c r="B15" s="28" t="s">
        <v>194</v>
      </c>
      <c r="C15" s="28" t="s">
        <v>195</v>
      </c>
      <c r="D15" s="28" t="s">
        <v>196</v>
      </c>
    </row>
    <row r="17" customFormat="false" ht="15" hidden="false" customHeight="false" outlineLevel="0" collapsed="false">
      <c r="A17" s="35" t="s">
        <v>197</v>
      </c>
    </row>
    <row r="18" customFormat="false" ht="15" hidden="false" customHeight="false" outlineLevel="0" collapsed="false">
      <c r="A18" s="36" t="s">
        <v>198</v>
      </c>
      <c r="B18" s="36" t="s">
        <v>199</v>
      </c>
      <c r="C18" s="36" t="s">
        <v>200</v>
      </c>
      <c r="D18" s="36" t="s">
        <v>201</v>
      </c>
    </row>
    <row r="19" customFormat="false" ht="35.05" hidden="false" customHeight="false" outlineLevel="0" collapsed="false">
      <c r="A19" s="28" t="s">
        <v>202</v>
      </c>
      <c r="B19" s="28" t="s">
        <v>203</v>
      </c>
      <c r="C19" s="28" t="s">
        <v>204</v>
      </c>
      <c r="D19" s="28" t="s">
        <v>205</v>
      </c>
    </row>
    <row r="20" customFormat="false" ht="46.25" hidden="false" customHeight="false" outlineLevel="0" collapsed="false">
      <c r="A20" s="28" t="s">
        <v>206</v>
      </c>
      <c r="B20" s="28" t="s">
        <v>207</v>
      </c>
      <c r="C20" s="28" t="s">
        <v>208</v>
      </c>
      <c r="D20" s="28" t="s">
        <v>209</v>
      </c>
    </row>
    <row r="21" customFormat="false" ht="23.85" hidden="false" customHeight="false" outlineLevel="0" collapsed="false">
      <c r="A21" s="28" t="s">
        <v>210</v>
      </c>
      <c r="B21" s="28" t="s">
        <v>211</v>
      </c>
      <c r="C21" s="28" t="s">
        <v>212</v>
      </c>
      <c r="D21" s="28" t="s">
        <v>213</v>
      </c>
    </row>
    <row r="22" customFormat="false" ht="35.05" hidden="false" customHeight="false" outlineLevel="0" collapsed="false">
      <c r="A22" s="28" t="s">
        <v>214</v>
      </c>
      <c r="B22" s="28" t="s">
        <v>215</v>
      </c>
      <c r="C22" s="28" t="s">
        <v>216</v>
      </c>
      <c r="D22" s="28" t="s">
        <v>217</v>
      </c>
    </row>
    <row r="23" customFormat="false" ht="68.65" hidden="false" customHeight="false" outlineLevel="0" collapsed="false">
      <c r="A23" s="28" t="s">
        <v>218</v>
      </c>
      <c r="B23" s="28" t="s">
        <v>219</v>
      </c>
      <c r="C23" s="28" t="s">
        <v>220</v>
      </c>
      <c r="D23" s="28" t="s">
        <v>221</v>
      </c>
    </row>
    <row r="24" customFormat="false" ht="23.85" hidden="false" customHeight="false" outlineLevel="0" collapsed="false">
      <c r="A24" s="28" t="s">
        <v>222</v>
      </c>
      <c r="B24" s="28" t="s">
        <v>223</v>
      </c>
      <c r="C24" s="28" t="s">
        <v>224</v>
      </c>
      <c r="D24" s="28" t="s">
        <v>225</v>
      </c>
    </row>
    <row r="25" customFormat="false" ht="35.05" hidden="false" customHeight="false" outlineLevel="0" collapsed="false">
      <c r="A25" s="28" t="s">
        <v>226</v>
      </c>
      <c r="B25" s="28" t="s">
        <v>227</v>
      </c>
      <c r="C25" s="28" t="s">
        <v>228</v>
      </c>
      <c r="D25" s="28" t="s">
        <v>229</v>
      </c>
    </row>
    <row r="26" customFormat="false" ht="46.25" hidden="false" customHeight="false" outlineLevel="0" collapsed="false">
      <c r="A26" s="28" t="s">
        <v>148</v>
      </c>
      <c r="B26" s="28" t="s">
        <v>230</v>
      </c>
      <c r="C26" s="28" t="s">
        <v>231</v>
      </c>
      <c r="D26" s="28" t="s">
        <v>232</v>
      </c>
    </row>
    <row r="27" customFormat="false" ht="35.05" hidden="false" customHeight="false" outlineLevel="0" collapsed="false">
      <c r="A27" s="28" t="s">
        <v>233</v>
      </c>
      <c r="B27" s="28" t="s">
        <v>234</v>
      </c>
      <c r="C27" s="28" t="s">
        <v>235</v>
      </c>
      <c r="D27" s="28" t="s">
        <v>236</v>
      </c>
    </row>
    <row r="28" customFormat="false" ht="23.85" hidden="false" customHeight="false" outlineLevel="0" collapsed="false">
      <c r="A28" s="28" t="s">
        <v>237</v>
      </c>
      <c r="B28" s="28"/>
      <c r="C28" s="28"/>
      <c r="D28" s="28" t="s">
        <v>238</v>
      </c>
    </row>
    <row r="29" customFormat="false" ht="46.25" hidden="false" customHeight="false" outlineLevel="0" collapsed="false">
      <c r="A29" s="28" t="s">
        <v>239</v>
      </c>
      <c r="B29" s="28" t="s">
        <v>231</v>
      </c>
      <c r="C29" s="28" t="s">
        <v>240</v>
      </c>
      <c r="D29" s="28" t="s">
        <v>241</v>
      </c>
    </row>
    <row r="31" customFormat="false" ht="15" hidden="false" customHeight="false" outlineLevel="0" collapsed="false">
      <c r="A31" s="35" t="s">
        <v>242</v>
      </c>
    </row>
    <row r="32" customFormat="false" ht="35.05" hidden="false" customHeight="true" outlineLevel="0" collapsed="false">
      <c r="B32" s="34" t="s">
        <v>243</v>
      </c>
      <c r="C32" s="34"/>
      <c r="D32" s="34"/>
    </row>
    <row r="33" customFormat="false" ht="15" hidden="false" customHeight="true" outlineLevel="0" collapsed="false">
      <c r="B33" s="34" t="s">
        <v>244</v>
      </c>
      <c r="C33" s="34"/>
      <c r="D33" s="34"/>
    </row>
    <row r="34" customFormat="false" ht="15" hidden="false" customHeight="true" outlineLevel="0" collapsed="false">
      <c r="B34" s="34" t="s">
        <v>245</v>
      </c>
      <c r="C34" s="34"/>
      <c r="D34" s="34"/>
    </row>
    <row r="35" customFormat="false" ht="15" hidden="false" customHeight="true" outlineLevel="0" collapsed="false">
      <c r="B35" s="34" t="s">
        <v>246</v>
      </c>
      <c r="C35" s="34"/>
      <c r="D35" s="34"/>
    </row>
    <row r="36" customFormat="false" ht="15" hidden="false" customHeight="true" outlineLevel="0" collapsed="false">
      <c r="B36" s="34" t="s">
        <v>247</v>
      </c>
      <c r="C36" s="34"/>
      <c r="D36" s="34"/>
    </row>
    <row r="37" customFormat="false" ht="35.05" hidden="false" customHeight="true" outlineLevel="0" collapsed="false">
      <c r="B37" s="34" t="s">
        <v>248</v>
      </c>
      <c r="C37" s="34"/>
      <c r="D37" s="34"/>
    </row>
    <row r="38" customFormat="false" ht="23.85" hidden="false" customHeight="true" outlineLevel="0" collapsed="false">
      <c r="B38" s="34" t="s">
        <v>249</v>
      </c>
      <c r="C38" s="34"/>
      <c r="D38" s="34"/>
    </row>
    <row r="39" customFormat="false" ht="15" hidden="false" customHeight="true" outlineLevel="0" collapsed="false">
      <c r="B39" s="34" t="s">
        <v>250</v>
      </c>
      <c r="C39" s="34"/>
      <c r="D39" s="34"/>
    </row>
    <row r="40" customFormat="false" ht="15" hidden="false" customHeight="true" outlineLevel="0" collapsed="false">
      <c r="B40" s="34" t="s">
        <v>251</v>
      </c>
      <c r="C40" s="34"/>
      <c r="D40" s="34"/>
    </row>
    <row r="41" customFormat="false" ht="46.25" hidden="false" customHeight="true" outlineLevel="0" collapsed="false">
      <c r="B41" s="34" t="s">
        <v>252</v>
      </c>
      <c r="C41" s="34"/>
      <c r="D41" s="34"/>
    </row>
    <row r="42" customFormat="false" ht="35.05" hidden="false" customHeight="true" outlineLevel="0" collapsed="false">
      <c r="B42" s="34" t="s">
        <v>253</v>
      </c>
      <c r="C42" s="34"/>
      <c r="D42" s="34"/>
    </row>
    <row r="43" customFormat="false" ht="23.85" hidden="false" customHeight="true" outlineLevel="0" collapsed="false">
      <c r="B43" s="34" t="s">
        <v>254</v>
      </c>
      <c r="C43" s="34"/>
      <c r="D43" s="34"/>
    </row>
    <row r="44" customFormat="false" ht="15" hidden="false" customHeight="true" outlineLevel="0" collapsed="false">
      <c r="B44" s="34" t="s">
        <v>255</v>
      </c>
      <c r="C44" s="34"/>
      <c r="D44" s="34"/>
    </row>
    <row r="45" customFormat="false" ht="35.05" hidden="false" customHeight="true" outlineLevel="0" collapsed="false">
      <c r="B45" s="34" t="s">
        <v>256</v>
      </c>
      <c r="C45" s="34"/>
      <c r="D45" s="34"/>
    </row>
    <row r="46" customFormat="false" ht="147" hidden="false" customHeight="true" outlineLevel="0" collapsed="false">
      <c r="B46" s="34" t="s">
        <v>257</v>
      </c>
      <c r="C46" s="34"/>
      <c r="D46" s="34"/>
    </row>
    <row r="47" customFormat="false" ht="46.25" hidden="false" customHeight="true" outlineLevel="0" collapsed="false">
      <c r="B47" s="34" t="s">
        <v>258</v>
      </c>
      <c r="C47" s="34"/>
      <c r="D47" s="34"/>
    </row>
    <row r="48" customFormat="false" ht="79.85" hidden="false" customHeight="true" outlineLevel="0" collapsed="false">
      <c r="B48" s="34" t="s">
        <v>259</v>
      </c>
      <c r="C48" s="34"/>
      <c r="D48" s="34"/>
    </row>
    <row r="49" customFormat="false" ht="23.85" hidden="false" customHeight="true" outlineLevel="0" collapsed="false">
      <c r="B49" s="34" t="s">
        <v>260</v>
      </c>
      <c r="C49" s="34"/>
      <c r="D49" s="34"/>
    </row>
    <row r="50" customFormat="false" ht="23.85" hidden="false" customHeight="true" outlineLevel="0" collapsed="false">
      <c r="B50" s="34" t="s">
        <v>261</v>
      </c>
      <c r="C50" s="34"/>
      <c r="D50" s="34"/>
    </row>
    <row r="51" customFormat="false" ht="57.45" hidden="false" customHeight="true" outlineLevel="0" collapsed="false">
      <c r="B51" s="34" t="s">
        <v>262</v>
      </c>
      <c r="C51" s="34"/>
      <c r="D51" s="34"/>
    </row>
    <row r="52" customFormat="false" ht="35.05" hidden="false" customHeight="true" outlineLevel="0" collapsed="false">
      <c r="B52" s="34" t="s">
        <v>263</v>
      </c>
      <c r="C52" s="34"/>
      <c r="D52" s="34"/>
    </row>
    <row r="53" customFormat="false" ht="35.05" hidden="false" customHeight="true" outlineLevel="0" collapsed="false">
      <c r="B53" s="34" t="s">
        <v>264</v>
      </c>
      <c r="C53" s="34"/>
      <c r="D53" s="34"/>
    </row>
    <row r="54" customFormat="false" ht="35.05" hidden="false" customHeight="true" outlineLevel="0" collapsed="false">
      <c r="B54" s="34" t="s">
        <v>265</v>
      </c>
      <c r="C54" s="34"/>
      <c r="D54" s="34"/>
    </row>
    <row r="55" customFormat="false" ht="23.85" hidden="false" customHeight="true" outlineLevel="0" collapsed="false">
      <c r="B55" s="34" t="s">
        <v>266</v>
      </c>
      <c r="C55" s="34"/>
      <c r="D55" s="34"/>
    </row>
    <row r="56" customFormat="false" ht="15" hidden="false" customHeight="true" outlineLevel="0" collapsed="false">
      <c r="B56" s="34" t="s">
        <v>267</v>
      </c>
      <c r="C56" s="34"/>
      <c r="D56" s="34"/>
    </row>
    <row r="57" customFormat="false" ht="23.85" hidden="false" customHeight="true" outlineLevel="0" collapsed="false">
      <c r="B57" s="34" t="s">
        <v>268</v>
      </c>
      <c r="C57" s="34"/>
      <c r="D57" s="34"/>
    </row>
    <row r="58" customFormat="false" ht="23.85" hidden="false" customHeight="true" outlineLevel="0" collapsed="false">
      <c r="B58" s="34" t="s">
        <v>269</v>
      </c>
      <c r="C58" s="34"/>
      <c r="D58" s="34"/>
    </row>
    <row r="59" customFormat="false" ht="23.85" hidden="false" customHeight="true" outlineLevel="0" collapsed="false">
      <c r="B59" s="34" t="s">
        <v>270</v>
      </c>
      <c r="C59" s="34"/>
      <c r="D59" s="34"/>
    </row>
    <row r="60" customFormat="false" ht="23.85" hidden="false" customHeight="true" outlineLevel="0" collapsed="false">
      <c r="B60" s="34" t="s">
        <v>271</v>
      </c>
      <c r="C60" s="34"/>
      <c r="D60" s="34"/>
    </row>
    <row r="61" customFormat="false" ht="23.85" hidden="false" customHeight="true" outlineLevel="0" collapsed="false">
      <c r="B61" s="34" t="s">
        <v>272</v>
      </c>
      <c r="C61" s="34"/>
      <c r="D61" s="34"/>
    </row>
    <row r="62" customFormat="false" ht="15" hidden="false" customHeight="true" outlineLevel="0" collapsed="false">
      <c r="B62" s="34" t="s">
        <v>273</v>
      </c>
      <c r="C62" s="34"/>
      <c r="D62" s="34"/>
    </row>
    <row r="63" customFormat="false" ht="15" hidden="false" customHeight="true" outlineLevel="0" collapsed="false">
      <c r="B63" s="34" t="s">
        <v>274</v>
      </c>
      <c r="C63" s="34"/>
      <c r="D63" s="34"/>
    </row>
    <row r="64" customFormat="false" ht="23.85" hidden="false" customHeight="true" outlineLevel="0" collapsed="false">
      <c r="B64" s="34" t="s">
        <v>275</v>
      </c>
      <c r="C64" s="34"/>
      <c r="D64" s="34"/>
    </row>
    <row r="65" customFormat="false" ht="23.85" hidden="false" customHeight="true" outlineLevel="0" collapsed="false">
      <c r="B65" s="34" t="s">
        <v>276</v>
      </c>
      <c r="C65" s="34"/>
      <c r="D65" s="34"/>
    </row>
    <row r="66" customFormat="false" ht="23.85" hidden="false" customHeight="true" outlineLevel="0" collapsed="false">
      <c r="B66" s="34" t="s">
        <v>277</v>
      </c>
      <c r="C66" s="34"/>
      <c r="D66" s="34"/>
    </row>
    <row r="67" customFormat="false" ht="23.85" hidden="false" customHeight="true" outlineLevel="0" collapsed="false">
      <c r="B67" s="34" t="s">
        <v>278</v>
      </c>
      <c r="C67" s="34"/>
      <c r="D67" s="34"/>
    </row>
    <row r="68" customFormat="false" ht="23.85" hidden="false" customHeight="true" outlineLevel="0" collapsed="false">
      <c r="B68" s="34" t="s">
        <v>279</v>
      </c>
      <c r="C68" s="34"/>
      <c r="D68" s="34"/>
    </row>
    <row r="69" customFormat="false" ht="15" hidden="false" customHeight="true" outlineLevel="0" collapsed="false">
      <c r="B69" s="34" t="s">
        <v>280</v>
      </c>
      <c r="C69" s="34"/>
      <c r="D69" s="34"/>
    </row>
    <row r="70" customFormat="false" ht="15" hidden="false" customHeight="true" outlineLevel="0" collapsed="false">
      <c r="B70" s="34" t="s">
        <v>281</v>
      </c>
      <c r="C70" s="34"/>
      <c r="D70" s="34"/>
    </row>
    <row r="71" customFormat="false" ht="23.85" hidden="false" customHeight="true" outlineLevel="0" collapsed="false">
      <c r="B71" s="34" t="s">
        <v>282</v>
      </c>
      <c r="C71" s="34"/>
      <c r="D71" s="34"/>
    </row>
    <row r="72" customFormat="false" ht="23.85" hidden="false" customHeight="true" outlineLevel="0" collapsed="false">
      <c r="B72" s="34" t="s">
        <v>283</v>
      </c>
      <c r="C72" s="34"/>
      <c r="D72" s="34"/>
    </row>
    <row r="73" customFormat="false" ht="35.05" hidden="false" customHeight="true" outlineLevel="0" collapsed="false">
      <c r="B73" s="34" t="s">
        <v>284</v>
      </c>
      <c r="C73" s="34"/>
      <c r="D73" s="34"/>
    </row>
    <row r="75" customFormat="false" ht="15" hidden="false" customHeight="false" outlineLevel="0" collapsed="false">
      <c r="A75" s="35" t="s">
        <v>285</v>
      </c>
    </row>
    <row r="76" customFormat="false" ht="15" hidden="false" customHeight="false" outlineLevel="0" collapsed="false">
      <c r="A76" s="5" t="s">
        <v>286</v>
      </c>
      <c r="B76" s="28" t="n">
        <v>10</v>
      </c>
    </row>
    <row r="77" customFormat="false" ht="15" hidden="false" customHeight="false" outlineLevel="0" collapsed="false">
      <c r="A77" s="5" t="s">
        <v>287</v>
      </c>
      <c r="B77" s="28" t="n">
        <v>0.45</v>
      </c>
    </row>
    <row r="78" customFormat="false" ht="46.25" hidden="false" customHeight="false" outlineLevel="0" collapsed="false">
      <c r="A78" s="5" t="s">
        <v>288</v>
      </c>
      <c r="B78" s="28" t="s">
        <v>289</v>
      </c>
    </row>
    <row r="79" customFormat="false" ht="46.25" hidden="false" customHeight="false" outlineLevel="0" collapsed="false">
      <c r="A79" s="5" t="s">
        <v>290</v>
      </c>
      <c r="B79" s="28" t="s">
        <v>291</v>
      </c>
    </row>
    <row r="80" customFormat="false" ht="79.85" hidden="false" customHeight="false" outlineLevel="0" collapsed="false">
      <c r="A80" s="5" t="s">
        <v>292</v>
      </c>
      <c r="B80" s="28" t="s">
        <v>293</v>
      </c>
    </row>
    <row r="81" customFormat="false" ht="15" hidden="false" customHeight="false" outlineLevel="0" collapsed="false">
      <c r="A81" s="5" t="s">
        <v>294</v>
      </c>
      <c r="B81" s="28" t="s">
        <v>295</v>
      </c>
    </row>
  </sheetData>
  <mergeCells count="45">
    <mergeCell ref="B4:D4"/>
    <mergeCell ref="B5:D5"/>
    <mergeCell ref="B6:D6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70"/>
    <col collapsed="false" customWidth="true" hidden="false" outlineLevel="0" max="4" min="4" style="0" width="12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296</v>
      </c>
    </row>
    <row r="2" customFormat="false" ht="15" hidden="false" customHeight="false" outlineLevel="0" collapsed="false">
      <c r="A2" s="2" t="s">
        <v>297</v>
      </c>
    </row>
    <row r="4" customFormat="false" ht="15" hidden="false" customHeight="false" outlineLevel="0" collapsed="false">
      <c r="A4" s="23" t="s">
        <v>72</v>
      </c>
      <c r="B4" s="23" t="s">
        <v>298</v>
      </c>
      <c r="C4" s="23" t="s">
        <v>299</v>
      </c>
      <c r="D4" s="23" t="s">
        <v>300</v>
      </c>
      <c r="E4" s="23" t="s">
        <v>301</v>
      </c>
    </row>
    <row r="5" customFormat="false" ht="23.85" hidden="false" customHeight="false" outlineLevel="0" collapsed="false">
      <c r="A5" s="5" t="s">
        <v>302</v>
      </c>
      <c r="B5" s="5" t="s">
        <v>303</v>
      </c>
      <c r="C5" s="28" t="s">
        <v>304</v>
      </c>
      <c r="D5" s="5" t="s">
        <v>305</v>
      </c>
      <c r="E5" s="22" t="s">
        <v>306</v>
      </c>
    </row>
    <row r="6" customFormat="false" ht="35.05" hidden="false" customHeight="false" outlineLevel="0" collapsed="false">
      <c r="A6" s="5" t="s">
        <v>307</v>
      </c>
      <c r="B6" s="5" t="s">
        <v>303</v>
      </c>
      <c r="C6" s="28" t="s">
        <v>308</v>
      </c>
      <c r="D6" s="5" t="s">
        <v>309</v>
      </c>
      <c r="E6" s="22" t="s">
        <v>310</v>
      </c>
    </row>
    <row r="7" customFormat="false" ht="23.85" hidden="false" customHeight="false" outlineLevel="0" collapsed="false">
      <c r="A7" s="5" t="s">
        <v>311</v>
      </c>
      <c r="B7" s="5" t="s">
        <v>303</v>
      </c>
      <c r="C7" s="28" t="s">
        <v>312</v>
      </c>
      <c r="D7" s="5" t="s">
        <v>305</v>
      </c>
      <c r="E7" s="22" t="s">
        <v>313</v>
      </c>
    </row>
    <row r="8" customFormat="false" ht="23.85" hidden="false" customHeight="false" outlineLevel="0" collapsed="false">
      <c r="A8" s="5" t="s">
        <v>314</v>
      </c>
      <c r="B8" s="5" t="s">
        <v>303</v>
      </c>
      <c r="C8" s="28" t="s">
        <v>315</v>
      </c>
      <c r="D8" s="5" t="s">
        <v>316</v>
      </c>
      <c r="E8" s="22" t="s">
        <v>317</v>
      </c>
    </row>
    <row r="9" customFormat="false" ht="23.85" hidden="false" customHeight="false" outlineLevel="0" collapsed="false">
      <c r="A9" s="5" t="s">
        <v>318</v>
      </c>
      <c r="B9" s="5" t="s">
        <v>303</v>
      </c>
      <c r="C9" s="28" t="s">
        <v>319</v>
      </c>
      <c r="D9" s="5" t="s">
        <v>320</v>
      </c>
      <c r="E9" s="22" t="s">
        <v>321</v>
      </c>
    </row>
    <row r="10" customFormat="false" ht="15" hidden="false" customHeight="false" outlineLevel="0" collapsed="false">
      <c r="A10" s="5" t="s">
        <v>322</v>
      </c>
      <c r="B10" s="5" t="s">
        <v>303</v>
      </c>
      <c r="C10" s="28" t="s">
        <v>323</v>
      </c>
      <c r="D10" s="5" t="s">
        <v>324</v>
      </c>
      <c r="E10" s="22" t="s">
        <v>325</v>
      </c>
    </row>
    <row r="11" customFormat="false" ht="23.85" hidden="false" customHeight="false" outlineLevel="0" collapsed="false">
      <c r="A11" s="5" t="s">
        <v>326</v>
      </c>
      <c r="B11" s="5" t="s">
        <v>303</v>
      </c>
      <c r="C11" s="28" t="s">
        <v>327</v>
      </c>
      <c r="D11" s="5" t="s">
        <v>316</v>
      </c>
      <c r="E11" s="22" t="s">
        <v>328</v>
      </c>
    </row>
    <row r="12" customFormat="false" ht="23.85" hidden="false" customHeight="false" outlineLevel="0" collapsed="false">
      <c r="A12" s="5" t="s">
        <v>329</v>
      </c>
      <c r="B12" s="5" t="s">
        <v>303</v>
      </c>
      <c r="C12" s="28" t="s">
        <v>330</v>
      </c>
      <c r="D12" s="5" t="s">
        <v>331</v>
      </c>
      <c r="E12" s="22" t="s">
        <v>332</v>
      </c>
    </row>
    <row r="13" customFormat="false" ht="23.85" hidden="false" customHeight="false" outlineLevel="0" collapsed="false">
      <c r="A13" s="5" t="s">
        <v>333</v>
      </c>
      <c r="B13" s="5" t="s">
        <v>303</v>
      </c>
      <c r="C13" s="28" t="s">
        <v>334</v>
      </c>
      <c r="D13" s="5" t="s">
        <v>335</v>
      </c>
      <c r="E13" s="22" t="s">
        <v>336</v>
      </c>
    </row>
    <row r="14" customFormat="false" ht="23.85" hidden="false" customHeight="false" outlineLevel="0" collapsed="false">
      <c r="A14" s="5" t="s">
        <v>337</v>
      </c>
      <c r="B14" s="5" t="s">
        <v>303</v>
      </c>
      <c r="C14" s="28" t="s">
        <v>338</v>
      </c>
      <c r="D14" s="5" t="s">
        <v>335</v>
      </c>
      <c r="E14" s="22" t="s">
        <v>339</v>
      </c>
    </row>
    <row r="15" customFormat="false" ht="15" hidden="false" customHeight="false" outlineLevel="0" collapsed="false">
      <c r="A15" s="5" t="s">
        <v>340</v>
      </c>
      <c r="B15" s="5" t="s">
        <v>303</v>
      </c>
      <c r="C15" s="28" t="s">
        <v>341</v>
      </c>
      <c r="D15" s="5" t="s">
        <v>342</v>
      </c>
      <c r="E15" s="22" t="s">
        <v>343</v>
      </c>
    </row>
    <row r="16" customFormat="false" ht="15" hidden="false" customHeight="false" outlineLevel="0" collapsed="false">
      <c r="A16" s="5" t="s">
        <v>344</v>
      </c>
      <c r="B16" s="5" t="s">
        <v>303</v>
      </c>
      <c r="C16" s="28" t="s">
        <v>345</v>
      </c>
      <c r="D16" s="5" t="s">
        <v>346</v>
      </c>
      <c r="E16" s="22" t="s">
        <v>347</v>
      </c>
    </row>
    <row r="17" customFormat="false" ht="23.85" hidden="false" customHeight="false" outlineLevel="0" collapsed="false">
      <c r="A17" s="5" t="s">
        <v>348</v>
      </c>
      <c r="B17" s="5" t="s">
        <v>303</v>
      </c>
      <c r="C17" s="28" t="s">
        <v>349</v>
      </c>
      <c r="D17" s="5" t="s">
        <v>350</v>
      </c>
      <c r="E17" s="22" t="s">
        <v>351</v>
      </c>
    </row>
    <row r="18" customFormat="false" ht="23.85" hidden="false" customHeight="false" outlineLevel="0" collapsed="false">
      <c r="A18" s="5" t="s">
        <v>352</v>
      </c>
      <c r="B18" s="5" t="s">
        <v>303</v>
      </c>
      <c r="C18" s="28" t="s">
        <v>353</v>
      </c>
      <c r="D18" s="5" t="s">
        <v>335</v>
      </c>
      <c r="E18" s="22" t="s">
        <v>354</v>
      </c>
    </row>
    <row r="19" customFormat="false" ht="23.85" hidden="false" customHeight="false" outlineLevel="0" collapsed="false">
      <c r="A19" s="5" t="s">
        <v>355</v>
      </c>
      <c r="B19" s="5" t="s">
        <v>303</v>
      </c>
      <c r="C19" s="28" t="s">
        <v>356</v>
      </c>
      <c r="D19" s="5" t="s">
        <v>335</v>
      </c>
      <c r="E19" s="22" t="s">
        <v>357</v>
      </c>
    </row>
    <row r="20" customFormat="false" ht="23.85" hidden="false" customHeight="false" outlineLevel="0" collapsed="false">
      <c r="A20" s="5" t="s">
        <v>358</v>
      </c>
      <c r="B20" s="5" t="s">
        <v>303</v>
      </c>
      <c r="C20" s="28" t="s">
        <v>359</v>
      </c>
      <c r="D20" s="5" t="s">
        <v>335</v>
      </c>
      <c r="E20" s="22" t="s">
        <v>360</v>
      </c>
    </row>
    <row r="21" customFormat="false" ht="23.85" hidden="false" customHeight="false" outlineLevel="0" collapsed="false">
      <c r="A21" s="5" t="s">
        <v>361</v>
      </c>
      <c r="B21" s="5" t="s">
        <v>303</v>
      </c>
      <c r="C21" s="28" t="s">
        <v>362</v>
      </c>
      <c r="D21" s="5" t="s">
        <v>335</v>
      </c>
      <c r="E21" s="22" t="s">
        <v>363</v>
      </c>
    </row>
    <row r="22" customFormat="false" ht="23.85" hidden="false" customHeight="false" outlineLevel="0" collapsed="false">
      <c r="A22" s="5" t="s">
        <v>364</v>
      </c>
      <c r="B22" s="5" t="s">
        <v>303</v>
      </c>
      <c r="C22" s="28" t="s">
        <v>365</v>
      </c>
      <c r="D22" s="5" t="s">
        <v>335</v>
      </c>
      <c r="E22" s="22" t="s">
        <v>366</v>
      </c>
    </row>
    <row r="23" customFormat="false" ht="23.85" hidden="false" customHeight="false" outlineLevel="0" collapsed="false">
      <c r="A23" s="5" t="s">
        <v>367</v>
      </c>
      <c r="B23" s="5" t="s">
        <v>303</v>
      </c>
      <c r="C23" s="28" t="s">
        <v>368</v>
      </c>
      <c r="D23" s="5" t="s">
        <v>335</v>
      </c>
      <c r="E23" s="22" t="s">
        <v>369</v>
      </c>
    </row>
    <row r="24" customFormat="false" ht="23.85" hidden="false" customHeight="false" outlineLevel="0" collapsed="false">
      <c r="A24" s="5" t="s">
        <v>370</v>
      </c>
      <c r="B24" s="5" t="s">
        <v>303</v>
      </c>
      <c r="C24" s="28" t="s">
        <v>371</v>
      </c>
      <c r="D24" s="5" t="s">
        <v>335</v>
      </c>
      <c r="E24" s="22" t="s">
        <v>372</v>
      </c>
    </row>
    <row r="25" customFormat="false" ht="23.85" hidden="false" customHeight="false" outlineLevel="0" collapsed="false">
      <c r="A25" s="5" t="s">
        <v>373</v>
      </c>
      <c r="B25" s="5" t="s">
        <v>303</v>
      </c>
      <c r="C25" s="28" t="s">
        <v>374</v>
      </c>
      <c r="D25" s="5" t="s">
        <v>335</v>
      </c>
      <c r="E25" s="22" t="s">
        <v>375</v>
      </c>
    </row>
    <row r="26" customFormat="false" ht="23.85" hidden="false" customHeight="false" outlineLevel="0" collapsed="false">
      <c r="A26" s="5" t="s">
        <v>376</v>
      </c>
      <c r="B26" s="5" t="s">
        <v>303</v>
      </c>
      <c r="C26" s="28" t="s">
        <v>377</v>
      </c>
      <c r="D26" s="5" t="s">
        <v>335</v>
      </c>
      <c r="E26" s="22" t="s">
        <v>378</v>
      </c>
    </row>
    <row r="27" customFormat="false" ht="23.85" hidden="false" customHeight="false" outlineLevel="0" collapsed="false">
      <c r="A27" s="5" t="s">
        <v>379</v>
      </c>
      <c r="B27" s="5" t="s">
        <v>303</v>
      </c>
      <c r="C27" s="28" t="s">
        <v>380</v>
      </c>
      <c r="D27" s="5" t="s">
        <v>335</v>
      </c>
      <c r="E27" s="22" t="s">
        <v>381</v>
      </c>
    </row>
    <row r="28" customFormat="false" ht="23.85" hidden="false" customHeight="false" outlineLevel="0" collapsed="false">
      <c r="A28" s="5" t="s">
        <v>382</v>
      </c>
      <c r="B28" s="5" t="s">
        <v>303</v>
      </c>
      <c r="C28" s="28" t="s">
        <v>383</v>
      </c>
      <c r="D28" s="5" t="s">
        <v>335</v>
      </c>
      <c r="E28" s="22" t="s">
        <v>384</v>
      </c>
    </row>
    <row r="29" customFormat="false" ht="23.85" hidden="false" customHeight="false" outlineLevel="0" collapsed="false">
      <c r="A29" s="5" t="s">
        <v>385</v>
      </c>
      <c r="B29" s="5" t="s">
        <v>303</v>
      </c>
      <c r="C29" s="28" t="s">
        <v>386</v>
      </c>
      <c r="D29" s="5" t="s">
        <v>335</v>
      </c>
      <c r="E29" s="22" t="s">
        <v>387</v>
      </c>
    </row>
    <row r="30" customFormat="false" ht="23.85" hidden="false" customHeight="false" outlineLevel="0" collapsed="false">
      <c r="A30" s="5" t="s">
        <v>388</v>
      </c>
      <c r="B30" s="5" t="s">
        <v>303</v>
      </c>
      <c r="C30" s="28" t="s">
        <v>389</v>
      </c>
      <c r="D30" s="5" t="s">
        <v>335</v>
      </c>
      <c r="E30" s="22" t="s">
        <v>390</v>
      </c>
    </row>
    <row r="31" customFormat="false" ht="23.85" hidden="false" customHeight="false" outlineLevel="0" collapsed="false">
      <c r="A31" s="5" t="s">
        <v>391</v>
      </c>
      <c r="B31" s="5" t="s">
        <v>303</v>
      </c>
      <c r="C31" s="28" t="s">
        <v>392</v>
      </c>
      <c r="D31" s="5" t="s">
        <v>335</v>
      </c>
      <c r="E31" s="22" t="s">
        <v>393</v>
      </c>
    </row>
    <row r="32" customFormat="false" ht="23.85" hidden="false" customHeight="false" outlineLevel="0" collapsed="false">
      <c r="A32" s="5" t="s">
        <v>394</v>
      </c>
      <c r="B32" s="5" t="s">
        <v>303</v>
      </c>
      <c r="C32" s="28" t="s">
        <v>395</v>
      </c>
      <c r="D32" s="5" t="s">
        <v>335</v>
      </c>
      <c r="E32" s="22" t="s">
        <v>396</v>
      </c>
    </row>
    <row r="33" customFormat="false" ht="46.25" hidden="false" customHeight="false" outlineLevel="0" collapsed="false">
      <c r="A33" s="5" t="s">
        <v>397</v>
      </c>
      <c r="B33" s="5" t="s">
        <v>303</v>
      </c>
      <c r="C33" s="28" t="s">
        <v>398</v>
      </c>
      <c r="D33" s="5" t="s">
        <v>335</v>
      </c>
      <c r="E33" s="22" t="s">
        <v>399</v>
      </c>
    </row>
    <row r="34" customFormat="false" ht="23.85" hidden="false" customHeight="false" outlineLevel="0" collapsed="false">
      <c r="A34" s="5" t="s">
        <v>400</v>
      </c>
      <c r="B34" s="5" t="s">
        <v>303</v>
      </c>
      <c r="C34" s="28" t="s">
        <v>401</v>
      </c>
      <c r="D34" s="5" t="s">
        <v>402</v>
      </c>
      <c r="E34" s="22" t="s">
        <v>403</v>
      </c>
    </row>
    <row r="35" customFormat="false" ht="23.85" hidden="false" customHeight="false" outlineLevel="0" collapsed="false">
      <c r="A35" s="5" t="s">
        <v>404</v>
      </c>
      <c r="B35" s="5" t="s">
        <v>303</v>
      </c>
      <c r="C35" s="28" t="s">
        <v>405</v>
      </c>
      <c r="D35" s="5" t="s">
        <v>335</v>
      </c>
      <c r="E35" s="22" t="s">
        <v>406</v>
      </c>
    </row>
    <row r="36" customFormat="false" ht="23.85" hidden="false" customHeight="false" outlineLevel="0" collapsed="false">
      <c r="A36" s="5" t="s">
        <v>407</v>
      </c>
      <c r="B36" s="5" t="s">
        <v>303</v>
      </c>
      <c r="C36" s="28" t="s">
        <v>408</v>
      </c>
      <c r="D36" s="5" t="s">
        <v>331</v>
      </c>
      <c r="E36" s="5" t="s">
        <v>409</v>
      </c>
    </row>
    <row r="37" customFormat="false" ht="23.85" hidden="false" customHeight="false" outlineLevel="0" collapsed="false">
      <c r="A37" s="5" t="s">
        <v>410</v>
      </c>
      <c r="B37" s="5" t="s">
        <v>303</v>
      </c>
      <c r="C37" s="28" t="s">
        <v>411</v>
      </c>
      <c r="D37" s="5" t="s">
        <v>331</v>
      </c>
      <c r="E37" s="22" t="s">
        <v>412</v>
      </c>
    </row>
    <row r="38" customFormat="false" ht="23.85" hidden="false" customHeight="false" outlineLevel="0" collapsed="false">
      <c r="A38" s="5" t="s">
        <v>413</v>
      </c>
      <c r="B38" s="5" t="s">
        <v>414</v>
      </c>
      <c r="C38" s="28" t="s">
        <v>415</v>
      </c>
      <c r="D38" s="5" t="s">
        <v>305</v>
      </c>
      <c r="E38" s="22" t="s">
        <v>306</v>
      </c>
    </row>
    <row r="39" customFormat="false" ht="35.05" hidden="false" customHeight="false" outlineLevel="0" collapsed="false">
      <c r="A39" s="5" t="s">
        <v>416</v>
      </c>
      <c r="B39" s="5" t="s">
        <v>414</v>
      </c>
      <c r="C39" s="28" t="s">
        <v>417</v>
      </c>
      <c r="D39" s="5" t="s">
        <v>309</v>
      </c>
      <c r="E39" s="22" t="s">
        <v>310</v>
      </c>
    </row>
    <row r="40" customFormat="false" ht="23.85" hidden="false" customHeight="false" outlineLevel="0" collapsed="false">
      <c r="A40" s="5" t="s">
        <v>418</v>
      </c>
      <c r="B40" s="5" t="s">
        <v>414</v>
      </c>
      <c r="C40" s="28" t="s">
        <v>419</v>
      </c>
      <c r="D40" s="5" t="s">
        <v>335</v>
      </c>
      <c r="E40" s="22" t="s">
        <v>357</v>
      </c>
    </row>
    <row r="41" customFormat="false" ht="23.85" hidden="false" customHeight="false" outlineLevel="0" collapsed="false">
      <c r="A41" s="5" t="s">
        <v>420</v>
      </c>
      <c r="B41" s="5" t="s">
        <v>414</v>
      </c>
      <c r="C41" s="28" t="s">
        <v>421</v>
      </c>
      <c r="D41" s="5" t="s">
        <v>335</v>
      </c>
      <c r="E41" s="22" t="s">
        <v>354</v>
      </c>
    </row>
    <row r="42" customFormat="false" ht="23.85" hidden="false" customHeight="false" outlineLevel="0" collapsed="false">
      <c r="A42" s="5" t="s">
        <v>422</v>
      </c>
      <c r="B42" s="5" t="s">
        <v>414</v>
      </c>
      <c r="C42" s="28" t="s">
        <v>423</v>
      </c>
      <c r="D42" s="5" t="s">
        <v>335</v>
      </c>
      <c r="E42" s="22" t="s">
        <v>424</v>
      </c>
    </row>
    <row r="43" customFormat="false" ht="23.85" hidden="false" customHeight="false" outlineLevel="0" collapsed="false">
      <c r="A43" s="5" t="s">
        <v>425</v>
      </c>
      <c r="B43" s="5" t="s">
        <v>414</v>
      </c>
      <c r="C43" s="28" t="s">
        <v>426</v>
      </c>
      <c r="D43" s="5" t="s">
        <v>335</v>
      </c>
      <c r="E43" s="22" t="s">
        <v>360</v>
      </c>
    </row>
    <row r="44" customFormat="false" ht="35.05" hidden="false" customHeight="false" outlineLevel="0" collapsed="false">
      <c r="A44" s="5" t="s">
        <v>427</v>
      </c>
      <c r="B44" s="5" t="s">
        <v>414</v>
      </c>
      <c r="C44" s="28" t="s">
        <v>428</v>
      </c>
      <c r="D44" s="5" t="s">
        <v>335</v>
      </c>
      <c r="E44" s="22" t="s">
        <v>429</v>
      </c>
    </row>
    <row r="45" customFormat="false" ht="23.85" hidden="false" customHeight="false" outlineLevel="0" collapsed="false">
      <c r="A45" s="5" t="s">
        <v>430</v>
      </c>
      <c r="B45" s="5" t="s">
        <v>414</v>
      </c>
      <c r="C45" s="28" t="s">
        <v>431</v>
      </c>
      <c r="D45" s="5" t="s">
        <v>335</v>
      </c>
      <c r="E45" s="22" t="s">
        <v>432</v>
      </c>
    </row>
    <row r="46" customFormat="false" ht="23.85" hidden="false" customHeight="false" outlineLevel="0" collapsed="false">
      <c r="A46" s="5" t="s">
        <v>433</v>
      </c>
      <c r="B46" s="5" t="s">
        <v>414</v>
      </c>
      <c r="C46" s="28" t="s">
        <v>434</v>
      </c>
      <c r="D46" s="5" t="s">
        <v>335</v>
      </c>
      <c r="E46" s="22" t="s">
        <v>435</v>
      </c>
    </row>
    <row r="47" customFormat="false" ht="23.85" hidden="false" customHeight="false" outlineLevel="0" collapsed="false">
      <c r="A47" s="5" t="s">
        <v>436</v>
      </c>
      <c r="B47" s="5" t="s">
        <v>414</v>
      </c>
      <c r="C47" s="28" t="s">
        <v>437</v>
      </c>
      <c r="D47" s="5" t="s">
        <v>335</v>
      </c>
      <c r="E47" s="22" t="s">
        <v>438</v>
      </c>
    </row>
    <row r="48" customFormat="false" ht="23.85" hidden="false" customHeight="false" outlineLevel="0" collapsed="false">
      <c r="A48" s="5" t="s">
        <v>439</v>
      </c>
      <c r="B48" s="5" t="s">
        <v>414</v>
      </c>
      <c r="C48" s="28" t="s">
        <v>440</v>
      </c>
      <c r="D48" s="5" t="s">
        <v>335</v>
      </c>
      <c r="E48" s="22" t="s">
        <v>441</v>
      </c>
    </row>
    <row r="49" customFormat="false" ht="35.05" hidden="false" customHeight="false" outlineLevel="0" collapsed="false">
      <c r="A49" s="5" t="s">
        <v>442</v>
      </c>
      <c r="B49" s="5" t="s">
        <v>414</v>
      </c>
      <c r="C49" s="28" t="s">
        <v>443</v>
      </c>
      <c r="D49" s="5" t="s">
        <v>335</v>
      </c>
      <c r="E49" s="22" t="s">
        <v>444</v>
      </c>
    </row>
    <row r="50" customFormat="false" ht="23.85" hidden="false" customHeight="false" outlineLevel="0" collapsed="false">
      <c r="A50" s="5" t="s">
        <v>445</v>
      </c>
      <c r="B50" s="5" t="s">
        <v>414</v>
      </c>
      <c r="C50" s="28" t="s">
        <v>446</v>
      </c>
      <c r="D50" s="5" t="s">
        <v>335</v>
      </c>
      <c r="E50" s="22" t="s">
        <v>447</v>
      </c>
    </row>
    <row r="51" customFormat="false" ht="23.85" hidden="false" customHeight="false" outlineLevel="0" collapsed="false">
      <c r="A51" s="5" t="s">
        <v>448</v>
      </c>
      <c r="B51" s="5" t="s">
        <v>414</v>
      </c>
      <c r="C51" s="28" t="s">
        <v>449</v>
      </c>
      <c r="D51" s="5" t="s">
        <v>335</v>
      </c>
      <c r="E51" s="22" t="s">
        <v>450</v>
      </c>
    </row>
    <row r="52" customFormat="false" ht="23.85" hidden="false" customHeight="false" outlineLevel="0" collapsed="false">
      <c r="A52" s="5" t="s">
        <v>451</v>
      </c>
      <c r="B52" s="5" t="s">
        <v>414</v>
      </c>
      <c r="C52" s="28" t="s">
        <v>452</v>
      </c>
      <c r="D52" s="5" t="s">
        <v>335</v>
      </c>
      <c r="E52" s="22" t="s">
        <v>453</v>
      </c>
    </row>
    <row r="53" customFormat="false" ht="23.85" hidden="false" customHeight="false" outlineLevel="0" collapsed="false">
      <c r="A53" s="5" t="s">
        <v>454</v>
      </c>
      <c r="B53" s="5" t="s">
        <v>414</v>
      </c>
      <c r="C53" s="28" t="s">
        <v>455</v>
      </c>
      <c r="D53" s="5" t="s">
        <v>335</v>
      </c>
      <c r="E53" s="22" t="s">
        <v>456</v>
      </c>
    </row>
    <row r="54" customFormat="false" ht="35.05" hidden="false" customHeight="false" outlineLevel="0" collapsed="false">
      <c r="A54" s="5" t="s">
        <v>457</v>
      </c>
      <c r="B54" s="5" t="s">
        <v>414</v>
      </c>
      <c r="C54" s="28" t="s">
        <v>458</v>
      </c>
      <c r="D54" s="5" t="s">
        <v>335</v>
      </c>
      <c r="E54" s="22" t="s">
        <v>459</v>
      </c>
    </row>
    <row r="55" customFormat="false" ht="57.45" hidden="false" customHeight="false" outlineLevel="0" collapsed="false">
      <c r="A55" s="5" t="s">
        <v>460</v>
      </c>
      <c r="B55" s="5" t="s">
        <v>414</v>
      </c>
      <c r="C55" s="28" t="s">
        <v>461</v>
      </c>
      <c r="D55" s="5" t="s">
        <v>402</v>
      </c>
      <c r="E55" s="22" t="s">
        <v>462</v>
      </c>
    </row>
    <row r="56" customFormat="false" ht="57.45" hidden="false" customHeight="false" outlineLevel="0" collapsed="false">
      <c r="A56" s="5" t="s">
        <v>463</v>
      </c>
      <c r="B56" s="5" t="s">
        <v>414</v>
      </c>
      <c r="C56" s="28" t="s">
        <v>464</v>
      </c>
      <c r="D56" s="5" t="s">
        <v>402</v>
      </c>
      <c r="E56" s="22" t="s">
        <v>465</v>
      </c>
    </row>
    <row r="57" customFormat="false" ht="23.85" hidden="false" customHeight="false" outlineLevel="0" collapsed="false">
      <c r="A57" s="5" t="s">
        <v>466</v>
      </c>
      <c r="B57" s="5" t="s">
        <v>414</v>
      </c>
      <c r="C57" s="28" t="s">
        <v>467</v>
      </c>
      <c r="D57" s="5" t="s">
        <v>468</v>
      </c>
      <c r="E57" s="22" t="s">
        <v>469</v>
      </c>
    </row>
    <row r="58" customFormat="false" ht="23.85" hidden="false" customHeight="false" outlineLevel="0" collapsed="false">
      <c r="A58" s="5" t="s">
        <v>470</v>
      </c>
      <c r="B58" s="5" t="s">
        <v>414</v>
      </c>
      <c r="C58" s="28" t="s">
        <v>471</v>
      </c>
      <c r="D58" s="5" t="s">
        <v>468</v>
      </c>
      <c r="E58" s="22" t="s">
        <v>472</v>
      </c>
    </row>
    <row r="59" customFormat="false" ht="23.85" hidden="false" customHeight="false" outlineLevel="0" collapsed="false">
      <c r="A59" s="5" t="s">
        <v>473</v>
      </c>
      <c r="B59" s="5" t="s">
        <v>414</v>
      </c>
      <c r="C59" s="28" t="s">
        <v>474</v>
      </c>
      <c r="D59" s="5" t="s">
        <v>331</v>
      </c>
      <c r="E59" s="22" t="s">
        <v>475</v>
      </c>
    </row>
    <row r="60" customFormat="false" ht="23.85" hidden="false" customHeight="false" outlineLevel="0" collapsed="false">
      <c r="A60" s="5" t="s">
        <v>476</v>
      </c>
      <c r="B60" s="5" t="s">
        <v>414</v>
      </c>
      <c r="C60" s="28" t="s">
        <v>477</v>
      </c>
      <c r="D60" s="5" t="s">
        <v>305</v>
      </c>
      <c r="E60" s="22" t="s">
        <v>478</v>
      </c>
    </row>
    <row r="61" customFormat="false" ht="23.85" hidden="false" customHeight="false" outlineLevel="0" collapsed="false">
      <c r="A61" s="5" t="s">
        <v>479</v>
      </c>
      <c r="B61" s="5" t="s">
        <v>414</v>
      </c>
      <c r="C61" s="28" t="s">
        <v>480</v>
      </c>
      <c r="D61" s="5" t="s">
        <v>481</v>
      </c>
      <c r="E61" s="22" t="s">
        <v>482</v>
      </c>
    </row>
    <row r="62" customFormat="false" ht="15" hidden="false" customHeight="false" outlineLevel="0" collapsed="false">
      <c r="A62" s="5" t="s">
        <v>483</v>
      </c>
      <c r="B62" s="5" t="s">
        <v>414</v>
      </c>
      <c r="C62" s="28" t="s">
        <v>484</v>
      </c>
      <c r="D62" s="5" t="s">
        <v>485</v>
      </c>
      <c r="E62" s="22" t="s">
        <v>343</v>
      </c>
    </row>
    <row r="63" customFormat="false" ht="23.85" hidden="false" customHeight="false" outlineLevel="0" collapsed="false">
      <c r="A63" s="5" t="s">
        <v>486</v>
      </c>
      <c r="B63" s="5" t="s">
        <v>414</v>
      </c>
      <c r="C63" s="28" t="s">
        <v>487</v>
      </c>
      <c r="D63" s="5" t="s">
        <v>335</v>
      </c>
      <c r="E63" s="22" t="s">
        <v>406</v>
      </c>
    </row>
    <row r="64" customFormat="false" ht="23.85" hidden="false" customHeight="false" outlineLevel="0" collapsed="false">
      <c r="A64" s="5" t="s">
        <v>488</v>
      </c>
      <c r="B64" s="5" t="s">
        <v>414</v>
      </c>
      <c r="C64" s="28" t="s">
        <v>489</v>
      </c>
      <c r="D64" s="5" t="s">
        <v>402</v>
      </c>
      <c r="E64" s="22" t="s">
        <v>403</v>
      </c>
    </row>
    <row r="65" customFormat="false" ht="35.05" hidden="false" customHeight="false" outlineLevel="0" collapsed="false">
      <c r="A65" s="5" t="s">
        <v>490</v>
      </c>
      <c r="B65" s="5" t="s">
        <v>414</v>
      </c>
      <c r="C65" s="28" t="s">
        <v>491</v>
      </c>
      <c r="D65" s="5" t="s">
        <v>331</v>
      </c>
      <c r="E65" s="5" t="s">
        <v>492</v>
      </c>
    </row>
    <row r="66" customFormat="false" ht="23.85" hidden="false" customHeight="false" outlineLevel="0" collapsed="false">
      <c r="A66" s="5" t="s">
        <v>493</v>
      </c>
      <c r="B66" s="5" t="s">
        <v>414</v>
      </c>
      <c r="C66" s="28" t="s">
        <v>494</v>
      </c>
      <c r="D66" s="5" t="s">
        <v>495</v>
      </c>
      <c r="E66" s="5" t="s">
        <v>496</v>
      </c>
    </row>
    <row r="67" customFormat="false" ht="23.85" hidden="false" customHeight="false" outlineLevel="0" collapsed="false">
      <c r="A67" s="5" t="s">
        <v>497</v>
      </c>
      <c r="B67" s="5" t="s">
        <v>414</v>
      </c>
      <c r="C67" s="28" t="s">
        <v>498</v>
      </c>
      <c r="D67" s="5" t="s">
        <v>499</v>
      </c>
      <c r="E67" s="22" t="s">
        <v>500</v>
      </c>
    </row>
    <row r="68" customFormat="false" ht="23.85" hidden="false" customHeight="false" outlineLevel="0" collapsed="false">
      <c r="A68" s="5" t="s">
        <v>501</v>
      </c>
      <c r="B68" s="5" t="s">
        <v>414</v>
      </c>
      <c r="C68" s="28" t="s">
        <v>502</v>
      </c>
      <c r="D68" s="5" t="s">
        <v>350</v>
      </c>
      <c r="E68" s="22" t="s">
        <v>351</v>
      </c>
    </row>
    <row r="69" customFormat="false" ht="15" hidden="false" customHeight="false" outlineLevel="0" collapsed="false">
      <c r="A69" s="5" t="s">
        <v>503</v>
      </c>
      <c r="B69" s="5" t="s">
        <v>414</v>
      </c>
      <c r="C69" s="28" t="s">
        <v>504</v>
      </c>
      <c r="D69" s="5" t="s">
        <v>335</v>
      </c>
      <c r="E69" s="22" t="s">
        <v>505</v>
      </c>
    </row>
    <row r="70" customFormat="false" ht="23.85" hidden="false" customHeight="false" outlineLevel="0" collapsed="false">
      <c r="A70" s="5" t="s">
        <v>506</v>
      </c>
      <c r="B70" s="5" t="s">
        <v>414</v>
      </c>
      <c r="C70" s="28" t="s">
        <v>507</v>
      </c>
      <c r="D70" s="5" t="s">
        <v>335</v>
      </c>
      <c r="E70" s="22" t="s">
        <v>336</v>
      </c>
    </row>
    <row r="71" customFormat="false" ht="15" hidden="false" customHeight="false" outlineLevel="0" collapsed="false">
      <c r="A71" s="5" t="s">
        <v>508</v>
      </c>
      <c r="B71" s="5" t="s">
        <v>509</v>
      </c>
      <c r="C71" s="28" t="s">
        <v>510</v>
      </c>
      <c r="D71" s="5" t="s">
        <v>305</v>
      </c>
      <c r="E71" s="22" t="s">
        <v>511</v>
      </c>
    </row>
    <row r="72" customFormat="false" ht="23.85" hidden="false" customHeight="false" outlineLevel="0" collapsed="false">
      <c r="A72" s="5" t="s">
        <v>512</v>
      </c>
      <c r="B72" s="5" t="s">
        <v>509</v>
      </c>
      <c r="C72" s="28" t="s">
        <v>513</v>
      </c>
      <c r="D72" s="5" t="s">
        <v>309</v>
      </c>
      <c r="E72" s="22" t="s">
        <v>310</v>
      </c>
    </row>
    <row r="73" customFormat="false" ht="15" hidden="false" customHeight="false" outlineLevel="0" collapsed="false">
      <c r="A73" s="5" t="s">
        <v>514</v>
      </c>
      <c r="B73" s="5" t="s">
        <v>509</v>
      </c>
      <c r="C73" s="28" t="s">
        <v>515</v>
      </c>
      <c r="D73" s="5" t="s">
        <v>516</v>
      </c>
      <c r="E73" s="22" t="s">
        <v>517</v>
      </c>
    </row>
    <row r="74" customFormat="false" ht="15" hidden="false" customHeight="false" outlineLevel="0" collapsed="false">
      <c r="A74" s="5" t="s">
        <v>518</v>
      </c>
      <c r="B74" s="5" t="s">
        <v>509</v>
      </c>
      <c r="C74" s="28" t="s">
        <v>519</v>
      </c>
      <c r="D74" s="5" t="s">
        <v>305</v>
      </c>
      <c r="E74" s="22" t="s">
        <v>520</v>
      </c>
    </row>
    <row r="75" customFormat="false" ht="15" hidden="false" customHeight="false" outlineLevel="0" collapsed="false">
      <c r="A75" s="5" t="s">
        <v>521</v>
      </c>
      <c r="B75" s="5" t="s">
        <v>509</v>
      </c>
      <c r="C75" s="28" t="s">
        <v>522</v>
      </c>
      <c r="D75" s="5" t="s">
        <v>523</v>
      </c>
      <c r="E75" s="22" t="s">
        <v>524</v>
      </c>
    </row>
    <row r="76" customFormat="false" ht="15" hidden="false" customHeight="false" outlineLevel="0" collapsed="false">
      <c r="A76" s="5" t="s">
        <v>525</v>
      </c>
      <c r="B76" s="5" t="s">
        <v>509</v>
      </c>
      <c r="C76" s="28" t="s">
        <v>526</v>
      </c>
      <c r="D76" s="5" t="s">
        <v>527</v>
      </c>
      <c r="E76" s="22" t="s">
        <v>528</v>
      </c>
    </row>
    <row r="77" customFormat="false" ht="15" hidden="false" customHeight="false" outlineLevel="0" collapsed="false">
      <c r="A77" s="5" t="s">
        <v>529</v>
      </c>
      <c r="B77" s="5" t="s">
        <v>509</v>
      </c>
      <c r="C77" s="28" t="s">
        <v>530</v>
      </c>
      <c r="D77" s="5" t="s">
        <v>531</v>
      </c>
      <c r="E77" s="22" t="s">
        <v>532</v>
      </c>
    </row>
    <row r="78" customFormat="false" ht="15" hidden="false" customHeight="false" outlineLevel="0" collapsed="false">
      <c r="A78" s="5" t="s">
        <v>533</v>
      </c>
      <c r="B78" s="5" t="s">
        <v>509</v>
      </c>
      <c r="C78" s="28" t="s">
        <v>534</v>
      </c>
      <c r="D78" s="5" t="s">
        <v>531</v>
      </c>
      <c r="E78" s="22" t="s">
        <v>535</v>
      </c>
    </row>
    <row r="79" customFormat="false" ht="15" hidden="false" customHeight="false" outlineLevel="0" collapsed="false">
      <c r="A79" s="5" t="s">
        <v>536</v>
      </c>
      <c r="B79" s="5" t="s">
        <v>509</v>
      </c>
      <c r="C79" s="28" t="s">
        <v>537</v>
      </c>
      <c r="D79" s="5" t="s">
        <v>538</v>
      </c>
      <c r="E79" s="22" t="s">
        <v>539</v>
      </c>
    </row>
    <row r="80" customFormat="false" ht="15" hidden="false" customHeight="false" outlineLevel="0" collapsed="false">
      <c r="A80" s="5" t="s">
        <v>540</v>
      </c>
      <c r="B80" s="5" t="s">
        <v>509</v>
      </c>
      <c r="C80" s="28" t="s">
        <v>541</v>
      </c>
      <c r="D80" s="5" t="s">
        <v>542</v>
      </c>
      <c r="E80" s="22" t="s">
        <v>543</v>
      </c>
    </row>
    <row r="81" customFormat="false" ht="15" hidden="false" customHeight="false" outlineLevel="0" collapsed="false">
      <c r="A81" s="5" t="s">
        <v>544</v>
      </c>
      <c r="B81" s="5" t="s">
        <v>509</v>
      </c>
      <c r="C81" s="28" t="s">
        <v>545</v>
      </c>
      <c r="D81" s="5" t="s">
        <v>546</v>
      </c>
      <c r="E81" s="22" t="s">
        <v>547</v>
      </c>
    </row>
    <row r="82" customFormat="false" ht="35.05" hidden="false" customHeight="false" outlineLevel="0" collapsed="false">
      <c r="A82" s="5" t="s">
        <v>548</v>
      </c>
      <c r="B82" s="5" t="s">
        <v>509</v>
      </c>
      <c r="C82" s="28" t="s">
        <v>549</v>
      </c>
      <c r="D82" s="5" t="s">
        <v>550</v>
      </c>
      <c r="E82" s="22" t="s">
        <v>551</v>
      </c>
    </row>
    <row r="83" customFormat="false" ht="23.85" hidden="false" customHeight="false" outlineLevel="0" collapsed="false">
      <c r="A83" s="5" t="s">
        <v>552</v>
      </c>
      <c r="B83" s="5" t="s">
        <v>509</v>
      </c>
      <c r="C83" s="28" t="s">
        <v>553</v>
      </c>
      <c r="D83" s="5" t="s">
        <v>546</v>
      </c>
      <c r="E83" s="22" t="s">
        <v>554</v>
      </c>
    </row>
    <row r="84" customFormat="false" ht="23.85" hidden="false" customHeight="false" outlineLevel="0" collapsed="false">
      <c r="A84" s="5" t="s">
        <v>555</v>
      </c>
      <c r="B84" s="5" t="s">
        <v>509</v>
      </c>
      <c r="C84" s="28" t="s">
        <v>556</v>
      </c>
      <c r="D84" s="5" t="s">
        <v>531</v>
      </c>
      <c r="E84" s="22" t="s">
        <v>557</v>
      </c>
    </row>
    <row r="85" customFormat="false" ht="15" hidden="false" customHeight="false" outlineLevel="0" collapsed="false">
      <c r="A85" s="5" t="s">
        <v>558</v>
      </c>
      <c r="B85" s="5" t="s">
        <v>509</v>
      </c>
      <c r="C85" s="28" t="s">
        <v>559</v>
      </c>
      <c r="D85" s="5" t="s">
        <v>560</v>
      </c>
      <c r="E85" s="22" t="s">
        <v>561</v>
      </c>
    </row>
    <row r="86" customFormat="false" ht="23.85" hidden="false" customHeight="false" outlineLevel="0" collapsed="false">
      <c r="A86" s="5" t="s">
        <v>562</v>
      </c>
      <c r="B86" s="5" t="s">
        <v>509</v>
      </c>
      <c r="C86" s="28" t="s">
        <v>563</v>
      </c>
      <c r="D86" s="5" t="s">
        <v>516</v>
      </c>
      <c r="E86" s="22" t="s">
        <v>564</v>
      </c>
    </row>
    <row r="87" customFormat="false" ht="35.05" hidden="false" customHeight="false" outlineLevel="0" collapsed="false">
      <c r="A87" s="5" t="s">
        <v>565</v>
      </c>
      <c r="B87" s="5" t="s">
        <v>509</v>
      </c>
      <c r="C87" s="28" t="s">
        <v>566</v>
      </c>
      <c r="D87" s="5" t="s">
        <v>567</v>
      </c>
      <c r="E87" s="22" t="s">
        <v>568</v>
      </c>
    </row>
    <row r="88" customFormat="false" ht="23.85" hidden="false" customHeight="false" outlineLevel="0" collapsed="false">
      <c r="A88" s="5" t="s">
        <v>569</v>
      </c>
      <c r="B88" s="5" t="s">
        <v>509</v>
      </c>
      <c r="C88" s="28" t="s">
        <v>570</v>
      </c>
      <c r="D88" s="5" t="s">
        <v>571</v>
      </c>
      <c r="E88" s="22" t="s">
        <v>572</v>
      </c>
    </row>
    <row r="89" customFormat="false" ht="23.85" hidden="false" customHeight="false" outlineLevel="0" collapsed="false">
      <c r="A89" s="5" t="s">
        <v>573</v>
      </c>
      <c r="B89" s="5" t="s">
        <v>509</v>
      </c>
      <c r="C89" s="28" t="s">
        <v>574</v>
      </c>
      <c r="D89" s="5" t="s">
        <v>575</v>
      </c>
      <c r="E89" s="22" t="s">
        <v>576</v>
      </c>
    </row>
    <row r="90" customFormat="false" ht="15" hidden="false" customHeight="false" outlineLevel="0" collapsed="false">
      <c r="A90" s="5" t="s">
        <v>577</v>
      </c>
      <c r="B90" s="5" t="s">
        <v>509</v>
      </c>
      <c r="C90" s="28" t="s">
        <v>578</v>
      </c>
      <c r="D90" s="5" t="s">
        <v>579</v>
      </c>
      <c r="E90" s="22" t="s">
        <v>580</v>
      </c>
    </row>
    <row r="91" customFormat="false" ht="15" hidden="false" customHeight="false" outlineLevel="0" collapsed="false">
      <c r="A91" s="5" t="s">
        <v>581</v>
      </c>
      <c r="B91" s="5" t="s">
        <v>509</v>
      </c>
      <c r="C91" s="28" t="s">
        <v>582</v>
      </c>
      <c r="D91" s="5" t="s">
        <v>583</v>
      </c>
      <c r="E91" s="22" t="s">
        <v>584</v>
      </c>
    </row>
    <row r="92" customFormat="false" ht="23.85" hidden="false" customHeight="false" outlineLevel="0" collapsed="false">
      <c r="A92" s="5" t="s">
        <v>585</v>
      </c>
      <c r="B92" s="5" t="s">
        <v>509</v>
      </c>
      <c r="C92" s="28" t="s">
        <v>586</v>
      </c>
      <c r="D92" s="5" t="s">
        <v>587</v>
      </c>
      <c r="E92" s="22" t="s">
        <v>588</v>
      </c>
    </row>
    <row r="93" customFormat="false" ht="15" hidden="false" customHeight="false" outlineLevel="0" collapsed="false">
      <c r="A93" s="5" t="s">
        <v>589</v>
      </c>
      <c r="B93" s="5" t="s">
        <v>509</v>
      </c>
      <c r="C93" s="28" t="s">
        <v>590</v>
      </c>
      <c r="D93" s="5" t="s">
        <v>591</v>
      </c>
      <c r="E93" s="22" t="s">
        <v>592</v>
      </c>
    </row>
    <row r="94" customFormat="false" ht="15" hidden="false" customHeight="false" outlineLevel="0" collapsed="false">
      <c r="A94" s="5" t="s">
        <v>593</v>
      </c>
      <c r="B94" s="5" t="s">
        <v>509</v>
      </c>
      <c r="C94" s="28" t="s">
        <v>594</v>
      </c>
      <c r="D94" s="5" t="s">
        <v>499</v>
      </c>
      <c r="E94" s="22" t="s">
        <v>595</v>
      </c>
    </row>
    <row r="95" customFormat="false" ht="15" hidden="false" customHeight="false" outlineLevel="0" collapsed="false">
      <c r="A95" s="5" t="s">
        <v>596</v>
      </c>
      <c r="B95" s="5" t="s">
        <v>509</v>
      </c>
      <c r="C95" s="28" t="s">
        <v>597</v>
      </c>
      <c r="D95" s="5" t="s">
        <v>598</v>
      </c>
      <c r="E95" s="22" t="s">
        <v>599</v>
      </c>
    </row>
    <row r="96" customFormat="false" ht="23.85" hidden="false" customHeight="false" outlineLevel="0" collapsed="false">
      <c r="A96" s="5" t="s">
        <v>600</v>
      </c>
      <c r="B96" s="5" t="s">
        <v>509</v>
      </c>
      <c r="C96" s="28" t="s">
        <v>601</v>
      </c>
      <c r="D96" s="5" t="s">
        <v>602</v>
      </c>
      <c r="E96" s="22" t="s">
        <v>603</v>
      </c>
    </row>
    <row r="97" customFormat="false" ht="15" hidden="false" customHeight="false" outlineLevel="0" collapsed="false">
      <c r="A97" s="5" t="s">
        <v>604</v>
      </c>
      <c r="B97" s="5" t="s">
        <v>509</v>
      </c>
      <c r="C97" s="28" t="s">
        <v>605</v>
      </c>
      <c r="D97" s="5" t="s">
        <v>606</v>
      </c>
      <c r="E97" s="22" t="s">
        <v>607</v>
      </c>
    </row>
    <row r="98" customFormat="false" ht="23.85" hidden="false" customHeight="false" outlineLevel="0" collapsed="false">
      <c r="A98" s="5" t="s">
        <v>608</v>
      </c>
      <c r="B98" s="5" t="s">
        <v>509</v>
      </c>
      <c r="C98" s="28" t="s">
        <v>609</v>
      </c>
      <c r="D98" s="5" t="s">
        <v>610</v>
      </c>
      <c r="E98" s="22" t="s">
        <v>611</v>
      </c>
    </row>
    <row r="99" customFormat="false" ht="15" hidden="false" customHeight="false" outlineLevel="0" collapsed="false">
      <c r="A99" s="5" t="s">
        <v>612</v>
      </c>
      <c r="B99" s="5" t="s">
        <v>509</v>
      </c>
      <c r="C99" s="28" t="s">
        <v>613</v>
      </c>
      <c r="D99" s="5" t="s">
        <v>614</v>
      </c>
      <c r="E99" s="22" t="s">
        <v>615</v>
      </c>
    </row>
    <row r="100" customFormat="false" ht="15" hidden="false" customHeight="false" outlineLevel="0" collapsed="false">
      <c r="A100" s="5" t="s">
        <v>616</v>
      </c>
      <c r="B100" s="5" t="s">
        <v>509</v>
      </c>
      <c r="C100" s="28" t="s">
        <v>617</v>
      </c>
      <c r="D100" s="5" t="s">
        <v>618</v>
      </c>
      <c r="E100" s="22" t="s">
        <v>619</v>
      </c>
    </row>
    <row r="101" customFormat="false" ht="15" hidden="false" customHeight="false" outlineLevel="0" collapsed="false">
      <c r="A101" s="5" t="s">
        <v>620</v>
      </c>
      <c r="B101" s="5" t="s">
        <v>509</v>
      </c>
      <c r="C101" s="28" t="s">
        <v>621</v>
      </c>
      <c r="D101" s="5" t="s">
        <v>618</v>
      </c>
      <c r="E101" s="22" t="s">
        <v>622</v>
      </c>
    </row>
    <row r="102" customFormat="false" ht="15" hidden="false" customHeight="false" outlineLevel="0" collapsed="false">
      <c r="A102" s="5" t="s">
        <v>623</v>
      </c>
      <c r="B102" s="5" t="s">
        <v>509</v>
      </c>
      <c r="C102" s="28" t="s">
        <v>624</v>
      </c>
      <c r="D102" s="5" t="s">
        <v>331</v>
      </c>
      <c r="E102" s="22" t="s">
        <v>625</v>
      </c>
    </row>
    <row r="103" customFormat="false" ht="23.85" hidden="false" customHeight="false" outlineLevel="0" collapsed="false">
      <c r="A103" s="5" t="s">
        <v>626</v>
      </c>
      <c r="B103" s="5" t="s">
        <v>509</v>
      </c>
      <c r="C103" s="28" t="s">
        <v>627</v>
      </c>
      <c r="D103" s="5" t="s">
        <v>628</v>
      </c>
      <c r="E103" s="22" t="s">
        <v>629</v>
      </c>
    </row>
    <row r="104" customFormat="false" ht="23.85" hidden="false" customHeight="false" outlineLevel="0" collapsed="false">
      <c r="A104" s="5" t="s">
        <v>630</v>
      </c>
      <c r="B104" s="5" t="s">
        <v>509</v>
      </c>
      <c r="C104" s="28" t="s">
        <v>631</v>
      </c>
      <c r="D104" s="5" t="s">
        <v>331</v>
      </c>
      <c r="E104" s="22" t="s">
        <v>360</v>
      </c>
    </row>
    <row r="105" customFormat="false" ht="15" hidden="false" customHeight="false" outlineLevel="0" collapsed="false">
      <c r="A105" s="5" t="s">
        <v>632</v>
      </c>
      <c r="B105" s="5" t="s">
        <v>509</v>
      </c>
      <c r="C105" s="28" t="s">
        <v>633</v>
      </c>
      <c r="D105" s="5" t="s">
        <v>331</v>
      </c>
      <c r="E105" s="22" t="s">
        <v>363</v>
      </c>
    </row>
    <row r="106" customFormat="false" ht="15" hidden="false" customHeight="false" outlineLevel="0" collapsed="false">
      <c r="A106" s="5" t="s">
        <v>634</v>
      </c>
      <c r="B106" s="5" t="s">
        <v>509</v>
      </c>
      <c r="C106" s="28" t="s">
        <v>635</v>
      </c>
      <c r="D106" s="5" t="s">
        <v>331</v>
      </c>
      <c r="E106" s="22" t="s">
        <v>366</v>
      </c>
    </row>
    <row r="107" customFormat="false" ht="15" hidden="false" customHeight="false" outlineLevel="0" collapsed="false">
      <c r="A107" s="5" t="s">
        <v>636</v>
      </c>
      <c r="B107" s="5" t="s">
        <v>509</v>
      </c>
      <c r="C107" s="28" t="s">
        <v>637</v>
      </c>
      <c r="D107" s="5" t="s">
        <v>331</v>
      </c>
      <c r="E107" s="22" t="s">
        <v>369</v>
      </c>
    </row>
    <row r="108" customFormat="false" ht="15" hidden="false" customHeight="false" outlineLevel="0" collapsed="false">
      <c r="A108" s="5" t="s">
        <v>638</v>
      </c>
      <c r="B108" s="5" t="s">
        <v>509</v>
      </c>
      <c r="C108" s="28" t="s">
        <v>639</v>
      </c>
      <c r="D108" s="5" t="s">
        <v>331</v>
      </c>
      <c r="E108" s="22" t="s">
        <v>372</v>
      </c>
    </row>
    <row r="109" customFormat="false" ht="15" hidden="false" customHeight="false" outlineLevel="0" collapsed="false">
      <c r="A109" s="5" t="s">
        <v>640</v>
      </c>
      <c r="B109" s="5" t="s">
        <v>509</v>
      </c>
      <c r="C109" s="28" t="s">
        <v>641</v>
      </c>
      <c r="D109" s="5" t="s">
        <v>331</v>
      </c>
      <c r="E109" s="22" t="s">
        <v>375</v>
      </c>
    </row>
    <row r="110" customFormat="false" ht="15" hidden="false" customHeight="false" outlineLevel="0" collapsed="false">
      <c r="A110" s="5" t="s">
        <v>642</v>
      </c>
      <c r="B110" s="5" t="s">
        <v>509</v>
      </c>
      <c r="C110" s="28" t="s">
        <v>643</v>
      </c>
      <c r="D110" s="5" t="s">
        <v>331</v>
      </c>
      <c r="E110" s="22" t="s">
        <v>378</v>
      </c>
    </row>
    <row r="111" customFormat="false" ht="15" hidden="false" customHeight="false" outlineLevel="0" collapsed="false">
      <c r="A111" s="5" t="s">
        <v>644</v>
      </c>
      <c r="B111" s="5" t="s">
        <v>509</v>
      </c>
      <c r="C111" s="28" t="s">
        <v>645</v>
      </c>
      <c r="D111" s="5" t="s">
        <v>331</v>
      </c>
      <c r="E111" s="22" t="s">
        <v>381</v>
      </c>
    </row>
    <row r="112" customFormat="false" ht="15" hidden="false" customHeight="false" outlineLevel="0" collapsed="false">
      <c r="A112" s="5" t="s">
        <v>646</v>
      </c>
      <c r="B112" s="5" t="s">
        <v>509</v>
      </c>
      <c r="C112" s="28" t="s">
        <v>647</v>
      </c>
      <c r="D112" s="5" t="s">
        <v>331</v>
      </c>
      <c r="E112" s="22" t="s">
        <v>384</v>
      </c>
    </row>
    <row r="113" customFormat="false" ht="15" hidden="false" customHeight="false" outlineLevel="0" collapsed="false">
      <c r="A113" s="5" t="s">
        <v>648</v>
      </c>
      <c r="B113" s="5" t="s">
        <v>509</v>
      </c>
      <c r="C113" s="28" t="s">
        <v>649</v>
      </c>
      <c r="D113" s="5" t="s">
        <v>331</v>
      </c>
      <c r="E113" s="22" t="s">
        <v>387</v>
      </c>
    </row>
    <row r="114" customFormat="false" ht="15" hidden="false" customHeight="false" outlineLevel="0" collapsed="false">
      <c r="A114" s="5" t="s">
        <v>650</v>
      </c>
      <c r="B114" s="5" t="s">
        <v>509</v>
      </c>
      <c r="C114" s="28" t="s">
        <v>651</v>
      </c>
      <c r="D114" s="5" t="s">
        <v>331</v>
      </c>
      <c r="E114" s="22" t="s">
        <v>396</v>
      </c>
    </row>
    <row r="115" customFormat="false" ht="15" hidden="false" customHeight="false" outlineLevel="0" collapsed="false">
      <c r="A115" s="5" t="s">
        <v>652</v>
      </c>
      <c r="B115" s="5" t="s">
        <v>509</v>
      </c>
      <c r="C115" s="28" t="s">
        <v>653</v>
      </c>
      <c r="D115" s="5" t="s">
        <v>331</v>
      </c>
      <c r="E115" s="22" t="s">
        <v>393</v>
      </c>
    </row>
    <row r="116" customFormat="false" ht="15" hidden="false" customHeight="false" outlineLevel="0" collapsed="false">
      <c r="A116" s="5" t="s">
        <v>654</v>
      </c>
      <c r="B116" s="5" t="s">
        <v>509</v>
      </c>
      <c r="C116" s="28" t="s">
        <v>655</v>
      </c>
      <c r="D116" s="5" t="s">
        <v>331</v>
      </c>
      <c r="E116" s="22" t="s">
        <v>390</v>
      </c>
    </row>
    <row r="117" customFormat="false" ht="15" hidden="false" customHeight="false" outlineLevel="0" collapsed="false">
      <c r="A117" s="5" t="s">
        <v>656</v>
      </c>
      <c r="B117" s="5" t="s">
        <v>509</v>
      </c>
      <c r="C117" s="28" t="s">
        <v>657</v>
      </c>
      <c r="D117" s="5" t="s">
        <v>331</v>
      </c>
      <c r="E117" s="22" t="s">
        <v>658</v>
      </c>
    </row>
    <row r="118" customFormat="false" ht="15" hidden="false" customHeight="false" outlineLevel="0" collapsed="false">
      <c r="A118" s="5" t="s">
        <v>659</v>
      </c>
      <c r="B118" s="5" t="s">
        <v>509</v>
      </c>
      <c r="C118" s="28" t="s">
        <v>660</v>
      </c>
      <c r="D118" s="5" t="s">
        <v>331</v>
      </c>
      <c r="E118" s="22" t="s">
        <v>661</v>
      </c>
    </row>
    <row r="119" customFormat="false" ht="23.85" hidden="false" customHeight="false" outlineLevel="0" collapsed="false">
      <c r="A119" s="5" t="s">
        <v>662</v>
      </c>
      <c r="B119" s="5" t="s">
        <v>509</v>
      </c>
      <c r="C119" s="28" t="s">
        <v>663</v>
      </c>
      <c r="D119" s="5" t="s">
        <v>664</v>
      </c>
      <c r="E119" s="22" t="s">
        <v>665</v>
      </c>
    </row>
    <row r="120" customFormat="false" ht="23.85" hidden="false" customHeight="false" outlineLevel="0" collapsed="false">
      <c r="A120" s="5" t="s">
        <v>666</v>
      </c>
      <c r="B120" s="5" t="s">
        <v>509</v>
      </c>
      <c r="C120" s="28" t="s">
        <v>667</v>
      </c>
      <c r="D120" s="5" t="s">
        <v>331</v>
      </c>
      <c r="E120" s="5" t="s">
        <v>409</v>
      </c>
    </row>
    <row r="121" customFormat="false" ht="23.85" hidden="false" customHeight="false" outlineLevel="0" collapsed="false">
      <c r="A121" s="5" t="s">
        <v>668</v>
      </c>
      <c r="B121" s="5" t="s">
        <v>509</v>
      </c>
      <c r="C121" s="28" t="s">
        <v>669</v>
      </c>
      <c r="D121" s="5" t="s">
        <v>335</v>
      </c>
      <c r="E121" s="22" t="s">
        <v>670</v>
      </c>
    </row>
    <row r="122" customFormat="false" ht="57.45" hidden="false" customHeight="false" outlineLevel="0" collapsed="false">
      <c r="A122" s="5" t="s">
        <v>671</v>
      </c>
      <c r="B122" s="5" t="s">
        <v>509</v>
      </c>
      <c r="C122" s="28" t="s">
        <v>672</v>
      </c>
      <c r="D122" s="5" t="s">
        <v>335</v>
      </c>
      <c r="E122" s="22" t="s">
        <v>670</v>
      </c>
    </row>
    <row r="123" customFormat="false" ht="35.05" hidden="false" customHeight="false" outlineLevel="0" collapsed="false">
      <c r="A123" s="5" t="s">
        <v>673</v>
      </c>
      <c r="B123" s="5" t="s">
        <v>674</v>
      </c>
      <c r="C123" s="28" t="s">
        <v>675</v>
      </c>
      <c r="D123" s="5" t="s">
        <v>309</v>
      </c>
      <c r="E123" s="22" t="s">
        <v>310</v>
      </c>
    </row>
    <row r="124" customFormat="false" ht="23.85" hidden="false" customHeight="false" outlineLevel="0" collapsed="false">
      <c r="A124" s="5" t="s">
        <v>676</v>
      </c>
      <c r="B124" s="5" t="s">
        <v>674</v>
      </c>
      <c r="C124" s="28" t="s">
        <v>677</v>
      </c>
      <c r="D124" s="5" t="s">
        <v>305</v>
      </c>
      <c r="E124" s="22" t="s">
        <v>511</v>
      </c>
    </row>
    <row r="125" customFormat="false" ht="15" hidden="false" customHeight="false" outlineLevel="0" collapsed="false">
      <c r="A125" s="5" t="s">
        <v>678</v>
      </c>
      <c r="B125" s="5" t="s">
        <v>674</v>
      </c>
      <c r="C125" s="28" t="s">
        <v>679</v>
      </c>
      <c r="D125" s="5" t="s">
        <v>335</v>
      </c>
      <c r="E125" s="22" t="s">
        <v>336</v>
      </c>
    </row>
    <row r="126" customFormat="false" ht="23.85" hidden="false" customHeight="false" outlineLevel="0" collapsed="false">
      <c r="A126" s="5" t="s">
        <v>680</v>
      </c>
      <c r="B126" s="5" t="s">
        <v>674</v>
      </c>
      <c r="C126" s="28" t="s">
        <v>681</v>
      </c>
      <c r="D126" s="5" t="s">
        <v>335</v>
      </c>
      <c r="E126" s="22" t="s">
        <v>360</v>
      </c>
    </row>
    <row r="127" customFormat="false" ht="23.85" hidden="false" customHeight="false" outlineLevel="0" collapsed="false">
      <c r="A127" s="5" t="s">
        <v>682</v>
      </c>
      <c r="B127" s="5" t="s">
        <v>674</v>
      </c>
      <c r="C127" s="28" t="s">
        <v>683</v>
      </c>
      <c r="D127" s="5" t="s">
        <v>335</v>
      </c>
      <c r="E127" s="22" t="s">
        <v>357</v>
      </c>
    </row>
    <row r="128" customFormat="false" ht="23.85" hidden="false" customHeight="false" outlineLevel="0" collapsed="false">
      <c r="A128" s="5" t="s">
        <v>684</v>
      </c>
      <c r="B128" s="5" t="s">
        <v>674</v>
      </c>
      <c r="C128" s="28" t="s">
        <v>685</v>
      </c>
      <c r="D128" s="5" t="s">
        <v>335</v>
      </c>
      <c r="E128" s="22" t="s">
        <v>429</v>
      </c>
    </row>
    <row r="129" customFormat="false" ht="15" hidden="false" customHeight="false" outlineLevel="0" collapsed="false">
      <c r="A129" s="5" t="s">
        <v>686</v>
      </c>
      <c r="B129" s="5" t="s">
        <v>674</v>
      </c>
      <c r="C129" s="28" t="s">
        <v>687</v>
      </c>
      <c r="D129" s="5" t="s">
        <v>335</v>
      </c>
      <c r="E129" s="22" t="s">
        <v>432</v>
      </c>
    </row>
    <row r="130" customFormat="false" ht="15" hidden="false" customHeight="false" outlineLevel="0" collapsed="false">
      <c r="A130" s="5" t="s">
        <v>688</v>
      </c>
      <c r="B130" s="5" t="s">
        <v>674</v>
      </c>
      <c r="C130" s="28" t="s">
        <v>689</v>
      </c>
      <c r="D130" s="5" t="s">
        <v>335</v>
      </c>
      <c r="E130" s="22" t="s">
        <v>435</v>
      </c>
    </row>
    <row r="131" customFormat="false" ht="23.85" hidden="false" customHeight="false" outlineLevel="0" collapsed="false">
      <c r="A131" s="5" t="s">
        <v>690</v>
      </c>
      <c r="B131" s="5" t="s">
        <v>674</v>
      </c>
      <c r="C131" s="28" t="s">
        <v>691</v>
      </c>
      <c r="D131" s="5" t="s">
        <v>335</v>
      </c>
      <c r="E131" s="22" t="s">
        <v>438</v>
      </c>
    </row>
    <row r="132" customFormat="false" ht="15" hidden="false" customHeight="false" outlineLevel="0" collapsed="false">
      <c r="A132" s="5" t="s">
        <v>692</v>
      </c>
      <c r="B132" s="5" t="s">
        <v>674</v>
      </c>
      <c r="C132" s="28" t="s">
        <v>693</v>
      </c>
      <c r="D132" s="5" t="s">
        <v>335</v>
      </c>
      <c r="E132" s="22" t="s">
        <v>441</v>
      </c>
    </row>
    <row r="133" customFormat="false" ht="23.85" hidden="false" customHeight="false" outlineLevel="0" collapsed="false">
      <c r="A133" s="5" t="s">
        <v>694</v>
      </c>
      <c r="B133" s="5" t="s">
        <v>674</v>
      </c>
      <c r="C133" s="28" t="s">
        <v>695</v>
      </c>
      <c r="D133" s="5" t="s">
        <v>335</v>
      </c>
      <c r="E133" s="22" t="s">
        <v>444</v>
      </c>
    </row>
    <row r="134" customFormat="false" ht="15" hidden="false" customHeight="false" outlineLevel="0" collapsed="false">
      <c r="A134" s="5" t="s">
        <v>696</v>
      </c>
      <c r="B134" s="5" t="s">
        <v>674</v>
      </c>
      <c r="C134" s="28" t="s">
        <v>697</v>
      </c>
      <c r="D134" s="5" t="s">
        <v>335</v>
      </c>
      <c r="E134" s="22" t="s">
        <v>447</v>
      </c>
    </row>
    <row r="135" customFormat="false" ht="15" hidden="false" customHeight="false" outlineLevel="0" collapsed="false">
      <c r="A135" s="5" t="s">
        <v>698</v>
      </c>
      <c r="B135" s="5" t="s">
        <v>674</v>
      </c>
      <c r="C135" s="28" t="s">
        <v>699</v>
      </c>
      <c r="D135" s="5" t="s">
        <v>335</v>
      </c>
      <c r="E135" s="22" t="s">
        <v>700</v>
      </c>
    </row>
    <row r="136" customFormat="false" ht="15" hidden="false" customHeight="false" outlineLevel="0" collapsed="false">
      <c r="A136" s="5" t="s">
        <v>701</v>
      </c>
      <c r="B136" s="5" t="s">
        <v>674</v>
      </c>
      <c r="C136" s="28" t="s">
        <v>702</v>
      </c>
      <c r="D136" s="5" t="s">
        <v>335</v>
      </c>
      <c r="E136" s="22" t="s">
        <v>450</v>
      </c>
    </row>
    <row r="137" customFormat="false" ht="23.85" hidden="false" customHeight="false" outlineLevel="0" collapsed="false">
      <c r="A137" s="5" t="s">
        <v>703</v>
      </c>
      <c r="B137" s="5" t="s">
        <v>674</v>
      </c>
      <c r="C137" s="28" t="s">
        <v>704</v>
      </c>
      <c r="D137" s="5" t="s">
        <v>335</v>
      </c>
      <c r="E137" s="22" t="s">
        <v>453</v>
      </c>
    </row>
    <row r="138" customFormat="false" ht="15" hidden="false" customHeight="false" outlineLevel="0" collapsed="false">
      <c r="A138" s="5" t="s">
        <v>705</v>
      </c>
      <c r="B138" s="5" t="s">
        <v>674</v>
      </c>
      <c r="C138" s="28" t="s">
        <v>706</v>
      </c>
      <c r="D138" s="5" t="s">
        <v>335</v>
      </c>
      <c r="E138" s="22" t="s">
        <v>456</v>
      </c>
    </row>
    <row r="139" customFormat="false" ht="15" hidden="false" customHeight="false" outlineLevel="0" collapsed="false">
      <c r="A139" s="5" t="s">
        <v>707</v>
      </c>
      <c r="B139" s="5" t="s">
        <v>674</v>
      </c>
      <c r="C139" s="28" t="s">
        <v>708</v>
      </c>
      <c r="D139" s="5" t="s">
        <v>709</v>
      </c>
      <c r="E139" s="22" t="s">
        <v>661</v>
      </c>
    </row>
    <row r="140" customFormat="false" ht="23.85" hidden="false" customHeight="false" outlineLevel="0" collapsed="false">
      <c r="A140" s="5" t="s">
        <v>710</v>
      </c>
      <c r="B140" s="5" t="s">
        <v>674</v>
      </c>
      <c r="C140" s="28" t="s">
        <v>711</v>
      </c>
      <c r="D140" s="5" t="s">
        <v>499</v>
      </c>
      <c r="E140" s="22" t="s">
        <v>500</v>
      </c>
    </row>
    <row r="141" customFormat="false" ht="15" hidden="false" customHeight="false" outlineLevel="0" collapsed="false">
      <c r="A141" s="5" t="s">
        <v>712</v>
      </c>
      <c r="B141" s="5" t="s">
        <v>674</v>
      </c>
      <c r="C141" s="28" t="s">
        <v>713</v>
      </c>
      <c r="D141" s="5" t="s">
        <v>335</v>
      </c>
      <c r="E141" s="22" t="s">
        <v>714</v>
      </c>
    </row>
    <row r="142" customFormat="false" ht="15" hidden="false" customHeight="false" outlineLevel="0" collapsed="false">
      <c r="A142" s="5" t="s">
        <v>715</v>
      </c>
      <c r="B142" s="5" t="s">
        <v>674</v>
      </c>
      <c r="C142" s="28" t="s">
        <v>716</v>
      </c>
      <c r="D142" s="5" t="s">
        <v>709</v>
      </c>
      <c r="E142" s="22" t="s">
        <v>717</v>
      </c>
    </row>
    <row r="143" customFormat="false" ht="23.85" hidden="false" customHeight="false" outlineLevel="0" collapsed="false">
      <c r="A143" s="5" t="s">
        <v>718</v>
      </c>
      <c r="B143" s="5" t="s">
        <v>674</v>
      </c>
      <c r="C143" s="28" t="s">
        <v>719</v>
      </c>
      <c r="D143" s="5" t="s">
        <v>335</v>
      </c>
      <c r="E143" s="22" t="s">
        <v>459</v>
      </c>
    </row>
    <row r="144" customFormat="false" ht="23.85" hidden="false" customHeight="false" outlineLevel="0" collapsed="false">
      <c r="A144" s="5" t="s">
        <v>720</v>
      </c>
      <c r="B144" s="5" t="s">
        <v>674</v>
      </c>
      <c r="C144" s="28" t="s">
        <v>721</v>
      </c>
      <c r="D144" s="5" t="s">
        <v>402</v>
      </c>
      <c r="E144" s="22" t="s">
        <v>465</v>
      </c>
    </row>
    <row r="145" customFormat="false" ht="23.85" hidden="false" customHeight="false" outlineLevel="0" collapsed="false">
      <c r="A145" s="5" t="s">
        <v>722</v>
      </c>
      <c r="B145" s="5" t="s">
        <v>674</v>
      </c>
      <c r="C145" s="28" t="s">
        <v>723</v>
      </c>
      <c r="D145" s="5" t="s">
        <v>331</v>
      </c>
      <c r="E145" s="5" t="s">
        <v>409</v>
      </c>
    </row>
    <row r="146" customFormat="false" ht="35.05" hidden="false" customHeight="false" outlineLevel="0" collapsed="false">
      <c r="A146" s="5" t="s">
        <v>724</v>
      </c>
      <c r="B146" s="5" t="s">
        <v>674</v>
      </c>
      <c r="C146" s="28" t="s">
        <v>725</v>
      </c>
      <c r="D146" s="5" t="s">
        <v>335</v>
      </c>
      <c r="E146" s="22" t="s">
        <v>505</v>
      </c>
    </row>
    <row r="147" customFormat="false" ht="23.85" hidden="false" customHeight="false" outlineLevel="0" collapsed="false">
      <c r="A147" s="5" t="s">
        <v>726</v>
      </c>
      <c r="B147" s="5" t="s">
        <v>674</v>
      </c>
      <c r="C147" s="28" t="s">
        <v>727</v>
      </c>
      <c r="D147" s="5" t="s">
        <v>335</v>
      </c>
      <c r="E147" s="22" t="s">
        <v>406</v>
      </c>
    </row>
    <row r="148" customFormat="false" ht="23.85" hidden="false" customHeight="false" outlineLevel="0" collapsed="false">
      <c r="A148" s="5" t="s">
        <v>728</v>
      </c>
      <c r="B148" s="5" t="s">
        <v>674</v>
      </c>
      <c r="C148" s="28" t="s">
        <v>729</v>
      </c>
      <c r="D148" s="5" t="s">
        <v>335</v>
      </c>
      <c r="E148" s="22" t="s">
        <v>412</v>
      </c>
    </row>
    <row r="149" customFormat="false" ht="23.85" hidden="false" customHeight="false" outlineLevel="0" collapsed="false">
      <c r="A149" s="5" t="s">
        <v>730</v>
      </c>
      <c r="B149" s="5" t="s">
        <v>674</v>
      </c>
      <c r="C149" s="28" t="s">
        <v>731</v>
      </c>
      <c r="D149" s="5" t="s">
        <v>305</v>
      </c>
      <c r="E149" s="22" t="s">
        <v>520</v>
      </c>
    </row>
    <row r="150" customFormat="false" ht="15" hidden="false" customHeight="false" outlineLevel="0" collapsed="false">
      <c r="A150" s="5" t="s">
        <v>732</v>
      </c>
      <c r="B150" s="5" t="s">
        <v>674</v>
      </c>
      <c r="C150" s="28" t="s">
        <v>733</v>
      </c>
      <c r="D150" s="5" t="s">
        <v>320</v>
      </c>
      <c r="E150" s="22" t="s">
        <v>321</v>
      </c>
    </row>
    <row r="151" customFormat="false" ht="23.85" hidden="false" customHeight="false" outlineLevel="0" collapsed="false">
      <c r="A151" s="5" t="s">
        <v>734</v>
      </c>
      <c r="B151" s="5" t="s">
        <v>674</v>
      </c>
      <c r="C151" s="28" t="s">
        <v>735</v>
      </c>
      <c r="D151" s="5" t="s">
        <v>736</v>
      </c>
      <c r="E151" s="22" t="s">
        <v>737</v>
      </c>
    </row>
    <row r="152" customFormat="false" ht="15" hidden="false" customHeight="false" outlineLevel="0" collapsed="false">
      <c r="A152" s="5" t="s">
        <v>738</v>
      </c>
      <c r="B152" s="5" t="s">
        <v>674</v>
      </c>
      <c r="C152" s="28" t="s">
        <v>739</v>
      </c>
      <c r="D152" s="5" t="s">
        <v>740</v>
      </c>
      <c r="E152" s="22" t="s">
        <v>741</v>
      </c>
    </row>
    <row r="153" customFormat="false" ht="23.85" hidden="false" customHeight="false" outlineLevel="0" collapsed="false">
      <c r="A153" s="5" t="s">
        <v>742</v>
      </c>
      <c r="B153" s="5" t="s">
        <v>674</v>
      </c>
      <c r="C153" s="28" t="s">
        <v>743</v>
      </c>
      <c r="D153" s="5" t="s">
        <v>736</v>
      </c>
      <c r="E153" s="22" t="s">
        <v>744</v>
      </c>
    </row>
    <row r="154" customFormat="false" ht="15" hidden="false" customHeight="false" outlineLevel="0" collapsed="false">
      <c r="A154" s="5" t="s">
        <v>745</v>
      </c>
      <c r="B154" s="5" t="s">
        <v>674</v>
      </c>
      <c r="C154" s="28" t="s">
        <v>746</v>
      </c>
      <c r="D154" s="5" t="s">
        <v>740</v>
      </c>
      <c r="E154" s="22" t="s">
        <v>747</v>
      </c>
    </row>
    <row r="155" customFormat="false" ht="23.85" hidden="false" customHeight="false" outlineLevel="0" collapsed="false">
      <c r="A155" s="5" t="s">
        <v>748</v>
      </c>
      <c r="B155" s="5" t="s">
        <v>674</v>
      </c>
      <c r="C155" s="28" t="s">
        <v>749</v>
      </c>
      <c r="D155" s="5" t="s">
        <v>736</v>
      </c>
      <c r="E155" s="22" t="s">
        <v>750</v>
      </c>
    </row>
    <row r="156" customFormat="false" ht="15" hidden="false" customHeight="false" outlineLevel="0" collapsed="false">
      <c r="A156" s="5" t="s">
        <v>751</v>
      </c>
      <c r="B156" s="5" t="s">
        <v>674</v>
      </c>
      <c r="C156" s="28" t="s">
        <v>752</v>
      </c>
      <c r="D156" s="5" t="s">
        <v>740</v>
      </c>
      <c r="E156" s="22" t="s">
        <v>753</v>
      </c>
    </row>
    <row r="157" customFormat="false" ht="23.85" hidden="false" customHeight="false" outlineLevel="0" collapsed="false">
      <c r="A157" s="5" t="s">
        <v>754</v>
      </c>
      <c r="B157" s="5" t="s">
        <v>674</v>
      </c>
      <c r="C157" s="28" t="s">
        <v>755</v>
      </c>
      <c r="D157" s="5" t="s">
        <v>736</v>
      </c>
      <c r="E157" s="22" t="s">
        <v>756</v>
      </c>
    </row>
    <row r="158" customFormat="false" ht="15" hidden="false" customHeight="false" outlineLevel="0" collapsed="false">
      <c r="A158" s="5" t="s">
        <v>757</v>
      </c>
      <c r="B158" s="5" t="s">
        <v>674</v>
      </c>
      <c r="C158" s="28" t="s">
        <v>758</v>
      </c>
      <c r="D158" s="5" t="s">
        <v>740</v>
      </c>
      <c r="E158" s="22" t="s">
        <v>759</v>
      </c>
    </row>
    <row r="159" customFormat="false" ht="23.85" hidden="false" customHeight="false" outlineLevel="0" collapsed="false">
      <c r="A159" s="5" t="s">
        <v>760</v>
      </c>
      <c r="B159" s="5" t="s">
        <v>674</v>
      </c>
      <c r="C159" s="28" t="s">
        <v>761</v>
      </c>
      <c r="D159" s="5" t="s">
        <v>736</v>
      </c>
      <c r="E159" s="22" t="s">
        <v>762</v>
      </c>
    </row>
    <row r="160" customFormat="false" ht="15" hidden="false" customHeight="false" outlineLevel="0" collapsed="false">
      <c r="A160" s="5" t="s">
        <v>763</v>
      </c>
      <c r="B160" s="5" t="s">
        <v>674</v>
      </c>
      <c r="C160" s="28" t="s">
        <v>764</v>
      </c>
      <c r="D160" s="5" t="s">
        <v>740</v>
      </c>
      <c r="E160" s="22" t="s">
        <v>765</v>
      </c>
    </row>
    <row r="161" customFormat="false" ht="23.85" hidden="false" customHeight="false" outlineLevel="0" collapsed="false">
      <c r="A161" s="5" t="s">
        <v>766</v>
      </c>
      <c r="B161" s="5" t="s">
        <v>674</v>
      </c>
      <c r="C161" s="28" t="s">
        <v>767</v>
      </c>
      <c r="D161" s="5" t="s">
        <v>736</v>
      </c>
      <c r="E161" s="22" t="s">
        <v>768</v>
      </c>
    </row>
    <row r="162" customFormat="false" ht="15" hidden="false" customHeight="false" outlineLevel="0" collapsed="false">
      <c r="A162" s="5" t="s">
        <v>769</v>
      </c>
      <c r="B162" s="5" t="s">
        <v>674</v>
      </c>
      <c r="C162" s="28" t="s">
        <v>770</v>
      </c>
      <c r="D162" s="5" t="s">
        <v>740</v>
      </c>
      <c r="E162" s="22" t="s">
        <v>771</v>
      </c>
    </row>
    <row r="163" customFormat="false" ht="23.85" hidden="false" customHeight="false" outlineLevel="0" collapsed="false">
      <c r="A163" s="5" t="s">
        <v>772</v>
      </c>
      <c r="B163" s="5" t="s">
        <v>674</v>
      </c>
      <c r="C163" s="28" t="s">
        <v>773</v>
      </c>
      <c r="D163" s="5" t="s">
        <v>736</v>
      </c>
      <c r="E163" s="22" t="s">
        <v>774</v>
      </c>
    </row>
    <row r="164" customFormat="false" ht="15" hidden="false" customHeight="false" outlineLevel="0" collapsed="false">
      <c r="A164" s="5" t="s">
        <v>775</v>
      </c>
      <c r="B164" s="5" t="s">
        <v>674</v>
      </c>
      <c r="C164" s="28" t="s">
        <v>776</v>
      </c>
      <c r="D164" s="5" t="s">
        <v>740</v>
      </c>
      <c r="E164" s="22" t="s">
        <v>777</v>
      </c>
    </row>
    <row r="165" customFormat="false" ht="23.85" hidden="false" customHeight="false" outlineLevel="0" collapsed="false">
      <c r="A165" s="5" t="s">
        <v>778</v>
      </c>
      <c r="B165" s="5" t="s">
        <v>674</v>
      </c>
      <c r="C165" s="28" t="s">
        <v>779</v>
      </c>
      <c r="D165" s="5" t="s">
        <v>736</v>
      </c>
      <c r="E165" s="22" t="s">
        <v>780</v>
      </c>
    </row>
    <row r="166" customFormat="false" ht="15" hidden="false" customHeight="false" outlineLevel="0" collapsed="false">
      <c r="A166" s="5" t="s">
        <v>781</v>
      </c>
      <c r="B166" s="5" t="s">
        <v>674</v>
      </c>
      <c r="C166" s="28" t="s">
        <v>782</v>
      </c>
      <c r="D166" s="5" t="s">
        <v>740</v>
      </c>
      <c r="E166" s="22" t="s">
        <v>783</v>
      </c>
    </row>
    <row r="167" customFormat="false" ht="23.85" hidden="false" customHeight="false" outlineLevel="0" collapsed="false">
      <c r="A167" s="5" t="s">
        <v>784</v>
      </c>
      <c r="B167" s="5" t="s">
        <v>674</v>
      </c>
      <c r="C167" s="28" t="s">
        <v>785</v>
      </c>
      <c r="D167" s="5" t="s">
        <v>736</v>
      </c>
      <c r="E167" s="22" t="s">
        <v>786</v>
      </c>
    </row>
    <row r="168" customFormat="false" ht="15" hidden="false" customHeight="false" outlineLevel="0" collapsed="false">
      <c r="A168" s="5" t="s">
        <v>787</v>
      </c>
      <c r="B168" s="5" t="s">
        <v>674</v>
      </c>
      <c r="C168" s="28" t="s">
        <v>788</v>
      </c>
      <c r="D168" s="5" t="s">
        <v>740</v>
      </c>
      <c r="E168" s="22" t="s">
        <v>789</v>
      </c>
    </row>
    <row r="169" customFormat="false" ht="23.85" hidden="false" customHeight="false" outlineLevel="0" collapsed="false">
      <c r="A169" s="5" t="s">
        <v>790</v>
      </c>
      <c r="B169" s="5" t="s">
        <v>674</v>
      </c>
      <c r="C169" s="28" t="s">
        <v>791</v>
      </c>
      <c r="D169" s="5" t="s">
        <v>736</v>
      </c>
      <c r="E169" s="22" t="s">
        <v>792</v>
      </c>
    </row>
    <row r="170" customFormat="false" ht="15" hidden="false" customHeight="false" outlineLevel="0" collapsed="false">
      <c r="A170" s="5" t="s">
        <v>793</v>
      </c>
      <c r="B170" s="5" t="s">
        <v>674</v>
      </c>
      <c r="C170" s="28" t="s">
        <v>794</v>
      </c>
      <c r="D170" s="5" t="s">
        <v>740</v>
      </c>
      <c r="E170" s="22" t="s">
        <v>795</v>
      </c>
    </row>
    <row r="171" customFormat="false" ht="23.85" hidden="false" customHeight="false" outlineLevel="0" collapsed="false">
      <c r="A171" s="5" t="s">
        <v>796</v>
      </c>
      <c r="B171" s="5" t="s">
        <v>674</v>
      </c>
      <c r="C171" s="28" t="s">
        <v>797</v>
      </c>
      <c r="D171" s="5" t="s">
        <v>736</v>
      </c>
      <c r="E171" s="22" t="s">
        <v>798</v>
      </c>
    </row>
    <row r="172" customFormat="false" ht="15" hidden="false" customHeight="false" outlineLevel="0" collapsed="false">
      <c r="A172" s="5" t="s">
        <v>799</v>
      </c>
      <c r="B172" s="5" t="s">
        <v>674</v>
      </c>
      <c r="C172" s="28" t="s">
        <v>800</v>
      </c>
      <c r="D172" s="5" t="s">
        <v>740</v>
      </c>
      <c r="E172" s="22" t="s">
        <v>801</v>
      </c>
    </row>
    <row r="173" customFormat="false" ht="23.85" hidden="false" customHeight="false" outlineLevel="0" collapsed="false">
      <c r="A173" s="5" t="s">
        <v>802</v>
      </c>
      <c r="B173" s="5" t="s">
        <v>674</v>
      </c>
      <c r="C173" s="28" t="s">
        <v>803</v>
      </c>
      <c r="D173" s="5" t="s">
        <v>736</v>
      </c>
      <c r="E173" s="22" t="s">
        <v>804</v>
      </c>
    </row>
    <row r="174" customFormat="false" ht="15" hidden="false" customHeight="false" outlineLevel="0" collapsed="false">
      <c r="A174" s="5" t="s">
        <v>805</v>
      </c>
      <c r="B174" s="5" t="s">
        <v>674</v>
      </c>
      <c r="C174" s="28" t="s">
        <v>806</v>
      </c>
      <c r="D174" s="5" t="s">
        <v>740</v>
      </c>
      <c r="E174" s="22" t="s">
        <v>807</v>
      </c>
    </row>
    <row r="175" customFormat="false" ht="23.85" hidden="false" customHeight="false" outlineLevel="0" collapsed="false">
      <c r="A175" s="5" t="s">
        <v>808</v>
      </c>
      <c r="B175" s="5" t="s">
        <v>674</v>
      </c>
      <c r="C175" s="28" t="s">
        <v>809</v>
      </c>
      <c r="D175" s="5" t="s">
        <v>810</v>
      </c>
      <c r="E175" s="22" t="s">
        <v>811</v>
      </c>
    </row>
    <row r="176" customFormat="false" ht="23.85" hidden="false" customHeight="false" outlineLevel="0" collapsed="false">
      <c r="A176" s="5" t="s">
        <v>812</v>
      </c>
      <c r="B176" s="5" t="s">
        <v>674</v>
      </c>
      <c r="C176" s="28" t="s">
        <v>813</v>
      </c>
      <c r="D176" s="5" t="s">
        <v>814</v>
      </c>
      <c r="E176" s="22" t="s">
        <v>815</v>
      </c>
    </row>
    <row r="177" customFormat="false" ht="23.85" hidden="false" customHeight="false" outlineLevel="0" collapsed="false">
      <c r="A177" s="5" t="s">
        <v>816</v>
      </c>
      <c r="B177" s="5" t="s">
        <v>674</v>
      </c>
      <c r="C177" s="28" t="s">
        <v>817</v>
      </c>
      <c r="D177" s="5" t="s">
        <v>818</v>
      </c>
      <c r="E177" s="22" t="s">
        <v>819</v>
      </c>
    </row>
    <row r="178" customFormat="false" ht="23.85" hidden="false" customHeight="false" outlineLevel="0" collapsed="false">
      <c r="A178" s="5" t="s">
        <v>820</v>
      </c>
      <c r="B178" s="5" t="s">
        <v>674</v>
      </c>
      <c r="C178" s="28" t="s">
        <v>821</v>
      </c>
      <c r="D178" s="5" t="s">
        <v>822</v>
      </c>
      <c r="E178" s="22" t="s">
        <v>823</v>
      </c>
    </row>
    <row r="179" customFormat="false" ht="23.85" hidden="false" customHeight="false" outlineLevel="0" collapsed="false">
      <c r="A179" s="5" t="s">
        <v>824</v>
      </c>
      <c r="B179" s="5" t="s">
        <v>674</v>
      </c>
      <c r="C179" s="28" t="s">
        <v>825</v>
      </c>
      <c r="D179" s="5" t="s">
        <v>826</v>
      </c>
      <c r="E179" s="22" t="s">
        <v>827</v>
      </c>
    </row>
    <row r="180" customFormat="false" ht="23.85" hidden="false" customHeight="false" outlineLevel="0" collapsed="false">
      <c r="A180" s="5" t="s">
        <v>828</v>
      </c>
      <c r="B180" s="5" t="s">
        <v>674</v>
      </c>
      <c r="C180" s="28" t="s">
        <v>829</v>
      </c>
      <c r="D180" s="5" t="s">
        <v>830</v>
      </c>
      <c r="E180" s="22" t="s">
        <v>831</v>
      </c>
    </row>
    <row r="181" customFormat="false" ht="23.85" hidden="false" customHeight="false" outlineLevel="0" collapsed="false">
      <c r="A181" s="5" t="s">
        <v>832</v>
      </c>
      <c r="B181" s="5" t="s">
        <v>674</v>
      </c>
      <c r="C181" s="28" t="s">
        <v>833</v>
      </c>
      <c r="D181" s="5" t="s">
        <v>567</v>
      </c>
      <c r="E181" s="22" t="s">
        <v>834</v>
      </c>
    </row>
    <row r="182" customFormat="false" ht="23.85" hidden="false" customHeight="false" outlineLevel="0" collapsed="false">
      <c r="A182" s="5" t="s">
        <v>835</v>
      </c>
      <c r="B182" s="5" t="s">
        <v>674</v>
      </c>
      <c r="C182" s="28" t="s">
        <v>836</v>
      </c>
      <c r="D182" s="5" t="s">
        <v>837</v>
      </c>
      <c r="E182" s="22" t="s">
        <v>838</v>
      </c>
    </row>
    <row r="183" customFormat="false" ht="23.85" hidden="false" customHeight="false" outlineLevel="0" collapsed="false">
      <c r="A183" s="5" t="s">
        <v>839</v>
      </c>
      <c r="B183" s="5" t="s">
        <v>674</v>
      </c>
      <c r="C183" s="28" t="s">
        <v>840</v>
      </c>
      <c r="D183" s="5" t="s">
        <v>305</v>
      </c>
      <c r="E183" s="22" t="s">
        <v>511</v>
      </c>
    </row>
    <row r="184" customFormat="false" ht="35.05" hidden="false" customHeight="false" outlineLevel="0" collapsed="false">
      <c r="A184" s="5" t="s">
        <v>841</v>
      </c>
      <c r="B184" s="5" t="s">
        <v>674</v>
      </c>
      <c r="C184" s="28" t="s">
        <v>842</v>
      </c>
      <c r="D184" s="5" t="s">
        <v>736</v>
      </c>
      <c r="E184" s="22" t="s">
        <v>843</v>
      </c>
    </row>
    <row r="185" customFormat="false" ht="23.85" hidden="false" customHeight="false" outlineLevel="0" collapsed="false">
      <c r="A185" s="5" t="s">
        <v>844</v>
      </c>
      <c r="B185" s="5" t="s">
        <v>674</v>
      </c>
      <c r="C185" s="28" t="s">
        <v>845</v>
      </c>
      <c r="D185" s="5" t="s">
        <v>736</v>
      </c>
      <c r="E185" s="22" t="s">
        <v>846</v>
      </c>
    </row>
    <row r="186" customFormat="false" ht="23.85" hidden="false" customHeight="false" outlineLevel="0" collapsed="false">
      <c r="A186" s="5" t="s">
        <v>847</v>
      </c>
      <c r="B186" s="5" t="s">
        <v>674</v>
      </c>
      <c r="C186" s="28" t="s">
        <v>848</v>
      </c>
      <c r="D186" s="5" t="s">
        <v>709</v>
      </c>
      <c r="E186" s="22" t="s">
        <v>849</v>
      </c>
    </row>
    <row r="187" customFormat="false" ht="15" hidden="false" customHeight="false" outlineLevel="0" collapsed="false">
      <c r="A187" s="5" t="s">
        <v>850</v>
      </c>
      <c r="B187" s="5" t="s">
        <v>674</v>
      </c>
      <c r="C187" s="28" t="s">
        <v>851</v>
      </c>
      <c r="D187" s="5" t="s">
        <v>709</v>
      </c>
      <c r="E187" s="22" t="s">
        <v>717</v>
      </c>
    </row>
    <row r="188" customFormat="false" ht="23.85" hidden="false" customHeight="false" outlineLevel="0" collapsed="false">
      <c r="A188" s="5" t="s">
        <v>852</v>
      </c>
      <c r="B188" s="5" t="s">
        <v>674</v>
      </c>
      <c r="C188" s="28" t="s">
        <v>853</v>
      </c>
      <c r="D188" s="5" t="s">
        <v>709</v>
      </c>
      <c r="E188" s="22" t="s">
        <v>854</v>
      </c>
    </row>
    <row r="189" customFormat="false" ht="23.85" hidden="false" customHeight="false" outlineLevel="0" collapsed="false">
      <c r="A189" s="5" t="s">
        <v>855</v>
      </c>
      <c r="B189" s="5" t="s">
        <v>674</v>
      </c>
      <c r="C189" s="28" t="s">
        <v>856</v>
      </c>
      <c r="D189" s="5" t="s">
        <v>709</v>
      </c>
      <c r="E189" s="22" t="s">
        <v>857</v>
      </c>
    </row>
    <row r="190" customFormat="false" ht="23.85" hidden="false" customHeight="false" outlineLevel="0" collapsed="false">
      <c r="A190" s="5" t="s">
        <v>858</v>
      </c>
      <c r="B190" s="5" t="s">
        <v>674</v>
      </c>
      <c r="C190" s="28" t="s">
        <v>859</v>
      </c>
      <c r="D190" s="5" t="s">
        <v>709</v>
      </c>
      <c r="E190" s="22" t="s">
        <v>860</v>
      </c>
    </row>
    <row r="191" customFormat="false" ht="23.85" hidden="false" customHeight="false" outlineLevel="0" collapsed="false">
      <c r="A191" s="5" t="s">
        <v>861</v>
      </c>
      <c r="B191" s="5" t="s">
        <v>674</v>
      </c>
      <c r="C191" s="28" t="s">
        <v>862</v>
      </c>
      <c r="D191" s="5" t="s">
        <v>709</v>
      </c>
      <c r="E191" s="22" t="s">
        <v>863</v>
      </c>
    </row>
    <row r="192" customFormat="false" ht="15" hidden="false" customHeight="false" outlineLevel="0" collapsed="false">
      <c r="A192" s="5" t="s">
        <v>864</v>
      </c>
      <c r="B192" s="5" t="s">
        <v>674</v>
      </c>
      <c r="C192" s="28" t="s">
        <v>865</v>
      </c>
      <c r="D192" s="5" t="s">
        <v>866</v>
      </c>
      <c r="E192" s="22" t="s">
        <v>867</v>
      </c>
    </row>
    <row r="193" customFormat="false" ht="23.85" hidden="false" customHeight="false" outlineLevel="0" collapsed="false">
      <c r="A193" s="5" t="s">
        <v>868</v>
      </c>
      <c r="B193" s="5" t="s">
        <v>674</v>
      </c>
      <c r="C193" s="28" t="s">
        <v>869</v>
      </c>
      <c r="D193" s="5" t="s">
        <v>316</v>
      </c>
      <c r="E193" s="22" t="s">
        <v>870</v>
      </c>
    </row>
    <row r="194" customFormat="false" ht="23.85" hidden="false" customHeight="false" outlineLevel="0" collapsed="false">
      <c r="A194" s="5" t="s">
        <v>871</v>
      </c>
      <c r="B194" s="5" t="s">
        <v>674</v>
      </c>
      <c r="C194" s="28" t="s">
        <v>872</v>
      </c>
      <c r="D194" s="5" t="s">
        <v>873</v>
      </c>
      <c r="E194" s="22" t="s">
        <v>874</v>
      </c>
    </row>
    <row r="195" customFormat="false" ht="15" hidden="false" customHeight="false" outlineLevel="0" collapsed="false">
      <c r="A195" s="5" t="s">
        <v>875</v>
      </c>
      <c r="B195" s="5" t="s">
        <v>674</v>
      </c>
      <c r="C195" s="28" t="s">
        <v>876</v>
      </c>
      <c r="D195" s="5" t="s">
        <v>877</v>
      </c>
      <c r="E195" s="22" t="s">
        <v>878</v>
      </c>
    </row>
    <row r="196" customFormat="false" ht="23.85" hidden="false" customHeight="false" outlineLevel="0" collapsed="false">
      <c r="A196" s="5" t="s">
        <v>879</v>
      </c>
      <c r="B196" s="5" t="s">
        <v>674</v>
      </c>
      <c r="C196" s="28" t="s">
        <v>880</v>
      </c>
      <c r="D196" s="5" t="s">
        <v>881</v>
      </c>
      <c r="E196" s="22" t="s">
        <v>882</v>
      </c>
    </row>
    <row r="197" customFormat="false" ht="23.85" hidden="false" customHeight="false" outlineLevel="0" collapsed="false">
      <c r="A197" s="5" t="s">
        <v>883</v>
      </c>
      <c r="B197" s="5" t="s">
        <v>674</v>
      </c>
      <c r="C197" s="28" t="s">
        <v>884</v>
      </c>
      <c r="D197" s="5" t="s">
        <v>885</v>
      </c>
      <c r="E197" s="5" t="s">
        <v>886</v>
      </c>
    </row>
    <row r="198" customFormat="false" ht="23.85" hidden="false" customHeight="false" outlineLevel="0" collapsed="false">
      <c r="A198" s="5" t="s">
        <v>887</v>
      </c>
      <c r="B198" s="5" t="s">
        <v>674</v>
      </c>
      <c r="C198" s="28" t="s">
        <v>888</v>
      </c>
      <c r="D198" s="5" t="s">
        <v>709</v>
      </c>
      <c r="E198" s="5" t="s">
        <v>889</v>
      </c>
    </row>
  </sheetData>
  <hyperlinks>
    <hyperlink ref="E5" r:id="rId1" display="https://www.sec.gov/Archives/edgar/data/0001018724/000101872426000024/amzn-20260630xex991.htm"/>
    <hyperlink ref="E6" r:id="rId2" display="https://www.sec.gov/Archives/edgar/data/1018724/000101872426000026/amzn-20260630.htm"/>
    <hyperlink ref="E7" r:id="rId3" display="https://www.investing.com/news/transcripts/earnings-call-transcript-amazon-tops-q2-2026-estimates-as-aws-growth-accelerates-93CH-4826442"/>
    <hyperlink ref="E8" r:id="rId4" display="https://www.sec.gov/Archives/edgar/data/1018724/000110465926106322/tm2624614d4_fwp.htm"/>
    <hyperlink ref="E9" r:id="rId5" display="https://www.sec.gov/Archives/edgar/data/1018724/000110465926107526/tm2624614d5_8k.htm"/>
    <hyperlink ref="E10" r:id="rId6" display="https://www.sec.gov/Archives/edgar/data/1018724/000110465926110227/tm2625860d1_8a12b.htm"/>
    <hyperlink ref="E11" r:id="rId7" display="https://www.sec.gov/Archives/edgar/data/1018724/000101872426000036/amzn-20260908.htm"/>
    <hyperlink ref="E12" r:id="rId8" display="https://www.sec.gov/Archives/edgar/data/1018724/000193600626000026/xslF345X06/wk-form4_1791230893.xml"/>
    <hyperlink ref="E13" r:id="rId9" display="https://data.sec.gov/submissions/CIK0001018724.json"/>
    <hyperlink ref="E14" r:id="rId10" display="https://press.aboutamazon.com/"/>
    <hyperlink ref="E15" r:id="rId11" display="https://www.aboutamazon.com/news/retail/amazon-prime-big-deals-day-2026-when-october-6-7"/>
    <hyperlink ref="E16" r:id="rId12" display="https://www.ftc.gov/news-events/news/press-releases/2026/08/ftc-states-sue-amazon-over-secret-ad-surcharge-scheme"/>
    <hyperlink ref="E17" r:id="rId13" display="https://www.mlex.com/mlex/antitrust/articles/2422758/us-ftc-amazon-antitrust-trial-pushed-back-to-march-2027"/>
    <hyperlink ref="E18" r:id="rId14" display="https://stockanalysis.com/stocks/amzn/forecast/"/>
    <hyperlink ref="E19" r:id="rId15" display="https://finance.yahoo.com/quote/AMZN/analysis/"/>
    <hyperlink ref="E20" r:id="rId16" display="https://www.marketscreener.com/quote/stock/AMAZON-COM-INC-12864605/finances/"/>
    <hyperlink ref="E21" r:id="rId17" display="https://www.marketscreener.com/quote/stock/AMAZON-COM-INC-12864605/valuation/"/>
    <hyperlink ref="E22" r:id="rId18" display="https://www.marketscreener.com/quote/stock/MICROSOFT-CORPORATION-4835/valuation/"/>
    <hyperlink ref="E23" r:id="rId19" display="https://www.marketscreener.com/quote/stock/ALPHABET-INC-24203373/valuation/"/>
    <hyperlink ref="E24" r:id="rId20" display="https://www.marketscreener.com/quote/stock/META-PLATFORMS-INC-10547141/valuation/"/>
    <hyperlink ref="E25" r:id="rId21" display="https://www.marketscreener.com/quote/stock/ORACLE-CORPORATION-13620698/valuation/"/>
    <hyperlink ref="E26" r:id="rId22" display="https://www.marketscreener.com/quote/stock/WALMART-INC-4841/valuation/"/>
    <hyperlink ref="E27" r:id="rId23" display="https://www.marketscreener.com/quote/stock/COSTCO-WHOLESALE-CORPORAT-4866/valuation/"/>
    <hyperlink ref="E28" r:id="rId24" display="https://www.marketscreener.com/quote/stock/MERCADOLIBRE-INC-58469/valuation/"/>
    <hyperlink ref="E29" r:id="rId25" display="https://www.marketscreener.com/quote/stock/SHOPIFY-INC-22283351/valuation/"/>
    <hyperlink ref="E30" r:id="rId26" display="https://www.marketscreener.com/quote/stock/SEA-LIMITED-38150303/valuation/"/>
    <hyperlink ref="E31" r:id="rId27" display="https://www.marketscreener.com/quote/stock/COUPANG-INC-119962175/valuation/"/>
    <hyperlink ref="E32" r:id="rId28" display="https://www.marketscreener.com/quote/stock/ALIBABA-GROUP-HOLDING-LIM-17916677/valuation/"/>
    <hyperlink ref="E33" r:id="rId29" display="https://www.riotimesonline.com/global-economy-briefing-october-6-2026/"/>
    <hyperlink ref="E34" r:id="rId30" display="https://www.trefis.com/stock/amzn/articles/617445/the-dates-that-matter-most-for-amazon-stock/2026-10-02"/>
    <hyperlink ref="E35" r:id="rId31" display="https://twelvedata.com/"/>
    <hyperlink ref="E37" r:id="rId32" display="https://fred.stlouisfed.org/data/DGS10.txt"/>
    <hyperlink ref="E38" r:id="rId33" display="https://www.sec.gov/Archives/edgar/data/0001018724/000101872426000024/amzn-20260630xex991.htm"/>
    <hyperlink ref="E39" r:id="rId34" display="https://www.sec.gov/Archives/edgar/data/1018724/000101872426000026/amzn-20260630.htm"/>
    <hyperlink ref="E40" r:id="rId35" display="https://finance.yahoo.com/quote/AMZN/analysis/"/>
    <hyperlink ref="E41" r:id="rId36" display="https://stockanalysis.com/stocks/amzn/forecast/"/>
    <hyperlink ref="E42" r:id="rId37" display="https://stockanalysis.com/stocks/amzn/statistics/"/>
    <hyperlink ref="E43" r:id="rId38" display="https://www.marketscreener.com/quote/stock/AMAZON-COM-INC-12864605/finances/"/>
    <hyperlink ref="E44" r:id="rId39" display="https://www.marketscreener.com/quote/stock/MICROSOFT-CORPORATION-4835/finances/"/>
    <hyperlink ref="E45" r:id="rId40" display="https://www.marketscreener.com/quote/stock/ALPHABET-INC-24203373/finances/"/>
    <hyperlink ref="E46" r:id="rId41" display="https://www.marketscreener.com/quote/stock/META-PLATFORMS-INC-10547141/finances/"/>
    <hyperlink ref="E47" r:id="rId42" display="https://www.marketscreener.com/quote/stock/ORACLE-CORPORATION-13620698/finances/"/>
    <hyperlink ref="E48" r:id="rId43" display="https://www.marketscreener.com/quote/stock/WALMART-INC-4841/finances/"/>
    <hyperlink ref="E49" r:id="rId44" display="https://www.marketscreener.com/quote/stock/COSTCO-WHOLESALE-CORPORAT-4866/finances/"/>
    <hyperlink ref="E50" r:id="rId45" display="https://www.marketscreener.com/quote/stock/MERCADOLIBRE-INC-58469/finances/"/>
    <hyperlink ref="E51" r:id="rId46" display="https://www.marketscreener.com/quote/stock/SHOPIFY-INC-22283351/finances/"/>
    <hyperlink ref="E52" r:id="rId47" display="https://www.marketscreener.com/quote/stock/ALIBABA-GROUP-HOLDING-LIM-17916677/finances/"/>
    <hyperlink ref="E53" r:id="rId48" display="https://www.marketscreener.com/quote/stock/PDD-HOLDINGS-INC-45049866/finances/"/>
    <hyperlink ref="E54" r:id="rId49" display="https://aws.amazon.com/ec2/capacityblocks/pricing/"/>
    <hyperlink ref="E55" r:id="rId50" display="https://finance.yahoo.com/technology/ai/articles/amazon-hiking-ai-chip-rental-122155988.html"/>
    <hyperlink ref="E56" r:id="rId51" display="https://www.thestar.com.my/tech/tech-news/2026/10/02/amazon-seeks-to-offload-8-billion-of-nvidia-chips-to-investors-ft-reports"/>
    <hyperlink ref="E57" r:id="rId52" display="https://finviz.com/news/397190/synopsys-and-amazon-sign-multi-year-silicon-ip-agreement-valued-at-more-than-1-billion"/>
    <hyperlink ref="E58" r:id="rId53" display="https://www.sec.gov/Archives/edgar/data/0000723125/000072312526000018/a2026q4ex991-pressrelease.htm"/>
    <hyperlink ref="E59" r:id="rId54" display="https://getdeploying.com/gpu-price-index"/>
    <hyperlink ref="E60" r:id="rId55" display="https://www.srgresearch.com/articles/q2-cloud-market-passes-143-billion-highest-growth-rate-in-eight-years"/>
    <hyperlink ref="E61" r:id="rId56" display="https://www.digitalcommerce360.com/2026/09/29/adobe-projection-2026-online-holiday-sales-275-billion/amp/"/>
    <hyperlink ref="E62" r:id="rId57" display="https://www.aboutamazon.com/news/retail/amazon-prime-big-deals-day-2026-when-october-6-7"/>
    <hyperlink ref="E63" r:id="rId58" display="https://twelvedata.com/"/>
    <hyperlink ref="E64" r:id="rId59" display="https://www.trefis.com/stock/amzn/articles/617445/the-dates-that-matter-most-for-amazon-stock/2026-10-02"/>
    <hyperlink ref="E67" r:id="rId60" display="https://www.federalreserve.gov/newsevents/pressreleases/monetary20260916a1.htm"/>
    <hyperlink ref="E68" r:id="rId61" display="https://www.mlex.com/mlex/antitrust/articles/2422758/us-ftc-amazon-antitrust-trial-pushed-back-to-march-2027"/>
    <hyperlink ref="E69" r:id="rId62" display="https://stockanalysis.com/stocks/amzn/history/"/>
    <hyperlink ref="E70" r:id="rId63" display="https://data.sec.gov/submissions/CIK0001018724.json"/>
    <hyperlink ref="E71" r:id="rId64" display="https://www.sec.gov/Archives/edgar/data/1018724/000101872426000024/amzn-20260630xex991.htm"/>
    <hyperlink ref="E72" r:id="rId65" display="https://www.sec.gov/Archives/edgar/data/1018724/000101872426000026/amzn-20260630.htm"/>
    <hyperlink ref="E73" r:id="rId66" display="https://www.sec.gov/Archives/edgar/data/1018724/000101872426000004/amzn-20251231.htm"/>
    <hyperlink ref="E74" r:id="rId67" display="https://www.theglobeandmail.com/investing/markets/stocks/AMZN/pressreleases/3730734/amazon-amzn-q2-2026-earnings-call-transcript/"/>
    <hyperlink ref="E75" r:id="rId68" display="https://www.sec.gov/Archives/edgar/data/1018724/000110465926027125/tm266670-4_424b5.htm"/>
    <hyperlink ref="E76" r:id="rId69" display="https://www.sec.gov/Archives/edgar/data/1018724/000110465926027669/tm266670-6_424b5.htm"/>
    <hyperlink ref="E77" r:id="rId70" display="https://www.sec.gov/Archives/edgar/data/1018724/000110465926072332/tm2613616-2_424b5.htm"/>
    <hyperlink ref="E78" r:id="rId71" display="https://www.sec.gov/Archives/edgar/data/1018724/000110465926072140/tm2613616d4_8k.htm"/>
    <hyperlink ref="E79" r:id="rId72" display="https://www.sec.gov/Archives/edgar/data/1018724/000110465926081786/tm2619352-2_424b5.htm"/>
    <hyperlink ref="E80" r:id="rId73" display="https://www.sec.gov/Archives/edgar/data/1018724/000110465926107122/tm2624614-3_424b5.htm"/>
    <hyperlink ref="E81" r:id="rId74" display="https://www.sec.gov/Archives/edgar/data/1018724/000110465926021050/tm267374d1_8k.htm"/>
    <hyperlink ref="E82" r:id="rId75" display="https://finviz.com/news/319252/amazon-amzn-navigates-investment-cycle-and-strategic-developments"/>
    <hyperlink ref="E83" r:id="rId76" display="https://www.itiger.com/news/1145150869"/>
    <hyperlink ref="E84" r:id="rId77" display="https://thenextweb.com/news/amazon-17-5-billion-loan-citigroup-ai-spending"/>
    <hyperlink ref="E85" r:id="rId78" display="https://insight.factset.com/hyperscalers-tap-external-financing-as-ai-capex-outruns-cash-flow"/>
    <hyperlink ref="E86" r:id="rId79" display="https://finance.yahoo.com/news/da-davidson-thinks-amazon-com-114152031.html"/>
    <hyperlink ref="E87" r:id="rId80" display="https://www.fxempire.com/news/article/amazon-plunges-9-after-hours-as-200b-spending-plan-shocks-wall-street-investors-1577677"/>
    <hyperlink ref="E88" r:id="rId81" display="https://fortune.com/2025/12/17/amazon-openai-deal-trainium-chips-ai-charles-fitzgerald-anshel-sag/"/>
    <hyperlink ref="E89" r:id="rId82" display="https://techstrong.ai/features/tech-investor-michael-burry-alleges-accounting-irregularities-at-hyperscalers-in-pursuit-of-ai-boom/"/>
    <hyperlink ref="E90" r:id="rId83" display="https://davefriedman.substack.com/p/the-176-billion-accounting-question"/>
    <hyperlink ref="E91" r:id="rId84" display="https://www.home.saxo/content/articles/equities/big-short-12112025"/>
    <hyperlink ref="E92" r:id="rId85" display="https://finance.yahoo.com/news/ai-coming-trillion-dollar-hangover-150642244.html"/>
    <hyperlink ref="E93" r:id="rId86" display="https://www.mlex.com/mlex/articles/2422758"/>
    <hyperlink ref="E94" r:id="rId87" display="https://www.mlex.com/mlex/antitrust/articles/2526407"/>
    <hyperlink ref="E95" r:id="rId88" display="https://www.ftc.gov/news-events/news/press-releases/2025/09/ftc-secures-historic-25-billion-settlement-against-amazon"/>
    <hyperlink ref="E96" r:id="rId89" display="https://www.businessinsurance.com/amazon-defeats-shareholder-lawsuit-over-third-party-sellers-capacity-expansion/"/>
    <hyperlink ref="E97" r:id="rId90" display="https://www.sec.gov/Archives/edgar/data/1018724/000137454526000006/wk-form4_1778100121.xml"/>
    <hyperlink ref="E98" r:id="rId91" display="https://www.sec.gov/Archives/edgar/data/1018724/000137454526000010/wk-form4_1787692115.xml"/>
    <hyperlink ref="E99" r:id="rId92" display="https://www.sec.gov/Archives/edgar/data/1018724/000195917326006313/primary_doc.xml"/>
    <hyperlink ref="E100" r:id="rId93" display="https://www.sec.gov/Archives/edgar/data/1018724/000104329826000002/wk-form4_1787862279.xml"/>
    <hyperlink ref="E101" r:id="rId94" display="https://www.sec.gov/Archives/edgar/data/1018724/000195004726008794/primary_doc.xml"/>
    <hyperlink ref="E102" r:id="rId95" display="https://www.sec.gov/Archives/edgar/data/1018724/000193600626000026/wk-form4_1791230893.xml"/>
    <hyperlink ref="E103" r:id="rId96" display="https://anthropic.com/news/google-broadcom-partnership-compute"/>
    <hyperlink ref="E104" r:id="rId97" display="https://www.marketscreener.com/quote/stock/AMAZON-COM-INC-12864605/finances/"/>
    <hyperlink ref="E105" r:id="rId98" display="https://www.marketscreener.com/quote/stock/AMAZON-COM-INC-12864605/valuation/"/>
    <hyperlink ref="E106" r:id="rId99" display="https://www.marketscreener.com/quote/stock/MICROSOFT-CORPORATION-4835/valuation/"/>
    <hyperlink ref="E107" r:id="rId100" display="https://www.marketscreener.com/quote/stock/ALPHABET-INC-24203373/valuation/"/>
    <hyperlink ref="E108" r:id="rId101" display="https://www.marketscreener.com/quote/stock/META-PLATFORMS-INC-10547141/valuation/"/>
    <hyperlink ref="E109" r:id="rId102" display="https://www.marketscreener.com/quote/stock/ORACLE-CORPORATION-13620698/valuation/"/>
    <hyperlink ref="E110" r:id="rId103" display="https://www.marketscreener.com/quote/stock/WALMART-INC-4841/valuation/"/>
    <hyperlink ref="E111" r:id="rId104" display="https://www.marketscreener.com/quote/stock/COSTCO-WHOLESALE-CORPORAT-4866/valuation/"/>
    <hyperlink ref="E112" r:id="rId105" display="https://www.marketscreener.com/quote/stock/MERCADOLIBRE-INC-58469/valuation/"/>
    <hyperlink ref="E113" r:id="rId106" display="https://www.marketscreener.com/quote/stock/SHOPIFY-INC-22283351/valuation/"/>
    <hyperlink ref="E114" r:id="rId107" display="https://www.marketscreener.com/quote/stock/ALIBABA-GROUP-HOLDING-LIM-17916677/valuation/"/>
    <hyperlink ref="E115" r:id="rId108" display="https://www.marketscreener.com/quote/stock/COUPANG-INC-119962175/valuation/"/>
    <hyperlink ref="E116" r:id="rId109" display="https://www.marketscreener.com/quote/stock/SEA-LIMITED-38150303/valuation/"/>
    <hyperlink ref="E117" r:id="rId110" display="https://www.marketscreener.com/quote/stock/PDD-HOLDINGS-INC-45049866/valuation/"/>
    <hyperlink ref="E118" r:id="rId111" display="https://fred.stlouisfed.org/series/DGS10"/>
    <hyperlink ref="E119" r:id="rId112" display="https://pages.stern.nyu.edu/~adamodar/New_Home_Page/home.htm"/>
    <hyperlink ref="E121" r:id="rId113" display="https://twelvedata.com/stocks/AMZN"/>
    <hyperlink ref="E122" r:id="rId114" display="https://twelvedata.com/stocks/AMZN"/>
    <hyperlink ref="E123" r:id="rId115" display="https://www.sec.gov/Archives/edgar/data/1018724/000101872426000026/amzn-20260630.htm"/>
    <hyperlink ref="E124" r:id="rId116" display="https://www.sec.gov/Archives/edgar/data/1018724/000101872426000024/amzn-20260630xex991.htm"/>
    <hyperlink ref="E125" r:id="rId117" display="https://data.sec.gov/submissions/CIK0001018724.json"/>
    <hyperlink ref="E126" r:id="rId118" display="https://www.marketscreener.com/quote/stock/AMAZON-COM-INC-12864605/finances/"/>
    <hyperlink ref="E127" r:id="rId119" display="https://finance.yahoo.com/quote/AMZN/analysis/"/>
    <hyperlink ref="E128" r:id="rId120" display="https://www.marketscreener.com/quote/stock/MICROSOFT-CORPORATION-4835/finances/"/>
    <hyperlink ref="E129" r:id="rId121" display="https://www.marketscreener.com/quote/stock/ALPHABET-INC-24203373/finances/"/>
    <hyperlink ref="E130" r:id="rId122" display="https://www.marketscreener.com/quote/stock/META-PLATFORMS-INC-10547141/finances/"/>
    <hyperlink ref="E131" r:id="rId123" display="https://www.marketscreener.com/quote/stock/ORACLE-CORPORATION-13620698/finances/"/>
    <hyperlink ref="E132" r:id="rId124" display="https://www.marketscreener.com/quote/stock/WALMART-INC-4841/finances/"/>
    <hyperlink ref="E133" r:id="rId125" display="https://www.marketscreener.com/quote/stock/COSTCO-WHOLESALE-CORPORAT-4866/finances/"/>
    <hyperlink ref="E134" r:id="rId126" display="https://www.marketscreener.com/quote/stock/MERCADOLIBRE-INC-58469/finances/"/>
    <hyperlink ref="E135" r:id="rId127" display="https://www.marketscreener.com/quote/stock/SEA-LIMITED-38150303/finances/"/>
    <hyperlink ref="E136" r:id="rId128" display="https://www.marketscreener.com/quote/stock/SHOPIFY-INC-22283351/finances/"/>
    <hyperlink ref="E137" r:id="rId129" display="https://www.marketscreener.com/quote/stock/ALIBABA-GROUP-HOLDING-LIM-17916677/finances/"/>
    <hyperlink ref="E138" r:id="rId130" display="https://www.marketscreener.com/quote/stock/PDD-HOLDINGS-INC-45049866/finances/"/>
    <hyperlink ref="E139" r:id="rId131" display="https://fred.stlouisfed.org/series/DGS10"/>
    <hyperlink ref="E140" r:id="rId132" display="https://www.federalreserve.gov/newsevents/pressreleases/monetary20260916a1.htm"/>
    <hyperlink ref="E141" r:id="rId133" display="https://www.federalreserve.gov/monetarypolicy/fomccalendars.htm"/>
    <hyperlink ref="E142" r:id="rId134" display="https://www.sec.gov/Archives/edgar/data/1018724/000101872426000038/amzn-20261029.htm"/>
    <hyperlink ref="E143" r:id="rId135" display="https://aws.amazon.com/ec2/capacityblocks/pricing/"/>
    <hyperlink ref="E144" r:id="rId136" display="https://www.thestar.com.my/tech/tech-news/2026/10/02/amazon-seeks-to-offload-8-billion-of-nvidia-chips-to-investors-ft-reports"/>
    <hyperlink ref="E146" r:id="rId137" display="https://stockanalysis.com/stocks/amzn/history/"/>
    <hyperlink ref="E147" r:id="rId138" display="https://twelvedata.com/"/>
    <hyperlink ref="E148" r:id="rId139" display="https://fred.stlouisfed.org/data/DGS10.txt"/>
    <hyperlink ref="E149" r:id="rId140" display="https://www.theglobeandmail.com/investing/markets/stocks/AMZN/pressreleases/3730734/amazon-amzn-q2-2026-earnings-call-transcript/"/>
    <hyperlink ref="E150" r:id="rId141" display="https://www.sec.gov/Archives/edgar/data/1018724/000110465926107526/tm2624614d5_8k.htm"/>
    <hyperlink ref="E151" r:id="rId142" display="https://www.nasdaq.com/market-activity/stocks/amzn/earnings"/>
    <hyperlink ref="E152" r:id="rId143" display="https://finance.yahoo.com/quote/AMZN/history/"/>
    <hyperlink ref="E153" r:id="rId144" display="https://www.nasdaq.com/market-activity/stocks/app/earnings"/>
    <hyperlink ref="E154" r:id="rId145" display="https://finance.yahoo.com/quote/APP/history/"/>
    <hyperlink ref="E155" r:id="rId146" display="https://www.nasdaq.com/market-activity/stocks/cost/earnings"/>
    <hyperlink ref="E156" r:id="rId147" display="https://finance.yahoo.com/quote/COST/history/"/>
    <hyperlink ref="E157" r:id="rId148" display="https://www.nasdaq.com/market-activity/stocks/googl/earnings"/>
    <hyperlink ref="E158" r:id="rId149" display="https://finance.yahoo.com/quote/GOOGL/history/"/>
    <hyperlink ref="E159" r:id="rId150" display="https://www.nasdaq.com/market-activity/stocks/meli/earnings"/>
    <hyperlink ref="E160" r:id="rId151" display="https://finance.yahoo.com/quote/MELI/history/"/>
    <hyperlink ref="E161" r:id="rId152" display="https://www.nasdaq.com/market-activity/stocks/meta/earnings"/>
    <hyperlink ref="E162" r:id="rId153" display="https://finance.yahoo.com/quote/META/history/"/>
    <hyperlink ref="E163" r:id="rId154" display="https://www.nasdaq.com/market-activity/stocks/msft/earnings"/>
    <hyperlink ref="E164" r:id="rId155" display="https://finance.yahoo.com/quote/MSFT/history/"/>
    <hyperlink ref="E165" r:id="rId156" display="https://www.nasdaq.com/market-activity/stocks/orcl/earnings"/>
    <hyperlink ref="E166" r:id="rId157" display="https://finance.yahoo.com/quote/ORCL/history/"/>
    <hyperlink ref="E167" r:id="rId158" display="https://www.nasdaq.com/market-activity/stocks/rddt/earnings"/>
    <hyperlink ref="E168" r:id="rId159" display="https://finance.yahoo.com/quote/RDDT/history/"/>
    <hyperlink ref="E169" r:id="rId160" display="https://www.nasdaq.com/market-activity/stocks/se/earnings"/>
    <hyperlink ref="E170" r:id="rId161" display="https://finance.yahoo.com/quote/SE/history/"/>
    <hyperlink ref="E171" r:id="rId162" display="https://www.nasdaq.com/market-activity/stocks/shop/earnings"/>
    <hyperlink ref="E172" r:id="rId163" display="https://finance.yahoo.com/quote/SHOP/history/"/>
    <hyperlink ref="E173" r:id="rId164" display="https://www.nasdaq.com/market-activity/stocks/wmt/earnings"/>
    <hyperlink ref="E174" r:id="rId165" display="https://finance.yahoo.com/quote/WMT/history/"/>
    <hyperlink ref="E175" r:id="rId166" display="https://www.sec.gov/Archives/edgar/data/1018724/000101872424000128/amzn-20240630xex991.htm"/>
    <hyperlink ref="E176" r:id="rId167" display="https://www.sec.gov/Archives/edgar/data/1018724/000101872424000158/amzn-20240930xex991.htm"/>
    <hyperlink ref="E177" r:id="rId168" display="https://www.sec.gov/Archives/edgar/data/1018724/000101872425000002/amzn-20241231xex991.htm"/>
    <hyperlink ref="E178" r:id="rId169" display="https://www.sec.gov/Archives/edgar/data/1018724/000101872425000034/amzn-20250331xex991.htm"/>
    <hyperlink ref="E179" r:id="rId170" display="https://www.sec.gov/Archives/edgar/data/1018724/000101872425000084/amzn-20250630xex991.htm"/>
    <hyperlink ref="E180" r:id="rId171" display="https://www.sec.gov/Archives/edgar/data/1018724/000101872425000121/amzn-20250930xex991.htm"/>
    <hyperlink ref="E181" r:id="rId172" display="https://www.sec.gov/Archives/edgar/data/1018724/000101872426000002/amzn-20251231xex991.htm"/>
    <hyperlink ref="E182" r:id="rId173" display="https://www.sec.gov/Archives/edgar/data/1018724/000101872426000012/amzn-20260331xex991.htm"/>
    <hyperlink ref="E183" r:id="rId174" display="https://www.sec.gov/Archives/edgar/data/1018724/000101872426000024/amzn-20260630xex991.htm"/>
    <hyperlink ref="E184" r:id="rId175" display="https://www.sec.gov/Archives/edgar/data/2130357/000162828026067168/anthropicpbc-sx1.htm"/>
    <hyperlink ref="E185" r:id="rId176" display="https://finance.yahoo.com/markets/stocks/articles/anthropic-publicly-files-ipo-ant-155552280.html"/>
    <hyperlink ref="E186" r:id="rId177" display="https://www.sec.gov/Archives/edgar/data/0001018724/000101872426000038/amzn-20260930xex991.htm"/>
    <hyperlink ref="E187" r:id="rId178" display="https://www.sec.gov/Archives/edgar/data/1018724/000101872426000038/amzn-20261029.htm"/>
    <hyperlink ref="E188" r:id="rId179" display="https://finance.yahoo.com/markets/stocks/live/amazon-earnings-live-q3-earnings-miss-sends-stock-lower-203345870.html"/>
    <hyperlink ref="E189" r:id="rId180" display="https://en.fnnews.com/news/202610300602194135"/>
    <hyperlink ref="E190" r:id="rId181" display="https://finance.yahoo.com/technology/ai/articles/amazon-shares-sink-spends-heavily-204329843.html"/>
    <hyperlink ref="E191" r:id="rId182" display="https://huggingnews.com/earnings/amazon-projects-higher-capex-in-2027-above-220b-pace-as-aws-backlog-hits-41aeb60e"/>
    <hyperlink ref="E192" r:id="rId183" display="https://www.sec.gov/Archives/edgar/data/0001018724/000110465926082293/tm2619352d4_8k.htm"/>
    <hyperlink ref="E193" r:id="rId184" display="https://thedailyguardian.com/business/amazon-set-to-raise-over-5-billion-in-first-sterling-bond-sale-lead-managers-say-755559/"/>
    <hyperlink ref="E194" r:id="rId185" display="https://rallies.ai/news/amazon-raises-54-billion-in-bonds-bofa-sees-hyperscaler-debt-at-175-billion-in-2026"/>
    <hyperlink ref="E195" r:id="rId186" display="https://www.bnnbloomberg.ca/investing/2026/06/09/amazon-issues-record-setting-canadian-dollar-denominated-corporate-bond-deal/"/>
    <hyperlink ref="E196" r:id="rId187" display="https://www.nextplatform.com/2025/02/07/amazon-will-spend-nearly-a-year-of-aws-revenue-on-ai-investments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2026-10-30T22:15:58Z</dcterms:created>
  <dc:creator>openpyxl</dc:creator>
  <dc:description/>
  <dc:language>en-US</dc:language>
  <cp:lastModifiedBy/>
  <dcterms:modified xsi:type="dcterms:W3CDTF">2026-10-30T22:15:58Z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