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<sst xmlns="http://schemas.openxmlformats.org/spreadsheetml/2006/main" count="1134" uniqueCount="697">
  <si>
    <t xml:space="preserve">AVGO 12-month price target model</t>
  </si>
  <si>
    <t xml:space="preserve">Close 2026-10-30 · agents' research 2026-10-29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</si>
  <si>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</si>
  <si>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</si>
  <si>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</si>
  <si>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</si>
  <si>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</si>
  <si>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</si>
  <si>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</si>
  <si>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</si>
  <si>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</si>
  <si>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</si>
  <si>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</si>
  <si>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</si>
  <si>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39 analysts, https://stockanalysis.com/stocks/avgo/forecast/ as of 2026-10-30</t>
  </si>
  <si>
    <t xml:space="preserve">Use supervisor ladder (1 = yes)</t>
  </si>
  <si>
    <t xml:space="preserve">Supervisor confidence: low; its ladder replaces the agents' mean only when high</t>
  </si>
  <si>
    <t xml:space="preserve">Platt log shift of the agents' curve</t>
  </si>
  <si>
    <t xml:space="preserve">combine.py: P(close &gt;= spot) 0.815 Platt-scaled (a = 1.732) to 0.815,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</si>
  <si>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</si>
  <si>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</si>
  <si>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</si>
  <si>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2026-10-19;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</si>
  <si>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</si>
  <si>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</si>
  <si>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</si>
  <si>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</si>
  <si>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</si>
  <si>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</si>
  <si>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</si>
  <si>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</si>
  <si>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</si>
  <si>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 4</t>
  </si>
  <si>
    <t xml:space="preserve">Agent 5</t>
  </si>
  <si>
    <t xml:space="preserve">Agents' average</t>
  </si>
  <si>
    <t xml:space="preserve">Agents' median</t>
  </si>
  <si>
    <t xml:space="preserve">Supervisor's reconciled research target (12m)</t>
  </si>
  <si>
    <t xml:space="preserve">Model update 2026-10-29 (build): quarterly driver set. Research target (12m) 488.51 = AVGO's own 19.81x calendar-NTM P/E (Kilian 2026-10-30 17:18Z; the exit rule's 21.9x from the 8-peer median 32.73x was set aside because the faster-growing peers skew it) x horizon NTM EPS after SBC (NTM at 2027-10-29 = FY2028: AI $195.5B at ~57.5%, non-AI $18.2B at 55%, software $37.5B at 83.5%, less SBC $9.8B, 16% tax, 4,940M shares; model FY28 EPS 24.21 plus interest on ~$33.7B net cash) + customer-financing (-4,568) and legal (-1,250) expected losses per share.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</si>
  <si>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</si>
  <si>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</si>
  <si>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</si>
  <si>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</si>
  <si>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</si>
  <si>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</si>
  <si>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</si>
  <si>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</si>
  <si>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</si>
  <si>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</si>
  <si>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</si>
  <si>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</si>
  <si>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</si>
  <si>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</si>
  <si>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thesis break)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</si>
  <si>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</si>
  <si>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</si>
  <si>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</si>
  <si>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</si>
  <si>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</si>
  <si>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</si>
  <si>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</si>
  <si>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</si>
  <si>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</si>
  <si>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</si>
  <si>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</si>
  <si>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</si>
  <si>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</si>
  <si>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</si>
  <si>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</si>
  <si>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</si>
  <si>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</si>
  <si>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</si>
  <si>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</si>
  <si>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AVGO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</si>
  <si>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</si>
  <si>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</si>
  <si>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</si>
  <si>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</si>
  <si>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</si>
  <si>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</si>
  <si>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</si>
  <si>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</si>
  <si>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</si>
  <si>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</si>
  <si>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</si>
  <si>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AVGO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</si>
  <si>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</si>
  <si>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</si>
  <si>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</si>
  <si>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</si>
  <si>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</si>
  <si>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</si>
  <si>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</si>
  <si>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</si>
  <si>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</si>
  <si>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</si>
  <si>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</si>
  <si>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</si>
  <si>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</si>
  <si>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</si>
  <si>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</si>
  <si>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</si>
  <si>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</si>
  <si>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</si>
  <si>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AVGO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</si>
  <si>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</si>
  <si>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</si>
  <si>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</si>
  <si>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</si>
  <si>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</si>
  <si>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</si>
  <si>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</si>
  <si>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</si>
  <si>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P/E</t>
  </si>
  <si>
    <t xml:space="preserve">FY28 EPS $24.19 x 19x. FY28 revenue $235.2B = AI $180B + non-AI semis $18.25B + software $36.92B; op income $144.6B (semis 57.5%, software 83%); net interest -$2.42B; tax 16%; 4.94B shares</t>
  </si>
  <si>
    <t xml:space="preserve">DCF</t>
  </si>
  <si>
    <t xml:space="preserve">FY28 FCF/share $20.32 (0.84 x EPS); growth FY29 20%, FY30 12%, FY31 8%, FY32 6%; terminal 3%; discount 11% (10y 5.31% + 5.7pt); valued at Oct-2027</t>
  </si>
  <si>
    <t xml:space="preserve">Blended value</t>
  </si>
  <si>
    <t xml:space="preserve">Stated research target (12m)</t>
  </si>
  <si>
    <t xml:space="preserve">Blend of 19x FY28 (Nov-27 to Oct-28) non-GAAP EPS $24.19 = $459.5 (65%) and a DCF of FY28 FCF/share $20.32 at 11% (10y 5.31% + 5.7pt), 3% terminal = $334.9 (35%): 0.65 x 459.5 + 0.35 x 334.9 = $415.9 -&gt; $416 for Oct-2027. FY28 EPS assumes AI revenue $180B (management line of sight $230B), FY27 AI ~$115B per guidance.</t>
  </si>
  <si>
    <t xml:space="preserve">FY28 EPS $23.60 x 20x. FY28 revenue $232B = AI $180B + non-AI semis $17.2B + software $34.8B; op margin 61%; net interest/other $2.72B; tax 16%; 4.94B shares</t>
  </si>
  <si>
    <t xml:space="preserve">Valued at the Oct-2027 horizon: FY28 FCF/share $19.70 (0.835 x $23.60), growth 15/10/6/4% FY29-32, terminal 3%, discount 10.5% (10-yr 5.31% + 5.2pt)</t>
  </si>
  <si>
    <t xml:space="preserve">Estimate. 0.7 x P/E $472 (my FY28 EPS $23.60, built on FY28 AI $180B, total revenue $232B, 61% operating margin, x 20x, inside the 15.3-59.8x CY2027 peer range) + 0.3 x DCF $318 (FY28 FCF/share $19.70 at 0.835 conversion; growth 15/10/6/4%, terminal 3%, 10.5% discount) = $425.9 -&gt; $426.</t>
  </si>
  <si>
    <t xml:space="preserve">FY28 EPS $23.94 = (revenue $231B [AI 175 + non-AI 19 + software 37] x 62% - $2.4B net interest) x 0.84 / 4.94B shares; x 18x = $431.0</t>
  </si>
  <si>
    <t xml:space="preserve">FY28 FCF/share $19.87 (0.83 x $23.94); growth 15/8/5% then 4% to FY37; terminal 3%; discount 10.8% (10y 5.31% + 5.5pt) -&gt; $310.3 at Oct-2027</t>
  </si>
  <si>
    <t xml:space="preserve">70% P/E on FY28 (NTM at the horizon) EPS $23.94 x 18x = $431.0, plus 30% DCF at 10.8% on FY28 FCF/share $19.87 fading 15/8/5/4% with 3% terminal = $310.3. Blend 0.7 x 431.0 + 0.3 x 310.3 = $394.8. FY28 EPS rests on AI revenue of $175B (vs management's $230B line of sight) and a 62% operating margin.</t>
  </si>
  <si>
    <t xml:space="preserve">FY28 revenue $238B (AI $184B + non-AI semis $18B + software $36B); semis op margin 58%, software 84% -&gt; op income $147.4B; less $2.2B net interest; 16% tax; 4.94B shares -&gt; EPS $24.69 x 19x = $469.1</t>
  </si>
  <si>
    <t xml:space="preserve">FY28 FCF $101.2B (0.83 x NI $122.0B), growth 15/10/6/4% FY29-32, terminal 3%, WACC 11.3% (5.31% + 1.48 x 4.20% equity; 3.2% debt at 3.36% after tax), less net debt $35.44B, / 4.94B shares, valued at the Oct-2027 horizon</t>
  </si>
  <si>
    <t xml:space="preserve">0.65 x P/E ($469.1 = 19x estimated FY28 EPS $24.69, built bottom-up on FY28 AI $184B) + 0.35 x DCF ($291.3 at an 11.3% CAPM-based WACC, 0.83 FCF conversion from the 8-K) = $406.9 -&gt; $407 (+7.9% vs $377.32). Scenario-weighted value $403.0 and ladder mean ~$403 reconcile to it within 1%.</t>
  </si>
  <si>
    <t xml:space="preserve">FY28 (Nov-2027 to Oct-2028, the NTM year at the horizon) non-GAAP EPS $23.92 x 19x = $454.5</t>
  </si>
  <si>
    <t xml:space="preserve">Equity FCF/share FY28 $19.97, FY29 $23.97 (+20%), FY30 $26.36 (+10%), FY31 $27.68 (+5%), terminal growth 3%, discount rate 12%; valued at the Oct-2027 horizon</t>
  </si>
  <si>
    <t xml:space="preserve">0.6 x P/E (bottom-up FY28 EPS $23.92 x 19x = $454.5) + 0.4 x equity-FCF DCF at 12% ($274.6) = $382.5 -&gt; $382. FY28 EPS rebuilt bottom-up: AI $177B (mean of three anchors: constant 2027 capex share $140.9B, purchase-commitment ratio $159.3B, management $230B) + non-AI $18.2B + software $36.2B = $231.5B revenue at 62% operating margin.</t>
  </si>
  <si>
    <t xml:space="preserve">AVGO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</si>
  <si>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</si>
  <si>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</si>
  <si>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</si>
  <si>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</si>
  <si>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</si>
  <si>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</si>
  <si>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</si>
  <si>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AI capex follows the house low path (2028 $1,265B, below 2027's $1,390B low) [16]: FY28 AI ~$110B (below the $115B FY27 guide), semis margin 59% (less memory dilution). EPS = ((110 + 18.25) x 0.59 + 36.92 x 0.83 - 2.42) x 0.84 / 4.94 = $17.67; x 15x (NVDA's 15.32x, bottom of the peer range) = $265, less the full $29B max backstop as a lab-default tail ($29B / 4.94B = $5.9/share) [5] = ~$259.</t>
  </si>
  <si>
    <t xml:space="preserve">FY27 AI ~$115B delivered (supply secured), FY28 AI $180B (8.0% of house 2028 base capex); EPS $24.19; market keeps a below-median 19x for concentration and financing exposure; P/E $459.5 blended 65/35 with DCF $334.9 = $416.</t>
  </si>
  <si>
    <t xml:space="preserve">Management's $230B FY28 AI (supply secured per the call [6]) is hit as Anthropic (+10 GW), OpenAI (&gt;5 GW) and Meta ramp and hyperscaler 2027-28 capex tracks the house high case ($3,160B in 2028 [16]); semis margin 56.5%. EPS = ((230 + 18.25) x 0.565 + 36.92 x 0.83 - 2.42) x 0.84 / 4.94 = $28.65 (management: '&gt;$30'); x 21x (inside the range, below the 23.64x median) = $602.</t>
  </si>
  <si>
    <t xml:space="preserve">AI capex digestion: 2028 capex follows the house low case ($1,265B, below 2027's $1,390B low [11]) and FY28 AI revenue stays ~$110B, about flat on FY27's supply-secured $115B [2]. Revenue $162B, op margin 64% (less AI mix), EPS (162 x 0.64 - 2.72) x 0.84 / 4.94 = $17.17. P/E 14x (the group de-rates; ~9% below today's lowest peer, NVDA 15.3x [7]) = $240, weight 0.7; DCF scaled $318 x 17.17/23.60 = $231, weight 0.3. Blend $237. Customer-financing tail: up to $29B max undiscounted backstop plus a $42B undrawn note facility [3], ~$5.9/share for the backstop alone (29/4.94); not netted, since rack value offsets it.</t>
  </si>
  <si>
    <t xml:space="preserve">FY27 AI ~$115B delivered [2]; FY28 tracks ~$180B, in line with the purchase-commitment ramp (FY28 $73.0B vs FY27 $52.7B [4]) and an 8.0% share of house base 2028 capex [11]. Margins dilute to ~61% on XPU/rack mix; EPS $23.60; 20x NTM blended with the DCF = $426 (= fair value).</t>
  </si>
  <si>
    <t xml:space="preserve">The full $230B FY28 AI line of sight [2] is underwritten: house high capex ($3,160B in 2028 [11], a 7.3% share). Revenue $282B, op margin 60%, EPS (282 x 0.60 - 2.72) x 0.84 / 4.94 = $28.31. P/E 22x (large-cap peer cohort median 21.9x [7]) = $623, weight 0.7; DCF scaled $318 x 28.31/23.60 = $382, weight 0.3. Blend $550.</t>
  </si>
  <si>
    <t xml:space="preserve">2028 turns into a digestion year: the house low case has 2028 customer AI capex at $1,265B, below 2027's $1,390B [14]. Google shifts TPU volume to other sources (Q2 'diversity of sources' [6]; Macquarie models AVGO's share at 65% in 2028 [7]) and lab GW deployments slip. FY28 AI is flat at ~$115B, revenue $169B (non-AI $18B, software $36B), op margin 60% with less scale: EPS (169 x 0.60 - 2.4) x 0.84 / 4.94 = $16.83; at 15x (bottom of the peer range, NVDA 15.3x [12]) = $252. The contingent backstop ($29B max undiscounted, ~$5.9/share before rack resale value [3]) is a further tail, not included.</t>
  </si>
  <si>
    <t xml:space="preserve">FY27 AI lands near the supply-secured ~$115B [5]; FY28 reaches ~$175B rather than $230B as Google splits supply and deployments lag, consistent with the 10-Q FY28 purchase commitments ($72,952M [4]) on FY27's commitments-to-revenue ratio. GM slides toward ~68-69% on XPU/rack mix; operating margin ~62%. EPS $23.94 x 18x = $431, blended 70/30 with a $310 DCF = ~$395.</t>
  </si>
  <si>
    <t xml:space="preserve">Management delivers FY28 AI of $230B [5], with Anthropic as the largest XPU customer in 2027 and Google 'multi-tens of billions of dollars of TPUs annually' [5]; this needs roughly the house high capex path ($3,160B in 2028 [14]). Revenue $286B, op margin 63%: EPS (286 x 0.63 - 2.4) x 0.84 / 4.94 = $30.23 x 21x (inside the peer range, below the 23.7x median [12]) = $635.</t>
  </si>
  <si>
    <t xml:space="preserve">AI capex digestion toward the house low case (2028 $1,265B, below 2027 [12]) or a lab customer deferring GW deployments: FY28 AI ~$120B (about flat on FY27's $115B), revenue $172B, EPS $18.16; 14x = $254 (below the 15.3x peer low, as in a cyclical de-rating) and DCF (growth 10/8/5/4%) $198.5; blend 0.65/0.35 = $235. A customer lease default would add the up-to-$29B backstop (~$6/share before rack resale) [4][6].</t>
  </si>
  <si>
    <t xml:space="preserve">FY27 AI ~$115B delivered (supply secured [2]); FY28 AI $184B (80% of the $230B line of sight, 8.2% of house 2028 base capex [12]); EPS $24.69; 19x = $469, DCF $291; blend $407.</t>
  </si>
  <si>
    <t xml:space="preserve">The $230B FY28 outlook is met (Anthropic +10 GW, OpenAI &gt;5 GW [2]; FY28 purchase commitments already $72.95B [5]), semis margin 59%: EPS $29.65 (consistent with management's 'exceed $30' [2]); 21x = $623, DCF $351; blend $528. Bull weighted above bear because the bull is management's supply-secured outlook, Broadcom beat EPS consensus in each of the last four quarters [7], and every clean 2026 hyperscaler capex guide was raised [12], while the bear needs an outright capex cut.</t>
  </si>
  <si>
    <t xml:space="preserve">AI capex digestion: house low case has 2028 capex ($1,265B) below 2027 ($1,390B) [20], so FY28 AI ~ 115 x 1,265/1,390 = $104.7B; revenue $159.1B at 60% margin -&gt; EPS $15.76; P/E 14x (below every large-cap peer, as earnings would be falling) = $220.6; DCF with 5/5/3% growth = $151.2; blend 0.6/0.4 = $192.8. A financing event on the first tranche (up to $29B backstop, $42B facility [4]) would sit here. Cisco 2000-01 fell ~78-80% in 12 months in the vendor-financing bust [18][19], the extreme version of this path.</t>
  </si>
  <si>
    <t xml:space="preserve">FY27 AI ~$115B delivered, FY28 tracking ~$177B (7.85% of house base capex): EPS $23.92 x 19x = $454.5, DCF $274.6, blend $382.5. This is the fair value.</t>
  </si>
  <si>
    <t xml:space="preserve">Management's $230B FY28 is met (house high capex case $3,160B [20]; 2024-26 capex drift was always up): revenue $284.5B at 63% -&gt; EPS $29.99 (~management's '&gt;$30' [2]); P/E 22x (~TSM 21.84x, below the 23.66x peer median) = $659.9; DCF with 25/12/6% growth = $366.1; blend $542.3.</t>
  </si>
  <si>
    <t xml:space="preserve">Average</t>
  </si>
  <si>
    <t xml:space="preserve">AVGO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</si>
  <si>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</si>
  <si>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</si>
  <si>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</si>
  <si>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</si>
  <si>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</si>
  <si>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</si>
  <si>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</si>
  <si>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Round 2 re-checked every figure at the primary source. Q3 FY26 8-K: revenue $29,591M (+86%), non-GAAP op income $20,095M, non-GAAP NI $16,372M, EPS $3.32, FCF $13,665M, 4,937M diluted shares, cash $23,975M, debt $59,419M carrying [1]. AI revenue Q1-Q3 $8.4B/$10.8B/$16.7B [9,8,1], Q4 guided $21.7B [1]. Call: FY27 AI ~$115B supply secured; FY28 line of sight to $230B and, correcting my round-1 claim, Tan says 'here again, we have secured the supply' for FY28; 'on target to exceed $30' EPS in FY28; Q4 report on 2026-12-09 [6]. 10-Q detail the recaps skip: RPO $164.6B (Q2) -&gt; $179.2B (Q3), ~25% due in 12 months [7,2]; purchase commitments $52.7B FY27 / $73.0B FY28 [4]; the Backstop max ~$29B undiscounted and a $42B convertible-note facility with nothing issued [3,5] (the supervisor's finding, confirmed; the press '$60B syndication' and Anthropic S-1 figures are removed). The CEO's 2025 PSU maxes at &gt;= $120B AI revenue in any four quarters of FY28-30 [11], far below the now-guided path. FY28 AI $180B (between the purchase-commitment-scaled $159B floor and management's $230B; 8.0% of house 2028 base capex [16]) with a segment margin build gives EPS $24.19; 19x = $459.5; DCF at 11% (10y 5.31% [13]) = $334.9; FV = 0.65 x 459.5 + 0.35 x 334.9 = $415.9 -&gt; $416 (+10% vs $377.32). This lands close to the supervisor's $420, from my own segment build (61.5% op margin vs its 62%, net interest $2.4B vs $2.0B). Scenarios bear $259 (25%) / base $416 (52%) / bull $602 (23%) give a probability-weighted $419.5. The ladder is a lognormal mixture (sigmas 0.38/0.27/0.24 around 259/416/602): median ~$417, log-s.d. ~0.42 against 47% realized vol, P(&gt;= $377) 0.60. Thesis break $255 unchanged. Research limits: one transcript host (Benzinga via Webull) for call quotes, cross-checked against Platform Aeronaut for $115B/$230B; Finviz values are delayed quotes on 2026-10-06.</t>
  </si>
  <si>
    <t xml:space="preserve">~13.2x FY27 consensus EPS $19.39 (Yahoo, 48 analysts) and ~12% below the $289.96 52-week low. Trading there would most likely mean the supply-secured ~$115B FY27 AI guide is in doubt (a cut at the 2026-12-09 print or later, a lab customer deferring GW deployments, a lease default that triggers the up-to-$29B Backstop in the 10-Q, or a 2027-28 capex cut toward the house low case), i.e. a fundamental break rather than 47%-vol noise.</t>
  </si>
  <si>
    <t xml:space="preserve">• Whether FY28 AI revenue approaches the $230B line of sight or stalls with a 2028 capex slowdown (house low case has 2028 capex below 2027).
• Customer-financing exposure: 10-Q shows ~$29B max undiscounted Backstop (first tranche) and a $42B convertible-note facility (none issued); XPV aims at &gt;20 GW through 2028 and further backstops are not sized.
• Customer concentration in Anthropic, Google, OpenAI and Meta; Google dual-sourcing ('some diversity of sources', Q2 call).
• Gross-margin dilution from XPU memory content and rack-level sales (Q4 gross margin guided ~73% vs 78% a year ago).
• Rates: 10-year Treasury 5.31% caps multiples for long-duration growth equities.
• Power, land and shell readiness at customer sites limiting how many contracted GW reach production (management's own caveat).</t>
  </si>
  <si>
    <t xml:space="preserve">• fair value: 428 → 416 (FY28 AI $185B -&gt; $180B, segment margin build (61.5% vs 63%), explicit net interest and 16% tax, FCF conversion 0.85 -&gt; 0.84; supervisor's AI-share-of-capex finding and 10-Q purchase commitments (re-checked at R53).)
• a method: P/E $471 (FY28 EPS $24.8 x 19x) → P/E $459.5 (FY28 EPS $24.19 x 19x) (EPS rebuilt bottom-up: AI $180B, semis 57.5% / software 83% margins (Q3 segment margins 61%/84% per call), net interest -$2.42B (Q3 annualised from 8-K), tax 16%.)
• a method: DCF $348 (FCF/share $21.1, 11%) → DCF $334.9 (FCF/share $20.32, 11%) (Conversion 0.84 (Q3 0.835 per 8-K, as supervisor noted); discount rate rebuilt from the Treasury 10y 5.31% (not 5.26% from press) + 5.7pt, still 11%.)
• a fact: FY28 $230B 'not supply-secured, unlike FY27' → management says FY28 supply is also secured (Re-reading the Q3 call: 'Here again, we have secured the supply to meet this outlook.' My round-1 statement was wrong. I keep a haircut because Tan himself says not all ~30 GW will reach production in FY27-28 (shells/power) and $230B needs a 10.2% share of house 2028 base capex.)
• a fact: ~$29B exposure cited from an analyst question on the call → 10-Q R17/R54: Backstop max ~$29B undiscounted (85% mechanism, 5-yr leases) plus $42B convertible-note facility, none issued (Supervisor feedback; confirmed at R17 and R54.)
• a fact: $125.2B Anthropic TPU commitment, $42B 'Class A' syndication (press) → removed from text, catalysts and sources (Not verifiable at a primary source (supervisor); the $42B is kept only as the 10-Q note facility.)
• a fact: 10-year Treasury 5.26% (press) → 5.31% (Treasury par curve, 2026-10-05) (Supervisor finding; confirmed at treasury.gov.)
• a fact: next earnings 'December' → 2026-12-09 after close (Supervisor finding; confirmed in the Q3 call closing remarks.)
• a scenario: bear $250 (27%) → bear $259 (25%) (Bear EPS rebuilt on the same segment model (AI $110B, EPS $17.67 x 15x = $265) less the full $29B max Backstop ($5.9/share) from the 10-Q; slightly lower weight since FY28 supply is secured per the call.)
• a scenario: base $440 (50%) → base $416 (52%) (Base now equals the blended fair value so scenarios and FV reconcile (probability-weighted $419.5).)
• a scenario: bull $650 (23%) → bull $602 (23%) (Bull EPS rebuilt bottom-up at $230B AI ($28.65) x 21x instead of '~$30 x 21-22x'.)
• P(close &gt;= K): 377: 0.642, 415: 0.545, 453: 0.446, 660: 0.119, 943: 0.010; median ~$432 → 377: 0.599, 415: 0.505, 453: 0.416, 660: 0.105, 943: 0.008; median ~$417 (Mixture recentred on the new scenarios (259/416/602), widened (sigmas 0.38/0.27/0.24) to a log-s.d. ~0.42 near realized vol; median now matches the $416 FV.)
• thesis break: 255 (reason cited the call for exposure) → 255 (Level unchanged (~13.2x FY27 consensus $19.39, below the $289.96 52-week low); reason now cites the 10-Q Backstop and the 12-09 print.)
• a fact: 12 peers incl. ARM and MU, median 23.4x → 11 peers (ARM, MU dropped; ADI added), median 23.64x (Supervisor comps_review; values re-read from Finviz on 2026-10-06 (all next-FY basis).)
• P(close &gt;= K) 1-month: unchanged → unchanged (Supervisor confirmed no company print in the window; EDGAR shows no new 8-K.)</t>
  </si>
  <si>
    <t xml:space="preserve">Round 2 follows the supervisor's findings, each re-checked at the primary source. (1) FY28 AI revenue: I cut my $195B to $180B. Three of my own cross-checks bracket it: scaling the 10-Q purchase commitments (FY27 $52.7B, FY28 $73.0B [4]) gives $179B on total revenue and $166B on semis only; an 8.2% share of house 2028 base capex gives $185B [11]. The FY28 commitment bucket did not grow between the Q2 and Q3 10-Qs [4][5]. (2) I dropped the 'FY27 consensus x 21x' leg: at an Oct-2027 horizon the market prices FY28, and stalled earnings belong in the bear scenario, not at a full multiple. A DCF (30% weight) replaces it, at the verified 10-yr of 5.31% [12] and Q3 FCF conversion of 0.835 [1]. (3) The P/E build is now pinned to reported Q3 lines: interest $778M less other income $98M [1], margin slope from Q3 to the Q4 guide [1][2]; the build reproduces Q3 non-GAAP NI within 0.4%. (4) Peers: 11 names on one CY2027 basis from Finviz, with three off-cycle names calendarized [7-10]; the median is 26.0x, not my old 30.6x (mixed NTM) nor the supervisor's 23.7x (which kept CSCO/COHR/CRDO on mid-2028 fiscal years). I use 20x, inside the range, for the persistent reasons in comps_summary. (5) Removed from every number: the Anthropic S-1 figures, press-reported $60B bank financing, and Marvell's targets (context only [15][16]); the $42B is now cited from Broadcom's 10-Q [3]. I did not use the MS SPCX digest's AVGO EV/EBIT/growth bar-chart value (marked unverified). Industry read: Broadcom's Q3 AI revenue $16.7B [1] vs NVIDIA Data Center $89.0B [17] means ~16% of the pair. TSMC calls packaging the binding constraint [13]. Result: FY28 EPS $23.60, P/E leg $472, DCF $318, fair value $426. Scenarios: bear $237 (25%), base $426 (50%), bull $550 (25%), weighted mean $410. The ladder is a mixture of three lognormals centred on the scenario prices (sigmas 0.36/0.30/0.33, giving overall log-sd ~0.45 vs 47% realized). Its median is ~$408 (P(&gt;=415) 0.48), its mean ~$432, and P(&gt;=377) = 0.57. The fair value of $426 sits between the ladder median and mean; the median is below it because the bear case is further from base than the bull is. I trimmed the right tail (P(&gt;=943) 0.044 -&gt; 0.015). Analyst targets were not used as anchors.</t>
  </si>
  <si>
    <t xml:space="preserve">$265 is 30% below today and 8.6% below the 52-week low of $289.96. It is 13.7x FY27 consensus EPS of $19.39 [6] and 15.4x my bear-case FY28 EPS of $17.17. A price there would mean the market is pricing the bear world (AI revenue flat at ~$110B in FY28), i.e. that it no longer trusts the supply-secured ~$115B FY27 AI revenue [2] or the FY28 purchase-commitment ramp [4]. Likely triggers: a cut or soft FY27 guide on 2026-12-09, a lab customer deferring GW deployments, a lease default that activates the up-to-$29B backstop [3], or a 2027-28 capex cut toward the house low case [11]. That is a fundamental break, not 47%-vol noise.</t>
  </si>
  <si>
    <t xml:space="preserve">• FY28 AI revenue: $180B base vs $230B management line of sight [2]; FY28 purchase commitments were flat over the last quarter ($72.87B to $72.95B [4][5])
• Customer-financing exposure beyond the first tranche: the 10-Q discloses a $29B max backstop and a $42B undrawn note facility [3]; further tranches are not sized
• Margin dilution from XPU/rack and memory content: Q3 non-GAAP GM 75.0% [1], Q4 guide ~73% [2]; my FY27 build ($17.7) is below the $19.39 consensus [6] on margins
• 2028 AI capex path: house base +22% y/y, low case falls below 2027 [11]; capex revisions are pro-cyclical
• TSMC packaging tightness 'limiting my customers' growth' [13] could shift revenue timing between FY27 and FY28</t>
  </si>
  <si>
    <t xml:space="preserve">• fair value: 467 → 426 (Supervisor: $195B AI too high vs house capex and the FY27 x 21x leg is inconsistent. Rebuilt with FY28 AI $180B (my own commitment and capex-share cross-checks), reported Q3 interest, flat non-AI/software, 20x on a corrected peer basis, plus a DCF.)
• a method: P/E FY28 EPS $25.06 x 21x = $526 (50%) → P/E FY28 EPS $23.60 x 20x = $472 (70%) (AI $195B -&gt; $180B; op margin 60% -&gt; 61% (now derived from the Q3-to-Q4 mix slope); net interest $2.0B (assumed coupon) -&gt; $2.72B (Q3 reported $778M less $98M); non-AI $18B -&gt; $17.2B and software $36B -&gt; $34.8B (no unsourced growth); multiple 21x -&gt; 20x after the peer median was restated.)
• a method: P/E FY27 consensus $19.38 x 21x = $407 (50%) → removed; DCF $318 (30%) (Supervisor feedback: a full multiple on stalled earnings is inconsistent at an Oct-2027 horizon. The stall case now sits in the bear scenario.)
• a scenario: bear $240 / 25% → bear $237 / 25% (Rebuilt bottom-up: AI ~$110B (house low capex), EPS $17.17 x 14x blended with the scaled DCF.)
• a scenario: base $460 / 50% → base $426 / 50% (Equals the new fair value (AI $180B, EPS $23.60).)
• a scenario: bull $700 / 25% → bull $550 / 25% (Bull EPS $28.31 at the $230B line of sight, 22x (large-cap cohort median) instead of 24x; Marvell TAM removed from the story (unverified press targets); blended with the scaled DCF.)
• P(close &gt;= K): 377: 0.612; 453: 0.455; 660: 0.176; 943: 0.044 → 377: 0.572; 453: 0.399; 660: 0.109; 943: 0.015 (Lower fair value and bull case; supervisor flagged my right tail as the fattest. Median ~$430 -&gt; ~$408.)
• P(close &gt;= K) 1-month: 377.32: 0.529 → 377.32: 0.512 (Q4 report confirmed for 2026-12-09, outside the window; TSMC Q3 confirmed 2026-10-15; no company event, so closer to symmetric.)
• thesis break: 265 (21x x $12.6 implied EPS) → 265 (13.7x FY27 consensus; 15.4x bear EPS) (Level kept; reason restated on the new multiple and bear case, and on the 10-Q backstop.)
• a fact: peer median fwd P/E 30.56x (StockAnalysis mixed NTM); KLAC and MU in set; trailing EV/EBITDA in the forward field → 26.0x on CY2027 (Finviz, CSCO/COHR/CRDO calendarized); MU and KLAC dropped, CSCO and COHR added; forward EV/EBITDA null (Supervisor comps_review. I disagree with its 23.7x: Finviz next-FY for CSCO, COHR and CRDO is a fiscal year ending mid-2028 (checked against StockAnalysis FY27 EPS), so on one calendar basis the median is 26.0x.)
• a fact: $42B Broadcom loan (press recaps of Anthropic filing) → $42B uncommitted convertible-note facility, $0 drawn, plus $29B max undiscounted backstop (10-Q R54) (Supervisor; confirmed at R54.)
• a fact: FY27 consensus EPS $19.3814 (24/7 Wall St) → $19.39 (Yahoo, 48 analysts) (Re-checked at the consensus page.)
• a fact: Q4 GM 73% vs 78% a year ago → Q3 non-GAAP GM 75.0% ($22,191M/$29,591M); Q4 guide ~73% (The 78% comparison was not re-verified, so it was dropped.)
• a fact: Google TPU 8i MediaTek co-design (trade press) → removed (Not confirmed at a primary source; it was not in numbers but is no longer cited.)
• a fact: next Broadcom report 'December' → 2026-12-09 after close (Q3 call closing remarks.)</t>
  </si>
  <si>
    <t xml:space="preserve">Round 2. What changed: the supervisor showed that two figures in my round-1 multiple and bear reasoning ($161.2B of Anthropic commitments; BofA's $370B peak RVG) were not verified at a primary source, that my Tan quote came from a BigGo recap, that my peer median mixed fiscal windows, and that my 40% FY27-stall leg was too heavy. I re-opened the primary documents. Verified at source: Q3 FY26 revenue $29,591M, AI $16.7B, non-GAAP op income $20,095M, non-GAAP NI $16,372M, EPS $3.32 on 4,937M shares, FCF $13,665M, non-GAAP interest $703M, debt $59,419M, cash $23,975M, Q4 guide $34.8B / AI $21.7B / op margin ~66% [1]; 10-Q R54: $29,000M max undiscounted backstop (5-yr), $42,000M uncommitted convertible-note facility, $0 drawn [3]; R53: purchase commitments $52,674M FY27, $72,952M FY28 [4]; call: $115B FY27 supply secured, $230B FY28 line of sight, FY28 EPS 'exceed $30', 16% tax, GM ~73%, 4.94B shares, report date 2026-12-09, 6 XPU customers / 4 huge, Anthropic largest in 2027, Anthropic 5 GW (2027) + 10 GW (2028), OpenAI 1.3 GW / &gt;5 GW [5]; Q2 call: 'some diversity of sources' and GM 77.1% [6]; Macquarie 95/80/65% Google share and -21% FY28 EPS (sell-side estimates) [7]; FY27 consensus $19.39 [11]; Finviz peer P/Es [12]; 10y 5.31% [13]; house capex [14]. BofA's $370B is correctly quoted in the Investing.com article [8], but it is a sell-side model of a 20 GW build-out, not a disclosed exposure, so it stays out of every number (I agree with the supervisor here). Moody's and S&amp;P comments on contingent obligations come only via a Deep News recap [9]: context, not in numbers. Removed from all numbers and text: $161.2B, $60B/$100B financing, SemiAnalysis/BigGo, Forkast/Finimize, Trefis segment margin, MarketBeat insider-sale figure. Valuation: rebuilt FY28 bottom-up: AI $175B, revenue $231B, op margin 62% (GM extrapolated from the Q2-Q4 mix trend), EPS $23.94; the same build at $230B gives $29.7, matching management's &gt;$30, so the model is calibrated. The 10-Q commitments give an independent check: FY28 commitments are +38% on FY27, and on FY27's commitments/revenue ratio they imply ~$231B FY28 revenue, i.e. ~$175B AI, not $230B. Where I differ from the supervisor: I keep $175B (not $180B), because Google share erosion is on the record from the company itself [6], and the commitments cross-check lands at $175B. I keep 18x (not 19x), because horizon growth is half the peer median. My DCF uses 10.8% (not 10.5%) and a faster post-FY28 fade, so it comes out at $310 (supervisor $338). I replaced the stall leg with that DCF and moved the stall into the bear scenario. Fair value: 0.7 x 431.0 + 0.3 x 310.3 = $394.8. Scenarios 252/395/635 at 25/50/25 (mean ~$419). The ladder mixes three lognormals (sigma 0.32/0.28/0.30) around them: median $397.5 (reconciles with FV $394.8), mean ~$439, log-sd 0.44 (vs 47% realized), P(&gt;=377) 0.549, P(&lt;270) ~0.19. Base rates: a 47%-vol stock's one-year 1-sigma band is roughly $246-$632 around a $395 centre (395 x e^-0.47 to 395 x e^0.47), which the ladder spans. Sell-side targets are not used. Research limits: SEC refused a scripted fetch with a generic User-Agent, so filings were read with WebFetch; transcripts via Motley Fool.</t>
  </si>
  <si>
    <t xml:space="preserve">~13.9x FY27 consensus EPS ($19.39 [11]) and ~7% below the 52-week low of $289.96 (brief), a level set before the $115B/$230B AI targets existed. Trading there would most likely mean the market no longer believes the supply-secured ~$115B FY27 AI revenue [5]: a cut at the 2026-12-09 or March print, a lab customer deferring GW deployments, visible TPU share loss at Google beyond 'some diversity of sources' [6], a lease default that triggers the up-to-$29B backstop or a draw on the $42B note facility [3], or a 2027-28 capex cut toward the house low case [14]. It sits just above my bear-scenario value ($252), so a print there is closer to a broken thesis than to 47%-vol noise from a ~$395 centre.</t>
  </si>
  <si>
    <t xml:space="preserve">• FY28 AI revenue: $175B (my base) vs management's $230B line of sight; Google's sourcing diversity is the main swing
• Customer-financing exposure beyond the first tranche: verified $29B max backstop and $42B undrawn note facility; further tranches and residual value guarantees not sized
• Hyperscaler 2028 capex: house base +22% vs 2027, low case below 2027
• Gross-margin dilution from XPU/rack mix and how much opex leverage offsets it
• Where the market sets AVGO's multiple once growth decelerates after FY28
• VMware licensing backlash and EU antitrust exposure</t>
  </si>
  <si>
    <t xml:space="preserve">• fair value: 409.4 → 394.8 (Stall leg (FY27 EPS x 20x, 40%) dropped per supervisor feedback and replaced by a DCF at the verified 10y yield (5.31%); FY28 EPS rebuilt from verified Q3/Q4 figures (23.55 -&gt; 23.94).)
• a method: P/E on FY28 EPS: $423.9 (EPS $23.55 x 18x, weight 0.6) → $431.0 (EPS $23.94 x 18x, weight 0.7) (Op margin 61% -&gt; 62% via the verified GM/mix trend (unverified Trefis 62% segment margin removed); interest $2.5B -&gt; $2.4B from reported non-GAAP interest $703M/qtr net of implied other income; shares 4.937B -&gt; 4.94B guidance.)
• a method: stall P/E -&gt; DCF: $387.6 (FY27 EPS $19.38 x 20x, weight 0.4) → $310.3 DCF (weight 0.3) (Supervisor: the 40% stall leg paid a full multiple on stalled EPS and leaned on Macquarie's -21% (a sell-side estimate, not a fact). Stall now lives in the bear scenario; FCF conversion 0.83 from Q3 actual 0.835.)
• a scenario: bear: $255 (25%), story used BofA $370B RVG → $252 (25%) ($370B removed from numbers (sell-side model, unverified as exposure); bear rebuilt bottom-up (AI $115B, EPS $16.83 x 15x) with only the verified $29B backstop / $42B facility mentioned.)
• a scenario: base: $410 → $395 (Equals the recomputed fair value build.)
• a scenario: bull: $630 (EPS ~$29 x 22x) → $635 (EPS $30.23 x 21x) (Bottom-up EPS at $230B AI; multiple moved inside the corrected peer range below the 23.7x median.)
• P(close &gt;= K): K=377: 0.585; K=415: 0.49; K=264: 0.845; K=943: 0.015 → K=377: 0.549; K=415: 0.46; K=264: 0.823; K=943: 0.024 (Re-centred on the new FV ($395; ladder median $397.5, was ~$413) and widened sigmas so log-sd is 0.44 vs 47% realized vol.)
• P(close &gt;= K) 1-month: K=377.32: 0.495 → K=377.32: 0.488 (Earnings date verified as 2026-12-09 (outside window); +9.8% run from Oct 1 close verified on Twelve Data; tiny reversal tilt only.)
• thesis break: 280 → 270 (Re-anchored at ~13.9x verified FY27 consensus $19.39 and just above the rebuilt bear value ($252); triggers restated with verified 10-Q exposure.)
• a fact: Anthropic commitments to Broadcom: $161.2B → removed (Supervisor: no Anthropic S-1 is public on EDGAR; unverifiable.)
• a fact: customer-financing exposure: BofA peak RVG up to $370B; $42B 'loan' from press → $29B max undiscounted backstop + $42B uncommitted convertible-note facility, $0 drawn (10-Q R54) (Supervisor finding, re-verified at R54.)
• a fact: Tan quote on Google: 'Google is looking at other suppliers' (BigGo) → 'We fully expect that there will be some diversity of sources for them.' (Q2 FY26 call) (Supervisor finding, re-verified in the Q2 transcript.)
• a fact: Macquarie FY28 EPS cut: basis 'reported' → sell-side estimate (judgment input only) (Supervisor: a forecast, not a fact.)
• a fact: FY28 purchase commitments: not used → $52,674M FY27 / $72,952M FY28 (10-Q R53), used as cross-check for FY28 AI $175B (Supervisor key driver, re-verified at R53.)
• a fact: peer median forward P/E: 30.56x (StockAnalysis mixed NTM, incl. ARM/MU) → 23.7x (Finviz next fiscal year, 11 peers; ARM/MU dropped, CSCO/COHR added) (Supervisor comps_review; Finviz values re-checked 2026-10-06.)
• a fact: forward EV/EBITDA and growth column: trailing EV/EBITDA in ev_ebitda_fwd; growth = trailing/forward P/E - 1 → ev_ebitda_fwd null; growth = Finviz 'EPS next Y' (Supervisor: mislabelled fields.)
• a fact: sources removed: BigGo (x2), Forkast, Finimize, Yahoo circular-financing article, Trefis, MarketBeat insider figure, StockAnalysis pages → removed (Press recaps of unverified or discounted claims (source_review); no number depends on them now.)
• a fact: next earnings date: early-mid December → 2026-12-09 after close (Verified on the Q3 FY26 call.)</t>
  </si>
  <si>
    <t xml:space="preserve">ROUND 2. I re-verified every number I use at its primary source: the Q3 FY26 8-K [1], the 10-Q notes R17/R53/R54 [4][5][6], the call transcript [2], Yahoo consensus [7], the Finviz peer table [8], StockAnalysis beta/debt [9], Damodaran's Oct-1 implied ERP [10] and the Treasury curve [11]. Following the supervisor: (a) FCF conversion is 0.83 (9M FY26 $31,937M / $38,631M), not 0.95; (b) FY28 AI is rebuilt at $184B (20% timing haircut to $230B; 8.2% of house 2028 base capex; purchase commitments give a $159B floor-type anchor); (c) EPS is built by segment ($24.69) instead of a flat 51% net margin; (d) peers are on one next-FY basis (median 23.62x, 11 peers, ARM/MU dropped, CSCO/COHR added), forward EV/EBITDA nulled; (e) unverified claims are out of every number: the Anthropic $125.2B/$161.2B commitments, the $60B bank syndication, the Polymarket $1.8T IPO-cap market and the Macquarie/UBS TPU-share notes. Where I differ from the supervisor: I use a sourced CAPM discount rate (11.3%) rather than 10.5%, so my DCF is $291 not $338 and my FV $407 not $420; I keep it because each input is sourced and the gap is disclosed (at 10.5% my FV would be ~$418). VALUE: 0.65 x $469.1 + 0.35 x $291.3 = $406.9. SCENARIOS: bear $235 (22%), base $407 (50%), bull $528 (28%), mean $403.0. LADDER: a three-component lognormal mixture centred on those scenario values (as means) with within-scenario sigmas 0.34/0.28/0.34; mixture mean ~$403 (= scenario mean; FV within 1%), median ~$381, log-sd 0.43 vs 47% realized vol (slightly below because the scenario structure carries part of the dispersion). P(&gt;=377) = 0.51, P(&gt;=415) = 0.41, P(&gt;=660) = 0.07. LANE: Polymarket (IPO timing only), Hacker News engagement (low on financing stories; high on VMware customer friction, which kept my software estimate flat), Stocktwits 'bearish' retail sentiment, a Substack bull (Monte, $709 on 28.17x EV/aEBITDA, which itself expects the multiple to drift toward ~18x) and TrendForce's March report that Broadcom then guided 2027 AI to '&gt;$100B' (now ~$115B), all context only. The in-lane share is ~6 of 19 sources because the no-unverified-claims rule forces the valuation onto filings; I flag that rather than pad the list.</t>
  </si>
  <si>
    <t xml:space="preserve">$255 = 13.2x FY27 consensus EPS $19.39 [7] and 12% below the $289.96 52-week low; it matches the bear scenario's P/E price ($254). Trading there would mean the market no longer believes the supply-secured ~$115B FY27 AI revenue [2]: a cut at the 2026-12-09 or March print, a lab customer deferring GW deployments, a lease default triggering the up-to-$29B backstop [4][6], or a 2027-28 capex cut toward the house low case [12]. With 47% realized vol a move from $377 to $255 (-32%) is about a 1-sigma-ish annual move, so I would want it confirmed by a fundamental trigger rather than price alone.</t>
  </si>
  <si>
    <t xml:space="preserve">• FY28 AI revenue: $184B base vs management's $230B line of sight and ~$120B in a digestion case; deployment timing of shells/power, which Tan himself flagged [2].
• Customer-financing exposure beyond the first tranche: 10-Q shows ~$29B max backstop and a $42B undrawn note facility [4][6]; the XPV platform targets &gt;20 GW by end-2028 and management would not size further backstops [2].
• Semis margin dilution as XPU/memory content rises (Q4 gross margin ~73% vs 78% a year ago [2]); my 58% FY28 semis op margin could be off by +/-2pt (~+/-$0.8 EPS).
• Discount rate: a CAPM WACC of 11.3% (beta 1.48 [9], ERP 4.20% [10], 10y 5.31% [11]) puts the DCF ($291) far below the P/E leg ($469); at 10.5% the DCF is ~$324 and FV ~$418.
• AI capex cycle: house base $1,841B (2027) / $2,255B (2028), low $1,390B / $1,265B [12].</t>
  </si>
  <si>
    <t xml:space="preserve">• fair value: 461 → 407 (Supervisor: 0.95 FCF conversion unsupported (8-K gives 0.83) and FY28 AI $195B too high vs house capex; plus my own sourced CAPM WACC (11.3%) replacing an unsourced 10%.)
• a method: P/E: $468.3 = 18x x EPS $26.02 (AI $195B, 51% net margin), weight 0.60 → $469.1 = 19x x EPS $24.69 (AI $184B, segment margins), weight 0.65 (Supervisor FY28 AI/EPS finding; EPS rebuilt by segment from call/8-K margins; multiple moved to AVGO's own 19.46x, inside the corrected peer range (median 23.62x).)
• a method: DCF: $449.5 (0.95 conversion, 10% WACC, growth 18/12/8/5%), weight 0.40 → $291.3 (0.83 conversion, 11.3% WACC, growth 15/10/6/4%), weight 0.35 (Supervisor: conversion 0.834 from 8-K; WACC now built from Treasury 5.31%, beta 1.48 and Damodaran ERP 4.20%; slower fade consistent with FY28 AI $184B.)
• a fact: FY28 AI revenue base: $195B → $184B (Supervisor resolution ($180B on house capex share); my 20% timing haircut to $230B lands at $184B (8.2% share), close to but independent of the supervisor.)
• a scenario: bear $260 (25%), base $455 (50%), bull $620 (25%) → bear $235 (22%), base $407 (50%), bull $528 (28%) (Scenario prices now use the same 0.65 P/E / 0.35 DCF blend as the FV so they reconcile (mean $403.0 vs FV $407); Polymarket $1.8T IPO-cap removed from the bull; Macquarie share path removed from the bear; bull weighted above bear on verified beat history and purchase commitments.)
• P(close &gt;= K): K=377 0.58, 415 0.50, 660 0.15, 755 0.09, 943 0.033 → K=377 0.512, 415 0.413, 660 0.073, 755 0.036, 943 0.009 (Lower FV and scenario prices; ladder rebuilt as a mixture whose mean equals the FV (median ~$381); right tail trimmed per supervisor (round-1 tail was fattened by 0.95 conversion and $195B AI).)
• P(close &gt;= K) 1-month: median ~$379, P(&gt;=377.32) 0.513 → median $378.5, P(&gt;=377.32) 0.509 (Earnings date confirmed as 2026-12-09 (outside window); no in-window company event, so near-symmetric at 13.4% monthly sigma.)
• thesis break: 255 → 255 (Unchanged level; reason rewritten without the unverified $60B syndication and Macquarie TPU-share path, now tied to the 10-Q backstop and the bear P/E price ($254).)
• a fact: peer median forward P/E: 30.56x (StockAnalysis mixed NTM; ARM and MU included; trailing EV/EBITDA in the forward field) → 23.62x (Finviz next-FY, 11 peers: ARM/MU dropped, CSCO/COHR added; forward EV/EBITDA null) (Supervisor comps_review; re-fetched Finviz myself on 2026-10-06 (values match within intraday moves).)
• a fact: customer-financing exposure: 'up to $42B' loan from Reuters/press and $125.2B Anthropic lease total → $29B max undiscounted backstop + $42B undrawn convertible-note facility (10-Q R17/R54); $125.2B removed (Supervisor: Anthropic S-1 not public; verified the 10-Q pages directly.)
• a fact: catalysts: $60B financing syndication; 'December' earnings → syndication removed; Q4 FY26 on 2026-12-09 (Supervisor: $60B is single-source press; earnings date from the Q3 call (re-read in transcript).)
• a fact: net debt label: $35.44B 'reported' → $35.44B 'estimate' (carrying debt $59,419M - cash $23,975M) (Supervisor note on carrying vs principal; derived figure labelled estimate.)</t>
  </si>
  <si>
    <t xml:space="preserve">Supervisor findings verified at source and applied: 10y 5.31% not 5.19% [15]; Q4 report 2026-12-09 [2]; the $42B is a 10-Q convertible-note facility ($0 drawn) plus a $29B max backstop [4], not a press 'loan'; FY28 EPS rebuilt bottom-up. Fundamentals: Q3 FY26 revenue $29.6B, non-GAAP op margin 67.9%, FCF conversion 0.835 [1]; Q4 guide $34.8B at ~66% [1][2]; FY27 AI ~$115B secured, FY28 'line of sight' $230B, EPS '&gt;$30' [2]; FY27 consensus $19.39 [6]. FY28 AI = mean of three anchors ($140.9B constant capex share [20], $159.3B commitment ratio [3], $230B management [2]) = $177B -&gt; EPS $23.92. P/E at today's 19x (peers 23.66x median on one next-FY basis [8]) = $454.5; DCF at 12% (beta 1.48 [7], ERP 4.5% judgment) = $274.6; FV 0.6/0.4 = $382 (+1.2% vs spot). I disagree with the supervisor's 10.5% discount rate (its ~5.2pt premium is unsourced; the sourced 5Y beta gives ~12%), which is most of the gap to its $420. Scenarios 25/50/25 at $193/$382/$542 (mean $375). Base rates: AVGO's 117 rolling 12m returns since 2016 have median +38.8% and 12.0% negative [16], but that decade is survivor-biased toward a winner, so I use it only to keep the right tail open; realised vol 47% (24m monthly 47.5% [16]); Cisco 2000-01's ~80% fall [18] bounds the vendor-financing tail [19]. Prediction markets as context only: recession by end-2026 7.0% [10], Taiwan by end-2027 11.5% [13], 'AI bubble burst' by mid-2027 17.5% (thin) [11]. Ladder = 0.75 x scenario mixture (lognormal residuals 0.30/0.24/0.27 around $193/$382/$542) + 0.25 x lognormal(median $382.5, sigma 0.47); median ~$376, mean ~$397; overall log-sd ~0.46 matches realised vol. Ladder median ($376) ~ FV ($382) ~ scenario mean ($375). Research limits: sec.gov refused curl, so filings were read via WebFetch.</t>
  </si>
  <si>
    <t xml:space="preserve">13.7x FY27 consensus EPS ($19.39 [6]) and 8.6% below the 52-week low ($289.96 on 2026-03-30 [17]). Trading there would mean the market no longer believes the supply-secured ~$115B FY27 AI revenue [2]: a cut at the 2026-12-09 or March print, a lab customer deferring GW deployments, a lease default that triggers the up-to-$29B backstop [4], or a 2027-28 capex cut toward the house low case [20]. That is a fundamental break, not 47%-vol noise.</t>
  </si>
  <si>
    <t xml:space="preserve">• FY28 AI revenue: $141B (constant capex share) vs $159B (commitment ratio) vs $230B (management)
• Customer-financing exposure beyond the first tranche ($29B backstop + $42B facility verified; later tranches unsized)
• AI capex digestion in 2027-28 (house low case has 2028 below 2027)
• Long rates at 5.31% and a 1.48 beta weighing on the multiple
• Gross-margin dilution from rack/XPU mix (Q4 gross margin ~73% vs 78% a year ago)
• Taiwan risk (Polymarket 11.5% invasion by end-2027)</t>
  </si>
  <si>
    <t xml:space="preserve">• fair value: 432 → 382 (FY28 EPS rebuilt bottom-up ($27 -&gt; $23.92, supervisor feedback), P/E 18x -&gt; 19x on corrected peer basis, DCF discount 11% -&gt; 12% from the corrected 10y (5.31%) and a sourced beta (1.48) replacing my unsourced ~1.15.)
• a method: P/E: $486 = FY28 EPS $27 x 18x → $454.5 = FY28 EPS $23.92 x 19x (Supervisor: $27 implied ~$205B AI; rebuilt from three anchors (capex share, 10-Q purchase commitments, management) -&gt; $177B AI. Multiple raised to today's 19.46x because on a consistent next-FY basis +28-31% growers trade 21.8x-40.8x, so a further discount below today's is not supported.)
• a method: DCF: $351 (FCF/share $22.7, 11%) → $274.6 (FCF/share $19.97, 12%) (Lower FY28 EPS; FCF conversion 0.835 from exact 8-K figures; discount rate = 10y 5.31% (supervisor correction, verified) + beta 1.48 (Stock Analysis) x 4.5% ERP. I disagree with the supervisor's 10.5%: its ~5.2pt premium is unsourced.)
• a scenario: bear: $270 (EPS ~$21 x 13x) → $193 (AI $104.7B, EPS $15.76, blend of 14x P/E and DCF) (Bear now tied to the house low capex case (2028 below 2027) and priced with the same 0.6/0.4 blend as the fair value, so scenarios reconcile with FV.)
• a scenario: base: $455 (EPS $27 x 17x) → $382 (= fair value) (Bottom-up EPS and blended valuation; base now equals FV.)
• a scenario: bull: $640 (EPS &gt;$32 x 20x) → $542 (EPS $29.99, 22x P/E blended with DCF) (Bull = management's $230B, which gives ~$30 EPS on my margin build, not &gt;$32; blended like the other scenarios.)
• P(close &gt;= K): 377: 0.575; 453: 0.41; 566: 0.225; 660: 0.13; 943: 0.025 → 377: 0.498; 453: 0.321; 566: 0.152; 660: 0.079; 943: 0.011 (Ladder median moved from ~$410 to ~$376 to match the lower FV; tails rebuilt from the scenario mixture blended with a 47%-vol lognormal.)
• P(close &gt;= K) 1-month: 377.32: 0.505 → 377.32: 0.508 (Re-derived with the confirmed 2026-12-09 print date (outside the window); essentially unchanged.)
• thesis break: 265 (13.5x FY27 $19.38) → 265 (13.7x FY27 $19.39) (Level kept; consensus re-sourced to Yahoo ($19.39, 48 analysts) and backstop trigger now cited from the 10-Q.)
• a fact: 10-year Treasury: 5.19% → 5.31% (Supervisor: 5.19% was the 7-year column; verified on the Treasury par curve for 2026-10-05.)
• a fact: Q4 FY26 report date: mid-December → 2026-12-09 after the close (Supervisor finding; verified in the Q3 call transcript.)
• a fact: Anthropic financing: Broadcom to lend Anthropic up to $42B (Reuters/Yahoo) → $42B uncommitted convertible-note facility, $0 drawn, plus $29B max undiscounted backstop (10-Q R54) (Supervisor: press figure re-reported the 10-Q; verified at R54. Press source removed.)
• a fact: FY27 consensus EPS: $19.38 (24/7 Wall St) → $19.39 (Yahoo, 48 analysts) (Re-sourced at the consensus page itself.)
• a fact: rolling-return base rate: 118 rolling 12m returns → 117 rolling 12m returns (median +38.8%, 12.0% negative) (Recomputed from Twelve Data monthly closes; count corrected.)
• a fact: prediction markets: recession 7.5%; AI bubble by mid-2027 19.5% (vol $11k); Anthropic IPO by Dec-31 85.5% → 7.0%; 17.5% (vol $18.5k); 84.5% (Re-read 2026-10-06; supervisor: thin markets are context, not inputs (none enters a number).)
• comps: 12 peers incl. ARM, MU, TXN; StockAnalysis NTM 'Forward PE' median 30.5x; trailing EV/EBITDA in the forward field; 3-year EPS CAGR as growth → 11 peers (ARM, MU, TXN dropped; CSCO, COHR added) on Finviz next-FY P/E, median 23.66x; forward EV/EBITDA null; growth = Finviz 'EPS next Y' (Supervisor comps_review; every peer value re-read on the Finviz table.)
• a fact: sources removed: Yahoo/Reuters $42B article; 24/7 consensus article; StockAnalysis forecast; Q4 FY25 release date → removed (Superseded by primary filings or no longer used in any number.)</t>
  </si>
  <si>
    <t xml:space="preserve">AVGO supervisor</t>
  </si>
  <si>
    <t xml:space="preserve">Confidence: low. Build round 2026-10-29: the research target (12m) 516.69 rests on the lab GW haircuts (FY28 AI $195.5B vs the $230B line of sight) and the exit-rule P/E 20.95x; at AVGO's own 19.81x it is 488.51. Confidence stays low: two lab customers hold most of the FY28 GW and both depend on Broadcom-supported financing.</t>
  </si>
  <si>
    <t xml:space="preserve">Summary</t>
  </si>
  <si>
    <t xml:space="preserve">Research target (12m)</t>
  </si>
  <si>
    <t xml:space="preserve">Key drivers</t>
  </si>
  <si>
    <t xml:space="preserve">• AI semiconductor revenue (custom XPUs + AI networking): 2.016e+04 -&gt; 5.8e+04/1.15e+05/1.955e+05 (estimate; quarterly, sum)
• Custom XPU share of AI semiconductor revenue (rest = AI networking): 0.65 -&gt; 0.6947/0.7308/0.748 (estimate; quarterly, wmean:ai_rev)
• Custom XPU operating margin (non-GAAP, before SBC): 0.5317 -&gt; 0.587/0.5491/0.5287 (estimate; quarterly, wmean:ai_rev*xpu_share)
• Infrastructure software revenue (VMware and mainframe/enterprise software), driven by y/y growth: 2.703e+04 -&gt; 3.148e+04/3.602e+04/3.746e+04 (estimate; quarterly, sum)
• Customer-financing exposure backed by Broadcom (probability-weighted, utilised): 0 -&gt; 7.98e+04/9.45e+04/1.057e+05 (estimate; quarterly, end)
• Lifetime expected loss rate on Broadcom-backed customer financing: 0.04321 -&gt; 0.04321/0.04321/0.04321 (estimate; quarterly, mean)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</si>
  <si>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</si>
  <si>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</si>
  <si>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</si>
  <si>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</si>
  <si>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</si>
  <si>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Quarterly driver set (build)</t>
  </si>
  <si>
    <t xml:space="preserve">line-item set, research target (12m) 490.99</t>
  </si>
  <si>
    <t xml:space="preserve">quarterly driver set, exit P/E 21.9x (8 AI peers) then own 19.81x: research target (12m) 488.51</t>
  </si>
  <si>
    <t xml:space="preserve">2026-10-29 build: see model.reasoning and update.json what_changed.</t>
  </si>
  <si>
    <t xml:space="preserve">Exit P/E</t>
  </si>
  <si>
    <t xml:space="preserve">21.9x (exit rule)</t>
  </si>
  <si>
    <t xml:space="preserve">19.81x (own)</t>
  </si>
  <si>
    <t xml:space="preserve">Kilian 2026-10-30 17:18Z: growth peers skew the median</t>
  </si>
  <si>
    <t xml:space="preserve">Citation audit (2026-10-29)</t>
  </si>
  <si>
    <t xml:space="preserve">{'item': 'revenue Q1 FY2025: first guide (2024-12-12) / reported actual', 'from': 'actual cited only to the guide release', 'to': 'actual cited to avgo-02022025 release', 'source': 'https://www.sec.gov/Archives/edgar/data/1730168/000173016824000125/avgo-11032024x8kxex99.htm'}</t>
  </si>
  <si>
    <t xml:space="preserve">{'item': 'non-GAAP operating margin Q1 FY2025: first guide (2024-12-12) / reported actual', 'from': 'non-GAAP operating margin label on an EBITDA actual', 'to': 'adj. EBITDA guide vs adj. EBITDA actual (same basis)', 'source': 'https://www.sec.gov/Archives/edgar/data/1730168/000173016824000125/avgo-11032024x8kxex99.htm'}</t>
  </si>
  <si>
    <t xml:space="preserve">{'item': 'revenue Q2 FY2025: first guide (2025-03-06) / reported actual', 'from': 'actual cited only to the guide release', 'to': 'actual cited to avgo-05042025 release', 'source': 'https://www.sec.gov/Archives/edgar/data/1730168/000173016825000009/avgo-02022025x8kxex99.htm'}</t>
  </si>
  <si>
    <t xml:space="preserve">{'item': 'AI semiconductor revenue Q2 FY2025: first guide (2025-03-06) / reported actual', 'from': 'actual cited only to the guide release', 'to': 'actual cited to avgo-05042025 release', 'source': 'https://www.sec.gov/Archives/edgar/data/1730168/000173016825000009/avgo-02022025x8kxex99.htm'}</t>
  </si>
  <si>
    <t xml:space="preserve">{'item': 'non-GAAP operating margin Q2 FY2025: first guide (2025-03-06) / reported actual', 'from': 'non-GAAP operating margin label on an EBITDA actual', 'to': 'adj. EBITDA guide vs adj. EBITDA actual (same basis)', 'source': 'https://www.sec.gov/Archives/edgar/data/1730168/000173016825000009/avgo-02022025x8kxex99.htm'}</t>
  </si>
  <si>
    <t xml:space="preserve">{'item': 'revenue Q3 FY2025: first guide (2025-06-05) / reported actual', 'from': 'actual cited only to the guide release', 'to': 'actual cited to avgo-08032025 release', 'source': 'https://www.sec.gov/Archives/edgar/data/1730168/000173016825000061/avgo-05042025x8kxex99.htm'}</t>
  </si>
  <si>
    <t xml:space="preserve">{'item': 'AI semiconductor revenue Q3 FY2025: first guide (2025-06-05) / reported actual', 'from': 'actual cited only to the guide release', 'to': 'actual cited to avgo-08032025 release', 'source': 'https://www.sec.gov/Archives/edgar/data/1730168/000173016825000061/avgo-05042025x8kxex99.htm'}</t>
  </si>
  <si>
    <t xml:space="preserve">{'item': 'non-GAAP operating margin Q3 FY2025: first guide (2025-06-05) / reported actual', 'from': 'non-GAAP operating margin label on an EBITDA actual', 'to': 'adj. EBITDA guide vs adj. EBITDA actual (same basis)', 'source': 'https://www.sec.gov/Archives/edgar/data/1730168/000173016825000061/avgo-05042025x8kxex99.htm'}</t>
  </si>
  <si>
    <t xml:space="preserve">{'item': 'revenue Q4 FY2025: first guide (2025-09-04) / reported actual', 'from': 'actual cited only to the guide release', 'to': 'actual cited to avgo-11022025 release', 'source': 'https://www.sec.gov/Archives/edgar/data/1730168/000173016825000094/avgo-08032025x8kxex99.htm'}</t>
  </si>
  <si>
    <t xml:space="preserve">{'item': 'AI semiconductor revenue Q4 FY2025: first guide (2025-09-04) / reported actual', 'from': '6,460 unsourced', 'to': "6,460 derived (actual_basis 'derived')", 'source': 'https://www.sec.gov/Archives/edgar/data/1730168/000173016825000094/avgo-08032025x8kxex99.htm'}</t>
  </si>
  <si>
    <t xml:space="preserve">{'item': 'non-GAAP operating margin Q4 FY2025: first guide (2025-09-04) / reported actual', 'from': 'non-GAAP operating margin label on an EBITDA actual', 'to': 'adj. EBITDA guide vs adj. EBITDA actual (same basis)', 'source': 'https://www.sec.gov/Archives/edgar/data/1730168/000173016825000094/avgo-08032025x8kxex99.htm'}</t>
  </si>
  <si>
    <t xml:space="preserve">{'item': 'revenue Q1 FY2026: first guide (2025-12-11) / reported actual', 'from': 'actual cited only to the guide release', 'to': 'actual cited to avgo-02012026 release', 'source': 'https://www.sec.gov/Archives/edgar/data/1730168/000173016825000116/avgo-11022025x8kxex99.htm'}</t>
  </si>
  <si>
    <t xml:space="preserve">{'item': 'AI semiconductor revenue Q1 FY2026: first guide (2025-12-11) / reported actual', 'from': 'actual cited only to the guide release', 'to': 'actual cited to avgo-02012026 release', 'source': 'https://www.sec.gov/Archives/edgar/data/1730168/000173016825000116/avgo-11022025x8kxex99.htm'}</t>
  </si>
  <si>
    <t xml:space="preserve">{'item': 'non-GAAP operating margin Q1 FY2026: first guide (2025-12-11) / reported actual', 'from': 'non-GAAP operating margin label on an EBITDA actual', 'to': 'adj. EBITDA guide vs adj. EBITDA actual (same basis)', 'source': 'https://www.sec.gov/Archives/edgar/data/1730168/000173016825000116/avgo-11022025x8kxex99.htm'}</t>
  </si>
  <si>
    <t xml:space="preserve">{'item': 'revenue Q2 FY2026: first guide (2026-03-04) / reported actual', 'from': 'actual cited only to the guide release', 'to': 'actual cited to avgo-05032026 release', 'source': 'https://www.sec.gov/Archives/edgar/data/1730168/000173016826000011/avgo-02012026x8kxex99.htm'}</t>
  </si>
  <si>
    <t xml:space="preserve">{'item': 'AI semiconductor revenue Q2 FY2026: first guide (2026-03-04) / reported actual', 'from': 'actual cited only to the guide release', 'to': 'actual cited to avgo-05032026 release', 'source': 'https://www.sec.gov/Archives/edgar/data/1730168/000173016826000011/avgo-02012026x8kxex99.htm'}</t>
  </si>
  <si>
    <t xml:space="preserve">{'item': 'non-GAAP operating margin Q2 FY2026: first guide (2026-03-04) / reported actual', 'from': 'non-GAAP operating margin label on an EBITDA actual', 'to': 'adj. EBITDA guide vs adj. EBITDA actual (same basis)', 'source': 'https://www.sec.gov/Archives/edgar/data/1730168/000173016826000011/avgo-02012026x8kxex99.htm'}</t>
  </si>
  <si>
    <t xml:space="preserve">{'item': 'revenue Q3 FY2026: first guide (2026-06-03) / reported actual', 'from': 'actual cited only to the guide release', 'to': 'actual cited to avgo-08022026 release', 'source': 'https://www.sec.gov/Archives/edgar/data/1730168/000173016826000051/avgo-05032026x8kxex99.htm'}</t>
  </si>
  <si>
    <t xml:space="preserve">{'item': 'AI semiconductor revenue Q3 FY2026: first guide (2026-06-03) / reported actual', 'from': 'actual cited only to the guide release', 'to': 'actual cited to avgo-08022026 release', 'source': 'https://www.sec.gov/Archives/edgar/data/1730168/000173016826000051/avgo-05032026x8kxex99.htm'}</t>
  </si>
  <si>
    <t xml:space="preserve">{'item': 'non-GAAP operating margin Q3 FY2026: first guide (2026-06-03) / reported actual', 'from': 'actual cited only to the guide release', 'to': 'actual cited to avgo-08022026 release', 'source': 'https://www.sec.gov/Archives/edgar/data/1730168/000173016826000051/avgo-05032026x8kxex99.htm'}</t>
  </si>
  <si>
    <t xml:space="preserve">{'item': 'fair_value.reason prose figures (FV $400, 19x x FY28 EPS $24.06, 0.65 P/E / 0.35 DCF at 11.5%, FY28 AI $180B, scenarios $228/$400/$529)', 'from': '$400 / 19x / 0.65-0.35 DCF / $180B body', 'to': 'current-set reason', 'source': 'supervisor.json sources'}</t>
  </si>
  <si>
    <t xml:space="preserve">{'item': 'Finviz forward P/Es (NVDA 15.29, QCOM 17.81, TSM 21.81, ADI 25.21, ANET 40.88, AMD 41.0, MRVL 41.96, ALAB 59.27; CSCO 20.89, COHR 23.62, CRDO 22.84)', 'from': 'Finviz peer P/Es', 'to': 'removed; Zacks-basis comps_summary', 'source': 'https://finviz.com/screener.ashx?v=121&amp;t=AVGO,NVDA,AMD,MRVL,TSM,ANET,ALAB,CRDO,QCOM,COHR,CSCO,ADI,ARM,MU'}</t>
  </si>
  <si>
    <t xml:space="preserve">{'item': 'peer median forward P/E 25.8x (CY2027) and AVGO 19.46x / horizon 19x', 'from': '25.8x mixed basis', 'to': '26.18x single basis', 'source': 'https://finviz.com/screener.ashx?v=121&amp;t=AVGO,NVDA,AMD,MRVL,TSM,ANET,ALAB,CRDO,QCOM,COHR,CSCO,ADI,ARM,MU'}</t>
  </si>
  <si>
    <t xml:space="preserve">{'item': 'AVGO price $377.32 (used for 19.46x and FV gap)', 'from': '377.32', 'to': '345.00', 'source': '/mnt/project-files/valuation/data/daily_AVGO.csv'}</t>
  </si>
  <si>
    <t xml:space="preserve">{'item': 'TSMC Q3 2026 conference Thu 2026-10-15, quiet period Oct 5-14', 'from': 'TSMC 2026-10-15 claim', 'to': 'removed', 'source': 'https://investor.tsmc.com/english/quarterly-results'}</t>
  </si>
  <si>
    <t xml:space="preserve">{'item': 'Tan: land/power/shell, not chips, limit deployment (FY28 Anthropic haircut)', 'from': "'not chips'", 'to': 'constraints include silicon, substrates, HBM, lasers', 'source': 'https://www.webull.com/news/15511095937917952'}</t>
  </si>
  <si>
    <t xml:space="preserve">{'item': 'CISPE complaint 2026-03-19, VCSP termination, &gt;1,000% cost increases, interim measures and fines; General Court challenge', 'from': 'General Court challenge', 'to': 'removed', 'source': 'https://www.cispe.cloud/?p=25724'}</t>
  </si>
  <si>
    <t xml:space="preserve">{'item': "Oct 27 Backstop customer = Anthropic (Oct 26 release 'as reported')", 'from': 'customer = Anthropic (as reported)', 'to': 'inferred, flagged', 'source': 'supervisor.json sources'}</t>
  </si>
  <si>
    <t xml:space="preserve">{'item': "Non-AI Q3 FY26 '$4.1B vs ~$4.2B indication'", 'from': '$4.1B', 'to': '$4.2B', 'source': 'https://www.webull.com/news/15511095937917952 ; https://www.fool.com/earnings/call-transcripts/2026/09/09/broadcom-avgo-q3-2026-earnings-call-transcript/'}</t>
  </si>
  <si>
    <t xml:space="preserve">{'item': 'non-GAAP operating margin Q4 FY2026 guidance arithmetic', 'from': 'median 0.0091, adj 0.6691, gap 0.005', 'to': 'median 0.0136, adj 0.669, gap 0.0076', 'source': 'supervisor.json sources'}</t>
  </si>
  <si>
    <t xml:space="preserve">{'item': 'non-GAAP operating margin guidance series basis', 'from': 'mixed metrics under one label', 'to': 'basis per period', 'source': 'https://www.sec.gov/Archives/edgar/data/1730168/000173016826000076/avgo-08022026x8kxex99.htm'}</t>
  </si>
  <si>
    <t xml:space="preserve">{'item': 'AI semiconductor revenue FY2028 guidance arithmetic', 'from': '230000', 'to': '235060', 'source': 'supervisor.json sources'}</t>
  </si>
  <si>
    <t xml:space="preserve">{'item': 'Oct 27 Anthropic SPV Backstop $43,000M, 0.70, LGD 35%, p 1', 'from': 'no confidence', 'to': 'confidence medium', 'source': 'supervisor.json sources'}</t>
  </si>
  <si>
    <t xml:space="preserve">{'item': 'driver:ai_rev quarters and year sums (20160/58000/115000/195500; q/q steps; 21.7/3.36 = 6.46; 21.7 x 1.018 = 22.1)', 'from': 'no confidence', 'to': 'confidence medium', 'source': 'supervisor.json sources'}</t>
  </si>
  <si>
    <t xml:space="preserve">{'item': 'driver:ai_margin (actual quarters 0.6238/0.645/0.6284; wmeans 0.5976/0.6276/0.5902/0.5746; Q4 FY26 ~61.2%)', 'from': '~61.2% / ~62.5%', 'to': '61.5% / ~62.9%', 'source': 'supervisor.json sources'}</t>
  </si>
  <si>
    <t xml:space="preserve">{'item': 'driver:non_ai_rev (16698/16763/17716/18247; 4.3 x 4 x 1.03)', 'from': 'id 66, no confidence', 'to': 'ids 37, 38; confidence medium', 'source': 'supervisor.json sources'}</t>
  </si>
  <si>
    <t xml:space="preserve">{'item': 'driver:sw_rev (27029/31476/36018/37459; 8.7 x 4 x 1.035; +1.1%/q)', 'from': 'ids 66, 37; no confidence', 'to': 'ids 37, 38; confidence medium', 'source': 'supervisor.json sources'}</t>
  </si>
  <si>
    <t xml:space="preserve">{'item': 'constant nonai_margin 55% (judgment carried)', 'from': 'no confidence', 'to': 'confidence low', 'source': 'supervisor.json sources'}</t>
  </si>
  <si>
    <t xml:space="preserve">{'item': 'constant sbc forecast (TTM $8.6B; 18,221 ~2.1 years; FY27 9.0B, FY28 9.8B)', 'from': '$8.6B', 'to': '$8.48B', 'source': 'supervisor.json sources'}</t>
  </si>
  <si>
    <t xml:space="preserve">{'item': 'SBC basis (Zacks 3.03 vs non-GAAP 3.32 / GAAP 2.68)', 'from': 'no confidence', 'to': 'confidence high', 'source': 'supervisor.json sources'}</t>
  </si>
  <si>
    <t xml:space="preserve">{'item': 'Shareholder returns FY26 12,400 / FY27 14,330 / FY28 15,420', 'from': '12,400', 'to': '12,420', 'source': 'supervisor.json sources'}</t>
  </si>
  <si>
    <t xml:space="preserve">{'item': 'Diluted shares 4,940M flat', 'from': 'no confidence', 'to': 'confidence medium', 'source': 'supervisor.json sources'}</t>
  </si>
  <si>
    <t xml:space="preserve">{'item': 'Horizon P/E 20.95x (12 P/Es, median 26.18, 26.18 x (19.81/26.18)^0.8)', 'from': 'no confidence', 'to': 'confidence medium', 'source': 'supervisor.json sources'}</t>
  </si>
  <si>
    <t xml:space="preserve">{'item': 'one_month_reasoning / confidence_reason / feedback_for_agents (Oct 6 prose: TSMC date, $400, 25.8x)', 'from': 'current keys', 'to': 'moved to base_round_2026_10_06; current text rewritten; ladders flagged as carried from 2026-10-06', 'source': 'gate 2026-10-30'}</t>
  </si>
  <si>
    <t xml:space="preserve">{'item': 'horizon P/E peer set', 'frm': '11 peers, median 26.18x, exit 20.95x', 'to': '8 peers, median 32.73x, exit 21.9x', 'source': 'comps_summary rows (each verified by the gate); arithmetic recomputed 2026-10-30 after Kilian questioned QCOM/ADI/TXN'}</t>
  </si>
  <si>
    <t xml:space="preserve">AVGO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</si>
  <si>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</si>
  <si>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</si>
  <si>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</si>
  <si>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</si>
  <si>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</si>
  <si>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</si>
  <si>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agent_1</t>
  </si>
  <si>
    <t xml:space="preserve">Broadcom Q3 FY2026 earnings press release (8-K Exhibit 99.1)</t>
  </si>
  <si>
    <t xml:space="preserve">2026-09-02</t>
  </si>
  <si>
    <t xml:space="preserve">https://www.sec.gov/Archives/edgar/data/1730168/000173016826000076/avgo-08022026x8kxex99.htm</t>
  </si>
  <si>
    <t xml:space="preserve">A1.2</t>
  </si>
  <si>
    <t xml:space="preserve">Broadcom Form 10-Q for quarter ended 2026-08-02 (RPO $179.2B, ~25% in 12 months; $10.1B buyback remaining; debt principal $61,079M)</t>
  </si>
  <si>
    <t xml:space="preserve">2026-09-10</t>
  </si>
  <si>
    <t xml:space="preserve">https://www.sec.gov/Archives/edgar/data/1730168/000173016826000080/avgo-20260802.htm</t>
  </si>
  <si>
    <t xml:space="preserve">A1.3</t>
  </si>
  <si>
    <t xml:space="preserve">Broadcom 10-Q R17: Commitments and Contingencies (Backstop ~$29B max undiscounted; $42B convertible-note facility, none issued)</t>
  </si>
  <si>
    <t xml:space="preserve">https://www.sec.gov/Archives/edgar/data/1730168/000173016826000080/R17.htm</t>
  </si>
  <si>
    <t xml:space="preserve">A1.4</t>
  </si>
  <si>
    <t xml:space="preserve">Broadcom 10-Q R53: purchase commitments by fiscal year ($52,674M FY27; $72,952M FY28)</t>
  </si>
  <si>
    <t xml:space="preserve">https://www.sec.gov/Archives/edgar/data/1730168/000173016826000080/R53.htm</t>
  </si>
  <si>
    <t xml:space="preserve">A1.5</t>
  </si>
  <si>
    <t xml:space="preserve">Broadcom 10-Q R54: Guarantor obligations maximum exposure undiscounted $29,000M; convertible note facility $42,000M, $0 drawn; 5-year term</t>
  </si>
  <si>
    <t xml:space="preserve">https://www.sec.gov/Archives/edgar/data/1730168/000173016826000080/R54.htm</t>
  </si>
  <si>
    <t xml:space="preserve">A1.6</t>
  </si>
  <si>
    <t xml:space="preserve">Broadcom Q3 FY2026 earnings call transcript (Benzinga, via Webull)</t>
  </si>
  <si>
    <t xml:space="preserve">https://www.webull.com/news/15511095937917952</t>
  </si>
  <si>
    <t xml:space="preserve">A1.7</t>
  </si>
  <si>
    <t xml:space="preserve">Broadcom Form 10-Q for quarter ended 2026-05-03 (RPO $164.6B incl. new long-term custom-accelerator contract)</t>
  </si>
  <si>
    <t xml:space="preserve">2026-06-09</t>
  </si>
  <si>
    <t xml:space="preserve">https://www.sec.gov/Archives/edgar/data/1730168/000173016826000054/avgo-20260503.htm</t>
  </si>
  <si>
    <t xml:space="preserve">A1.8</t>
  </si>
  <si>
    <t xml:space="preserve">Broadcom Q2 FY2026 earnings press release (8-K Exhibit 99.1)</t>
  </si>
  <si>
    <t xml:space="preserve">2026-06-03</t>
  </si>
  <si>
    <t xml:space="preserve">https://www.sec.gov/Archives/edgar/data/1730168/000173016826000051/avgo-05032026x8kxex99.htm</t>
  </si>
  <si>
    <t xml:space="preserve">A1.9</t>
  </si>
  <si>
    <t xml:space="preserve">Broadcom Q1 FY2026 earnings press release (8-K Exhibit 99.1)</t>
  </si>
  <si>
    <t xml:space="preserve">2026-03-04</t>
  </si>
  <si>
    <t xml:space="preserve">https://www.sec.gov/Archives/edgar/data/1730168/000173016826000011/avgo-02012026x8kxex99.htm</t>
  </si>
  <si>
    <t xml:space="preserve">A1.10</t>
  </si>
  <si>
    <t xml:space="preserve">Broadcom Q2 FY2026 earnings call transcript (Motley Fool)</t>
  </si>
  <si>
    <t xml:space="preserve">https://www.fool.com/earnings/call-transcripts/2026/06/03/broadcom-avgo-q2-2026-earnings-transcript/</t>
  </si>
  <si>
    <t xml:space="preserve">A1.11</t>
  </si>
  <si>
    <t xml:space="preserve">Broadcom 2026 proxy statement (DEF 14A), 2025 Tan PSU Award AI-revenue tiers</t>
  </si>
  <si>
    <t xml:space="preserve">2026-03-02</t>
  </si>
  <si>
    <t xml:space="preserve">https://www.sec.gov/Archives/edgar/data/1730168/000119312526085691/d49254ddef14a.htm</t>
  </si>
  <si>
    <t xml:space="preserve">A1.12</t>
  </si>
  <si>
    <t xml:space="preserve">Broadcom, Apollo and Blackstone establish AI XPV Platform (joint press release)</t>
  </si>
  <si>
    <t xml:space="preserve">https://ir.apollo.com/news-events/press-releases/detail/630/broadcom-apollo-and-blackstone-establish-landmark</t>
  </si>
  <si>
    <t xml:space="preserve">A1.13</t>
  </si>
  <si>
    <t xml:space="preserve">US Treasury daily par yield curve rates, October 2026 (10-year 5.31% on 2026-10-05)</t>
  </si>
  <si>
    <t xml:space="preserve">2026-10-05</t>
  </si>
  <si>
    <t xml:space="preserve">https://home.treasury.gov/resource-center/data-chart-center/interest-rates/TextView?type=daily_treasury_yield_curve&amp;field_tdr_date_value_month=202610</t>
  </si>
  <si>
    <t xml:space="preserve">A1.14</t>
  </si>
  <si>
    <t xml:space="preserve">Yahoo Finance AVGO analyst estimates (FY27 EPS $19.39, 48 analysts; FY27 revenue $173.93B)</t>
  </si>
  <si>
    <t xml:space="preserve">2026-10-06</t>
  </si>
  <si>
    <t xml:space="preserve">https://finance.yahoo.com/quote/AVGO/analysis/</t>
  </si>
  <si>
    <t xml:space="preserve">A1.15</t>
  </si>
  <si>
    <t xml:space="preserve">Finviz screener valuation table: AVGO and peers (Forward P/E on next fiscal year, EPS Next Y, change %)</t>
  </si>
  <si>
    <t xml:space="preserve">https://finviz.com/screener.ashx?v=121&amp;t=AVGO,NVDA,AMD,MRVL,TSM,ANET,ALAB,CRDO,QCOM,COHR,CSCO,ADI,ARM,MU</t>
  </si>
  <si>
    <t xml:space="preserve">A1.16</t>
  </si>
  <si>
    <t xml:space="preserve">Internal standing view: AI data-center capex across NVIDIA customer groups 2026-2028</t>
  </si>
  <si>
    <t xml:space="preserve">/mnt/project-files/adhoc/nvda_customer_capex.md</t>
  </si>
  <si>
    <t xml:space="preserve">A1.17</t>
  </si>
  <si>
    <t xml:space="preserve">SEC EDGAR submissions feed for Broadcom (CIK 1730168): latest filings</t>
  </si>
  <si>
    <t xml:space="preserve">https://data.sec.gov/submissions/CIK0001730168.json</t>
  </si>
  <si>
    <t xml:space="preserve">A1.18</t>
  </si>
  <si>
    <t xml:space="preserve">Broadcom 424B3 prospectus: exchange offer for $654M 4.926% Senior Notes due 2037 (expires 2026-10-19)</t>
  </si>
  <si>
    <t xml:space="preserve">2026-09-18</t>
  </si>
  <si>
    <t xml:space="preserve">https://www.sec.gov/Archives/edgar/data/1730168/000119312526395593/d154803d424b3.htm</t>
  </si>
  <si>
    <t xml:space="preserve">A1.19</t>
  </si>
  <si>
    <t xml:space="preserve">AVGO 3Q26 call AI summary (Platform Aeronaut) - second check of $115B / $230B guidance</t>
  </si>
  <si>
    <t xml:space="preserve">https://transcripts.platformaeronaut.com/summaries/AVGO-3Q26-AI-Summary</t>
  </si>
  <si>
    <t xml:space="preserve">A2.1</t>
  </si>
  <si>
    <t xml:space="preserve">agent_2</t>
  </si>
  <si>
    <t xml:space="preserve">Broadcom Q3 FY26 results press release (8-K Ex.99.1): revenue $29,591M, non-GAAP op income $20,095M, non-GAAP GM $22,191M, non-GAAP NI $16,372M, EPS $3.32, 4,937M diluted shares, FCF $13,665M, interest expense $778M, other income $98M, debt $2,252M + $57,167M, cash $23,975M, Q4 guide ~$34.8B rev / ~66% op margin</t>
  </si>
  <si>
    <t xml:space="preserve">https://www.sec.gov/Archives/edgar/data/0001730168/000173016826000076/avgo-08022026x8kxex99.htm</t>
  </si>
  <si>
    <t xml:space="preserve">A2.2</t>
  </si>
  <si>
    <t xml:space="preserve">Broadcom Q3 FY26 earnings call transcript (Webull): FY27 AI ~$115B supply secured; FY28 line of sight $230B; FY28 EPS to exceed $30; Q4 guide AI $21.7B, non-AI ~$4.3B, software ~$8.7B, GM ~73%, op margin ~66%, tax ~16%, ~4.94B shares; Anthropic +5 GW 2027 / +10 GW 2028; OpenAI 1.3 GW 2027 / &gt;5 GW 2028; six XPU customers; Q4 report Wed 2026-12-09</t>
  </si>
  <si>
    <t xml:space="preserve">A2.3</t>
  </si>
  <si>
    <t xml:space="preserve">Broadcom 10-Q (quarter to 2026-08-02) R54: guarantor obligations max exposure undiscounted $29,000M, 5-yr term, 85% guarantee; uncommitted convertible note facility $42,000M, $0 drawn</t>
  </si>
  <si>
    <t xml:space="preserve">A2.4</t>
  </si>
  <si>
    <t xml:space="preserve">Broadcom 10-Q (quarter to 2026-08-02) R53: purchase commitments FY27 $52,674M, FY28 $72,952M, total $126,821M</t>
  </si>
  <si>
    <t xml:space="preserve">A2.5</t>
  </si>
  <si>
    <t xml:space="preserve">Broadcom 10-Q (quarter to 2026-05-03) R52: purchase commitments FY27 $55,214M, FY28 $72,870M, total $128,110M</t>
  </si>
  <si>
    <t xml:space="preserve">https://www.sec.gov/Archives/edgar/data/1730168/000173016826000054/R52.htm</t>
  </si>
  <si>
    <t xml:space="preserve">A2.6</t>
  </si>
  <si>
    <t xml:space="preserve">Yahoo Finance AVGO analysis: FY27 (next year) EPS consensus $19.39 (48 analysts, low $17.47, high $22.44); FY27 revenue $173.93B</t>
  </si>
  <si>
    <t xml:space="preserve">A2.7</t>
  </si>
  <si>
    <t xml:space="preserve">Finviz screener valuation table (Fwd P/E on next fiscal year EPS; EPS next Y growth) for AVGO and 11 peers</t>
  </si>
  <si>
    <t xml:space="preserve">https://finviz.com/screener.ashx?v=121&amp;t=AVGO,NVDA,AMD,MRVL,TSM,ANET,ALAB,CRDO,QCOM,COHR,CSCO,ADI</t>
  </si>
  <si>
    <t xml:space="preserve">A2.8</t>
  </si>
  <si>
    <t xml:space="preserve">StockAnalysis CSCO forecast: FY27 (to Jul-2027) EPS $5.15, FY28 $5.62</t>
  </si>
  <si>
    <t xml:space="preserve">https://stockanalysis.com/stocks/csco/forecast/</t>
  </si>
  <si>
    <t xml:space="preserve">A2.9</t>
  </si>
  <si>
    <t xml:space="preserve">StockAnalysis COHR forecast: FY27 (to Jun-2027) EPS $9.42</t>
  </si>
  <si>
    <t xml:space="preserve">https://stockanalysis.com/stocks/cohr/forecast/</t>
  </si>
  <si>
    <t xml:space="preserve">A2.10</t>
  </si>
  <si>
    <t xml:space="preserve">StockAnalysis CRDO forecast: FY27 (to Apr-2027) EPS $6.31, FY28 $9.69</t>
  </si>
  <si>
    <t xml:space="preserve">https://stockanalysis.com/stocks/crdo/forecast/</t>
  </si>
  <si>
    <t xml:space="preserve">A2.11</t>
  </si>
  <si>
    <t xml:space="preserve">House view: AI data-center capex across NVIDIA's customer groups 2026-2028 (ex-China total: 2027 low/base/high 1,390/1,841/2,434; 2028 1,265/2,255/3,160)</t>
  </si>
  <si>
    <t xml:space="preserve">file:///mnt/project-files/adhoc/nvda_customer_capex.md</t>
  </si>
  <si>
    <t xml:space="preserve">A2.12</t>
  </si>
  <si>
    <t xml:space="preserve">US Treasury daily par yield curve rates, 2026 (CSV): 10-yr 5.31% on 2026-10-05</t>
  </si>
  <si>
    <t xml:space="preserve">https://home.treasury.gov/resource-center/data-chart-center/interest-rates/daily-treasury-rates.csv/2026/all?type=daily_treasury_yield_curve&amp;field_tdr_date_value=2026&amp;page&amp;_format=csv</t>
  </si>
  <si>
    <t xml:space="preserve">A2.13</t>
  </si>
  <si>
    <t xml:space="preserve">TSMC Q2 2026 earnings call transcript (Webull): 2026 revenue growth 'slightly above 40%'; 'packaging capacity is so tight that now it's limiting my customers' growth'</t>
  </si>
  <si>
    <t xml:space="preserve">2026-07-16</t>
  </si>
  <si>
    <t xml:space="preserve">https://www.webull.com/news/15239831945503744</t>
  </si>
  <si>
    <t xml:space="preserve">A2.14</t>
  </si>
  <si>
    <t xml:space="preserve">TSMC investor relations, quarterly results: Q3 2026 earnings conference Thu 2026-10-15, quiet period Oct 5-14</t>
  </si>
  <si>
    <t xml:space="preserve">https://investor.tsmc.com/english/quarterly-results</t>
  </si>
  <si>
    <t xml:space="preserve">A2.15</t>
  </si>
  <si>
    <t xml:space="preserve">Investing.com: Marvell Technology stock rallies following ambitious investor day targets (~$20B FY28 revenue, $70-90B FY31, $400B 2030 TAM; shares +7.5%)</t>
  </si>
  <si>
    <t xml:space="preserve">https://www.investing.com/news/stock-market-news/marvell-technology-stock-rallies-following-ambitious-investor-day-targets-4934767</t>
  </si>
  <si>
    <t xml:space="preserve">A2.16</t>
  </si>
  <si>
    <t xml:space="preserve">Marvell IR press releases (Aug 3, 2026: announces Investor Day on October 6, 2026; no target release posted)</t>
  </si>
  <si>
    <t xml:space="preserve">https://investor.marvell.com/news-events/press-releases</t>
  </si>
  <si>
    <t xml:space="preserve">A2.17</t>
  </si>
  <si>
    <t xml:space="preserve">NVIDIA Q2 FY2027 results release: revenue $96.2B (+106% y/y), Data Center $89.0B (+117% y/y), Q3 outlook $108.0B</t>
  </si>
  <si>
    <t xml:space="preserve">2026-08-26</t>
  </si>
  <si>
    <t xml:space="preserve">https://nvidianews.nvidia.com/news/nvidia-announces-financial-results-for-second-quarter-fiscal-2027</t>
  </si>
  <si>
    <t xml:space="preserve">A2.18</t>
  </si>
  <si>
    <t xml:space="preserve">W.Media: AI infrastructure demand pushes Alphabet's 2026 capex guidance to US$205 billion (raised to $195-205B from $180-190B on the Q2 2026 call)</t>
  </si>
  <si>
    <t xml:space="preserve">2026-07-23</t>
  </si>
  <si>
    <t xml:space="preserve">https://w.media/ai-infrastructure-demand-pushes-alphabets-2026-capex-guidance-to-us-205-billion/</t>
  </si>
  <si>
    <t xml:space="preserve">A3.1</t>
  </si>
  <si>
    <t xml:space="preserve">agent_3</t>
  </si>
  <si>
    <t xml:space="preserve">Broadcom Q3 FY2026 results press release (8-K Ex.99.1)</t>
  </si>
  <si>
    <t xml:space="preserve">A3.2</t>
  </si>
  <si>
    <t xml:space="preserve">Broadcom Form 10-Q, quarter ended 2026-08-02 (main document)</t>
  </si>
  <si>
    <t xml:space="preserve">A3.3</t>
  </si>
  <si>
    <t xml:space="preserve">Broadcom 10-Q R54: Guarantor Obligations, Maximum Exposure, Undiscounted $29,000M; 5-year term; Uncommitted Convertible Note Facility $42,000M, $0 drawn</t>
  </si>
  <si>
    <t xml:space="preserve">A3.4</t>
  </si>
  <si>
    <t xml:space="preserve">A3.5</t>
  </si>
  <si>
    <t xml:space="preserve">Broadcom (AVGO) Q3 2026 earnings call transcript (Motley Fool)</t>
  </si>
  <si>
    <t xml:space="preserve">https://www.fool.com/earnings/call-transcripts/2026/09/09/broadcom-avgo-q3-2026-earnings-call-transcript/</t>
  </si>
  <si>
    <t xml:space="preserve">A3.6</t>
  </si>
  <si>
    <t xml:space="preserve">Broadcom (AVGO) Q2 2026 earnings call transcript (Motley Fool)</t>
  </si>
  <si>
    <t xml:space="preserve">https://fool.com/earnings/call-transcripts/2026/06/03/broadcom-avgo-q2-2026-earnings-transcript/</t>
  </si>
  <si>
    <t xml:space="preserve">A3.7</t>
  </si>
  <si>
    <t xml:space="preserve">Broadcom downgraded by Macquarie to Neutral, PT $437, as Google moves to reduce reliance on chip supplier (Investing.com)</t>
  </si>
  <si>
    <t xml:space="preserve">2026-06-04</t>
  </si>
  <si>
    <t xml:space="preserve">https://www.investing.com/news/stock-market-news/broadcom-downgraded-as-google-moves-to-reduce-reliance-on-chip-supplier-4726762</t>
  </si>
  <si>
    <t xml:space="preserve">A3.8</t>
  </si>
  <si>
    <t xml:space="preserve">Broadcom credit rating cut to Marketweight on XPV concerns (BofA credit research via Investing.com)</t>
  </si>
  <si>
    <t xml:space="preserve">2026-08-11</t>
  </si>
  <si>
    <t xml:space="preserve">https://www.investing.com/news/stock-market-news/broadcom-credit-rating-cut-to-marketweight-on-xpv-concerns-93CH-4850949</t>
  </si>
  <si>
    <t xml:space="preserve">A3.9</t>
  </si>
  <si>
    <t xml:space="preserve">Broadcom explores record $100 billion off-balance-sheet financing as CDS hits all-time high (Deep News via Tiger Brokers)</t>
  </si>
  <si>
    <t xml:space="preserve">2026-08-21</t>
  </si>
  <si>
    <t xml:space="preserve">https://www.itiger.com/news/1104289347</t>
  </si>
  <si>
    <t xml:space="preserve">A3.10</t>
  </si>
  <si>
    <t xml:space="preserve">EU complaint over VMware licensing puts Broadcom's software strategy under scrutiny (Simply Wall St; CISPE complaint to the European Commission)</t>
  </si>
  <si>
    <t xml:space="preserve">2026-03-21</t>
  </si>
  <si>
    <t xml:space="preserve">https://simplywall.st/stocks/us/semiconductors/nasdaq-avgo/broadcom/news/eu-complaint-over-vmware-licensing-puts-broadcoms-software-s</t>
  </si>
  <si>
    <t xml:space="preserve">A3.11</t>
  </si>
  <si>
    <t xml:space="preserve">Yahoo Finance AVGO analysis: FY2027 EPS estimate $19.39 (48 analysts; low $17.47, high $22.44), FY2026 $11.66, FY2027 revenue $173.93B</t>
  </si>
  <si>
    <t xml:space="preserve">A3.12</t>
  </si>
  <si>
    <t xml:space="preserve">Finviz screener valuation table: next-fiscal-year forward P/E and 'EPS next Y' growth for AVGO and peers</t>
  </si>
  <si>
    <t xml:space="preserve">https://finviz.com/screener.ashx?v=121&amp;t=AVGO,NVDA,AMD,MRVL,TSM,ANET,ALAB,CRDO,QCOM,ARM,MU,COHR,CSCO,ADI,TXN,KLAC</t>
  </si>
  <si>
    <t xml:space="preserve">A3.13</t>
  </si>
  <si>
    <t xml:space="preserve">US Treasury daily par yield curve, October 2026 (10-year 5.31% on 2026-10-05)</t>
  </si>
  <si>
    <t xml:space="preserve">A3.14</t>
  </si>
  <si>
    <t xml:space="preserve">AI data-center capex across NVIDIA's customer groups 2026-2028 (standing house view)</t>
  </si>
  <si>
    <t xml:space="preserve">A3.15</t>
  </si>
  <si>
    <t xml:space="preserve">Twelve Data AVGO daily OHLCV, 2026-09-23 to 2026-10-06 (API time_series)</t>
  </si>
  <si>
    <t xml:space="preserve">https://twelvedata.com (API: time_series AVGO 1day)</t>
  </si>
  <si>
    <t xml:space="preserve">A4.1</t>
  </si>
  <si>
    <t xml:space="preserve">agent_4</t>
  </si>
  <si>
    <t xml:space="preserve">Broadcom Q3 FY2026 results press release (8-K Ex.99.1): revenue $29,591M, non-GAAP NI $16,372M, non-GAAP EPS $3.32, FCF $13,665M (9M: $31,937M FCF, $38,631M non-GAAP NI), non-GAAP diluted shares 4,937M, cash $23,975M, short-term debt $2,252M, long-term debt $57,167M, non-GAAP interest expense $703M, other income $98M</t>
  </si>
  <si>
    <t xml:space="preserve">A4.2</t>
  </si>
  <si>
    <t xml:space="preserve">Broadcom Q3 FY2026 earnings call transcript (FY27 AI ~$115B supply secured; FY28 line of sight $230B; FY28 EPS 'exceed $30'; Q4 guide non-AI $4.3B, software ~$8.7B, op margin ~66%, tax ~16%, 4.94B shares; semis op margin 61%, software ~84%; Q4 FY26 report Wed 2026-12-09; XPV &gt;20 GW by end-2028)</t>
  </si>
  <si>
    <t xml:space="preserve">https://transcripts.platformaeronaut.com/transcripts/AVGO-3Q26-transcript</t>
  </si>
  <si>
    <t xml:space="preserve">A4.3</t>
  </si>
  <si>
    <t xml:space="preserve">Broadcom 10-Q, quarter ended 2026-08-02 (main document)</t>
  </si>
  <si>
    <t xml:space="preserve">A4.4</t>
  </si>
  <si>
    <t xml:space="preserve">Broadcom 10-Q R17, Commitments and Contingencies: Backstop max potential liability ~$29B undiscounted (5-yr lease, 85% of amounts owed less rack value); customer may issue up to $42B convertible notes, none issued</t>
  </si>
  <si>
    <t xml:space="preserve">A4.5</t>
  </si>
  <si>
    <t xml:space="preserve">Broadcom 10-Q R53: purchase commitments FY2027 $52,674M, FY2028 $72,952M (total $126,821M)</t>
  </si>
  <si>
    <t xml:space="preserve">A4.6</t>
  </si>
  <si>
    <t xml:space="preserve">Broadcom 10-Q R54: Guarantor obligations max exposure undiscounted $29,000M; uncommitted convertible note facility $42,000M, drawn $0; term 5 years</t>
  </si>
  <si>
    <t xml:space="preserve">A4.7</t>
  </si>
  <si>
    <t xml:space="preserve">Yahoo Finance AVGO analysis: FY2027 (Next Year) EPS $19.39 avg (48 analysts; 30 days ago $19.57; 27 down / 12 up revisions in 30 days), revenue $173.93B (49 analysts); last 4 quarters EPS beats (+4.38%, +1.32%, +1.74%, +2.53%)</t>
  </si>
  <si>
    <t xml:space="preserve">A4.8</t>
  </si>
  <si>
    <t xml:space="preserve">Finviz screener valuation table (Forward P/E on next-fiscal-year EPS, EPS Next Y growth) for AVGO and peers, 2026-10-06 intraday</t>
  </si>
  <si>
    <t xml:space="preserve">A4.9</t>
  </si>
  <si>
    <t xml:space="preserve">StockAnalysis AVGO statistics (Beta 5Y 1.48; market cap $1.81T; total debt $59.42B; cash $23.98B; forward PE 20.92)</t>
  </si>
  <si>
    <t xml:space="preserve">https://stockanalysis.com/stocks/avgo/statistics/</t>
  </si>
  <si>
    <t xml:space="preserve">A4.10</t>
  </si>
  <si>
    <t xml:space="preserve">Damodaran Online home page: Implied ERP on October 1, 2026 = 4.20% (trailing 12m, adjusted payout)</t>
  </si>
  <si>
    <t xml:space="preserve">2026-10-01</t>
  </si>
  <si>
    <t xml:space="preserve">https://pages.stern.nyu.edu/~adamodar/</t>
  </si>
  <si>
    <t xml:space="preserve">A4.11</t>
  </si>
  <si>
    <t xml:space="preserve">US Treasury daily par yield curve 2026 (CSV): 10/05/2026 10-yr 5.31%</t>
  </si>
  <si>
    <t xml:space="preserve">A4.12</t>
  </si>
  <si>
    <t xml:space="preserve">House standing view: AI data-center capex across customer groups 2026-2028 (ex-China base $1,841B 2027, $2,255B 2028; low $1,390B/$1,265B; high $2,434B/$3,160B)</t>
  </si>
  <si>
    <t xml:space="preserve">A4.13</t>
  </si>
  <si>
    <t xml:space="preserve">Polymarket 'Anthropic IPO by ...?' via gamma API (by Oct 31 1.4%, by Nov 15 13%, by Nov 30 65.5%, by Dec 31 84.5%; event volume ~$4.44M)</t>
  </si>
  <si>
    <t xml:space="preserve">https://gamma-api.polymarket.com/events?slug=anthropic-ipo-by</t>
  </si>
  <si>
    <t xml:space="preserve">A4.14</t>
  </si>
  <si>
    <t xml:space="preserve">Polymarket 'In which month will Anthropic IPO?' via gamma API (Oct 1.85%, Nov 64.8%, Dec 19.4%; event volume ~$346K)</t>
  </si>
  <si>
    <t xml:space="preserve">https://gamma-api.polymarket.com/events?slug=in-which-month-will-anthropic-ipo</t>
  </si>
  <si>
    <t xml:space="preserve">A4.15</t>
  </si>
  <si>
    <t xml:space="preserve">Hacker News (Algolia API) Broadcom stories: 'Leaving VMware just got harder after Broadcom pulled VDDK downloads' 2026-09-07, 270 points/158 comments; '$60B chip deal' 2026-10-05, 4 points; '$42B lend' 2026-10-01, 7 points; 'The Haters Guide to Broadcom' 2026-09-20, 4 points</t>
  </si>
  <si>
    <t xml:space="preserve">https://hn.algolia.com/api/v1/search_by_date?query=Broadcom&amp;tags=story&amp;hitsPerPage=15</t>
  </si>
  <si>
    <t xml:space="preserve">A4.16</t>
  </si>
  <si>
    <t xml:space="preserve">Stocktwits: retail sentiment on AVGO in 'bearish' territory (2026-10-02, 08:00 ET)</t>
  </si>
  <si>
    <t xml:space="preserve">2026-10-03</t>
  </si>
  <si>
    <t xml:space="preserve">https://stocktwits.com/news-articles/markets/equity/broadcom-reportedly-lines-up-60-b-ai-chip-financing-as-anthropic-expands-compute/cZDjajBRBK3</t>
  </si>
  <si>
    <t xml:space="preserve">A4.17</t>
  </si>
  <si>
    <t xml:space="preserve">Monte Investments (Substack): Broadcom Q3'26 update, Strong Buy, $709 target on 28.17x eFY27 EV/aEBITDA; expects multiple to gravitate toward ~18x over time</t>
  </si>
  <si>
    <t xml:space="preserve">2026-09-17</t>
  </si>
  <si>
    <t xml:space="preserve">https://monteinvestments.substack.com/p/broadcom-avgo-q3-2026-earnings-xpu-six-hyperscalers-strong-buy</t>
  </si>
  <si>
    <t xml:space="preserve">A4.18</t>
  </si>
  <si>
    <t xml:space="preserve">TrendForce (citing Reuters on the Mar-4 call): Broadcom projected AI chip revenue 'could exceed $100 billion in 2027'</t>
  </si>
  <si>
    <t xml:space="preserve">2026-03-05</t>
  </si>
  <si>
    <t xml:space="preserve">https://www.trendforce.com/news/2026/03/05/news-broadcom-reportedly-eyes-100b-ai-chip-revenue-in-2027-backed-by-six-key-clients-including-google-meta/</t>
  </si>
  <si>
    <t xml:space="preserve">A4.19</t>
  </si>
  <si>
    <t xml:space="preserve">AVGO daily prices (local data file): close $343.64 on 2026-10-01, $355.14 on 2026-10-02</t>
  </si>
  <si>
    <t xml:space="preserve">2026-10-02</t>
  </si>
  <si>
    <t xml:space="preserve">/mnt/project-files/valuation/data/daily_AVGO.csv</t>
  </si>
  <si>
    <t xml:space="preserve">A5.1</t>
  </si>
  <si>
    <t xml:space="preserve">agent_5</t>
  </si>
  <si>
    <t xml:space="preserve">Broadcom Q3 FY26 results press release (8-K Ex.99.1), quarter ended 2026-08-02: revenue $29,591M, non-GAAP operating income $20,095M, non-GAAP net income $16,372M, FCF $13,665M, non-GAAP diluted shares 4,937M, non-GAAP interest expense $703M; Q4 guide revenue ~$34.8B, AI $21.7B, non-GAAP operating margin ~66%</t>
  </si>
  <si>
    <t xml:space="preserve">A5.2</t>
  </si>
  <si>
    <t xml:space="preserve">Broadcom Q3 FY26 earnings call transcript (Q4 non-AI semis ~$4.3B, software ~$8.7B, tax ~16%, 4.94B shares; FY27 AI ~$115B supply secured; FY28 line of sight $230B; FY28 EPS 'exceed $30'; Q4 report Wed 2026-12-09; Anthropic +5 GW 2027 / +10 GW 2028; OpenAI 1.3 GW 2027)</t>
  </si>
  <si>
    <t xml:space="preserve">A5.3</t>
  </si>
  <si>
    <t xml:space="preserve">Broadcom 10-Q (quarter to 2026-08-02) R53: purchase commitments by fiscal year ($52,674M due 2027, $72,952M due 2028, total $126,821M)</t>
  </si>
  <si>
    <t xml:space="preserve">A5.4</t>
  </si>
  <si>
    <t xml:space="preserve">Broadcom 10-Q (quarter to 2026-08-02) R54: guarantor obligations maximum exposure undiscounted $29,000M, 5-year term, 85%; uncommitted convertible note facility available to customer $42,000M, $0 drawn</t>
  </si>
  <si>
    <t xml:space="preserve">A5.5</t>
  </si>
  <si>
    <t xml:space="preserve">Broadcom 10-Q (quarter to 2025-08-03) R59: purchase commitments total $235M a year earlier (history check: no comparable prior-year base for the FY27/FY28 commitment ramp)</t>
  </si>
  <si>
    <t xml:space="preserve">2025-09-10</t>
  </si>
  <si>
    <t xml:space="preserve">https://www.sec.gov/Archives/edgar/data/1730168/000173016825000098/R59.htm</t>
  </si>
  <si>
    <t xml:space="preserve">A5.6</t>
  </si>
  <si>
    <t xml:space="preserve">Yahoo Finance AVGO analysis: FY27 (Oct-2027) EPS consensus $19.39 (48 analysts; 60 days ago $19.56), revenue $173.93B; FY26 EPS $11.66</t>
  </si>
  <si>
    <t xml:space="preserve">A5.7</t>
  </si>
  <si>
    <t xml:space="preserve">Stock Analysis AVGO statistics (beta 5Y 1.48; cash $23.98B, total debt $59.42B, net debt $35.44B)</t>
  </si>
  <si>
    <t xml:space="preserve">A5.8</t>
  </si>
  <si>
    <t xml:space="preserve">Finviz screener valuation table, next-fiscal-year Fwd P/E and 'EPS next Y' growth for AVGO and peers (intraday 2026-10-06; AVGO 19.62x at $378.65)</t>
  </si>
  <si>
    <t xml:space="preserve">A5.9</t>
  </si>
  <si>
    <t xml:space="preserve">Marvell Rallies 6% as Investor Day Presses the Custom AI Silicon Case; Broadcom Advances 4% (24/7 Wall St.)</t>
  </si>
  <si>
    <t xml:space="preserve">https://247wallst.com/investing/2026/10/06/marvell-rallies-6-as-investor-day-presses-the-custom-ai-silicon-case-broadcom-advances-4/</t>
  </si>
  <si>
    <t xml:space="preserve">A5.10</t>
  </si>
  <si>
    <t xml:space="preserve">Polymarket: US recession by end of 2026? (Yes 7.0%, vol $2.27M, read 2026-10-06)</t>
  </si>
  <si>
    <t xml:space="preserve">https://gamma-api.polymarket.com/events?slug=us-recession-by-end-of-2026</t>
  </si>
  <si>
    <t xml:space="preserve">A5.11</t>
  </si>
  <si>
    <t xml:space="preserve">Polymarket: AI bubble burst by...? (in 2026: 6.15%, vol $2.43M; by 2027-06-30: 17.5%, vol $18.5k, thin; read 2026-10-06)</t>
  </si>
  <si>
    <t xml:space="preserve">https://gamma-api.polymarket.com/events?slug=ai-bubble-burst-by</t>
  </si>
  <si>
    <t xml:space="preserve">A5.12</t>
  </si>
  <si>
    <t xml:space="preserve">Polymarket: Anthropic IPO by __? (by 2026-10-31 1.4%, vol $1.15M; by 2026-11-15 13%, vol $116k; by 2026-11-30 65.5%, vol $234k; by 2026-12-31 84.5%, vol $1.03M; read 2026-10-06)</t>
  </si>
  <si>
    <t xml:space="preserve">A5.13</t>
  </si>
  <si>
    <t xml:space="preserve">Polymarket: Will China invade Taiwan by December 31, 2027? (11.5%, vol $3.38M, read 2026-10-06)</t>
  </si>
  <si>
    <t xml:space="preserve">https://gamma-api.polymarket.com/events?slug=will-china-invade-taiwan-by-december-31-2027</t>
  </si>
  <si>
    <t xml:space="preserve">A5.14</t>
  </si>
  <si>
    <t xml:space="preserve">Polymarket: Fed rate cut by...? (Oct-2026 meeting 0.5%, vol $211.5k; Dec-2026 3.35%, vol $399k; later meetings thin; read 2026-10-06)</t>
  </si>
  <si>
    <t xml:space="preserve">https://gamma-api.polymarket.com/events?slug=fed-rate-cut-by-629</t>
  </si>
  <si>
    <t xml:space="preserve">A5.15</t>
  </si>
  <si>
    <t xml:space="preserve">US Treasury Daily Par Yield Curve Rates, October 2026 (10/05: 2y 4.84%, 7y 5.19%, 10y 5.31%)</t>
  </si>
  <si>
    <t xml:space="preserve">A5.16</t>
  </si>
  <si>
    <t xml:space="preserve">Twelve Data AVGO monthly closes 2016-01 to 2026-10 (split-adjusted); own computation: 117 rolling 12m returns, median +38.8%, 12.0% negative, worst -21.2%; annualised vol 31.9% (10y) and 47.5% (last 24m)</t>
  </si>
  <si>
    <t xml:space="preserve">https://api.twelvedata.com/time_series?symbol=AVGO&amp;interval=1month&amp;outputsize=130</t>
  </si>
  <si>
    <t xml:space="preserve">A5.17</t>
  </si>
  <si>
    <t xml:space="preserve">Twelve Data AVGO daily OHLC 2025-07 to 2026-10 (Oct 1 close 343.64, Oct 5 close 362.51; 52-week low 289.96 on 2026-03-30; post-earnings closes 2025-12-11-&gt;12 406.37-&gt;359.93, 2026-06-03-&gt;04 479.23-&gt;418.91, 2026-09-02-&gt;03 367.24-&gt;357.16)</t>
  </si>
  <si>
    <t xml:space="preserve">https://api.twelvedata.com/time_series?symbol=AVGO&amp;interval=1day&amp;outputsize=300</t>
  </si>
  <si>
    <t xml:space="preserve">A5.18</t>
  </si>
  <si>
    <t xml:space="preserve">Twelve Data CSCO monthly closes 1999-09 to 2002-10 (vendor-financing analog: Mar-2000 close 77.31 -&gt; Mar-2001 15.81, -79.5%; Sep-2000 55.25 -&gt; Sep-2001 12.18, -78.0%)</t>
  </si>
  <si>
    <t xml:space="preserve">https://api.twelvedata.com/time_series?symbol=CSCO&amp;interval=1month&amp;start_date=1999-09-01&amp;end_date=2002-10-31</t>
  </si>
  <si>
    <t xml:space="preserve">A5.19</t>
  </si>
  <si>
    <t xml:space="preserve">Circular AI Deals Reminiscent of Disastrous Dot.Com Vendor Financing of the 1990s (Economist Writing Every Day)</t>
  </si>
  <si>
    <t xml:space="preserve">2025-10-14</t>
  </si>
  <si>
    <t xml:space="preserve">https://economistwritingeveryday.com/tag/circular/</t>
  </si>
  <si>
    <t xml:space="preserve">A5.20</t>
  </si>
  <si>
    <t xml:space="preserve">House AI capex view (nvda_customer_capex.md): ex-China customer AI capex base 2027 $1,841B / 2028 $2,255B; low 2027 $1,390B / 2028 $1,265B; high 2028 $3,160B; 2024-26 revisions all up, Meta 2023 -23%</t>
  </si>
  <si>
    <t xml:space="preserve">S.1</t>
  </si>
  <si>
    <t xml:space="preserve">supervisor</t>
  </si>
  <si>
    <t xml:space="preserve">US Treasury daily par yield curve CSV 2026 (10/05/2026: 10 Yr 5.31, 3 Mo 4.22)</t>
  </si>
  <si>
    <t xml:space="preserve">S.2</t>
  </si>
  <si>
    <t xml:space="preserve">Damodaran Online: implied ERP on October 1, 2026 = 4.20% (trailing 12m, adjusted payout); T-bond 5.29%</t>
  </si>
  <si>
    <t xml:space="preserve">https://pages.stern.nyu.edu/~adamodar/New_Home_Page/home.htm</t>
  </si>
  <si>
    <t xml:space="preserve">S.3</t>
  </si>
  <si>
    <t xml:space="preserve">StockAnalysis AVGO statistics (Beta 5Y 1.48; total debt $59.42B; cash $23.98B; EV/EBITDA 33.79)</t>
  </si>
  <si>
    <t xml:space="preserve">S.4</t>
  </si>
  <si>
    <t xml:space="preserve">Finviz screener valuation table (Forward P/E, EPS next Y) for AVGO and peers</t>
  </si>
  <si>
    <t xml:space="preserve">S.5</t>
  </si>
  <si>
    <t xml:space="preserve">StockAnalysis CSCO forecast (FY27 to Jul-2027 EPS 5.15)</t>
  </si>
  <si>
    <t xml:space="preserve">S.6</t>
  </si>
  <si>
    <t xml:space="preserve">StockAnalysis COHR forecast (FY27 to Jun-2027 EPS 9.42)</t>
  </si>
  <si>
    <t xml:space="preserve">S.7</t>
  </si>
  <si>
    <t xml:space="preserve">StockAnalysis CRDO forecast (FY27 to Apr-2027 EPS 6.31)</t>
  </si>
  <si>
    <t xml:space="preserve">S.8</t>
  </si>
  <si>
    <t xml:space="preserve">Broadcom 10-Q (quarter to 2026-08-02) R17: Backstop ~$29B max undiscounted, 85%, 5-year leases; $42B convertible-note facility, none issued</t>
  </si>
  <si>
    <t xml:space="preserve">S.9</t>
  </si>
  <si>
    <t xml:space="preserve">Broadcom 10-Q R53: purchase commitments FY27 $52,674M, FY28 $72,952M, total $126,821M</t>
  </si>
  <si>
    <t xml:space="preserve">S.10</t>
  </si>
  <si>
    <t xml:space="preserve">Broadcom 10-Q R54: guarantor maximum exposure $29,000M; note facility $42,000M; drawn $0; 5-year term</t>
  </si>
  <si>
    <t xml:space="preserve">S.11</t>
  </si>
  <si>
    <t xml:space="preserve">Broadcom 10-Q main document: RPO ~$179.2B (~25% in 12 months); $10.1B buyback remaining; debt principal $61,079M</t>
  </si>
  <si>
    <t xml:space="preserve">S.12</t>
  </si>
  <si>
    <t xml:space="preserve">Broadcom 10-Q (quarter to 2026-05-03) R52: purchase commitments FY27 $55,214M, FY28 $72,870M</t>
  </si>
  <si>
    <t xml:space="preserve">period ended 2026-05-03</t>
  </si>
  <si>
    <t xml:space="preserve">S.13</t>
  </si>
  <si>
    <t xml:space="preserve">Broadcom 10-Q (quarter to 2025-08-03) R59: purchase commitments total $235M</t>
  </si>
  <si>
    <t xml:space="preserve">period ended 2025-08-03</t>
  </si>
  <si>
    <t xml:space="preserve">S.14</t>
  </si>
  <si>
    <t xml:space="preserve">Broadcom Q3 FY26 press release (8-K Ex.99.1): revenue $29,591M, non-GAAP op income $20,095M, non-GAAP interest $703M, other income $98M, non-GAAP NI $16,372M, FCF $13,665M; 9M FCF $31,937M, NI $38,631M</t>
  </si>
  <si>
    <t xml:space="preserve">S.15</t>
  </si>
  <si>
    <t xml:space="preserve">Broadcom Q2 FY26 press release (8-K Ex.99.1): revenue $22,187M, non-GAAP gross margin $17,109M</t>
  </si>
  <si>
    <t xml:space="preserve">S.16</t>
  </si>
  <si>
    <t xml:space="preserve">Broadcom Q3 FY26 earnings call transcript (Benzinga via Webull)</t>
  </si>
  <si>
    <t xml:space="preserve">S.17</t>
  </si>
  <si>
    <t xml:space="preserve">Broadcom Q3 FY26 earnings call transcript (Motley Fool)</t>
  </si>
  <si>
    <t xml:space="preserve">S.18</t>
  </si>
  <si>
    <t xml:space="preserve">Yahoo Finance AVGO analysis (FY27 EPS $19.39, 48 analysts; earnings history)</t>
  </si>
  <si>
    <t xml:space="preserve">S.19</t>
  </si>
  <si>
    <t xml:space="preserve">TSMC IR quarterly results: Q3 2026 conference Thu 2026-10-15</t>
  </si>
  <si>
    <t xml:space="preserve">S.20</t>
  </si>
  <si>
    <t xml:space="preserve">House view: AI data-center capex across NVIDIA customer groups 2026-2028</t>
  </si>
  <si>
    <t xml:space="preserve">S.21</t>
  </si>
  <si>
    <t xml:space="preserve">AVGO daily OHLCV (52-week low 289.96 intraday / 293.41 close on 2026-03-30; 1-year realized vol 47.0%)</t>
  </si>
  <si>
    <t xml:space="preserve">S.22</t>
  </si>
  <si>
    <t xml:space="preserve">S.23</t>
  </si>
  <si>
    <t xml:space="preserve">S.24</t>
  </si>
  <si>
    <t xml:space="preserve">S.25</t>
  </si>
  <si>
    <t xml:space="preserve">S.26</t>
  </si>
  <si>
    <t xml:space="preserve">S.27</t>
  </si>
  <si>
    <t xml:space="preserve">S.28</t>
  </si>
  <si>
    <t xml:space="preserve">S.29</t>
  </si>
  <si>
    <t xml:space="preserve">S.30</t>
  </si>
  <si>
    <t xml:space="preserve">S.31</t>
  </si>
  <si>
    <t xml:space="preserve">S.32</t>
  </si>
  <si>
    <t xml:space="preserve">S.33</t>
  </si>
  <si>
    <t xml:space="preserve">S.34</t>
  </si>
  <si>
    <t xml:space="preserve">S.35</t>
  </si>
  <si>
    <t xml:space="preserve">S.36</t>
  </si>
  <si>
    <t xml:space="preserve">S.37</t>
  </si>
  <si>
    <t xml:space="preserve">S.38</t>
  </si>
  <si>
    <t xml:space="preserve">S.39</t>
  </si>
  <si>
    <t xml:space="preserve">S.40</t>
  </si>
  <si>
    <t xml:space="preserve">S.41</t>
  </si>
  <si>
    <t xml:space="preserve">S.42</t>
  </si>
  <si>
    <t xml:space="preserve">S.43</t>
  </si>
  <si>
    <t xml:space="preserve">Broadcom 10-Q (quarter to 2026-08-02) R52: segment net revenue and operating income (Semiconductor solutions 20,839 / 12,770; Infrastructure software 8,752 / 7,325; 9M 48,363 / 29,554 and 22,726 / 18,295)</t>
  </si>
  <si>
    <t xml:space="preserve">https://www.sec.gov/Archives/edgar/data/1730168/000173016826000080/R52.htm</t>
  </si>
  <si>
    <t xml:space="preserve">S.44</t>
  </si>
  <si>
    <t xml:space="preserve">Reuters via The Star: Broadcom to lend Anthropic up to $42B (convertible notes) to lease its chips; ~a third of a $125.2B five-year TPU lease commitment; no notes before the IPO</t>
  </si>
  <si>
    <t xml:space="preserve">https://www.thestar.com.my/tech/tech-news/2026/10/01/exclusive-broadcom-to-lend-anthropic-up-to-42-billion-to-lease-its-chips-filing-says</t>
  </si>
  <si>
    <t xml:space="preserve">S.45</t>
  </si>
  <si>
    <t xml:space="preserve">Yahoo Finance (TIKR): Broadcom arranging &gt;$50B so OpenAI can buy its chips (WSJ); FT: Anthropic package $42B senior backed by Broadcom + $18B junior without its guarantee; OpenAI $18B financing snag in May (The Information); $35B XPV tranche in June</t>
  </si>
  <si>
    <t xml:space="preserve">2026-10-08</t>
  </si>
  <si>
    <t xml:space="preserve">https://finance.yahoo.com/technology/ai/articles/broadcom-arranging-50-billion-openai-060941579.html</t>
  </si>
  <si>
    <t xml:space="preserve">S.46</t>
  </si>
  <si>
    <t xml:space="preserve">Yahoo Finance (Quartz): Broadcom raises $60B in debt to fund Anthropic AI chips: $42B Class A senior-secured, $18B Class B junior led by Blackstone ($9B own capital)</t>
  </si>
  <si>
    <t xml:space="preserve">https://finance.yahoo.com/technology/ai/articles/broadcom-raises-60-billion-debt-113047288.html</t>
  </si>
  <si>
    <t xml:space="preserve">S.47</t>
  </si>
  <si>
    <t xml:space="preserve">StreetSignal: Broadcom's most important earnings-call exchanges (Rasgon: '$11 and $12 billion per gigawatt', ~10 GW in 2027 and ~20 GW in 2028; Tan: content $20-30B per GW, ~$350B over FY27-FY28)</t>
  </si>
  <si>
    <t xml:space="preserve">https://streetsignal.substack.com/p/streetsignals-five-broadcoms-most</t>
  </si>
  <si>
    <t xml:space="preserve">S.48</t>
  </si>
  <si>
    <t xml:space="preserve">Yahoo Finance: Anthropic deal with Google and Broadcom (~3.5 GW of TPU capacity from 2027); Mizuho puts Broadcom AI revenue from Anthropic at $21B (2026) and $42B (2027)</t>
  </si>
  <si>
    <t xml:space="preserve">2026-04-07</t>
  </si>
  <si>
    <t xml:space="preserve">https://finance.yahoo.com/sectors/technology/articles/anthropic-google-broadcom-tpu-deal-113234906.html</t>
  </si>
  <si>
    <t xml:space="preserve">S.49</t>
  </si>
  <si>
    <t xml:space="preserve">LegalClarity: S&amp;P Global Ratings 2024 Annual Global Corporate Default and Rating Transition Study (1981-2024) five-year cumulative default rates BBB 1.09%, BB 5.05%, B 14.69%</t>
  </si>
  <si>
    <t xml:space="preserve">2026-10-20</t>
  </si>
  <si>
    <t xml:space="preserve">https://legalclarity.org/historical-default-rates-by-credit-rating/</t>
  </si>
  <si>
    <t xml:space="preserve">S.50</t>
  </si>
  <si>
    <t xml:space="preserve">Seoul Economic Daily: Anthropic offers 10% coupon on the $18B subordinated tranche vs ~7% for similar credits (ICE BofA BB US High Yield); $42B senior tranche guaranteed by Broadcom</t>
  </si>
  <si>
    <t xml:space="preserve">2026-10-19</t>
  </si>
  <si>
    <t xml:space="preserve">https://en.sedaily.com/international/2026/10/19/anthropic-offers-10-percent-yield-on-subordinated-debt-for</t>
  </si>
  <si>
    <t xml:space="preserve">S.51</t>
  </si>
  <si>
    <t xml:space="preserve">Reuters via Investing.com: Anthropic Q3 revenue $16.8B (+45% q/q), profitable on an adjusted basis; investors discuss ~$1.5T IPO value; listing planned for November</t>
  </si>
  <si>
    <t xml:space="preserve">2026-10-15</t>
  </si>
  <si>
    <t xml:space="preserve">https://www.investing.com/news/stock-market-news/some-investors-push-anthropic-to-cut-ipo-valuation-to-15-trillion--report-4952696</t>
  </si>
  <si>
    <t xml:space="preserve">S.52</t>
  </si>
  <si>
    <t xml:space="preserve">Yahoo Finance (FT): OpenAI annualized revenue 'approaching $50 billion at the end of September', below the ~$70B reported earlier</t>
  </si>
  <si>
    <t xml:space="preserve">https://finance.yahoo.com/technology/ai/articles/openai-revenue-20b-below-previous-181839907.html</t>
  </si>
  <si>
    <t xml:space="preserve">S.53</t>
  </si>
  <si>
    <t xml:space="preserve">CISPE: competition complaint against Broadcom filed with DG Competition (VMware VCSP program termination; interim measures and fines sought; cost increases &gt;1,000%)</t>
  </si>
  <si>
    <t xml:space="preserve">2026-03-19</t>
  </si>
  <si>
    <t xml:space="preserve">https://www.cispe.cloud/?p=25724</t>
  </si>
  <si>
    <t xml:space="preserve">S.54</t>
  </si>
  <si>
    <t xml:space="preserve">MarketScreener Broadcom finances: estimates FY2026-FY2028 (net sales 105,978 / 173,968 / 271,925; EBIT margin 67.00% / 66.65% / 67.30%; capex 1,817 / 2,506 / 2,055; DPS 2.599 / 2.997 / 3.225); last close $334.59</t>
  </si>
  <si>
    <t xml:space="preserve">https://www.marketscreener.com/quote/stock/BROADCOM-INC-164566206/finances/</t>
  </si>
  <si>
    <t xml:space="preserve">S.55</t>
  </si>
  <si>
    <t xml:space="preserve">SEC XBRL companyfacts, Broadcom (CIK 1730168): Depreciation 9M FY26 $484M; ShareBasedCompensation; unrecognized compensation cost $18,221M at 2026-08-02; AccountsReceivableNetCurrent $13,707M; InventoryNet $4,523M; tax-withholding payments $0 in 9M FY26</t>
  </si>
  <si>
    <t xml:space="preserve">https://data.sec.gov/api/xbrl/companyfacts/CIK0001730168.json</t>
  </si>
  <si>
    <t xml:space="preserve">S.56</t>
  </si>
  <si>
    <t xml:space="preserve">Broadcom 10-Q (quarter to 2026-08-02) R55: dividend $0.65 per share declared 2026-09-01, paid 2026-09-30</t>
  </si>
  <si>
    <t xml:space="preserve">https://www.sec.gov/Archives/edgar/data/1730168/000173016826000080/R55.htm</t>
  </si>
  <si>
    <t xml:space="preserve">S.57</t>
  </si>
  <si>
    <t xml:space="preserve">European Commission competition policy, fines: 'The fine must not exceed 10% of the undertaking's total turnover generated in the business year preceding the decision' (Regulation 1/2003, Art. 23(2))</t>
  </si>
  <si>
    <t xml:space="preserve">https://competition-policy.ec.europa.eu/index/fines_en</t>
  </si>
  <si>
    <t xml:space="preserve">S.58</t>
  </si>
  <si>
    <t xml:space="preserve">Yahoo Finance AVGO analysis, re-opened 2026-10-20 (FY2027 EPS avg $19.40, 48 analysts; FY2027 revenue $173.97B, 49 analysts)</t>
  </si>
  <si>
    <t xml:space="preserve">S.59</t>
  </si>
  <si>
    <t xml:space="preserve">Broadcom 8-K Ex.99.1 Q4 FY24 release: Q1 FY25 guide revenue ~$14.6B, adj. EBITDA ~66%</t>
  </si>
  <si>
    <t xml:space="preserve">2024-12-12</t>
  </si>
  <si>
    <t xml:space="preserve">https://www.sec.gov/Archives/edgar/data/1730168/000173016824000125/avgo-11032024x8kxex99.htm</t>
  </si>
  <si>
    <t xml:space="preserve">S.60</t>
  </si>
  <si>
    <t xml:space="preserve">Broadcom 8-K Ex.99.1 Q1 FY25 release: AI $4.1B; adj. EBITDA $10,083M; Q2 guide revenue ~$14.9B, AI $4.4B, EBITDA ~66%</t>
  </si>
  <si>
    <t xml:space="preserve">2025-03-06</t>
  </si>
  <si>
    <t xml:space="preserve">https://www.sec.gov/Archives/edgar/data/1730168/000173016825000009/avgo-02022025x8kxex99.htm</t>
  </si>
  <si>
    <t xml:space="preserve">S.61</t>
  </si>
  <si>
    <t xml:space="preserve">Broadcom 8-K Ex.99.1 Q2 FY25 release: AI over $4.4B; adj. EBITDA $10,001M; Q3 guide revenue ~$15.8B, AI $5.1B, EBITDA at least 66%</t>
  </si>
  <si>
    <t xml:space="preserve">2025-06-05</t>
  </si>
  <si>
    <t xml:space="preserve">https://www.sec.gov/Archives/edgar/data/1730168/000173016825000061/avgo-05042025x8kxex99.htm</t>
  </si>
  <si>
    <t xml:space="preserve">S.62</t>
  </si>
  <si>
    <t xml:space="preserve">Broadcom 8-K Ex.99.1 Q3 FY25 release: AI $5.2B; adj. EBITDA $10,702M; Q4 guide revenue ~$17.4B, AI $6.2B, EBITDA 67%</t>
  </si>
  <si>
    <t xml:space="preserve">2025-09-04</t>
  </si>
  <si>
    <t xml:space="preserve">https://www.sec.gov/Archives/edgar/data/1730168/000173016825000094/avgo-08032025x8kxex99.htm</t>
  </si>
  <si>
    <t xml:space="preserve">S.63</t>
  </si>
  <si>
    <t xml:space="preserve">Broadcom 8-K Ex.99.1 Q4 FY25 release: revenue $18.0B, AI +74% y/y; adj. EBITDA $12,218M; Q1 FY26 guide revenue ~$19.1B, AI $8.2B, EBITDA 67%</t>
  </si>
  <si>
    <t xml:space="preserve">2025-12-11</t>
  </si>
  <si>
    <t xml:space="preserve">https://www.sec.gov/Archives/edgar/data/1730168/000173016825000116/avgo-11022025x8kxex99.htm</t>
  </si>
  <si>
    <t xml:space="preserve">S.64</t>
  </si>
  <si>
    <t xml:space="preserve">Broadcom 8-K Ex.99.1 Q1 FY26 release: AI $8.4B; adj. EBITDA $13,128M; Q2 guide revenue ~$22.0B, AI $10.7B, EBITDA ~68%</t>
  </si>
  <si>
    <t xml:space="preserve">S.65</t>
  </si>
  <si>
    <t xml:space="preserve">Broadcom 8-K Ex.99.1 Q2 FY26 release: AI $10.8B; adj. EBITDA $15,244M; Q3 guide revenue ~$29.4B, AI $16.0B, non-GAAP op margin ~67%</t>
  </si>
  <si>
    <t xml:space="preserve">S.66</t>
  </si>
  <si>
    <t xml:space="preserve">Broadcom 8-K Ex.99.1 Q3 FY26 release: AI $16.7B (+221% y/y); Q4 guide revenue ~$34.8B, AI $21.7B (+236% y/y), non-GAAP op margin ~66%</t>
  </si>
  <si>
    <t xml:space="preserve">S.67</t>
  </si>
  <si>
    <t xml:space="preserve">Broadcom 8-K Item 2.03 (filed 2026-10-27): residual value support ('Backstop') to a new SPV for an AI-rack lease to 'the Company's customer'; liability = 72.5% of lease amounts owed less rack value; maximum ~$43B undiscounted on deployment</t>
  </si>
  <si>
    <t xml:space="preserve">2026-10-27</t>
  </si>
  <si>
    <t xml:space="preserve">https://www.sec.gov/Archives/edgar/data/1730168/000119312526434271/d148323d8k.htm</t>
  </si>
  <si>
    <t xml:space="preserve">S.68</t>
  </si>
  <si>
    <t xml:space="preserve">Broadcom 10-K / 10-Q XBRL instances, segment table (StatementBusinessSegmentsAxis: SemiconductorSolutions / InfrastructureSoftware revenue and operating income), ShareBasedCompensation, PaymentsToAcquirePropertyPlantAndEquipment: accessions 0001730168-25-000021, -25-000064, -25-000098, -25-000121 (10-K FY25), -26-000016, -26-000054, -26-000080</t>
  </si>
  <si>
    <t xml:space="preserve">https://www.sec.gov/Archives/edgar/data/1730168/000173016826000080/avgo-20260802_htm.xml</t>
  </si>
  <si>
    <t xml:space="preserve">S.69</t>
  </si>
  <si>
    <t xml:space="preserve">Nasdaq.com analyst earnings forecast (Zacks consensus EPS, SBC expensed): AVGO Q4 FY26 (Oct 2026) $3.45 (10 est.), Q1 FY27 $3.66, FY26 $10.37, FY27 $17.45 (14), FY28 $28.08 (3); saved data/estimates/AVGO.json</t>
  </si>
  <si>
    <t xml:space="preserve">2026-10-30</t>
  </si>
  <si>
    <t xml:space="preserve">https://api.nasdaq.com/api/analyst/AVGO/earnings-forecast</t>
  </si>
  <si>
    <t xml:space="preserve">S.70</t>
  </si>
  <si>
    <t xml:space="preserve">Nasdaq.com earnings surprise (Zacks reported vs consensus): Q4 FY25 1.61 vs 1.49, Q1 FY26 1.76 vs 1.67, Q2 FY26 2.17 vs 2.02, Q3 FY26 3.03 vs 2.83</t>
  </si>
  <si>
    <t xml:space="preserve">https://api.nasdaq.com/api/company/AVGO/earnings-surprise</t>
  </si>
  <si>
    <t xml:space="preserve">S.71</t>
  </si>
  <si>
    <t xml:space="preserve">peers.py table runs/2026-10-29/AVGO/peers.md (Zacks consensus by fiscal year, calendar NTM, last close)</t>
  </si>
  <si>
    <t xml:space="preserve">/mnt/project-files/valuation/runs/2026-10-29/AVGO/peers.md</t>
  </si>
  <si>
    <t xml:space="preserve">S.72</t>
  </si>
  <si>
    <t xml:space="preserve">Twelve Data quotes MRVL / ADI / COHR (previous_close = 2026-10-29 close: 218.34 / 433.28 / 237.22)</t>
  </si>
  <si>
    <t xml:space="preserve">https://twelvedata.com</t>
  </si>
  <si>
    <t xml:space="preserve">S.73</t>
  </si>
  <si>
    <t xml:space="preserve">data/daily_SYM.csv (Twelve Data daily closes; 2026-10-29: AVGO 345.00, NVDA 213.66, AMD 566.42, TSM 431.81, ANET 184.22, QCOM 185.41, TXN 312.94, CRDO 165.29, ALAB 290.43)</t>
  </si>
  <si>
    <t xml:space="preserve">2026-10-29</t>
  </si>
  <si>
    <t xml:space="preserve">/mnt/project-files/valuation/data/</t>
  </si>
  <si>
    <t xml:space="preserve">S.74</t>
  </si>
  <si>
    <t xml:space="preserve">Nasdaq.com Zacks consensus EPS by fiscal year for the 11 peers (data/estimates/SYM.json, saved 2026-10-30 by nasdaq_est.py)</t>
  </si>
  <si>
    <t xml:space="preserve">https://api.nasdaq.com/api/analyst/NVDA/earnings-forecast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</si>
</sst>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1730168/000173016826000076/avgo-08022026x8kxex99.htm" TargetMode="External"/><Relationship Id="rId2" Type="http://schemas.openxmlformats.org/officeDocument/2006/relationships/hyperlink" Target="https://www.sec.gov/Archives/edgar/data/1730168/000173016826000080/avgo-20260802.htm" TargetMode="External"/><Relationship Id="rId3" Type="http://schemas.openxmlformats.org/officeDocument/2006/relationships/hyperlink" Target="https://www.sec.gov/Archives/edgar/data/1730168/000173016826000080/R17.htm" TargetMode="External"/><Relationship Id="rId4" Type="http://schemas.openxmlformats.org/officeDocument/2006/relationships/hyperlink" Target="https://www.sec.gov/Archives/edgar/data/1730168/000173016826000080/R53.htm" TargetMode="External"/><Relationship Id="rId5" Type="http://schemas.openxmlformats.org/officeDocument/2006/relationships/hyperlink" Target="https://www.sec.gov/Archives/edgar/data/1730168/000173016826000080/R54.htm" TargetMode="External"/><Relationship Id="rId6" Type="http://schemas.openxmlformats.org/officeDocument/2006/relationships/hyperlink" Target="https://www.webull.com/news/15511095937917952" TargetMode="External"/><Relationship Id="rId7" Type="http://schemas.openxmlformats.org/officeDocument/2006/relationships/hyperlink" Target="https://www.sec.gov/Archives/edgar/data/1730168/000173016826000054/avgo-20260503.htm" TargetMode="External"/><Relationship Id="rId8" Type="http://schemas.openxmlformats.org/officeDocument/2006/relationships/hyperlink" Target="https://www.sec.gov/Archives/edgar/data/1730168/000173016826000051/avgo-05032026x8kxex99.htm" TargetMode="External"/><Relationship Id="rId9" Type="http://schemas.openxmlformats.org/officeDocument/2006/relationships/hyperlink" Target="https://www.sec.gov/Archives/edgar/data/1730168/000173016826000011/avgo-02012026x8kxex99.htm" TargetMode="External"/><Relationship Id="rId10" Type="http://schemas.openxmlformats.org/officeDocument/2006/relationships/hyperlink" Target="https://www.fool.com/earnings/call-transcripts/2026/06/03/broadcom-avgo-q2-2026-earnings-transcript/" TargetMode="External"/><Relationship Id="rId11" Type="http://schemas.openxmlformats.org/officeDocument/2006/relationships/hyperlink" Target="https://www.sec.gov/Archives/edgar/data/1730168/000119312526085691/d49254ddef14a.htm" TargetMode="External"/><Relationship Id="rId12" Type="http://schemas.openxmlformats.org/officeDocument/2006/relationships/hyperlink" Target="https://ir.apollo.com/news-events/press-releases/detail/630/broadcom-apollo-and-blackstone-establish-landmark" TargetMode="External"/><Relationship Id="rId13" Type="http://schemas.openxmlformats.org/officeDocument/2006/relationships/hyperlink" Target="https://home.treasury.gov/resource-center/data-chart-center/interest-rates/TextView?type=daily_treasury_yield_curve&amp;field_tdr_date_value_month=202610" TargetMode="External"/><Relationship Id="rId14" Type="http://schemas.openxmlformats.org/officeDocument/2006/relationships/hyperlink" Target="https://finance.yahoo.com/quote/AVGO/analysis/" TargetMode="External"/><Relationship Id="rId15" Type="http://schemas.openxmlformats.org/officeDocument/2006/relationships/hyperlink" Target="https://finviz.com/screener.ashx?v=121&amp;t=AVGO,NVDA,AMD,MRVL,TSM,ANET,ALAB,CRDO,QCOM,COHR,CSCO,ADI,ARM,MU" TargetMode="External"/><Relationship Id="rId16" Type="http://schemas.openxmlformats.org/officeDocument/2006/relationships/hyperlink" Target="https://data.sec.gov/submissions/CIK0001730168.json" TargetMode="External"/><Relationship Id="rId17" Type="http://schemas.openxmlformats.org/officeDocument/2006/relationships/hyperlink" Target="https://www.sec.gov/Archives/edgar/data/1730168/000119312526395593/d154803d424b3.htm" TargetMode="External"/><Relationship Id="rId18" Type="http://schemas.openxmlformats.org/officeDocument/2006/relationships/hyperlink" Target="https://transcripts.platformaeronaut.com/summaries/AVGO-3Q26-AI-Summary" TargetMode="External"/><Relationship Id="rId19" Type="http://schemas.openxmlformats.org/officeDocument/2006/relationships/hyperlink" Target="https://www.sec.gov/Archives/edgar/data/0001730168/000173016826000076/avgo-08022026x8kxex99.htm" TargetMode="External"/><Relationship Id="rId20" Type="http://schemas.openxmlformats.org/officeDocument/2006/relationships/hyperlink" Target="https://www.webull.com/news/15511095937917952" TargetMode="External"/><Relationship Id="rId21" Type="http://schemas.openxmlformats.org/officeDocument/2006/relationships/hyperlink" Target="https://www.sec.gov/Archives/edgar/data/1730168/000173016826000080/R54.htm" TargetMode="External"/><Relationship Id="rId22" Type="http://schemas.openxmlformats.org/officeDocument/2006/relationships/hyperlink" Target="https://www.sec.gov/Archives/edgar/data/1730168/000173016826000080/R53.htm" TargetMode="External"/><Relationship Id="rId23" Type="http://schemas.openxmlformats.org/officeDocument/2006/relationships/hyperlink" Target="https://www.sec.gov/Archives/edgar/data/1730168/000173016826000054/R52.htm" TargetMode="External"/><Relationship Id="rId24" Type="http://schemas.openxmlformats.org/officeDocument/2006/relationships/hyperlink" Target="https://finance.yahoo.com/quote/AVGO/analysis/" TargetMode="External"/><Relationship Id="rId25" Type="http://schemas.openxmlformats.org/officeDocument/2006/relationships/hyperlink" Target="https://finviz.com/screener.ashx?v=121&amp;t=AVGO,NVDA,AMD,MRVL,TSM,ANET,ALAB,CRDO,QCOM,COHR,CSCO,ADI" TargetMode="External"/><Relationship Id="rId26" Type="http://schemas.openxmlformats.org/officeDocument/2006/relationships/hyperlink" Target="https://stockanalysis.com/stocks/csco/forecast/" TargetMode="External"/><Relationship Id="rId27" Type="http://schemas.openxmlformats.org/officeDocument/2006/relationships/hyperlink" Target="https://stockanalysis.com/stocks/cohr/forecast/" TargetMode="External"/><Relationship Id="rId28" Type="http://schemas.openxmlformats.org/officeDocument/2006/relationships/hyperlink" Target="https://stockanalysis.com/stocks/crdo/forecast/" TargetMode="External"/><Relationship Id="rId29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30" Type="http://schemas.openxmlformats.org/officeDocument/2006/relationships/hyperlink" Target="https://www.webull.com/news/15239831945503744" TargetMode="External"/><Relationship Id="rId31" Type="http://schemas.openxmlformats.org/officeDocument/2006/relationships/hyperlink" Target="https://investor.tsmc.com/english/quarterly-results" TargetMode="External"/><Relationship Id="rId32" Type="http://schemas.openxmlformats.org/officeDocument/2006/relationships/hyperlink" Target="https://www.investing.com/news/stock-market-news/marvell-technology-stock-rallies-following-ambitious-investor-day-targets-4934767" TargetMode="External"/><Relationship Id="rId33" Type="http://schemas.openxmlformats.org/officeDocument/2006/relationships/hyperlink" Target="https://investor.marvell.com/news-events/press-releases" TargetMode="External"/><Relationship Id="rId34" Type="http://schemas.openxmlformats.org/officeDocument/2006/relationships/hyperlink" Target="https://nvidianews.nvidia.com/news/nvidia-announces-financial-results-for-second-quarter-fiscal-2027" TargetMode="External"/><Relationship Id="rId35" Type="http://schemas.openxmlformats.org/officeDocument/2006/relationships/hyperlink" Target="https://w.media/ai-infrastructure-demand-pushes-alphabets-2026-capex-guidance-to-us-205-billion/" TargetMode="External"/><Relationship Id="rId36" Type="http://schemas.openxmlformats.org/officeDocument/2006/relationships/hyperlink" Target="https://www.sec.gov/Archives/edgar/data/1730168/000173016826000076/avgo-08022026x8kxex99.htm" TargetMode="External"/><Relationship Id="rId37" Type="http://schemas.openxmlformats.org/officeDocument/2006/relationships/hyperlink" Target="https://www.sec.gov/Archives/edgar/data/1730168/000173016826000080/avgo-20260802.htm" TargetMode="External"/><Relationship Id="rId38" Type="http://schemas.openxmlformats.org/officeDocument/2006/relationships/hyperlink" Target="https://www.sec.gov/Archives/edgar/data/1730168/000173016826000080/R54.htm" TargetMode="External"/><Relationship Id="rId39" Type="http://schemas.openxmlformats.org/officeDocument/2006/relationships/hyperlink" Target="https://www.sec.gov/Archives/edgar/data/1730168/000173016826000080/R53.htm" TargetMode="External"/><Relationship Id="rId40" Type="http://schemas.openxmlformats.org/officeDocument/2006/relationships/hyperlink" Target="https://www.fool.com/earnings/call-transcripts/2026/09/09/broadcom-avgo-q3-2026-earnings-call-transcript/" TargetMode="External"/><Relationship Id="rId41" Type="http://schemas.openxmlformats.org/officeDocument/2006/relationships/hyperlink" Target="https://fool.com/earnings/call-transcripts/2026/06/03/broadcom-avgo-q2-2026-earnings-transcript/" TargetMode="External"/><Relationship Id="rId42" Type="http://schemas.openxmlformats.org/officeDocument/2006/relationships/hyperlink" Target="https://www.investing.com/news/stock-market-news/broadcom-downgraded-as-google-moves-to-reduce-reliance-on-chip-supplier-4726762" TargetMode="External"/><Relationship Id="rId43" Type="http://schemas.openxmlformats.org/officeDocument/2006/relationships/hyperlink" Target="https://www.investing.com/news/stock-market-news/broadcom-credit-rating-cut-to-marketweight-on-xpv-concerns-93CH-4850949" TargetMode="External"/><Relationship Id="rId44" Type="http://schemas.openxmlformats.org/officeDocument/2006/relationships/hyperlink" Target="https://www.itiger.com/news/1104289347" TargetMode="External"/><Relationship Id="rId45" Type="http://schemas.openxmlformats.org/officeDocument/2006/relationships/hyperlink" Target="https://simplywall.st/stocks/us/semiconductors/nasdaq-avgo/broadcom/news/eu-complaint-over-vmware-licensing-puts-broadcoms-software-s" TargetMode="External"/><Relationship Id="rId46" Type="http://schemas.openxmlformats.org/officeDocument/2006/relationships/hyperlink" Target="https://finance.yahoo.com/quote/AVGO/analysis/" TargetMode="External"/><Relationship Id="rId47" Type="http://schemas.openxmlformats.org/officeDocument/2006/relationships/hyperlink" Target="https://finviz.com/screener.ashx?v=121&amp;t=AVGO,NVDA,AMD,MRVL,TSM,ANET,ALAB,CRDO,QCOM,ARM,MU,COHR,CSCO,ADI,TXN,KLAC" TargetMode="External"/><Relationship Id="rId48" Type="http://schemas.openxmlformats.org/officeDocument/2006/relationships/hyperlink" Target="https://home.treasury.gov/resource-center/data-chart-center/interest-rates/TextView?type=daily_treasury_yield_curve&amp;field_tdr_date_value_month=202610" TargetMode="External"/><Relationship Id="rId49" Type="http://schemas.openxmlformats.org/officeDocument/2006/relationships/hyperlink" Target="https://www.sec.gov/Archives/edgar/data/1730168/000173016826000076/avgo-08022026x8kxex99.htm" TargetMode="External"/><Relationship Id="rId50" Type="http://schemas.openxmlformats.org/officeDocument/2006/relationships/hyperlink" Target="https://transcripts.platformaeronaut.com/transcripts/AVGO-3Q26-transcript" TargetMode="External"/><Relationship Id="rId51" Type="http://schemas.openxmlformats.org/officeDocument/2006/relationships/hyperlink" Target="https://www.sec.gov/Archives/edgar/data/1730168/000173016826000080/avgo-20260802.htm" TargetMode="External"/><Relationship Id="rId52" Type="http://schemas.openxmlformats.org/officeDocument/2006/relationships/hyperlink" Target="https://www.sec.gov/Archives/edgar/data/1730168/000173016826000080/R17.htm" TargetMode="External"/><Relationship Id="rId53" Type="http://schemas.openxmlformats.org/officeDocument/2006/relationships/hyperlink" Target="https://www.sec.gov/Archives/edgar/data/1730168/000173016826000080/R53.htm" TargetMode="External"/><Relationship Id="rId54" Type="http://schemas.openxmlformats.org/officeDocument/2006/relationships/hyperlink" Target="https://www.sec.gov/Archives/edgar/data/1730168/000173016826000080/R54.htm" TargetMode="External"/><Relationship Id="rId55" Type="http://schemas.openxmlformats.org/officeDocument/2006/relationships/hyperlink" Target="https://finance.yahoo.com/quote/AVGO/analysis/" TargetMode="External"/><Relationship Id="rId56" Type="http://schemas.openxmlformats.org/officeDocument/2006/relationships/hyperlink" Target="https://finviz.com/screener.ashx?v=121&amp;t=AVGO,NVDA,AMD,MRVL,TSM,ANET,ALAB,CRDO,QCOM,ARM,MU,COHR,CSCO,ADI,TXN,KLAC" TargetMode="External"/><Relationship Id="rId57" Type="http://schemas.openxmlformats.org/officeDocument/2006/relationships/hyperlink" Target="https://stockanalysis.com/stocks/avgo/statistics/" TargetMode="External"/><Relationship Id="rId58" Type="http://schemas.openxmlformats.org/officeDocument/2006/relationships/hyperlink" Target="https://pages.stern.nyu.edu/~adamodar/" TargetMode="External"/><Relationship Id="rId59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60" Type="http://schemas.openxmlformats.org/officeDocument/2006/relationships/hyperlink" Target="https://gamma-api.polymarket.com/events?slug=anthropic-ipo-by" TargetMode="External"/><Relationship Id="rId61" Type="http://schemas.openxmlformats.org/officeDocument/2006/relationships/hyperlink" Target="https://gamma-api.polymarket.com/events?slug=in-which-month-will-anthropic-ipo" TargetMode="External"/><Relationship Id="rId62" Type="http://schemas.openxmlformats.org/officeDocument/2006/relationships/hyperlink" Target="https://hn.algolia.com/api/v1/search_by_date?query=Broadcom&amp;tags=story&amp;hitsPerPage=15" TargetMode="External"/><Relationship Id="rId63" Type="http://schemas.openxmlformats.org/officeDocument/2006/relationships/hyperlink" Target="https://stocktwits.com/news-articles/markets/equity/broadcom-reportedly-lines-up-60-b-ai-chip-financing-as-anthropic-expands-compute/cZDjajBRBK3" TargetMode="External"/><Relationship Id="rId64" Type="http://schemas.openxmlformats.org/officeDocument/2006/relationships/hyperlink" Target="https://monteinvestments.substack.com/p/broadcom-avgo-q3-2026-earnings-xpu-six-hyperscalers-strong-buy" TargetMode="External"/><Relationship Id="rId65" Type="http://schemas.openxmlformats.org/officeDocument/2006/relationships/hyperlink" Target="https://www.trendforce.com/news/2026/03/05/news-broadcom-reportedly-eyes-100b-ai-chip-revenue-in-2027-backed-by-six-key-clients-including-google-meta/" TargetMode="External"/><Relationship Id="rId66" Type="http://schemas.openxmlformats.org/officeDocument/2006/relationships/hyperlink" Target="https://www.sec.gov/Archives/edgar/data/1730168/000173016826000076/avgo-08022026x8kxex99.htm" TargetMode="External"/><Relationship Id="rId67" Type="http://schemas.openxmlformats.org/officeDocument/2006/relationships/hyperlink" Target="https://www.webull.com/news/15511095937917952" TargetMode="External"/><Relationship Id="rId68" Type="http://schemas.openxmlformats.org/officeDocument/2006/relationships/hyperlink" Target="https://www.sec.gov/Archives/edgar/data/1730168/000173016826000080/R53.htm" TargetMode="External"/><Relationship Id="rId69" Type="http://schemas.openxmlformats.org/officeDocument/2006/relationships/hyperlink" Target="https://www.sec.gov/Archives/edgar/data/1730168/000173016826000080/R54.htm" TargetMode="External"/><Relationship Id="rId70" Type="http://schemas.openxmlformats.org/officeDocument/2006/relationships/hyperlink" Target="https://www.sec.gov/Archives/edgar/data/1730168/000173016825000098/R59.htm" TargetMode="External"/><Relationship Id="rId71" Type="http://schemas.openxmlformats.org/officeDocument/2006/relationships/hyperlink" Target="https://finance.yahoo.com/quote/AVGO/analysis/" TargetMode="External"/><Relationship Id="rId72" Type="http://schemas.openxmlformats.org/officeDocument/2006/relationships/hyperlink" Target="https://stockanalysis.com/stocks/avgo/statistics/" TargetMode="External"/><Relationship Id="rId73" Type="http://schemas.openxmlformats.org/officeDocument/2006/relationships/hyperlink" Target="https://finviz.com/screener.ashx?v=121&amp;t=AVGO,NVDA,AMD,MRVL,TSM,ANET,ALAB,CRDO,QCOM,ARM,MU,COHR,CSCO,ADI,TXN,KLAC" TargetMode="External"/><Relationship Id="rId74" Type="http://schemas.openxmlformats.org/officeDocument/2006/relationships/hyperlink" Target="https://247wallst.com/investing/2026/10/06/marvell-rallies-6-as-investor-day-presses-the-custom-ai-silicon-case-broadcom-advances-4/" TargetMode="External"/><Relationship Id="rId75" Type="http://schemas.openxmlformats.org/officeDocument/2006/relationships/hyperlink" Target="https://gamma-api.polymarket.com/events?slug=us-recession-by-end-of-2026" TargetMode="External"/><Relationship Id="rId76" Type="http://schemas.openxmlformats.org/officeDocument/2006/relationships/hyperlink" Target="https://gamma-api.polymarket.com/events?slug=ai-bubble-burst-by" TargetMode="External"/><Relationship Id="rId77" Type="http://schemas.openxmlformats.org/officeDocument/2006/relationships/hyperlink" Target="https://gamma-api.polymarket.com/events?slug=anthropic-ipo-by" TargetMode="External"/><Relationship Id="rId78" Type="http://schemas.openxmlformats.org/officeDocument/2006/relationships/hyperlink" Target="https://gamma-api.polymarket.com/events?slug=will-china-invade-taiwan-by-december-31-2027" TargetMode="External"/><Relationship Id="rId79" Type="http://schemas.openxmlformats.org/officeDocument/2006/relationships/hyperlink" Target="https://gamma-api.polymarket.com/events?slug=fed-rate-cut-by-629" TargetMode="External"/><Relationship Id="rId80" Type="http://schemas.openxmlformats.org/officeDocument/2006/relationships/hyperlink" Target="https://home.treasury.gov/resource-center/data-chart-center/interest-rates/TextView?type=daily_treasury_yield_curve&amp;field_tdr_date_value_month=202610" TargetMode="External"/><Relationship Id="rId81" Type="http://schemas.openxmlformats.org/officeDocument/2006/relationships/hyperlink" Target="https://api.twelvedata.com/time_series?symbol=AVGO&amp;interval=1month&amp;outputsize=130" TargetMode="External"/><Relationship Id="rId82" Type="http://schemas.openxmlformats.org/officeDocument/2006/relationships/hyperlink" Target="https://api.twelvedata.com/time_series?symbol=AVGO&amp;interval=1day&amp;outputsize=300" TargetMode="External"/><Relationship Id="rId83" Type="http://schemas.openxmlformats.org/officeDocument/2006/relationships/hyperlink" Target="https://api.twelvedata.com/time_series?symbol=CSCO&amp;interval=1month&amp;start_date=1999-09-01&amp;end_date=2002-10-31" TargetMode="External"/><Relationship Id="rId84" Type="http://schemas.openxmlformats.org/officeDocument/2006/relationships/hyperlink" Target="https://economistwritingeveryday.com/tag/circular/" TargetMode="External"/><Relationship Id="rId85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86" Type="http://schemas.openxmlformats.org/officeDocument/2006/relationships/hyperlink" Target="https://pages.stern.nyu.edu/~adamodar/New_Home_Page/home.htm" TargetMode="External"/><Relationship Id="rId87" Type="http://schemas.openxmlformats.org/officeDocument/2006/relationships/hyperlink" Target="https://stockanalysis.com/stocks/avgo/statistics/" TargetMode="External"/><Relationship Id="rId88" Type="http://schemas.openxmlformats.org/officeDocument/2006/relationships/hyperlink" Target="https://finviz.com/screener.ashx?v=121&amp;t=AVGO,NVDA,AMD,MRVL,TSM,ANET,ALAB,CRDO,QCOM,COHR,CSCO,ADI,ARM,MU" TargetMode="External"/><Relationship Id="rId89" Type="http://schemas.openxmlformats.org/officeDocument/2006/relationships/hyperlink" Target="https://stockanalysis.com/stocks/csco/forecast/" TargetMode="External"/><Relationship Id="rId90" Type="http://schemas.openxmlformats.org/officeDocument/2006/relationships/hyperlink" Target="https://stockanalysis.com/stocks/cohr/forecast/" TargetMode="External"/><Relationship Id="rId91" Type="http://schemas.openxmlformats.org/officeDocument/2006/relationships/hyperlink" Target="https://stockanalysis.com/stocks/crdo/forecast/" TargetMode="External"/><Relationship Id="rId92" Type="http://schemas.openxmlformats.org/officeDocument/2006/relationships/hyperlink" Target="https://www.sec.gov/Archives/edgar/data/1730168/000173016826000080/R17.htm" TargetMode="External"/><Relationship Id="rId93" Type="http://schemas.openxmlformats.org/officeDocument/2006/relationships/hyperlink" Target="https://www.sec.gov/Archives/edgar/data/1730168/000173016826000080/R53.htm" TargetMode="External"/><Relationship Id="rId94" Type="http://schemas.openxmlformats.org/officeDocument/2006/relationships/hyperlink" Target="https://www.sec.gov/Archives/edgar/data/1730168/000173016826000080/R54.htm" TargetMode="External"/><Relationship Id="rId95" Type="http://schemas.openxmlformats.org/officeDocument/2006/relationships/hyperlink" Target="https://www.sec.gov/Archives/edgar/data/1730168/000173016826000080/avgo-20260802.htm" TargetMode="External"/><Relationship Id="rId96" Type="http://schemas.openxmlformats.org/officeDocument/2006/relationships/hyperlink" Target="https://www.sec.gov/Archives/edgar/data/1730168/000173016826000054/R52.htm" TargetMode="External"/><Relationship Id="rId97" Type="http://schemas.openxmlformats.org/officeDocument/2006/relationships/hyperlink" Target="https://www.sec.gov/Archives/edgar/data/1730168/000173016825000098/R59.htm" TargetMode="External"/><Relationship Id="rId98" Type="http://schemas.openxmlformats.org/officeDocument/2006/relationships/hyperlink" Target="https://www.sec.gov/Archives/edgar/data/1730168/000173016826000076/avgo-08022026x8kxex99.htm" TargetMode="External"/><Relationship Id="rId99" Type="http://schemas.openxmlformats.org/officeDocument/2006/relationships/hyperlink" Target="https://www.sec.gov/Archives/edgar/data/1730168/000173016826000051/avgo-05032026x8kxex99.htm" TargetMode="External"/><Relationship Id="rId100" Type="http://schemas.openxmlformats.org/officeDocument/2006/relationships/hyperlink" Target="https://www.webull.com/news/15511095937917952" TargetMode="External"/><Relationship Id="rId101" Type="http://schemas.openxmlformats.org/officeDocument/2006/relationships/hyperlink" Target="https://www.fool.com/earnings/call-transcripts/2026/09/09/broadcom-avgo-q3-2026-earnings-call-transcript/" TargetMode="External"/><Relationship Id="rId102" Type="http://schemas.openxmlformats.org/officeDocument/2006/relationships/hyperlink" Target="https://finance.yahoo.com/quote/AVGO/analysis/" TargetMode="External"/><Relationship Id="rId103" Type="http://schemas.openxmlformats.org/officeDocument/2006/relationships/hyperlink" Target="https://investor.tsmc.com/english/quarterly-results" TargetMode="External"/><Relationship Id="rId104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105" Type="http://schemas.openxmlformats.org/officeDocument/2006/relationships/hyperlink" Target="https://pages.stern.nyu.edu/~adamodar/New_Home_Page/home.htm" TargetMode="External"/><Relationship Id="rId106" Type="http://schemas.openxmlformats.org/officeDocument/2006/relationships/hyperlink" Target="https://stockanalysis.com/stocks/avgo/statistics/" TargetMode="External"/><Relationship Id="rId107" Type="http://schemas.openxmlformats.org/officeDocument/2006/relationships/hyperlink" Target="https://finviz.com/screener.ashx?v=121&amp;t=AVGO,NVDA,AMD,MRVL,TSM,ANET,ALAB,CRDO,QCOM,COHR,CSCO,ADI,ARM,MU" TargetMode="External"/><Relationship Id="rId108" Type="http://schemas.openxmlformats.org/officeDocument/2006/relationships/hyperlink" Target="https://stockanalysis.com/stocks/csco/forecast/" TargetMode="External"/><Relationship Id="rId109" Type="http://schemas.openxmlformats.org/officeDocument/2006/relationships/hyperlink" Target="https://stockanalysis.com/stocks/cohr/forecast/" TargetMode="External"/><Relationship Id="rId110" Type="http://schemas.openxmlformats.org/officeDocument/2006/relationships/hyperlink" Target="https://stockanalysis.com/stocks/crdo/forecast/" TargetMode="External"/><Relationship Id="rId111" Type="http://schemas.openxmlformats.org/officeDocument/2006/relationships/hyperlink" Target="https://www.sec.gov/Archives/edgar/data/1730168/000173016826000080/R17.htm" TargetMode="External"/><Relationship Id="rId112" Type="http://schemas.openxmlformats.org/officeDocument/2006/relationships/hyperlink" Target="https://www.sec.gov/Archives/edgar/data/1730168/000173016826000080/R53.htm" TargetMode="External"/><Relationship Id="rId113" Type="http://schemas.openxmlformats.org/officeDocument/2006/relationships/hyperlink" Target="https://www.sec.gov/Archives/edgar/data/1730168/000173016826000080/R54.htm" TargetMode="External"/><Relationship Id="rId114" Type="http://schemas.openxmlformats.org/officeDocument/2006/relationships/hyperlink" Target="https://www.sec.gov/Archives/edgar/data/1730168/000173016826000080/avgo-20260802.htm" TargetMode="External"/><Relationship Id="rId115" Type="http://schemas.openxmlformats.org/officeDocument/2006/relationships/hyperlink" Target="https://www.sec.gov/Archives/edgar/data/1730168/000173016826000054/R52.htm" TargetMode="External"/><Relationship Id="rId116" Type="http://schemas.openxmlformats.org/officeDocument/2006/relationships/hyperlink" Target="https://www.sec.gov/Archives/edgar/data/1730168/000173016825000098/R59.htm" TargetMode="External"/><Relationship Id="rId117" Type="http://schemas.openxmlformats.org/officeDocument/2006/relationships/hyperlink" Target="https://www.sec.gov/Archives/edgar/data/1730168/000173016826000076/avgo-08022026x8kxex99.htm" TargetMode="External"/><Relationship Id="rId118" Type="http://schemas.openxmlformats.org/officeDocument/2006/relationships/hyperlink" Target="https://www.sec.gov/Archives/edgar/data/1730168/000173016826000051/avgo-05032026x8kxex99.htm" TargetMode="External"/><Relationship Id="rId119" Type="http://schemas.openxmlformats.org/officeDocument/2006/relationships/hyperlink" Target="https://www.webull.com/news/15511095937917952" TargetMode="External"/><Relationship Id="rId120" Type="http://schemas.openxmlformats.org/officeDocument/2006/relationships/hyperlink" Target="https://www.fool.com/earnings/call-transcripts/2026/09/09/broadcom-avgo-q3-2026-earnings-call-transcript/" TargetMode="External"/><Relationship Id="rId121" Type="http://schemas.openxmlformats.org/officeDocument/2006/relationships/hyperlink" Target="https://finance.yahoo.com/quote/AVGO/analysis/" TargetMode="External"/><Relationship Id="rId122" Type="http://schemas.openxmlformats.org/officeDocument/2006/relationships/hyperlink" Target="https://investor.tsmc.com/english/quarterly-results" TargetMode="External"/><Relationship Id="rId123" Type="http://schemas.openxmlformats.org/officeDocument/2006/relationships/hyperlink" Target="https://www.sec.gov/Archives/edgar/data/1730168/000173016826000080/R52.htm" TargetMode="External"/><Relationship Id="rId124" Type="http://schemas.openxmlformats.org/officeDocument/2006/relationships/hyperlink" Target="https://www.thestar.com.my/tech/tech-news/2026/10/01/exclusive-broadcom-to-lend-anthropic-up-to-42-billion-to-lease-its-chips-filing-says" TargetMode="External"/><Relationship Id="rId125" Type="http://schemas.openxmlformats.org/officeDocument/2006/relationships/hyperlink" Target="https://finance.yahoo.com/technology/ai/articles/broadcom-arranging-50-billion-openai-060941579.html" TargetMode="External"/><Relationship Id="rId126" Type="http://schemas.openxmlformats.org/officeDocument/2006/relationships/hyperlink" Target="https://finance.yahoo.com/technology/ai/articles/broadcom-raises-60-billion-debt-113047288.html" TargetMode="External"/><Relationship Id="rId127" Type="http://schemas.openxmlformats.org/officeDocument/2006/relationships/hyperlink" Target="https://streetsignal.substack.com/p/streetsignals-five-broadcoms-most" TargetMode="External"/><Relationship Id="rId128" Type="http://schemas.openxmlformats.org/officeDocument/2006/relationships/hyperlink" Target="https://finance.yahoo.com/sectors/technology/articles/anthropic-google-broadcom-tpu-deal-113234906.html" TargetMode="External"/><Relationship Id="rId129" Type="http://schemas.openxmlformats.org/officeDocument/2006/relationships/hyperlink" Target="https://legalclarity.org/historical-default-rates-by-credit-rating/" TargetMode="External"/><Relationship Id="rId130" Type="http://schemas.openxmlformats.org/officeDocument/2006/relationships/hyperlink" Target="https://en.sedaily.com/international/2026/10/19/anthropic-offers-10-percent-yield-on-subordinated-debt-for" TargetMode="External"/><Relationship Id="rId131" Type="http://schemas.openxmlformats.org/officeDocument/2006/relationships/hyperlink" Target="https://www.investing.com/news/stock-market-news/some-investors-push-anthropic-to-cut-ipo-valuation-to-15-trillion--report-4952696" TargetMode="External"/><Relationship Id="rId132" Type="http://schemas.openxmlformats.org/officeDocument/2006/relationships/hyperlink" Target="https://finance.yahoo.com/technology/ai/articles/openai-revenue-20b-below-previous-181839907.html" TargetMode="External"/><Relationship Id="rId133" Type="http://schemas.openxmlformats.org/officeDocument/2006/relationships/hyperlink" Target="https://www.cispe.cloud/?p=25724" TargetMode="External"/><Relationship Id="rId134" Type="http://schemas.openxmlformats.org/officeDocument/2006/relationships/hyperlink" Target="https://www.marketscreener.com/quote/stock/BROADCOM-INC-164566206/finances/" TargetMode="External"/><Relationship Id="rId135" Type="http://schemas.openxmlformats.org/officeDocument/2006/relationships/hyperlink" Target="https://data.sec.gov/api/xbrl/companyfacts/CIK0001730168.json" TargetMode="External"/><Relationship Id="rId136" Type="http://schemas.openxmlformats.org/officeDocument/2006/relationships/hyperlink" Target="https://www.sec.gov/Archives/edgar/data/1730168/000173016826000080/R55.htm" TargetMode="External"/><Relationship Id="rId137" Type="http://schemas.openxmlformats.org/officeDocument/2006/relationships/hyperlink" Target="https://competition-policy.ec.europa.eu/index/fines_en" TargetMode="External"/><Relationship Id="rId138" Type="http://schemas.openxmlformats.org/officeDocument/2006/relationships/hyperlink" Target="https://finance.yahoo.com/quote/AVGO/analysis/" TargetMode="External"/><Relationship Id="rId139" Type="http://schemas.openxmlformats.org/officeDocument/2006/relationships/hyperlink" Target="https://www.sec.gov/Archives/edgar/data/1730168/000173016824000125/avgo-11032024x8kxex99.htm" TargetMode="External"/><Relationship Id="rId140" Type="http://schemas.openxmlformats.org/officeDocument/2006/relationships/hyperlink" Target="https://www.sec.gov/Archives/edgar/data/1730168/000173016825000009/avgo-02022025x8kxex99.htm" TargetMode="External"/><Relationship Id="rId141" Type="http://schemas.openxmlformats.org/officeDocument/2006/relationships/hyperlink" Target="https://www.sec.gov/Archives/edgar/data/1730168/000173016825000061/avgo-05042025x8kxex99.htm" TargetMode="External"/><Relationship Id="rId142" Type="http://schemas.openxmlformats.org/officeDocument/2006/relationships/hyperlink" Target="https://www.sec.gov/Archives/edgar/data/1730168/000173016825000094/avgo-08032025x8kxex99.htm" TargetMode="External"/><Relationship Id="rId143" Type="http://schemas.openxmlformats.org/officeDocument/2006/relationships/hyperlink" Target="https://www.sec.gov/Archives/edgar/data/1730168/000173016825000116/avgo-11022025x8kxex99.htm" TargetMode="External"/><Relationship Id="rId144" Type="http://schemas.openxmlformats.org/officeDocument/2006/relationships/hyperlink" Target="https://www.sec.gov/Archives/edgar/data/1730168/000173016826000011/avgo-02012026x8kxex99.htm" TargetMode="External"/><Relationship Id="rId145" Type="http://schemas.openxmlformats.org/officeDocument/2006/relationships/hyperlink" Target="https://www.sec.gov/Archives/edgar/data/1730168/000173016826000051/avgo-05032026x8kxex99.htm" TargetMode="External"/><Relationship Id="rId146" Type="http://schemas.openxmlformats.org/officeDocument/2006/relationships/hyperlink" Target="https://www.sec.gov/Archives/edgar/data/1730168/000173016826000076/avgo-08022026x8kxex99.htm" TargetMode="External"/><Relationship Id="rId147" Type="http://schemas.openxmlformats.org/officeDocument/2006/relationships/hyperlink" Target="https://www.sec.gov/Archives/edgar/data/1730168/000119312526434271/d148323d8k.htm" TargetMode="External"/><Relationship Id="rId148" Type="http://schemas.openxmlformats.org/officeDocument/2006/relationships/hyperlink" Target="https://www.sec.gov/Archives/edgar/data/1730168/000173016826000080/avgo-20260802_htm.xml" TargetMode="External"/><Relationship Id="rId149" Type="http://schemas.openxmlformats.org/officeDocument/2006/relationships/hyperlink" Target="https://api.nasdaq.com/api/analyst/AVGO/earnings-forecast" TargetMode="External"/><Relationship Id="rId150" Type="http://schemas.openxmlformats.org/officeDocument/2006/relationships/hyperlink" Target="https://api.nasdaq.com/api/company/AVGO/earnings-surprise" TargetMode="External"/><Relationship Id="rId151" Type="http://schemas.openxmlformats.org/officeDocument/2006/relationships/hyperlink" Target="https://twelvedata.com/" TargetMode="External"/><Relationship Id="rId152" Type="http://schemas.openxmlformats.org/officeDocument/2006/relationships/hyperlink" Target="https://api.nasdaq.com/api/analyst/NVDA/earnings-forecas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326.08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532.82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260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0.3831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P$6:$P$20,MIN(MAX(IFERROR(MATCH(0.5,Distribution!$C$6:$C$20,-1),1),1),14)))/(INDEX(Distribution!$P$6:$P$20,MIN(MAX(IFERROR(MATCH(0.5,Distribution!$C$6:$C$20,-1),1),1),14)+1)-INDEX(Distribution!$P$6:$P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331.903896067011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Methods!C7</f>
        <v>415.89</v>
      </c>
      <c r="C18" s="13" t="n">
        <f aca="false">Methods!E7</f>
        <v>416</v>
      </c>
    </row>
    <row r="19" customFormat="false" ht="15" hidden="false" customHeight="false" outlineLevel="0" collapsed="false">
      <c r="A19" s="5" t="s">
        <v>30</v>
      </c>
      <c r="B19" s="13" t="n">
        <f aca="false">Methods!C11</f>
        <v>425.8</v>
      </c>
      <c r="C19" s="13" t="n">
        <f aca="false">Methods!E11</f>
        <v>426</v>
      </c>
    </row>
    <row r="20" customFormat="false" ht="15" hidden="false" customHeight="false" outlineLevel="0" collapsed="false">
      <c r="A20" s="5" t="s">
        <v>31</v>
      </c>
      <c r="B20" s="13" t="n">
        <f aca="false">Methods!C15</f>
        <v>394.79</v>
      </c>
      <c r="C20" s="13" t="n">
        <f aca="false">Methods!E15</f>
        <v>394.8</v>
      </c>
    </row>
    <row r="21" customFormat="false" ht="15" hidden="false" customHeight="false" outlineLevel="0" collapsed="false">
      <c r="A21" s="5" t="s">
        <v>32</v>
      </c>
      <c r="B21" s="13" t="n">
        <f aca="false">Methods!C19</f>
        <v>406.87</v>
      </c>
      <c r="C21" s="13" t="n">
        <f aca="false">Methods!E19</f>
        <v>407</v>
      </c>
    </row>
    <row r="22" customFormat="false" ht="15" hidden="false" customHeight="false" outlineLevel="0" collapsed="false">
      <c r="A22" s="5" t="s">
        <v>33</v>
      </c>
      <c r="B22" s="13" t="n">
        <f aca="false">Methods!C23</f>
        <v>382.54</v>
      </c>
      <c r="C22" s="13" t="n">
        <f aca="false">Methods!E23</f>
        <v>382</v>
      </c>
    </row>
    <row r="23" customFormat="false" ht="15" hidden="false" customHeight="false" outlineLevel="0" collapsed="false">
      <c r="A23" s="14" t="s">
        <v>34</v>
      </c>
      <c r="B23" s="15" t="n">
        <f aca="false">AVERAGE(B18:B22)</f>
        <v>405.178</v>
      </c>
      <c r="C23" s="15" t="n">
        <f aca="false">AVERAGE(C18:C22)</f>
        <v>405.16</v>
      </c>
    </row>
    <row r="24" customFormat="false" ht="15" hidden="false" customHeight="false" outlineLevel="0" collapsed="false">
      <c r="A24" s="5" t="s">
        <v>35</v>
      </c>
      <c r="B24" s="16" t="n">
        <f aca="false">MEDIAN(B18:B22)</f>
        <v>406.87</v>
      </c>
      <c r="C24" s="16" t="n">
        <f aca="false">MEDIAN(C18:C22)</f>
        <v>407</v>
      </c>
    </row>
    <row r="25" customFormat="false" ht="79.85" hidden="false" customHeight="false" outlineLevel="0" collapsed="false">
      <c r="A25" s="14" t="s">
        <v>36</v>
      </c>
      <c r="C25" s="17" t="n">
        <v>488.51</v>
      </c>
      <c r="D25" s="7" t="s">
        <v>37</v>
      </c>
    </row>
    <row r="26" customFormat="false" ht="15" hidden="false" customHeight="false" outlineLevel="0" collapsed="false">
      <c r="A26" s="5" t="s">
        <v>38</v>
      </c>
      <c r="C26" s="18" t="n">
        <f aca="false">C25/Spot-1</f>
        <v>0.498129293424926</v>
      </c>
    </row>
    <row r="28" customFormat="false" ht="15" hidden="false" customHeight="false" outlineLevel="0" collapsed="false">
      <c r="A28" s="3" t="s">
        <v>39</v>
      </c>
      <c r="B28" s="3" t="s">
        <v>40</v>
      </c>
      <c r="C28" s="3" t="s">
        <v>41</v>
      </c>
      <c r="D28" s="3" t="s">
        <v>42</v>
      </c>
    </row>
    <row r="29" customFormat="false" ht="15" hidden="false" customHeight="false" outlineLevel="0" collapsed="false">
      <c r="A29" s="5" t="s">
        <v>43</v>
      </c>
      <c r="B29" s="19" t="n">
        <f aca="false">EXP(INDEX(Distribution!$B$6:$B$20,MIN(MAX(IFERROR(MATCH(0.5,Distribution!$U$6:$U$20,-1),1),1),14))+(LN(MIN(MAX(0.5,0.0001),0.9999)/(1-MIN(MAX(0.5,0.0001),0.9999)))-INDEX(Distribution!$V$6:$V$20,MIN(MAX(IFERROR(MATCH(0.5,Distribution!$U$6:$U$20,-1),1),1),14)))/(INDEX(Distribution!$V$6:$V$20,MIN(MAX(IFERROR(MATCH(0.5,Distribution!$U$6:$U$20,-1),1),1),14)+1)-INDEX(Distribution!$V$6:$V$20,MIN(MAX(IFERROR(MATCH(0.5,Distribution!$U$6:$U$20,-1),1),1),14)))*(INDEX(Distribution!$B$6:$B$20,MIN(MAX(IFERROR(MATCH(0.5,Distribution!$U$6:$U$20,-1),1),1),14)+1)-INDEX(Distribution!$B$6:$B$20,MIN(MAX(IFERROR(MATCH(0.5,Distribution!$U$6:$U$20,-1),1),1),14))))</f>
        <v>352.688638889199</v>
      </c>
      <c r="C29" s="6" t="n">
        <v>383.3241</v>
      </c>
      <c r="D29" s="7" t="s">
        <v>44</v>
      </c>
    </row>
    <row r="30" customFormat="false" ht="15" hidden="false" customHeight="false" outlineLevel="0" collapsed="false">
      <c r="A30" s="5" t="s">
        <v>45</v>
      </c>
      <c r="B30" s="19" t="n">
        <f aca="false">EXP(INDEX(Distribution!$B$6:$B$20,MIN(MAX(IFERROR(MATCH(0.25,Distribution!$U$6:$U$20,-1),1),1),14))+(LN(MIN(MAX(0.25,0.0001),0.9999)/(1-MIN(MAX(0.25,0.0001),0.9999)))-INDEX(Distribution!$V$6:$V$20,MIN(MAX(IFERROR(MATCH(0.25,Distribution!$U$6:$U$20,-1),1),1),14)))/(INDEX(Distribution!$V$6:$V$20,MIN(MAX(IFERROR(MATCH(0.25,Distribution!$U$6:$U$20,-1),1),1),14)+1)-INDEX(Distribution!$V$6:$V$20,MIN(MAX(IFERROR(MATCH(0.25,Distribution!$U$6:$U$20,-1),1),1),14)))*(INDEX(Distribution!$B$6:$B$20,MIN(MAX(IFERROR(MATCH(0.25,Distribution!$U$6:$U$20,-1),1),1),14)+1)-INDEX(Distribution!$B$6:$B$20,MIN(MAX(IFERROR(MATCH(0.25,Distribution!$U$6:$U$20,-1),1),1),14))))</f>
        <v>477.22144848784</v>
      </c>
      <c r="C30" s="6" t="n">
        <v>509.9534</v>
      </c>
      <c r="D30" s="7" t="s">
        <v>46</v>
      </c>
    </row>
    <row r="31" customFormat="false" ht="15" hidden="false" customHeight="false" outlineLevel="0" collapsed="false">
      <c r="A31" s="5" t="s">
        <v>47</v>
      </c>
      <c r="B31" s="19" t="n">
        <f aca="false">EXP(INDEX(Distribution!$B$6:$B$20,MIN(MAX(IFERROR(MATCH(0.85,Distribution!$U$6:$U$20,-1),1),1),14))+(LN(MIN(MAX(0.85,0.0001),0.9999)/(1-MIN(MAX(0.85,0.0001),0.9999)))-INDEX(Distribution!$V$6:$V$20,MIN(MAX(IFERROR(MATCH(0.85,Distribution!$U$6:$U$20,-1),1),1),14)))/(INDEX(Distribution!$V$6:$V$20,MIN(MAX(IFERROR(MATCH(0.85,Distribution!$U$6:$U$20,-1),1),1),14)+1)-INDEX(Distribution!$V$6:$V$20,MIN(MAX(IFERROR(MATCH(0.85,Distribution!$U$6:$U$20,-1),1),1),14)))*(INDEX(Distribution!$B$6:$B$20,MIN(MAX(IFERROR(MATCH(0.85,Distribution!$U$6:$U$20,-1),1),1),14)+1)-INDEX(Distribution!$B$6:$B$20,MIN(MAX(IFERROR(MATCH(0.85,Distribution!$U$6:$U$20,-1),1),1),14))))</f>
        <v>214.721434095057</v>
      </c>
      <c r="C31" s="6" t="n">
        <v>230.2057</v>
      </c>
      <c r="D31" s="7" t="s">
        <v>48</v>
      </c>
    </row>
    <row r="32" customFormat="false" ht="15" hidden="false" customHeight="false" outlineLevel="0" collapsed="false">
      <c r="A32" s="5" t="s">
        <v>49</v>
      </c>
      <c r="B32" s="16" t="n">
        <f aca="false">Spot*EXP(-2*IV30*SQRT(21/252))</f>
        <v>261.375968176356</v>
      </c>
      <c r="D32" s="7" t="s">
        <v>50</v>
      </c>
    </row>
    <row r="33" customFormat="false" ht="23.85" hidden="false" customHeight="false" outlineLevel="0" collapsed="false">
      <c r="A33" s="14" t="s">
        <v>51</v>
      </c>
      <c r="B33" s="20" t="n">
        <f aca="false">MIN(IF(AND(Thesis_Break&gt;0,Thesis_Break&lt;Spot),MAX(B31,Thesis_Break),B31),B32)</f>
        <v>260</v>
      </c>
      <c r="C33" s="21" t="n">
        <v>260</v>
      </c>
      <c r="D33" s="7" t="s">
        <v>52</v>
      </c>
    </row>
    <row r="34" customFormat="false" ht="15" hidden="false" customHeight="false" outlineLevel="0" collapsed="false">
      <c r="A34" s="5" t="s">
        <v>53</v>
      </c>
      <c r="B34" s="18" t="n">
        <f aca="false">B29/Spot-1</f>
        <v>0.0816015667603012</v>
      </c>
      <c r="C34" s="18" t="n">
        <f aca="false">C29/Spot-1</f>
        <v>0.17555231844946</v>
      </c>
    </row>
    <row r="35" customFormat="false" ht="15" hidden="false" customHeight="false" outlineLevel="0" collapsed="false">
      <c r="A35" s="5" t="s">
        <v>54</v>
      </c>
      <c r="C35" s="12" t="n">
        <v>0.6282</v>
      </c>
    </row>
    <row r="36" customFormat="false" ht="23.85" hidden="false" customHeight="false" outlineLevel="0" collapsed="false">
      <c r="A36" s="5" t="s">
        <v>55</v>
      </c>
      <c r="C36" s="6" t="n">
        <v>403.6107</v>
      </c>
      <c r="D36" s="7" t="s">
        <v>56</v>
      </c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15" hidden="false" customHeight="false" outlineLevel="0" collapsed="false">
      <c r="A39" s="22" t="s">
        <v>58</v>
      </c>
      <c r="D39" s="2" t="s">
        <v>59</v>
      </c>
    </row>
    <row r="40" customFormat="false" ht="15" hidden="false" customHeight="false" outlineLevel="0" collapsed="false">
      <c r="A40" s="22" t="s">
        <v>60</v>
      </c>
      <c r="D40" s="2" t="s">
        <v>61</v>
      </c>
    </row>
    <row r="41" customFormat="false" ht="15" hidden="false" customHeight="false" outlineLevel="0" collapsed="false">
      <c r="A41" s="22" t="s">
        <v>62</v>
      </c>
      <c r="D41" s="2" t="s">
        <v>63</v>
      </c>
    </row>
    <row r="42" customFormat="false" ht="15" hidden="false" customHeight="false" outlineLevel="0" collapsed="false">
      <c r="A42" s="22" t="s">
        <v>64</v>
      </c>
      <c r="D42" s="2" t="s">
        <v>65</v>
      </c>
    </row>
    <row r="43" customFormat="false" ht="15" hidden="false" customHeight="false" outlineLevel="0" collapsed="false">
      <c r="A43" s="22" t="s">
        <v>66</v>
      </c>
      <c r="D43" s="2" t="s">
        <v>67</v>
      </c>
    </row>
    <row r="44" customFormat="false" ht="15" hidden="false" customHeight="false" outlineLevel="0" collapsed="false">
      <c r="A44" s="22" t="s">
        <v>68</v>
      </c>
      <c r="D44" s="2" t="s">
        <v>69</v>
      </c>
    </row>
    <row r="45" customFormat="false" ht="15" hidden="false" customHeight="false" outlineLevel="0" collapsed="false">
      <c r="A45" s="22" t="s">
        <v>70</v>
      </c>
      <c r="D45" s="2" t="s">
        <v>71</v>
      </c>
    </row>
  </sheetData>
  <hyperlinks>
    <hyperlink ref="A39" location="'Assumptions'!A1" display="Assumptions"/>
    <hyperlink ref="A40" location="'Methods'!A1" display="Methods"/>
    <hyperlink ref="A41" location="'Scenarios'!A1" display="Scenarios"/>
    <hyperlink ref="A42" location="'Distribution'!A1" display="Distribution"/>
    <hyperlink ref="A43" location="'Reasoning'!A1" display="Reasoning"/>
    <hyperlink ref="A44" location="'Supervisor'!A1" display="Supervisor"/>
    <hyperlink ref="A45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23" t="s">
        <v>74</v>
      </c>
      <c r="B4" s="23" t="s">
        <v>75</v>
      </c>
      <c r="C4" s="23" t="s">
        <v>3</v>
      </c>
      <c r="D4" s="23" t="s">
        <v>66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</row>
    <row r="5" customFormat="false" ht="15" hidden="false" customHeight="false" outlineLevel="0" collapsed="false">
      <c r="A5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8" min="4" style="0" width="10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1" min="19" style="0" width="11"/>
    <col collapsed="false" customWidth="true" hidden="false" outlineLevel="0" max="22" min="22" style="0" width="9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5" customFormat="false" ht="23.85" hidden="false" customHeight="false" outlineLevel="0" collapsed="false">
      <c r="A5" s="23" t="s">
        <v>86</v>
      </c>
      <c r="B5" s="23" t="s">
        <v>87</v>
      </c>
      <c r="C5" s="23" t="s">
        <v>88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89</v>
      </c>
      <c r="J5" s="23" t="s">
        <v>68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95</v>
      </c>
      <c r="Q5" s="23" t="s">
        <v>96</v>
      </c>
      <c r="R5" s="23" t="s">
        <v>93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</row>
    <row r="6" customFormat="false" ht="15" hidden="false" customHeight="false" outlineLevel="0" collapsed="false">
      <c r="A6" s="6" t="n">
        <v>81.52</v>
      </c>
      <c r="B6" s="24" t="n">
        <f aca="false">LN(A6)</f>
        <v>4.40084838891447</v>
      </c>
      <c r="C6" s="25" t="n">
        <v>0.9988</v>
      </c>
      <c r="D6" s="25" t="n">
        <v>0.9983</v>
      </c>
      <c r="E6" s="25" t="n">
        <v>0.997</v>
      </c>
      <c r="F6" s="25" t="n">
        <v>0.9963</v>
      </c>
      <c r="G6" s="25" t="n">
        <v>0.9991</v>
      </c>
      <c r="H6" s="25" t="n">
        <v>0.9987</v>
      </c>
      <c r="I6" s="24" t="n">
        <f aca="false">AVERAGE(D6:H6)</f>
        <v>0.99788</v>
      </c>
      <c r="J6" s="25" t="n">
        <v>0.9979</v>
      </c>
      <c r="K6" s="24" t="n">
        <f aca="false">IF(AND(Sup_Used=1,ISNUMBER(J6)),J6,I6)</f>
        <v>0.99788</v>
      </c>
      <c r="L6" s="24" t="n">
        <f aca="false">LN(MIN(MAX(K6,0.0001),0.9999)/(1-MIN(MAX(K6,0.0001),0.9999)))</f>
        <v>6.15421693991711</v>
      </c>
      <c r="M6" s="16" t="n">
        <f aca="false">A6*EXP(-Platt_Shift)</f>
        <v>81.52</v>
      </c>
      <c r="N6" s="26" t="n">
        <f aca="false">MIN(MAX(IFERROR(MATCH(M6,Distribution!$A$6:$A$20,1),1),1),14)</f>
        <v>1</v>
      </c>
      <c r="O6" s="24" t="n">
        <f aca="false">1/(1+EXP(-(INDEX(Distribution!$L$6:$L$20,N6)+(LN(M6)-INDEX(Distribution!$B$6:$B$20,N6))/(INDEX(Distribution!$B$6:$B$20,N6+1)-INDEX(Distribution!$B$6:$B$20,N6))*(INDEX(Distribution!$L$6:$L$20,N6+1)-INDEX(Distribution!$L$6:$L$20,N6)))))</f>
        <v>0.99788</v>
      </c>
      <c r="P6" s="24" t="n">
        <f aca="false">LN(MIN(MAX(C6,0.0001),0.9999)/(1-MIN(MAX(C6,0.0001),0.9999)))</f>
        <v>6.72423300161168</v>
      </c>
      <c r="Q6" s="16" t="n">
        <f aca="false">IF(Analyst_Median&gt;0,A6*Market_Median/Analyst_Median,A6)</f>
        <v>50.7803866359798</v>
      </c>
      <c r="R6" s="26" t="n">
        <f aca="false">MIN(MAX(IFERROR(MATCH(Q6,Distribution!$A$6:$A$20,1),1),1),14)</f>
        <v>1</v>
      </c>
      <c r="S6" s="24" t="n">
        <f aca="false">1/(1+EXP(-(INDEX(Distribution!$P$6:$P$20,R6)+(LN(Q6)-INDEX(Distribution!$B$6:$B$20,R6))/(INDEX(Distribution!$B$6:$B$20,R6+1)-INDEX(Distribution!$B$6:$B$20,R6))*(INDEX(Distribution!$P$6:$P$20,R6+1)-INDEX(Distribution!$P$6:$P$20,R6)))))</f>
        <v>0.999935963246244</v>
      </c>
      <c r="T6" s="24" t="n">
        <f aca="false">W_Mkt*C6+W_Agents*O6</f>
        <v>0.9984964</v>
      </c>
      <c r="U6" s="27" t="n">
        <f aca="false">(1-W_Analyst)*T6+W_Analyst*S6</f>
        <v>0.9984964</v>
      </c>
      <c r="V6" s="24" t="n">
        <f aca="false">LN(MIN(MAX(U6,0.0001),0.9999)/(1-MIN(MAX(U6,0.0001),0.9999)))</f>
        <v>6.49838831473341</v>
      </c>
      <c r="W6" s="25" t="n">
        <v>0.9993</v>
      </c>
    </row>
    <row r="7" customFormat="false" ht="15" hidden="false" customHeight="false" outlineLevel="0" collapsed="false">
      <c r="A7" s="6" t="n">
        <v>130.43</v>
      </c>
      <c r="B7" s="24" t="n">
        <f aca="false">LN(A7)</f>
        <v>4.87083668438219</v>
      </c>
      <c r="C7" s="25" t="n">
        <v>0.9784</v>
      </c>
      <c r="D7" s="25" t="n">
        <v>0.9888</v>
      </c>
      <c r="E7" s="25" t="n">
        <v>0.9843</v>
      </c>
      <c r="F7" s="25" t="n">
        <v>0.9898</v>
      </c>
      <c r="G7" s="25" t="n">
        <v>0.9872</v>
      </c>
      <c r="H7" s="25" t="n">
        <v>0.9803</v>
      </c>
      <c r="I7" s="24" t="n">
        <f aca="false">AVERAGE(D7:H7)</f>
        <v>0.98608</v>
      </c>
      <c r="J7" s="25" t="n">
        <v>0.9831</v>
      </c>
      <c r="K7" s="24" t="n">
        <f aca="false">IF(AND(Sup_Used=1,ISNUMBER(J7)),J7,I7)</f>
        <v>0.98608</v>
      </c>
      <c r="L7" s="24" t="n">
        <f aca="false">LN(MIN(MAX(K7,0.0001),0.9999)/(1-MIN(MAX(K7,0.0001),0.9999)))</f>
        <v>4.26041083230766</v>
      </c>
      <c r="M7" s="16" t="n">
        <f aca="false">A7*EXP(-Platt_Shift)</f>
        <v>130.43</v>
      </c>
      <c r="N7" s="26" t="n">
        <f aca="false">MIN(MAX(IFERROR(MATCH(M7,Distribution!$A$6:$A$20,1),1),1),14)</f>
        <v>2</v>
      </c>
      <c r="O7" s="24" t="n">
        <f aca="false">1/(1+EXP(-(INDEX(Distribution!$L$6:$L$20,N7)+(LN(M7)-INDEX(Distribution!$B$6:$B$20,N7))/(INDEX(Distribution!$B$6:$B$20,N7+1)-INDEX(Distribution!$B$6:$B$20,N7))*(INDEX(Distribution!$L$6:$L$20,N7+1)-INDEX(Distribution!$L$6:$L$20,N7)))))</f>
        <v>0.98608</v>
      </c>
      <c r="P7" s="24" t="n">
        <f aca="false">LN(MIN(MAX(C7,0.0001),0.9999)/(1-MIN(MAX(C7,0.0001),0.9999)))</f>
        <v>3.81322526968285</v>
      </c>
      <c r="Q7" s="16" t="n">
        <f aca="false">IF(Analyst_Median&gt;0,A7*Market_Median/Analyst_Median,A7)</f>
        <v>81.2473727788376</v>
      </c>
      <c r="R7" s="26" t="n">
        <f aca="false">MIN(MAX(IFERROR(MATCH(Q7,Distribution!$A$6:$A$20,1),1),1),14)</f>
        <v>1</v>
      </c>
      <c r="S7" s="24" t="n">
        <f aca="false">1/(1+EXP(-(INDEX(Distribution!$P$6:$P$20,R7)+(LN(Q7)-INDEX(Distribution!$B$6:$B$20,R7))/(INDEX(Distribution!$B$6:$B$20,R7+1)-INDEX(Distribution!$B$6:$B$20,R7))*(INDEX(Distribution!$P$6:$P$20,R7+1)-INDEX(Distribution!$P$6:$P$20,R7)))))</f>
        <v>0.998824612818802</v>
      </c>
      <c r="T7" s="24" t="n">
        <f aca="false">W_Mkt*C7+W_Agents*O7</f>
        <v>0.9809344</v>
      </c>
      <c r="U7" s="27" t="n">
        <f aca="false">(1-W_Analyst)*T7+W_Analyst*S7</f>
        <v>0.9809344</v>
      </c>
      <c r="V7" s="24" t="n">
        <f aca="false">LN(MIN(MAX(U7,0.0001),0.9999)/(1-MIN(MAX(U7,0.0001),0.9999)))</f>
        <v>3.9406199226924</v>
      </c>
      <c r="W7" s="25" t="n">
        <v>0.9866</v>
      </c>
    </row>
    <row r="8" customFormat="false" ht="15" hidden="false" customHeight="false" outlineLevel="0" collapsed="false">
      <c r="A8" s="6" t="n">
        <v>163.04</v>
      </c>
      <c r="B8" s="24" t="n">
        <f aca="false">LN(A8)</f>
        <v>5.09399556947442</v>
      </c>
      <c r="C8" s="25" t="n">
        <v>0.938</v>
      </c>
      <c r="D8" s="25" t="n">
        <v>0.9722</v>
      </c>
      <c r="E8" s="25" t="n">
        <v>0.9637</v>
      </c>
      <c r="F8" s="25" t="n">
        <v>0.9786</v>
      </c>
      <c r="G8" s="25" t="n">
        <v>0.9601</v>
      </c>
      <c r="H8" s="25" t="n">
        <v>0.9393</v>
      </c>
      <c r="I8" s="24" t="n">
        <f aca="false">AVERAGE(D8:H8)</f>
        <v>0.96278</v>
      </c>
      <c r="J8" s="25" t="n">
        <v>0.9564</v>
      </c>
      <c r="K8" s="24" t="n">
        <f aca="false">IF(AND(Sup_Used=1,ISNUMBER(J8)),J8,I8)</f>
        <v>0.96278</v>
      </c>
      <c r="L8" s="24" t="n">
        <f aca="false">LN(MIN(MAX(K8,0.0001),0.9999)/(1-MIN(MAX(K8,0.0001),0.9999)))</f>
        <v>3.2529786817329</v>
      </c>
      <c r="M8" s="16" t="n">
        <f aca="false">A8*EXP(-Platt_Shift)</f>
        <v>163.04</v>
      </c>
      <c r="N8" s="26" t="n">
        <f aca="false">MIN(MAX(IFERROR(MATCH(M8,Distribution!$A$6:$A$20,1),1),1),14)</f>
        <v>3</v>
      </c>
      <c r="O8" s="24" t="n">
        <f aca="false">1/(1+EXP(-(INDEX(Distribution!$L$6:$L$20,N8)+(LN(M8)-INDEX(Distribution!$B$6:$B$20,N8))/(INDEX(Distribution!$B$6:$B$20,N8+1)-INDEX(Distribution!$B$6:$B$20,N8))*(INDEX(Distribution!$L$6:$L$20,N8+1)-INDEX(Distribution!$L$6:$L$20,N8)))))</f>
        <v>0.96278</v>
      </c>
      <c r="P8" s="24" t="n">
        <f aca="false">LN(MIN(MAX(C8,0.0001),0.9999)/(1-MIN(MAX(C8,0.0001),0.9999)))</f>
        <v>2.71661556396113</v>
      </c>
      <c r="Q8" s="16" t="n">
        <f aca="false">IF(Analyst_Median&gt;0,A8*Market_Median/Analyst_Median,A8)</f>
        <v>101.56077327196</v>
      </c>
      <c r="R8" s="26" t="n">
        <f aca="false">MIN(MAX(IFERROR(MATCH(Q8,Distribution!$A$6:$A$20,1),1),1),14)</f>
        <v>1</v>
      </c>
      <c r="S8" s="24" t="n">
        <f aca="false">1/(1+EXP(-(INDEX(Distribution!$P$6:$P$20,R8)+(LN(Q8)-INDEX(Distribution!$B$6:$B$20,R8))/(INDEX(Distribution!$B$6:$B$20,R8+1)-INDEX(Distribution!$B$6:$B$20,R8))*(INDEX(Distribution!$P$6:$P$20,R8+1)-INDEX(Distribution!$P$6:$P$20,R8)))))</f>
        <v>0.995334030856422</v>
      </c>
      <c r="T8" s="24" t="n">
        <f aca="false">W_Mkt*C8+W_Agents*O8</f>
        <v>0.9461774</v>
      </c>
      <c r="U8" s="27" t="n">
        <f aca="false">(1-W_Analyst)*T8+W_Analyst*S8</f>
        <v>0.9461774</v>
      </c>
      <c r="V8" s="24" t="n">
        <f aca="false">LN(MIN(MAX(U8,0.0001),0.9999)/(1-MIN(MAX(U8,0.0001),0.9999)))</f>
        <v>2.86673662458741</v>
      </c>
      <c r="W8" s="25" t="n">
        <v>0.9597</v>
      </c>
    </row>
    <row r="9" customFormat="false" ht="15" hidden="false" customHeight="false" outlineLevel="0" collapsed="false">
      <c r="A9" s="6" t="n">
        <v>195.65</v>
      </c>
      <c r="B9" s="24" t="n">
        <f aca="false">LN(A9)</f>
        <v>5.27632734865642</v>
      </c>
      <c r="C9" s="25" t="n">
        <v>0.8737</v>
      </c>
      <c r="D9" s="25" t="n">
        <v>0.9413</v>
      </c>
      <c r="E9" s="25" t="n">
        <v>0.9238</v>
      </c>
      <c r="F9" s="25" t="n">
        <v>0.9442</v>
      </c>
      <c r="G9" s="25" t="n">
        <v>0.9182</v>
      </c>
      <c r="H9" s="25" t="n">
        <v>0.8836</v>
      </c>
      <c r="I9" s="24" t="n">
        <f aca="false">AVERAGE(D9:H9)</f>
        <v>0.92222</v>
      </c>
      <c r="J9" s="25" t="n">
        <v>0.913</v>
      </c>
      <c r="K9" s="24" t="n">
        <f aca="false">IF(AND(Sup_Used=1,ISNUMBER(J9)),J9,I9)</f>
        <v>0.92222</v>
      </c>
      <c r="L9" s="24" t="n">
        <f aca="false">LN(MIN(MAX(K9,0.0001),0.9999)/(1-MIN(MAX(K9,0.0001),0.9999)))</f>
        <v>2.47289947807941</v>
      </c>
      <c r="M9" s="16" t="n">
        <f aca="false">A9*EXP(-Platt_Shift)</f>
        <v>195.65</v>
      </c>
      <c r="N9" s="26" t="n">
        <f aca="false">MIN(MAX(IFERROR(MATCH(M9,Distribution!$A$6:$A$20,1),1),1),14)</f>
        <v>4</v>
      </c>
      <c r="O9" s="24" t="n">
        <f aca="false">1/(1+EXP(-(INDEX(Distribution!$L$6:$L$20,N9)+(LN(M9)-INDEX(Distribution!$B$6:$B$20,N9))/(INDEX(Distribution!$B$6:$B$20,N9+1)-INDEX(Distribution!$B$6:$B$20,N9))*(INDEX(Distribution!$L$6:$L$20,N9+1)-INDEX(Distribution!$L$6:$L$20,N9)))))</f>
        <v>0.92222</v>
      </c>
      <c r="P9" s="24" t="n">
        <f aca="false">LN(MIN(MAX(C9,0.0001),0.9999)/(1-MIN(MAX(C9,0.0001),0.9999)))</f>
        <v>1.9340770379476</v>
      </c>
      <c r="Q9" s="16" t="n">
        <f aca="false">IF(Analyst_Median&gt;0,A9*Market_Median/Analyst_Median,A9)</f>
        <v>121.874173765081</v>
      </c>
      <c r="R9" s="26" t="n">
        <f aca="false">MIN(MAX(IFERROR(MATCH(Q9,Distribution!$A$6:$A$20,1),1),1),14)</f>
        <v>1</v>
      </c>
      <c r="S9" s="24" t="n">
        <f aca="false">1/(1+EXP(-(INDEX(Distribution!$P$6:$P$20,R9)+(LN(Q9)-INDEX(Distribution!$B$6:$B$20,R9))/(INDEX(Distribution!$B$6:$B$20,R9+1)-INDEX(Distribution!$B$6:$B$20,R9))*(INDEX(Distribution!$P$6:$P$20,R9+1)-INDEX(Distribution!$P$6:$P$20,R9)))))</f>
        <v>0.985705157811881</v>
      </c>
      <c r="T9" s="24" t="n">
        <f aca="false">W_Mkt*C9+W_Agents*O9</f>
        <v>0.8897116</v>
      </c>
      <c r="U9" s="27" t="n">
        <f aca="false">(1-W_Analyst)*T9+W_Analyst*S9</f>
        <v>0.8897116</v>
      </c>
      <c r="V9" s="24" t="n">
        <f aca="false">LN(MIN(MAX(U9,0.0001),0.9999)/(1-MIN(MAX(U9,0.0001),0.9999)))</f>
        <v>2.0877986122639</v>
      </c>
      <c r="W9" s="25" t="n">
        <v>0.9147</v>
      </c>
    </row>
    <row r="10" customFormat="false" ht="15" hidden="false" customHeight="false" outlineLevel="0" collapsed="false">
      <c r="A10" s="6" t="n">
        <v>228.26</v>
      </c>
      <c r="B10" s="24" t="n">
        <f aca="false">LN(A10)</f>
        <v>5.43048533012545</v>
      </c>
      <c r="C10" s="25" t="n">
        <v>0.7911</v>
      </c>
      <c r="D10" s="25" t="n">
        <v>0.901</v>
      </c>
      <c r="E10" s="25" t="n">
        <v>0.8756</v>
      </c>
      <c r="F10" s="25" t="n">
        <v>0.8932</v>
      </c>
      <c r="G10" s="25" t="n">
        <v>0.8661</v>
      </c>
      <c r="H10" s="25" t="n">
        <v>0.8262</v>
      </c>
      <c r="I10" s="24" t="n">
        <f aca="false">AVERAGE(D10:H10)</f>
        <v>0.87242</v>
      </c>
      <c r="J10" s="25" t="n">
        <v>0.8612</v>
      </c>
      <c r="K10" s="24" t="n">
        <f aca="false">IF(AND(Sup_Used=1,ISNUMBER(J10)),J10,I10)</f>
        <v>0.87242</v>
      </c>
      <c r="L10" s="24" t="n">
        <f aca="false">LN(MIN(MAX(K10,0.0001),0.9999)/(1-MIN(MAX(K10,0.0001),0.9999)))</f>
        <v>1.92252734051453</v>
      </c>
      <c r="M10" s="16" t="n">
        <f aca="false">A10*EXP(-Platt_Shift)</f>
        <v>228.26</v>
      </c>
      <c r="N10" s="26" t="n">
        <f aca="false">MIN(MAX(IFERROR(MATCH(M10,Distribution!$A$6:$A$20,1),1),1),14)</f>
        <v>5</v>
      </c>
      <c r="O10" s="24" t="n">
        <f aca="false">1/(1+EXP(-(INDEX(Distribution!$L$6:$L$20,N10)+(LN(M10)-INDEX(Distribution!$B$6:$B$20,N10))/(INDEX(Distribution!$B$6:$B$20,N10+1)-INDEX(Distribution!$B$6:$B$20,N10))*(INDEX(Distribution!$L$6:$L$20,N10+1)-INDEX(Distribution!$L$6:$L$20,N10)))))</f>
        <v>0.87242</v>
      </c>
      <c r="P10" s="24" t="n">
        <f aca="false">LN(MIN(MAX(C10,0.0001),0.9999)/(1-MIN(MAX(C10,0.0001),0.9999)))</f>
        <v>1.33156871346483</v>
      </c>
      <c r="Q10" s="16" t="n">
        <f aca="false">IF(Analyst_Median&gt;0,A10*Market_Median/Analyst_Median,A10)</f>
        <v>142.187574258203</v>
      </c>
      <c r="R10" s="26" t="n">
        <f aca="false">MIN(MAX(IFERROR(MATCH(Q10,Distribution!$A$6:$A$20,1),1),1),14)</f>
        <v>2</v>
      </c>
      <c r="S10" s="24" t="n">
        <f aca="false">1/(1+EXP(-(INDEX(Distribution!$P$6:$P$20,R10)+(LN(Q10)-INDEX(Distribution!$B$6:$B$20,R10))/(INDEX(Distribution!$B$6:$B$20,R10+1)-INDEX(Distribution!$B$6:$B$20,R10))*(INDEX(Distribution!$P$6:$P$20,R10+1)-INDEX(Distribution!$P$6:$P$20,R10)))))</f>
        <v>0.96736192175681</v>
      </c>
      <c r="T10" s="24" t="n">
        <f aca="false">W_Mkt*C10+W_Agents*O10</f>
        <v>0.8179356</v>
      </c>
      <c r="U10" s="27" t="n">
        <f aca="false">(1-W_Analyst)*T10+W_Analyst*S10</f>
        <v>0.8179356</v>
      </c>
      <c r="V10" s="24" t="n">
        <f aca="false">LN(MIN(MAX(U10,0.0001),0.9999)/(1-MIN(MAX(U10,0.0001),0.9999)))</f>
        <v>1.50242313425528</v>
      </c>
      <c r="W10" s="25" t="n">
        <v>0.8539</v>
      </c>
    </row>
    <row r="11" customFormat="false" ht="15" hidden="false" customHeight="false" outlineLevel="0" collapsed="false">
      <c r="A11" s="6" t="n">
        <v>260.86</v>
      </c>
      <c r="B11" s="24" t="n">
        <f aca="false">LN(A11)</f>
        <v>5.56398386494214</v>
      </c>
      <c r="C11" s="25" t="n">
        <v>0.6989</v>
      </c>
      <c r="D11" s="25" t="n">
        <v>0.8513</v>
      </c>
      <c r="E11" s="25" t="n">
        <v>0.8207</v>
      </c>
      <c r="F11" s="25" t="n">
        <v>0.8299</v>
      </c>
      <c r="G11" s="25" t="n">
        <v>0.8045</v>
      </c>
      <c r="H11" s="25" t="n">
        <v>0.7687</v>
      </c>
      <c r="I11" s="24" t="n">
        <f aca="false">AVERAGE(D11:H11)</f>
        <v>0.81502</v>
      </c>
      <c r="J11" s="25" t="n">
        <v>0.8003</v>
      </c>
      <c r="K11" s="24" t="n">
        <f aca="false">IF(AND(Sup_Used=1,ISNUMBER(J11)),J11,I11)</f>
        <v>0.81502</v>
      </c>
      <c r="L11" s="24" t="n">
        <f aca="false">LN(MIN(MAX(K11,0.0001),0.9999)/(1-MIN(MAX(K11,0.0001),0.9999)))</f>
        <v>1.48296494169095</v>
      </c>
      <c r="M11" s="16" t="n">
        <f aca="false">A11*EXP(-Platt_Shift)</f>
        <v>260.86</v>
      </c>
      <c r="N11" s="26" t="n">
        <f aca="false">MIN(MAX(IFERROR(MATCH(M11,Distribution!$A$6:$A$20,1),1),1),14)</f>
        <v>6</v>
      </c>
      <c r="O11" s="24" t="n">
        <f aca="false">1/(1+EXP(-(INDEX(Distribution!$L$6:$L$20,N11)+(LN(M11)-INDEX(Distribution!$B$6:$B$20,N11))/(INDEX(Distribution!$B$6:$B$20,N11+1)-INDEX(Distribution!$B$6:$B$20,N11))*(INDEX(Distribution!$L$6:$L$20,N11+1)-INDEX(Distribution!$L$6:$L$20,N11)))))</f>
        <v>0.81502</v>
      </c>
      <c r="P11" s="24" t="n">
        <f aca="false">LN(MIN(MAX(C11,0.0001),0.9999)/(1-MIN(MAX(C11,0.0001),0.9999)))</f>
        <v>0.842065234995395</v>
      </c>
      <c r="Q11" s="16" t="n">
        <f aca="false">IF(Analyst_Median&gt;0,A11*Market_Median/Analyst_Median,A11)</f>
        <v>162.494745557675</v>
      </c>
      <c r="R11" s="26" t="n">
        <f aca="false">MIN(MAX(IFERROR(MATCH(Q11,Distribution!$A$6:$A$20,1),1),1),14)</f>
        <v>2</v>
      </c>
      <c r="S11" s="24" t="n">
        <f aca="false">1/(1+EXP(-(INDEX(Distribution!$P$6:$P$20,R11)+(LN(Q11)-INDEX(Distribution!$B$6:$B$20,R11))/(INDEX(Distribution!$B$6:$B$20,R11+1)-INDEX(Distribution!$B$6:$B$20,R11))*(INDEX(Distribution!$P$6:$P$20,R11+1)-INDEX(Distribution!$P$6:$P$20,R11)))))</f>
        <v>0.938950462233765</v>
      </c>
      <c r="T11" s="24" t="n">
        <f aca="false">W_Mkt*C11+W_Agents*O11</f>
        <v>0.7372196</v>
      </c>
      <c r="U11" s="27" t="n">
        <f aca="false">(1-W_Analyst)*T11+W_Analyst*S11</f>
        <v>0.7372196</v>
      </c>
      <c r="V11" s="24" t="n">
        <f aca="false">LN(MIN(MAX(U11,0.0001),0.9999)/(1-MIN(MAX(U11,0.0001),0.9999)))</f>
        <v>1.03156711013013</v>
      </c>
      <c r="W11" s="25" t="n">
        <v>0.7824</v>
      </c>
    </row>
    <row r="12" customFormat="false" ht="15" hidden="false" customHeight="false" outlineLevel="0" collapsed="false">
      <c r="A12" s="6" t="n">
        <v>293.47</v>
      </c>
      <c r="B12" s="24" t="n">
        <f aca="false">LN(A12)</f>
        <v>5.68177541939311</v>
      </c>
      <c r="C12" s="25" t="n">
        <v>0.605</v>
      </c>
      <c r="D12" s="25" t="n">
        <v>0.7911</v>
      </c>
      <c r="E12" s="25" t="n">
        <v>0.7583</v>
      </c>
      <c r="F12" s="25" t="n">
        <v>0.7559</v>
      </c>
      <c r="G12" s="25" t="n">
        <v>0.7313</v>
      </c>
      <c r="H12" s="25" t="n">
        <v>0.7027</v>
      </c>
      <c r="I12" s="24" t="n">
        <f aca="false">AVERAGE(D12:H12)</f>
        <v>0.74786</v>
      </c>
      <c r="J12" s="25" t="n">
        <v>0.731</v>
      </c>
      <c r="K12" s="24" t="n">
        <f aca="false">IF(AND(Sup_Used=1,ISNUMBER(J12)),J12,I12)</f>
        <v>0.74786</v>
      </c>
      <c r="L12" s="24" t="n">
        <f aca="false">LN(MIN(MAX(K12,0.0001),0.9999)/(1-MIN(MAX(K12,0.0001),0.9999)))</f>
        <v>1.08723130587825</v>
      </c>
      <c r="M12" s="16" t="n">
        <f aca="false">A12*EXP(-Platt_Shift)</f>
        <v>293.47</v>
      </c>
      <c r="N12" s="26" t="n">
        <f aca="false">MIN(MAX(IFERROR(MATCH(M12,Distribution!$A$6:$A$20,1),1),1),14)</f>
        <v>7</v>
      </c>
      <c r="O12" s="24" t="n">
        <f aca="false">1/(1+EXP(-(INDEX(Distribution!$L$6:$L$20,N12)+(LN(M12)-INDEX(Distribution!$B$6:$B$20,N12))/(INDEX(Distribution!$B$6:$B$20,N12+1)-INDEX(Distribution!$B$6:$B$20,N12))*(INDEX(Distribution!$L$6:$L$20,N12+1)-INDEX(Distribution!$L$6:$L$20,N12)))))</f>
        <v>0.74786</v>
      </c>
      <c r="P12" s="24" t="n">
        <f aca="false">LN(MIN(MAX(C12,0.0001),0.9999)/(1-MIN(MAX(C12,0.0001),0.9999)))</f>
        <v>0.42634269312972</v>
      </c>
      <c r="Q12" s="16" t="n">
        <f aca="false">IF(Analyst_Median&gt;0,A12*Market_Median/Analyst_Median,A12)</f>
        <v>182.808146050797</v>
      </c>
      <c r="R12" s="26" t="n">
        <f aca="false">MIN(MAX(IFERROR(MATCH(Q12,Distribution!$A$6:$A$20,1),1),1),14)</f>
        <v>3</v>
      </c>
      <c r="S12" s="24" t="n">
        <f aca="false">1/(1+EXP(-(INDEX(Distribution!$P$6:$P$20,R12)+(LN(Q12)-INDEX(Distribution!$B$6:$B$20,R12))/(INDEX(Distribution!$B$6:$B$20,R12+1)-INDEX(Distribution!$B$6:$B$20,R12))*(INDEX(Distribution!$P$6:$P$20,R12+1)-INDEX(Distribution!$P$6:$P$20,R12)))))</f>
        <v>0.902511806540275</v>
      </c>
      <c r="T12" s="24" t="n">
        <f aca="false">W_Mkt*C12+W_Agents*O12</f>
        <v>0.6521438</v>
      </c>
      <c r="U12" s="27" t="n">
        <f aca="false">(1-W_Analyst)*T12+W_Analyst*S12</f>
        <v>0.6521438</v>
      </c>
      <c r="V12" s="24" t="n">
        <f aca="false">LN(MIN(MAX(U12,0.0001),0.9999)/(1-MIN(MAX(U12,0.0001),0.9999)))</f>
        <v>0.628475913770418</v>
      </c>
      <c r="W12" s="25" t="n">
        <v>0.7057</v>
      </c>
    </row>
    <row r="13" customFormat="false" ht="15" hidden="false" customHeight="false" outlineLevel="0" collapsed="false">
      <c r="A13" s="6" t="n">
        <v>326.08</v>
      </c>
      <c r="B13" s="24" t="n">
        <f aca="false">LN(A13)</f>
        <v>5.78714275003436</v>
      </c>
      <c r="C13" s="25" t="n">
        <v>0.5153</v>
      </c>
      <c r="D13" s="25" t="n">
        <v>0.7209</v>
      </c>
      <c r="E13" s="25" t="n">
        <v>0.6888</v>
      </c>
      <c r="F13" s="25" t="n">
        <v>0.6759</v>
      </c>
      <c r="G13" s="25" t="n">
        <v>0.6485</v>
      </c>
      <c r="H13" s="25" t="n">
        <v>0.6266</v>
      </c>
      <c r="I13" s="24" t="n">
        <f aca="false">AVERAGE(D13:H13)</f>
        <v>0.67214</v>
      </c>
      <c r="J13" s="25" t="n">
        <v>0.6539</v>
      </c>
      <c r="K13" s="24" t="n">
        <f aca="false">IF(AND(Sup_Used=1,ISNUMBER(J13)),J13,I13)</f>
        <v>0.67214</v>
      </c>
      <c r="L13" s="24" t="n">
        <f aca="false">LN(MIN(MAX(K13,0.0001),0.9999)/(1-MIN(MAX(K13,0.0001),0.9999)))</f>
        <v>0.717879964159797</v>
      </c>
      <c r="M13" s="16" t="n">
        <f aca="false">A13*EXP(-Platt_Shift)</f>
        <v>326.08</v>
      </c>
      <c r="N13" s="26" t="n">
        <f aca="false">MIN(MAX(IFERROR(MATCH(M13,Distribution!$A$6:$A$20,1),1),1),14)</f>
        <v>8</v>
      </c>
      <c r="O13" s="24" t="n">
        <f aca="false">1/(1+EXP(-(INDEX(Distribution!$L$6:$L$20,N13)+(LN(M13)-INDEX(Distribution!$B$6:$B$20,N13))/(INDEX(Distribution!$B$6:$B$20,N13+1)-INDEX(Distribution!$B$6:$B$20,N13))*(INDEX(Distribution!$L$6:$L$20,N13+1)-INDEX(Distribution!$L$6:$L$20,N13)))))</f>
        <v>0.67214</v>
      </c>
      <c r="P13" s="24" t="n">
        <f aca="false">LN(MIN(MAX(C13,0.0001),0.9999)/(1-MIN(MAX(C13,0.0001),0.9999)))</f>
        <v>0.0612191124828482</v>
      </c>
      <c r="Q13" s="16" t="n">
        <f aca="false">IF(Analyst_Median&gt;0,A13*Market_Median/Analyst_Median,A13)</f>
        <v>203.121546543919</v>
      </c>
      <c r="R13" s="26" t="n">
        <f aca="false">MIN(MAX(IFERROR(MATCH(Q13,Distribution!$A$6:$A$20,1),1),1),14)</f>
        <v>4</v>
      </c>
      <c r="S13" s="24" t="n">
        <f aca="false">1/(1+EXP(-(INDEX(Distribution!$P$6:$P$20,R13)+(LN(Q13)-INDEX(Distribution!$B$6:$B$20,R13))/(INDEX(Distribution!$B$6:$B$20,R13+1)-INDEX(Distribution!$B$6:$B$20,R13))*(INDEX(Distribution!$P$6:$P$20,R13+1)-INDEX(Distribution!$P$6:$P$20,R13)))))</f>
        <v>0.856632998793753</v>
      </c>
      <c r="T13" s="24" t="n">
        <f aca="false">W_Mkt*C13+W_Agents*O13</f>
        <v>0.5670572</v>
      </c>
      <c r="U13" s="27" t="n">
        <f aca="false">(1-W_Analyst)*T13+W_Analyst*S13</f>
        <v>0.5670572</v>
      </c>
      <c r="V13" s="24" t="n">
        <f aca="false">LN(MIN(MAX(U13,0.0001),0.9999)/(1-MIN(MAX(U13,0.0001),0.9999)))</f>
        <v>0.269854562814063</v>
      </c>
      <c r="W13" s="25" t="n">
        <v>0.6282</v>
      </c>
    </row>
    <row r="14" customFormat="false" ht="15" hidden="false" customHeight="false" outlineLevel="0" collapsed="false">
      <c r="A14" s="6" t="n">
        <v>358.69</v>
      </c>
      <c r="B14" s="24" t="n">
        <f aca="false">LN(A14)</f>
        <v>5.88245850569967</v>
      </c>
      <c r="C14" s="25" t="n">
        <v>0.4333</v>
      </c>
      <c r="D14" s="25" t="n">
        <v>0.6437</v>
      </c>
      <c r="E14" s="25" t="n">
        <v>0.6144</v>
      </c>
      <c r="F14" s="25" t="n">
        <v>0.5942</v>
      </c>
      <c r="G14" s="25" t="n">
        <v>0.5608</v>
      </c>
      <c r="H14" s="25" t="n">
        <v>0.5442</v>
      </c>
      <c r="I14" s="24" t="n">
        <f aca="false">AVERAGE(D14:H14)</f>
        <v>0.59146</v>
      </c>
      <c r="J14" s="25" t="n">
        <v>0.572</v>
      </c>
      <c r="K14" s="24" t="n">
        <f aca="false">IF(AND(Sup_Used=1,ISNUMBER(J14)),J14,I14)</f>
        <v>0.59146</v>
      </c>
      <c r="L14" s="24" t="n">
        <f aca="false">LN(MIN(MAX(K14,0.0001),0.9999)/(1-MIN(MAX(K14,0.0001),0.9999)))</f>
        <v>0.37000422772585</v>
      </c>
      <c r="M14" s="16" t="n">
        <f aca="false">A14*EXP(-Platt_Shift)</f>
        <v>358.69</v>
      </c>
      <c r="N14" s="26" t="n">
        <f aca="false">MIN(MAX(IFERROR(MATCH(M14,Distribution!$A$6:$A$20,1),1),1),14)</f>
        <v>9</v>
      </c>
      <c r="O14" s="24" t="n">
        <f aca="false">1/(1+EXP(-(INDEX(Distribution!$L$6:$L$20,N14)+(LN(M14)-INDEX(Distribution!$B$6:$B$20,N14))/(INDEX(Distribution!$B$6:$B$20,N14+1)-INDEX(Distribution!$B$6:$B$20,N14))*(INDEX(Distribution!$L$6:$L$20,N14+1)-INDEX(Distribution!$L$6:$L$20,N14)))))</f>
        <v>0.59146</v>
      </c>
      <c r="P14" s="24" t="n">
        <f aca="false">LN(MIN(MAX(C14,0.0001),0.9999)/(1-MIN(MAX(C14,0.0001),0.9999)))</f>
        <v>-0.26839973442971</v>
      </c>
      <c r="Q14" s="16" t="n">
        <f aca="false">IF(Analyst_Median&gt;0,A14*Market_Median/Analyst_Median,A14)</f>
        <v>223.434947037041</v>
      </c>
      <c r="R14" s="26" t="n">
        <f aca="false">MIN(MAX(IFERROR(MATCH(Q14,Distribution!$A$6:$A$20,1),1),1),14)</f>
        <v>4</v>
      </c>
      <c r="S14" s="24" t="n">
        <f aca="false">1/(1+EXP(-(INDEX(Distribution!$P$6:$P$20,R14)+(LN(Q14)-INDEX(Distribution!$B$6:$B$20,R14))/(INDEX(Distribution!$B$6:$B$20,R14+1)-INDEX(Distribution!$B$6:$B$20,R14))*(INDEX(Distribution!$P$6:$P$20,R14+1)-INDEX(Distribution!$P$6:$P$20,R14)))))</f>
        <v>0.804564603153848</v>
      </c>
      <c r="T14" s="24" t="n">
        <f aca="false">W_Mkt*C14+W_Agents*O14</f>
        <v>0.4854928</v>
      </c>
      <c r="U14" s="27" t="n">
        <f aca="false">(1-W_Analyst)*T14+W_Analyst*S14</f>
        <v>0.4854928</v>
      </c>
      <c r="V14" s="24" t="n">
        <f aca="false">LN(MIN(MAX(U14,0.0001),0.9999)/(1-MIN(MAX(U14,0.0001),0.9999)))</f>
        <v>-0.0580450917959604</v>
      </c>
      <c r="W14" s="25" t="n">
        <v>0.5534</v>
      </c>
    </row>
    <row r="15" customFormat="false" ht="15" hidden="false" customHeight="false" outlineLevel="0" collapsed="false">
      <c r="A15" s="6" t="n">
        <v>391.3</v>
      </c>
      <c r="B15" s="24" t="n">
        <f aca="false">LN(A15)</f>
        <v>5.96947452921637</v>
      </c>
      <c r="C15" s="25" t="n">
        <v>0.3608</v>
      </c>
      <c r="D15" s="25" t="n">
        <v>0.563</v>
      </c>
      <c r="E15" s="25" t="n">
        <v>0.5377</v>
      </c>
      <c r="F15" s="25" t="n">
        <v>0.5146</v>
      </c>
      <c r="G15" s="25" t="n">
        <v>0.4733</v>
      </c>
      <c r="H15" s="25" t="n">
        <v>0.4612</v>
      </c>
      <c r="I15" s="24" t="n">
        <f aca="false">AVERAGE(D15:H15)</f>
        <v>0.50996</v>
      </c>
      <c r="J15" s="25" t="n">
        <v>0.4894</v>
      </c>
      <c r="K15" s="24" t="n">
        <f aca="false">IF(AND(Sup_Used=1,ISNUMBER(J15)),J15,I15)</f>
        <v>0.50996</v>
      </c>
      <c r="L15" s="24" t="n">
        <f aca="false">LN(MIN(MAX(K15,0.0001),0.9999)/(1-MIN(MAX(K15,0.0001),0.9999)))</f>
        <v>0.0398452708439516</v>
      </c>
      <c r="M15" s="16" t="n">
        <f aca="false">A15*EXP(-Platt_Shift)</f>
        <v>391.3</v>
      </c>
      <c r="N15" s="26" t="n">
        <f aca="false">MIN(MAX(IFERROR(MATCH(M15,Distribution!$A$6:$A$20,1),1),1),14)</f>
        <v>10</v>
      </c>
      <c r="O15" s="24" t="n">
        <f aca="false">1/(1+EXP(-(INDEX(Distribution!$L$6:$L$20,N15)+(LN(M15)-INDEX(Distribution!$B$6:$B$20,N15))/(INDEX(Distribution!$B$6:$B$20,N15+1)-INDEX(Distribution!$B$6:$B$20,N15))*(INDEX(Distribution!$L$6:$L$20,N15+1)-INDEX(Distribution!$L$6:$L$20,N15)))))</f>
        <v>0.50996</v>
      </c>
      <c r="P15" s="24" t="n">
        <f aca="false">LN(MIN(MAX(C15,0.0001),0.9999)/(1-MIN(MAX(C15,0.0001),0.9999)))</f>
        <v>-0.571893606263596</v>
      </c>
      <c r="Q15" s="16" t="n">
        <f aca="false">IF(Analyst_Median&gt;0,A15*Market_Median/Analyst_Median,A15)</f>
        <v>243.748347530163</v>
      </c>
      <c r="R15" s="26" t="n">
        <f aca="false">MIN(MAX(IFERROR(MATCH(Q15,Distribution!$A$6:$A$20,1),1),1),14)</f>
        <v>5</v>
      </c>
      <c r="S15" s="24" t="n">
        <f aca="false">1/(1+EXP(-(INDEX(Distribution!$P$6:$P$20,R15)+(LN(Q15)-INDEX(Distribution!$B$6:$B$20,R15))/(INDEX(Distribution!$B$6:$B$20,R15+1)-INDEX(Distribution!$B$6:$B$20,R15))*(INDEX(Distribution!$P$6:$P$20,R15+1)-INDEX(Distribution!$P$6:$P$20,R15)))))</f>
        <v>0.748540623921869</v>
      </c>
      <c r="T15" s="24" t="n">
        <f aca="false">W_Mkt*C15+W_Agents*O15</f>
        <v>0.4100228</v>
      </c>
      <c r="U15" s="27" t="n">
        <f aca="false">(1-W_Analyst)*T15+W_Analyst*S15</f>
        <v>0.4100228</v>
      </c>
      <c r="V15" s="24" t="n">
        <f aca="false">LN(MIN(MAX(U15,0.0001),0.9999)/(1-MIN(MAX(U15,0.0001),0.9999)))</f>
        <v>-0.363871124176981</v>
      </c>
      <c r="W15" s="25" t="n">
        <v>0.4834</v>
      </c>
    </row>
    <row r="16" customFormat="false" ht="15" hidden="false" customHeight="false" outlineLevel="0" collapsed="false">
      <c r="A16" s="6" t="n">
        <v>440.21</v>
      </c>
      <c r="B16" s="24" t="n">
        <f aca="false">LN(A16)</f>
        <v>6.08725188578118</v>
      </c>
      <c r="C16" s="25" t="n">
        <v>0.2706</v>
      </c>
      <c r="D16" s="25" t="n">
        <v>0.4448</v>
      </c>
      <c r="E16" s="25" t="n">
        <v>0.4261</v>
      </c>
      <c r="F16" s="25" t="n">
        <v>0.407</v>
      </c>
      <c r="G16" s="25" t="n">
        <v>0.3528</v>
      </c>
      <c r="H16" s="25" t="n">
        <v>0.3472</v>
      </c>
      <c r="I16" s="24" t="n">
        <f aca="false">AVERAGE(D16:H16)</f>
        <v>0.39558</v>
      </c>
      <c r="J16" s="25" t="n">
        <v>0.3733</v>
      </c>
      <c r="K16" s="24" t="n">
        <f aca="false">IF(AND(Sup_Used=1,ISNUMBER(J16)),J16,I16)</f>
        <v>0.39558</v>
      </c>
      <c r="L16" s="24" t="n">
        <f aca="false">LN(MIN(MAX(K16,0.0001),0.9999)/(1-MIN(MAX(K16,0.0001),0.9999)))</f>
        <v>-0.423916278166269</v>
      </c>
      <c r="M16" s="16" t="n">
        <f aca="false">A16*EXP(-Platt_Shift)</f>
        <v>440.21</v>
      </c>
      <c r="N16" s="26" t="n">
        <f aca="false">MIN(MAX(IFERROR(MATCH(M16,Distribution!$A$6:$A$20,1),1),1),14)</f>
        <v>11</v>
      </c>
      <c r="O16" s="24" t="n">
        <f aca="false">1/(1+EXP(-(INDEX(Distribution!$L$6:$L$20,N16)+(LN(M16)-INDEX(Distribution!$B$6:$B$20,N16))/(INDEX(Distribution!$B$6:$B$20,N16+1)-INDEX(Distribution!$B$6:$B$20,N16))*(INDEX(Distribution!$L$6:$L$20,N16+1)-INDEX(Distribution!$L$6:$L$20,N16)))))</f>
        <v>0.39558</v>
      </c>
      <c r="P16" s="24" t="n">
        <f aca="false">LN(MIN(MAX(C16,0.0001),0.9999)/(1-MIN(MAX(C16,0.0001),0.9999)))</f>
        <v>-0.991580562637892</v>
      </c>
      <c r="Q16" s="16" t="n">
        <f aca="false">IF(Analyst_Median&gt;0,A16*Market_Median/Analyst_Median,A16)</f>
        <v>274.215333673021</v>
      </c>
      <c r="R16" s="26" t="n">
        <f aca="false">MIN(MAX(IFERROR(MATCH(Q16,Distribution!$A$6:$A$20,1),1),1),14)</f>
        <v>6</v>
      </c>
      <c r="S16" s="24" t="n">
        <f aca="false">1/(1+EXP(-(INDEX(Distribution!$P$6:$P$20,R16)+(LN(Q16)-INDEX(Distribution!$B$6:$B$20,R16))/(INDEX(Distribution!$B$6:$B$20,R16+1)-INDEX(Distribution!$B$6:$B$20,R16))*(INDEX(Distribution!$P$6:$P$20,R16+1)-INDEX(Distribution!$P$6:$P$20,R16)))))</f>
        <v>0.66057273824892</v>
      </c>
      <c r="T16" s="24" t="n">
        <f aca="false">W_Mkt*C16+W_Agents*O16</f>
        <v>0.3118434</v>
      </c>
      <c r="U16" s="27" t="n">
        <f aca="false">(1-W_Analyst)*T16+W_Analyst*S16</f>
        <v>0.3118434</v>
      </c>
      <c r="V16" s="24" t="n">
        <f aca="false">LN(MIN(MAX(U16,0.0001),0.9999)/(1-MIN(MAX(U16,0.0001),0.9999)))</f>
        <v>-0.791515289584752</v>
      </c>
      <c r="W16" s="25" t="n">
        <v>0.3901</v>
      </c>
    </row>
    <row r="17" customFormat="false" ht="15" hidden="false" customHeight="false" outlineLevel="0" collapsed="false">
      <c r="A17" s="6" t="n">
        <v>489.12</v>
      </c>
      <c r="B17" s="24" t="n">
        <f aca="false">LN(A17)</f>
        <v>6.19260785814253</v>
      </c>
      <c r="C17" s="25" t="n">
        <v>0.2007</v>
      </c>
      <c r="D17" s="25" t="n">
        <v>0.3391</v>
      </c>
      <c r="E17" s="25" t="n">
        <v>0.326</v>
      </c>
      <c r="F17" s="25" t="n">
        <v>0.3179</v>
      </c>
      <c r="G17" s="25" t="n">
        <v>0.2537</v>
      </c>
      <c r="H17" s="25" t="n">
        <v>0.2539</v>
      </c>
      <c r="I17" s="24" t="n">
        <f aca="false">AVERAGE(D17:H17)</f>
        <v>0.29812</v>
      </c>
      <c r="J17" s="25" t="n">
        <v>0.2751</v>
      </c>
      <c r="K17" s="24" t="n">
        <f aca="false">IF(AND(Sup_Used=1,ISNUMBER(J17)),J17,I17)</f>
        <v>0.29812</v>
      </c>
      <c r="L17" s="24" t="n">
        <f aca="false">LN(MIN(MAX(K17,0.0001),0.9999)/(1-MIN(MAX(K17,0.0001),0.9999)))</f>
        <v>-0.856266359229442</v>
      </c>
      <c r="M17" s="16" t="n">
        <f aca="false">A17*EXP(-Platt_Shift)</f>
        <v>489.12</v>
      </c>
      <c r="N17" s="26" t="n">
        <f aca="false">MIN(MAX(IFERROR(MATCH(M17,Distribution!$A$6:$A$20,1),1),1),14)</f>
        <v>12</v>
      </c>
      <c r="O17" s="24" t="n">
        <f aca="false">1/(1+EXP(-(INDEX(Distribution!$L$6:$L$20,N17)+(LN(M17)-INDEX(Distribution!$B$6:$B$20,N17))/(INDEX(Distribution!$B$6:$B$20,N17+1)-INDEX(Distribution!$B$6:$B$20,N17))*(INDEX(Distribution!$L$6:$L$20,N17+1)-INDEX(Distribution!$L$6:$L$20,N17)))))</f>
        <v>0.29812</v>
      </c>
      <c r="P17" s="24" t="n">
        <f aca="false">LN(MIN(MAX(C17,0.0001),0.9999)/(1-MIN(MAX(C17,0.0001),0.9999)))</f>
        <v>-1.38192508882968</v>
      </c>
      <c r="Q17" s="16" t="n">
        <f aca="false">IF(Analyst_Median&gt;0,A17*Market_Median/Analyst_Median,A17)</f>
        <v>304.682319815879</v>
      </c>
      <c r="R17" s="26" t="n">
        <f aca="false">MIN(MAX(IFERROR(MATCH(Q17,Distribution!$A$6:$A$20,1),1),1),14)</f>
        <v>7</v>
      </c>
      <c r="S17" s="24" t="n">
        <f aca="false">1/(1+EXP(-(INDEX(Distribution!$P$6:$P$20,R17)+(LN(Q17)-INDEX(Distribution!$B$6:$B$20,R17))/(INDEX(Distribution!$B$6:$B$20,R17+1)-INDEX(Distribution!$B$6:$B$20,R17))*(INDEX(Distribution!$P$6:$P$20,R17+1)-INDEX(Distribution!$P$6:$P$20,R17)))))</f>
        <v>0.573566139917482</v>
      </c>
      <c r="T17" s="24" t="n">
        <f aca="false">W_Mkt*C17+W_Agents*O17</f>
        <v>0.2328486</v>
      </c>
      <c r="U17" s="27" t="n">
        <f aca="false">(1-W_Analyst)*T17+W_Analyst*S17</f>
        <v>0.2328486</v>
      </c>
      <c r="V17" s="24" t="n">
        <f aca="false">LN(MIN(MAX(U17,0.0001),0.9999)/(1-MIN(MAX(U17,0.0001),0.9999)))</f>
        <v>-1.19229571737006</v>
      </c>
      <c r="W17" s="25" t="n">
        <v>0.2993</v>
      </c>
    </row>
    <row r="18" customFormat="false" ht="15" hidden="false" customHeight="false" outlineLevel="0" collapsed="false">
      <c r="A18" s="6" t="n">
        <v>570.64</v>
      </c>
      <c r="B18" s="24" t="n">
        <f aca="false">LN(A18)</f>
        <v>6.34675853796978</v>
      </c>
      <c r="C18" s="25" t="n">
        <v>0.1204</v>
      </c>
      <c r="D18" s="25" t="n">
        <v>0.202</v>
      </c>
      <c r="E18" s="25" t="n">
        <v>0.1977</v>
      </c>
      <c r="F18" s="25" t="n">
        <v>0.2077</v>
      </c>
      <c r="G18" s="25" t="n">
        <v>0.1409</v>
      </c>
      <c r="H18" s="25" t="n">
        <v>0.147</v>
      </c>
      <c r="I18" s="24" t="n">
        <f aca="false">AVERAGE(D18:H18)</f>
        <v>0.17906</v>
      </c>
      <c r="J18" s="25" t="n">
        <v>0.1564</v>
      </c>
      <c r="K18" s="24" t="n">
        <f aca="false">IF(AND(Sup_Used=1,ISNUMBER(J18)),J18,I18)</f>
        <v>0.17906</v>
      </c>
      <c r="L18" s="24" t="n">
        <f aca="false">LN(MIN(MAX(K18,0.0001),0.9999)/(1-MIN(MAX(K18,0.0001),0.9999)))</f>
        <v>-1.52272907996803</v>
      </c>
      <c r="M18" s="16" t="n">
        <f aca="false">A18*EXP(-Platt_Shift)</f>
        <v>570.64</v>
      </c>
      <c r="N18" s="26" t="n">
        <f aca="false">MIN(MAX(IFERROR(MATCH(M18,Distribution!$A$6:$A$20,1),1),1),14)</f>
        <v>13</v>
      </c>
      <c r="O18" s="24" t="n">
        <f aca="false">1/(1+EXP(-(INDEX(Distribution!$L$6:$L$20,N18)+(LN(M18)-INDEX(Distribution!$B$6:$B$20,N18))/(INDEX(Distribution!$B$6:$B$20,N18+1)-INDEX(Distribution!$B$6:$B$20,N18))*(INDEX(Distribution!$L$6:$L$20,N18+1)-INDEX(Distribution!$L$6:$L$20,N18)))))</f>
        <v>0.17906</v>
      </c>
      <c r="P18" s="24" t="n">
        <f aca="false">LN(MIN(MAX(C18,0.0001),0.9999)/(1-MIN(MAX(C18,0.0001),0.9999)))</f>
        <v>-1.98864772580589</v>
      </c>
      <c r="Q18" s="16" t="n">
        <f aca="false">IF(Analyst_Median&gt;0,A18*Market_Median/Analyst_Median,A18)</f>
        <v>355.462706451858</v>
      </c>
      <c r="R18" s="26" t="n">
        <f aca="false">MIN(MAX(IFERROR(MATCH(Q18,Distribution!$A$6:$A$20,1),1),1),14)</f>
        <v>8</v>
      </c>
      <c r="S18" s="24" t="n">
        <f aca="false">1/(1+EXP(-(INDEX(Distribution!$P$6:$P$20,R18)+(LN(Q18)-INDEX(Distribution!$B$6:$B$20,R18))/(INDEX(Distribution!$B$6:$B$20,R18+1)-INDEX(Distribution!$B$6:$B$20,R18))*(INDEX(Distribution!$P$6:$P$20,R18+1)-INDEX(Distribution!$P$6:$P$20,R18)))))</f>
        <v>0.440990250552922</v>
      </c>
      <c r="T18" s="24" t="n">
        <f aca="false">W_Mkt*C18+W_Agents*O18</f>
        <v>0.1397578</v>
      </c>
      <c r="U18" s="27" t="n">
        <f aca="false">(1-W_Analyst)*T18+W_Analyst*S18</f>
        <v>0.1397578</v>
      </c>
      <c r="V18" s="24" t="n">
        <f aca="false">LN(MIN(MAX(U18,0.0001),0.9999)/(1-MIN(MAX(U18,0.0001),0.9999)))</f>
        <v>-1.81730305307368</v>
      </c>
      <c r="W18" s="25" t="n">
        <v>0.1459</v>
      </c>
    </row>
    <row r="19" customFormat="false" ht="15" hidden="false" customHeight="false" outlineLevel="0" collapsed="false">
      <c r="A19" s="6" t="n">
        <v>652.16</v>
      </c>
      <c r="B19" s="24" t="n">
        <f aca="false">LN(A19)</f>
        <v>6.48028993059431</v>
      </c>
      <c r="C19" s="25" t="n">
        <v>0.0719</v>
      </c>
      <c r="D19" s="25" t="n">
        <v>0.1111</v>
      </c>
      <c r="E19" s="25" t="n">
        <v>0.1147</v>
      </c>
      <c r="F19" s="25" t="n">
        <v>0.1344</v>
      </c>
      <c r="G19" s="25" t="n">
        <v>0.0772</v>
      </c>
      <c r="H19" s="25" t="n">
        <v>0.0833</v>
      </c>
      <c r="I19" s="24" t="n">
        <f aca="false">AVERAGE(D19:H19)</f>
        <v>0.10414</v>
      </c>
      <c r="J19" s="25" t="n">
        <v>0.0857</v>
      </c>
      <c r="K19" s="24" t="n">
        <f aca="false">IF(AND(Sup_Used=1,ISNUMBER(J19)),J19,I19)</f>
        <v>0.10414</v>
      </c>
      <c r="L19" s="24" t="n">
        <f aca="false">LN(MIN(MAX(K19,0.0001),0.9999)/(1-MIN(MAX(K19,0.0001),0.9999)))</f>
        <v>-2.15204800303187</v>
      </c>
      <c r="M19" s="16" t="n">
        <f aca="false">A19*EXP(-Platt_Shift)</f>
        <v>652.16</v>
      </c>
      <c r="N19" s="26" t="n">
        <f aca="false">MIN(MAX(IFERROR(MATCH(M19,Distribution!$A$6:$A$20,1),1),1),14)</f>
        <v>14</v>
      </c>
      <c r="O19" s="24" t="n">
        <f aca="false">1/(1+EXP(-(INDEX(Distribution!$L$6:$L$20,N19)+(LN(M19)-INDEX(Distribution!$B$6:$B$20,N19))/(INDEX(Distribution!$B$6:$B$20,N19+1)-INDEX(Distribution!$B$6:$B$20,N19))*(INDEX(Distribution!$L$6:$L$20,N19+1)-INDEX(Distribution!$L$6:$L$20,N19)))))</f>
        <v>0.10414</v>
      </c>
      <c r="P19" s="24" t="n">
        <f aca="false">LN(MIN(MAX(C19,0.0001),0.9999)/(1-MIN(MAX(C19,0.0001),0.9999)))</f>
        <v>-2.55786322087435</v>
      </c>
      <c r="Q19" s="16" t="n">
        <f aca="false">IF(Analyst_Median&gt;0,A19*Market_Median/Analyst_Median,A19)</f>
        <v>406.243093087838</v>
      </c>
      <c r="R19" s="26" t="n">
        <f aca="false">MIN(MAX(IFERROR(MATCH(Q19,Distribution!$A$6:$A$20,1),1),1),14)</f>
        <v>10</v>
      </c>
      <c r="S19" s="24" t="n">
        <f aca="false">1/(1+EXP(-(INDEX(Distribution!$P$6:$P$20,R19)+(LN(Q19)-INDEX(Distribution!$B$6:$B$20,R19))/(INDEX(Distribution!$B$6:$B$20,R19+1)-INDEX(Distribution!$B$6:$B$20,R19))*(INDEX(Distribution!$P$6:$P$20,R19+1)-INDEX(Distribution!$P$6:$P$20,R19)))))</f>
        <v>0.330607305703764</v>
      </c>
      <c r="T19" s="24" t="n">
        <f aca="false">W_Mkt*C19+W_Agents*O19</f>
        <v>0.0825392</v>
      </c>
      <c r="U19" s="27" t="n">
        <f aca="false">(1-W_Analyst)*T19+W_Analyst*S19</f>
        <v>0.0825392</v>
      </c>
      <c r="V19" s="24" t="n">
        <f aca="false">LN(MIN(MAX(U19,0.0001),0.9999)/(1-MIN(MAX(U19,0.0001),0.9999)))</f>
        <v>-2.4083365222133</v>
      </c>
      <c r="W19" s="25" t="n">
        <v>0.0658</v>
      </c>
    </row>
    <row r="20" customFormat="false" ht="15" hidden="false" customHeight="false" outlineLevel="0" collapsed="false">
      <c r="A20" s="6" t="n">
        <v>815.2</v>
      </c>
      <c r="B20" s="24" t="n">
        <f aca="false">LN(A20)</f>
        <v>6.70343348190852</v>
      </c>
      <c r="C20" s="25" t="n">
        <v>0.0259</v>
      </c>
      <c r="D20" s="25" t="n">
        <v>0.0257</v>
      </c>
      <c r="E20" s="25" t="n">
        <v>0.0358</v>
      </c>
      <c r="F20" s="25" t="n">
        <v>0.0514</v>
      </c>
      <c r="G20" s="25" t="n">
        <v>0.0224</v>
      </c>
      <c r="H20" s="25" t="n">
        <v>0.0257</v>
      </c>
      <c r="I20" s="24" t="n">
        <f aca="false">AVERAGE(D20:H20)</f>
        <v>0.0322</v>
      </c>
      <c r="J20" s="25" t="n">
        <v>0.0236</v>
      </c>
      <c r="K20" s="24" t="n">
        <f aca="false">IF(AND(Sup_Used=1,ISNUMBER(J20)),J20,I20)</f>
        <v>0.0322</v>
      </c>
      <c r="L20" s="24" t="n">
        <f aca="false">LN(MIN(MAX(K20,0.0001),0.9999)/(1-MIN(MAX(K20,0.0001),0.9999)))</f>
        <v>-3.40305900180886</v>
      </c>
      <c r="M20" s="16" t="n">
        <f aca="false">A20*EXP(-Platt_Shift)</f>
        <v>815.2</v>
      </c>
      <c r="N20" s="26" t="n">
        <f aca="false">MIN(MAX(IFERROR(MATCH(M20,Distribution!$A$6:$A$20,1),1),1),14)</f>
        <v>14</v>
      </c>
      <c r="O20" s="24" t="n">
        <f aca="false">1/(1+EXP(-(INDEX(Distribution!$L$6:$L$20,N20)+(LN(M20)-INDEX(Distribution!$B$6:$B$20,N20))/(INDEX(Distribution!$B$6:$B$20,N20+1)-INDEX(Distribution!$B$6:$B$20,N20))*(INDEX(Distribution!$L$6:$L$20,N20+1)-INDEX(Distribution!$L$6:$L$20,N20)))))</f>
        <v>0.0322</v>
      </c>
      <c r="P20" s="24" t="n">
        <f aca="false">LN(MIN(MAX(C20,0.0001),0.9999)/(1-MIN(MAX(C20,0.0001),0.9999)))</f>
        <v>-3.62727099907142</v>
      </c>
      <c r="Q20" s="16" t="n">
        <f aca="false">IF(Analyst_Median&gt;0,A20*Market_Median/Analyst_Median,A20)</f>
        <v>507.803866359798</v>
      </c>
      <c r="R20" s="26" t="n">
        <f aca="false">MIN(MAX(IFERROR(MATCH(Q20,Distribution!$A$6:$A$20,1),1),1),14)</f>
        <v>12</v>
      </c>
      <c r="S20" s="24" t="n">
        <f aca="false">1/(1+EXP(-(INDEX(Distribution!$P$6:$P$20,R20)+(LN(Q20)-INDEX(Distribution!$B$6:$B$20,R20))/(INDEX(Distribution!$B$6:$B$20,R20+1)-INDEX(Distribution!$B$6:$B$20,R20))*(INDEX(Distribution!$P$6:$P$20,R20+1)-INDEX(Distribution!$P$6:$P$20,R20)))))</f>
        <v>0.178070939553247</v>
      </c>
      <c r="T20" s="24" t="n">
        <f aca="false">W_Mkt*C20+W_Agents*O20</f>
        <v>0.027979</v>
      </c>
      <c r="U20" s="27" t="n">
        <f aca="false">(1-W_Analyst)*T20+W_Analyst*S20</f>
        <v>0.027979</v>
      </c>
      <c r="V20" s="24" t="n">
        <f aca="false">LN(MIN(MAX(U20,0.0001),0.9999)/(1-MIN(MAX(U20,0.0001),0.9999)))</f>
        <v>-3.54792318038083</v>
      </c>
      <c r="W20" s="25" t="n">
        <v>0.0195</v>
      </c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23.85" hidden="false" customHeight="false" outlineLevel="0" collapsed="false">
      <c r="A4" s="23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</row>
    <row r="5" customFormat="false" ht="23.85" hidden="false" customHeight="false" outlineLevel="0" collapsed="false">
      <c r="A5" s="5" t="s">
        <v>29</v>
      </c>
      <c r="B5" s="28" t="s">
        <v>112</v>
      </c>
      <c r="C5" s="6" t="n">
        <v>459.5</v>
      </c>
      <c r="D5" s="12" t="n">
        <v>0.65</v>
      </c>
      <c r="E5" s="16" t="n">
        <f aca="false">C5*D5</f>
        <v>298.675</v>
      </c>
      <c r="F5" s="28"/>
      <c r="G5" s="28" t="s">
        <v>113</v>
      </c>
    </row>
    <row r="6" customFormat="false" ht="23.85" hidden="false" customHeight="false" outlineLevel="0" collapsed="false">
      <c r="A6" s="5" t="s">
        <v>29</v>
      </c>
      <c r="B6" s="28" t="s">
        <v>114</v>
      </c>
      <c r="C6" s="6" t="n">
        <v>334.9</v>
      </c>
      <c r="D6" s="12" t="n">
        <v>0.35</v>
      </c>
      <c r="E6" s="16" t="n">
        <f aca="false">C6*D6</f>
        <v>117.215</v>
      </c>
      <c r="F6" s="28"/>
      <c r="G6" s="28" t="s">
        <v>115</v>
      </c>
    </row>
    <row r="7" customFormat="false" ht="46.25" hidden="false" customHeight="false" outlineLevel="0" collapsed="false">
      <c r="A7" s="29" t="s">
        <v>29</v>
      </c>
      <c r="B7" s="29" t="s">
        <v>116</v>
      </c>
      <c r="C7" s="30" t="n">
        <f aca="false">IF(SUM(D5:D6)&gt;0,SUMPRODUCT(C5:C6,D5:D6)/SUM(D5:D6),"")</f>
        <v>415.89</v>
      </c>
      <c r="D7" s="31" t="n">
        <f aca="false">SUM(D5:D6)</f>
        <v>1</v>
      </c>
      <c r="E7" s="32" t="n">
        <v>416</v>
      </c>
      <c r="F7" s="29" t="s">
        <v>117</v>
      </c>
      <c r="G7" s="33" t="s">
        <v>118</v>
      </c>
    </row>
    <row r="9" customFormat="false" ht="23.85" hidden="false" customHeight="false" outlineLevel="0" collapsed="false">
      <c r="A9" s="5" t="s">
        <v>30</v>
      </c>
      <c r="B9" s="28" t="s">
        <v>112</v>
      </c>
      <c r="C9" s="6" t="n">
        <v>472</v>
      </c>
      <c r="D9" s="12" t="n">
        <v>0.7</v>
      </c>
      <c r="E9" s="16" t="n">
        <f aca="false">C9*D9</f>
        <v>330.4</v>
      </c>
      <c r="F9" s="28"/>
      <c r="G9" s="28" t="s">
        <v>119</v>
      </c>
    </row>
    <row r="10" customFormat="false" ht="23.85" hidden="false" customHeight="false" outlineLevel="0" collapsed="false">
      <c r="A10" s="5" t="s">
        <v>30</v>
      </c>
      <c r="B10" s="28" t="s">
        <v>114</v>
      </c>
      <c r="C10" s="6" t="n">
        <v>318</v>
      </c>
      <c r="D10" s="12" t="n">
        <v>0.3</v>
      </c>
      <c r="E10" s="16" t="n">
        <f aca="false">C10*D10</f>
        <v>95.4</v>
      </c>
      <c r="F10" s="28"/>
      <c r="G10" s="28" t="s">
        <v>120</v>
      </c>
    </row>
    <row r="11" customFormat="false" ht="35.05" hidden="false" customHeight="false" outlineLevel="0" collapsed="false">
      <c r="A11" s="29" t="s">
        <v>30</v>
      </c>
      <c r="B11" s="29" t="s">
        <v>116</v>
      </c>
      <c r="C11" s="30" t="n">
        <f aca="false">IF(SUM(D9:D10)&gt;0,SUMPRODUCT(C9:C10,D9:D10)/SUM(D9:D10),"")</f>
        <v>425.8</v>
      </c>
      <c r="D11" s="31" t="n">
        <f aca="false">SUM(D9:D10)</f>
        <v>1</v>
      </c>
      <c r="E11" s="32" t="n">
        <v>426</v>
      </c>
      <c r="F11" s="29" t="s">
        <v>117</v>
      </c>
      <c r="G11" s="33" t="s">
        <v>121</v>
      </c>
    </row>
    <row r="13" customFormat="false" ht="23.85" hidden="false" customHeight="false" outlineLevel="0" collapsed="false">
      <c r="A13" s="5" t="s">
        <v>31</v>
      </c>
      <c r="B13" s="28" t="s">
        <v>112</v>
      </c>
      <c r="C13" s="6" t="n">
        <v>431</v>
      </c>
      <c r="D13" s="12" t="n">
        <v>0.7</v>
      </c>
      <c r="E13" s="16" t="n">
        <f aca="false">C13*D13</f>
        <v>301.7</v>
      </c>
      <c r="F13" s="28"/>
      <c r="G13" s="28" t="s">
        <v>122</v>
      </c>
    </row>
    <row r="14" customFormat="false" ht="23.85" hidden="false" customHeight="false" outlineLevel="0" collapsed="false">
      <c r="A14" s="5" t="s">
        <v>31</v>
      </c>
      <c r="B14" s="28" t="s">
        <v>114</v>
      </c>
      <c r="C14" s="6" t="n">
        <v>310.3</v>
      </c>
      <c r="D14" s="12" t="n">
        <v>0.3</v>
      </c>
      <c r="E14" s="16" t="n">
        <f aca="false">C14*D14</f>
        <v>93.09</v>
      </c>
      <c r="F14" s="28"/>
      <c r="G14" s="28" t="s">
        <v>123</v>
      </c>
    </row>
    <row r="15" customFormat="false" ht="35.05" hidden="false" customHeight="false" outlineLevel="0" collapsed="false">
      <c r="A15" s="29" t="s">
        <v>31</v>
      </c>
      <c r="B15" s="29" t="s">
        <v>116</v>
      </c>
      <c r="C15" s="30" t="n">
        <f aca="false">IF(SUM(D13:D14)&gt;0,SUMPRODUCT(C13:C14,D13:D14)/SUM(D13:D14),"")</f>
        <v>394.79</v>
      </c>
      <c r="D15" s="31" t="n">
        <f aca="false">SUM(D13:D14)</f>
        <v>1</v>
      </c>
      <c r="E15" s="32" t="n">
        <v>394.8</v>
      </c>
      <c r="F15" s="29" t="s">
        <v>117</v>
      </c>
      <c r="G15" s="33" t="s">
        <v>124</v>
      </c>
    </row>
    <row r="17" customFormat="false" ht="23.85" hidden="false" customHeight="false" outlineLevel="0" collapsed="false">
      <c r="A17" s="5" t="s">
        <v>32</v>
      </c>
      <c r="B17" s="28" t="s">
        <v>112</v>
      </c>
      <c r="C17" s="6" t="n">
        <v>469.1</v>
      </c>
      <c r="D17" s="12" t="n">
        <v>0.65</v>
      </c>
      <c r="E17" s="16" t="n">
        <f aca="false">C17*D17</f>
        <v>304.915</v>
      </c>
      <c r="F17" s="28"/>
      <c r="G17" s="28" t="s">
        <v>125</v>
      </c>
    </row>
    <row r="18" customFormat="false" ht="35.05" hidden="false" customHeight="false" outlineLevel="0" collapsed="false">
      <c r="A18" s="5" t="s">
        <v>32</v>
      </c>
      <c r="B18" s="28" t="s">
        <v>114</v>
      </c>
      <c r="C18" s="6" t="n">
        <v>291.3</v>
      </c>
      <c r="D18" s="12" t="n">
        <v>0.35</v>
      </c>
      <c r="E18" s="16" t="n">
        <f aca="false">C18*D18</f>
        <v>101.955</v>
      </c>
      <c r="F18" s="28"/>
      <c r="G18" s="28" t="s">
        <v>126</v>
      </c>
    </row>
    <row r="19" customFormat="false" ht="35.05" hidden="false" customHeight="false" outlineLevel="0" collapsed="false">
      <c r="A19" s="29" t="s">
        <v>32</v>
      </c>
      <c r="B19" s="29" t="s">
        <v>116</v>
      </c>
      <c r="C19" s="30" t="n">
        <f aca="false">IF(SUM(D17:D18)&gt;0,SUMPRODUCT(C17:C18,D17:D18)/SUM(D17:D18),"")</f>
        <v>406.87</v>
      </c>
      <c r="D19" s="31" t="n">
        <f aca="false">SUM(D17:D18)</f>
        <v>1</v>
      </c>
      <c r="E19" s="32" t="n">
        <v>407</v>
      </c>
      <c r="F19" s="29" t="s">
        <v>117</v>
      </c>
      <c r="G19" s="33" t="s">
        <v>127</v>
      </c>
    </row>
    <row r="21" customFormat="false" ht="15" hidden="false" customHeight="false" outlineLevel="0" collapsed="false">
      <c r="A21" s="5" t="s">
        <v>33</v>
      </c>
      <c r="B21" s="28" t="s">
        <v>112</v>
      </c>
      <c r="C21" s="6" t="n">
        <v>454.5</v>
      </c>
      <c r="D21" s="12" t="n">
        <v>0.6</v>
      </c>
      <c r="E21" s="16" t="n">
        <f aca="false">C21*D21</f>
        <v>272.7</v>
      </c>
      <c r="F21" s="28"/>
      <c r="G21" s="28" t="s">
        <v>128</v>
      </c>
    </row>
    <row r="22" customFormat="false" ht="23.85" hidden="false" customHeight="false" outlineLevel="0" collapsed="false">
      <c r="A22" s="5" t="s">
        <v>33</v>
      </c>
      <c r="B22" s="28" t="s">
        <v>114</v>
      </c>
      <c r="C22" s="6" t="n">
        <v>274.6</v>
      </c>
      <c r="D22" s="12" t="n">
        <v>0.4</v>
      </c>
      <c r="E22" s="16" t="n">
        <f aca="false">C22*D22</f>
        <v>109.84</v>
      </c>
      <c r="F22" s="28"/>
      <c r="G22" s="28" t="s">
        <v>129</v>
      </c>
    </row>
    <row r="23" customFormat="false" ht="46.25" hidden="false" customHeight="false" outlineLevel="0" collapsed="false">
      <c r="A23" s="29" t="s">
        <v>33</v>
      </c>
      <c r="B23" s="29" t="s">
        <v>116</v>
      </c>
      <c r="C23" s="30" t="n">
        <f aca="false">IF(SUM(D21:D22)&gt;0,SUMPRODUCT(C21:C22,D21:D22)/SUM(D21:D22),"")</f>
        <v>382.54</v>
      </c>
      <c r="D23" s="31" t="n">
        <f aca="false">SUM(D21:D22)</f>
        <v>1</v>
      </c>
      <c r="E23" s="32" t="n">
        <v>382</v>
      </c>
      <c r="F23" s="29" t="s">
        <v>117</v>
      </c>
      <c r="G23" s="33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23.85" hidden="false" customHeight="false" outlineLevel="0" collapsed="false">
      <c r="A4" s="23" t="s">
        <v>105</v>
      </c>
      <c r="B4" s="23" t="s">
        <v>133</v>
      </c>
      <c r="C4" s="23" t="s">
        <v>134</v>
      </c>
      <c r="D4" s="23" t="s">
        <v>135</v>
      </c>
      <c r="E4" s="23" t="s">
        <v>136</v>
      </c>
      <c r="F4" s="23" t="s">
        <v>137</v>
      </c>
      <c r="G4" s="23" t="s">
        <v>138</v>
      </c>
    </row>
    <row r="5" customFormat="false" ht="79.85" hidden="false" customHeight="false" outlineLevel="0" collapsed="false">
      <c r="A5" s="5" t="s">
        <v>29</v>
      </c>
      <c r="B5" s="6" t="n">
        <v>259</v>
      </c>
      <c r="C5" s="6" t="n">
        <v>416</v>
      </c>
      <c r="D5" s="6" t="n">
        <v>602</v>
      </c>
      <c r="E5" s="28" t="s">
        <v>139</v>
      </c>
      <c r="F5" s="28" t="s">
        <v>140</v>
      </c>
      <c r="G5" s="28" t="s">
        <v>141</v>
      </c>
    </row>
    <row r="6" customFormat="false" ht="124.6" hidden="false" customHeight="false" outlineLevel="0" collapsed="false">
      <c r="A6" s="5" t="s">
        <v>30</v>
      </c>
      <c r="B6" s="6" t="n">
        <v>237</v>
      </c>
      <c r="C6" s="6" t="n">
        <v>426</v>
      </c>
      <c r="D6" s="6" t="n">
        <v>550</v>
      </c>
      <c r="E6" s="28" t="s">
        <v>142</v>
      </c>
      <c r="F6" s="28" t="s">
        <v>143</v>
      </c>
      <c r="G6" s="28" t="s">
        <v>144</v>
      </c>
    </row>
    <row r="7" customFormat="false" ht="124.6" hidden="false" customHeight="false" outlineLevel="0" collapsed="false">
      <c r="A7" s="5" t="s">
        <v>31</v>
      </c>
      <c r="B7" s="6" t="n">
        <v>252</v>
      </c>
      <c r="C7" s="6" t="n">
        <v>395</v>
      </c>
      <c r="D7" s="6" t="n">
        <v>635</v>
      </c>
      <c r="E7" s="28" t="s">
        <v>145</v>
      </c>
      <c r="F7" s="28" t="s">
        <v>146</v>
      </c>
      <c r="G7" s="28" t="s">
        <v>147</v>
      </c>
    </row>
    <row r="8" customFormat="false" ht="102.2" hidden="false" customHeight="false" outlineLevel="0" collapsed="false">
      <c r="A8" s="5" t="s">
        <v>32</v>
      </c>
      <c r="B8" s="6" t="n">
        <v>235</v>
      </c>
      <c r="C8" s="6" t="n">
        <v>407</v>
      </c>
      <c r="D8" s="6" t="n">
        <v>528</v>
      </c>
      <c r="E8" s="28" t="s">
        <v>148</v>
      </c>
      <c r="F8" s="28" t="s">
        <v>149</v>
      </c>
      <c r="G8" s="28" t="s">
        <v>150</v>
      </c>
    </row>
    <row r="9" customFormat="false" ht="102.2" hidden="false" customHeight="false" outlineLevel="0" collapsed="false">
      <c r="A9" s="5" t="s">
        <v>33</v>
      </c>
      <c r="B9" s="6" t="n">
        <v>193</v>
      </c>
      <c r="C9" s="6" t="n">
        <v>382</v>
      </c>
      <c r="D9" s="6" t="n">
        <v>542</v>
      </c>
      <c r="E9" s="28" t="s">
        <v>151</v>
      </c>
      <c r="F9" s="28" t="s">
        <v>152</v>
      </c>
      <c r="G9" s="28" t="s">
        <v>153</v>
      </c>
    </row>
    <row r="10" customFormat="false" ht="15" hidden="false" customHeight="false" outlineLevel="0" collapsed="false">
      <c r="A10" s="14" t="s">
        <v>154</v>
      </c>
      <c r="B10" s="15" t="n">
        <f aca="false">AVERAGE(B5:B9)</f>
        <v>235.2</v>
      </c>
      <c r="C10" s="15" t="n">
        <f aca="false">AVERAGE(C5:C9)</f>
        <v>405.2</v>
      </c>
      <c r="D10" s="15" t="n">
        <f aca="false">AVERAGE(D5:D9)</f>
        <v>571.4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4" customFormat="false" ht="35.05" hidden="false" customHeight="false" outlineLevel="0" collapsed="false">
      <c r="A4" s="23" t="s">
        <v>105</v>
      </c>
      <c r="B4" s="23" t="s">
        <v>157</v>
      </c>
      <c r="C4" s="23" t="s">
        <v>158</v>
      </c>
      <c r="D4" s="23" t="s">
        <v>159</v>
      </c>
      <c r="E4" s="23" t="s">
        <v>66</v>
      </c>
      <c r="F4" s="23" t="s">
        <v>160</v>
      </c>
      <c r="G4" s="23" t="s">
        <v>161</v>
      </c>
      <c r="H4" s="23" t="s">
        <v>162</v>
      </c>
    </row>
    <row r="5" customFormat="false" ht="527.6" hidden="false" customHeight="false" outlineLevel="0" collapsed="false">
      <c r="A5" s="5" t="s">
        <v>29</v>
      </c>
      <c r="B5" s="6"/>
      <c r="C5" s="6" t="n">
        <v>416</v>
      </c>
      <c r="D5" s="6" t="n">
        <v>255</v>
      </c>
      <c r="E5" s="28" t="s">
        <v>163</v>
      </c>
      <c r="F5" s="28" t="s">
        <v>164</v>
      </c>
      <c r="G5" s="28" t="s">
        <v>165</v>
      </c>
      <c r="H5" s="28" t="s">
        <v>166</v>
      </c>
    </row>
    <row r="6" customFormat="false" ht="516.4" hidden="false" customHeight="false" outlineLevel="0" collapsed="false">
      <c r="A6" s="5" t="s">
        <v>30</v>
      </c>
      <c r="B6" s="6"/>
      <c r="C6" s="6" t="n">
        <v>426</v>
      </c>
      <c r="D6" s="6" t="n">
        <v>265</v>
      </c>
      <c r="E6" s="28" t="s">
        <v>167</v>
      </c>
      <c r="F6" s="28" t="s">
        <v>168</v>
      </c>
      <c r="G6" s="28" t="s">
        <v>169</v>
      </c>
      <c r="H6" s="28" t="s">
        <v>170</v>
      </c>
    </row>
    <row r="7" customFormat="false" ht="617.15" hidden="false" customHeight="false" outlineLevel="0" collapsed="false">
      <c r="A7" s="5" t="s">
        <v>31</v>
      </c>
      <c r="B7" s="6"/>
      <c r="C7" s="6" t="n">
        <v>394.8</v>
      </c>
      <c r="D7" s="6" t="n">
        <v>270</v>
      </c>
      <c r="E7" s="28" t="s">
        <v>171</v>
      </c>
      <c r="F7" s="28" t="s">
        <v>172</v>
      </c>
      <c r="G7" s="28" t="s">
        <v>173</v>
      </c>
      <c r="H7" s="28" t="s">
        <v>174</v>
      </c>
    </row>
    <row r="8" customFormat="false" ht="494" hidden="false" customHeight="false" outlineLevel="0" collapsed="false">
      <c r="A8" s="5" t="s">
        <v>32</v>
      </c>
      <c r="B8" s="6"/>
      <c r="C8" s="6" t="n">
        <v>407</v>
      </c>
      <c r="D8" s="6" t="n">
        <v>255</v>
      </c>
      <c r="E8" s="28" t="s">
        <v>175</v>
      </c>
      <c r="F8" s="28" t="s">
        <v>176</v>
      </c>
      <c r="G8" s="28" t="s">
        <v>177</v>
      </c>
      <c r="H8" s="28" t="s">
        <v>178</v>
      </c>
    </row>
    <row r="9" customFormat="false" ht="594.75" hidden="false" customHeight="false" outlineLevel="0" collapsed="false">
      <c r="A9" s="5" t="s">
        <v>33</v>
      </c>
      <c r="B9" s="6"/>
      <c r="C9" s="6" t="n">
        <v>382</v>
      </c>
      <c r="D9" s="6" t="n">
        <v>265</v>
      </c>
      <c r="E9" s="28" t="s">
        <v>179</v>
      </c>
      <c r="F9" s="28" t="s">
        <v>180</v>
      </c>
      <c r="G9" s="28" t="s">
        <v>181</v>
      </c>
      <c r="H9" s="28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15" hidden="false" customHeight="false" outlineLevel="0" collapsed="false">
      <c r="A4" s="14" t="s">
        <v>185</v>
      </c>
      <c r="B4" s="34"/>
      <c r="C4" s="34"/>
      <c r="D4" s="34"/>
    </row>
    <row r="5" customFormat="false" ht="35.05" hidden="false" customHeight="true" outlineLevel="0" collapsed="false">
      <c r="A5" s="14" t="s">
        <v>186</v>
      </c>
      <c r="B5" s="34" t="s">
        <v>37</v>
      </c>
      <c r="C5" s="34"/>
      <c r="D5" s="34"/>
    </row>
    <row r="6" customFormat="false" ht="68.65" hidden="false" customHeight="true" outlineLevel="0" collapsed="false">
      <c r="A6" s="14" t="s">
        <v>187</v>
      </c>
      <c r="B6" s="34" t="s">
        <v>188</v>
      </c>
      <c r="C6" s="34"/>
      <c r="D6" s="34"/>
    </row>
    <row r="8" customFormat="false" ht="15" hidden="false" customHeight="false" outlineLevel="0" collapsed="false">
      <c r="A8" s="35" t="s">
        <v>189</v>
      </c>
    </row>
    <row r="9" customFormat="false" ht="15" hidden="false" customHeight="false" outlineLevel="0" collapsed="false">
      <c r="A9" s="36" t="s">
        <v>190</v>
      </c>
      <c r="B9" s="36" t="s">
        <v>191</v>
      </c>
      <c r="C9" s="36" t="s">
        <v>192</v>
      </c>
      <c r="D9" s="36" t="s">
        <v>193</v>
      </c>
    </row>
    <row r="10" customFormat="false" ht="23.85" hidden="false" customHeight="false" outlineLevel="0" collapsed="false">
      <c r="A10" s="28" t="s">
        <v>194</v>
      </c>
      <c r="B10" s="28" t="s">
        <v>195</v>
      </c>
      <c r="C10" s="28" t="s">
        <v>196</v>
      </c>
      <c r="D10" s="28" t="s">
        <v>197</v>
      </c>
    </row>
    <row r="11" customFormat="false" ht="15" hidden="false" customHeight="false" outlineLevel="0" collapsed="false">
      <c r="A11" s="28" t="s">
        <v>198</v>
      </c>
      <c r="B11" s="28" t="s">
        <v>199</v>
      </c>
      <c r="C11" s="28" t="s">
        <v>200</v>
      </c>
      <c r="D11" s="28" t="s">
        <v>201</v>
      </c>
    </row>
    <row r="13" customFormat="false" ht="15" hidden="false" customHeight="false" outlineLevel="0" collapsed="false">
      <c r="A13" s="35" t="s">
        <v>202</v>
      </c>
    </row>
    <row r="14" customFormat="false" ht="23.85" hidden="false" customHeight="true" outlineLevel="0" collapsed="false">
      <c r="B14" s="34" t="s">
        <v>203</v>
      </c>
      <c r="C14" s="34"/>
      <c r="D14" s="34"/>
    </row>
    <row r="15" customFormat="false" ht="23.85" hidden="false" customHeight="true" outlineLevel="0" collapsed="false">
      <c r="B15" s="34" t="s">
        <v>204</v>
      </c>
      <c r="C15" s="34"/>
      <c r="D15" s="34"/>
    </row>
    <row r="16" customFormat="false" ht="23.85" hidden="false" customHeight="true" outlineLevel="0" collapsed="false">
      <c r="B16" s="34" t="s">
        <v>205</v>
      </c>
      <c r="C16" s="34"/>
      <c r="D16" s="34"/>
    </row>
    <row r="17" customFormat="false" ht="23.85" hidden="false" customHeight="true" outlineLevel="0" collapsed="false">
      <c r="B17" s="34" t="s">
        <v>206</v>
      </c>
      <c r="C17" s="34"/>
      <c r="D17" s="34"/>
    </row>
    <row r="18" customFormat="false" ht="23.85" hidden="false" customHeight="true" outlineLevel="0" collapsed="false">
      <c r="B18" s="34" t="s">
        <v>207</v>
      </c>
      <c r="C18" s="34"/>
      <c r="D18" s="34"/>
    </row>
    <row r="19" customFormat="false" ht="23.85" hidden="false" customHeight="true" outlineLevel="0" collapsed="false">
      <c r="B19" s="34" t="s">
        <v>208</v>
      </c>
      <c r="C19" s="34"/>
      <c r="D19" s="34"/>
    </row>
    <row r="20" customFormat="false" ht="23.85" hidden="false" customHeight="true" outlineLevel="0" collapsed="false">
      <c r="B20" s="34" t="s">
        <v>209</v>
      </c>
      <c r="C20" s="34"/>
      <c r="D20" s="34"/>
    </row>
    <row r="21" customFormat="false" ht="23.85" hidden="false" customHeight="true" outlineLevel="0" collapsed="false">
      <c r="B21" s="34" t="s">
        <v>210</v>
      </c>
      <c r="C21" s="34"/>
      <c r="D21" s="34"/>
    </row>
    <row r="22" customFormat="false" ht="23.85" hidden="false" customHeight="true" outlineLevel="0" collapsed="false">
      <c r="B22" s="34" t="s">
        <v>211</v>
      </c>
      <c r="C22" s="34"/>
      <c r="D22" s="34"/>
    </row>
    <row r="23" customFormat="false" ht="23.85" hidden="false" customHeight="true" outlineLevel="0" collapsed="false">
      <c r="B23" s="34" t="s">
        <v>212</v>
      </c>
      <c r="C23" s="34"/>
      <c r="D23" s="34"/>
    </row>
    <row r="24" customFormat="false" ht="23.85" hidden="false" customHeight="true" outlineLevel="0" collapsed="false">
      <c r="B24" s="34" t="s">
        <v>213</v>
      </c>
      <c r="C24" s="34"/>
      <c r="D24" s="34"/>
    </row>
    <row r="25" customFormat="false" ht="23.85" hidden="false" customHeight="true" outlineLevel="0" collapsed="false">
      <c r="B25" s="34" t="s">
        <v>214</v>
      </c>
      <c r="C25" s="34"/>
      <c r="D25" s="34"/>
    </row>
    <row r="26" customFormat="false" ht="23.85" hidden="false" customHeight="true" outlineLevel="0" collapsed="false">
      <c r="B26" s="34" t="s">
        <v>215</v>
      </c>
      <c r="C26" s="34"/>
      <c r="D26" s="34"/>
    </row>
    <row r="27" customFormat="false" ht="23.85" hidden="false" customHeight="true" outlineLevel="0" collapsed="false">
      <c r="B27" s="34" t="s">
        <v>216</v>
      </c>
      <c r="C27" s="34"/>
      <c r="D27" s="34"/>
    </row>
    <row r="28" customFormat="false" ht="23.85" hidden="false" customHeight="true" outlineLevel="0" collapsed="false">
      <c r="B28" s="34" t="s">
        <v>217</v>
      </c>
      <c r="C28" s="34"/>
      <c r="D28" s="34"/>
    </row>
    <row r="29" customFormat="false" ht="23.85" hidden="false" customHeight="true" outlineLevel="0" collapsed="false">
      <c r="B29" s="34" t="s">
        <v>218</v>
      </c>
      <c r="C29" s="34"/>
      <c r="D29" s="34"/>
    </row>
    <row r="30" customFormat="false" ht="23.85" hidden="false" customHeight="true" outlineLevel="0" collapsed="false">
      <c r="B30" s="34" t="s">
        <v>219</v>
      </c>
      <c r="C30" s="34"/>
      <c r="D30" s="34"/>
    </row>
    <row r="31" customFormat="false" ht="23.85" hidden="false" customHeight="true" outlineLevel="0" collapsed="false">
      <c r="B31" s="34" t="s">
        <v>220</v>
      </c>
      <c r="C31" s="34"/>
      <c r="D31" s="34"/>
    </row>
    <row r="32" customFormat="false" ht="23.85" hidden="false" customHeight="true" outlineLevel="0" collapsed="false">
      <c r="B32" s="34" t="s">
        <v>221</v>
      </c>
      <c r="C32" s="34"/>
      <c r="D32" s="34"/>
    </row>
    <row r="33" customFormat="false" ht="23.85" hidden="false" customHeight="true" outlineLevel="0" collapsed="false">
      <c r="B33" s="34" t="s">
        <v>222</v>
      </c>
      <c r="C33" s="34"/>
      <c r="D33" s="34"/>
    </row>
    <row r="34" customFormat="false" ht="23.85" hidden="false" customHeight="true" outlineLevel="0" collapsed="false">
      <c r="B34" s="34" t="s">
        <v>223</v>
      </c>
      <c r="C34" s="34"/>
      <c r="D34" s="34"/>
    </row>
    <row r="35" customFormat="false" ht="23.85" hidden="false" customHeight="true" outlineLevel="0" collapsed="false">
      <c r="B35" s="34" t="s">
        <v>224</v>
      </c>
      <c r="C35" s="34"/>
      <c r="D35" s="34"/>
    </row>
    <row r="36" customFormat="false" ht="23.85" hidden="false" customHeight="true" outlineLevel="0" collapsed="false">
      <c r="B36" s="34" t="s">
        <v>225</v>
      </c>
      <c r="C36" s="34"/>
      <c r="D36" s="34"/>
    </row>
    <row r="37" customFormat="false" ht="15" hidden="false" customHeight="true" outlineLevel="0" collapsed="false">
      <c r="B37" s="34" t="s">
        <v>226</v>
      </c>
      <c r="C37" s="34"/>
      <c r="D37" s="34"/>
    </row>
    <row r="38" customFormat="false" ht="15" hidden="false" customHeight="true" outlineLevel="0" collapsed="false">
      <c r="B38" s="34" t="s">
        <v>227</v>
      </c>
      <c r="C38" s="34"/>
      <c r="D38" s="34"/>
    </row>
    <row r="39" customFormat="false" ht="23.85" hidden="false" customHeight="true" outlineLevel="0" collapsed="false">
      <c r="B39" s="34" t="s">
        <v>228</v>
      </c>
      <c r="C39" s="34"/>
      <c r="D39" s="34"/>
    </row>
    <row r="40" customFormat="false" ht="23.85" hidden="false" customHeight="true" outlineLevel="0" collapsed="false">
      <c r="B40" s="34" t="s">
        <v>229</v>
      </c>
      <c r="C40" s="34"/>
      <c r="D40" s="34"/>
    </row>
    <row r="41" customFormat="false" ht="15" hidden="false" customHeight="true" outlineLevel="0" collapsed="false">
      <c r="B41" s="34" t="s">
        <v>230</v>
      </c>
      <c r="C41" s="34"/>
      <c r="D41" s="34"/>
    </row>
    <row r="42" customFormat="false" ht="23.85" hidden="false" customHeight="true" outlineLevel="0" collapsed="false">
      <c r="B42" s="34" t="s">
        <v>231</v>
      </c>
      <c r="C42" s="34"/>
      <c r="D42" s="34"/>
    </row>
    <row r="43" customFormat="false" ht="15" hidden="false" customHeight="true" outlineLevel="0" collapsed="false">
      <c r="B43" s="34" t="s">
        <v>232</v>
      </c>
      <c r="C43" s="34"/>
      <c r="D43" s="34"/>
    </row>
    <row r="44" customFormat="false" ht="23.85" hidden="false" customHeight="true" outlineLevel="0" collapsed="false">
      <c r="B44" s="34" t="s">
        <v>233</v>
      </c>
      <c r="C44" s="34"/>
      <c r="D44" s="34"/>
    </row>
    <row r="45" customFormat="false" ht="15" hidden="false" customHeight="true" outlineLevel="0" collapsed="false">
      <c r="B45" s="34" t="s">
        <v>234</v>
      </c>
      <c r="C45" s="34"/>
      <c r="D45" s="34"/>
    </row>
    <row r="46" customFormat="false" ht="15" hidden="false" customHeight="true" outlineLevel="0" collapsed="false">
      <c r="B46" s="34" t="s">
        <v>235</v>
      </c>
      <c r="C46" s="34"/>
      <c r="D46" s="34"/>
    </row>
    <row r="47" customFormat="false" ht="15" hidden="false" customHeight="true" outlineLevel="0" collapsed="false">
      <c r="B47" s="34" t="s">
        <v>236</v>
      </c>
      <c r="C47" s="34"/>
      <c r="D47" s="34"/>
    </row>
    <row r="48" customFormat="false" ht="15" hidden="false" customHeight="true" outlineLevel="0" collapsed="false">
      <c r="B48" s="34" t="s">
        <v>237</v>
      </c>
      <c r="C48" s="34"/>
      <c r="D48" s="34"/>
    </row>
    <row r="49" customFormat="false" ht="15" hidden="false" customHeight="true" outlineLevel="0" collapsed="false">
      <c r="B49" s="34" t="s">
        <v>238</v>
      </c>
      <c r="C49" s="34"/>
      <c r="D49" s="34"/>
    </row>
    <row r="50" customFormat="false" ht="15" hidden="false" customHeight="true" outlineLevel="0" collapsed="false">
      <c r="B50" s="34" t="s">
        <v>239</v>
      </c>
      <c r="C50" s="34"/>
      <c r="D50" s="34"/>
    </row>
    <row r="51" customFormat="false" ht="15" hidden="false" customHeight="true" outlineLevel="0" collapsed="false">
      <c r="B51" s="34" t="s">
        <v>240</v>
      </c>
      <c r="C51" s="34"/>
      <c r="D51" s="34"/>
    </row>
    <row r="52" customFormat="false" ht="15" hidden="false" customHeight="true" outlineLevel="0" collapsed="false">
      <c r="B52" s="34" t="s">
        <v>241</v>
      </c>
      <c r="C52" s="34"/>
      <c r="D52" s="34"/>
    </row>
    <row r="53" customFormat="false" ht="15" hidden="false" customHeight="true" outlineLevel="0" collapsed="false">
      <c r="B53" s="34" t="s">
        <v>242</v>
      </c>
      <c r="C53" s="34"/>
      <c r="D53" s="34"/>
    </row>
    <row r="54" customFormat="false" ht="15" hidden="false" customHeight="true" outlineLevel="0" collapsed="false">
      <c r="B54" s="34" t="s">
        <v>243</v>
      </c>
      <c r="C54" s="34"/>
      <c r="D54" s="34"/>
    </row>
    <row r="55" customFormat="false" ht="15" hidden="false" customHeight="true" outlineLevel="0" collapsed="false">
      <c r="B55" s="34" t="s">
        <v>244</v>
      </c>
      <c r="C55" s="34"/>
      <c r="D55" s="34"/>
    </row>
    <row r="56" customFormat="false" ht="15" hidden="false" customHeight="true" outlineLevel="0" collapsed="false">
      <c r="B56" s="34" t="s">
        <v>245</v>
      </c>
      <c r="C56" s="34"/>
      <c r="D56" s="34"/>
    </row>
    <row r="57" customFormat="false" ht="23.85" hidden="false" customHeight="true" outlineLevel="0" collapsed="false">
      <c r="B57" s="34" t="s">
        <v>246</v>
      </c>
      <c r="C57" s="34"/>
      <c r="D57" s="34"/>
    </row>
    <row r="58" customFormat="false" ht="23.85" hidden="false" customHeight="true" outlineLevel="0" collapsed="false">
      <c r="B58" s="34" t="s">
        <v>247</v>
      </c>
      <c r="C58" s="34"/>
      <c r="D58" s="34"/>
    </row>
  </sheetData>
  <mergeCells count="48">
    <mergeCell ref="B4:D4"/>
    <mergeCell ref="B5:D5"/>
    <mergeCell ref="B6:D6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15" hidden="false" customHeight="false" outlineLevel="0" collapsed="false">
      <c r="A4" s="23" t="s">
        <v>74</v>
      </c>
      <c r="B4" s="23" t="s">
        <v>250</v>
      </c>
      <c r="C4" s="23" t="s">
        <v>251</v>
      </c>
      <c r="D4" s="23" t="s">
        <v>252</v>
      </c>
      <c r="E4" s="23" t="s">
        <v>253</v>
      </c>
    </row>
    <row r="5" customFormat="false" ht="15" hidden="false" customHeight="false" outlineLevel="0" collapsed="false">
      <c r="A5" s="5" t="s">
        <v>254</v>
      </c>
      <c r="B5" s="5" t="s">
        <v>255</v>
      </c>
      <c r="C5" s="28" t="s">
        <v>256</v>
      </c>
      <c r="D5" s="5" t="s">
        <v>257</v>
      </c>
      <c r="E5" s="22" t="s">
        <v>258</v>
      </c>
    </row>
    <row r="6" customFormat="false" ht="23.85" hidden="false" customHeight="false" outlineLevel="0" collapsed="false">
      <c r="A6" s="5" t="s">
        <v>259</v>
      </c>
      <c r="B6" s="5" t="s">
        <v>255</v>
      </c>
      <c r="C6" s="28" t="s">
        <v>260</v>
      </c>
      <c r="D6" s="5" t="s">
        <v>261</v>
      </c>
      <c r="E6" s="22" t="s">
        <v>262</v>
      </c>
    </row>
    <row r="7" customFormat="false" ht="23.85" hidden="false" customHeight="false" outlineLevel="0" collapsed="false">
      <c r="A7" s="5" t="s">
        <v>263</v>
      </c>
      <c r="B7" s="5" t="s">
        <v>255</v>
      </c>
      <c r="C7" s="28" t="s">
        <v>264</v>
      </c>
      <c r="D7" s="5" t="s">
        <v>261</v>
      </c>
      <c r="E7" s="22" t="s">
        <v>265</v>
      </c>
    </row>
    <row r="8" customFormat="false" ht="23.85" hidden="false" customHeight="false" outlineLevel="0" collapsed="false">
      <c r="A8" s="5" t="s">
        <v>266</v>
      </c>
      <c r="B8" s="5" t="s">
        <v>255</v>
      </c>
      <c r="C8" s="28" t="s">
        <v>267</v>
      </c>
      <c r="D8" s="5" t="s">
        <v>261</v>
      </c>
      <c r="E8" s="22" t="s">
        <v>268</v>
      </c>
    </row>
    <row r="9" customFormat="false" ht="23.85" hidden="false" customHeight="false" outlineLevel="0" collapsed="false">
      <c r="A9" s="5" t="s">
        <v>269</v>
      </c>
      <c r="B9" s="5" t="s">
        <v>255</v>
      </c>
      <c r="C9" s="28" t="s">
        <v>270</v>
      </c>
      <c r="D9" s="5" t="s">
        <v>261</v>
      </c>
      <c r="E9" s="22" t="s">
        <v>271</v>
      </c>
    </row>
    <row r="10" customFormat="false" ht="15" hidden="false" customHeight="false" outlineLevel="0" collapsed="false">
      <c r="A10" s="5" t="s">
        <v>272</v>
      </c>
      <c r="B10" s="5" t="s">
        <v>255</v>
      </c>
      <c r="C10" s="28" t="s">
        <v>273</v>
      </c>
      <c r="D10" s="5" t="s">
        <v>257</v>
      </c>
      <c r="E10" s="22" t="s">
        <v>274</v>
      </c>
    </row>
    <row r="11" customFormat="false" ht="23.85" hidden="false" customHeight="false" outlineLevel="0" collapsed="false">
      <c r="A11" s="5" t="s">
        <v>275</v>
      </c>
      <c r="B11" s="5" t="s">
        <v>255</v>
      </c>
      <c r="C11" s="28" t="s">
        <v>276</v>
      </c>
      <c r="D11" s="5" t="s">
        <v>277</v>
      </c>
      <c r="E11" s="22" t="s">
        <v>278</v>
      </c>
    </row>
    <row r="12" customFormat="false" ht="15" hidden="false" customHeight="false" outlineLevel="0" collapsed="false">
      <c r="A12" s="5" t="s">
        <v>279</v>
      </c>
      <c r="B12" s="5" t="s">
        <v>255</v>
      </c>
      <c r="C12" s="28" t="s">
        <v>280</v>
      </c>
      <c r="D12" s="5" t="s">
        <v>281</v>
      </c>
      <c r="E12" s="22" t="s">
        <v>282</v>
      </c>
    </row>
    <row r="13" customFormat="false" ht="15" hidden="false" customHeight="false" outlineLevel="0" collapsed="false">
      <c r="A13" s="5" t="s">
        <v>283</v>
      </c>
      <c r="B13" s="5" t="s">
        <v>255</v>
      </c>
      <c r="C13" s="28" t="s">
        <v>284</v>
      </c>
      <c r="D13" s="5" t="s">
        <v>285</v>
      </c>
      <c r="E13" s="22" t="s">
        <v>286</v>
      </c>
    </row>
    <row r="14" customFormat="false" ht="15" hidden="false" customHeight="false" outlineLevel="0" collapsed="false">
      <c r="A14" s="5" t="s">
        <v>287</v>
      </c>
      <c r="B14" s="5" t="s">
        <v>255</v>
      </c>
      <c r="C14" s="28" t="s">
        <v>288</v>
      </c>
      <c r="D14" s="5" t="s">
        <v>281</v>
      </c>
      <c r="E14" s="22" t="s">
        <v>289</v>
      </c>
    </row>
    <row r="15" customFormat="false" ht="15" hidden="false" customHeight="false" outlineLevel="0" collapsed="false">
      <c r="A15" s="5" t="s">
        <v>290</v>
      </c>
      <c r="B15" s="5" t="s">
        <v>255</v>
      </c>
      <c r="C15" s="28" t="s">
        <v>291</v>
      </c>
      <c r="D15" s="5" t="s">
        <v>292</v>
      </c>
      <c r="E15" s="22" t="s">
        <v>293</v>
      </c>
    </row>
    <row r="16" customFormat="false" ht="15" hidden="false" customHeight="false" outlineLevel="0" collapsed="false">
      <c r="A16" s="5" t="s">
        <v>294</v>
      </c>
      <c r="B16" s="5" t="s">
        <v>255</v>
      </c>
      <c r="C16" s="28" t="s">
        <v>295</v>
      </c>
      <c r="D16" s="5" t="s">
        <v>277</v>
      </c>
      <c r="E16" s="22" t="s">
        <v>296</v>
      </c>
    </row>
    <row r="17" customFormat="false" ht="15" hidden="false" customHeight="false" outlineLevel="0" collapsed="false">
      <c r="A17" s="5" t="s">
        <v>297</v>
      </c>
      <c r="B17" s="5" t="s">
        <v>255</v>
      </c>
      <c r="C17" s="28" t="s">
        <v>298</v>
      </c>
      <c r="D17" s="5" t="s">
        <v>299</v>
      </c>
      <c r="E17" s="22" t="s">
        <v>300</v>
      </c>
    </row>
    <row r="18" customFormat="false" ht="23.85" hidden="false" customHeight="false" outlineLevel="0" collapsed="false">
      <c r="A18" s="5" t="s">
        <v>301</v>
      </c>
      <c r="B18" s="5" t="s">
        <v>255</v>
      </c>
      <c r="C18" s="28" t="s">
        <v>302</v>
      </c>
      <c r="D18" s="5" t="s">
        <v>303</v>
      </c>
      <c r="E18" s="22" t="s">
        <v>304</v>
      </c>
    </row>
    <row r="19" customFormat="false" ht="23.85" hidden="false" customHeight="false" outlineLevel="0" collapsed="false">
      <c r="A19" s="5" t="s">
        <v>305</v>
      </c>
      <c r="B19" s="5" t="s">
        <v>255</v>
      </c>
      <c r="C19" s="28" t="s">
        <v>306</v>
      </c>
      <c r="D19" s="5" t="s">
        <v>303</v>
      </c>
      <c r="E19" s="22" t="s">
        <v>307</v>
      </c>
    </row>
    <row r="20" customFormat="false" ht="23.85" hidden="false" customHeight="false" outlineLevel="0" collapsed="false">
      <c r="A20" s="5" t="s">
        <v>308</v>
      </c>
      <c r="B20" s="5" t="s">
        <v>255</v>
      </c>
      <c r="C20" s="28" t="s">
        <v>309</v>
      </c>
      <c r="D20" s="5" t="s">
        <v>299</v>
      </c>
      <c r="E20" s="5" t="s">
        <v>310</v>
      </c>
    </row>
    <row r="21" customFormat="false" ht="15" hidden="false" customHeight="false" outlineLevel="0" collapsed="false">
      <c r="A21" s="5" t="s">
        <v>311</v>
      </c>
      <c r="B21" s="5" t="s">
        <v>255</v>
      </c>
      <c r="C21" s="28" t="s">
        <v>312</v>
      </c>
      <c r="D21" s="5" t="s">
        <v>303</v>
      </c>
      <c r="E21" s="22" t="s">
        <v>313</v>
      </c>
    </row>
    <row r="22" customFormat="false" ht="23.85" hidden="false" customHeight="false" outlineLevel="0" collapsed="false">
      <c r="A22" s="5" t="s">
        <v>314</v>
      </c>
      <c r="B22" s="5" t="s">
        <v>255</v>
      </c>
      <c r="C22" s="28" t="s">
        <v>315</v>
      </c>
      <c r="D22" s="5" t="s">
        <v>316</v>
      </c>
      <c r="E22" s="22" t="s">
        <v>317</v>
      </c>
    </row>
    <row r="23" customFormat="false" ht="23.85" hidden="false" customHeight="false" outlineLevel="0" collapsed="false">
      <c r="A23" s="5" t="s">
        <v>318</v>
      </c>
      <c r="B23" s="5" t="s">
        <v>255</v>
      </c>
      <c r="C23" s="28" t="s">
        <v>319</v>
      </c>
      <c r="D23" s="5" t="s">
        <v>257</v>
      </c>
      <c r="E23" s="22" t="s">
        <v>320</v>
      </c>
    </row>
    <row r="24" customFormat="false" ht="57.45" hidden="false" customHeight="false" outlineLevel="0" collapsed="false">
      <c r="A24" s="5" t="s">
        <v>321</v>
      </c>
      <c r="B24" s="5" t="s">
        <v>322</v>
      </c>
      <c r="C24" s="28" t="s">
        <v>323</v>
      </c>
      <c r="D24" s="5" t="s">
        <v>257</v>
      </c>
      <c r="E24" s="22" t="s">
        <v>324</v>
      </c>
    </row>
    <row r="25" customFormat="false" ht="57.45" hidden="false" customHeight="false" outlineLevel="0" collapsed="false">
      <c r="A25" s="5" t="s">
        <v>325</v>
      </c>
      <c r="B25" s="5" t="s">
        <v>322</v>
      </c>
      <c r="C25" s="28" t="s">
        <v>326</v>
      </c>
      <c r="D25" s="5" t="s">
        <v>257</v>
      </c>
      <c r="E25" s="22" t="s">
        <v>274</v>
      </c>
    </row>
    <row r="26" customFormat="false" ht="35.05" hidden="false" customHeight="false" outlineLevel="0" collapsed="false">
      <c r="A26" s="5" t="s">
        <v>327</v>
      </c>
      <c r="B26" s="5" t="s">
        <v>322</v>
      </c>
      <c r="C26" s="28" t="s">
        <v>328</v>
      </c>
      <c r="D26" s="5" t="s">
        <v>261</v>
      </c>
      <c r="E26" s="22" t="s">
        <v>271</v>
      </c>
    </row>
    <row r="27" customFormat="false" ht="23.85" hidden="false" customHeight="false" outlineLevel="0" collapsed="false">
      <c r="A27" s="5" t="s">
        <v>329</v>
      </c>
      <c r="B27" s="5" t="s">
        <v>322</v>
      </c>
      <c r="C27" s="28" t="s">
        <v>330</v>
      </c>
      <c r="D27" s="5" t="s">
        <v>261</v>
      </c>
      <c r="E27" s="22" t="s">
        <v>268</v>
      </c>
    </row>
    <row r="28" customFormat="false" ht="23.85" hidden="false" customHeight="false" outlineLevel="0" collapsed="false">
      <c r="A28" s="5" t="s">
        <v>331</v>
      </c>
      <c r="B28" s="5" t="s">
        <v>322</v>
      </c>
      <c r="C28" s="28" t="s">
        <v>332</v>
      </c>
      <c r="D28" s="5" t="s">
        <v>277</v>
      </c>
      <c r="E28" s="22" t="s">
        <v>333</v>
      </c>
    </row>
    <row r="29" customFormat="false" ht="23.85" hidden="false" customHeight="false" outlineLevel="0" collapsed="false">
      <c r="A29" s="5" t="s">
        <v>334</v>
      </c>
      <c r="B29" s="5" t="s">
        <v>322</v>
      </c>
      <c r="C29" s="28" t="s">
        <v>335</v>
      </c>
      <c r="D29" s="5" t="s">
        <v>303</v>
      </c>
      <c r="E29" s="22" t="s">
        <v>304</v>
      </c>
    </row>
    <row r="30" customFormat="false" ht="23.85" hidden="false" customHeight="false" outlineLevel="0" collapsed="false">
      <c r="A30" s="5" t="s">
        <v>336</v>
      </c>
      <c r="B30" s="5" t="s">
        <v>322</v>
      </c>
      <c r="C30" s="28" t="s">
        <v>337</v>
      </c>
      <c r="D30" s="5" t="s">
        <v>303</v>
      </c>
      <c r="E30" s="22" t="s">
        <v>338</v>
      </c>
    </row>
    <row r="31" customFormat="false" ht="15" hidden="false" customHeight="false" outlineLevel="0" collapsed="false">
      <c r="A31" s="5" t="s">
        <v>339</v>
      </c>
      <c r="B31" s="5" t="s">
        <v>322</v>
      </c>
      <c r="C31" s="28" t="s">
        <v>340</v>
      </c>
      <c r="D31" s="5" t="s">
        <v>303</v>
      </c>
      <c r="E31" s="22" t="s">
        <v>341</v>
      </c>
    </row>
    <row r="32" customFormat="false" ht="15" hidden="false" customHeight="false" outlineLevel="0" collapsed="false">
      <c r="A32" s="5" t="s">
        <v>342</v>
      </c>
      <c r="B32" s="5" t="s">
        <v>322</v>
      </c>
      <c r="C32" s="28" t="s">
        <v>343</v>
      </c>
      <c r="D32" s="5" t="s">
        <v>303</v>
      </c>
      <c r="E32" s="22" t="s">
        <v>344</v>
      </c>
    </row>
    <row r="33" customFormat="false" ht="15" hidden="false" customHeight="false" outlineLevel="0" collapsed="false">
      <c r="A33" s="5" t="s">
        <v>345</v>
      </c>
      <c r="B33" s="5" t="s">
        <v>322</v>
      </c>
      <c r="C33" s="28" t="s">
        <v>346</v>
      </c>
      <c r="D33" s="5" t="s">
        <v>303</v>
      </c>
      <c r="E33" s="22" t="s">
        <v>347</v>
      </c>
    </row>
    <row r="34" customFormat="false" ht="23.85" hidden="false" customHeight="false" outlineLevel="0" collapsed="false">
      <c r="A34" s="5" t="s">
        <v>348</v>
      </c>
      <c r="B34" s="5" t="s">
        <v>322</v>
      </c>
      <c r="C34" s="28" t="s">
        <v>349</v>
      </c>
      <c r="D34" s="5" t="s">
        <v>299</v>
      </c>
      <c r="E34" s="5" t="s">
        <v>350</v>
      </c>
    </row>
    <row r="35" customFormat="false" ht="15" hidden="false" customHeight="false" outlineLevel="0" collapsed="false">
      <c r="A35" s="5" t="s">
        <v>351</v>
      </c>
      <c r="B35" s="5" t="s">
        <v>322</v>
      </c>
      <c r="C35" s="28" t="s">
        <v>352</v>
      </c>
      <c r="D35" s="5" t="s">
        <v>299</v>
      </c>
      <c r="E35" s="22" t="s">
        <v>353</v>
      </c>
    </row>
    <row r="36" customFormat="false" ht="23.85" hidden="false" customHeight="false" outlineLevel="0" collapsed="false">
      <c r="A36" s="5" t="s">
        <v>354</v>
      </c>
      <c r="B36" s="5" t="s">
        <v>322</v>
      </c>
      <c r="C36" s="28" t="s">
        <v>355</v>
      </c>
      <c r="D36" s="5" t="s">
        <v>356</v>
      </c>
      <c r="E36" s="22" t="s">
        <v>357</v>
      </c>
    </row>
    <row r="37" customFormat="false" ht="23.85" hidden="false" customHeight="false" outlineLevel="0" collapsed="false">
      <c r="A37" s="5" t="s">
        <v>358</v>
      </c>
      <c r="B37" s="5" t="s">
        <v>322</v>
      </c>
      <c r="C37" s="28" t="s">
        <v>359</v>
      </c>
      <c r="D37" s="5" t="s">
        <v>303</v>
      </c>
      <c r="E37" s="22" t="s">
        <v>360</v>
      </c>
    </row>
    <row r="38" customFormat="false" ht="23.85" hidden="false" customHeight="false" outlineLevel="0" collapsed="false">
      <c r="A38" s="5" t="s">
        <v>361</v>
      </c>
      <c r="B38" s="5" t="s">
        <v>322</v>
      </c>
      <c r="C38" s="28" t="s">
        <v>362</v>
      </c>
      <c r="D38" s="5" t="s">
        <v>303</v>
      </c>
      <c r="E38" s="22" t="s">
        <v>363</v>
      </c>
    </row>
    <row r="39" customFormat="false" ht="23.85" hidden="false" customHeight="false" outlineLevel="0" collapsed="false">
      <c r="A39" s="5" t="s">
        <v>364</v>
      </c>
      <c r="B39" s="5" t="s">
        <v>322</v>
      </c>
      <c r="C39" s="28" t="s">
        <v>365</v>
      </c>
      <c r="D39" s="5" t="s">
        <v>303</v>
      </c>
      <c r="E39" s="22" t="s">
        <v>366</v>
      </c>
    </row>
    <row r="40" customFormat="false" ht="23.85" hidden="false" customHeight="false" outlineLevel="0" collapsed="false">
      <c r="A40" s="5" t="s">
        <v>367</v>
      </c>
      <c r="B40" s="5" t="s">
        <v>322</v>
      </c>
      <c r="C40" s="28" t="s">
        <v>368</v>
      </c>
      <c r="D40" s="5" t="s">
        <v>369</v>
      </c>
      <c r="E40" s="22" t="s">
        <v>370</v>
      </c>
    </row>
    <row r="41" customFormat="false" ht="23.85" hidden="false" customHeight="false" outlineLevel="0" collapsed="false">
      <c r="A41" s="5" t="s">
        <v>371</v>
      </c>
      <c r="B41" s="5" t="s">
        <v>322</v>
      </c>
      <c r="C41" s="28" t="s">
        <v>372</v>
      </c>
      <c r="D41" s="5" t="s">
        <v>373</v>
      </c>
      <c r="E41" s="22" t="s">
        <v>374</v>
      </c>
    </row>
    <row r="42" customFormat="false" ht="15" hidden="false" customHeight="false" outlineLevel="0" collapsed="false">
      <c r="A42" s="5" t="s">
        <v>375</v>
      </c>
      <c r="B42" s="5" t="s">
        <v>376</v>
      </c>
      <c r="C42" s="28" t="s">
        <v>377</v>
      </c>
      <c r="D42" s="5" t="s">
        <v>257</v>
      </c>
      <c r="E42" s="22" t="s">
        <v>258</v>
      </c>
    </row>
    <row r="43" customFormat="false" ht="15" hidden="false" customHeight="false" outlineLevel="0" collapsed="false">
      <c r="A43" s="5" t="s">
        <v>378</v>
      </c>
      <c r="B43" s="5" t="s">
        <v>376</v>
      </c>
      <c r="C43" s="28" t="s">
        <v>379</v>
      </c>
      <c r="D43" s="5" t="s">
        <v>261</v>
      </c>
      <c r="E43" s="22" t="s">
        <v>262</v>
      </c>
    </row>
    <row r="44" customFormat="false" ht="23.85" hidden="false" customHeight="false" outlineLevel="0" collapsed="false">
      <c r="A44" s="5" t="s">
        <v>380</v>
      </c>
      <c r="B44" s="5" t="s">
        <v>376</v>
      </c>
      <c r="C44" s="28" t="s">
        <v>381</v>
      </c>
      <c r="D44" s="5" t="s">
        <v>261</v>
      </c>
      <c r="E44" s="22" t="s">
        <v>271</v>
      </c>
    </row>
    <row r="45" customFormat="false" ht="23.85" hidden="false" customHeight="false" outlineLevel="0" collapsed="false">
      <c r="A45" s="5" t="s">
        <v>382</v>
      </c>
      <c r="B45" s="5" t="s">
        <v>376</v>
      </c>
      <c r="C45" s="28" t="s">
        <v>267</v>
      </c>
      <c r="D45" s="5" t="s">
        <v>261</v>
      </c>
      <c r="E45" s="22" t="s">
        <v>268</v>
      </c>
    </row>
    <row r="46" customFormat="false" ht="15" hidden="false" customHeight="false" outlineLevel="0" collapsed="false">
      <c r="A46" s="5" t="s">
        <v>383</v>
      </c>
      <c r="B46" s="5" t="s">
        <v>376</v>
      </c>
      <c r="C46" s="28" t="s">
        <v>384</v>
      </c>
      <c r="D46" s="5" t="s">
        <v>257</v>
      </c>
      <c r="E46" s="22" t="s">
        <v>385</v>
      </c>
    </row>
    <row r="47" customFormat="false" ht="15" hidden="false" customHeight="false" outlineLevel="0" collapsed="false">
      <c r="A47" s="5" t="s">
        <v>386</v>
      </c>
      <c r="B47" s="5" t="s">
        <v>376</v>
      </c>
      <c r="C47" s="28" t="s">
        <v>387</v>
      </c>
      <c r="D47" s="5" t="s">
        <v>281</v>
      </c>
      <c r="E47" s="22" t="s">
        <v>388</v>
      </c>
    </row>
    <row r="48" customFormat="false" ht="23.85" hidden="false" customHeight="false" outlineLevel="0" collapsed="false">
      <c r="A48" s="5" t="s">
        <v>389</v>
      </c>
      <c r="B48" s="5" t="s">
        <v>376</v>
      </c>
      <c r="C48" s="28" t="s">
        <v>390</v>
      </c>
      <c r="D48" s="5" t="s">
        <v>391</v>
      </c>
      <c r="E48" s="22" t="s">
        <v>392</v>
      </c>
    </row>
    <row r="49" customFormat="false" ht="23.85" hidden="false" customHeight="false" outlineLevel="0" collapsed="false">
      <c r="A49" s="5" t="s">
        <v>393</v>
      </c>
      <c r="B49" s="5" t="s">
        <v>376</v>
      </c>
      <c r="C49" s="28" t="s">
        <v>394</v>
      </c>
      <c r="D49" s="5" t="s">
        <v>395</v>
      </c>
      <c r="E49" s="22" t="s">
        <v>396</v>
      </c>
    </row>
    <row r="50" customFormat="false" ht="23.85" hidden="false" customHeight="false" outlineLevel="0" collapsed="false">
      <c r="A50" s="5" t="s">
        <v>397</v>
      </c>
      <c r="B50" s="5" t="s">
        <v>376</v>
      </c>
      <c r="C50" s="28" t="s">
        <v>398</v>
      </c>
      <c r="D50" s="5" t="s">
        <v>399</v>
      </c>
      <c r="E50" s="22" t="s">
        <v>400</v>
      </c>
    </row>
    <row r="51" customFormat="false" ht="23.85" hidden="false" customHeight="false" outlineLevel="0" collapsed="false">
      <c r="A51" s="5" t="s">
        <v>401</v>
      </c>
      <c r="B51" s="5" t="s">
        <v>376</v>
      </c>
      <c r="C51" s="28" t="s">
        <v>402</v>
      </c>
      <c r="D51" s="5" t="s">
        <v>403</v>
      </c>
      <c r="E51" s="22" t="s">
        <v>404</v>
      </c>
    </row>
    <row r="52" customFormat="false" ht="23.85" hidden="false" customHeight="false" outlineLevel="0" collapsed="false">
      <c r="A52" s="5" t="s">
        <v>405</v>
      </c>
      <c r="B52" s="5" t="s">
        <v>376</v>
      </c>
      <c r="C52" s="28" t="s">
        <v>406</v>
      </c>
      <c r="D52" s="5" t="s">
        <v>303</v>
      </c>
      <c r="E52" s="22" t="s">
        <v>304</v>
      </c>
    </row>
    <row r="53" customFormat="false" ht="23.85" hidden="false" customHeight="false" outlineLevel="0" collapsed="false">
      <c r="A53" s="5" t="s">
        <v>407</v>
      </c>
      <c r="B53" s="5" t="s">
        <v>376</v>
      </c>
      <c r="C53" s="28" t="s">
        <v>408</v>
      </c>
      <c r="D53" s="5" t="s">
        <v>303</v>
      </c>
      <c r="E53" s="22" t="s">
        <v>409</v>
      </c>
    </row>
    <row r="54" customFormat="false" ht="15" hidden="false" customHeight="false" outlineLevel="0" collapsed="false">
      <c r="A54" s="5" t="s">
        <v>410</v>
      </c>
      <c r="B54" s="5" t="s">
        <v>376</v>
      </c>
      <c r="C54" s="28" t="s">
        <v>411</v>
      </c>
      <c r="D54" s="5" t="s">
        <v>299</v>
      </c>
      <c r="E54" s="22" t="s">
        <v>300</v>
      </c>
    </row>
    <row r="55" customFormat="false" ht="23.85" hidden="false" customHeight="false" outlineLevel="0" collapsed="false">
      <c r="A55" s="5" t="s">
        <v>412</v>
      </c>
      <c r="B55" s="5" t="s">
        <v>376</v>
      </c>
      <c r="C55" s="28" t="s">
        <v>413</v>
      </c>
      <c r="D55" s="5" t="s">
        <v>299</v>
      </c>
      <c r="E55" s="5" t="s">
        <v>350</v>
      </c>
    </row>
    <row r="56" customFormat="false" ht="15" hidden="false" customHeight="false" outlineLevel="0" collapsed="false">
      <c r="A56" s="5" t="s">
        <v>414</v>
      </c>
      <c r="B56" s="5" t="s">
        <v>376</v>
      </c>
      <c r="C56" s="28" t="s">
        <v>415</v>
      </c>
      <c r="D56" s="5" t="s">
        <v>303</v>
      </c>
      <c r="E56" s="22" t="s">
        <v>416</v>
      </c>
    </row>
    <row r="57" customFormat="false" ht="57.45" hidden="false" customHeight="false" outlineLevel="0" collapsed="false">
      <c r="A57" s="5" t="s">
        <v>417</v>
      </c>
      <c r="B57" s="5" t="s">
        <v>418</v>
      </c>
      <c r="C57" s="28" t="s">
        <v>419</v>
      </c>
      <c r="D57" s="5" t="s">
        <v>257</v>
      </c>
      <c r="E57" s="22" t="s">
        <v>258</v>
      </c>
    </row>
    <row r="58" customFormat="false" ht="46.25" hidden="false" customHeight="false" outlineLevel="0" collapsed="false">
      <c r="A58" s="5" t="s">
        <v>420</v>
      </c>
      <c r="B58" s="5" t="s">
        <v>418</v>
      </c>
      <c r="C58" s="28" t="s">
        <v>421</v>
      </c>
      <c r="D58" s="5" t="s">
        <v>257</v>
      </c>
      <c r="E58" s="22" t="s">
        <v>422</v>
      </c>
    </row>
    <row r="59" customFormat="false" ht="15" hidden="false" customHeight="false" outlineLevel="0" collapsed="false">
      <c r="A59" s="5" t="s">
        <v>423</v>
      </c>
      <c r="B59" s="5" t="s">
        <v>418</v>
      </c>
      <c r="C59" s="28" t="s">
        <v>424</v>
      </c>
      <c r="D59" s="5" t="s">
        <v>261</v>
      </c>
      <c r="E59" s="22" t="s">
        <v>262</v>
      </c>
    </row>
    <row r="60" customFormat="false" ht="35.05" hidden="false" customHeight="false" outlineLevel="0" collapsed="false">
      <c r="A60" s="5" t="s">
        <v>425</v>
      </c>
      <c r="B60" s="5" t="s">
        <v>418</v>
      </c>
      <c r="C60" s="28" t="s">
        <v>426</v>
      </c>
      <c r="D60" s="5" t="s">
        <v>261</v>
      </c>
      <c r="E60" s="22" t="s">
        <v>265</v>
      </c>
    </row>
    <row r="61" customFormat="false" ht="23.85" hidden="false" customHeight="false" outlineLevel="0" collapsed="false">
      <c r="A61" s="5" t="s">
        <v>427</v>
      </c>
      <c r="B61" s="5" t="s">
        <v>418</v>
      </c>
      <c r="C61" s="28" t="s">
        <v>428</v>
      </c>
      <c r="D61" s="5" t="s">
        <v>261</v>
      </c>
      <c r="E61" s="22" t="s">
        <v>268</v>
      </c>
    </row>
    <row r="62" customFormat="false" ht="23.85" hidden="false" customHeight="false" outlineLevel="0" collapsed="false">
      <c r="A62" s="5" t="s">
        <v>429</v>
      </c>
      <c r="B62" s="5" t="s">
        <v>418</v>
      </c>
      <c r="C62" s="28" t="s">
        <v>430</v>
      </c>
      <c r="D62" s="5" t="s">
        <v>261</v>
      </c>
      <c r="E62" s="22" t="s">
        <v>271</v>
      </c>
    </row>
    <row r="63" customFormat="false" ht="35.05" hidden="false" customHeight="false" outlineLevel="0" collapsed="false">
      <c r="A63" s="5" t="s">
        <v>431</v>
      </c>
      <c r="B63" s="5" t="s">
        <v>418</v>
      </c>
      <c r="C63" s="28" t="s">
        <v>432</v>
      </c>
      <c r="D63" s="5" t="s">
        <v>303</v>
      </c>
      <c r="E63" s="22" t="s">
        <v>304</v>
      </c>
    </row>
    <row r="64" customFormat="false" ht="23.85" hidden="false" customHeight="false" outlineLevel="0" collapsed="false">
      <c r="A64" s="5" t="s">
        <v>433</v>
      </c>
      <c r="B64" s="5" t="s">
        <v>418</v>
      </c>
      <c r="C64" s="28" t="s">
        <v>434</v>
      </c>
      <c r="D64" s="5" t="s">
        <v>303</v>
      </c>
      <c r="E64" s="22" t="s">
        <v>409</v>
      </c>
    </row>
    <row r="65" customFormat="false" ht="23.85" hidden="false" customHeight="false" outlineLevel="0" collapsed="false">
      <c r="A65" s="5" t="s">
        <v>435</v>
      </c>
      <c r="B65" s="5" t="s">
        <v>418</v>
      </c>
      <c r="C65" s="28" t="s">
        <v>436</v>
      </c>
      <c r="D65" s="5" t="s">
        <v>303</v>
      </c>
      <c r="E65" s="22" t="s">
        <v>437</v>
      </c>
    </row>
    <row r="66" customFormat="false" ht="23.85" hidden="false" customHeight="false" outlineLevel="0" collapsed="false">
      <c r="A66" s="5" t="s">
        <v>438</v>
      </c>
      <c r="B66" s="5" t="s">
        <v>418</v>
      </c>
      <c r="C66" s="28" t="s">
        <v>439</v>
      </c>
      <c r="D66" s="5" t="s">
        <v>440</v>
      </c>
      <c r="E66" s="22" t="s">
        <v>441</v>
      </c>
    </row>
    <row r="67" customFormat="false" ht="15" hidden="false" customHeight="false" outlineLevel="0" collapsed="false">
      <c r="A67" s="5" t="s">
        <v>442</v>
      </c>
      <c r="B67" s="5" t="s">
        <v>418</v>
      </c>
      <c r="C67" s="28" t="s">
        <v>443</v>
      </c>
      <c r="D67" s="5" t="s">
        <v>299</v>
      </c>
      <c r="E67" s="22" t="s">
        <v>353</v>
      </c>
    </row>
    <row r="68" customFormat="false" ht="35.05" hidden="false" customHeight="false" outlineLevel="0" collapsed="false">
      <c r="A68" s="5" t="s">
        <v>444</v>
      </c>
      <c r="B68" s="5" t="s">
        <v>418</v>
      </c>
      <c r="C68" s="28" t="s">
        <v>445</v>
      </c>
      <c r="D68" s="5" t="s">
        <v>299</v>
      </c>
      <c r="E68" s="5" t="s">
        <v>310</v>
      </c>
    </row>
    <row r="69" customFormat="false" ht="23.85" hidden="false" customHeight="false" outlineLevel="0" collapsed="false">
      <c r="A69" s="5" t="s">
        <v>446</v>
      </c>
      <c r="B69" s="5" t="s">
        <v>418</v>
      </c>
      <c r="C69" s="28" t="s">
        <v>447</v>
      </c>
      <c r="D69" s="5" t="s">
        <v>303</v>
      </c>
      <c r="E69" s="22" t="s">
        <v>448</v>
      </c>
    </row>
    <row r="70" customFormat="false" ht="23.85" hidden="false" customHeight="false" outlineLevel="0" collapsed="false">
      <c r="A70" s="5" t="s">
        <v>449</v>
      </c>
      <c r="B70" s="5" t="s">
        <v>418</v>
      </c>
      <c r="C70" s="28" t="s">
        <v>450</v>
      </c>
      <c r="D70" s="5" t="s">
        <v>303</v>
      </c>
      <c r="E70" s="22" t="s">
        <v>451</v>
      </c>
    </row>
    <row r="71" customFormat="false" ht="46.25" hidden="false" customHeight="false" outlineLevel="0" collapsed="false">
      <c r="A71" s="5" t="s">
        <v>452</v>
      </c>
      <c r="B71" s="5" t="s">
        <v>418</v>
      </c>
      <c r="C71" s="28" t="s">
        <v>453</v>
      </c>
      <c r="D71" s="5" t="s">
        <v>303</v>
      </c>
      <c r="E71" s="22" t="s">
        <v>454</v>
      </c>
    </row>
    <row r="72" customFormat="false" ht="15" hidden="false" customHeight="false" outlineLevel="0" collapsed="false">
      <c r="A72" s="5" t="s">
        <v>455</v>
      </c>
      <c r="B72" s="5" t="s">
        <v>418</v>
      </c>
      <c r="C72" s="28" t="s">
        <v>456</v>
      </c>
      <c r="D72" s="5" t="s">
        <v>457</v>
      </c>
      <c r="E72" s="22" t="s">
        <v>458</v>
      </c>
    </row>
    <row r="73" customFormat="false" ht="23.85" hidden="false" customHeight="false" outlineLevel="0" collapsed="false">
      <c r="A73" s="5" t="s">
        <v>459</v>
      </c>
      <c r="B73" s="5" t="s">
        <v>418</v>
      </c>
      <c r="C73" s="28" t="s">
        <v>460</v>
      </c>
      <c r="D73" s="5" t="s">
        <v>461</v>
      </c>
      <c r="E73" s="22" t="s">
        <v>462</v>
      </c>
    </row>
    <row r="74" customFormat="false" ht="23.85" hidden="false" customHeight="false" outlineLevel="0" collapsed="false">
      <c r="A74" s="5" t="s">
        <v>463</v>
      </c>
      <c r="B74" s="5" t="s">
        <v>418</v>
      </c>
      <c r="C74" s="28" t="s">
        <v>464</v>
      </c>
      <c r="D74" s="5" t="s">
        <v>465</v>
      </c>
      <c r="E74" s="22" t="s">
        <v>466</v>
      </c>
    </row>
    <row r="75" customFormat="false" ht="23.85" hidden="false" customHeight="false" outlineLevel="0" collapsed="false">
      <c r="A75" s="5" t="s">
        <v>467</v>
      </c>
      <c r="B75" s="5" t="s">
        <v>418</v>
      </c>
      <c r="C75" s="28" t="s">
        <v>468</v>
      </c>
      <c r="D75" s="5" t="s">
        <v>469</v>
      </c>
      <c r="E75" s="5" t="s">
        <v>470</v>
      </c>
    </row>
    <row r="76" customFormat="false" ht="57.45" hidden="false" customHeight="false" outlineLevel="0" collapsed="false">
      <c r="A76" s="5" t="s">
        <v>471</v>
      </c>
      <c r="B76" s="5" t="s">
        <v>472</v>
      </c>
      <c r="C76" s="28" t="s">
        <v>473</v>
      </c>
      <c r="D76" s="5" t="s">
        <v>257</v>
      </c>
      <c r="E76" s="22" t="s">
        <v>258</v>
      </c>
    </row>
    <row r="77" customFormat="false" ht="46.25" hidden="false" customHeight="false" outlineLevel="0" collapsed="false">
      <c r="A77" s="5" t="s">
        <v>474</v>
      </c>
      <c r="B77" s="5" t="s">
        <v>472</v>
      </c>
      <c r="C77" s="28" t="s">
        <v>475</v>
      </c>
      <c r="D77" s="5" t="s">
        <v>257</v>
      </c>
      <c r="E77" s="22" t="s">
        <v>274</v>
      </c>
    </row>
    <row r="78" customFormat="false" ht="23.85" hidden="false" customHeight="false" outlineLevel="0" collapsed="false">
      <c r="A78" s="5" t="s">
        <v>476</v>
      </c>
      <c r="B78" s="5" t="s">
        <v>472</v>
      </c>
      <c r="C78" s="28" t="s">
        <v>477</v>
      </c>
      <c r="D78" s="5" t="s">
        <v>261</v>
      </c>
      <c r="E78" s="22" t="s">
        <v>268</v>
      </c>
    </row>
    <row r="79" customFormat="false" ht="35.05" hidden="false" customHeight="false" outlineLevel="0" collapsed="false">
      <c r="A79" s="5" t="s">
        <v>478</v>
      </c>
      <c r="B79" s="5" t="s">
        <v>472</v>
      </c>
      <c r="C79" s="28" t="s">
        <v>479</v>
      </c>
      <c r="D79" s="5" t="s">
        <v>261</v>
      </c>
      <c r="E79" s="22" t="s">
        <v>271</v>
      </c>
    </row>
    <row r="80" customFormat="false" ht="35.05" hidden="false" customHeight="false" outlineLevel="0" collapsed="false">
      <c r="A80" s="5" t="s">
        <v>480</v>
      </c>
      <c r="B80" s="5" t="s">
        <v>472</v>
      </c>
      <c r="C80" s="28" t="s">
        <v>481</v>
      </c>
      <c r="D80" s="5" t="s">
        <v>482</v>
      </c>
      <c r="E80" s="22" t="s">
        <v>483</v>
      </c>
    </row>
    <row r="81" customFormat="false" ht="23.85" hidden="false" customHeight="false" outlineLevel="0" collapsed="false">
      <c r="A81" s="5" t="s">
        <v>484</v>
      </c>
      <c r="B81" s="5" t="s">
        <v>472</v>
      </c>
      <c r="C81" s="28" t="s">
        <v>485</v>
      </c>
      <c r="D81" s="5" t="s">
        <v>303</v>
      </c>
      <c r="E81" s="22" t="s">
        <v>304</v>
      </c>
    </row>
    <row r="82" customFormat="false" ht="23.85" hidden="false" customHeight="false" outlineLevel="0" collapsed="false">
      <c r="A82" s="5" t="s">
        <v>486</v>
      </c>
      <c r="B82" s="5" t="s">
        <v>472</v>
      </c>
      <c r="C82" s="28" t="s">
        <v>487</v>
      </c>
      <c r="D82" s="5" t="s">
        <v>303</v>
      </c>
      <c r="E82" s="22" t="s">
        <v>437</v>
      </c>
    </row>
    <row r="83" customFormat="false" ht="23.85" hidden="false" customHeight="false" outlineLevel="0" collapsed="false">
      <c r="A83" s="5" t="s">
        <v>488</v>
      </c>
      <c r="B83" s="5" t="s">
        <v>472</v>
      </c>
      <c r="C83" s="28" t="s">
        <v>489</v>
      </c>
      <c r="D83" s="5" t="s">
        <v>303</v>
      </c>
      <c r="E83" s="22" t="s">
        <v>409</v>
      </c>
    </row>
    <row r="84" customFormat="false" ht="23.85" hidden="false" customHeight="false" outlineLevel="0" collapsed="false">
      <c r="A84" s="5" t="s">
        <v>490</v>
      </c>
      <c r="B84" s="5" t="s">
        <v>472</v>
      </c>
      <c r="C84" s="28" t="s">
        <v>491</v>
      </c>
      <c r="D84" s="5" t="s">
        <v>303</v>
      </c>
      <c r="E84" s="22" t="s">
        <v>492</v>
      </c>
    </row>
    <row r="85" customFormat="false" ht="15" hidden="false" customHeight="false" outlineLevel="0" collapsed="false">
      <c r="A85" s="5" t="s">
        <v>493</v>
      </c>
      <c r="B85" s="5" t="s">
        <v>472</v>
      </c>
      <c r="C85" s="28" t="s">
        <v>494</v>
      </c>
      <c r="D85" s="5" t="s">
        <v>303</v>
      </c>
      <c r="E85" s="22" t="s">
        <v>495</v>
      </c>
    </row>
    <row r="86" customFormat="false" ht="23.85" hidden="false" customHeight="false" outlineLevel="0" collapsed="false">
      <c r="A86" s="5" t="s">
        <v>496</v>
      </c>
      <c r="B86" s="5" t="s">
        <v>472</v>
      </c>
      <c r="C86" s="28" t="s">
        <v>497</v>
      </c>
      <c r="D86" s="5" t="s">
        <v>303</v>
      </c>
      <c r="E86" s="22" t="s">
        <v>498</v>
      </c>
    </row>
    <row r="87" customFormat="false" ht="35.05" hidden="false" customHeight="false" outlineLevel="0" collapsed="false">
      <c r="A87" s="5" t="s">
        <v>499</v>
      </c>
      <c r="B87" s="5" t="s">
        <v>472</v>
      </c>
      <c r="C87" s="28" t="s">
        <v>500</v>
      </c>
      <c r="D87" s="5" t="s">
        <v>303</v>
      </c>
      <c r="E87" s="22" t="s">
        <v>448</v>
      </c>
    </row>
    <row r="88" customFormat="false" ht="23.85" hidden="false" customHeight="false" outlineLevel="0" collapsed="false">
      <c r="A88" s="5" t="s">
        <v>501</v>
      </c>
      <c r="B88" s="5" t="s">
        <v>472</v>
      </c>
      <c r="C88" s="28" t="s">
        <v>502</v>
      </c>
      <c r="D88" s="5" t="s">
        <v>303</v>
      </c>
      <c r="E88" s="22" t="s">
        <v>503</v>
      </c>
    </row>
    <row r="89" customFormat="false" ht="23.85" hidden="false" customHeight="false" outlineLevel="0" collapsed="false">
      <c r="A89" s="5" t="s">
        <v>504</v>
      </c>
      <c r="B89" s="5" t="s">
        <v>472</v>
      </c>
      <c r="C89" s="28" t="s">
        <v>505</v>
      </c>
      <c r="D89" s="5" t="s">
        <v>303</v>
      </c>
      <c r="E89" s="22" t="s">
        <v>506</v>
      </c>
    </row>
    <row r="90" customFormat="false" ht="23.85" hidden="false" customHeight="false" outlineLevel="0" collapsed="false">
      <c r="A90" s="5" t="s">
        <v>507</v>
      </c>
      <c r="B90" s="5" t="s">
        <v>472</v>
      </c>
      <c r="C90" s="28" t="s">
        <v>508</v>
      </c>
      <c r="D90" s="5" t="s">
        <v>299</v>
      </c>
      <c r="E90" s="22" t="s">
        <v>300</v>
      </c>
    </row>
    <row r="91" customFormat="false" ht="35.05" hidden="false" customHeight="false" outlineLevel="0" collapsed="false">
      <c r="A91" s="5" t="s">
        <v>509</v>
      </c>
      <c r="B91" s="5" t="s">
        <v>472</v>
      </c>
      <c r="C91" s="28" t="s">
        <v>510</v>
      </c>
      <c r="D91" s="5" t="s">
        <v>303</v>
      </c>
      <c r="E91" s="22" t="s">
        <v>511</v>
      </c>
    </row>
    <row r="92" customFormat="false" ht="35.05" hidden="false" customHeight="false" outlineLevel="0" collapsed="false">
      <c r="A92" s="5" t="s">
        <v>512</v>
      </c>
      <c r="B92" s="5" t="s">
        <v>472</v>
      </c>
      <c r="C92" s="28" t="s">
        <v>513</v>
      </c>
      <c r="D92" s="5" t="s">
        <v>303</v>
      </c>
      <c r="E92" s="22" t="s">
        <v>514</v>
      </c>
    </row>
    <row r="93" customFormat="false" ht="35.05" hidden="false" customHeight="false" outlineLevel="0" collapsed="false">
      <c r="A93" s="5" t="s">
        <v>515</v>
      </c>
      <c r="B93" s="5" t="s">
        <v>472</v>
      </c>
      <c r="C93" s="28" t="s">
        <v>516</v>
      </c>
      <c r="D93" s="5" t="s">
        <v>303</v>
      </c>
      <c r="E93" s="22" t="s">
        <v>517</v>
      </c>
    </row>
    <row r="94" customFormat="false" ht="23.85" hidden="false" customHeight="false" outlineLevel="0" collapsed="false">
      <c r="A94" s="5" t="s">
        <v>518</v>
      </c>
      <c r="B94" s="5" t="s">
        <v>472</v>
      </c>
      <c r="C94" s="28" t="s">
        <v>519</v>
      </c>
      <c r="D94" s="5" t="s">
        <v>520</v>
      </c>
      <c r="E94" s="22" t="s">
        <v>521</v>
      </c>
    </row>
    <row r="95" customFormat="false" ht="35.05" hidden="false" customHeight="false" outlineLevel="0" collapsed="false">
      <c r="A95" s="5" t="s">
        <v>522</v>
      </c>
      <c r="B95" s="5" t="s">
        <v>472</v>
      </c>
      <c r="C95" s="28" t="s">
        <v>523</v>
      </c>
      <c r="D95" s="5" t="s">
        <v>299</v>
      </c>
      <c r="E95" s="5" t="s">
        <v>310</v>
      </c>
    </row>
    <row r="96" customFormat="false" ht="15" hidden="false" customHeight="false" outlineLevel="0" collapsed="false">
      <c r="A96" s="5" t="s">
        <v>524</v>
      </c>
      <c r="B96" s="5" t="s">
        <v>525</v>
      </c>
      <c r="C96" s="28" t="s">
        <v>526</v>
      </c>
      <c r="D96" s="5" t="s">
        <v>299</v>
      </c>
      <c r="E96" s="22" t="s">
        <v>353</v>
      </c>
    </row>
    <row r="97" customFormat="false" ht="23.85" hidden="false" customHeight="false" outlineLevel="0" collapsed="false">
      <c r="A97" s="5" t="s">
        <v>527</v>
      </c>
      <c r="B97" s="5" t="s">
        <v>525</v>
      </c>
      <c r="C97" s="28" t="s">
        <v>528</v>
      </c>
      <c r="D97" s="5" t="s">
        <v>440</v>
      </c>
      <c r="E97" s="22" t="s">
        <v>529</v>
      </c>
    </row>
    <row r="98" customFormat="false" ht="23.85" hidden="false" customHeight="false" outlineLevel="0" collapsed="false">
      <c r="A98" s="5" t="s">
        <v>530</v>
      </c>
      <c r="B98" s="5" t="s">
        <v>525</v>
      </c>
      <c r="C98" s="28" t="s">
        <v>531</v>
      </c>
      <c r="D98" s="5" t="s">
        <v>303</v>
      </c>
      <c r="E98" s="22" t="s">
        <v>437</v>
      </c>
    </row>
    <row r="99" customFormat="false" ht="15" hidden="false" customHeight="false" outlineLevel="0" collapsed="false">
      <c r="A99" s="5" t="s">
        <v>532</v>
      </c>
      <c r="B99" s="5" t="s">
        <v>525</v>
      </c>
      <c r="C99" s="28" t="s">
        <v>533</v>
      </c>
      <c r="D99" s="5" t="s">
        <v>303</v>
      </c>
      <c r="E99" s="22" t="s">
        <v>307</v>
      </c>
    </row>
    <row r="100" customFormat="false" ht="15" hidden="false" customHeight="false" outlineLevel="0" collapsed="false">
      <c r="A100" s="5" t="s">
        <v>534</v>
      </c>
      <c r="B100" s="5" t="s">
        <v>525</v>
      </c>
      <c r="C100" s="28" t="s">
        <v>535</v>
      </c>
      <c r="D100" s="5" t="s">
        <v>303</v>
      </c>
      <c r="E100" s="22" t="s">
        <v>341</v>
      </c>
    </row>
    <row r="101" customFormat="false" ht="15" hidden="false" customHeight="false" outlineLevel="0" collapsed="false">
      <c r="A101" s="5" t="s">
        <v>536</v>
      </c>
      <c r="B101" s="5" t="s">
        <v>525</v>
      </c>
      <c r="C101" s="28" t="s">
        <v>537</v>
      </c>
      <c r="D101" s="5" t="s">
        <v>303</v>
      </c>
      <c r="E101" s="22" t="s">
        <v>344</v>
      </c>
    </row>
    <row r="102" customFormat="false" ht="15" hidden="false" customHeight="false" outlineLevel="0" collapsed="false">
      <c r="A102" s="5" t="s">
        <v>538</v>
      </c>
      <c r="B102" s="5" t="s">
        <v>525</v>
      </c>
      <c r="C102" s="28" t="s">
        <v>539</v>
      </c>
      <c r="D102" s="5" t="s">
        <v>303</v>
      </c>
      <c r="E102" s="22" t="s">
        <v>347</v>
      </c>
    </row>
    <row r="103" customFormat="false" ht="23.85" hidden="false" customHeight="false" outlineLevel="0" collapsed="false">
      <c r="A103" s="5" t="s">
        <v>540</v>
      </c>
      <c r="B103" s="5" t="s">
        <v>525</v>
      </c>
      <c r="C103" s="28" t="s">
        <v>541</v>
      </c>
      <c r="D103" s="5" t="s">
        <v>261</v>
      </c>
      <c r="E103" s="22" t="s">
        <v>265</v>
      </c>
    </row>
    <row r="104" customFormat="false" ht="23.85" hidden="false" customHeight="false" outlineLevel="0" collapsed="false">
      <c r="A104" s="5" t="s">
        <v>542</v>
      </c>
      <c r="B104" s="5" t="s">
        <v>525</v>
      </c>
      <c r="C104" s="28" t="s">
        <v>543</v>
      </c>
      <c r="D104" s="5" t="s">
        <v>261</v>
      </c>
      <c r="E104" s="22" t="s">
        <v>268</v>
      </c>
    </row>
    <row r="105" customFormat="false" ht="23.85" hidden="false" customHeight="false" outlineLevel="0" collapsed="false">
      <c r="A105" s="5" t="s">
        <v>544</v>
      </c>
      <c r="B105" s="5" t="s">
        <v>525</v>
      </c>
      <c r="C105" s="28" t="s">
        <v>545</v>
      </c>
      <c r="D105" s="5" t="s">
        <v>261</v>
      </c>
      <c r="E105" s="22" t="s">
        <v>271</v>
      </c>
    </row>
    <row r="106" customFormat="false" ht="23.85" hidden="false" customHeight="false" outlineLevel="0" collapsed="false">
      <c r="A106" s="5" t="s">
        <v>546</v>
      </c>
      <c r="B106" s="5" t="s">
        <v>525</v>
      </c>
      <c r="C106" s="28" t="s">
        <v>547</v>
      </c>
      <c r="D106" s="5" t="s">
        <v>261</v>
      </c>
      <c r="E106" s="22" t="s">
        <v>262</v>
      </c>
    </row>
    <row r="107" customFormat="false" ht="23.85" hidden="false" customHeight="false" outlineLevel="0" collapsed="false">
      <c r="A107" s="5" t="s">
        <v>548</v>
      </c>
      <c r="B107" s="5" t="s">
        <v>525</v>
      </c>
      <c r="C107" s="28" t="s">
        <v>549</v>
      </c>
      <c r="D107" s="5" t="s">
        <v>550</v>
      </c>
      <c r="E107" s="22" t="s">
        <v>333</v>
      </c>
    </row>
    <row r="108" customFormat="false" ht="15" hidden="false" customHeight="false" outlineLevel="0" collapsed="false">
      <c r="A108" s="5" t="s">
        <v>551</v>
      </c>
      <c r="B108" s="5" t="s">
        <v>525</v>
      </c>
      <c r="C108" s="28" t="s">
        <v>552</v>
      </c>
      <c r="D108" s="5" t="s">
        <v>553</v>
      </c>
      <c r="E108" s="22" t="s">
        <v>483</v>
      </c>
    </row>
    <row r="109" customFormat="false" ht="35.05" hidden="false" customHeight="false" outlineLevel="0" collapsed="false">
      <c r="A109" s="5" t="s">
        <v>554</v>
      </c>
      <c r="B109" s="5" t="s">
        <v>525</v>
      </c>
      <c r="C109" s="28" t="s">
        <v>555</v>
      </c>
      <c r="D109" s="5" t="s">
        <v>257</v>
      </c>
      <c r="E109" s="22" t="s">
        <v>258</v>
      </c>
    </row>
    <row r="110" customFormat="false" ht="23.85" hidden="false" customHeight="false" outlineLevel="0" collapsed="false">
      <c r="A110" s="5" t="s">
        <v>556</v>
      </c>
      <c r="B110" s="5" t="s">
        <v>525</v>
      </c>
      <c r="C110" s="28" t="s">
        <v>557</v>
      </c>
      <c r="D110" s="5" t="s">
        <v>281</v>
      </c>
      <c r="E110" s="22" t="s">
        <v>282</v>
      </c>
    </row>
    <row r="111" customFormat="false" ht="15" hidden="false" customHeight="false" outlineLevel="0" collapsed="false">
      <c r="A111" s="5" t="s">
        <v>558</v>
      </c>
      <c r="B111" s="5" t="s">
        <v>525</v>
      </c>
      <c r="C111" s="28" t="s">
        <v>559</v>
      </c>
      <c r="D111" s="5" t="s">
        <v>257</v>
      </c>
      <c r="E111" s="22" t="s">
        <v>274</v>
      </c>
    </row>
    <row r="112" customFormat="false" ht="15" hidden="false" customHeight="false" outlineLevel="0" collapsed="false">
      <c r="A112" s="5" t="s">
        <v>560</v>
      </c>
      <c r="B112" s="5" t="s">
        <v>525</v>
      </c>
      <c r="C112" s="28" t="s">
        <v>561</v>
      </c>
      <c r="D112" s="5" t="s">
        <v>257</v>
      </c>
      <c r="E112" s="22" t="s">
        <v>385</v>
      </c>
    </row>
    <row r="113" customFormat="false" ht="15" hidden="false" customHeight="false" outlineLevel="0" collapsed="false">
      <c r="A113" s="5" t="s">
        <v>562</v>
      </c>
      <c r="B113" s="5" t="s">
        <v>525</v>
      </c>
      <c r="C113" s="28" t="s">
        <v>563</v>
      </c>
      <c r="D113" s="5" t="s">
        <v>303</v>
      </c>
      <c r="E113" s="22" t="s">
        <v>304</v>
      </c>
    </row>
    <row r="114" customFormat="false" ht="15" hidden="false" customHeight="false" outlineLevel="0" collapsed="false">
      <c r="A114" s="5" t="s">
        <v>564</v>
      </c>
      <c r="B114" s="5" t="s">
        <v>525</v>
      </c>
      <c r="C114" s="28" t="s">
        <v>565</v>
      </c>
      <c r="D114" s="5" t="s">
        <v>303</v>
      </c>
      <c r="E114" s="22" t="s">
        <v>360</v>
      </c>
    </row>
    <row r="115" customFormat="false" ht="15" hidden="false" customHeight="false" outlineLevel="0" collapsed="false">
      <c r="A115" s="5" t="s">
        <v>566</v>
      </c>
      <c r="B115" s="5" t="s">
        <v>525</v>
      </c>
      <c r="C115" s="28" t="s">
        <v>567</v>
      </c>
      <c r="D115" s="5" t="s">
        <v>299</v>
      </c>
      <c r="E115" s="5" t="s">
        <v>310</v>
      </c>
    </row>
    <row r="116" customFormat="false" ht="23.85" hidden="false" customHeight="false" outlineLevel="0" collapsed="false">
      <c r="A116" s="5" t="s">
        <v>568</v>
      </c>
      <c r="B116" s="5" t="s">
        <v>525</v>
      </c>
      <c r="C116" s="28" t="s">
        <v>569</v>
      </c>
      <c r="D116" s="5" t="s">
        <v>469</v>
      </c>
      <c r="E116" s="5" t="s">
        <v>470</v>
      </c>
    </row>
    <row r="117" customFormat="false" ht="15" hidden="false" customHeight="false" outlineLevel="0" collapsed="false">
      <c r="A117" s="5" t="s">
        <v>570</v>
      </c>
      <c r="B117" s="5" t="s">
        <v>525</v>
      </c>
      <c r="C117" s="28" t="s">
        <v>526</v>
      </c>
      <c r="D117" s="5" t="s">
        <v>299</v>
      </c>
      <c r="E117" s="22" t="s">
        <v>353</v>
      </c>
    </row>
    <row r="118" customFormat="false" ht="23.85" hidden="false" customHeight="false" outlineLevel="0" collapsed="false">
      <c r="A118" s="5" t="s">
        <v>571</v>
      </c>
      <c r="B118" s="5" t="s">
        <v>525</v>
      </c>
      <c r="C118" s="28" t="s">
        <v>528</v>
      </c>
      <c r="D118" s="5" t="s">
        <v>440</v>
      </c>
      <c r="E118" s="22" t="s">
        <v>529</v>
      </c>
    </row>
    <row r="119" customFormat="false" ht="23.85" hidden="false" customHeight="false" outlineLevel="0" collapsed="false">
      <c r="A119" s="5" t="s">
        <v>572</v>
      </c>
      <c r="B119" s="5" t="s">
        <v>525</v>
      </c>
      <c r="C119" s="28" t="s">
        <v>531</v>
      </c>
      <c r="D119" s="5" t="s">
        <v>303</v>
      </c>
      <c r="E119" s="22" t="s">
        <v>437</v>
      </c>
    </row>
    <row r="120" customFormat="false" ht="15" hidden="false" customHeight="false" outlineLevel="0" collapsed="false">
      <c r="A120" s="5" t="s">
        <v>573</v>
      </c>
      <c r="B120" s="5" t="s">
        <v>525</v>
      </c>
      <c r="C120" s="28" t="s">
        <v>533</v>
      </c>
      <c r="D120" s="5" t="s">
        <v>303</v>
      </c>
      <c r="E120" s="22" t="s">
        <v>307</v>
      </c>
    </row>
    <row r="121" customFormat="false" ht="15" hidden="false" customHeight="false" outlineLevel="0" collapsed="false">
      <c r="A121" s="5" t="s">
        <v>574</v>
      </c>
      <c r="B121" s="5" t="s">
        <v>525</v>
      </c>
      <c r="C121" s="28" t="s">
        <v>535</v>
      </c>
      <c r="D121" s="5" t="s">
        <v>303</v>
      </c>
      <c r="E121" s="22" t="s">
        <v>341</v>
      </c>
    </row>
    <row r="122" customFormat="false" ht="15" hidden="false" customHeight="false" outlineLevel="0" collapsed="false">
      <c r="A122" s="5" t="s">
        <v>575</v>
      </c>
      <c r="B122" s="5" t="s">
        <v>525</v>
      </c>
      <c r="C122" s="28" t="s">
        <v>537</v>
      </c>
      <c r="D122" s="5" t="s">
        <v>303</v>
      </c>
      <c r="E122" s="22" t="s">
        <v>344</v>
      </c>
    </row>
    <row r="123" customFormat="false" ht="15" hidden="false" customHeight="false" outlineLevel="0" collapsed="false">
      <c r="A123" s="5" t="s">
        <v>576</v>
      </c>
      <c r="B123" s="5" t="s">
        <v>525</v>
      </c>
      <c r="C123" s="28" t="s">
        <v>539</v>
      </c>
      <c r="D123" s="5" t="s">
        <v>303</v>
      </c>
      <c r="E123" s="22" t="s">
        <v>347</v>
      </c>
    </row>
    <row r="124" customFormat="false" ht="23.85" hidden="false" customHeight="false" outlineLevel="0" collapsed="false">
      <c r="A124" s="5" t="s">
        <v>577</v>
      </c>
      <c r="B124" s="5" t="s">
        <v>525</v>
      </c>
      <c r="C124" s="28" t="s">
        <v>541</v>
      </c>
      <c r="D124" s="5" t="s">
        <v>261</v>
      </c>
      <c r="E124" s="22" t="s">
        <v>265</v>
      </c>
    </row>
    <row r="125" customFormat="false" ht="23.85" hidden="false" customHeight="false" outlineLevel="0" collapsed="false">
      <c r="A125" s="5" t="s">
        <v>578</v>
      </c>
      <c r="B125" s="5" t="s">
        <v>525</v>
      </c>
      <c r="C125" s="28" t="s">
        <v>543</v>
      </c>
      <c r="D125" s="5" t="s">
        <v>261</v>
      </c>
      <c r="E125" s="22" t="s">
        <v>268</v>
      </c>
    </row>
    <row r="126" customFormat="false" ht="23.85" hidden="false" customHeight="false" outlineLevel="0" collapsed="false">
      <c r="A126" s="5" t="s">
        <v>579</v>
      </c>
      <c r="B126" s="5" t="s">
        <v>525</v>
      </c>
      <c r="C126" s="28" t="s">
        <v>545</v>
      </c>
      <c r="D126" s="5" t="s">
        <v>261</v>
      </c>
      <c r="E126" s="22" t="s">
        <v>271</v>
      </c>
    </row>
    <row r="127" customFormat="false" ht="23.85" hidden="false" customHeight="false" outlineLevel="0" collapsed="false">
      <c r="A127" s="5" t="s">
        <v>580</v>
      </c>
      <c r="B127" s="5" t="s">
        <v>525</v>
      </c>
      <c r="C127" s="28" t="s">
        <v>547</v>
      </c>
      <c r="D127" s="5" t="s">
        <v>261</v>
      </c>
      <c r="E127" s="22" t="s">
        <v>262</v>
      </c>
    </row>
    <row r="128" customFormat="false" ht="23.85" hidden="false" customHeight="false" outlineLevel="0" collapsed="false">
      <c r="A128" s="5" t="s">
        <v>581</v>
      </c>
      <c r="B128" s="5" t="s">
        <v>525</v>
      </c>
      <c r="C128" s="28" t="s">
        <v>549</v>
      </c>
      <c r="D128" s="5" t="s">
        <v>550</v>
      </c>
      <c r="E128" s="22" t="s">
        <v>333</v>
      </c>
    </row>
    <row r="129" customFormat="false" ht="15" hidden="false" customHeight="false" outlineLevel="0" collapsed="false">
      <c r="A129" s="5" t="s">
        <v>582</v>
      </c>
      <c r="B129" s="5" t="s">
        <v>525</v>
      </c>
      <c r="C129" s="28" t="s">
        <v>552</v>
      </c>
      <c r="D129" s="5" t="s">
        <v>553</v>
      </c>
      <c r="E129" s="22" t="s">
        <v>483</v>
      </c>
    </row>
    <row r="130" customFormat="false" ht="35.05" hidden="false" customHeight="false" outlineLevel="0" collapsed="false">
      <c r="A130" s="5" t="s">
        <v>583</v>
      </c>
      <c r="B130" s="5" t="s">
        <v>525</v>
      </c>
      <c r="C130" s="28" t="s">
        <v>555</v>
      </c>
      <c r="D130" s="5" t="s">
        <v>257</v>
      </c>
      <c r="E130" s="22" t="s">
        <v>258</v>
      </c>
    </row>
    <row r="131" customFormat="false" ht="23.85" hidden="false" customHeight="false" outlineLevel="0" collapsed="false">
      <c r="A131" s="5" t="s">
        <v>584</v>
      </c>
      <c r="B131" s="5" t="s">
        <v>525</v>
      </c>
      <c r="C131" s="28" t="s">
        <v>557</v>
      </c>
      <c r="D131" s="5" t="s">
        <v>281</v>
      </c>
      <c r="E131" s="22" t="s">
        <v>282</v>
      </c>
    </row>
    <row r="132" customFormat="false" ht="15" hidden="false" customHeight="false" outlineLevel="0" collapsed="false">
      <c r="A132" s="5" t="s">
        <v>585</v>
      </c>
      <c r="B132" s="5" t="s">
        <v>525</v>
      </c>
      <c r="C132" s="28" t="s">
        <v>559</v>
      </c>
      <c r="D132" s="5" t="s">
        <v>257</v>
      </c>
      <c r="E132" s="22" t="s">
        <v>274</v>
      </c>
    </row>
    <row r="133" customFormat="false" ht="15" hidden="false" customHeight="false" outlineLevel="0" collapsed="false">
      <c r="A133" s="5" t="s">
        <v>586</v>
      </c>
      <c r="B133" s="5" t="s">
        <v>525</v>
      </c>
      <c r="C133" s="28" t="s">
        <v>561</v>
      </c>
      <c r="D133" s="5" t="s">
        <v>257</v>
      </c>
      <c r="E133" s="22" t="s">
        <v>385</v>
      </c>
    </row>
    <row r="134" customFormat="false" ht="15" hidden="false" customHeight="false" outlineLevel="0" collapsed="false">
      <c r="A134" s="5" t="s">
        <v>587</v>
      </c>
      <c r="B134" s="5" t="s">
        <v>525</v>
      </c>
      <c r="C134" s="28" t="s">
        <v>563</v>
      </c>
      <c r="D134" s="5" t="s">
        <v>303</v>
      </c>
      <c r="E134" s="22" t="s">
        <v>304</v>
      </c>
    </row>
    <row r="135" customFormat="false" ht="15" hidden="false" customHeight="false" outlineLevel="0" collapsed="false">
      <c r="A135" s="5" t="s">
        <v>588</v>
      </c>
      <c r="B135" s="5" t="s">
        <v>525</v>
      </c>
      <c r="C135" s="28" t="s">
        <v>565</v>
      </c>
      <c r="D135" s="5" t="s">
        <v>303</v>
      </c>
      <c r="E135" s="22" t="s">
        <v>360</v>
      </c>
    </row>
    <row r="136" customFormat="false" ht="15" hidden="false" customHeight="false" outlineLevel="0" collapsed="false">
      <c r="A136" s="5" t="s">
        <v>589</v>
      </c>
      <c r="B136" s="5" t="s">
        <v>525</v>
      </c>
      <c r="C136" s="28" t="s">
        <v>567</v>
      </c>
      <c r="D136" s="5" t="s">
        <v>299</v>
      </c>
      <c r="E136" s="5" t="s">
        <v>310</v>
      </c>
    </row>
    <row r="137" customFormat="false" ht="23.85" hidden="false" customHeight="false" outlineLevel="0" collapsed="false">
      <c r="A137" s="5" t="s">
        <v>590</v>
      </c>
      <c r="B137" s="5" t="s">
        <v>525</v>
      </c>
      <c r="C137" s="28" t="s">
        <v>569</v>
      </c>
      <c r="D137" s="5" t="s">
        <v>469</v>
      </c>
      <c r="E137" s="5" t="s">
        <v>470</v>
      </c>
    </row>
    <row r="138" customFormat="false" ht="35.05" hidden="false" customHeight="false" outlineLevel="0" collapsed="false">
      <c r="A138" s="5" t="s">
        <v>591</v>
      </c>
      <c r="B138" s="5" t="s">
        <v>525</v>
      </c>
      <c r="C138" s="28" t="s">
        <v>592</v>
      </c>
      <c r="D138" s="5" t="s">
        <v>261</v>
      </c>
      <c r="E138" s="22" t="s">
        <v>593</v>
      </c>
    </row>
    <row r="139" customFormat="false" ht="35.05" hidden="false" customHeight="false" outlineLevel="0" collapsed="false">
      <c r="A139" s="5" t="s">
        <v>594</v>
      </c>
      <c r="B139" s="5" t="s">
        <v>525</v>
      </c>
      <c r="C139" s="28" t="s">
        <v>595</v>
      </c>
      <c r="D139" s="5" t="s">
        <v>440</v>
      </c>
      <c r="E139" s="22" t="s">
        <v>596</v>
      </c>
    </row>
    <row r="140" customFormat="false" ht="46.25" hidden="false" customHeight="false" outlineLevel="0" collapsed="false">
      <c r="A140" s="5" t="s">
        <v>597</v>
      </c>
      <c r="B140" s="5" t="s">
        <v>525</v>
      </c>
      <c r="C140" s="28" t="s">
        <v>598</v>
      </c>
      <c r="D140" s="5" t="s">
        <v>599</v>
      </c>
      <c r="E140" s="22" t="s">
        <v>600</v>
      </c>
    </row>
    <row r="141" customFormat="false" ht="23.85" hidden="false" customHeight="false" outlineLevel="0" collapsed="false">
      <c r="A141" s="5" t="s">
        <v>601</v>
      </c>
      <c r="B141" s="5" t="s">
        <v>525</v>
      </c>
      <c r="C141" s="28" t="s">
        <v>602</v>
      </c>
      <c r="D141" s="5" t="s">
        <v>469</v>
      </c>
      <c r="E141" s="22" t="s">
        <v>603</v>
      </c>
    </row>
    <row r="142" customFormat="false" ht="35.05" hidden="false" customHeight="false" outlineLevel="0" collapsed="false">
      <c r="A142" s="5" t="s">
        <v>604</v>
      </c>
      <c r="B142" s="5" t="s">
        <v>525</v>
      </c>
      <c r="C142" s="28" t="s">
        <v>605</v>
      </c>
      <c r="D142" s="5" t="s">
        <v>257</v>
      </c>
      <c r="E142" s="22" t="s">
        <v>606</v>
      </c>
    </row>
    <row r="143" customFormat="false" ht="35.05" hidden="false" customHeight="false" outlineLevel="0" collapsed="false">
      <c r="A143" s="5" t="s">
        <v>607</v>
      </c>
      <c r="B143" s="5" t="s">
        <v>525</v>
      </c>
      <c r="C143" s="28" t="s">
        <v>608</v>
      </c>
      <c r="D143" s="5" t="s">
        <v>609</v>
      </c>
      <c r="E143" s="22" t="s">
        <v>610</v>
      </c>
    </row>
    <row r="144" customFormat="false" ht="35.05" hidden="false" customHeight="false" outlineLevel="0" collapsed="false">
      <c r="A144" s="5" t="s">
        <v>611</v>
      </c>
      <c r="B144" s="5" t="s">
        <v>525</v>
      </c>
      <c r="C144" s="28" t="s">
        <v>612</v>
      </c>
      <c r="D144" s="5" t="s">
        <v>613</v>
      </c>
      <c r="E144" s="22" t="s">
        <v>614</v>
      </c>
    </row>
    <row r="145" customFormat="false" ht="35.05" hidden="false" customHeight="false" outlineLevel="0" collapsed="false">
      <c r="A145" s="5" t="s">
        <v>615</v>
      </c>
      <c r="B145" s="5" t="s">
        <v>525</v>
      </c>
      <c r="C145" s="28" t="s">
        <v>616</v>
      </c>
      <c r="D145" s="5" t="s">
        <v>617</v>
      </c>
      <c r="E145" s="22" t="s">
        <v>618</v>
      </c>
    </row>
    <row r="146" customFormat="false" ht="23.85" hidden="false" customHeight="false" outlineLevel="0" collapsed="false">
      <c r="A146" s="5" t="s">
        <v>619</v>
      </c>
      <c r="B146" s="5" t="s">
        <v>525</v>
      </c>
      <c r="C146" s="28" t="s">
        <v>620</v>
      </c>
      <c r="D146" s="5" t="s">
        <v>621</v>
      </c>
      <c r="E146" s="22" t="s">
        <v>622</v>
      </c>
    </row>
    <row r="147" customFormat="false" ht="23.85" hidden="false" customHeight="false" outlineLevel="0" collapsed="false">
      <c r="A147" s="5" t="s">
        <v>623</v>
      </c>
      <c r="B147" s="5" t="s">
        <v>525</v>
      </c>
      <c r="C147" s="28" t="s">
        <v>624</v>
      </c>
      <c r="D147" s="5" t="s">
        <v>599</v>
      </c>
      <c r="E147" s="22" t="s">
        <v>625</v>
      </c>
    </row>
    <row r="148" customFormat="false" ht="35.05" hidden="false" customHeight="false" outlineLevel="0" collapsed="false">
      <c r="A148" s="5" t="s">
        <v>626</v>
      </c>
      <c r="B148" s="5" t="s">
        <v>525</v>
      </c>
      <c r="C148" s="28" t="s">
        <v>627</v>
      </c>
      <c r="D148" s="5" t="s">
        <v>628</v>
      </c>
      <c r="E148" s="22" t="s">
        <v>629</v>
      </c>
    </row>
    <row r="149" customFormat="false" ht="35.05" hidden="false" customHeight="false" outlineLevel="0" collapsed="false">
      <c r="A149" s="5" t="s">
        <v>630</v>
      </c>
      <c r="B149" s="5" t="s">
        <v>525</v>
      </c>
      <c r="C149" s="28" t="s">
        <v>631</v>
      </c>
      <c r="D149" s="5" t="s">
        <v>617</v>
      </c>
      <c r="E149" s="22" t="s">
        <v>632</v>
      </c>
    </row>
    <row r="150" customFormat="false" ht="46.25" hidden="false" customHeight="false" outlineLevel="0" collapsed="false">
      <c r="A150" s="5" t="s">
        <v>633</v>
      </c>
      <c r="B150" s="5" t="s">
        <v>525</v>
      </c>
      <c r="C150" s="28" t="s">
        <v>634</v>
      </c>
      <c r="D150" s="5" t="s">
        <v>613</v>
      </c>
      <c r="E150" s="22" t="s">
        <v>635</v>
      </c>
    </row>
    <row r="151" customFormat="false" ht="23.85" hidden="false" customHeight="false" outlineLevel="0" collapsed="false">
      <c r="A151" s="5" t="s">
        <v>636</v>
      </c>
      <c r="B151" s="5" t="s">
        <v>525</v>
      </c>
      <c r="C151" s="28" t="s">
        <v>637</v>
      </c>
      <c r="D151" s="5" t="s">
        <v>261</v>
      </c>
      <c r="E151" s="22" t="s">
        <v>638</v>
      </c>
    </row>
    <row r="152" customFormat="false" ht="35.05" hidden="false" customHeight="false" outlineLevel="0" collapsed="false">
      <c r="A152" s="5" t="s">
        <v>639</v>
      </c>
      <c r="B152" s="5" t="s">
        <v>525</v>
      </c>
      <c r="C152" s="28" t="s">
        <v>640</v>
      </c>
      <c r="D152" s="5" t="s">
        <v>613</v>
      </c>
      <c r="E152" s="22" t="s">
        <v>641</v>
      </c>
    </row>
    <row r="153" customFormat="false" ht="23.85" hidden="false" customHeight="false" outlineLevel="0" collapsed="false">
      <c r="A153" s="5" t="s">
        <v>642</v>
      </c>
      <c r="B153" s="5" t="s">
        <v>525</v>
      </c>
      <c r="C153" s="28" t="s">
        <v>643</v>
      </c>
      <c r="D153" s="5" t="s">
        <v>613</v>
      </c>
      <c r="E153" s="22" t="s">
        <v>304</v>
      </c>
    </row>
    <row r="154" customFormat="false" ht="23.85" hidden="false" customHeight="false" outlineLevel="0" collapsed="false">
      <c r="A154" s="5" t="s">
        <v>644</v>
      </c>
      <c r="B154" s="5" t="s">
        <v>525</v>
      </c>
      <c r="C154" s="28" t="s">
        <v>645</v>
      </c>
      <c r="D154" s="5" t="s">
        <v>646</v>
      </c>
      <c r="E154" s="22" t="s">
        <v>647</v>
      </c>
    </row>
    <row r="155" customFormat="false" ht="23.85" hidden="false" customHeight="false" outlineLevel="0" collapsed="false">
      <c r="A155" s="5" t="s">
        <v>648</v>
      </c>
      <c r="B155" s="5" t="s">
        <v>525</v>
      </c>
      <c r="C155" s="28" t="s">
        <v>649</v>
      </c>
      <c r="D155" s="5" t="s">
        <v>650</v>
      </c>
      <c r="E155" s="22" t="s">
        <v>651</v>
      </c>
    </row>
    <row r="156" customFormat="false" ht="23.85" hidden="false" customHeight="false" outlineLevel="0" collapsed="false">
      <c r="A156" s="5" t="s">
        <v>652</v>
      </c>
      <c r="B156" s="5" t="s">
        <v>525</v>
      </c>
      <c r="C156" s="28" t="s">
        <v>653</v>
      </c>
      <c r="D156" s="5" t="s">
        <v>654</v>
      </c>
      <c r="E156" s="22" t="s">
        <v>655</v>
      </c>
    </row>
    <row r="157" customFormat="false" ht="23.85" hidden="false" customHeight="false" outlineLevel="0" collapsed="false">
      <c r="A157" s="5" t="s">
        <v>656</v>
      </c>
      <c r="B157" s="5" t="s">
        <v>525</v>
      </c>
      <c r="C157" s="28" t="s">
        <v>657</v>
      </c>
      <c r="D157" s="5" t="s">
        <v>658</v>
      </c>
      <c r="E157" s="22" t="s">
        <v>659</v>
      </c>
    </row>
    <row r="158" customFormat="false" ht="23.85" hidden="false" customHeight="false" outlineLevel="0" collapsed="false">
      <c r="A158" s="5" t="s">
        <v>660</v>
      </c>
      <c r="B158" s="5" t="s">
        <v>525</v>
      </c>
      <c r="C158" s="28" t="s">
        <v>661</v>
      </c>
      <c r="D158" s="5" t="s">
        <v>662</v>
      </c>
      <c r="E158" s="22" t="s">
        <v>663</v>
      </c>
    </row>
    <row r="159" customFormat="false" ht="23.85" hidden="false" customHeight="false" outlineLevel="0" collapsed="false">
      <c r="A159" s="5" t="s">
        <v>664</v>
      </c>
      <c r="B159" s="5" t="s">
        <v>525</v>
      </c>
      <c r="C159" s="28" t="s">
        <v>665</v>
      </c>
      <c r="D159" s="5" t="s">
        <v>285</v>
      </c>
      <c r="E159" s="22" t="s">
        <v>286</v>
      </c>
    </row>
    <row r="160" customFormat="false" ht="23.85" hidden="false" customHeight="false" outlineLevel="0" collapsed="false">
      <c r="A160" s="5" t="s">
        <v>666</v>
      </c>
      <c r="B160" s="5" t="s">
        <v>525</v>
      </c>
      <c r="C160" s="28" t="s">
        <v>667</v>
      </c>
      <c r="D160" s="5" t="s">
        <v>281</v>
      </c>
      <c r="E160" s="22" t="s">
        <v>282</v>
      </c>
    </row>
    <row r="161" customFormat="false" ht="23.85" hidden="false" customHeight="false" outlineLevel="0" collapsed="false">
      <c r="A161" s="5" t="s">
        <v>668</v>
      </c>
      <c r="B161" s="5" t="s">
        <v>525</v>
      </c>
      <c r="C161" s="28" t="s">
        <v>669</v>
      </c>
      <c r="D161" s="5" t="s">
        <v>257</v>
      </c>
      <c r="E161" s="22" t="s">
        <v>258</v>
      </c>
    </row>
    <row r="162" customFormat="false" ht="35.05" hidden="false" customHeight="false" outlineLevel="0" collapsed="false">
      <c r="A162" s="5" t="s">
        <v>670</v>
      </c>
      <c r="B162" s="5" t="s">
        <v>525</v>
      </c>
      <c r="C162" s="28" t="s">
        <v>671</v>
      </c>
      <c r="D162" s="5" t="s">
        <v>672</v>
      </c>
      <c r="E162" s="22" t="s">
        <v>673</v>
      </c>
    </row>
    <row r="163" customFormat="false" ht="68.65" hidden="false" customHeight="false" outlineLevel="0" collapsed="false">
      <c r="A163" s="5" t="s">
        <v>674</v>
      </c>
      <c r="B163" s="5" t="s">
        <v>525</v>
      </c>
      <c r="C163" s="28" t="s">
        <v>675</v>
      </c>
      <c r="D163" s="5" t="s">
        <v>261</v>
      </c>
      <c r="E163" s="22" t="s">
        <v>676</v>
      </c>
    </row>
    <row r="164" customFormat="false" ht="35.05" hidden="false" customHeight="false" outlineLevel="0" collapsed="false">
      <c r="A164" s="5" t="s">
        <v>677</v>
      </c>
      <c r="B164" s="5" t="s">
        <v>525</v>
      </c>
      <c r="C164" s="28" t="s">
        <v>678</v>
      </c>
      <c r="D164" s="5" t="s">
        <v>679</v>
      </c>
      <c r="E164" s="22" t="s">
        <v>680</v>
      </c>
    </row>
    <row r="165" customFormat="false" ht="23.85" hidden="false" customHeight="false" outlineLevel="0" collapsed="false">
      <c r="A165" s="5" t="s">
        <v>681</v>
      </c>
      <c r="B165" s="5" t="s">
        <v>525</v>
      </c>
      <c r="C165" s="28" t="s">
        <v>682</v>
      </c>
      <c r="D165" s="5" t="s">
        <v>679</v>
      </c>
      <c r="E165" s="22" t="s">
        <v>683</v>
      </c>
    </row>
    <row r="166" customFormat="false" ht="23.85" hidden="false" customHeight="false" outlineLevel="0" collapsed="false">
      <c r="A166" s="5" t="s">
        <v>684</v>
      </c>
      <c r="B166" s="5" t="s">
        <v>525</v>
      </c>
      <c r="C166" s="28" t="s">
        <v>685</v>
      </c>
      <c r="D166" s="5" t="s">
        <v>679</v>
      </c>
      <c r="E166" s="5" t="s">
        <v>686</v>
      </c>
    </row>
    <row r="167" customFormat="false" ht="23.85" hidden="false" customHeight="false" outlineLevel="0" collapsed="false">
      <c r="A167" s="5" t="s">
        <v>687</v>
      </c>
      <c r="B167" s="5" t="s">
        <v>525</v>
      </c>
      <c r="C167" s="28" t="s">
        <v>688</v>
      </c>
      <c r="D167" s="5" t="s">
        <v>679</v>
      </c>
      <c r="E167" s="22" t="s">
        <v>689</v>
      </c>
    </row>
    <row r="168" customFormat="false" ht="35.05" hidden="false" customHeight="false" outlineLevel="0" collapsed="false">
      <c r="A168" s="5" t="s">
        <v>690</v>
      </c>
      <c r="B168" s="5" t="s">
        <v>525</v>
      </c>
      <c r="C168" s="28" t="s">
        <v>691</v>
      </c>
      <c r="D168" s="5" t="s">
        <v>692</v>
      </c>
      <c r="E168" s="5" t="s">
        <v>693</v>
      </c>
    </row>
    <row r="169" customFormat="false" ht="23.85" hidden="false" customHeight="false" outlineLevel="0" collapsed="false">
      <c r="A169" s="5" t="s">
        <v>694</v>
      </c>
      <c r="B169" s="5" t="s">
        <v>525</v>
      </c>
      <c r="C169" s="28" t="s">
        <v>695</v>
      </c>
      <c r="D169" s="5" t="s">
        <v>679</v>
      </c>
      <c r="E169" s="22" t="s">
        <v>696</v>
      </c>
    </row>
  </sheetData>
  <hyperlinks>
    <hyperlink ref="E5" r:id="rId1" display="https://www.sec.gov/Archives/edgar/data/1730168/000173016826000076/avgo-08022026x8kxex99.htm"/>
    <hyperlink ref="E6" r:id="rId2" display="https://www.sec.gov/Archives/edgar/data/1730168/000173016826000080/avgo-20260802.htm"/>
    <hyperlink ref="E7" r:id="rId3" display="https://www.sec.gov/Archives/edgar/data/1730168/000173016826000080/R17.htm"/>
    <hyperlink ref="E8" r:id="rId4" display="https://www.sec.gov/Archives/edgar/data/1730168/000173016826000080/R53.htm"/>
    <hyperlink ref="E9" r:id="rId5" display="https://www.sec.gov/Archives/edgar/data/1730168/000173016826000080/R54.htm"/>
    <hyperlink ref="E10" r:id="rId6" display="https://www.webull.com/news/15511095937917952"/>
    <hyperlink ref="E11" r:id="rId7" display="https://www.sec.gov/Archives/edgar/data/1730168/000173016826000054/avgo-20260503.htm"/>
    <hyperlink ref="E12" r:id="rId8" display="https://www.sec.gov/Archives/edgar/data/1730168/000173016826000051/avgo-05032026x8kxex99.htm"/>
    <hyperlink ref="E13" r:id="rId9" display="https://www.sec.gov/Archives/edgar/data/1730168/000173016826000011/avgo-02012026x8kxex99.htm"/>
    <hyperlink ref="E14" r:id="rId10" display="https://www.fool.com/earnings/call-transcripts/2026/06/03/broadcom-avgo-q2-2026-earnings-transcript/"/>
    <hyperlink ref="E15" r:id="rId11" display="https://www.sec.gov/Archives/edgar/data/1730168/000119312526085691/d49254ddef14a.htm"/>
    <hyperlink ref="E16" r:id="rId12" display="https://ir.apollo.com/news-events/press-releases/detail/630/broadcom-apollo-and-blackstone-establish-landmark"/>
    <hyperlink ref="E17" r:id="rId13" display="https://home.treasury.gov/resource-center/data-chart-center/interest-rates/TextView?type=daily_treasury_yield_curve&amp;field_tdr_date_value_month=202610"/>
    <hyperlink ref="E18" r:id="rId14" display="https://finance.yahoo.com/quote/AVGO/analysis/"/>
    <hyperlink ref="E19" r:id="rId15" display="https://finviz.com/screener.ashx?v=121&amp;t=AVGO,NVDA,AMD,MRVL,TSM,ANET,ALAB,CRDO,QCOM,COHR,CSCO,ADI,ARM,MU"/>
    <hyperlink ref="E21" r:id="rId16" display="https://data.sec.gov/submissions/CIK0001730168.json"/>
    <hyperlink ref="E22" r:id="rId17" display="https://www.sec.gov/Archives/edgar/data/1730168/000119312526395593/d154803d424b3.htm"/>
    <hyperlink ref="E23" r:id="rId18" display="https://transcripts.platformaeronaut.com/summaries/AVGO-3Q26-AI-Summary"/>
    <hyperlink ref="E24" r:id="rId19" display="https://www.sec.gov/Archives/edgar/data/0001730168/000173016826000076/avgo-08022026x8kxex99.htm"/>
    <hyperlink ref="E25" r:id="rId20" display="https://www.webull.com/news/15511095937917952"/>
    <hyperlink ref="E26" r:id="rId21" display="https://www.sec.gov/Archives/edgar/data/1730168/000173016826000080/R54.htm"/>
    <hyperlink ref="E27" r:id="rId22" display="https://www.sec.gov/Archives/edgar/data/1730168/000173016826000080/R53.htm"/>
    <hyperlink ref="E28" r:id="rId23" display="https://www.sec.gov/Archives/edgar/data/1730168/000173016826000054/R52.htm"/>
    <hyperlink ref="E29" r:id="rId24" display="https://finance.yahoo.com/quote/AVGO/analysis/"/>
    <hyperlink ref="E30" r:id="rId25" display="https://finviz.com/screener.ashx?v=121&amp;t=AVGO,NVDA,AMD,MRVL,TSM,ANET,ALAB,CRDO,QCOM,COHR,CSCO,ADI"/>
    <hyperlink ref="E31" r:id="rId26" display="https://stockanalysis.com/stocks/csco/forecast/"/>
    <hyperlink ref="E32" r:id="rId27" display="https://stockanalysis.com/stocks/cohr/forecast/"/>
    <hyperlink ref="E33" r:id="rId28" display="https://stockanalysis.com/stocks/crdo/forecast/"/>
    <hyperlink ref="E35" r:id="rId29" display="https://home.treasury.gov/resource-center/data-chart-center/interest-rates/daily-treasury-rates.csv/2026/all?type=daily_treasury_yield_curve&amp;field_tdr_date_value=2026&amp;page&amp;_format=csv"/>
    <hyperlink ref="E36" r:id="rId30" display="https://www.webull.com/news/15239831945503744"/>
    <hyperlink ref="E37" r:id="rId31" display="https://investor.tsmc.com/english/quarterly-results"/>
    <hyperlink ref="E38" r:id="rId32" display="https://www.investing.com/news/stock-market-news/marvell-technology-stock-rallies-following-ambitious-investor-day-targets-4934767"/>
    <hyperlink ref="E39" r:id="rId33" display="https://investor.marvell.com/news-events/press-releases"/>
    <hyperlink ref="E40" r:id="rId34" display="https://nvidianews.nvidia.com/news/nvidia-announces-financial-results-for-second-quarter-fiscal-2027"/>
    <hyperlink ref="E41" r:id="rId35" display="https://w.media/ai-infrastructure-demand-pushes-alphabets-2026-capex-guidance-to-us-205-billion/"/>
    <hyperlink ref="E42" r:id="rId36" display="https://www.sec.gov/Archives/edgar/data/1730168/000173016826000076/avgo-08022026x8kxex99.htm"/>
    <hyperlink ref="E43" r:id="rId37" display="https://www.sec.gov/Archives/edgar/data/1730168/000173016826000080/avgo-20260802.htm"/>
    <hyperlink ref="E44" r:id="rId38" display="https://www.sec.gov/Archives/edgar/data/1730168/000173016826000080/R54.htm"/>
    <hyperlink ref="E45" r:id="rId39" display="https://www.sec.gov/Archives/edgar/data/1730168/000173016826000080/R53.htm"/>
    <hyperlink ref="E46" r:id="rId40" display="https://www.fool.com/earnings/call-transcripts/2026/09/09/broadcom-avgo-q3-2026-earnings-call-transcript/"/>
    <hyperlink ref="E47" r:id="rId41" display="https://fool.com/earnings/call-transcripts/2026/06/03/broadcom-avgo-q2-2026-earnings-transcript/"/>
    <hyperlink ref="E48" r:id="rId42" display="https://www.investing.com/news/stock-market-news/broadcom-downgraded-as-google-moves-to-reduce-reliance-on-chip-supplier-4726762"/>
    <hyperlink ref="E49" r:id="rId43" display="https://www.investing.com/news/stock-market-news/broadcom-credit-rating-cut-to-marketweight-on-xpv-concerns-93CH-4850949"/>
    <hyperlink ref="E50" r:id="rId44" display="https://www.itiger.com/news/1104289347"/>
    <hyperlink ref="E51" r:id="rId45" display="https://simplywall.st/stocks/us/semiconductors/nasdaq-avgo/broadcom/news/eu-complaint-over-vmware-licensing-puts-broadcoms-software-s"/>
    <hyperlink ref="E52" r:id="rId46" display="https://finance.yahoo.com/quote/AVGO/analysis/"/>
    <hyperlink ref="E53" r:id="rId47" display="https://finviz.com/screener.ashx?v=121&amp;t=AVGO,NVDA,AMD,MRVL,TSM,ANET,ALAB,CRDO,QCOM,ARM,MU,COHR,CSCO,ADI,TXN,KLAC"/>
    <hyperlink ref="E54" r:id="rId48" display="https://home.treasury.gov/resource-center/data-chart-center/interest-rates/TextView?type=daily_treasury_yield_curve&amp;field_tdr_date_value_month=202610"/>
    <hyperlink ref="E56" display="https://twelvedata.com (API: time_series AVGO 1day)"/>
    <hyperlink ref="E57" r:id="rId49" display="https://www.sec.gov/Archives/edgar/data/1730168/000173016826000076/avgo-08022026x8kxex99.htm"/>
    <hyperlink ref="E58" r:id="rId50" display="https://transcripts.platformaeronaut.com/transcripts/AVGO-3Q26-transcript"/>
    <hyperlink ref="E59" r:id="rId51" display="https://www.sec.gov/Archives/edgar/data/1730168/000173016826000080/avgo-20260802.htm"/>
    <hyperlink ref="E60" r:id="rId52" display="https://www.sec.gov/Archives/edgar/data/1730168/000173016826000080/R17.htm"/>
    <hyperlink ref="E61" r:id="rId53" display="https://www.sec.gov/Archives/edgar/data/1730168/000173016826000080/R53.htm"/>
    <hyperlink ref="E62" r:id="rId54" display="https://www.sec.gov/Archives/edgar/data/1730168/000173016826000080/R54.htm"/>
    <hyperlink ref="E63" r:id="rId55" display="https://finance.yahoo.com/quote/AVGO/analysis/"/>
    <hyperlink ref="E64" r:id="rId56" display="https://finviz.com/screener.ashx?v=121&amp;t=AVGO,NVDA,AMD,MRVL,TSM,ANET,ALAB,CRDO,QCOM,ARM,MU,COHR,CSCO,ADI,TXN,KLAC"/>
    <hyperlink ref="E65" r:id="rId57" display="https://stockanalysis.com/stocks/avgo/statistics/"/>
    <hyperlink ref="E66" r:id="rId58" display="https://pages.stern.nyu.edu/~adamodar/"/>
    <hyperlink ref="E67" r:id="rId59" display="https://home.treasury.gov/resource-center/data-chart-center/interest-rates/daily-treasury-rates.csv/2026/all?type=daily_treasury_yield_curve&amp;field_tdr_date_value=2026&amp;page&amp;_format=csv"/>
    <hyperlink ref="E69" r:id="rId60" display="https://gamma-api.polymarket.com/events?slug=anthropic-ipo-by"/>
    <hyperlink ref="E70" r:id="rId61" display="https://gamma-api.polymarket.com/events?slug=in-which-month-will-anthropic-ipo"/>
    <hyperlink ref="E71" r:id="rId62" display="https://hn.algolia.com/api/v1/search_by_date?query=Broadcom&amp;tags=story&amp;hitsPerPage=15"/>
    <hyperlink ref="E72" r:id="rId63" display="https://stocktwits.com/news-articles/markets/equity/broadcom-reportedly-lines-up-60-b-ai-chip-financing-as-anthropic-expands-compute/cZDjajBRBK3"/>
    <hyperlink ref="E73" r:id="rId64" display="https://monteinvestments.substack.com/p/broadcom-avgo-q3-2026-earnings-xpu-six-hyperscalers-strong-buy"/>
    <hyperlink ref="E74" r:id="rId65" display="https://www.trendforce.com/news/2026/03/05/news-broadcom-reportedly-eyes-100b-ai-chip-revenue-in-2027-backed-by-six-key-clients-including-google-meta/"/>
    <hyperlink ref="E76" r:id="rId66" display="https://www.sec.gov/Archives/edgar/data/1730168/000173016826000076/avgo-08022026x8kxex99.htm"/>
    <hyperlink ref="E77" r:id="rId67" display="https://www.webull.com/news/15511095937917952"/>
    <hyperlink ref="E78" r:id="rId68" display="https://www.sec.gov/Archives/edgar/data/1730168/000173016826000080/R53.htm"/>
    <hyperlink ref="E79" r:id="rId69" display="https://www.sec.gov/Archives/edgar/data/1730168/000173016826000080/R54.htm"/>
    <hyperlink ref="E80" r:id="rId70" display="https://www.sec.gov/Archives/edgar/data/1730168/000173016825000098/R59.htm"/>
    <hyperlink ref="E81" r:id="rId71" display="https://finance.yahoo.com/quote/AVGO/analysis/"/>
    <hyperlink ref="E82" r:id="rId72" display="https://stockanalysis.com/stocks/avgo/statistics/"/>
    <hyperlink ref="E83" r:id="rId73" display="https://finviz.com/screener.ashx?v=121&amp;t=AVGO,NVDA,AMD,MRVL,TSM,ANET,ALAB,CRDO,QCOM,ARM,MU,COHR,CSCO,ADI,TXN,KLAC"/>
    <hyperlink ref="E84" r:id="rId74" display="https://247wallst.com/investing/2026/10/06/marvell-rallies-6-as-investor-day-presses-the-custom-ai-silicon-case-broadcom-advances-4/"/>
    <hyperlink ref="E85" r:id="rId75" display="https://gamma-api.polymarket.com/events?slug=us-recession-by-end-of-2026"/>
    <hyperlink ref="E86" r:id="rId76" display="https://gamma-api.polymarket.com/events?slug=ai-bubble-burst-by"/>
    <hyperlink ref="E87" r:id="rId77" display="https://gamma-api.polymarket.com/events?slug=anthropic-ipo-by"/>
    <hyperlink ref="E88" r:id="rId78" display="https://gamma-api.polymarket.com/events?slug=will-china-invade-taiwan-by-december-31-2027"/>
    <hyperlink ref="E89" r:id="rId79" display="https://gamma-api.polymarket.com/events?slug=fed-rate-cut-by-629"/>
    <hyperlink ref="E90" r:id="rId80" display="https://home.treasury.gov/resource-center/data-chart-center/interest-rates/TextView?type=daily_treasury_yield_curve&amp;field_tdr_date_value_month=202610"/>
    <hyperlink ref="E91" r:id="rId81" display="https://api.twelvedata.com/time_series?symbol=AVGO&amp;interval=1month&amp;outputsize=130"/>
    <hyperlink ref="E92" r:id="rId82" display="https://api.twelvedata.com/time_series?symbol=AVGO&amp;interval=1day&amp;outputsize=300"/>
    <hyperlink ref="E93" r:id="rId83" display="https://api.twelvedata.com/time_series?symbol=CSCO&amp;interval=1month&amp;start_date=1999-09-01&amp;end_date=2002-10-31"/>
    <hyperlink ref="E94" r:id="rId84" display="https://economistwritingeveryday.com/tag/circular/"/>
    <hyperlink ref="E96" r:id="rId85" display="https://home.treasury.gov/resource-center/data-chart-center/interest-rates/daily-treasury-rates.csv/2026/all?type=daily_treasury_yield_curve&amp;field_tdr_date_value=2026&amp;page&amp;_format=csv"/>
    <hyperlink ref="E97" r:id="rId86" display="https://pages.stern.nyu.edu/~adamodar/New_Home_Page/home.htm"/>
    <hyperlink ref="E98" r:id="rId87" display="https://stockanalysis.com/stocks/avgo/statistics/"/>
    <hyperlink ref="E99" r:id="rId88" display="https://finviz.com/screener.ashx?v=121&amp;t=AVGO,NVDA,AMD,MRVL,TSM,ANET,ALAB,CRDO,QCOM,COHR,CSCO,ADI,ARM,MU"/>
    <hyperlink ref="E100" r:id="rId89" display="https://stockanalysis.com/stocks/csco/forecast/"/>
    <hyperlink ref="E101" r:id="rId90" display="https://stockanalysis.com/stocks/cohr/forecast/"/>
    <hyperlink ref="E102" r:id="rId91" display="https://stockanalysis.com/stocks/crdo/forecast/"/>
    <hyperlink ref="E103" r:id="rId92" display="https://www.sec.gov/Archives/edgar/data/1730168/000173016826000080/R17.htm"/>
    <hyperlink ref="E104" r:id="rId93" display="https://www.sec.gov/Archives/edgar/data/1730168/000173016826000080/R53.htm"/>
    <hyperlink ref="E105" r:id="rId94" display="https://www.sec.gov/Archives/edgar/data/1730168/000173016826000080/R54.htm"/>
    <hyperlink ref="E106" r:id="rId95" display="https://www.sec.gov/Archives/edgar/data/1730168/000173016826000080/avgo-20260802.htm"/>
    <hyperlink ref="E107" r:id="rId96" display="https://www.sec.gov/Archives/edgar/data/1730168/000173016826000054/R52.htm"/>
    <hyperlink ref="E108" r:id="rId97" display="https://www.sec.gov/Archives/edgar/data/1730168/000173016825000098/R59.htm"/>
    <hyperlink ref="E109" r:id="rId98" display="https://www.sec.gov/Archives/edgar/data/1730168/000173016826000076/avgo-08022026x8kxex99.htm"/>
    <hyperlink ref="E110" r:id="rId99" display="https://www.sec.gov/Archives/edgar/data/1730168/000173016826000051/avgo-05032026x8kxex99.htm"/>
    <hyperlink ref="E111" r:id="rId100" display="https://www.webull.com/news/15511095937917952"/>
    <hyperlink ref="E112" r:id="rId101" display="https://www.fool.com/earnings/call-transcripts/2026/09/09/broadcom-avgo-q3-2026-earnings-call-transcript/"/>
    <hyperlink ref="E113" r:id="rId102" display="https://finance.yahoo.com/quote/AVGO/analysis/"/>
    <hyperlink ref="E114" r:id="rId103" display="https://investor.tsmc.com/english/quarterly-results"/>
    <hyperlink ref="E117" r:id="rId104" display="https://home.treasury.gov/resource-center/data-chart-center/interest-rates/daily-treasury-rates.csv/2026/all?type=daily_treasury_yield_curve&amp;field_tdr_date_value=2026&amp;page&amp;_format=csv"/>
    <hyperlink ref="E118" r:id="rId105" display="https://pages.stern.nyu.edu/~adamodar/New_Home_Page/home.htm"/>
    <hyperlink ref="E119" r:id="rId106" display="https://stockanalysis.com/stocks/avgo/statistics/"/>
    <hyperlink ref="E120" r:id="rId107" display="https://finviz.com/screener.ashx?v=121&amp;t=AVGO,NVDA,AMD,MRVL,TSM,ANET,ALAB,CRDO,QCOM,COHR,CSCO,ADI,ARM,MU"/>
    <hyperlink ref="E121" r:id="rId108" display="https://stockanalysis.com/stocks/csco/forecast/"/>
    <hyperlink ref="E122" r:id="rId109" display="https://stockanalysis.com/stocks/cohr/forecast/"/>
    <hyperlink ref="E123" r:id="rId110" display="https://stockanalysis.com/stocks/crdo/forecast/"/>
    <hyperlink ref="E124" r:id="rId111" display="https://www.sec.gov/Archives/edgar/data/1730168/000173016826000080/R17.htm"/>
    <hyperlink ref="E125" r:id="rId112" display="https://www.sec.gov/Archives/edgar/data/1730168/000173016826000080/R53.htm"/>
    <hyperlink ref="E126" r:id="rId113" display="https://www.sec.gov/Archives/edgar/data/1730168/000173016826000080/R54.htm"/>
    <hyperlink ref="E127" r:id="rId114" display="https://www.sec.gov/Archives/edgar/data/1730168/000173016826000080/avgo-20260802.htm"/>
    <hyperlink ref="E128" r:id="rId115" display="https://www.sec.gov/Archives/edgar/data/1730168/000173016826000054/R52.htm"/>
    <hyperlink ref="E129" r:id="rId116" display="https://www.sec.gov/Archives/edgar/data/1730168/000173016825000098/R59.htm"/>
    <hyperlink ref="E130" r:id="rId117" display="https://www.sec.gov/Archives/edgar/data/1730168/000173016826000076/avgo-08022026x8kxex99.htm"/>
    <hyperlink ref="E131" r:id="rId118" display="https://www.sec.gov/Archives/edgar/data/1730168/000173016826000051/avgo-05032026x8kxex99.htm"/>
    <hyperlink ref="E132" r:id="rId119" display="https://www.webull.com/news/15511095937917952"/>
    <hyperlink ref="E133" r:id="rId120" display="https://www.fool.com/earnings/call-transcripts/2026/09/09/broadcom-avgo-q3-2026-earnings-call-transcript/"/>
    <hyperlink ref="E134" r:id="rId121" display="https://finance.yahoo.com/quote/AVGO/analysis/"/>
    <hyperlink ref="E135" r:id="rId122" display="https://investor.tsmc.com/english/quarterly-results"/>
    <hyperlink ref="E138" r:id="rId123" display="https://www.sec.gov/Archives/edgar/data/1730168/000173016826000080/R52.htm"/>
    <hyperlink ref="E139" r:id="rId124" display="https://www.thestar.com.my/tech/tech-news/2026/10/01/exclusive-broadcom-to-lend-anthropic-up-to-42-billion-to-lease-its-chips-filing-says"/>
    <hyperlink ref="E140" r:id="rId125" display="https://finance.yahoo.com/technology/ai/articles/broadcom-arranging-50-billion-openai-060941579.html"/>
    <hyperlink ref="E141" r:id="rId126" display="https://finance.yahoo.com/technology/ai/articles/broadcom-raises-60-billion-debt-113047288.html"/>
    <hyperlink ref="E142" r:id="rId127" display="https://streetsignal.substack.com/p/streetsignals-five-broadcoms-most"/>
    <hyperlink ref="E143" r:id="rId128" display="https://finance.yahoo.com/sectors/technology/articles/anthropic-google-broadcom-tpu-deal-113234906.html"/>
    <hyperlink ref="E144" r:id="rId129" display="https://legalclarity.org/historical-default-rates-by-credit-rating/"/>
    <hyperlink ref="E145" r:id="rId130" display="https://en.sedaily.com/international/2026/10/19/anthropic-offers-10-percent-yield-on-subordinated-debt-for"/>
    <hyperlink ref="E146" r:id="rId131" display="https://www.investing.com/news/stock-market-news/some-investors-push-anthropic-to-cut-ipo-valuation-to-15-trillion--report-4952696"/>
    <hyperlink ref="E147" r:id="rId132" display="https://finance.yahoo.com/technology/ai/articles/openai-revenue-20b-below-previous-181839907.html"/>
    <hyperlink ref="E148" r:id="rId133" display="https://www.cispe.cloud/?p=25724"/>
    <hyperlink ref="E149" r:id="rId134" display="https://www.marketscreener.com/quote/stock/BROADCOM-INC-164566206/finances/"/>
    <hyperlink ref="E150" r:id="rId135" display="https://data.sec.gov/api/xbrl/companyfacts/CIK0001730168.json"/>
    <hyperlink ref="E151" r:id="rId136" display="https://www.sec.gov/Archives/edgar/data/1730168/000173016826000080/R55.htm"/>
    <hyperlink ref="E152" r:id="rId137" display="https://competition-policy.ec.europa.eu/index/fines_en"/>
    <hyperlink ref="E153" r:id="rId138" display="https://finance.yahoo.com/quote/AVGO/analysis/"/>
    <hyperlink ref="E154" r:id="rId139" display="https://www.sec.gov/Archives/edgar/data/1730168/000173016824000125/avgo-11032024x8kxex99.htm"/>
    <hyperlink ref="E155" r:id="rId140" display="https://www.sec.gov/Archives/edgar/data/1730168/000173016825000009/avgo-02022025x8kxex99.htm"/>
    <hyperlink ref="E156" r:id="rId141" display="https://www.sec.gov/Archives/edgar/data/1730168/000173016825000061/avgo-05042025x8kxex99.htm"/>
    <hyperlink ref="E157" r:id="rId142" display="https://www.sec.gov/Archives/edgar/data/1730168/000173016825000094/avgo-08032025x8kxex99.htm"/>
    <hyperlink ref="E158" r:id="rId143" display="https://www.sec.gov/Archives/edgar/data/1730168/000173016825000116/avgo-11022025x8kxex99.htm"/>
    <hyperlink ref="E159" r:id="rId144" display="https://www.sec.gov/Archives/edgar/data/1730168/000173016826000011/avgo-02012026x8kxex99.htm"/>
    <hyperlink ref="E160" r:id="rId145" display="https://www.sec.gov/Archives/edgar/data/1730168/000173016826000051/avgo-05032026x8kxex99.htm"/>
    <hyperlink ref="E161" r:id="rId146" display="https://www.sec.gov/Archives/edgar/data/1730168/000173016826000076/avgo-08022026x8kxex99.htm"/>
    <hyperlink ref="E162" r:id="rId147" display="https://www.sec.gov/Archives/edgar/data/1730168/000119312526434271/d148323d8k.htm"/>
    <hyperlink ref="E163" r:id="rId148" display="https://www.sec.gov/Archives/edgar/data/1730168/000173016826000080/avgo-20260802_htm.xml"/>
    <hyperlink ref="E164" r:id="rId149" display="https://api.nasdaq.com/api/analyst/AVGO/earnings-forecast"/>
    <hyperlink ref="E165" r:id="rId150" display="https://api.nasdaq.com/api/company/AVGO/earnings-surprise"/>
    <hyperlink ref="E167" r:id="rId151" display="https://twelvedata.com"/>
    <hyperlink ref="E169" r:id="rId152" display="https://api.nasdaq.com/api/analyst/NVDA/earnings-foreca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2026-10-30T22:16:02Z</dcterms:created>
  <dc:creator>openpyxl</dc:creator>
  <dc:description/>
  <dc:language>en-US</dc:language>
  <cp:lastModifiedBy/>
  <dcterms:modified xsi:type="dcterms:W3CDTF">2026-10-30T22:16:02Z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