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Distribution" sheetId="3" state="visible" r:id="rId5"/>
    <sheet name="Methods" sheetId="4" state="visible" r:id="rId6"/>
    <sheet name="Scenarios" sheetId="5" state="visible" r:id="rId7"/>
    <sheet name="Reasoning" sheetId="6" state="visible" r:id="rId8"/>
    <sheet name="Supervisor" sheetId="7" state="visible" r:id="rId9"/>
    <sheet name="Sources" sheetId="8" state="visible" r:id="rId10"/>
  </sheets>
  <definedNames>
    <definedName function="false" hidden="false" name="Analyst_Median" vbProcedure="false">Summary!$B$9</definedName>
    <definedName function="false" hidden="false" name="IV30" vbProcedure="false">Summary!$B$13</definedName>
    <definedName function="false" hidden="false" name="Market_Median" vbProcedure="false">Summary!$B$15</definedName>
    <definedName function="false" hidden="false" name="Platt_Shift" vbProcedure="false">Summary!$B$11</definedName>
    <definedName function="false" hidden="false" name="Spot" vbProcedure="false">Summary!$B$5</definedName>
    <definedName function="false" hidden="false" name="Sup_Used" vbProcedure="false">Summary!$B$10</definedName>
    <definedName function="false" hidden="false" name="Thesis_Break" vbProcedure="false">Summary!$B$12</definedName>
    <definedName function="false" hidden="false" name="W_Agents" vbProcedure="false">Summary!$B$7</definedName>
    <definedName function="false" hidden="false" name="W_Analyst" vbProcedure="false">Summary!$B$8</definedName>
    <definedName function="false" hidden="false" name="W_Mkt" vbProcedure="false">Summary!$B$6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<sst xmlns="http://schemas.openxmlformats.org/spreadsheetml/2006/main" count="1607" uniqueCount="945">
  <si>
    <t xml:space="preserve">APP 12-month price target model</t>
  </si>
  <si>
    <t xml:space="preserve">Close 2026-10-30 · agents' research 2026-10-01 · horizon 2027-10-30. Blue = input you can change, black = formula, green = link to another sheet. Yellow = key assumption.</t>
  </si>
  <si>
    <t xml:space="preserve">Inputs</t>
  </si>
  <si>
    <t xml:space="preserve">Value</t>
  </si>
  <si>
    <t xml:space="preserve">Where it comes from</t>
  </si>
  <si>
    <t xml:space="preserve">Last close</t>
  </si>
  <si>
    <t xml:space="preserve">Close on 2026-10-30</t>
  </si>
  <si>
    <t xml:space="preserve">Weight: options market</t>
  </si>
  <si>
    <t xml:space="preserve">AIA Forecaster default (market 67%); flips to 33% when the option chain is thin</t>
  </si>
  <si>
    <t xml:space="preserve">Weight: agents</t>
  </si>
  <si>
    <t xml:space="preserve">AIA Forecaster default (agents 33%)</t>
  </si>
  <si>
    <t xml:space="preserve">Weight: analyst consensus</t>
  </si>
  <si>
    <t xml:space="preserve">Taken pro rata from the two above; 0 when there are no targets or in a special situation</t>
  </si>
  <si>
    <t xml:space="preserve">Analysts' median target</t>
  </si>
  <si>
    <t xml:space="preserve">29 analysts, https://stockanalysis.com/stocks/app/forecast/ as of 2026-10-30</t>
  </si>
  <si>
    <t xml:space="preserve">Use supervisor ladder (1 = yes)</t>
  </si>
  <si>
    <t xml:space="preserve">Supervisor confidence: low; its ladder replaces the agents' mean only when high</t>
  </si>
  <si>
    <t xml:space="preserve">Platt log shift of the agents' curve</t>
  </si>
  <si>
    <t xml:space="preserve">combine.py: P(close &gt;= spot) 0.694 Platt-scaled (a = 1.732) to 0.724, then the whole agents' curve is shifted in log price by this amount</t>
  </si>
  <si>
    <t xml:space="preserve">Thesis-break price (supervisor)</t>
  </si>
  <si>
    <t xml:space="preserve">Supervisor's reconciled thesis break (agents' values on the Reasoning sheet)</t>
  </si>
  <si>
    <t xml:space="preserve">30-day implied vol</t>
  </si>
  <si>
    <t xml:space="preserve">Cboe model-free 30D IV as of None; sets the stop noise floor (2 one-month moves)</t>
  </si>
  <si>
    <t xml:space="preserve">Options-market median</t>
  </si>
  <si>
    <t xml:space="preserve">Median of the options-implied distribution (Distribution sheet); the analyst curve is this curve re-centred on the analysts' median</t>
  </si>
  <si>
    <t xml:space="preserve">Research target (12m) per share</t>
  </si>
  <si>
    <t xml:space="preserve">Method blend</t>
  </si>
  <si>
    <t xml:space="preserve">Stated</t>
  </si>
  <si>
    <t xml:space="preserve">Note</t>
  </si>
  <si>
    <t xml:space="preserve">Agent 1</t>
  </si>
  <si>
    <t xml:space="preserve">Agent 2</t>
  </si>
  <si>
    <t xml:space="preserve">Agent 3</t>
  </si>
  <si>
    <t xml:space="preserve">Agent 4</t>
  </si>
  <si>
    <t xml:space="preserve">Agent 5</t>
  </si>
  <si>
    <t xml:space="preserve">Agents' average</t>
  </si>
  <si>
    <t xml:space="preserve">Agents' median</t>
  </si>
  <si>
    <t xml:space="preserve">Supervisor's reconciled research target (12m)</t>
  </si>
  <si>
    <t xml:space="preserve">FY27 EPS of about $19.2 (consensus $20.00 less about 4%), rolled to an NTM EPS of about $22 at Oct 2027, at about 15x = about $330. Cross-checks: FY27E FCF of about $6.4B / about 328M shares at a 6-6.3% yield = about $310-325; EV/EBITDA of 11-12x on about $8.1B less $0.46B net debt = about $290-320. Blended about $322, against the agents' $310-348 (mean $326). I give a little less weight to agent_1's 16x NTM re-rating, which revisions do not yet support. Share base: 335.3M at Jun 30 2026, falling to about 326-330M with buybacks.</t>
  </si>
  <si>
    <t xml:space="preserve">Research target (12m) vs last close</t>
  </si>
  <si>
    <t xml:space="preserve">Levels</t>
  </si>
  <si>
    <t xml:space="preserve">This model</t>
  </si>
  <si>
    <t xml:space="preserve">Published</t>
  </si>
  <si>
    <t xml:space="preserve">How</t>
  </si>
  <si>
    <t xml:space="preserve">NTM target (median)</t>
  </si>
  <si>
    <t xml:space="preserve">Price with a 50% chance of closing above it on the horizon date</t>
  </si>
  <si>
    <t xml:space="preserve">Take-profit (75th percentile)</t>
  </si>
  <si>
    <t xml:space="preserve">25% chance of closing above</t>
  </si>
  <si>
    <t xml:space="preserve">15th percentile</t>
  </si>
  <si>
    <t xml:space="preserve">85% chance of closing above</t>
  </si>
  <si>
    <t xml:space="preserve">Stop noise floor</t>
  </si>
  <si>
    <t xml:space="preserve">Two one-month implied moves below the last close; the stop is never tighter than this</t>
  </si>
  <si>
    <t xml:space="preserve">Stop-loss</t>
  </si>
  <si>
    <t xml:space="preserve">Higher of the 15th percentile and the thesis break, capped at the noise floor (published basis: noise floor (2 x 1M IV))</t>
  </si>
  <si>
    <t xml:space="preserve">Target vs last close</t>
  </si>
  <si>
    <t xml:space="preserve">P(close above last)</t>
  </si>
  <si>
    <t xml:space="preserve">Expected price (mean)</t>
  </si>
  <si>
    <t xml:space="preserve">Mean of the blended distribution (combine.py integrates the full curve); above the median when right-skewed</t>
  </si>
  <si>
    <t xml:space="preserve">Sheets</t>
  </si>
  <si>
    <t xml:space="preserve">Assumptions</t>
  </si>
  <si>
    <t xml:space="preserve">The supervisor's table of every driver: each agent's value, reasoning and linked sources</t>
  </si>
  <si>
    <t xml:space="preserve">Methods</t>
  </si>
  <si>
    <t xml:space="preserve">Each agent's valuation methods, values and weights</t>
  </si>
  <si>
    <t xml:space="preserve">Scenarios</t>
  </si>
  <si>
    <t xml:space="preserve">Downside (10th pct) / base / upside (90th pct) price per agent</t>
  </si>
  <si>
    <t xml:space="preserve">Distribution</t>
  </si>
  <si>
    <t xml:space="preserve">The probability ladder and the blend, as formulas</t>
  </si>
  <si>
    <t xml:space="preserve">Reasoning</t>
  </si>
  <si>
    <t xml:space="preserve">Each agent's written reasoning, thesis break and what changed from round 1</t>
  </si>
  <si>
    <t xml:space="preserve">Supervisor</t>
  </si>
  <si>
    <t xml:space="preserve">Disagreements, fact-checks and changes</t>
  </si>
  <si>
    <t xml:space="preserve">Sources</t>
  </si>
  <si>
    <t xml:space="preserve">Every cited source with its link</t>
  </si>
  <si>
    <t xml:space="preserve">APP key assumptions, aggregated by the supervisor</t>
  </si>
  <si>
    <t xml:space="preserve">Each driver of the valuation: the supervisor's reconciled value (grey rows), then what each agent assumed, why, and its sources. Blue values are the agents' own numbers; blank means the agent did not use that driver.</t>
  </si>
  <si>
    <t xml:space="preserve">ID</t>
  </si>
  <si>
    <t xml:space="preserve">Assumption / who</t>
  </si>
  <si>
    <t xml:space="preserve">Source 1</t>
  </si>
  <si>
    <t xml:space="preserve">Source 2</t>
  </si>
  <si>
    <t xml:space="preserve">Source 3</t>
  </si>
  <si>
    <t xml:space="preserve">All sources</t>
  </si>
  <si>
    <t xml:space="preserve">Agents low</t>
  </si>
  <si>
    <t xml:space="preserve">Agents high</t>
  </si>
  <si>
    <t xml:space="preserve">Used in</t>
  </si>
  <si>
    <t xml:space="preserve">A1</t>
  </si>
  <si>
    <t xml:space="preserve">FY2027 consensus EPS ($/share)</t>
  </si>
  <si>
    <t xml:space="preserve">Supervisor: All five read the same Alpha Vantage figure; no dispute. The fall from $21.16 in 60 days is why every agent haircuts it.</t>
  </si>
  <si>
    <t xml:space="preserve">Alpha Vantage consensus earnings estimates f…</t>
  </si>
  <si>
    <t xml:space="preserve">P/E, EV/EBITDA, FCF yield</t>
  </si>
  <si>
    <t xml:space="preserve">Agent 1 · consensus</t>
  </si>
  <si>
    <t xml:space="preserve">The starting point before the agent's own haircut: the analyst mean for FY2027.</t>
  </si>
  <si>
    <t xml:space="preserve">A1.11</t>
  </si>
  <si>
    <t xml:space="preserve">Agent 2 · consensus</t>
  </si>
  <si>
    <t xml:space="preserve">Analyst mean for FY2027, used as the base for a single 3.5% haircut.</t>
  </si>
  <si>
    <t xml:space="preserve">Alpha Vantage EARNINGS_ESTIMATES for APP (FY…</t>
  </si>
  <si>
    <t xml:space="preserve">A2.3</t>
  </si>
  <si>
    <t xml:space="preserve">Agent 3 · consensus</t>
  </si>
  <si>
    <t xml:space="preserve">Analyst mean for FY2027, the base for the skeptic's 5% cut.</t>
  </si>
  <si>
    <t xml:space="preserve">A3.4</t>
  </si>
  <si>
    <t xml:space="preserve">Agent 4 · consensus</t>
  </si>
  <si>
    <t xml:space="preserve">Analyst mean for FY2027, the base for a 5% cut.</t>
  </si>
  <si>
    <t xml:space="preserve">Alpha Vantage earnings estimates for APP (FY…</t>
  </si>
  <si>
    <t xml:space="preserve">A4.3</t>
  </si>
  <si>
    <t xml:space="preserve">Agent 5 · consensus</t>
  </si>
  <si>
    <t xml:space="preserve">Analyst mean for FY2027, the base for a 4.5% cut.</t>
  </si>
  <si>
    <t xml:space="preserve">A5.3</t>
  </si>
  <si>
    <t xml:space="preserve">A2</t>
  </si>
  <si>
    <t xml:space="preserve">FY2027 EPS used (after haircut) ($/share)</t>
  </si>
  <si>
    <t xml:space="preserve">Supervisor: About 4% below consensus, the middle of the agents' 3.5-5% range. All agree on the facts (Edgewater ~1-2% gap, Wells Fargo's e-commerce delay, negative revisions); the spread is judgment about how much more to take for revisions and Unity.</t>
  </si>
  <si>
    <t xml:space="preserve">24/7 Wall St.: AppLovin Drops 5% as Edgewate…</t>
  </si>
  <si>
    <t xml:space="preserve">Stocktwits/Yahoo: APP Stock Hits Fresh 52-We…</t>
  </si>
  <si>
    <t xml:space="preserve">P/E, FCF yield</t>
  </si>
  <si>
    <t xml:space="preserve">Agent 1 · estimate</t>
  </si>
  <si>
    <t xml:space="preserve">Consensus cut 4%: Edgewater's Q4 call (+8-9% q/q) is only ~1-2% below consensus, and Wells Fargo's traffic-weighted pixel data pushes e-commerce into 2027, slower than the ~27% revenue growth consensus embeds.</t>
  </si>
  <si>
    <t xml:space="preserve">A1.11, A1.18, A1.19, A1.1</t>
  </si>
  <si>
    <t xml:space="preserve">Agent 2 · estimate</t>
  </si>
  <si>
    <t xml:space="preserve">One single haircut: ~1-2% for Edgewater's Q4 gap plus ~2% for Wells Fargo's later e-commerce ramp. Dropped the round-1 Citi merchant-count offset and the double count with the EBITDA leg (round 1 was $19.0).</t>
  </si>
  <si>
    <t xml:space="preserve">Edgewater Research: AppLovin growth hitting …</t>
  </si>
  <si>
    <t xml:space="preserve">Stocktwits/Yahoo: APP hits fresh 52-week low…</t>
  </si>
  <si>
    <t xml:space="preserve">A2.3, A2.4, A2.22, A2.26</t>
  </si>
  <si>
    <t xml:space="preserve">Agent 3 · estimate</t>
  </si>
  <si>
    <t xml:space="preserve">Skeptic cut: ~1-2% for Edgewater, ~3% more for Wells Fargo's pixel data and still-negative revisions (19 down / 5 up). Round 1 cut 8% ($18.4).</t>
  </si>
  <si>
    <t xml:space="preserve">AppLovin Drops 5% as Edgewater Warns Market …</t>
  </si>
  <si>
    <t xml:space="preserve">Why is AppLovin stock slipping today? (Wells…</t>
  </si>
  <si>
    <t xml:space="preserve">A3.4, A3.10, A3.11, A3.29, A3.9</t>
  </si>
  <si>
    <t xml:space="preserve">Agent 4 · estimate</t>
  </si>
  <si>
    <t xml:space="preserve">Upper end of the supervisor's 3-5% range: Edgewater's small Q4 gap, Wells Fargo's pixel data, negative revisions, plus spread pressure from Unity Vector's +23% q/q. Round 1 cut 7.5% ($18.5).</t>
  </si>
  <si>
    <t xml:space="preserve">APP Stock Hits Fresh 52-Week Low After Wells…</t>
  </si>
  <si>
    <t xml:space="preserve">Wells Fargo Flags Surge in AppLovin's Pixel …</t>
  </si>
  <si>
    <t xml:space="preserve">A4.3, A4.6, A4.7, A4.12, A4.15, A4.16, A4.17, A4.18</t>
  </si>
  <si>
    <t xml:space="preserve">Agent 5 · judgment</t>
  </si>
  <si>
    <t xml:space="preserve">About 1-2% for Edgewater's Q4 gap, ~1.5% for Wells Fargo's pixel data and ~1% for negative revision momentum. Round 1 cut 7.5% ($18.5).</t>
  </si>
  <si>
    <t xml:space="preserve">24/7 Wall St: AppLovin Drops 5% as Edgewater…</t>
  </si>
  <si>
    <t xml:space="preserve">Stocktwits / Yahoo: APP Stock Hits Fresh 52-…</t>
  </si>
  <si>
    <t xml:space="preserve">A5.3, A5.4, A5.22, A5.25</t>
  </si>
  <si>
    <t xml:space="preserve">A3</t>
  </si>
  <si>
    <t xml:space="preserve">EPS growth FY2027 to FY2028 (%)</t>
  </si>
  <si>
    <t xml:space="preserve">Supervisor: Roughly half the 28% consensus FY26-27 growth, as agents 2 and 5 assume; agent_1's 18% is plausible but sits on top of a higher multiple. Agents 3 and 4 avoid the roll-forward by putting a higher multiple on FY27 EPS, which is equivalent.</t>
  </si>
  <si>
    <t xml:space="preserve">P/E</t>
  </si>
  <si>
    <t xml:space="preserve">Below management's 'roughly 30% annually' ambition, trimmed for Edgewater's share-ceiling view, Unity spread pressure and slower buyback accretion (Q2 buyback $551M vs ~$1B in Q1). Round 1 used 20%.</t>
  </si>
  <si>
    <t xml:space="preserve">AppLovin Q2 2026 earnings call transcript (E…</t>
  </si>
  <si>
    <t xml:space="preserve">Earnings call transcript: AppLovin Q2 2026 (…</t>
  </si>
  <si>
    <t xml:space="preserve">A1.3, A1.4, A1.11, A1.19</t>
  </si>
  <si>
    <t xml:space="preserve">Growth decelerating from the 28% FY26-to-FY27 consensus; applied for three quarters to roll FY27 EPS to an Oct-2027 NTM figure, plus net share shrink from buybacks.</t>
  </si>
  <si>
    <t xml:space="preserve">AppLovin Q2 2026 earnings press release (For…</t>
  </si>
  <si>
    <t xml:space="preserve">A2.3, A2.1</t>
  </si>
  <si>
    <t xml:space="preserve">not used</t>
  </si>
  <si>
    <t xml:space="preserve">not used: this agent's methods do not take this input.</t>
  </si>
  <si>
    <t xml:space="preserve">Agent 5 · estimate</t>
  </si>
  <si>
    <t xml:space="preserve">Consensus FY26-to-FY27 EPS growth of 28% ($15.67 to $20.00) roughly halved for 2028.</t>
  </si>
  <si>
    <t xml:space="preserve">A4</t>
  </si>
  <si>
    <t xml:space="preserve">NTM EPS at Oct 2027 ($/share)</t>
  </si>
  <si>
    <t xml:space="preserve">Supervisor: The supervisor's ~$22: $19.2 rolled forward at ~16% with modest buyback accretion. Agents 2 and 5 land at $22.2, agent_1 at $21.8.</t>
  </si>
  <si>
    <t xml:space="preserve">Time-weighted blend of FY27 and FY28 EPS for the twelve months after Oct 2027 (A2, A3). Round 1: ~$23.</t>
  </si>
  <si>
    <t xml:space="preserve">A1.11, A1.18, A1.19, A1.1, A1.3, A1.4</t>
  </si>
  <si>
    <t xml:space="preserve">FY27 EPS rolled forward three quarters at ~16% growth plus ~3% buyback accretion (A2, A3).</t>
  </si>
  <si>
    <t xml:space="preserve">not used: P/E is applied to F…</t>
  </si>
  <si>
    <t xml:space="preserve">not used: the agent multiplies FY2027 EPS instead of an NTM figure.</t>
  </si>
  <si>
    <t xml:space="preserve">FY27 EPS grown a full year at ~16% (A2, A3). Round 1: ~$21.5.</t>
  </si>
  <si>
    <t xml:space="preserve">A5</t>
  </si>
  <si>
    <t xml:space="preserve">P/E multiple (x)</t>
  </si>
  <si>
    <t xml:space="preserve">Supervisor: About 15x NTM (roughly today's de-rated multiple). Agent_1's 16x bakes in a re-rating that falling revisions do not yet support; agents 3 and 4's 17-18x on FY27 is ~14.5-16x NTM, so the real spread is about one turn.</t>
  </si>
  <si>
    <t xml:space="preserve">TIKR: AppLovin Stock Is Down 54% in 2026 and…</t>
  </si>
  <si>
    <t xml:space="preserve">APP Maintained by Piper Sandler -- Price Tar…</t>
  </si>
  <si>
    <t xml:space="preserve">Agent 1 · judgment</t>
  </si>
  <si>
    <t xml:space="preserve">Today ~13x NTM; mega-cap ad platforms ~20-22x. Small re-rating if growth holds at 20-25% with ~83% margins; cut from 17x because revisions are still negative. Wells Fargo's $325 target and the ~$500 mean target bracket it.</t>
  </si>
  <si>
    <t xml:space="preserve">Twelve Data weekly OHLCV for APP, May-Sep 20…</t>
  </si>
  <si>
    <t xml:space="preserve">A1.11, A1.12, A1.13, A1.18</t>
  </si>
  <si>
    <t xml:space="preserve">Agent 2 · judgment</t>
  </si>
  <si>
    <t xml:space="preserve">Stock trades ~14x FY27 consensus; 15.5x gives a modest re-rating for ~20% growth and 80%+ margins, trimmed from 16x for escalating Unity competition (AppLovin v. Unity suit) and unturned revisions. Liftoff's ~7x EV/EBITDA is the floor.</t>
  </si>
  <si>
    <t xml:space="preserve">AppLovin stock is down 54% in 2026 and facin…</t>
  </si>
  <si>
    <t xml:space="preserve">Liftoff Mobile launches IPO roadshow targeti…</t>
  </si>
  <si>
    <t xml:space="preserve">A2.18, A2.13, A2.3, A2.23</t>
  </si>
  <si>
    <t xml:space="preserve">Agent 3 · judgment</t>
  </si>
  <si>
    <t xml:space="preserve">One turn below Piper Sandler's ~18x for two pending class actions and slowing growth; trailing P/E ~22x (Trefis). No extra SEC discount since the inquiry closed.</t>
  </si>
  <si>
    <t xml:space="preserve">AppLovin Stock Extends A 7-Day Losing Streak…</t>
  </si>
  <si>
    <t xml:space="preserve">AppLovin Stock Is Down 54% in 2026 and Facin…</t>
  </si>
  <si>
    <t xml:space="preserve">A3.9, A3.19, A3.6</t>
  </si>
  <si>
    <t xml:space="preserve">Agent 4 · judgment</t>
  </si>
  <si>
    <t xml:space="preserve">Market pays ~14x FY27 consensus; growth ~25-30%, negligible net debt and SEC probe closed, but class action, AI-model execution and Unity competition cap the multiple far below the 30x+ history.</t>
  </si>
  <si>
    <t xml:space="preserve">Sensor Tower: Mobile Game Ad Monetization in…</t>
  </si>
  <si>
    <t xml:space="preserve">A4.3, A4.4, A4.5, A4.19</t>
  </si>
  <si>
    <t xml:space="preserve">APP is ~14x FY27 consensus today; de-rated TTD is 14.2x; Meta bottomed at 9-10x in 2022 then re-rated. 15x is a small premium to TTD for 25%+ growth and 80%+ margins.</t>
  </si>
  <si>
    <t xml:space="preserve">Motley Fool: Why the Trade Desk Stock Collap…</t>
  </si>
  <si>
    <t xml:space="preserve">CNBC: Meta's stock is wrapping up a record y…</t>
  </si>
  <si>
    <t xml:space="preserve">A5.3, A5.9, A5.10</t>
  </si>
  <si>
    <t xml:space="preserve">A6</t>
  </si>
  <si>
    <t xml:space="preserve">FY2027 consensus revenue ($B)</t>
  </si>
  <si>
    <t xml:space="preserve">Supervisor: Same Alpha Vantage figure for all agents that use it.</t>
  </si>
  <si>
    <t xml:space="preserve">EV/EBITDA, FCF yield</t>
  </si>
  <si>
    <t xml:space="preserve">not used (agent cites ~27% co…</t>
  </si>
  <si>
    <t xml:space="preserve">not used: agent_1 has no revenue-based method.</t>
  </si>
  <si>
    <t xml:space="preserve">Analyst mean, base for a 3% trim.</t>
  </si>
  <si>
    <t xml:space="preserve">Analyst mean, base for a 4% trim.</t>
  </si>
  <si>
    <t xml:space="preserve">Analyst mean, base for a ~2.5% trim.</t>
  </si>
  <si>
    <t xml:space="preserve">Analyst mean, base for a ~2% trim.</t>
  </si>
  <si>
    <t xml:space="preserve">A7</t>
  </si>
  <si>
    <t xml:space="preserve">FY2027 revenue used ($B)</t>
  </si>
  <si>
    <t xml:space="preserve">Supervisor: About 2.5% below consensus, the middle of the 2-4% range, consistent with the supervisor's ~$8.1B EBITDA at ~81%.</t>
  </si>
  <si>
    <t xml:space="preserve">Same single trim as the EPS leg (Edgewater Q4 gap plus later e-commerce ramp); no extra spread haircut stacked on top, which round 1 double-counted.</t>
  </si>
  <si>
    <t xml:space="preserve">A2.3, A2.4, A2.22</t>
  </si>
  <si>
    <t xml:space="preserve">Edgewater's Q4 gap ~1-2%, the rest for a slower e-commerce ramp per Wells Fargo. Round 1 cut 6.5%.</t>
  </si>
  <si>
    <t xml:space="preserve">A3.4, A3.10, A3.11, A3.29</t>
  </si>
  <si>
    <t xml:space="preserve">Edgewater's ~1-2% Q4 gap plus a small trim for the delayed e-commerce ramp. Round 1: $9.8B.</t>
  </si>
  <si>
    <t xml:space="preserve">A4.3, A4.6, A4.15</t>
  </si>
  <si>
    <t xml:space="preserve">The 1-2% Edgewater Q4 gap carried forward plus a slower e-commerce ramp (Wells Fargo). Round 1 used the full $10.26B.</t>
  </si>
  <si>
    <t xml:space="preserve">A5.3, A5.4, A5.22</t>
  </si>
  <si>
    <t xml:space="preserve">A8</t>
  </si>
  <si>
    <t xml:space="preserve">Adj. EBITDA margin FY2027 (%)</t>
  </si>
  <si>
    <t xml:space="preserve">Supervisor: All anchor on the reported 84% and guided ~83%; 80-82% is a legitimate range for cost growth and Unity spread pressure. 81% x $10.0B gives the supervisor's ~$8.1B.</t>
  </si>
  <si>
    <t xml:space="preserve">AppLovin 8-K Ex.99.1: Second Quarter 2026 Fi…</t>
  </si>
  <si>
    <t xml:space="preserve">not used (agent mentions ~83%…</t>
  </si>
  <si>
    <t xml:space="preserve">not used: agent_1 has no EBITDA-based method.</t>
  </si>
  <si>
    <t xml:space="preserve">Agent 2 · guidance</t>
  </si>
  <si>
    <t xml:space="preserve">Q3 2026 guide ~83%, Q2 actual 84%; 82% allows some spread pressure from Unity Vector.</t>
  </si>
  <si>
    <t xml:space="preserve">A2.1</t>
  </si>
  <si>
    <t xml:space="preserve">Q2 2026 84%, Q3 guide 83%; trimmed for the higher training/compute costs the CFO cited and Unity pricing pressure on spreads.</t>
  </si>
  <si>
    <t xml:space="preserve">AppLovin Announces Second Quarter 2026 Finan…</t>
  </si>
  <si>
    <t xml:space="preserve">Earnings call transcript: AppLovin slips on …</t>
  </si>
  <si>
    <t xml:space="preserve">A3.1, A3.3</t>
  </si>
  <si>
    <t xml:space="preserve">Q2 2026 84%, Q3 guide ~83%; a little off for creative-tool/self-serve investment and Unity spread pressure.</t>
  </si>
  <si>
    <t xml:space="preserve">AppLovin Q2 2026 earnings press release (8-K…</t>
  </si>
  <si>
    <t xml:space="preserve">A4.1</t>
  </si>
  <si>
    <t xml:space="preserve">Q2-26 84% and Q3-26 guide 83%; 82% for mix and R&amp;D growth (R&amp;D more than doubled y/y in Q2).</t>
  </si>
  <si>
    <t xml:space="preserve">A5.1</t>
  </si>
  <si>
    <t xml:space="preserve">A9</t>
  </si>
  <si>
    <t xml:space="preserve">Adj. EBITDA base for EV/EBITDA ($B)</t>
  </si>
  <si>
    <t xml:space="preserve">Supervisor: FY2027 ~$8.1B ($10.0B x 81%), the supervisor's base. Agents 2 and 5 use forward (NTM/FY28) EBITDA with lower multiples, so their values are not directly comparable; the multiple and base must be read together.</t>
  </si>
  <si>
    <t xml:space="preserve">FY27 EBITDA ($9.95B x 82%) rolled forward three quarters at ~16%. Round 1: ~$9.2B.</t>
  </si>
  <si>
    <t xml:space="preserve">A2.1, A2.3</t>
  </si>
  <si>
    <t xml:space="preserve">Skeptic revenue times skeptic margin (A7 x A8). Round 1: $7.7bn.</t>
  </si>
  <si>
    <t xml:space="preserve">A3.1, A3.4, A3.10, A3.11, A3.29</t>
  </si>
  <si>
    <t xml:space="preserve">Revenue times margin (A7 x A8). Round 1: ~$7.9B.</t>
  </si>
  <si>
    <t xml:space="preserve">A4.1, A4.3</t>
  </si>
  <si>
    <t xml:space="preserve">FY27 EBITDA grown ~17% into 2028, a deceleration from the ~27% revenue growth consensus implies for 2027. Round 1: ~$9.8B.</t>
  </si>
  <si>
    <t xml:space="preserve">A5.1, A5.3, A5.22</t>
  </si>
  <si>
    <t xml:space="preserve">A10</t>
  </si>
  <si>
    <t xml:space="preserve">EV/EBITDA multiple (x)</t>
  </si>
  <si>
    <t xml:space="preserve">Supervisor: The supervisor's 11-12x on ~$8.1B FY27 EBITDA (about today's ~11.2-11.5x on FY27 consensus). Agent_5's 10x is on FY28 EBITDA and agent_3's 13x on a lower FY27 base, so outcomes converge ($292-320).</t>
  </si>
  <si>
    <t xml:space="preserve">EV/EBITDA</t>
  </si>
  <si>
    <t xml:space="preserve">Today's EV ~$95B is ~11.2x FY27 consensus EBITDA; 11.5x on NTM is consistent with the 15.5x P/E leg with a small discount. Liftoff at ~7x is the floor.</t>
  </si>
  <si>
    <t xml:space="preserve">Liftoff Mobile Q2 2026 results / FY2026 guid…</t>
  </si>
  <si>
    <t xml:space="preserve">A2.3, A2.13, A2.11</t>
  </si>
  <si>
    <t xml:space="preserve">Current EV ~$94.7bn is ~13.9x 2026E and ~11.5x consensus 2027 EBITDA; 13x on the lower skeptic number is in line with Piper's multiple compression.</t>
  </si>
  <si>
    <t xml:space="preserve">A3.1, A3.4, A3.9</t>
  </si>
  <si>
    <t xml:space="preserve">Today's EV (~$95B) over annualized Q3-guide EBITDA ($6.9B) is ~13.8x; slightly lower on forward EBITDA for de-rating and Unity competition.</t>
  </si>
  <si>
    <t xml:space="preserve">Unity Reports Second Quarter 2026 Financial …</t>
  </si>
  <si>
    <t xml:space="preserve">A4.3, A4.4, A4.16</t>
  </si>
  <si>
    <t xml:space="preserve">Current EV ~$94.7B is ~11.3x 2027E EBITDA; a slight further compression on NTM as growth slows, in line with de-rated adtech (TTD ~14x earnings).</t>
  </si>
  <si>
    <t xml:space="preserve">A5.3, A5.9</t>
  </si>
  <si>
    <t xml:space="preserve">A11</t>
  </si>
  <si>
    <t xml:space="preserve">FCF base ($B)</t>
  </si>
  <si>
    <t xml:space="preserve">Supervisor: The supervisor's FY2027E ~$6.4B: about 79% of ~$8.1B EBITDA, close to net income. Agents span $6.2-6.8B, mostly from FY27 vs NTM timing and the tax bridge.</t>
  </si>
  <si>
    <t xml:space="preserve">AppLovin Form 10-Q for quarter ended June 30…</t>
  </si>
  <si>
    <t xml:space="preserve">FCF yield</t>
  </si>
  <si>
    <t xml:space="preserve">FCF ~ net income minus ~$0.3B (A13), on FY27 NI ~$6.3B ($19.2 x ~330M) and FY28 NI ~$7.4B ($22.65 x 326M). Anchors: FY2025 FCF $3.95B; H1 2026 OCF $2.16B with $640M cash taxes. Round 1: ~$7.2B.</t>
  </si>
  <si>
    <t xml:space="preserve">A1.1, A1.2, A1.11, A1.10</t>
  </si>
  <si>
    <t xml:space="preserve">NTM EBITDA (A9) times management's ~75% normalized FCF conversion (A12). Round 1: ~$6.9B.</t>
  </si>
  <si>
    <t xml:space="preserve">AppLovin (NASDAQ:APP) Misses Q2 CY2026 Reven…</t>
  </si>
  <si>
    <t xml:space="preserve">A2.1, A2.2, A2.3</t>
  </si>
  <si>
    <t xml:space="preserve">Skeptic EBITDA $7.9bn less ~$1.48bn cash taxes, ~$0.19bn interest and ~$0.03bn capex/leases (A12). Round 1: ~$6.0bn.</t>
  </si>
  <si>
    <t xml:space="preserve">AppLovin 8-K: $3.55bn senior notes (5.125% 2…</t>
  </si>
  <si>
    <t xml:space="preserve">A3.1, A3.4, A3.17</t>
  </si>
  <si>
    <t xml:space="preserve">Net income ~$19.0 x 335M = $6.4B at ~97% conversion (A13); Q2 FCF $863M vs NI $1.27B was timing-depressed, so conversion is uncertain. Round 1: ~$6.0B.</t>
  </si>
  <si>
    <t xml:space="preserve">$10.05B x 82% EBITDA = ~$8.24B less ~$1.7B cash taxes and interest (A12). Round 1: ~$6.5B.</t>
  </si>
  <si>
    <t xml:space="preserve">A5.1, A5.3</t>
  </si>
  <si>
    <t xml:space="preserve">A12</t>
  </si>
  <si>
    <t xml:space="preserve">FCF conversion of adj. EBITDA (%)</t>
  </si>
  <si>
    <t xml:space="preserve">Supervisor: The bottom-up tax-and-interest bridges of agents 3 and 5 (78-79%) match the supervisor's $6.4B / $8.1B; agent_2's 75% management normalization is the conservative end.</t>
  </si>
  <si>
    <t xml:space="preserve">not used (agent builds FCF fr…</t>
  </si>
  <si>
    <t xml:space="preserve">not used: agent_1 converts from net income, not EBITDA.</t>
  </si>
  <si>
    <t xml:space="preserve">Management expects FCF conversion to normalize to ~75%.</t>
  </si>
  <si>
    <t xml:space="preserve">A2.2</t>
  </si>
  <si>
    <t xml:space="preserve">Built bottom-up: H1 2026 cash taxes $640m on $2.94bn pretax (~22%); interest on $3.55bn of 5.1-5.95% notes; Q2 capex plus leases ~$6m. 78% is $6.18bn / $7.9bn.</t>
  </si>
  <si>
    <t xml:space="preserve">A3.1, A3.17</t>
  </si>
  <si>
    <t xml:space="preserve">not used (agent converts from…</t>
  </si>
  <si>
    <t xml:space="preserve">not used: agent_4 converts from net income, not EBITDA.</t>
  </si>
  <si>
    <t xml:space="preserve">H1-26 cash taxes $640M on $2.94B pretax; ~18% of ~$8B 2027 pretax plus ~$0.2B interest on $3.5B debt. 79% is $6.54B / $8.24B.</t>
  </si>
  <si>
    <t xml:space="preserve">A13</t>
  </si>
  <si>
    <t xml:space="preserve">FCF conversion of net income (%)</t>
  </si>
  <si>
    <t xml:space="preserve">Supervisor: Near 1:1 is reasonable with negligible capex and SBC offsetting tax timing; agents 1 and 4 (95-97%) agree. Cross-checks the EBITDA route (A12).</t>
  </si>
  <si>
    <t xml:space="preserve">Capex is negligible ($5.7M gap between OCF and FCF in Q2); Q2 FCF dip was tax timing. 95% is implied by the agent's FY27 figures.</t>
  </si>
  <si>
    <t xml:space="preserve">A1.1, A1.2</t>
  </si>
  <si>
    <t xml:space="preserve">Net income ~$6.4B ($19.0 x 335M) to FCF $6.2B; Q2 FCF $863M vs NI $1.27B was timing-depressed, so conversion is uncertain.</t>
  </si>
  <si>
    <t xml:space="preserve">A14</t>
  </si>
  <si>
    <t xml:space="preserve">Required FCF yield (%)</t>
  </si>
  <si>
    <t xml:space="preserve">Supervisor: Today's de-rated ~6% (TIKR), used by three agents; the supervisor's range is 6-6.3%. Agent_4's 6.5% is the cheap end.</t>
  </si>
  <si>
    <t xml:space="preserve">TIKR puts the NTM levered FCF yield at ~6% at $310, up from ~2% a year earlier; the agent holds today's de-rated yield. (The agent's inputs_detail cited source 12, its price data; the TIKR page is its source 13.)</t>
  </si>
  <si>
    <t xml:space="preserve">A1.13</t>
  </si>
  <si>
    <t xml:space="preserve">TIKR cites ~6% NTM FCF yield at ~$311; slightly more required for decelerating growth and rising competition (Unity Vector, the Unity suit).</t>
  </si>
  <si>
    <t xml:space="preserve">A2.18</t>
  </si>
  <si>
    <t xml:space="preserve">NTM levered FCF yield already ~6% (TIKR), up from ~2% at end-2025; a skeptic keeps that de-rated yield.</t>
  </si>
  <si>
    <t xml:space="preserve">A3.6</t>
  </si>
  <si>
    <t xml:space="preserve">TIKR's ~6% today plus a bit more for the execution and legal overhang.</t>
  </si>
  <si>
    <t xml:space="preserve">A4.4</t>
  </si>
  <si>
    <t xml:space="preserve">The NTM levered FCF yield is already ~6% (TIKR); assumes the market holds that de-rated yield (no re-rating).</t>
  </si>
  <si>
    <t xml:space="preserve">A5.2</t>
  </si>
  <si>
    <t xml:space="preserve">A15</t>
  </si>
  <si>
    <t xml:space="preserve">Net debt (Jun 30 2026) ($B)</t>
  </si>
  <si>
    <t xml:space="preserve">Supervisor: Reported fact, no dispute; about $1.4/share, so whether it is deducted moves value under 0.5%.</t>
  </si>
  <si>
    <t xml:space="preserve">Agent 1 · reported</t>
  </si>
  <si>
    <t xml:space="preserve">Reported balance sheet at Jun 30 2026.</t>
  </si>
  <si>
    <t xml:space="preserve">Agent 2 · reported</t>
  </si>
  <si>
    <t xml:space="preserve">Agent 3 · reported</t>
  </si>
  <si>
    <t xml:space="preserve">A3.1, A3.2</t>
  </si>
  <si>
    <t xml:space="preserve">Agent 4 · reported</t>
  </si>
  <si>
    <t xml:space="preserve">Agent 5 · reported</t>
  </si>
  <si>
    <t xml:space="preserve">Long-term debt $3.515B minus cash $3.053B at 6/30/26.</t>
  </si>
  <si>
    <t xml:space="preserve">A16</t>
  </si>
  <si>
    <t xml:space="preserve">Diluted shares at Oct 2027 (B shares)</t>
  </si>
  <si>
    <t xml:space="preserve">Supervisor: Supervisor confirmed from the 10-Q (3.28M shares bought for $1.5B in H1, $1.8B authorization left) that 326-330M is reasonable; the midpoint moves value about 1%.</t>
  </si>
  <si>
    <t xml:space="preserve">335.3M at Jun 30 2026; Q2 buyback only $551M (1.14M shares) vs ~$1B in Q1; at ~$3-3.5B/yr near $300-330 retires ~11M shares, net of ~2M RSU issuance. Round 1: 322M.</t>
  </si>
  <si>
    <t xml:space="preserve">A1.2, A1.4, A1.1</t>
  </si>
  <si>
    <t xml:space="preserve">335.3M at Jun 30 2026 less ~9-10M net from buybacks at a ~$2B+/yr pace, net of SBC. The agent cited only the press release; the 10-Q share count is added.</t>
  </si>
  <si>
    <t xml:space="preserve">Supervisor: AppLovin Form 10-Q for quarter e…</t>
  </si>
  <si>
    <t xml:space="preserve">A2.1, X.1</t>
  </si>
  <si>
    <t xml:space="preserve">335M at Jun 30 2026; $1.8bn authorization plus ongoing buybacks retire ~10-15M/yr at ~$300, offset by ~5M of grants.</t>
  </si>
  <si>
    <t xml:space="preserve">337.0M diluted in Q2, less ~2% net buyback over 12 months.</t>
  </si>
  <si>
    <t xml:space="preserve">335.3M at 6/30/26, falling ~3M a year from buybacks (H1-26 repurchases $1.53B).</t>
  </si>
  <si>
    <t xml:space="preserve">A5.1, A5.6</t>
  </si>
  <si>
    <t xml:space="preserve">APP probability of closing at or above each price on 2027-10-30</t>
  </si>
  <si>
    <t xml:space="preserve">Each column is P(close &gt;= K). Agents' curve is Platt-shifted, blended with the options market, then analysts at W_Analyst (0 since 2026-10-05). Interpolation is linear in logit(p) vs log(K), as in combine.py.</t>
  </si>
  <si>
    <t xml:space="preserve">Price K</t>
  </si>
  <si>
    <t xml:space="preserve">ln K</t>
  </si>
  <si>
    <t xml:space="preserve">Options market</t>
  </si>
  <si>
    <t xml:space="preserve">Agents' mean</t>
  </si>
  <si>
    <t xml:space="preserve">Agents' curve used</t>
  </si>
  <si>
    <t xml:space="preserve">logit(used)</t>
  </si>
  <si>
    <t xml:space="preserve">K shifted</t>
  </si>
  <si>
    <t xml:space="preserve">seg</t>
  </si>
  <si>
    <t xml:space="preserve">Agents Platt-shifted</t>
  </si>
  <si>
    <t xml:space="preserve">logit(market)</t>
  </si>
  <si>
    <t xml:space="preserve">K re-centred</t>
  </si>
  <si>
    <t xml:space="preserve">Analyst curve</t>
  </si>
  <si>
    <t xml:space="preserve">Blend ex analysts</t>
  </si>
  <si>
    <t xml:space="preserve">Final blend</t>
  </si>
  <si>
    <t xml:space="preserve">logit(final)</t>
  </si>
  <si>
    <t xml:space="preserve">Published (combine.py)</t>
  </si>
  <si>
    <t xml:space="preserve">Agents' curves are their final-round answers (Reasoning sheet shows round 1). Market and published columns come from combine.py; the model reproduces the final blend within rounding (combine.py also enforces a non-increasing curve).</t>
  </si>
  <si>
    <t xml:space="preserve">APP valuation methods by agent</t>
  </si>
  <si>
    <t xml:space="preserve">Each agent's methods, the value per share and the weight it gave each. Blended value = weight-averaged methods; stated value = what the agent reported (it may round or add a deduction).</t>
  </si>
  <si>
    <t xml:space="preserve">Agent</t>
  </si>
  <si>
    <t xml:space="preserve">Method</t>
  </si>
  <si>
    <t xml:space="preserve">Value / share</t>
  </si>
  <si>
    <t xml:space="preserve">Weight</t>
  </si>
  <si>
    <t xml:space="preserve">Value x weight</t>
  </si>
  <si>
    <t xml:space="preserve">Calculation (assumption IDs on the Assumptions sheet)</t>
  </si>
  <si>
    <t xml:space="preserve">Inputs and reasoning</t>
  </si>
  <si>
    <t xml:space="preserve">A4 (= 0.25 x A2 + 0.75 x A2 x (1+A3)) x A5 = $21.8 x 16  [A2, A3, A4, A5]</t>
  </si>
  <si>
    <t xml:space="preserve">NTM EPS as of Oct 2027 = 0.25 x FY27 $19.2 + 0.75 x FY28 ~$22.65 = ~$21.8; 16x multiple</t>
  </si>
  <si>
    <t xml:space="preserve">A11 / A14 / A16 = $6.8B / 6% / 326M (A15 net debt not deducted, immaterial)  [A11, A13, A14, A15, A16]</t>
  </si>
  <si>
    <t xml:space="preserve">NTM FCF at Oct 2027 ~$6.8B; required FCF yield 6%; ~326M shares after buybacks</t>
  </si>
  <si>
    <t xml:space="preserve">Blended value</t>
  </si>
  <si>
    <t xml:space="preserve">Stated research target (12m)</t>
  </si>
  <si>
    <t xml:space="preserve">Blend of 50% P/E (NTM EPS at Oct-2027 ~$21.8 x 16x = $349) and 50% FCF yield (NTM FCF ~$6.8B at a 6% yield on ~326M shares = $348). FY27 EPS is consensus $20.00 cut 4% to $19.2; net debt (~$0.46B) is immaterial.</t>
  </si>
  <si>
    <t xml:space="preserve">A4 (= A2 x (1+A3)^0.75 x ~1.03) x A5 = $22.2 x 15.5  [A1, A2, A3, A4, A5]</t>
  </si>
  <si>
    <t xml:space="preserve">FY2027 EPS $19.3 (consensus $20.00 less 3.5%), rolled to NTM at Oct-2027 ~$22.2 (~12% from 3 quarters of ~16% growth plus ~3% buyback accretion) x 15.5x</t>
  </si>
  <si>
    <t xml:space="preserve">(A9 x A10 - A15) / A16, where A9 = A7 x A8 x 1.16^0.75 = $9.1B; ($9.1B x 11.5 - $0.46B) / 326M  [A6, A7, A8, A9, A10, A15, A16]</t>
  </si>
  <si>
    <t xml:space="preserve">FY2027 EBITDA $8.16B ($10.26B consensus revenue less 3% x 82% margin), rolled to NTM at Oct-2027 ~$9.1B x 11.5x = EV ~$104.9B, less $0.46B net debt, / ~326M shares</t>
  </si>
  <si>
    <t xml:space="preserve">(A9 x A12) / A16 / A14 = ($9.1B x 75%) / 326M / 6.3% = $21.0 / 6.3%  [A9, A12, A14, A16]</t>
  </si>
  <si>
    <t xml:space="preserve">NTM FCF ~$6.84B (75% of $9.1B EBITDA) / 326M = $21.0/sh at a 6.3% required yield</t>
  </si>
  <si>
    <t xml:space="preserve">Blend of NTM P/E ($22.2 NTM EPS at Oct-2027 x 15.5 = $344, 45%), EV/NTM EBITDA ($9.1B x 11.5 = $320/sh, 30%) and FCF yield ($21.0 NTM FCF/sh at 6.3% = $333, 25%) = ~$333, ~18% above spot. Single consistent haircut: FY27 revenue/EPS ~3.5% below consensus (Edgewater Q4 gap ~1-2% plus Wells Fargo's later e-commerce ramp), no stacked EBITDA spread haircut.</t>
  </si>
  <si>
    <t xml:space="preserve">A2 x A5 = $19.0 x 17 (FY2027 basis)  [A1, A2, A5]</t>
  </si>
  <si>
    <t xml:space="preserve">Skeptic FY2027E EPS $19.0 (consensus $20.00 less 5%) x 17x</t>
  </si>
  <si>
    <t xml:space="preserve">A11 / A16 / A14 - A15 / A16, where A11 = A7 x A8 x A12; $6.18B / 330M / 6% - $1.4  [A6, A7, A8, A11, A12, A14, A15, A16]</t>
  </si>
  <si>
    <t xml:space="preserve">Skeptic FY2027E FCF ~$6.18bn / 330M shares = $18.7/share at a 6% required yield, less ~$1.4/share net debt</t>
  </si>
  <si>
    <t xml:space="preserve">(A9 x A10 - A15) / A16 = ($7.9B x 13 - $0.46B) / 330M  [A7, A8, A9, A10, A15, A16]</t>
  </si>
  <si>
    <t xml:space="preserve">Skeptic FY2027E EBITDA $7.9bn x 13x = $102.4bn EV, less $0.46bn net debt, / 330M shares</t>
  </si>
  <si>
    <t xml:space="preserve">Blend of P/E (skeptic FY2027E EPS $19.0 x 17x = $323, 40%), FCF yield (FY2027E FCF ~$6.18bn / 330M shares = $18.7 at 6%, less $1.4 net debt = $311, 35%) and EV/EBITDA (FY2027E EBITDA $7.9bn x 13x less $0.46bn net debt / 330M = $309, 25%): ~$315, about 12% above the $281 close.</t>
  </si>
  <si>
    <t xml:space="preserve">A2 x A5 = $19.0 x 18 (FY2027 basis)  [A1, A2, A5]</t>
  </si>
  <si>
    <t xml:space="preserve">FY2027 EPS $19.0 (consensus $20.00 cut by 5%) x 18x</t>
  </si>
  <si>
    <t xml:space="preserve">(A9 x A10 - A15) / A16, where A9 = A7 x A8 = $8.1B; ($8.1B x 12 - $0.46B) / 330M  [A6, A7, A8, A9, A10, A15, A16]</t>
  </si>
  <si>
    <t xml:space="preserve">FY2027 adj. EBITDA ~$8.1B (revenue $10.0B x 81%) x 12x, less $0.46B net debt, / 330M shares</t>
  </si>
  <si>
    <t xml:space="preserve">(A11 / A14 - A15) / A16, where A11 = A2 x 335M x A13; ($6.2B / 6.5% - $0.46B) / 330M (computes to ~$288; agent states $286)  [A2, A11, A13, A14, A15, A16]</t>
  </si>
  <si>
    <t xml:space="preserve">FY2027 FCF ~$6.2B at a 6.5% yield, less $0.46B net debt, / 330M shares</t>
  </si>
  <si>
    <t xml:space="preserve">Blend of P/E (FY27 EPS $19.0, consensus $20.00 cut 5%, x 18x = $342), EV/EBITDA (FY27 revenue $10.0B x 81% = $8.1B x 12x, less $0.46B net debt, / 330M shares = $293) and FCF yield (FY27 FCF ~$6.2B at 6.5%, less net debt, / 330M = $286), weighted 40/30/30, gives about $310.</t>
  </si>
  <si>
    <t xml:space="preserve">A4 (= A2 x (1+A3)) x A5 = $22.2 x 15  [A1, A2, A3, A4, A5]</t>
  </si>
  <si>
    <t xml:space="preserve">NTM EPS at Oct 2027 of about $22.2 (FY27E $19.10 after a 4.5% haircut, rolled forward with about 16% growth into 2028) x 15x</t>
  </si>
  <si>
    <t xml:space="preserve">A11 / A16 / A14, where A11 = A7 x A8 x A12; $6.54B / 330M / 6% = $19.8 / 6%  [A6, A7, A8, A11, A12, A14, A16]</t>
  </si>
  <si>
    <t xml:space="preserve">2027E FCF of about $6.54B (revenue $10.05B x 82% EBITDA margin minus about $1.7B cash tax and interest) / about 330M shares = $19.8/share, at a 6% required yield</t>
  </si>
  <si>
    <t xml:space="preserve">(A9 x A10 - A15) / 328M, where A9 = A7 x A8 x 1.17 = $9.64B; ($9.64B x 10 - $0.46B) / 328M  [A6, A7, A8, A9, A10, A15, A16]</t>
  </si>
  <si>
    <t xml:space="preserve">2028E EBITDA of about $9.64B x 10x = $96.4B EV, minus net debt of about $0.46B, / about 328M shares</t>
  </si>
  <si>
    <t xml:space="preserve">Blend of P/E (15x NTM EPS at Oct-2027 of about $22.2, from FY27 consensus of $20.00 cut 4.5% to $19.10, giving $333), FCF yield (2027E FCF of about $19.8/share at a 6% yield, giving $330) and EV/EBITDA (10x 2028E EBITDA of about $9.64B, giving $292), weighted 40/35/25 for about $322. The EPS haircut is now 4.5%, down from 7.5%, because Edgewater's Q4 call is only 1-2% below consensus; Wells Fargo's pixel data justifies the extra trim.</t>
  </si>
  <si>
    <t xml:space="preserve">APP cases by agent</t>
  </si>
  <si>
    <t xml:space="preserve">Base case = median; downside = 10th percentile, upside = 90th percentile (no probabilities; older rounds' bear/bull shown as downside/upside).</t>
  </si>
  <si>
    <t xml:space="preserve">Downside (P10)</t>
  </si>
  <si>
    <t xml:space="preserve">Base (median)</t>
  </si>
  <si>
    <t xml:space="preserve">Upside (P90)</t>
  </si>
  <si>
    <t xml:space="preserve">Downside story</t>
  </si>
  <si>
    <t xml:space="preserve">Base story</t>
  </si>
  <si>
    <t xml:space="preserve">Upside story</t>
  </si>
  <si>
    <t xml:space="preserve">Gaming growth flattens (Edgewater's MAX 'functional ceiling', Unity Vector spread pressure) and model gains stay lumpy. E-commerce stays a 'false start' on traffic-weighted data because generative video creative (management's 'biggest hurdle') slips further. FY27 EPS lands ~$16 and the stock de-rates to ~10.5x NTM EPS of ~$16.5.</t>
  </si>
  <si>
    <t xml:space="preserve">Q4 grows ~8-10% q/q, 2027 revenue grows ~22-27% with EBITDA margin ~82-83%. FY27 EPS ~$19-19.5, buybacks ~$3B+/yr. E-commerce starts contributing in H2 2027. The multiple recovers only partly, to ~15x an NTM EPS of ~$21.5.</t>
  </si>
  <si>
    <t xml:space="preserve">The post-Q2 model step-up keeps compounding, Q3/Q4 beat the guide, and traffic-weighted e-commerce adoption turns in early 2027 once video creative ships. FY27 EPS ~$22 and the stock re-rates to ~18x NTM EPS of ~$27 as revisions turn up.</t>
  </si>
  <si>
    <t xml:space="preserve">Edgewater is right and more: MAX/Axon share has topped (Sensor Tower already has APP at ~36% of game ad revenue, AdMob 29%), Unity Vector (Q3 Strategic Grow +68-70%) and AdMob compress spreads, the Unity litigation goes badly or signals a data advantage eroding, and e-commerce stays a 'false start' (Wells Fargo) into late 2027. Revenue growth falls to ~15% in 2027, FY27 EPS ~$16, ~11x NTM; class-action headlines persist.</t>
  </si>
  <si>
    <t xml:space="preserve">Q3 in line ($2.06-2.09B), Q4 guide ~+8-10% q/q (near Edgewater/consensus), 2027 revenue +20-24% at ~82% margins; gaming share flat, e-commerce builds slowly through 2027 rather than in 2026. FY27 EPS ~$19.3, multiple ~15x NTM as revision momentum stabilises; buybacks continue.</t>
  </si>
  <si>
    <t xml:space="preserve">Self-serve Axon and the generative video creative tool gain traction and traffic-weighted e-commerce adoption shows up by mid-2027; the Unity suit protects MAX auction data; growth re-accelerates to 30%, FY27 EPS ~$22, multiple ~20x NTM. Slightly lower than round 1's $520 because Wells Fargo's data pushes the e-commerce payoff late into the horizon.</t>
  </si>
  <si>
    <t xml:space="preserve">Model upgrades keep slipping and gaming share saturates (Edgewater); Unity Vector and Meta's AI game tools squeeze net-revenue spreads; e-commerce self-serve stalls (Wells Fargo pixel data); 2027 growth falls to ~10-15% and EPS ~$16-17; the class actions survive motions to dismiss and keep a governance discount. ~11x on ~$17 forward EPS. The SEC inquiry is closed, so a revived regulatory action is a tail inside this case, not its driver.</t>
  </si>
  <si>
    <t xml:space="preserve">Growth slows to ~20% in 2027 as gaming matures and e-commerce ramps slowly (a 2027 story); margins ~80%; buybacks shrink the share count ~3%/yr; estimates drift ~5% lower, then stabilize; the multiple stays de-rated at ~14.5x forward EPS (~$21.5-22 NTM in Oct 2027).</t>
  </si>
  <si>
    <t xml:space="preserve">The post-quarter model step-up shows up in Q3/Q4 beats, e-commerce/self-serve Axon inflects in 2027, revisions turn positive, and the stock re-rates to ~19-20x on ~$24-25 forward EPS, still well below the $738 high.</t>
  </si>
  <si>
    <t xml:space="preserve">The e-commerce/self-serve push stalls, as the traffic-weighted Pixel data suggests (most new sites are dormant APAC storefronts; Shopify app has only 25 reviews at 3.6 stars, with region-availability complaints). Edgewater's 'share ceiling' proves right and Unity Vector (+23% q/q in Q2) compresses AppLovin's spreads. FY27 EPS ~$15.5 and the multiple compresses to ~11x. (The Muddy Waters short report and SEC probe are dropped as drivers: the probe closed with no action.)</t>
  </si>
  <si>
    <t xml:space="preserve">Gaming stays dominant (~36% of mobile game ad revenue, iOS share rising). Model upgrades live since Q2 bring growth near guidance; Q4 grows ~8-10% q/q; e-commerce scales slowly through 2027. FY27 EPS ~$19 and the market holds a mid-to-high-teens multiple while class actions linger.</t>
  </si>
  <si>
    <t xml:space="preserve">Q3/Q4 beat on model improvements, the generative video tool ships, and holiday web advertiser cohorts show real traffic-weighted traction. Revisions turn up, FY27 EPS $20-21+, and the stock re-rates toward 23-25x, as APP itself did in 2023 and Meta did in 2023 once revisions turned. Inside this case the tail reaches $600-700+.</t>
  </si>
  <si>
    <t xml:space="preserve">Edgewater's 'growth ceiling' is right: gaming wallet share saturates under Unity spread pressure, and e-commerce stays a 'false start' (Wells Fargo) well into 2027. Growth falls to the teens and EPS estimates slide toward $16. Meta and Google AI ad tools take share, or Apple/Google platform policy curbs targeting. The multiple compresses to 10-11x, as in TTD's second down year (-68% in 2025, then -67% YTD 2026). The SEC escalation leg is gone (the inquiry closed in Aug 2026 with no action), so the bear case now rests on fundamentals plus class-action noise.</t>
  </si>
  <si>
    <t xml:space="preserve">Growth slows from about 50% to the mid-20s in 2027, margins hold near 82%, buybacks continue, and the multiple holds near 14-15x NTM EPS. Q4 lands near Edgewater's +8-9% q/q, roughly in line with consensus. The stock tracks a modestly haircut earnings path from a de-rated base and ends modestly up.</t>
  </si>
  <si>
    <t xml:space="preserve">AXON model upgrades and gen-AI creative tools show up in the Q3/Q4 beats. Traffic-weighted e-commerce adoption turns up in 2027, revisions turn positive, and the stock re-rates toward 20-22x, as Meta did in 2023 (+194% after -64%) and APP did in 2023 (about +280% after -89% in 2022).</t>
  </si>
  <si>
    <t xml:space="preserve">Average</t>
  </si>
  <si>
    <t xml:space="preserve">APP each agent's reasoning</t>
  </si>
  <si>
    <t xml:space="preserve">Final round, with round 1 for comparison. Revisions list what each agent changed after the supervisor's feedback.</t>
  </si>
  <si>
    <t xml:space="preserve">Research target (12m) r1</t>
  </si>
  <si>
    <t xml:space="preserve">Research target (12m) r2</t>
  </si>
  <si>
    <t xml:space="preserve">Thesis break</t>
  </si>
  <si>
    <t xml:space="preserve">Thesis break reason</t>
  </si>
  <si>
    <t xml:space="preserve">Key uncertainties</t>
  </si>
  <si>
    <t xml:space="preserve">Revisions after feedback</t>
  </si>
  <si>
    <t xml:space="preserve">Round 2. Primary documents still show a fast-compounding business: Q2 2026 revenue $1.924B (+53%), 83.9% adj. EBITDA margin, $3.76 GAAP EPS, Q3 guide $2.055-2.085B (+46-48%), net debt ~$0.46B, $1.8B buyback authorisation left. Corrections from the supervisor, which I verified: (1) the Q3 guide is not conservative in the way I said; the CFO said it 'reflects the model improvements that are already live and performing' (the step-up that landed just after quarter-end) and excludes only not-yet-deployed releases; (2) Edgewater's Q4 call (+8-9% q/q) is only ~1-2% below consensus; (3) Wells Fargo's traffic-weighted pixel data pushes e-commerce to 2027. Re-reading the call I also found I overstated the buyback pace: Q2 repurchases were $551M, moderated from ~$1B in Q1. I therefore cut FY27 EPS 4% to $19.2, FY28 growth to 18%, the P/E to 16x and the share-count reduction, which lowers fair value from $382 to $348 (P/E $349, FCF yield $348). I remain above the supervisor's ~$320 because 15x NTM is roughly today's de-rated multiple and assumes no re-rating at all for a business still guiding ~46% growth; a modest move to 16x is a judgment I keep. The scenario mix (30% bear $175, 45% base $320, 25% bull $490) gives a mean of ~$319. I do not centre the distribution on fair value because revisions are falling and momentum is negative. The ladder is a mixture: 92% lognormal with median $308 and sigma 0.55, plus 8% business-break mass with median $155. That gives P(&gt;=281) 0.53, slightly below round 1's 0.545, and a thinner right tail (P&gt;=703 0.062 vs 0.071). EDGAR shows no new 8-K since Aug 5. Research was mostly SEC filings and the call transcript; consensus is from Alpha Vantage, and option data was deliberately not consulted.</t>
  </si>
  <si>
    <t xml:space="preserve">$180 is ~9.4x my FY27 EPS ($19.2), 9x consensus ($20.00) and a ~10% FCF yield for a business with ~83% EBITDA margins, near-zero capex and ~$0.46B net debt. There the market would be pricing an earnings decline, not slower growth: a Q4 guide implying flat or negative q/q revenue, sequential declines from Axon model degradation or share loss to Unity/Meta, an Apple/Google platform policy shock, or a damaging litigation disclosure (the SEC inquiry is closed, so the remaining legal risk is the two class actions). It is about one 12-month sigma below spot, so a sustained trade there needs fundamental confirmation, which I would treat as the break.</t>
  </si>
  <si>
    <t xml:space="preserve">• Whether Axon model gains resume a steady cadence (management: 'no guarantee... lifts in every single period of three months'); the Q3 guide already embeds the post-quarter step-up, so upside needs further releases
• Traffic-weighted e-commerce adoption: Wells Fargo sees ~85% of new pixel sites with no traffic and a '2027 story'; creative tooling is management's stated biggest hurdle
• Gaming share durability: Edgewater sees MAX near a ceiling and Unity spread pressure
• Whether the de-rating to ~14x forward EPS persists or worsens while revisions stay negative (FY27 EPS mean $21.16 -&gt; $20.00 in 60 days)
• Buyback pace: moderated to $551M in Q2 from ~$1B in Q1 because of lower FCF (tax timing)
• Litigation: the 2025 class action awaits a motion-to-dismiss ruling and a new one was filed Sep 16, 2026 (the SEC inquiry closed with no action)
• Concentration in mobile gaming, plus Apple/Google/Meta platform dependence</t>
  </si>
  <si>
    <t xml:space="preserve">• a fact: Q3 guide excludes unreleased model improvements, so it is conservative → Q3 guide includes the post-quarter model step-up already live; excludes only not-yet-deployed releases (Supervisor feedback; verified in the Q2 call transcript (Investing.com) and BigGo summary)
• a fact: Buybacks ~$1B/quarter; ~322M diluted shares by Oct 2027 → Q2 buybacks moderated to $551M (1.14M shares); ~326M shares by Oct 2027 (New evidence from re-reading the Q2 call (CFO on moderating buybacks due to lower FCF))
• a method: P/E: FY27 $20.00 (consensus unchanged), FY28 +20%, NTM ~$23 x 17x = $391 → P/E: FY27 $19.20 (-4%), FY28 +18%, NTM ~$21.8 x 16x = $349 (Supervisor findings on Edgewater (~1-2% Q4 gap) and Wells Fargo traffic-weighted pixel data (e-commerce a 2027 story), plus negative revisions)
• a method: FCF yield: NTM FCF $7.2B / 6% / 322M = $373 → FCF yield: NTM FCF $6.8B / 6% / 326M = $348 (Lower EPS path and slower buybacks feed through to FCF and share count)
• fair value: 382 → 348 (The two method changes above. I stay above the supervisor's ~$320 because 15x NTM assumes no re-rating at all)
• a scenario: bear $180 / base $330 / bull $510 (30/45/25) → bear $175 / base $320 / bull $490 (30/45/25) (Lower EPS base, Edgewater's gaming share-ceiling risk in the bear case, and lower buyback accretion)
• P(close &gt;= K): P(&gt;=281) 0.545, P(&gt;=380) 0.342, P(&gt;=703) 0.071 → P(&gt;=281) 0.532, P(&gt;=380) 0.327, P(&gt;=703) 0.062 (Lower fair value and scenario mean (~$319 vs ~$330); mixture median $308, sigma 0.55)
• P(close &gt;= K): 1-month centred on $280 (P&gt;=281.31 0.491) → 1-month centred on spot $281 (P&gt;=281.31 0.498) (Supervisor confirmed no earnings in the window; with nothing scheduled the brief calls for symmetry around spot)
• thesis break: 175 → 180 (Lower fair value moves the earnings-decline level up slightly; still ~9x EPS and ~10% FCF yield. I keep it below the supervisor's $185, since at 75% vol $185 is closer to ordinary volatility)</t>
  </si>
  <si>
    <t xml:space="preserve">Round 2 changes. The supervisor showed (a) Edgewater's Q4 call is only ~1-2% below consensus revenue, so my 5% EPS cut plus a further 5% EBITDA trim double-counted it; (b) the Citi/Store Leads raw merchant counts I used as an offset are inflated by dormant APAC storefronts: Wells Fargo's traffic-weighted data (which I verified: 85% zero-traffic new sites vs ~30% pre-June, e-commerce 'more like a 2027 story', EW $325 PT) is the better read. I now use one consistent ~3-3.5% trim to FY27 revenue/EPS across all legs and drop the Citi offset. New lane evidence: AppLovin sued Unity (Sep 27-Oct 1) to stop its Ad Quality SDK collecting MAX auction data, with a TRO hearing and a JAMS arbitration; Unity calls it an incumbent's response to 'increased competition and slowing growth'. I read that as confirming that Unity Vector (Q3 Strategic Grow guided +68-70%, Vector &gt;$1B run rate) is a real competitive threat, which justifies trimming the P/E to 15.5x from 16x, though a win would protect MAX's data edge. Sensor Tower still has APP at ~36% of game ad revenue (AdMob 29%) in a game-ad pool growing ~8%, so gaming growth must come from share or pricing. Net: P/E leg $352-&gt;$344, EV/EBITDA $309-&gt;$320 (double haircut removed, multiple aligned with P/E), FCF $330-&gt;$333; blend ~$333, basically unchanged because removing the double count is offset by a lower multiple and the loss of the e-commerce offset. Scenarios 185/325/500 at 30/45/25 (mean ~$327). Ladder: lognormal, median ~$300, sigma 0.57 (below the 75% realized because ~14x EPS, ~6% FCF yield and buybacks give valuation support), with a 3% crash component (median $140) for litigation/fraud-type tails; P(&gt;=281) 0.53. Supervisor facts outside my lane (SEC probe closed, CEO sales under 10b5-1) slightly reduce the governance tail, which is why the crash weight is small. 1-month: no AppLovin earnings in window (est. Nov 11), so neutral around spot at ~21.5% monthly sigma. About 7 follow-up searches/fetches; no option data or priors consulted.</t>
  </si>
  <si>
    <t xml:space="preserve">Below ~$185 the stock would trade ~9x FY27 consensus EPS, ~7x EBITDA and a ~10%+ FCF yield with net debt of only ~$0.46B, roughly the multiple of slower, lower-margin Liftoff. A sustained trade there would most likely mean a fundamental break rather than 75%-vol noise: a guide for flat or falling q/q revenue, visible MAX/Axon share loss or a net revenue spread collapse against Unity Vector/AdMob, a loss in the Unity dispute that exposes MAX auction data, a platform (Apple/Google) data-practice action, or a damaging litigation disclosure. Unchanged from round 1; the supervisor's $185 independently agrees.</t>
  </si>
  <si>
    <t xml:space="preserve">• Whether MAX/Axon gaming share has saturated (Edgewater, ~36% Sensor Tower share) or keeps rising (Sensor Tower iOS share 39%-&gt;44%)
• Traffic-weighted e-commerce adoption after the June 2026 self-serve launch (Wells Fargo: ~85% of new pixel sites have no traffic)
• Net revenue spread pressure from Unity Vector, AdMob, Liftoff and Moloco
• Outcome and signalling of the AppLovin v. Unity Ad Quality litigation
• Timing and quality of the generative AI video creative tool
• Securities class actions (the SEC inquiry is closed per the supervisor's check)</t>
  </si>
  <si>
    <t xml:space="preserve">• a fact: Citi/Store Leads merchant counts accelerating, used as a partial offset to the Edgewater share concern → Raw counts discounted: Wells Fargo traffic-weighted data shows ~85% of new pixel sites have no traffic; e-commerce is a 2027 story (Supervisor feedback_for_agents (agent_2) and disagreement on e-commerce adoption; verified on the Sep 30 Stocktwits/Yahoo article)
• a method: FY27 EPS $19.0 (5% haircut), NTM $22, 16x = $352 → FY27 EPS $19.3 (3.5% haircut), NTM $22.2, 15.5x = $344 (Supervisor: Edgewater's Q4 gap is only ~1-2% of revenue; a smaller haircut, partly offset by a lower multiple for escalating Unity competition (AppLovin v. Unity suit, Oct 1))
• a method: EV/EBITDA $309 (EPS-style 5% haircut plus 5% spread haircut, 11x) → EV/EBITDA $320 (single 3% revenue trim, 82% margin, 11.5x NTM) (Supervisor's revisit: pick one haircut, not two stacked; multiple aligned with the P/E leg)
• a method: FCF yield $330 → FCF yield $333 (Knock-on from the EBITDA base; required yield kept at ~6.3%)
• fair value: 334 → 333 (Net of the above: the double-count removal raises the EBITDA leg, while the lower P/E multiple and the dropped e-commerce offset pull the other way)
• a scenario: bear $190 / base $330 / bull $520 (30/45/25) → bear $185 / base $325 / bull $500 (30/45/25) (Wells Fargo pushes the e-commerce payoff late into the horizon (lower bull); Unity litigation and Vector growth add a bear path; base follows the fair-value legs)
• P(close &gt;= K): P(&gt;=281) 0.54, P(&gt;=422) 0.28, P(&gt;=703) 0.07 → P(&gt;=281) 0.532, P(&gt;=422) 0.267, P(&gt;=703) 0.066 (Slightly thinner right tail (lower bull case); median ~$300 unchanged; left tail about the same, since the closed SEC probe offsets the new Unity competition evidence)
• thesis break: 185 → 185 (unchanged) (Still ~9x FY27 EPS with negligible net debt; the supervisor reached the same level independently)
• a fact: Q3 earnings date ~Nov 4-11, unconfirmed → Calendars point to Nov 11 (after close), still not company-confirmed; outside the 1-month window (Follow-up search; matches supervisor)</t>
  </si>
  <si>
    <t xml:space="preserve">Lane: skeptic. Round 2 changes, from the supervisor's fact-checks and my follow-up: (a) Edgewater's Q4 call (+8-9% q/q, ~$2.25bn) is only ~1-2% below consensus, so my 8% FY27 EPS haircut double-counted it; I now cut 5% (Edgewater ~1-2% plus the Wells Fargo e-commerce delay and negative revisions), deeper than the supervisor's ~4% because revisions are still 19 down / 5 up. (b) The SEC inquiry is closed with no recommended action (CFO, Aug 5 2026, AdTechRadar), so I drop the regulatory component of the bear case and cut bear probability from 25% to 22%. (c) I disagree with the supervisor on the CEO's insider sales: the primary Form 4s for the Jun 10-12 2026 sales (104,166 shares, ~$51.1m at $473-517, part via children's trusts) have the Rule 10b5-1 checkbox unticked and no 10b5-1 footnote, and the matching Form 144s carry no plan remark, whereas director Vivas's March Form 144 explicitly cites a 10b5-1 plan dated 12/10/2025. The supervisor's source was a paywalled MarketScreener summary I could not read. So my round-1 fact stands, but I give it little price weight: it matters for the class action's scienter element, not for earnings. Valuation: P/E $323 (19.0 x 17x), FCF yield $311, EV/EBITDA $309; blended fair value $315 (from $306). Scenarios: bear $190 (22%), base $315 (53%), bull $480 (25%); mean ~$329, median ~$305. Ladder: average of a three-scenario lognormal mixture (inner sigmas 30-35%) and a single lognormal (median ~$302, sigma 0.62, below the 75% realized vol because that vol includes a one-off de-rating), which keeps fat tails. Result: P(&gt;= $281) ~0.57 (from 0.55), ~20% chance below $197, ~5.5% chance above $703. Thesis break $195 (from $205). Research limited (paywalls, 403s); no options data or priors consulted.</t>
  </si>
  <si>
    <t xml:space="preserve">At ~$195 the stock would trade at ~10x my haircut FY2027 EPS ($19), ~8x EBITDA and a ~9.5% FCF yield, with only ~$0.46bn net debt, ~$3bn cash and a $1.8bn buyback authorization underneath. Sustained trading there would most likely mean the market expects earnings to fall, not just slower growth: a Q4 guide implying flat or negative q/q revenue, clear MAX/Axon share loss to Unity/Meta, an Apple/Google platform action on data practices, or a damaging litigation disclosure. Lowered from $205 because the SEC inquiry is closed; kept above the supervisor's $185 because the bear evidence (negative revisions, a first guidance miss, discretionary insider selling near the highs) is live.</t>
  </si>
  <si>
    <t xml:space="preserve">• Whether the Q2 slowdown was timing (management) or the start of saturation in gaming share (Edgewater, BofA)
• Pace of e-commerce/self-serve Axon adoption; Wells Fargo's traffic-weighted pixel data says most new sites are dormant and the payoff is a 2027 story
• Competitive pressure on take rates from Unity Vector and Meta's AI game tools
• Litigation: the 2025 class action (motion to dismiss pending) and the 2026 Talbot class action; the CEO's ~$51m of June 2026 sales were not marked as 10b5-1 on the Form 4s, which plaintiffs can cite for scienter
• Platform/privacy risk around data collection (the SEC inquiry is closed; app-store or state-level action is the residual)
• Multiple: the stock is ~14x consensus 2027 EPS and ~6% FCF yield, so further downside needs falling estimates, not just sentiment</t>
  </si>
  <si>
    <t xml:space="preserve">• a fact: SEC data-practices inquiry treated as a possible revived regulatory risk → SEC inquiry closed with no recommended action (Aug 5 2026); residual risk is platform/state privacy action (Supervisor disagreement 'Status of the SEC data-practices probe', verified via AdTechRadar (source 25).)
• a fact: CEO sold ~$51m in May-June 2026, not under 10b5-1 → Kept, with precise detail: Jun 10-12 2026, 104,166 shares, ~$51.1m at $473-517 (part via children's trusts); Form 4 10b5-1 checkbox false and no plan footnote; Form 144s carry no plan remark. I disagree with the supervisor's correction but cut the fact's weight to litigation scienter only (Supervisor said the sales were under a plan adopted Mar 3 2026, citing a paywalled MarketScreener summary; the primary SEC filings (sources 26-28) do not show that.)
• a method: P/E: $18.4 x 17x = $313 → P/E: $19.0 x 17x = $323 (Supervisor sized Edgewater's Q4 gap at ~1-2% of revenue, so the 8% EPS haircut is cut to 5%.)
• a method: FCF yield: revenue $9.6bn, FCF $6.0bn, $302 → FCF yield: revenue $9.85bn, FCF ~$6.18bn, $311 (Same Edgewater sizing; revenue haircut cut from 6.5% to 4%.)
• a method: EV/EBITDA: $7.7bn x 13x, $301 → EV/EBITDA: $7.9bn x 13x, $309 (Follows the revised revenue.)
• fair value: 306 → 315 (Shallower haircut per the supervisor's Edgewater sizing; still below the supervisor's $320 because revisions remain negative and I keep a 17x (not higher) multiple.)
• a scenario: bear $185 / 25%; base $305 / 50%; bull $470 / 25% → bear $190 / 22%; base $315 / 53%; bull $480 / 25% (Closed SEC probe removes the regulatory leg of the bear case; base and bull lifted with the smaller EPS haircut.)
• P(close &gt;= K): P(&gt;=281) 0.55, P(&gt;=197) 0.79, P(&gt;=380) 0.31, P(&gt;=703) 0.05 → P(&gt;=281) 0.572, P(&gt;=197) 0.80, P(&gt;=380) 0.335, P(&gt;=703) 0.055 (Re-run mixture on the revised scenarios; small rightward shift.)
• P(close &gt;= K): 1-month P(&gt;=281.31) 0.505 → 0.508 (Confirmed no earnings in the window (supervisor one_month_reasoning); essentially unchanged near-symmetric spread.)
• thesis break: 205 → 195 (Supervisor feedback: closed SEC probe and ~$0.46bn net debt make $185-195 more defensible; I take the top of that range given live negative revisions.)</t>
  </si>
  <si>
    <t xml:space="preserve">Round 2. Hard facts unchanged: Q2 2026 revenue $1.92B (+53%), 84% EBITDA margin, Q3 guide $2.055-2.085B, net debt ~$0.46B, ~337M diluted shares, ~14x FY27 consensus EPS at $281. Supervisor findings I accepted: (1) Edgewater's Q4 call is only ~1-2% below consensus, so my 7.5% EPS haircut was too deep; I moved to 5%, at the upper end of the supervisor's 3-5% because I add Unity Vector's 23% q/q Q2 growth (Unity release, confirmed by trade press) as a spread-pressure factor the supervisor did not weight. (2) My right tail was too thin; I widened the scenario inner sigmas to 38/30/40% and lifted the bull price to $490, which raises P(&gt;=563) from 0.06 to 0.10 and P(&gt;=703) from 0.014 to 0.048, consistent with APP's own 2023 rebound and Meta 2023. (3) Muddy Waters and the SEC probe removed from the bear story. Kept: the Wells Fargo traffic-weighted Pixel work as the key alt-data read (the supervisor rated it the most decision-useful finding); a new in-lane check of the Shopify App Store listing (25 reviews, 3.6 stars, latest Sep 15 2026, complaints about region availability) fits the view that self-serve e-commerce is early and small. Fair value rises from $302 to $310 (P/E $342, EV/EBITDA $293, FCF yield $286). I stay a bit below the supervisor's ~$320 because revisions are still falling and Unity competition is accelerating. Mixture: bear $170/25%, base $315/50%, bull $490/25%, which gives a median near $308 and P(&gt;=281) of 0.58. The 1-month ladder is unchanged (no earnings before Nov 4). Research in round 2: 7 searches/fetches; X and Reddit were not reached directly, and a reported Oct 2 price move after a Unity spokesperson's comments was not used (after the as-of date and not verified).</t>
  </si>
  <si>
    <t xml:space="preserve">Below about $180 (~9x FY27 consensus EPS, ~9.5x my $19, and roughly a 10% FCF yield with negligible net debt), the price would most likely mean the earnings base itself is breaking, not just the multiple: a Q4 guide implying flat or negative sequential growth in the core gaming business, clear share loss to Unity Vector or Meta, platform action against data practices, or e-commerce cohorts churning. The fall from $738 to $281 is explained by de-rating plus a modest growth reset; a further ~36% drop is not, without a fundamental problem. Raised from $175 because the haircut EPS base is higher and the regulatory tail is smaller (SEC probe closed).</t>
  </si>
  <si>
    <t xml:space="preserve">• Whether e-commerce/web adoption is real: raw Pixel installs spiked but ~85% of new sites show no measurable traffic (Wells Fargo); Shopify app has only 25 reviews
• Q4 guide vs Edgewater's +8-9% q/q call and whether MAX share has hit a ceiling
• Unity Vector momentum (+23% q/q in Q2 2026, &gt;$1B ARR) and its effect on AppLovin's spreads and gaming share
• Cadence of Axon model improvements after the Q2 miss
• Securities class actions (SEC probe itself closed with no action)
• FCF conversion: Q2 FCF $863M vs net income $1.27B
• Estimate-revision momentum: FY27 EPS $21.16 -&gt; $20.00 in 60 days; the multiple will not re-rate until this turns</t>
  </si>
  <si>
    <t xml:space="preserve">• a fact: Muddy Waters incrementality critique as a live bear driver → background only; dropped from bear story (Supervisor feedback: old short report, and the SEC probe that followed closed with no action (Aug 2026).)
• a method: P/E $333 (FY27 EPS $18.5, 7.5% haircut, x18) → P/E $342 (FY27 EPS $19.0, 5% haircut, x18) (Supervisor: Edgewater's Q4 call is only ~1-2% below consensus; 3-5% haircut better supported. Kept the upper end because of Unity Vector +23% q/q (new evidence).)
• a method: EV/EBITDA $287 (revenue $9.8B) → EV/EBITDA $293 (revenue $10.0B) (Smaller revenue haircut (2.5% vs 4.5%) per the same Edgewater finding.)
• a method: FCF yield $280 (FCF $6.0B) → FCF yield $286 (FCF $6.2B) (Follows the higher EPS base.)
• fair value: 302 → 310 (Method updates above; still below supervisor's ~$320 because revisions are still negative and Unity is accelerating.)
• a scenario: bear $165 / base $305 / bull $470, inner sigmas 25-35% → bear $170 / base $315 / bull $490, inner sigmas 38/30/40% (Supervisor: right tail far thinner than peers and inner sigmas clip far tails vs 60-75% realized vol; APP 2023 and Meta 2023 rebound base rates.)
• P(close &gt;= K): K=281: 0.563; K=563: 0.06; K=703: 0.014 → K=281: 0.577; K=563: 0.104; K=703: 0.048 (Wider mixture tails and slightly higher scenario centres.)
• thesis break: 175 → 180 (Higher haircut EPS base ($19) and the closed SEC probe shrink the regulatory tail; ~9x consensus EPS.)
• a fact: Q3 results ~Nov 11 (MarketChameleon) → Q3 results Nov 4 after close (MarketBeat; still after Oct 31) (New search; supervisor also cited Nov 4-11. 1-month ladder unchanged.)</t>
  </si>
  <si>
    <t xml:space="preserve">Round 2. Facts: Q2-26 revenue $1.924B (+53%), adj. EBITDA $1.614B (84%), 335.3M shares, net debt about $0.46B, Q3 guide $2.055-2.085B. FY26/FY27 consensus EPS is $15.67/$20.00, with FY27 down from $21.16 over 60 days. At $281 the stock is at about 14x FY27 EPS and about a 6% FCF yield, so the drawdown is de-rating rather than an earnings collapse. The supervisor's corrections, which I checked: (1) the SEC inquiry is closed. AdTechRadar (Aug 5 2026) reports the CFO said on the Q2 call it closed with no recommended enforcement action. Bloomberg had reported it 'still active' as late as Feb 20 2026, so my round-1 premise was stale, not invented, but it was wrong as of October. I removed it from the bear story and catalysts and cut the bear probability from 30% to 27%. (2) Edgewater's Q4 +8-9% q/q is only about 1-2% below consensus, so I cut my EPS haircut from 7.5% to 4.5%, keeping part for Wells Fargo's Sep 30 traffic-weighted pixel data, which I confirmed across Yahoo/Stocktwits and Investing.com. (3) I dropped the thin Polymarket recession market (about $9.7K volume). Base rates: Mauboussin and Callahan (Counterpoint Global, May 2025) find a median peak-to-trough drawdown of 85% across 6,500 stocks from 1985 to 2024, and more than half never regain their prior high. I tried the primary PDF again and Morgan Stanley returned 403, so the figures come from the study's own landing page and search abstract. That keeps a return to $700+ in 12 months a tail outcome (about 5%). The TTD analog (a second straight year down about 67%) argues for persistence while revisions stay negative; Meta 2023 and APP 2023 argue for violent rebounds once they turn. Valuation: P/E $333, FCF yield $330, EV/EBITDA $292, blended 40/35/25 to $322 (round 1: $315). Scenarios $175/$310/$475 at 27/46/27% (mean about $318). The ladder is a 50/50 blend of that scenario mixture (inner sigmas 0.28-0.35) and a single lognormal (median $296, sigma 0.60). The result is P(&gt;=$281) of 0.55 and a median of about $300, nudged up 1-2 points from round 1. I disagree with no supervisor finding. My fair value ($322) lands near its $320 independently: my FCF leg is higher and my EV/EBITDA leg lower. The thesis break moves to $185. Limits: no option data was used; the Morgan Stanley PDF was blocked; there are no APP-specific prediction markets.</t>
  </si>
  <si>
    <t xml:space="preserve">Below about $185 the stock would trade at about 9x FY27 consensus EPS and under 8x EBITDA for a business guiding to 46-48% growth, with only about $0.46B of net debt. That only makes sense if earnings themselves are falling: a guide-down implying flat or negative q/q revenue, shrinking MAX/gaming share or e-commerce spend, or an adverse Apple/Google platform change to data use. I lowered it from $190 because the SEC inquiry is closed, which removes one route to a regulatory gap-down, so a print at $185 more clearly signals a fundamental break than 75%-vol noise around a fair value near $320.</t>
  </si>
  <si>
    <t xml:space="preserve">• Whether gaming wallet share has topped out (Edgewater) or AXON upgrades restart share gains (Sensor Tower iOS share still rising)
• Timing of a real, traffic-weighted e-commerce turn: Wells Fargo says 85% of new pixel sites have no traffic and calls it a 2027 story
• Competitive response from Meta (iOS untracked inventory, Horizon tools) and Google (Project Genie)
• Platform-policy risk and the 2025 and 2026 securities class actions (the SEC inquiry is closed, so it is no longer a live risk)
• Which base rate applies: TTD-style continued de-rating vs a Meta-2022/APP-2022-style rebound; my median is slightly above flat, with fat tails both ways
• Macro: Fed path (24.5% October hike odds on a liquid market); I no longer use the thin recession-by-2027 market</t>
  </si>
  <si>
    <t xml:space="preserve">• a fact: SEC data-practices probe live; possible 2027 escalation → SEC inquiry closed with no recommended action (Aug 5 2026) (Supervisor's SEC-status resolution, which I verified via AdTechRadar; Bloomberg's 'still active' report was from Feb 2026)
• a method: P/E: FY27 EPS $18.5 (7.5% haircut), NTM $21.5 x 15 = $322 → P/E: FY27 EPS $19.10 (4.5% haircut), NTM $22.2 x 15 = $333 (Supervisor: Edgewater's Q4 gap to consensus is only 1-2%; Wells Fargo's pixel data supports a smaller trim)
• a method: FCF yield $328 on $10.26B revenue → FCF yield $330 on $10.05B haircut revenue (FCF about $6.54B, $19.8/share) (Made the revenue haircut explicit and consistent with the P/E leg; also fixed round-1 arithmetic that understated FCF against its own inputs)
• a method: EV/EBITDA $299 (2028E EBITDA $9.8B) → EV/EBITDA $292 (2028E EBITDA $9.64B) (Applied the same 2% revenue haircut to EBITDA so all three legs use one forecast)
• fair value: 315 → 322 (Net of the method changes above, mainly the smaller EPS haircut)
• a scenario: bear $170 @30% / base $305 @45% / bull $470 @25% → bear $175 @27% / base $310 @46% / bull $475 @27% (SEC escalation removed from the bear case (supervisor); a smaller haircut lifts the base; the bull case is unchanged in logic)
• P(close &gt;= K): P(&gt;=281)=0.53, P(&gt;=338)=0.39, P(&gt;=703)=0.045 → P(&gt;=281)=0.55, P(&gt;=338)=0.41, P(&gt;=703)=0.05 (Reweighted scenarios and higher fair value; the right tail is kept fat per the Meta/APP 2023 base rates)
• thesis break: 190 → 185 (Closed SEC inquiry removes a regulatory gap-down path, so about 9x FY27 EPS is the level that signals a fundamental break)
• a fact: Polymarket recession-by-2027 34.5% used as a macro input → dropped (Supervisor source_review: about $9.7K volume, too thin to be informative)
• a fact: Mauboussin cited via secondary summaries → cited to the primary Morgan Stanley page (PDF still 403) (Supervisor asked for the primary study)</t>
  </si>
  <si>
    <t xml:space="preserve">APP supervisor</t>
  </si>
  <si>
    <t xml:space="preserve">Confidence: low. The five revised ladders sit within about 0.05 of each other at every strike, and all of them already reflect the round-1 findings. My checks overturned one round-1 supervisor fact (the CEO's sales were discretionary, not under a 10b5-1 plan) and confirmed that Unity's competition is real. Both matter for litigation and the bear-case weight, not for the centre of the distribution. None settles a disagreement that clearly moves the forecast, so I keep the mean.</t>
  </si>
  <si>
    <t xml:space="preserve">Summary</t>
  </si>
  <si>
    <t xml:space="preserve">The five revised forecasts agree closely: median about $300, P(&gt;= $281 on 2027-10-01) about 0.55, fair values $310-348. The stock is about 14x FY27 EPS and about a 6% FCF yield after a 60% de-rating. My checks reversed one round-1 supervisor fact: the CEO's 2026 sales were discretionary, not under a 10b5-1 plan, which adds a little to the class-action risk. They also confirmed that Unity is growing about twice as fast as AppLovin sequentially and that the two are now in litigation over MAX data. Neither moves the centre, so I keep the mean ladder (low confidence) with fair value about $322 and thesis break $185. The Q3 print and Q4 guide, likely Nov 4, are the next real test.</t>
  </si>
  <si>
    <t xml:space="preserve">Research target (12m)</t>
  </si>
  <si>
    <t xml:space="preserve">Key drivers</t>
  </si>
  <si>
    <t xml:space="preserve">• Q3 2026 print (likely Wed Nov 4, unconfirmed) against the $2.055-2.085B guide, and above all the Q4 guide against Edgewater's +8-9% q/q (about $2.25B) and the about $2.27-2.28B consensus.
• Gaming share and spreads against Unity: Unity Strategic Grow guided +68-70% y/y for Q3 (about +16% q/q) against AppLovin's about +7.6% q/q; the AppLovin v. Unity TRO/arbitration over MAX auction data.
• Whether e-commerce/self-serve adoption shows up on traffic-weighted data (Wells Fargo: about 85% of new pixel sites have no traffic; a '2027 story').
• Estimate revisions: FY27 EPS went from $21.16 to $20.00 in 60 days (19 down / 5 up). The 14x multiple will not re-rate until revisions turn.
• Valuation floor and capital return: about 14x FY27 EPS and about 6% FCF yield, $1.5B bought back in H1 2026 with $1.8B left, net debt about $0.46B. Legal overhang: two class actions, made somewhat stronger by the CEO's discretionary sales of about $51m in June 2026 inside the class period.</t>
  </si>
  <si>
    <t xml:space="preserve">Disagreements (final round)</t>
  </si>
  <si>
    <t xml:space="preserve">Topic</t>
  </si>
  <si>
    <t xml:space="preserve">Positions</t>
  </si>
  <si>
    <t xml:space="preserve">Resolution</t>
  </si>
  <si>
    <t xml:space="preserve">Evidence</t>
  </si>
  <si>
    <t xml:space="preserve">Whether the CEO's 2026 share sales were under a Rule 10b5-1 plan</t>
  </si>
  <si>
    <t xml:space="preserve">The round-1 supervisor said the CEO's March and June 2026 sales were made under a 10b5-1 plan adopted Mar 3 2026 (it cited a MarketScreener summary). In round 2, agent_3 disagrees, citing the primary Form 4s and Form 144s. The other agents accepted the round-1 correction or did not address it.</t>
  </si>
  <si>
    <t xml:space="preserve">agent_3 is right, and the round-1 supervisor's correction was wrong. All of CEO Arash Adam Foroughi's Form 4s for the Mar 11-12 and Jun 10-12 2026 sales have the Rule 10b5-1 box set to false, and none has a plan footnote. His June Form 144s leave the plan-adoption date blank. The Mar 3 2026 plan in the Q1 10-Q belongs to director Maynard Webb (up to 40,000 shares), not to the CEO, and the 10-Q says no other officer or director adopted a plan that quarter. So the CEO's sales (about $51m in June at $473-517, plus March sales) were discretionary open-window sales, made inside the Talbot class period. This strengthens the class action's scienter argument a little. It has no direct effect on earnings, so it does not move the ladder.</t>
  </si>
  <si>
    <t xml:space="preserve">SEC Form 4s, acc. 0001848395-26-000005/-000006 (Mar 2026) and -000010/-000011/-000012 (Jun 2026): aff10b5One=false. Form 144s, acc. 0001950047-26-005873/-005915: planAdoptionDates empty. Q1 2026 10-Q, Item 5 (Webb plan, Mar 3 2026).</t>
  </si>
  <si>
    <t xml:space="preserve">Size of the FY27 EPS haircut and the multiple, which set the fair-value spread ($310-348)</t>
  </si>
  <si>
    <t xml:space="preserve">Haircuts now run 3.5-5% (agent_2 3.5%, agent_1 4%, agent_5 4.5%, agents 3 and 4 5%). Multiples run from 15x NTM (agent_5) to 16x NTM (agent_1), or 17-18x FY27 (about 14.5-16x NTM) for agents 3 and 4. FCF required yields are 6-6.5%.</t>
  </si>
  <si>
    <t xml:space="preserve">This is now judgment, not fact. All five agree on the facts behind the haircut: Edgewater's Q4 gap is about 1-2%, Wells Fargo's traffic-weighted pixel data says e-commerce is a 2027 story, and revisions are still negative. agent_1's 16x NTM bakes in a re-rating that has not started while revisions are still falling. agent_4's 6.5% FCF yield and 12x EBITDA are at the cheap end. I reconcile at about $322, close to the $326 mean, and leave the ladder at the mean.</t>
  </si>
  <si>
    <t xml:space="preserve">Agent files (round 2); Alpha Vantage consensus as cited by all five (FY27 EPS $20.00, was $21.16).</t>
  </si>
  <si>
    <t xml:space="preserve">How much Unity competition should weigh (Vector growth, the AppLovin v. Unity suit)</t>
  </si>
  <si>
    <t xml:space="preserve">agent_2 cuts its multiple to 15.5x for the AppLovin v. Unity suit filed Sep 30-Oct 1. agent_4 adds Unity Vector's +23% q/q as spread pressure. The others weigh Unity only through Edgewater.</t>
  </si>
  <si>
    <t xml:space="preserve">Confirmed but sized. Unity's Q2 2026 Strategic Grow revenue was $329m (+63% y/y), and it guides Q3 to $380-385m (+68-70% y/y, about +16% q/q). That is faster than AppLovin's Q3 guide of about +7.6% q/q on $1.92B. In dollars, though, AppLovin still adds about $146m a quarter against Unity's about $53m. The suit is real: a TRO application in SF Superior Court plus a JAMS arbitration over Unity's Ad Quality SDK collecting MAX auction data. Unity calls it a response to 'increased competition and slowing growth'. This supports the bear-case weights the agents already use (22-30%). It is not new information that justifies moving the ladder further.</t>
  </si>
  <si>
    <t xml:space="preserve">Unity 8-K Ex.99.1, Q2 2026 (Aug 6 2026); MobileGamer.biz, citing Digiday and the court filings (Oct 1 2026).</t>
  </si>
  <si>
    <t xml:space="preserve">Date of the Q3 2026 report (Nov 4 vs Nov 11)</t>
  </si>
  <si>
    <t xml:space="preserve">agents 1 and 4 say about Nov 4 (MarketBeat); agents 2 and 3 say Nov 11 (TipRanks); agent_5 says Nov 4-11.</t>
  </si>
  <si>
    <t xml:space="preserve">The company has not announced a date as of Oct 2. Its IR feed shows no 'to Announce Third Quarter' release. The pattern points to Wednesday Nov 4: Q1 was announced Apr 1 for May 6 (a Wednesday), and Q2 was announced Jul 1 for Aug 5 (a Wednesday). Both dates fall outside the 1-month window, so the 1-month ladder does not change. The date matters for the timing of the first tranche.</t>
  </si>
  <si>
    <t xml:space="preserve">AppLovin IR press-release feed (investors.applovin.com), checked Oct 2 2026; EDGAR shows no 8-K since Aug 5.</t>
  </si>
  <si>
    <t xml:space="preserve">Buyback pace and share count</t>
  </si>
  <si>
    <t xml:space="preserve">agent_1 now uses $551m in Q2 (down from about $1B in Q1) and about 326M shares by Oct 2027. The others use 326-330M.</t>
  </si>
  <si>
    <t xml:space="preserve">Confirmed. The Q2 10-Q shows 3.28M shares repurchased for $1.5B in H1 2026, with $1.8B of authorization left. That fits about $0.95B in Q1 and $0.55B in Q2. A share count of 326-330M by Oct 2027 is reasonable. It moves fair value by about 1%.</t>
  </si>
  <si>
    <t xml:space="preserve">Form 10-Q, Q2 2026, Note 7 (Equity).</t>
  </si>
  <si>
    <t xml:space="preserve">Disagreements (round 1)</t>
  </si>
  <si>
    <t xml:space="preserve">Size of the haircut to FY2027 consensus EPS ($20.00)</t>
  </si>
  <si>
    <t xml:space="preserve">agent_1 uses consensus unchanged (rolled to ~$23 NTM); agent_2 cuts 5% to $19; agents 3/4/5 cut 7.5-8% to ~$18.4-18.5, citing Edgewater, Wells Fargo pixel data and negative revisions (19 down / 5 up).</t>
  </si>
  <si>
    <t xml:space="preserve">Partly settled. Edgewater's specific call is Q4 revenue +8-9% q/q, i.e. ~$2.24-2.26B on a ~$2.07B Q3, only ~1-2% below the ~$2.27-2.28B consensus implies. That alone does not justify a 7-8% FY27 EPS cut. The Wells Fargo traffic-weighted pixel work (85% of new sites with no traffic; e-commerce 'more like a 2027 story') supports a modest further trim to the e-commerce ramp. A ~3-5% haircut is better supported than 0% or 8%.</t>
  </si>
  <si>
    <t xml:space="preserve">24/7 Wall St. on the Edgewater note (Sep 23 2026); Yahoo/Stocktwits on the Wells Fargo note (Sep 30 2026); Q2 2026 8-K Ex.99.1 Q3 guide $2.055-2.085B.</t>
  </si>
  <si>
    <t xml:space="preserve">Status of the SEC data-practices probe</t>
  </si>
  <si>
    <t xml:space="preserve">agents 1, 3 and 4 say the SEC inquiry closed with no action. agent_5 treats it as live ('resolution or escalation of the SEC Cyber and Emerging Technologies Unit probe' as a 2027 catalyst; a 'material adverse SEC action' in its bear case).</t>
  </si>
  <si>
    <t xml:space="preserve">Closed. The CFO said on the Aug 5 2026 Q2 call that the SEC concluded its inquiry with no recommended action. The Q2 10-Q discloses no SEC or state-AG matter and accrues no material loss. agent_5 is wrong. Remaining legal risk is the 2025 class action (motion to dismiss pending) and the new Talbot class action (lead-plaintiff deadline Nov 16 2026).</t>
  </si>
  <si>
    <t xml:space="preserve">AdTechRadar, 'AppLovin Says SEC Inquiry Closed With No Action' (Aug 5 2026); Form 10-Q for Q2 2026, legal proceedings note.</t>
  </si>
  <si>
    <t xml:space="preserve">Insider selling: discretionary or planned</t>
  </si>
  <si>
    <t xml:space="preserve">agent_3 says the CEO sold ~$51m in May-June 2026 'not under 10b5-1', which it reads as raising scienter risk. Others mention only tax-withholding Form 4s.</t>
  </si>
  <si>
    <t xml:space="preserve">Corrected. The CEO's March and June 2026 sales (e.g. $14.6m on Jun 10, $11.2m on Jun 12) were made under a Rule 10b5-1 plan adopted Mar 3 2026. One caveat is fair: the plan was adopted inside the Feb 12 - Aug 5 class period, so plaintiffs may still cite it. It is weaker evidence of scienter than agent_3 implied.</t>
  </si>
  <si>
    <t xml:space="preserve">Form 4 filings for the CEO (via MarketScreener and the Form 4 text: 'effected pursuant to a Rule 10b5-1 trading plan adopted ... on March 3, 2026').</t>
  </si>
  <si>
    <t xml:space="preserve">Whether e-commerce adoption is accelerating</t>
  </si>
  <si>
    <t xml:space="preserve">agent_2 and others cite Citi/Store Leads raw merchant counts accelerating (13,105 clients, +5.1% weekly) and the Jefferies DTC survey (share +169bp to 11.1%). agents 3 and 4 lean on Wells Fargo's traffic-weighted pixel data showing no meaningful pickup.</t>
  </si>
  <si>
    <t xml:space="preserve">Wells Fargo's traffic-weighted measure is the better-quality read on revenue. The raw counts are inflated by dormant APAC Shopify storefronts: the zero-traffic share of new sites rose from ~30% before June to ~85% recently. The Jefferies survey covers only 30 advertisers. E-commerce is a 2027 option, not a 2026 driver; that supports a modest haircut but is not thesis-breaking.</t>
  </si>
  <si>
    <t xml:space="preserve">Wells Fargo note via Stocktwits/Yahoo (Sep 30 2026); Citi counts via 24/7 Wall St. (Sep 23 2026).</t>
  </si>
  <si>
    <t xml:space="preserve">Scenario level and median</t>
  </si>
  <si>
    <t xml:space="preserve">Bear prices run $165-190 (prob 25-30%), base $305-330, bull $470-520. Fair values range from $302 (agent_4) to $382 (agent_1). All five put the median near $295-300 and P(&gt;=281) at 0.53-0.56.</t>
  </si>
  <si>
    <t xml:space="preserve">The ladders differ little (max spread ~0.06 at mid strikes; agent_4 has a much thinner far-right tail, 0.014 at $703 vs 0.045-0.071 for the others). My searches gave no fact that clearly moves the centre, so I keep the mean ladder. Reconciled fair value is ~$320: agent_1's 0% haircut and 17x on a $23 NTM EPS is on the generous side, while the 8% haircuts double-count Edgewater.</t>
  </si>
  <si>
    <t xml:space="preserve">Agent files; checks above.</t>
  </si>
  <si>
    <t xml:space="preserve">Changes the supervisor made</t>
  </si>
  <si>
    <t xml:space="preserve">Item</t>
  </si>
  <si>
    <t xml:space="preserve">From</t>
  </si>
  <si>
    <t xml:space="preserve">To</t>
  </si>
  <si>
    <t xml:space="preserve">Why</t>
  </si>
  <si>
    <t xml:space="preserve">Fair value (12-month)</t>
  </si>
  <si>
    <t xml:space="preserve">325.6</t>
  </si>
  <si>
    <t xml:space="preserve">322.0</t>
  </si>
  <si>
    <t xml:space="preserve">Small trim to the agents' mean: agent_1's 16x NTM assumes a re-rating that negative revisions do not yet support; the other legs sit around $310-333.</t>
  </si>
  <si>
    <t xml:space="preserve">Fact: CEO 2026 share sales (reversing the round-1 supervisor; agent_3's round-2 position confirmed)</t>
  </si>
  <si>
    <t xml:space="preserve">made under a Rule 10b5-1 plan adopted Mar 3 2026</t>
  </si>
  <si>
    <t xml:space="preserve">discretionary sales, not under a 10b5-1 plan (about $51m in Jun 2026 at $473-517, plus Mar 2026 sales)</t>
  </si>
  <si>
    <t xml:space="preserve">The CEO's Form 4s have aff10b5One=false, his Form 144s list no plan-adoption date, and the Q1 10-Q shows the Mar 3 2026 plan was director Maynard Webb's.</t>
  </si>
  <si>
    <t xml:space="preserve">Fact: Q3 2026 report date (agents 2 and 3)</t>
  </si>
  <si>
    <t xml:space="preserve">Nov 11 (est.)</t>
  </si>
  <si>
    <t xml:space="preserve">most likely Wed Nov 4 (still unconfirmed as of Oct 2)</t>
  </si>
  <si>
    <t xml:space="preserve">AppLovin's IR feed shows date releases on Apr 1 and Jul 1 for Wednesday prints on May 6 and Aug 5, and no Q3 release yet.</t>
  </si>
  <si>
    <t xml:space="preserve">327.8</t>
  </si>
  <si>
    <t xml:space="preserve">320.0</t>
  </si>
  <si>
    <t xml:space="preserve">Edgewater's Q4 gap to consensus is only ~1-2%, so the 7.5-8% EPS haircuts are too deep, but agent_1's zero haircut at 17x ignores the Wells Fargo e-commerce evidence and negative revisions; a ~4% haircut at ~15x NTM gives ~$320.</t>
  </si>
  <si>
    <t xml:space="preserve">Thesis-break price</t>
  </si>
  <si>
    <t xml:space="preserve">186.0</t>
  </si>
  <si>
    <t xml:space="preserve">185.0</t>
  </si>
  <si>
    <t xml:space="preserve">Rounded mean of the agents' $175-205; ~9x FY27 consensus EPS with negligible net debt, and the closed SEC probe argues against agent_3's higher $205.</t>
  </si>
  <si>
    <t xml:space="preserve">Fact: SEC data-practices inquiry status (agent_5)</t>
  </si>
  <si>
    <t xml:space="preserve">open probe, possible escalation in 2027</t>
  </si>
  <si>
    <t xml:space="preserve">closed with no recommended action (disclosed Aug 5 2026)</t>
  </si>
  <si>
    <t xml:space="preserve">The CFO said so on the Q2 2026 call, and the Q2 10-Q discloses no SEC matter or material loss contingency.</t>
  </si>
  <si>
    <t xml:space="preserve">Fact: CEO 2026 share sales (agent_3)</t>
  </si>
  <si>
    <t xml:space="preserve">~$51m discretionary, not under 10b5-1</t>
  </si>
  <si>
    <t xml:space="preserve">The Form 4s for the Mar 12, Jun 10 and Jun 12 2026 sales state they were effected under that plan.</t>
  </si>
  <si>
    <t xml:space="preserve">Round-1 feedback sent back to the agents</t>
  </si>
  <si>
    <t xml:space="preserve">What it missed</t>
  </si>
  <si>
    <t xml:space="preserve">Revisit</t>
  </si>
  <si>
    <t xml:space="preserve">agent_1</t>
  </si>
  <si>
    <t xml:space="preserve">• Did not weigh the Sep 30 Wells Fargo traffic-weighted pixel note (~85% of new e-commerce sites with no traffic; e-commerce 'more like a 2027 story'), which bears directly on the FY28 growth you assume (Yahoo/Stocktwits, Sep 30 2026).
• Did not engage with Edgewater's Q4 +8-9% q/q call (24/7 Wall St., Sep 23 2026). It is only ~1-2% below consensus, but it is the main near-term test.
• The Q2 call says the Q3 guide reflects model improvements 'now live' (step-up landed just after quarter-end). That is not quite 'guide excludes unreleased model improvements'; check the transcript wording before treating the guide as conservative.</t>
  </si>
  <si>
    <t xml:space="preserve">Your $382 fair value takes consensus FY27 EPS unchanged, a 17x NTM multiple on ~$23 and 20% FY28 growth while revisions are still negative. Consider a small (3-5%) haircut or a 15-16x multiple. Your ladder is close to the group and needs little change.</t>
  </si>
  <si>
    <t xml:space="preserve">agent_2</t>
  </si>
  <si>
    <t xml:space="preserve">• The Citi/Store Leads 'merchant counts accelerated' point is contradicted on quality by Wells Fargo's traffic-weighted data: the zero-traffic share of new pixel sites rose from ~30% to ~85% (Sep 30 2026). Raw counts should not offset the Edgewater share concern.
• Edgewater's Q4 call (+8-9% q/q, ~$2.25B) is only ~1-2% below consensus revenue, so using it to justify a 5% FY27 EPS haircut and an extra 5% EBITDA haircut partly double-counts.</t>
  </si>
  <si>
    <t xml:space="preserve">Pick one haircut: either the EPS level or the EBITDA spread-compression trim, not both stacked. Your EV/EBITDA leg ($309) is the low outlier for that reason. Industry lane work was good and independent.</t>
  </si>
  <si>
    <t xml:space="preserve">agent_3</t>
  </si>
  <si>
    <t xml:space="preserve">• Wrong fact: the CEO's 2026 sales were made under a Rule 10b5-1 plan adopted Mar 3 2026 (Form 4s for Mar 12, Jun 10 and Jun 12 sales), not outside one. The plan was adopted inside the class period, which plaintiffs may cite, but this is weaker scienter evidence than you implied.
• The SEC inquiry closed with no recommended action (CFO on the Aug 5 2026 call), and the Q2 10-Q discloses no SEC or state-AG matter. Your bear case's 'revived regulatory issue' should carry less weight.
• Edgewater's Q4 gap to consensus is ~1-2% of revenue, which does not support an 8% FY27 EPS cut by itself.</t>
  </si>
  <si>
    <t xml:space="preserve">Reconsider the 8% EPS haircut (perhaps 4-5%) and the governance discount in the bear case. Your $205 thesis break is the highest of the group; given the closed SEC probe and ~$0.46B net debt, $185-195 may be more defensible.</t>
  </si>
  <si>
    <t xml:space="preserve">agent_4</t>
  </si>
  <si>
    <t xml:space="preserve">• Your right tail is far thinner than the rest (P&gt;=703 = 0.014 vs 0.045-0.071; P&gt;=563 = 0.06 vs 0.10-0.14). APP's own 2023 rebound (~+280%) and Meta 2023 (+194%) show profitable ad platforms at low-teens P/E can re-rate fast once revisions turn.
• The Muddy Waters incrementality critique in your bear story is an old short report, and the SEC probe that followed closed with no action (Aug 2026). Treat it as background, not a live driver.</t>
  </si>
  <si>
    <t xml:space="preserve">Revisit the inner sigmas of your scenario mixture (25-35%). They clip the far tails relative to 60-75% realized vol. Your alt-data lane (Wells Fargo traffic-weighted pixel work) was the most decision-useful finding in this round; keep it.</t>
  </si>
  <si>
    <t xml:space="preserve">agent_5</t>
  </si>
  <si>
    <t xml:space="preserve">• Wrong fact: the SEC data-practices inquiry is closed with no recommended action (CFO on the Aug 5 2026 Q2 call; AdTechRadar Aug 5 2026). The Q2 10-Q discloses no live SEC matter. Your catalyst 'resolution or escalation of the SEC Cyber and Emerging Technologies Unit probe' and the 'material adverse SEC action' in your bear case rest on a stale premise.
• The Polymarket inputs (Oct FOMC hike 24.5%, recession-by-2027 at 34.5% on ~$9.7K volume) are thin or indirect. The recession market in particular is too illiquid to move a number.</t>
  </si>
  <si>
    <t xml:space="preserve">Remove the SEC escalation from the bear story and catalysts, and reweigh the bear probability (30%) accordingly. The Mauboussin and TTD/Meta base rates are useful; keep them, but cite the primary study rather than secondary summaries where possible.</t>
  </si>
  <si>
    <t xml:space="preserve">Sizing</t>
  </si>
  <si>
    <t xml:space="preserve">max weight pct</t>
  </si>
  <si>
    <t xml:space="preserve">confidence</t>
  </si>
  <si>
    <t xml:space="preserve">conviction label before</t>
  </si>
  <si>
    <t xml:space="preserve">low</t>
  </si>
  <si>
    <t xml:space="preserve">conviction label reason</t>
  </si>
  <si>
    <t xml:space="preserve">The checked evidence gives a modest expected-return edge (fair value about $322, about +14%), but at about 70-75% realized volatility no fact I verified shows a clear edge over SPY per unit of risk: the stock needs a gain of roughly 30%+ (to about $365) to win on Sharpe, and the ladder gives that only about 0.36.</t>
  </si>
  <si>
    <t xml:space="preserve">entry</t>
  </si>
  <si>
    <t xml:space="preserve">2 tranches: half after the Q3 2026 print and Q4 guide (likely Nov 4), half after the Q4 report in Feb 2027 if the guide holds and revisions stop falling</t>
  </si>
  <si>
    <t xml:space="preserve">overlap</t>
  </si>
  <si>
    <t xml:space="preserve">GOOGL (digital ad demand and AI ad tooling; Google AdMob is a direct mediation/network competitor), and to a lesser degree BKNG (performance-marketing spend) and AVGO/NFLX (high-beta growth/AI sentiment)</t>
  </si>
  <si>
    <t xml:space="preserve">reason</t>
  </si>
  <si>
    <t xml:space="preserve">Realized vol is about 75%, with several 5-20% one-day gaps this year, and the Q3 print lands in about 5 weeks. Revisions are still negative, two securities class actions are pending (the CEO's discretionary sales inside the class period make them somewhat stronger), and Unity competition is escalating. The valuation support is real but conviction is low, so cap at about 2.5% of the about $10k portfolio, slightly below the round-1 3%.</t>
  </si>
  <si>
    <t xml:space="preserve">APP sources</t>
  </si>
  <si>
    <t xml:space="preserve">Every source the forecasters and the supervisor cited. IDs: A1.3 = agent 1, source 3; S.2 = supervisor, source 2; X.4 = found by the supervisor for an assumption the agent left unsourced.</t>
  </si>
  <si>
    <t xml:space="preserve">Cited by</t>
  </si>
  <si>
    <t xml:space="preserve">Title</t>
  </si>
  <si>
    <t xml:space="preserve">Date</t>
  </si>
  <si>
    <t xml:space="preserve">Link</t>
  </si>
  <si>
    <t xml:space="preserve">A1.1</t>
  </si>
  <si>
    <t xml:space="preserve">AppLovin 8-K Ex.99.1: Second Quarter 2026 Financial Results (Q3 2026 guidance)</t>
  </si>
  <si>
    <t xml:space="preserve">2026-08-05</t>
  </si>
  <si>
    <t xml:space="preserve">https://www.sec.gov/Archives/edgar/data/0001751008/000175100826000057/exhibit991-2q26earningspre.htm</t>
  </si>
  <si>
    <t xml:space="preserve">A1.2</t>
  </si>
  <si>
    <t xml:space="preserve">AppLovin Form 10-Q for quarter ended June 30, 2026 (balance sheet, cash taxes paid, repurchase table, NRPI/installs, litigation)</t>
  </si>
  <si>
    <t xml:space="preserve">https://www.sec.gov/Archives/edgar/data/1751008/000175100826000059/app-20260630.htm</t>
  </si>
  <si>
    <t xml:space="preserve">A1.3</t>
  </si>
  <si>
    <t xml:space="preserve">AppLovin Q2 2026 earnings call transcript (Equibles)</t>
  </si>
  <si>
    <t xml:space="preserve">https://equibles.com/stocks/app/calls/2026-q2</t>
  </si>
  <si>
    <t xml:space="preserve">A1.4</t>
  </si>
  <si>
    <t xml:space="preserve">Earnings call transcript: AppLovin Q2 2026 (Investing.com)</t>
  </si>
  <si>
    <t xml:space="preserve">https://www.investing.com/news/transcripts/earnings-call-transcript-applovin-slips-on-q2-revenue-miss-shares-fall-16-in-q2-2026-93CH-4839615</t>
  </si>
  <si>
    <t xml:space="preserve">A1.5</t>
  </si>
  <si>
    <t xml:space="preserve">AppLovin 8-K Ex.99.1: First Quarter 2026 Financial Results</t>
  </si>
  <si>
    <t xml:space="preserve">2026-05-06</t>
  </si>
  <si>
    <t xml:space="preserve">https://www.sec.gov/Archives/edgar/data/0001751008/000175100826000042/exhibit991-1q26earningspre.htm</t>
  </si>
  <si>
    <t xml:space="preserve">A1.6</t>
  </si>
  <si>
    <t xml:space="preserve">AppLovin 8-K: CTO and CLO transitions, independent chair appointed</t>
  </si>
  <si>
    <t xml:space="preserve">2026-04-02</t>
  </si>
  <si>
    <t xml:space="preserve">https://www.sec.gov/Archives/edgar/data/1751008/000175100826000014/app-20260402.htm</t>
  </si>
  <si>
    <t xml:space="preserve">A1.7</t>
  </si>
  <si>
    <t xml:space="preserve">Form 4 filings by CEO, CFO, CTO, CLO (tax-withholding only, $308.77) and director gifts, Aug 2026</t>
  </si>
  <si>
    <t xml:space="preserve">2026-08-21</t>
  </si>
  <si>
    <t xml:space="preserve">https://www.sec.gov/cgi-bin/browse-edgar?action=getcompany&amp;CIK=0001751008&amp;type=4</t>
  </si>
  <si>
    <t xml:space="preserve">A1.8</t>
  </si>
  <si>
    <t xml:space="preserve">AppLovin S-3ASR universal shelf registration</t>
  </si>
  <si>
    <t xml:space="preserve">https://www.sec.gov/Archives/edgar/data/1751008/000175100826000047/s-3asr.htm</t>
  </si>
  <si>
    <t xml:space="preserve">A1.9</t>
  </si>
  <si>
    <t xml:space="preserve">SEC EDGAR submissions index for AppLovin (CIK 1751008)</t>
  </si>
  <si>
    <t xml:space="preserve">2026-10-02</t>
  </si>
  <si>
    <t xml:space="preserve">https://data.sec.gov/submissions/CIK0001751008.json</t>
  </si>
  <si>
    <t xml:space="preserve">A1.10</t>
  </si>
  <si>
    <t xml:space="preserve">AppLovin 8-K Ex.99.1: Fourth Quarter and Full Year 2025 Financial Results</t>
  </si>
  <si>
    <t xml:space="preserve">2026-02-11</t>
  </si>
  <si>
    <t xml:space="preserve">https://www.sec.gov/Archives/edgar/data/1751008/000175100826000005/exhibit991-4q25earningspre.htm</t>
  </si>
  <si>
    <t xml:space="preserve">Alpha Vantage consensus earnings estimates for APP (FY26/FY27 EPS and revenue, revision counts)</t>
  </si>
  <si>
    <t xml:space="preserve">https://www.alphavantage.co/query?function=EARNINGS_ESTIMATES&amp;symbol=APP</t>
  </si>
  <si>
    <t xml:space="preserve">A1.12</t>
  </si>
  <si>
    <t xml:space="preserve">Twelve Data weekly OHLCV for APP, May-Sep 2026</t>
  </si>
  <si>
    <t xml:space="preserve">https://twelvedata.com/</t>
  </si>
  <si>
    <t xml:space="preserve">TIKR: AppLovin Stock Is Down 54% in 2026 and Facing a Class Action (analyst target trend, Citi merchant count, Meta Horizon)</t>
  </si>
  <si>
    <t xml:space="preserve">2026-09-26</t>
  </si>
  <si>
    <t xml:space="preserve">https://www.tikr.com/blog/applovin-stock-is-down-54-in-2026-and-facing-a-class-action-heres-where-it-could-go</t>
  </si>
  <si>
    <t xml:space="preserve">A1.14</t>
  </si>
  <si>
    <t xml:space="preserve">Pomerantz: class action filed against AppLovin (N.D. Cal. 26-cv-10584, class period 2/12/26-8/5/26, lead plaintiff deadline 11/16/26)</t>
  </si>
  <si>
    <t xml:space="preserve">2026-09-29</t>
  </si>
  <si>
    <t xml:space="preserve">https://www.globenewswire.com/news-release/2026/09/29/3371339/1087/en/pomerantz-law-firm-announces-the-filing-of-a-class-action-against-applovin-corporation-and-certain-officers-app.html</t>
  </si>
  <si>
    <t xml:space="preserve">A1.15</t>
  </si>
  <si>
    <t xml:space="preserve">Stock Observer: Why Is AppLovin Stock Down 54% This Year?</t>
  </si>
  <si>
    <t xml:space="preserve">2026-09-28</t>
  </si>
  <si>
    <t xml:space="preserve">https://www.thestockobserver.com/2026/09/28/why-is-applovin-corporation-nasdaq-app-stock-down-54-this-year.html</t>
  </si>
  <si>
    <t xml:space="preserve">A1.16</t>
  </si>
  <si>
    <t xml:space="preserve">Motley Fool: Why AppLovin Stock Fell 24% in the First Half of 2026 (plus July BofA e-commerce sign-up note)</t>
  </si>
  <si>
    <t xml:space="preserve">2026-07-22</t>
  </si>
  <si>
    <t xml:space="preserve">https://www.fool.com/investing/2026/07/22/why-applovin-stock-fell-24-in-the-first-half-of-20/</t>
  </si>
  <si>
    <t xml:space="preserve">A1.17</t>
  </si>
  <si>
    <t xml:space="preserve">BigGo Finance: APP Q2 2026 earnings call summary (step-up live after quarter end; Q3 outlook embeds deployed improvements)</t>
  </si>
  <si>
    <t xml:space="preserve">https://finance.biggo.com/news/US_APP_2026-08-05</t>
  </si>
  <si>
    <t xml:space="preserve">A1.18</t>
  </si>
  <si>
    <t xml:space="preserve">Stocktwits/Yahoo: APP Stock Hits Fresh 52-Week Low After Wells Fargo Calls Pixel Install Spike 'A False Start'</t>
  </si>
  <si>
    <t xml:space="preserve">2026-09-30</t>
  </si>
  <si>
    <t xml:space="preserve">https://finance.yahoo.com/markets/stocks/articles/app-stock-hits-fresh-52-212057952.html</t>
  </si>
  <si>
    <t xml:space="preserve">A1.19</t>
  </si>
  <si>
    <t xml:space="preserve">24/7 Wall St.: AppLovin Drops 5% as Edgewater Warns Market Share Growth Has Stalled</t>
  </si>
  <si>
    <t xml:space="preserve">2026-09-23</t>
  </si>
  <si>
    <t xml:space="preserve">https://247wallst.com/investing/2026/09/23/applovin-drops-5-as-edgewater-warns-market-share-growth-has-stalled-magnite-slips-trade-desk-slips-3/</t>
  </si>
  <si>
    <t xml:space="preserve">A1.20</t>
  </si>
  <si>
    <t xml:space="preserve">Business Wire: AppLovin to Announce Second Quarter 2026 Results (date-announcement timing precedent)</t>
  </si>
  <si>
    <t xml:space="preserve">2026-07-01</t>
  </si>
  <si>
    <t xml:space="preserve">https://www.businesswire.com/news/home/20260701336632/en/AppLovin-to-Announce-Second-Quarter-2026-Results</t>
  </si>
  <si>
    <t xml:space="preserve">AppLovin Q2 2026 earnings press release (Form 8-K Ex. 99.1)</t>
  </si>
  <si>
    <t xml:space="preserve">AppLovin (NASDAQ:APP) Misses Q2 CY2026 Revenue Estimates, Stock Drops 21% / Q2 recap incl. FCF and FCF-conversion commentary</t>
  </si>
  <si>
    <t xml:space="preserve">https://finance.yahoo.com/markets/stocks/articles/applovin-nasdaq-app-misses-q2-203826929.html</t>
  </si>
  <si>
    <t xml:space="preserve">Alpha Vantage EARNINGS_ESTIMATES for APP (FY2026/FY2027 consensus EPS and revenue, revision trend)</t>
  </si>
  <si>
    <t xml:space="preserve">https://www.alphavantage.co/</t>
  </si>
  <si>
    <t xml:space="preserve">A2.4</t>
  </si>
  <si>
    <t xml:space="preserve">Edgewater Research: AppLovin growth hitting a ceiling (24/7 Wall St.)</t>
  </si>
  <si>
    <t xml:space="preserve">A2.5</t>
  </si>
  <si>
    <t xml:space="preserve">APP stock drops after Edgewater says growth stalled; Citi sees rapid e-commerce client expansion (Store Leads counts)</t>
  </si>
  <si>
    <t xml:space="preserve">https://stocktwits.com/news-articles/markets/equity/app-stock-drops-edgewater-says-app-lovin-growth-has-stalled-citi-sees-rapid-client-expansion/cZMEyuMRBJo</t>
  </si>
  <si>
    <t xml:space="preserve">A2.6</t>
  </si>
  <si>
    <t xml:space="preserve">Unity Reports Second Quarter 2026 Financial Results</t>
  </si>
  <si>
    <t xml:space="preserve">2026-08-06</t>
  </si>
  <si>
    <t xml:space="preserve">https://investors.unity.com/news/news-details/2026/Unity-Reports-Second-Quarter-2026-Financial-Results/default.aspx</t>
  </si>
  <si>
    <t xml:space="preserve">A2.7</t>
  </si>
  <si>
    <t xml:space="preserve">Unity Q2 2026 earnings call: Vector +23% QoQ, Q3 Vector guide +19-21% QoQ (BigGo Finance)</t>
  </si>
  <si>
    <t xml:space="preserve">https://finance.biggo.com/news/US_U_2026-08-06</t>
  </si>
  <si>
    <t xml:space="preserve">A2.8</t>
  </si>
  <si>
    <t xml:space="preserve">Sensor Tower: Mobile Game Ad Monetization in 2026 (GameDev Reports)</t>
  </si>
  <si>
    <t xml:space="preserve">2026-06</t>
  </si>
  <si>
    <t xml:space="preserve">https://gamedevreports.substack.com/p/sensor-tower-mobile-game-ad-monetization</t>
  </si>
  <si>
    <t xml:space="preserve">A2.9</t>
  </si>
  <si>
    <t xml:space="preserve">In 2025, mobile game advertising revenue exceeded $12 billion: network share data (Game World Observer)</t>
  </si>
  <si>
    <t xml:space="preserve">2026-07-06</t>
  </si>
  <si>
    <t xml:space="preserve">https://gameworldobserver.com/2026/07/06/in-2025-mobile-game-advertising-revenue-exceeded-12-billion-analytics</t>
  </si>
  <si>
    <t xml:space="preserve">A2.10</t>
  </si>
  <si>
    <t xml:space="preserve">Sensor Tower H1 2026 Gaming Market Index (IAP -2%, downloads -12%, gaming ad spend +8%)</t>
  </si>
  <si>
    <t xml:space="preserve">2026-07</t>
  </si>
  <si>
    <t xml:space="preserve">https://sensortower.com/blog/h1-2026-digital-gaming-market-index</t>
  </si>
  <si>
    <t xml:space="preserve">A2.11</t>
  </si>
  <si>
    <t xml:space="preserve">Liftoff Mobile Q2 2026 results / FY2026 guidance (Seeking Alpha news)</t>
  </si>
  <si>
    <t xml:space="preserve">2026-08-12</t>
  </si>
  <si>
    <t xml:space="preserve">https://seekingalpha.com/news/4632027-liftoff-forecasts-870m-880m-2026-revenue-as-it-guides-to-59-percent-adjusted-ebitda-margin</t>
  </si>
  <si>
    <t xml:space="preserve">A2.12</t>
  </si>
  <si>
    <t xml:space="preserve">Liftoff Mobile Q2 2026 earnings release (Form 8-K)</t>
  </si>
  <si>
    <t xml:space="preserve">https://www.sec.gov/Archives/edgar/data/0001850351/000162828026056173/fy26q2earningsrelease.htm</t>
  </si>
  <si>
    <t xml:space="preserve">A2.13</t>
  </si>
  <si>
    <t xml:space="preserve">Liftoff Mobile launches IPO roadshow targeting $3.66B valuation (ECIKS)</t>
  </si>
  <si>
    <t xml:space="preserve">2026-05</t>
  </si>
  <si>
    <t xml:space="preserve">https://eciks.org/6504-13668-liftoff-mobile-launches-ipo-roadshow-targeting-3-66b-valuation-on-nasdaq</t>
  </si>
  <si>
    <t xml:space="preserve">A2.14</t>
  </si>
  <si>
    <t xml:space="preserve">Digital Turbine fiscal Q1 2027 results: App Growth Platform +56% (PR Newswire)</t>
  </si>
  <si>
    <t xml:space="preserve">2026-08-11</t>
  </si>
  <si>
    <t xml:space="preserve">https://www.prnewswire.com/news-releases/digital-turbine-reports-strong-fiscal-2027-first-quarter-financial-results-and-raises-full-year-guidance-302842847.html</t>
  </si>
  <si>
    <t xml:space="preserve">A2.15</t>
  </si>
  <si>
    <t xml:space="preserve">AppLovin gains e-commerce ad share, Jefferies survey of 30 web advertisers (Yahoo Finance)</t>
  </si>
  <si>
    <t xml:space="preserve">https://finance.yahoo.com/media-advertising/articles/applovin-gains-e-commerce-ad-161100854.html</t>
  </si>
  <si>
    <t xml:space="preserve">A2.16</t>
  </si>
  <si>
    <t xml:space="preserve">AppLovin Axon goes self-serve in June 2026: what e-commerce brands need (Common Thread Collective agency)</t>
  </si>
  <si>
    <t xml:space="preserve">https://commonthreadco.com/blogs/coachs-corner/applovin-axon-self-serve-ecommerce-june-2026</t>
  </si>
  <si>
    <t xml:space="preserve">A2.17</t>
  </si>
  <si>
    <t xml:space="preserve">Gaming stocks fall after Meta unveils AI game-building tools (Investing.com)</t>
  </si>
  <si>
    <t xml:space="preserve">2026-09-24</t>
  </si>
  <si>
    <t xml:space="preserve">https://za.investing.com/news/stock-market-news/gaming-stocks-fall-after-meta-unveils-ai-gamebuilding-tools-4477190</t>
  </si>
  <si>
    <t xml:space="preserve">AppLovin stock is down 54% in 2026 and facing a class action (TIKR): analyst rating mix, mean target ~$498, NTM FCF yield ~6%</t>
  </si>
  <si>
    <t xml:space="preserve">A2.19</t>
  </si>
  <si>
    <t xml:space="preserve">BFA Law: APP stock drop alert, class action (Feb 12-Aug 5 2026 class period, Nov 16 lead-plaintiff deadline)</t>
  </si>
  <si>
    <t xml:space="preserve">2026-09-25</t>
  </si>
  <si>
    <t xml:space="preserve">https://www.globenewswire.com/news-release/2026/09/25/3369014/0/en/app-stock-drop-alert-applovin-stock-plummets-20-after-ai-progress-issues-revealed-bfa-law-notifies-investors-of-the-imminent-november-16-deadline.html</t>
  </si>
  <si>
    <t xml:space="preserve">A2.20</t>
  </si>
  <si>
    <t xml:space="preserve">Trefis: AppLovin stock extends 7-day losing streak to 12% loss</t>
  </si>
  <si>
    <t xml:space="preserve">2026-10-01</t>
  </si>
  <si>
    <t xml:space="preserve">https://www.trefis.com/stock/app/articles/617272/applovin-stock-extends-a-7-day-losing-streak-to-a-12-loss/2026-10-01</t>
  </si>
  <si>
    <t xml:space="preserve">A2.21</t>
  </si>
  <si>
    <t xml:space="preserve">TipRanks: AppLovin earnings dates (Q3 2026 estimated ~Nov 11, unconfirmed)</t>
  </si>
  <si>
    <t xml:space="preserve">2026-10</t>
  </si>
  <si>
    <t xml:space="preserve">https://www.tipranks.com/stocks/app/earnings</t>
  </si>
  <si>
    <t xml:space="preserve">A2.22</t>
  </si>
  <si>
    <t xml:space="preserve">Stocktwits/Yahoo: APP hits fresh 52-week low after Wells Fargo calls pixel install spike 'a false start' (85% of new pixel sites zero traffic vs ~30% pre-June; e-commerce 'more like a 2027 story'; EW, $325 PT)</t>
  </si>
  <si>
    <t xml:space="preserve">A2.23</t>
  </si>
  <si>
    <t xml:space="preserve">MobileGamer.biz: AppLovin sues Unity over alleged data collection through its Ad Quality SDK</t>
  </si>
  <si>
    <t xml:space="preserve">https://mobilegamer.biz/applovin-sues-unity-over-alleged-data-collection-through-its-ad-quality-sdk/</t>
  </si>
  <si>
    <t xml:space="preserve">A2.24</t>
  </si>
  <si>
    <t xml:space="preserve">PPC Land: AppLovin sues Unity to halt Ad Quality data collection within 5 business days (five causes of action, JAMS arbitration, TRO hearing)</t>
  </si>
  <si>
    <t xml:space="preserve">https://ppc.land/applovin-sues-unity-to-halt-ad-quality-data-collection-within-5-business-days/</t>
  </si>
  <si>
    <t xml:space="preserve">A2.25</t>
  </si>
  <si>
    <t xml:space="preserve">Pulse 2.0: Unity Strategic Grow revenue targets up to $385M in Q3 as Vector drives 68-70% growth</t>
  </si>
  <si>
    <t xml:space="preserve">2026-08</t>
  </si>
  <si>
    <t xml:space="preserve">https://pulse2.com/unity-strategic-grow-revenue-targets-up-to-385-million-in-q3-as-vector-ai-drives-68-to-70-growth/</t>
  </si>
  <si>
    <t xml:space="preserve">A2.26</t>
  </si>
  <si>
    <t xml:space="preserve">Tradingpedia: AppLovin dips as analyst warns ad growth may be stalling (Edgewater: August improvement 'spotty', rebound from weak July)</t>
  </si>
  <si>
    <t xml:space="preserve">https://www.tradingpedia.com/2026/09/23/applovin-dips-as-analyst-warns-ad-growth-may-be-stalling/</t>
  </si>
  <si>
    <t xml:space="preserve">A2.27</t>
  </si>
  <si>
    <t xml:space="preserve">Benzinga via TradingView: AppLovin stock falls to 52-week low (Unity TRO filing, technical breakdown)</t>
  </si>
  <si>
    <t xml:space="preserve">https://www.tradingview.com/news/benzinga:2a82193f6094b:0-applovin-stock-falls-to-52-week-low-what-s-happening/</t>
  </si>
  <si>
    <t xml:space="preserve">A3.1</t>
  </si>
  <si>
    <t xml:space="preserve">AppLovin Announces Second Quarter 2026 Financial Results (press release, Aug 5 2026)</t>
  </si>
  <si>
    <t xml:space="preserve">https://s21.q4cdn.com/165405286/files/doc_financials/2026/q2/AppLovin-2Q26-Earnings-Press-Release.pdf</t>
  </si>
  <si>
    <t xml:space="preserve">A3.2</t>
  </si>
  <si>
    <t xml:space="preserve">AppLovin Form 10-Q for quarter ended June 30, 2026 (legal proceedings, buyback authorization, share count, debt)</t>
  </si>
  <si>
    <t xml:space="preserve">A3.3</t>
  </si>
  <si>
    <t xml:space="preserve">Earnings call transcript: AppLovin slips on Q2 revenue miss, shares fall 16%</t>
  </si>
  <si>
    <t xml:space="preserve">Alpha Vantage EARNINGS_ESTIMATES for APP (FY2026/FY2027 EPS and revenue consensus, revision counts)</t>
  </si>
  <si>
    <t xml:space="preserve">A3.5</t>
  </si>
  <si>
    <t xml:space="preserve">Alpha Vantage INSIDER_TRANSACTIONS for APP since 2026-05-01 (Form 4 sales by CEO, CTO, directors)</t>
  </si>
  <si>
    <t xml:space="preserve">AppLovin Stock Is Down 54% in 2026 and Facing a Class Action. Here's Where It Could Go (TIKR)</t>
  </si>
  <si>
    <t xml:space="preserve">A3.7</t>
  </si>
  <si>
    <t xml:space="preserve">Kaplan Fox: AppLovin class action, lead-plaintiff deadline November 16, 2026 (class period Feb 12 - Aug 5, 2026)</t>
  </si>
  <si>
    <t xml:space="preserve">https://www.globenewswire.com/news-release/2026/09/30/3372254/1020/en/kaplan-fox-urges-investors-of-applovin-corporation-nasdaq-app-with-significant-losses-to-seek-a-leadership-role-before-november-16-2026.html</t>
  </si>
  <si>
    <t xml:space="preserve">A3.8</t>
  </si>
  <si>
    <t xml:space="preserve">AppLovin's Real Problem Isn't Revenue (BofA downgrade to Neutral, Aug 11 2026)</t>
  </si>
  <si>
    <t xml:space="preserve">https://finance.yahoo.com/markets/stocks/articles/applovin-real-problem-isn-t-112602774.html</t>
  </si>
  <si>
    <t xml:space="preserve">A3.9</t>
  </si>
  <si>
    <t xml:space="preserve">APP Maintained by Piper Sandler -- Price Target Lowered to $325 (multiple cut to ~18x from 20x)</t>
  </si>
  <si>
    <t xml:space="preserve">https://www.gurufocus.com/news/9047961/app-maintained-by-piper-sandler-price-target-lowered-to-325</t>
  </si>
  <si>
    <t xml:space="preserve">A3.10</t>
  </si>
  <si>
    <t xml:space="preserve">AppLovin Drops 5% as Edgewater Warns Market Share Growth Has Stalled (24/7 Wall St.)</t>
  </si>
  <si>
    <t xml:space="preserve">A3.11</t>
  </si>
  <si>
    <t xml:space="preserve">Why is AppLovin stock slipping today? (Wells Fargo: ~85% of new e-commerce pixel sites show no traffic; EW, $325 PT)</t>
  </si>
  <si>
    <t xml:space="preserve">https://www.investing.com/news/stock-market-news/why-is-applovin-stock-slipping-today-93CH-4924597</t>
  </si>
  <si>
    <t xml:space="preserve">A3.12</t>
  </si>
  <si>
    <t xml:space="preserve">AppLovin demands short-seller CapitalWatch retract 'conspiratorial' report (CNBC)</t>
  </si>
  <si>
    <t xml:space="preserve">2026-01-27</t>
  </si>
  <si>
    <t xml:space="preserve">https://www.cnbc.com/2026/01/27/applovin-short-seller-capitalwatch-report.html</t>
  </si>
  <si>
    <t xml:space="preserve">A3.13</t>
  </si>
  <si>
    <t xml:space="preserve">AppLovin's stock pops 14% after short seller CapitalWatch apologizes, retracts report on shareholder (CNBC)</t>
  </si>
  <si>
    <t xml:space="preserve">2026-02-09</t>
  </si>
  <si>
    <t xml:space="preserve">https://www.cnbc.com/2026/02/09/short-seller-capitalwatch-retraction-applovin-hao-tang.html</t>
  </si>
  <si>
    <t xml:space="preserve">A3.14</t>
  </si>
  <si>
    <t xml:space="preserve">AppLovin Plunges 8% as Short Sellers Circle (insider selling pattern, 24/7 Wall St.)</t>
  </si>
  <si>
    <t xml:space="preserve">2026-03-26</t>
  </si>
  <si>
    <t xml:space="preserve">https://247wallst.com/investing/2026/03/26/applovin-plunges-8-as-short-sellers-circle-is-apps-ai-growth-story-under-threat/</t>
  </si>
  <si>
    <t xml:space="preserve">A3.15</t>
  </si>
  <si>
    <t xml:space="preserve">AppLovin sinks amid report that multiple state regulators are looking into its data collection practices (Sherwood)</t>
  </si>
  <si>
    <t xml:space="preserve">2025</t>
  </si>
  <si>
    <t xml:space="preserve">https://sherwood.news/markets/applovin-sinks-amid-report-that-multiple-state-regulators-are-looking-into/</t>
  </si>
  <si>
    <t xml:space="preserve">A3.16</t>
  </si>
  <si>
    <t xml:space="preserve">AppLovin: SEC Probe Into Data Collection Practices Lends Some Legitimacy to Short Reports (Morningstar)</t>
  </si>
  <si>
    <t xml:space="preserve">2025-10</t>
  </si>
  <si>
    <t xml:space="preserve">https://www.morningstar.com/stocks/applovin-sec-probe-into-data-collection-practices-lends-some-legitimacy-short-reports</t>
  </si>
  <si>
    <t xml:space="preserve">A3.17</t>
  </si>
  <si>
    <t xml:space="preserve">AppLovin 8-K: $3.55bn senior notes (5.125% 2029, 5.375% 2031, 5.5% 2034, 5.95% 2054)</t>
  </si>
  <si>
    <t xml:space="preserve">2024-12-05</t>
  </si>
  <si>
    <t xml:space="preserve">https://www.sec.gov/Archives/edgar/data/1751008/000119312524271603/d896321d8k.htm</t>
  </si>
  <si>
    <t xml:space="preserve">A3.18</t>
  </si>
  <si>
    <t xml:space="preserve">AppLovin marks IG bond debut (IFR; BBB- S&amp;P/Fitch, Ba1 Moody's)</t>
  </si>
  <si>
    <t xml:space="preserve">2024-11</t>
  </si>
  <si>
    <t xml:space="preserve">https://www.ifre.com/bonds/699608/applovin-marks-ig-bond-debut</t>
  </si>
  <si>
    <t xml:space="preserve">A3.19</t>
  </si>
  <si>
    <t xml:space="preserve">AppLovin Stock Extends A 7-Day Losing Streak To A 12% Loss (Trefis)</t>
  </si>
  <si>
    <t xml:space="preserve">A3.20</t>
  </si>
  <si>
    <t xml:space="preserve">AppLovin 8-K: CTO and legal succession, independent chair (StockTitan)</t>
  </si>
  <si>
    <t xml:space="preserve">2026</t>
  </si>
  <si>
    <t xml:space="preserve">https://www.stocktitan.net/sec-filings/APP/8-k-app-lovin-corp-reports-material-event-5d751427e0dd.html</t>
  </si>
  <si>
    <t xml:space="preserve">A3.21</t>
  </si>
  <si>
    <t xml:space="preserve">AppLovin Insider Sold Shares Worth $11,158,868 (Foroughi, June 2026, not under 10b5-1)</t>
  </si>
  <si>
    <t xml:space="preserve">https://www.marketscreener.com/news/applovin-insider-sold-shares-worth-11-158-868-according-to-a-recent-sec-filing-ce7f5cded88df423</t>
  </si>
  <si>
    <t xml:space="preserve">A3.22</t>
  </si>
  <si>
    <t xml:space="preserve">Unity Gains on Vector Momentum: How to Play the Stock in 2H26? (Zacks)</t>
  </si>
  <si>
    <t xml:space="preserve">https://www.tradingview.com/news/zacks:7655f0236094b:0-unity-gains-on-vector-momentum-how-to-play-the-stock-in-2h26/</t>
  </si>
  <si>
    <t xml:space="preserve">A3.23</t>
  </si>
  <si>
    <t xml:space="preserve">AppLovin (APP) Earnings Dates (TipRanks; Q3 2026 report expected Nov 11, after close)</t>
  </si>
  <si>
    <t xml:space="preserve">A3.24</t>
  </si>
  <si>
    <t xml:space="preserve">AppLovin: The AI Advertising Engine Nobody Fully Understands Yet (Substack; regulatory/data-practice and gaming-concentration risks)</t>
  </si>
  <si>
    <t xml:space="preserve">https://rolfstrasse.substack.com/p/applovin-the-ai-advertising-engine</t>
  </si>
  <si>
    <t xml:space="preserve">A3.25</t>
  </si>
  <si>
    <t xml:space="preserve">AdTechRadar: AppLovin Says SEC Inquiry Closed With No Action (CFO on Q2 2026 call)</t>
  </si>
  <si>
    <t xml:space="preserve">https://adtechradar.com/2026/08/05/applovin-sec-inquiry-q2-2026-earnings/</t>
  </si>
  <si>
    <t xml:space="preserve">A3.26</t>
  </si>
  <si>
    <t xml:space="preserve">SEC Form 4, A. Foroughi, filed 2026-06-12 (acc. 0001848395-26-000010): Jun 10-11 sales; Rule 10b5-1 checkbox = false; no 10b5-1 footnote</t>
  </si>
  <si>
    <t xml:space="preserve">2026-06-12</t>
  </si>
  <si>
    <t xml:space="preserve">https://www.sec.gov/Archives/edgar/data/1751008/000184839526000010/primarydocument.xml</t>
  </si>
  <si>
    <t xml:space="preserve">A3.27</t>
  </si>
  <si>
    <t xml:space="preserve">SEC Form 4, A. Foroughi, filed 2026-06-12 (acc. 0001848395-26-000011 and -000012): Jun 11-12 sales; Rule 10b5-1 checkbox = false</t>
  </si>
  <si>
    <t xml:space="preserve">https://www.sec.gov/Archives/edgar/data/1751008/000184839526000012/primarydocument.xml</t>
  </si>
  <si>
    <t xml:space="preserve">A3.28</t>
  </si>
  <si>
    <t xml:space="preserve">SEC Form 144 notices for Jun 10-12 2026 sales (JAF Children's Trust 20,833 sh; Foroughi 41,666 + 41,667 sh); no 10b5-1 plan remark, unlike director Vivas's Mar 2026 Form 144 citing a 10b5-1 plan dated 12/10/2025</t>
  </si>
  <si>
    <t xml:space="preserve">2026-06-11</t>
  </si>
  <si>
    <t xml:space="preserve">https://www.sec.gov/Archives/edgar/data/1751008/000195004726005915/primary_doc.xml</t>
  </si>
  <si>
    <t xml:space="preserve">A3.29</t>
  </si>
  <si>
    <t xml:space="preserve">A3.30</t>
  </si>
  <si>
    <t xml:space="preserve">PR Newswire: securities class action reminder (class period Feb 12 - Aug 5 2026; allegations on AI-model improvement and gen-AI video tool status; lead-plaintiff deadline Nov 16)</t>
  </si>
  <si>
    <t xml:space="preserve">https://www.prnewswire.com/news-releases/applovin-legal-alert-applovin-app-investors-who-lost-money-are-notified-of-the-upcoming-deadline-in-the-ongoing-securities-fraud-class-action-302891831.html</t>
  </si>
  <si>
    <t xml:space="preserve">AppLovin Q2 2026 earnings press release (8-K Exhibit 99.1)</t>
  </si>
  <si>
    <t xml:space="preserve">A4.2</t>
  </si>
  <si>
    <t xml:space="preserve">APP Stock Drop Alert: AppLovin Stock Plummets 20% after AI Progress Issues Revealed (BFA Law)</t>
  </si>
  <si>
    <t xml:space="preserve">Alpha Vantage earnings estimates for APP (FY2026/FY2027 EPS and revenue consensus, revisions)</t>
  </si>
  <si>
    <t xml:space="preserve">AppLovin Stock Is Down 54% in 2026 and Facing a Class Action (TIKR)</t>
  </si>
  <si>
    <t xml:space="preserve">A4.5</t>
  </si>
  <si>
    <t xml:space="preserve">Sensor Tower: Mobile Game Ad Monetization in 2026 (GameDev Reports Substack)</t>
  </si>
  <si>
    <t xml:space="preserve">A4.6</t>
  </si>
  <si>
    <t xml:space="preserve">APP Stock Hits Fresh 52-Week Low After Wells Fargo Calls Pixel Install Spike 'A False Start' (Stocktwits)</t>
  </si>
  <si>
    <t xml:space="preserve">https://stocktwits.com/news-articles/markets/equity/app-stock-hits-fresh-52-week-low-after-wells-fargo-calls-pixel-install-spike-a-false-start/cZMFmvgRBLK</t>
  </si>
  <si>
    <t xml:space="preserve">A4.7</t>
  </si>
  <si>
    <t xml:space="preserve">Wells Fargo Flags Surge in AppLovin's Pixel Adoption Amid Investor Inquiries (GuruFocus)</t>
  </si>
  <si>
    <t xml:space="preserve">2026-09</t>
  </si>
  <si>
    <t xml:space="preserve">https://www.gurufocus.com/news/9103485/wells-fargo-flags-surge-in-applovins-pixel-adoption-amid-investor-inquiries-app</t>
  </si>
  <si>
    <t xml:space="preserve">A4.8</t>
  </si>
  <si>
    <t xml:space="preserve">AppLovin Q2 2026: What the AI Model Pause and Record Ecommerce Spending Mean (Common Thread Collective, agency practitioner blog)</t>
  </si>
  <si>
    <t xml:space="preserve">https://commonthreadco.com/blogs/coachs-corner/applovin-q2-2026-earnings-ecommerce-advertisers</t>
  </si>
  <si>
    <t xml:space="preserve">A4.9</t>
  </si>
  <si>
    <t xml:space="preserve">AppLovin gains e-commerce ad share as advertisers expand platform use, Jefferies survey finds</t>
  </si>
  <si>
    <t xml:space="preserve">2026-07-10</t>
  </si>
  <si>
    <t xml:space="preserve">A4.10</t>
  </si>
  <si>
    <t xml:space="preserve">An eCommerce Marketer's Take on the AppLovin Short Reports (Avenue Z)</t>
  </si>
  <si>
    <t xml:space="preserve">https://avenuez.com/blog/an-ecommerce-marketers-take-on-the-applovin-short-reports/</t>
  </si>
  <si>
    <t xml:space="preserve">A4.11</t>
  </si>
  <si>
    <t xml:space="preserve">AppLovin Stock Lost $40B on $16M Miss While SEC Cleared AXON Data Probe (Tech Times)</t>
  </si>
  <si>
    <t xml:space="preserve">https://www.techtimes.com/articles/323336/20260806/applovin-stock-lost-40b-16m-miss-while-sec-cleared-axon-data-probe.htm</t>
  </si>
  <si>
    <t xml:space="preserve">A4.12</t>
  </si>
  <si>
    <t xml:space="preserve">AppLovin Falls 3% as Wells Fargo Calls Pixel Install Spike a False Start (24/7 Wall St.)</t>
  </si>
  <si>
    <t xml:space="preserve">https://247wallst.com/investing/2026/10/01/applovin-falls-3-as-wells-fargo-calls-pixel-install-spike-a-false-start-trade-desk-sits-out-the-selloff-magnite-dips/</t>
  </si>
  <si>
    <t xml:space="preserve">A4.13</t>
  </si>
  <si>
    <t xml:space="preserve">Unity's Ad-Driven Turnaround (Naavik)</t>
  </si>
  <si>
    <t xml:space="preserve">https://naavik.co/digest/unitys-ad-driven-turnaround/</t>
  </si>
  <si>
    <t xml:space="preserve">A4.14</t>
  </si>
  <si>
    <t xml:space="preserve">APP earnings dates (MarketChameleon)</t>
  </si>
  <si>
    <t xml:space="preserve">https://marketchameleon.com/Overview/APP/Earnings/Earnings-Dates/</t>
  </si>
  <si>
    <t xml:space="preserve">A4.15</t>
  </si>
  <si>
    <t xml:space="preserve">AppLovin Drops 5% as Edgewater Warns Market Share Growth Has Stalled (Yahoo Finance / 24/7 Wall St.)</t>
  </si>
  <si>
    <t xml:space="preserve">https://finance.yahoo.com/markets/stocks/articles/applovin-drops-5-edgewater-warns-134813190.html</t>
  </si>
  <si>
    <t xml:space="preserve">A4.16</t>
  </si>
  <si>
    <t xml:space="preserve">A4.17</t>
  </si>
  <si>
    <t xml:space="preserve">AppLovin app listing on the Shopify App Store (reviews, rating)</t>
  </si>
  <si>
    <t xml:space="preserve">https://apps.shopify.com/applovin</t>
  </si>
  <si>
    <t xml:space="preserve">A4.18</t>
  </si>
  <si>
    <t xml:space="preserve">Unity Vector revenue soars 23% QoQ (BigGo Finance, Q2 2026 call recap)</t>
  </si>
  <si>
    <t xml:space="preserve">A4.19</t>
  </si>
  <si>
    <t xml:space="preserve">AppLovin: 84% EBITDA Margins and Down 58% From ATH. Is It a buy? (Substack)</t>
  </si>
  <si>
    <t xml:space="preserve">https://franklin407.substack.com/p/applovin-deepdive</t>
  </si>
  <si>
    <t xml:space="preserve">A4.20</t>
  </si>
  <si>
    <t xml:space="preserve">AppLovin (APP) earnings date (MarketBeat)</t>
  </si>
  <si>
    <t xml:space="preserve">https://www.marketbeat.com/stocks/NASDAQ/APP/earnings/</t>
  </si>
  <si>
    <t xml:space="preserve">AppLovin Announces Second Quarter 2026 Financial Results (press release PDF)</t>
  </si>
  <si>
    <t xml:space="preserve">TIKR: AppLovin Stock Is Down 54% in 2026 and Facing a Class Action</t>
  </si>
  <si>
    <t xml:space="preserve">Alpha Vantage EARNINGS_ESTIMATES for APP (FY26/FY27 consensus and revision history)</t>
  </si>
  <si>
    <t xml:space="preserve">A5.4</t>
  </si>
  <si>
    <t xml:space="preserve">24/7 Wall St: AppLovin Drops 5% as Edgewater Warns Market Share Growth Has Stalled</t>
  </si>
  <si>
    <t xml:space="preserve">A5.5</t>
  </si>
  <si>
    <t xml:space="preserve">GuruFocus: AppLovin Stock Falls as Edgewater Sees Growth Hitting a Ceiling</t>
  </si>
  <si>
    <t xml:space="preserve">https://www.gurufocus.com/news/9093413/applovin-stock-falls-as-edgewater-sees-growth-hitting-a-ceiling</t>
  </si>
  <si>
    <t xml:space="preserve">A5.6</t>
  </si>
  <si>
    <t xml:space="preserve">AppLovin Form 10-Q for quarter ended June 30, 2026 (legal proceedings, risk factors)</t>
  </si>
  <si>
    <t xml:space="preserve">A5.7</t>
  </si>
  <si>
    <t xml:space="preserve">Alpha Vantage TIME_SERIES_MONTHLY_ADJUSTED for APP (price history 2021-2026, 2022 drawdown and 2023 rebound)</t>
  </si>
  <si>
    <t xml:space="preserve">https://www.alphavantage.co/query?function=TIME_SERIES_MONTHLY_ADJUSTED&amp;symbol=APP</t>
  </si>
  <si>
    <t xml:space="preserve">A5.8</t>
  </si>
  <si>
    <t xml:space="preserve">Mauboussin &amp; Callahan, Drawdowns and Recoveries: Base Rates for Bottoms and Bounces (summary via Edward Conard / A Wealth of Common Sense)</t>
  </si>
  <si>
    <t xml:space="preserve">2025-05</t>
  </si>
  <si>
    <t xml:space="preserve">https://www.edwardconard.com/macro-roundup/btw-1985-and-2024-the-median-drawdown-for-6500-us-stocks-was-85-with-a-duration-of-2-5-years-from-peak-to-trough-and-another-2-5-years-to-recovery-more-than-one-half-of-all-stocks-never-recover-t/</t>
  </si>
  <si>
    <t xml:space="preserve">A5.9</t>
  </si>
  <si>
    <t xml:space="preserve">Motley Fool: Why the Trade Desk Stock Collapsed 68% In 2025 / TTD 2026 performance (P/E 14.2 late Sep 2026)</t>
  </si>
  <si>
    <t xml:space="preserve">2026-01-08</t>
  </si>
  <si>
    <t xml:space="preserve">https://www.fool.com/investing/2026/01/08/why-the-trade-desk-stock-collapsed-68-in-2025/</t>
  </si>
  <si>
    <t xml:space="preserve">A5.10</t>
  </si>
  <si>
    <t xml:space="preserve">CNBC: Meta's stock is wrapping up a record year, spurred by cost cuts that followed a disastrous 2022</t>
  </si>
  <si>
    <t xml:space="preserve">2023-12-18</t>
  </si>
  <si>
    <t xml:space="preserve">https://www.cnbc.com/2023/12/18/metas-stock-wrapping-up-record-year-spurred-by-cost-cuts.html</t>
  </si>
  <si>
    <t xml:space="preserve">A5.11</t>
  </si>
  <si>
    <t xml:space="preserve">Polymarket: Fed Decision in October 2026 (event volume about $22.0M)</t>
  </si>
  <si>
    <t xml:space="preserve">https://polymarket.com/event/fed-decision-in-october</t>
  </si>
  <si>
    <t xml:space="preserve">A5.12</t>
  </si>
  <si>
    <t xml:space="preserve">Polymarket: US recession by end of 2026 (8.5%, vol about $2.2M) / by end of 2027 (34.5%, vol about $9.7K)</t>
  </si>
  <si>
    <t xml:space="preserve">https://polymarket.com/search?q=recession</t>
  </si>
  <si>
    <t xml:space="preserve">A5.13</t>
  </si>
  <si>
    <t xml:space="preserve">Polymarket: US-Iran ceasefire continues through October 31 (59.5%, event vol about $5.4M)</t>
  </si>
  <si>
    <t xml:space="preserve">https://polymarket.com/search?q=iran</t>
  </si>
  <si>
    <t xml:space="preserve">A5.14</t>
  </si>
  <si>
    <t xml:space="preserve">GlobeNewswire / Bleichmar Fonti: APP class action (Talbot v. AppLovin, N.D. Cal. 26-cv-10584), Jul 13 and Aug 6 drops</t>
  </si>
  <si>
    <t xml:space="preserve">A5.15</t>
  </si>
  <si>
    <t xml:space="preserve">Motley Fool / Yahoo: Why AppLovin Stock Fell 24% in the First Half of 2026</t>
  </si>
  <si>
    <t xml:space="preserve">A5.16</t>
  </si>
  <si>
    <t xml:space="preserve">Common Thread Co: AppLovin Q2 2026 - AI Model Pause and Record Ecommerce Spending</t>
  </si>
  <si>
    <t xml:space="preserve">2026-08-07</t>
  </si>
  <si>
    <t xml:space="preserve">A5.17</t>
  </si>
  <si>
    <t xml:space="preserve">TechInformed / NatLawReview: SEC probes AppLovin's data collection (historical; inquiry since closed, see source 20)</t>
  </si>
  <si>
    <t xml:space="preserve">https://natlawreview.com/article/applovin-faces-sec-scrutiny-over-alleged-data-practices</t>
  </si>
  <si>
    <t xml:space="preserve">A5.18</t>
  </si>
  <si>
    <t xml:space="preserve">TipRanks / MarketChameleon: APP next earnings date estimate (Nov 4-11, 2026)</t>
  </si>
  <si>
    <t xml:space="preserve">A5.19</t>
  </si>
  <si>
    <t xml:space="preserve">Manifold Markets search: AppLovin (no active relevant markets)</t>
  </si>
  <si>
    <t xml:space="preserve">https://manifold.markets/search?q=applovin</t>
  </si>
  <si>
    <t xml:space="preserve">A5.20</t>
  </si>
  <si>
    <t xml:space="preserve">AdTechRadar: AppLovin Says SEC Inquiry Closed With No Action</t>
  </si>
  <si>
    <t xml:space="preserve">A5.21</t>
  </si>
  <si>
    <t xml:space="preserve">Yahoo Finance / Bloomberg: SEC probe involving AppLovin still active (FOIA response)</t>
  </si>
  <si>
    <t xml:space="preserve">2026-02-20</t>
  </si>
  <si>
    <t xml:space="preserve">https://uk.finance.yahoo.com/news/sec-probe-involving-applovin-still-201911096.html</t>
  </si>
  <si>
    <t xml:space="preserve">A5.22</t>
  </si>
  <si>
    <t xml:space="preserve">Stocktwits / Yahoo: APP Stock Hits Fresh 52-Week Low After Wells Fargo Calls Pixel Install Spike 'A False Start'</t>
  </si>
  <si>
    <t xml:space="preserve">A5.23</t>
  </si>
  <si>
    <t xml:space="preserve">Investing.com: Wells Fargo reiterates AppLovin stock rating on e-commerce growth analysis</t>
  </si>
  <si>
    <t xml:space="preserve">https://ca.investing.com/news/stock-market-news/wells-fargo-reiterates-applovin-stock-rating-on-ecommerce-growth-analysis-93CH-4859586</t>
  </si>
  <si>
    <t xml:space="preserve">A5.24</t>
  </si>
  <si>
    <t xml:space="preserve">Mauboussin &amp; Callahan, Drawdowns and Recoveries: Base Rates for Bottoms and Bounces (Morgan Stanley Counterpoint Global, primary; PDF returned 403)</t>
  </si>
  <si>
    <t xml:space="preserve">2025-05-21</t>
  </si>
  <si>
    <t xml:space="preserve">https://www.morganstanley.com/im/en-us/individual-investor/insights/consilient-observer/drawdowns-and-recoveries.html</t>
  </si>
  <si>
    <t xml:space="preserve">A5.25</t>
  </si>
  <si>
    <t xml:space="preserve">AppLovin Q2 2026 8-K Exhibit 99.1 (Q3 guide $2.055-2.085B)</t>
  </si>
  <si>
    <t xml:space="preserve">S.1</t>
  </si>
  <si>
    <t xml:space="preserve">supervisor</t>
  </si>
  <si>
    <t xml:space="preserve">AppLovin 8-K Ex.99.1: Second Quarter 2026 Financial Results</t>
  </si>
  <si>
    <t xml:space="preserve">S.2</t>
  </si>
  <si>
    <t xml:space="preserve">AppLovin Form 10-Q, quarter ended June 30, 2026 (Note 7 buybacks; Item 5 trading plans)</t>
  </si>
  <si>
    <t xml:space="preserve">S.3</t>
  </si>
  <si>
    <t xml:space="preserve">AppLovin Form 10-Q, quarter ended March 31, 2026 (Item 5: Maynard Webb 10b5-1 plan adopted Mar 3 2026)</t>
  </si>
  <si>
    <t xml:space="preserve">https://www.sec.gov/Archives/edgar/data/1751008/000175100826000044/app-20260331.htm</t>
  </si>
  <si>
    <t xml:space="preserve">S.4</t>
  </si>
  <si>
    <t xml:space="preserve">Form 4, CEO A. Foroughi, Jun 10-11 2026 sales (aff10b5One=false)</t>
  </si>
  <si>
    <t xml:space="preserve">S.5</t>
  </si>
  <si>
    <t xml:space="preserve">Form 4, CEO A. Foroughi, Jun 12 2026 sales (aff10b5One=false)</t>
  </si>
  <si>
    <t xml:space="preserve">S.6</t>
  </si>
  <si>
    <t xml:space="preserve">Form 4, CEO A. Foroughi, Mar 11 2026 sales (aff10b5One=false)</t>
  </si>
  <si>
    <t xml:space="preserve">2026-03-13</t>
  </si>
  <si>
    <t xml:space="preserve">https://www.sec.gov/Archives/edgar/data/1751008/000184839526000005/primarydocument.xml</t>
  </si>
  <si>
    <t xml:space="preserve">S.7</t>
  </si>
  <si>
    <t xml:space="preserve">Form 144, CEO, Jun 11 2026 (planAdoptionDates empty)</t>
  </si>
  <si>
    <t xml:space="preserve">S.8</t>
  </si>
  <si>
    <t xml:space="preserve">Unity 8-K Ex.99.1: Second Quarter 2026 Financial Results (Strategic Grow $329m; Q3 guide $380-385m)</t>
  </si>
  <si>
    <t xml:space="preserve">https://www.sec.gov/Archives/edgar/data/1810806/000181080626000041/a2026q2ex-991.htm</t>
  </si>
  <si>
    <t xml:space="preserve">S.9</t>
  </si>
  <si>
    <t xml:space="preserve">S.10</t>
  </si>
  <si>
    <t xml:space="preserve">AppLovin IR press-release feed (no Q3 date release as of Oct 2; Q1/Q2 date-release pattern)</t>
  </si>
  <si>
    <t xml:space="preserve">https://investors.applovin.com/news/default.aspx</t>
  </si>
  <si>
    <t xml:space="preserve">S.11</t>
  </si>
  <si>
    <t xml:space="preserve">SEC EDGAR submissions index for AppLovin (no 8-K since Aug 5 2026)</t>
  </si>
  <si>
    <t xml:space="preserve">X.1</t>
  </si>
  <si>
    <t xml:space="preserve">supervisor (added)</t>
  </si>
  <si>
    <t xml:space="preserve">AppLovin Form 10-Q for quarter ended June 30, 2026</t>
  </si>
</sst>
</file>

<file path=xl/styles.xml><?xml version="1.0" encoding="utf-8"?>
<styleSheet xmlns="http://schemas.openxmlformats.org/spreadsheetml/2006/main">
  <numFmts count="9">
    <numFmt numFmtId="164" formatCode="General"/>
    <numFmt numFmtId="165" formatCode="\$#,##0.00;&quot;($&quot;#,##0.00\);\-"/>
    <numFmt numFmtId="166" formatCode="0.0%;\(0.0%\);\-"/>
    <numFmt numFmtId="167" formatCode="0"/>
    <numFmt numFmtId="168" formatCode="0.0000"/>
    <numFmt numFmtId="169" formatCode="0.0\x"/>
    <numFmt numFmtId="170" formatCode="\$#,##0.0;&quot;($&quot;#,##0.0\);\-"/>
    <numFmt numFmtId="171" formatCode="#,##0.00;\(#,##0.00\);\-"/>
    <numFmt numFmtId="172" formatCode="0.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6B6B6B"/>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
      <u val="single"/>
      <sz val="10"/>
      <color rgb="FF0000FF"/>
      <name val="Arial"/>
      <family val="0"/>
      <charset val="1"/>
    </font>
    <font>
      <b val="true"/>
      <sz val="10"/>
      <color rgb="FFFFFFFF"/>
      <name val="Arial"/>
      <family val="0"/>
      <charset val="1"/>
    </font>
    <font>
      <b val="true"/>
      <sz val="12"/>
      <color rgb="FF000000"/>
      <name val="Arial"/>
      <family val="0"/>
      <charset val="1"/>
    </font>
  </fonts>
  <fills count="6">
    <fill>
      <patternFill patternType="none"/>
    </fill>
    <fill>
      <patternFill patternType="gray125"/>
    </fill>
    <fill>
      <patternFill patternType="solid">
        <fgColor rgb="FFE5E7EB"/>
        <bgColor rgb="FFEAF3EA"/>
      </patternFill>
    </fill>
    <fill>
      <patternFill patternType="solid">
        <fgColor rgb="FFFFFF00"/>
        <bgColor rgb="FFFFFF00"/>
      </patternFill>
    </fill>
    <fill>
      <patternFill patternType="solid">
        <fgColor rgb="FFEAF3EA"/>
        <bgColor rgb="FFE5E7EB"/>
      </patternFill>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5" fontId="6" fillId="4"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10" fillId="3" borderId="0" xfId="0" applyFont="true" applyBorder="false" applyAlignment="true" applyProtection="false">
      <alignment horizontal="general" vertical="top" textRotation="0" wrapText="false" indent="0" shrinkToFit="false"/>
      <protection locked="true" hidden="false"/>
    </xf>
    <xf numFmtId="166" fontId="7" fillId="2" borderId="0" xfId="0" applyFont="true" applyBorder="false" applyAlignment="true" applyProtection="false">
      <alignment horizontal="general" vertical="top" textRotation="0" wrapText="false" indent="0" shrinkToFit="false"/>
      <protection locked="true" hidden="false"/>
    </xf>
    <xf numFmtId="169" fontId="10" fillId="3" borderId="0" xfId="0" applyFont="true" applyBorder="false" applyAlignment="true" applyProtection="false">
      <alignment horizontal="general" vertical="top" textRotation="0" wrapText="false" indent="0" shrinkToFit="false"/>
      <protection locked="true" hidden="false"/>
    </xf>
    <xf numFmtId="169" fontId="7" fillId="2"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70" fontId="10" fillId="3" borderId="0" xfId="0" applyFont="true" applyBorder="false" applyAlignment="true" applyProtection="false">
      <alignment horizontal="general" vertical="top" textRotation="0" wrapText="false" indent="0" shrinkToFit="false"/>
      <protection locked="true" hidden="false"/>
    </xf>
    <xf numFmtId="170" fontId="7" fillId="2" borderId="0" xfId="0" applyFont="true" applyBorder="false" applyAlignment="true" applyProtection="false">
      <alignment horizontal="general" vertical="top" textRotation="0" wrapText="false" indent="0" shrinkToFit="false"/>
      <protection locked="true" hidden="false"/>
    </xf>
    <xf numFmtId="170" fontId="8" fillId="0" borderId="0" xfId="0" applyFont="true" applyBorder="false" applyAlignment="true" applyProtection="false">
      <alignment horizontal="general" vertical="top" textRotation="0" wrapText="false" indent="0" shrinkToFit="false"/>
      <protection locked="true" hidden="false"/>
    </xf>
    <xf numFmtId="171" fontId="10" fillId="3" borderId="0" xfId="0" applyFont="true" applyBorder="false" applyAlignment="true" applyProtection="false">
      <alignment horizontal="general" vertical="top" textRotation="0" wrapText="false" indent="0" shrinkToFit="false"/>
      <protection locked="true" hidden="false"/>
    </xf>
    <xf numFmtId="171" fontId="7" fillId="2" borderId="0" xfId="0" applyFont="true" applyBorder="false" applyAlignment="true" applyProtection="false">
      <alignment horizontal="general" vertical="top" textRotation="0" wrapText="false" indent="0" shrinkToFit="false"/>
      <protection locked="true" hidden="false"/>
    </xf>
    <xf numFmtId="171" fontId="8" fillId="0" borderId="0" xfId="0" applyFont="tru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72"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72" fontId="7" fillId="4"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3EA"/>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alphavantage.co/query?function=EARNINGS_ESTIMATES&amp;symbol=APP" TargetMode="External"/><Relationship Id="rId2" Type="http://schemas.openxmlformats.org/officeDocument/2006/relationships/hyperlink" Target="https://www.alphavantage.co/query?function=EARNINGS_ESTIMATES&amp;symbol=APP" TargetMode="External"/><Relationship Id="rId3" Type="http://schemas.openxmlformats.org/officeDocument/2006/relationships/hyperlink" Target="https://www.alphavantage.co/" TargetMode="External"/><Relationship Id="rId4" Type="http://schemas.openxmlformats.org/officeDocument/2006/relationships/hyperlink" Target="https://www.alphavantage.co/" TargetMode="External"/><Relationship Id="rId5" Type="http://schemas.openxmlformats.org/officeDocument/2006/relationships/hyperlink" Target="https://www.alphavantage.co/query?function=EARNINGS_ESTIMATES&amp;symbol=APP" TargetMode="External"/><Relationship Id="rId6" Type="http://schemas.openxmlformats.org/officeDocument/2006/relationships/hyperlink" Target="https://www.alphavantage.co/query?function=EARNINGS_ESTIMATES&amp;symbol=APP" TargetMode="External"/><Relationship Id="rId7" Type="http://schemas.openxmlformats.org/officeDocument/2006/relationships/hyperlink" Target="https://www.alphavantage.co/query?function=EARNINGS_ESTIMATES&amp;symbol=APP" TargetMode="External"/><Relationship Id="rId8" Type="http://schemas.openxmlformats.org/officeDocument/2006/relationships/hyperlink" Target="https://247wallst.com/investing/2026/09/23/applovin-drops-5-as-edgewater-warns-market-share-growth-has-stalled-magnite-slips-trade-desk-slips-3/" TargetMode="External"/><Relationship Id="rId9" Type="http://schemas.openxmlformats.org/officeDocument/2006/relationships/hyperlink" Target="https://finance.yahoo.com/markets/stocks/articles/app-stock-hits-fresh-52-212057952.html" TargetMode="External"/><Relationship Id="rId10" Type="http://schemas.openxmlformats.org/officeDocument/2006/relationships/hyperlink" Target="https://www.alphavantage.co/query?function=EARNINGS_ESTIMATES&amp;symbol=APP" TargetMode="External"/><Relationship Id="rId11" Type="http://schemas.openxmlformats.org/officeDocument/2006/relationships/hyperlink" Target="https://finance.yahoo.com/markets/stocks/articles/app-stock-hits-fresh-52-212057952.html" TargetMode="External"/><Relationship Id="rId12" Type="http://schemas.openxmlformats.org/officeDocument/2006/relationships/hyperlink" Target="https://247wallst.com/investing/2026/09/23/applovin-drops-5-as-edgewater-warns-market-share-growth-has-stalled-magnite-slips-trade-desk-slips-3/" TargetMode="External"/><Relationship Id="rId13" Type="http://schemas.openxmlformats.org/officeDocument/2006/relationships/hyperlink" Target="https://www.alphavantage.co/" TargetMode="External"/><Relationship Id="rId14" Type="http://schemas.openxmlformats.org/officeDocument/2006/relationships/hyperlink" Target="https://247wallst.com/investing/2026/09/23/applovin-drops-5-as-edgewater-warns-market-share-growth-has-stalled-magnite-slips-trade-desk-slips-3/" TargetMode="External"/><Relationship Id="rId15" Type="http://schemas.openxmlformats.org/officeDocument/2006/relationships/hyperlink" Target="https://finance.yahoo.com/markets/stocks/articles/app-stock-hits-fresh-52-212057952.html" TargetMode="External"/><Relationship Id="rId16" Type="http://schemas.openxmlformats.org/officeDocument/2006/relationships/hyperlink" Target="https://www.alphavantage.co/" TargetMode="External"/><Relationship Id="rId17" Type="http://schemas.openxmlformats.org/officeDocument/2006/relationships/hyperlink" Target="https://247wallst.com/investing/2026/09/23/applovin-drops-5-as-edgewater-warns-market-share-growth-has-stalled-magnite-slips-trade-desk-slips-3/" TargetMode="External"/><Relationship Id="rId18" Type="http://schemas.openxmlformats.org/officeDocument/2006/relationships/hyperlink" Target="https://www.investing.com/news/stock-market-news/why-is-applovin-stock-slipping-today-93CH-4924597" TargetMode="External"/><Relationship Id="rId19" Type="http://schemas.openxmlformats.org/officeDocument/2006/relationships/hyperlink" Target="https://www.alphavantage.co/query?function=EARNINGS_ESTIMATES&amp;symbol=APP" TargetMode="External"/><Relationship Id="rId20" Type="http://schemas.openxmlformats.org/officeDocument/2006/relationships/hyperlink" Target="https://stocktwits.com/news-articles/markets/equity/app-stock-hits-fresh-52-week-low-after-wells-fargo-calls-pixel-install-spike-a-false-start/cZMFmvgRBLK" TargetMode="External"/><Relationship Id="rId21" Type="http://schemas.openxmlformats.org/officeDocument/2006/relationships/hyperlink" Target="https://www.gurufocus.com/news/9103485/wells-fargo-flags-surge-in-applovins-pixel-adoption-amid-investor-inquiries-app" TargetMode="External"/><Relationship Id="rId22" Type="http://schemas.openxmlformats.org/officeDocument/2006/relationships/hyperlink" Target="https://www.alphavantage.co/query?function=EARNINGS_ESTIMATES&amp;symbol=APP" TargetMode="External"/><Relationship Id="rId23" Type="http://schemas.openxmlformats.org/officeDocument/2006/relationships/hyperlink" Target="https://247wallst.com/investing/2026/09/23/applovin-drops-5-as-edgewater-warns-market-share-growth-has-stalled-magnite-slips-trade-desk-slips-3/" TargetMode="External"/><Relationship Id="rId24" Type="http://schemas.openxmlformats.org/officeDocument/2006/relationships/hyperlink" Target="https://finance.yahoo.com/markets/stocks/articles/app-stock-hits-fresh-52-212057952.html" TargetMode="External"/><Relationship Id="rId25" Type="http://schemas.openxmlformats.org/officeDocument/2006/relationships/hyperlink" Target="https://www.alphavantage.co/query?function=EARNINGS_ESTIMATES&amp;symbol=APP" TargetMode="External"/><Relationship Id="rId26" Type="http://schemas.openxmlformats.org/officeDocument/2006/relationships/hyperlink" Target="https://equibles.com/stocks/app/calls/2026-q2" TargetMode="External"/><Relationship Id="rId27" Type="http://schemas.openxmlformats.org/officeDocument/2006/relationships/hyperlink" Target="https://www.investing.com/news/transcripts/earnings-call-transcript-applovin-slips-on-q2-revenue-miss-shares-fall-16-in-q2-2026-93CH-4839615" TargetMode="External"/><Relationship Id="rId28" Type="http://schemas.openxmlformats.org/officeDocument/2006/relationships/hyperlink" Target="https://www.alphavantage.co/query?function=EARNINGS_ESTIMATES&amp;symbol=APP" TargetMode="External"/><Relationship Id="rId29" Type="http://schemas.openxmlformats.org/officeDocument/2006/relationships/hyperlink" Target="https://www.alphavantage.co/" TargetMode="External"/><Relationship Id="rId30" Type="http://schemas.openxmlformats.org/officeDocument/2006/relationships/hyperlink" Target="https://www.sec.gov/Archives/edgar/data/0001751008/000175100826000057/exhibit991-2q26earningspre.htm" TargetMode="External"/><Relationship Id="rId31" Type="http://schemas.openxmlformats.org/officeDocument/2006/relationships/hyperlink" Target="https://www.alphavantage.co/query?function=EARNINGS_ESTIMATES&amp;symbol=APP" TargetMode="External"/><Relationship Id="rId32" Type="http://schemas.openxmlformats.org/officeDocument/2006/relationships/hyperlink" Target="https://www.alphavantage.co/query?function=EARNINGS_ESTIMATES&amp;symbol=APP" TargetMode="External"/><Relationship Id="rId33" Type="http://schemas.openxmlformats.org/officeDocument/2006/relationships/hyperlink" Target="https://www.alphavantage.co/query?function=EARNINGS_ESTIMATES&amp;symbol=APP" TargetMode="External"/><Relationship Id="rId34" Type="http://schemas.openxmlformats.org/officeDocument/2006/relationships/hyperlink" Target="https://finance.yahoo.com/markets/stocks/articles/app-stock-hits-fresh-52-212057952.html" TargetMode="External"/><Relationship Id="rId35" Type="http://schemas.openxmlformats.org/officeDocument/2006/relationships/hyperlink" Target="https://247wallst.com/investing/2026/09/23/applovin-drops-5-as-edgewater-warns-market-share-growth-has-stalled-magnite-slips-trade-desk-slips-3/" TargetMode="External"/><Relationship Id="rId36" Type="http://schemas.openxmlformats.org/officeDocument/2006/relationships/hyperlink" Target="https://www.alphavantage.co/" TargetMode="External"/><Relationship Id="rId37" Type="http://schemas.openxmlformats.org/officeDocument/2006/relationships/hyperlink" Target="https://www.sec.gov/Archives/edgar/data/0001751008/000175100826000057/exhibit991-2q26earningspre.htm" TargetMode="External"/><Relationship Id="rId38" Type="http://schemas.openxmlformats.org/officeDocument/2006/relationships/hyperlink" Target="https://www.alphavantage.co/query?function=EARNINGS_ESTIMATES&amp;symbol=APP" TargetMode="External"/><Relationship Id="rId39" Type="http://schemas.openxmlformats.org/officeDocument/2006/relationships/hyperlink" Target="https://www.tikr.com/blog/applovin-stock-is-down-54-in-2026-and-facing-a-class-action-heres-where-it-could-go" TargetMode="External"/><Relationship Id="rId40" Type="http://schemas.openxmlformats.org/officeDocument/2006/relationships/hyperlink" Target="https://www.gurufocus.com/news/9047961/app-maintained-by-piper-sandler-price-target-lowered-to-325" TargetMode="External"/><Relationship Id="rId41" Type="http://schemas.openxmlformats.org/officeDocument/2006/relationships/hyperlink" Target="https://www.alphavantage.co/query?function=EARNINGS_ESTIMATES&amp;symbol=APP" TargetMode="External"/><Relationship Id="rId42" Type="http://schemas.openxmlformats.org/officeDocument/2006/relationships/hyperlink" Target="https://www.alphavantage.co/query?function=EARNINGS_ESTIMATES&amp;symbol=APP" TargetMode="External"/><Relationship Id="rId43" Type="http://schemas.openxmlformats.org/officeDocument/2006/relationships/hyperlink" Target="https://twelvedata.com/" TargetMode="External"/><Relationship Id="rId44" Type="http://schemas.openxmlformats.org/officeDocument/2006/relationships/hyperlink" Target="https://www.tikr.com/blog/applovin-stock-is-down-54-in-2026-and-facing-a-class-action-heres-where-it-could-go" TargetMode="External"/><Relationship Id="rId45" Type="http://schemas.openxmlformats.org/officeDocument/2006/relationships/hyperlink" Target="https://www.tikr.com/blog/applovin-stock-is-down-54-in-2026-and-facing-a-class-action-heres-where-it-could-go" TargetMode="External"/><Relationship Id="rId46" Type="http://schemas.openxmlformats.org/officeDocument/2006/relationships/hyperlink" Target="https://eciks.org/6504-13668-liftoff-mobile-launches-ipo-roadshow-targeting-3-66b-valuation-on-nasdaq" TargetMode="External"/><Relationship Id="rId47" Type="http://schemas.openxmlformats.org/officeDocument/2006/relationships/hyperlink" Target="https://www.alphavantage.co/" TargetMode="External"/><Relationship Id="rId48" Type="http://schemas.openxmlformats.org/officeDocument/2006/relationships/hyperlink" Target="https://www.gurufocus.com/news/9047961/app-maintained-by-piper-sandler-price-target-lowered-to-325" TargetMode="External"/><Relationship Id="rId49" Type="http://schemas.openxmlformats.org/officeDocument/2006/relationships/hyperlink" Target="https://www.trefis.com/stock/app/articles/617272/applovin-stock-extends-a-7-day-losing-streak-to-a-12-loss/2026-10-01" TargetMode="External"/><Relationship Id="rId50" Type="http://schemas.openxmlformats.org/officeDocument/2006/relationships/hyperlink" Target="https://www.tikr.com/blog/applovin-stock-is-down-54-in-2026-and-facing-a-class-action-heres-where-it-could-go" TargetMode="External"/><Relationship Id="rId51" Type="http://schemas.openxmlformats.org/officeDocument/2006/relationships/hyperlink" Target="https://www.alphavantage.co/query?function=EARNINGS_ESTIMATES&amp;symbol=APP" TargetMode="External"/><Relationship Id="rId52" Type="http://schemas.openxmlformats.org/officeDocument/2006/relationships/hyperlink" Target="https://www.tikr.com/blog/applovin-stock-is-down-54-in-2026-and-facing-a-class-action-heres-where-it-could-go" TargetMode="External"/><Relationship Id="rId53" Type="http://schemas.openxmlformats.org/officeDocument/2006/relationships/hyperlink" Target="https://gamedevreports.substack.com/p/sensor-tower-mobile-game-ad-monetization" TargetMode="External"/><Relationship Id="rId54" Type="http://schemas.openxmlformats.org/officeDocument/2006/relationships/hyperlink" Target="https://www.alphavantage.co/query?function=EARNINGS_ESTIMATES&amp;symbol=APP" TargetMode="External"/><Relationship Id="rId55" Type="http://schemas.openxmlformats.org/officeDocument/2006/relationships/hyperlink" Target="https://www.fool.com/investing/2026/01/08/why-the-trade-desk-stock-collapsed-68-in-2025/" TargetMode="External"/><Relationship Id="rId56" Type="http://schemas.openxmlformats.org/officeDocument/2006/relationships/hyperlink" Target="https://www.cnbc.com/2023/12/18/metas-stock-wrapping-up-record-year-spurred-by-cost-cuts.html" TargetMode="External"/><Relationship Id="rId57" Type="http://schemas.openxmlformats.org/officeDocument/2006/relationships/hyperlink" Target="https://www.alphavantage.co/query?function=EARNINGS_ESTIMATES&amp;symbol=APP" TargetMode="External"/><Relationship Id="rId58" Type="http://schemas.openxmlformats.org/officeDocument/2006/relationships/hyperlink" Target="https://www.alphavantage.co/" TargetMode="External"/><Relationship Id="rId59" Type="http://schemas.openxmlformats.org/officeDocument/2006/relationships/hyperlink" Target="https://www.alphavantage.co/" TargetMode="External"/><Relationship Id="rId60" Type="http://schemas.openxmlformats.org/officeDocument/2006/relationships/hyperlink" Target="https://www.alphavantage.co/query?function=EARNINGS_ESTIMATES&amp;symbol=APP" TargetMode="External"/><Relationship Id="rId61" Type="http://schemas.openxmlformats.org/officeDocument/2006/relationships/hyperlink" Target="https://www.alphavantage.co/query?function=EARNINGS_ESTIMATES&amp;symbol=APP" TargetMode="External"/><Relationship Id="rId62" Type="http://schemas.openxmlformats.org/officeDocument/2006/relationships/hyperlink" Target="https://www.alphavantage.co/query?function=EARNINGS_ESTIMATES&amp;symbol=APP" TargetMode="External"/><Relationship Id="rId63" Type="http://schemas.openxmlformats.org/officeDocument/2006/relationships/hyperlink" Target="https://247wallst.com/investing/2026/09/23/applovin-drops-5-as-edgewater-warns-market-share-growth-has-stalled-magnite-slips-trade-desk-slips-3/" TargetMode="External"/><Relationship Id="rId64" Type="http://schemas.openxmlformats.org/officeDocument/2006/relationships/hyperlink" Target="https://finance.yahoo.com/markets/stocks/articles/app-stock-hits-fresh-52-212057952.html" TargetMode="External"/><Relationship Id="rId65" Type="http://schemas.openxmlformats.org/officeDocument/2006/relationships/hyperlink" Target="https://www.alphavantage.co/" TargetMode="External"/><Relationship Id="rId66" Type="http://schemas.openxmlformats.org/officeDocument/2006/relationships/hyperlink" Target="https://247wallst.com/investing/2026/09/23/applovin-drops-5-as-edgewater-warns-market-share-growth-has-stalled-magnite-slips-trade-desk-slips-3/" TargetMode="External"/><Relationship Id="rId67" Type="http://schemas.openxmlformats.org/officeDocument/2006/relationships/hyperlink" Target="https://finance.yahoo.com/markets/stocks/articles/app-stock-hits-fresh-52-212057952.html" TargetMode="External"/><Relationship Id="rId68" Type="http://schemas.openxmlformats.org/officeDocument/2006/relationships/hyperlink" Target="https://www.alphavantage.co/" TargetMode="External"/><Relationship Id="rId69" Type="http://schemas.openxmlformats.org/officeDocument/2006/relationships/hyperlink" Target="https://247wallst.com/investing/2026/09/23/applovin-drops-5-as-edgewater-warns-market-share-growth-has-stalled-magnite-slips-trade-desk-slips-3/" TargetMode="External"/><Relationship Id="rId70" Type="http://schemas.openxmlformats.org/officeDocument/2006/relationships/hyperlink" Target="https://www.investing.com/news/stock-market-news/why-is-applovin-stock-slipping-today-93CH-4924597" TargetMode="External"/><Relationship Id="rId71" Type="http://schemas.openxmlformats.org/officeDocument/2006/relationships/hyperlink" Target="https://www.alphavantage.co/query?function=EARNINGS_ESTIMATES&amp;symbol=APP" TargetMode="External"/><Relationship Id="rId72" Type="http://schemas.openxmlformats.org/officeDocument/2006/relationships/hyperlink" Target="https://stocktwits.com/news-articles/markets/equity/app-stock-hits-fresh-52-week-low-after-wells-fargo-calls-pixel-install-spike-a-false-start/cZMFmvgRBLK" TargetMode="External"/><Relationship Id="rId73" Type="http://schemas.openxmlformats.org/officeDocument/2006/relationships/hyperlink" Target="https://finance.yahoo.com/markets/stocks/articles/applovin-drops-5-edgewater-warns-134813190.html" TargetMode="External"/><Relationship Id="rId74" Type="http://schemas.openxmlformats.org/officeDocument/2006/relationships/hyperlink" Target="https://www.alphavantage.co/query?function=EARNINGS_ESTIMATES&amp;symbol=APP" TargetMode="External"/><Relationship Id="rId75" Type="http://schemas.openxmlformats.org/officeDocument/2006/relationships/hyperlink" Target="https://247wallst.com/investing/2026/09/23/applovin-drops-5-as-edgewater-warns-market-share-growth-has-stalled-magnite-slips-trade-desk-slips-3/" TargetMode="External"/><Relationship Id="rId76" Type="http://schemas.openxmlformats.org/officeDocument/2006/relationships/hyperlink" Target="https://finance.yahoo.com/markets/stocks/articles/app-stock-hits-fresh-52-212057952.html" TargetMode="External"/><Relationship Id="rId77" Type="http://schemas.openxmlformats.org/officeDocument/2006/relationships/hyperlink" Target="https://www.sec.gov/Archives/edgar/data/0001751008/000175100826000057/exhibit991-2q26earningspre.htm" TargetMode="External"/><Relationship Id="rId78" Type="http://schemas.openxmlformats.org/officeDocument/2006/relationships/hyperlink" Target="https://www.sec.gov/Archives/edgar/data/0001751008/000175100826000057/exhibit991-2q26earningspre.htm" TargetMode="External"/><Relationship Id="rId79" Type="http://schemas.openxmlformats.org/officeDocument/2006/relationships/hyperlink" Target="https://s21.q4cdn.com/165405286/files/doc_financials/2026/q2/AppLovin-2Q26-Earnings-Press-Release.pdf" TargetMode="External"/><Relationship Id="rId80" Type="http://schemas.openxmlformats.org/officeDocument/2006/relationships/hyperlink" Target="https://www.investing.com/news/transcripts/earnings-call-transcript-applovin-slips-on-q2-revenue-miss-shares-fall-16-in-q2-2026-93CH-4839615" TargetMode="External"/><Relationship Id="rId81" Type="http://schemas.openxmlformats.org/officeDocument/2006/relationships/hyperlink" Target="https://www.sec.gov/Archives/edgar/data/0001751008/000175100826000057/exhibit991-2q26earningspre.htm" TargetMode="External"/><Relationship Id="rId82" Type="http://schemas.openxmlformats.org/officeDocument/2006/relationships/hyperlink" Target="https://s21.q4cdn.com/165405286/files/doc_financials/2026/q2/AppLovin-2Q26-Earnings-Press-Release.pdf" TargetMode="External"/><Relationship Id="rId83" Type="http://schemas.openxmlformats.org/officeDocument/2006/relationships/hyperlink" Target="https://www.alphavantage.co/query?function=EARNINGS_ESTIMATES&amp;symbol=APP" TargetMode="External"/><Relationship Id="rId84" Type="http://schemas.openxmlformats.org/officeDocument/2006/relationships/hyperlink" Target="https://www.sec.gov/Archives/edgar/data/0001751008/000175100826000057/exhibit991-2q26earningspre.htm" TargetMode="External"/><Relationship Id="rId85" Type="http://schemas.openxmlformats.org/officeDocument/2006/relationships/hyperlink" Target="https://www.sec.gov/Archives/edgar/data/0001751008/000175100826000057/exhibit991-2q26earningspre.htm" TargetMode="External"/><Relationship Id="rId86" Type="http://schemas.openxmlformats.org/officeDocument/2006/relationships/hyperlink" Target="https://www.alphavantage.co/" TargetMode="External"/><Relationship Id="rId87" Type="http://schemas.openxmlformats.org/officeDocument/2006/relationships/hyperlink" Target="https://s21.q4cdn.com/165405286/files/doc_financials/2026/q2/AppLovin-2Q26-Earnings-Press-Release.pdf" TargetMode="External"/><Relationship Id="rId88" Type="http://schemas.openxmlformats.org/officeDocument/2006/relationships/hyperlink" Target="https://www.alphavantage.co/" TargetMode="External"/><Relationship Id="rId89" Type="http://schemas.openxmlformats.org/officeDocument/2006/relationships/hyperlink" Target="https://247wallst.com/investing/2026/09/23/applovin-drops-5-as-edgewater-warns-market-share-growth-has-stalled-magnite-slips-trade-desk-slips-3/" TargetMode="External"/><Relationship Id="rId90" Type="http://schemas.openxmlformats.org/officeDocument/2006/relationships/hyperlink" Target="https://www.sec.gov/Archives/edgar/data/0001751008/000175100826000057/exhibit991-2q26earningspre.htm" TargetMode="External"/><Relationship Id="rId91" Type="http://schemas.openxmlformats.org/officeDocument/2006/relationships/hyperlink" Target="https://www.alphavantage.co/query?function=EARNINGS_ESTIMATES&amp;symbol=APP" TargetMode="External"/><Relationship Id="rId92" Type="http://schemas.openxmlformats.org/officeDocument/2006/relationships/hyperlink" Target="https://s21.q4cdn.com/165405286/files/doc_financials/2026/q2/AppLovin-2Q26-Earnings-Press-Release.pdf" TargetMode="External"/><Relationship Id="rId93" Type="http://schemas.openxmlformats.org/officeDocument/2006/relationships/hyperlink" Target="https://www.alphavantage.co/query?function=EARNINGS_ESTIMATES&amp;symbol=APP" TargetMode="External"/><Relationship Id="rId94" Type="http://schemas.openxmlformats.org/officeDocument/2006/relationships/hyperlink" Target="https://finance.yahoo.com/markets/stocks/articles/app-stock-hits-fresh-52-212057952.html" TargetMode="External"/><Relationship Id="rId95" Type="http://schemas.openxmlformats.org/officeDocument/2006/relationships/hyperlink" Target="https://www.alphavantage.co/query?function=EARNINGS_ESTIMATES&amp;symbol=APP" TargetMode="External"/><Relationship Id="rId96" Type="http://schemas.openxmlformats.org/officeDocument/2006/relationships/hyperlink" Target="https://www.sec.gov/Archives/edgar/data/0001751008/000175100826000057/exhibit991-2q26earningspre.htm" TargetMode="External"/><Relationship Id="rId97" Type="http://schemas.openxmlformats.org/officeDocument/2006/relationships/hyperlink" Target="https://www.gurufocus.com/news/9047961/app-maintained-by-piper-sandler-price-target-lowered-to-325" TargetMode="External"/><Relationship Id="rId98" Type="http://schemas.openxmlformats.org/officeDocument/2006/relationships/hyperlink" Target="https://www.alphavantage.co/" TargetMode="External"/><Relationship Id="rId99" Type="http://schemas.openxmlformats.org/officeDocument/2006/relationships/hyperlink" Target="https://eciks.org/6504-13668-liftoff-mobile-launches-ipo-roadshow-targeting-3-66b-valuation-on-nasdaq" TargetMode="External"/><Relationship Id="rId100" Type="http://schemas.openxmlformats.org/officeDocument/2006/relationships/hyperlink" Target="https://seekingalpha.com/news/4632027-liftoff-forecasts-870m-880m-2026-revenue-as-it-guides-to-59-percent-adjusted-ebitda-margin" TargetMode="External"/><Relationship Id="rId101" Type="http://schemas.openxmlformats.org/officeDocument/2006/relationships/hyperlink" Target="https://s21.q4cdn.com/165405286/files/doc_financials/2026/q2/AppLovin-2Q26-Earnings-Press-Release.pdf" TargetMode="External"/><Relationship Id="rId102" Type="http://schemas.openxmlformats.org/officeDocument/2006/relationships/hyperlink" Target="https://www.alphavantage.co/" TargetMode="External"/><Relationship Id="rId103" Type="http://schemas.openxmlformats.org/officeDocument/2006/relationships/hyperlink" Target="https://www.gurufocus.com/news/9047961/app-maintained-by-piper-sandler-price-target-lowered-to-325" TargetMode="External"/><Relationship Id="rId104" Type="http://schemas.openxmlformats.org/officeDocument/2006/relationships/hyperlink" Target="https://www.alphavantage.co/query?function=EARNINGS_ESTIMATES&amp;symbol=APP" TargetMode="External"/><Relationship Id="rId105" Type="http://schemas.openxmlformats.org/officeDocument/2006/relationships/hyperlink" Target="https://www.tikr.com/blog/applovin-stock-is-down-54-in-2026-and-facing-a-class-action-heres-where-it-could-go" TargetMode="External"/><Relationship Id="rId106" Type="http://schemas.openxmlformats.org/officeDocument/2006/relationships/hyperlink" Target="https://investors.unity.com/news/news-details/2026/Unity-Reports-Second-Quarter-2026-Financial-Results/default.aspx" TargetMode="External"/><Relationship Id="rId107" Type="http://schemas.openxmlformats.org/officeDocument/2006/relationships/hyperlink" Target="https://www.alphavantage.co/query?function=EARNINGS_ESTIMATES&amp;symbol=APP" TargetMode="External"/><Relationship Id="rId108" Type="http://schemas.openxmlformats.org/officeDocument/2006/relationships/hyperlink" Target="https://www.fool.com/investing/2026/01/08/why-the-trade-desk-stock-collapsed-68-in-2025/" TargetMode="External"/><Relationship Id="rId109" Type="http://schemas.openxmlformats.org/officeDocument/2006/relationships/hyperlink" Target="https://www.sec.gov/Archives/edgar/data/0001751008/000175100826000057/exhibit991-2q26earningspre.htm" TargetMode="External"/><Relationship Id="rId110" Type="http://schemas.openxmlformats.org/officeDocument/2006/relationships/hyperlink" Target="https://www.sec.gov/Archives/edgar/data/1751008/000175100826000059/app-20260630.htm" TargetMode="External"/><Relationship Id="rId111" Type="http://schemas.openxmlformats.org/officeDocument/2006/relationships/hyperlink" Target="https://www.alphavantage.co/query?function=EARNINGS_ESTIMATES&amp;symbol=APP" TargetMode="External"/><Relationship Id="rId112" Type="http://schemas.openxmlformats.org/officeDocument/2006/relationships/hyperlink" Target="https://www.sec.gov/Archives/edgar/data/0001751008/000175100826000057/exhibit991-2q26earningspre.htm" TargetMode="External"/><Relationship Id="rId113" Type="http://schemas.openxmlformats.org/officeDocument/2006/relationships/hyperlink" Target="https://www.sec.gov/Archives/edgar/data/1751008/000175100826000059/app-20260630.htm" TargetMode="External"/><Relationship Id="rId114" Type="http://schemas.openxmlformats.org/officeDocument/2006/relationships/hyperlink" Target="https://www.alphavantage.co/query?function=EARNINGS_ESTIMATES&amp;symbol=APP" TargetMode="External"/><Relationship Id="rId115" Type="http://schemas.openxmlformats.org/officeDocument/2006/relationships/hyperlink" Target="https://www.sec.gov/Archives/edgar/data/0001751008/000175100826000057/exhibit991-2q26earningspre.htm" TargetMode="External"/><Relationship Id="rId116" Type="http://schemas.openxmlformats.org/officeDocument/2006/relationships/hyperlink" Target="https://finance.yahoo.com/markets/stocks/articles/applovin-nasdaq-app-misses-q2-203826929.html" TargetMode="External"/><Relationship Id="rId117" Type="http://schemas.openxmlformats.org/officeDocument/2006/relationships/hyperlink" Target="https://www.alphavantage.co/" TargetMode="External"/><Relationship Id="rId118" Type="http://schemas.openxmlformats.org/officeDocument/2006/relationships/hyperlink" Target="https://s21.q4cdn.com/165405286/files/doc_financials/2026/q2/AppLovin-2Q26-Earnings-Press-Release.pdf" TargetMode="External"/><Relationship Id="rId119" Type="http://schemas.openxmlformats.org/officeDocument/2006/relationships/hyperlink" Target="https://www.alphavantage.co/" TargetMode="External"/><Relationship Id="rId120" Type="http://schemas.openxmlformats.org/officeDocument/2006/relationships/hyperlink" Target="https://www.sec.gov/Archives/edgar/data/1751008/000119312524271603/d896321d8k.htm" TargetMode="External"/><Relationship Id="rId121" Type="http://schemas.openxmlformats.org/officeDocument/2006/relationships/hyperlink" Target="https://www.sec.gov/Archives/edgar/data/0001751008/000175100826000057/exhibit991-2q26earningspre.htm" TargetMode="External"/><Relationship Id="rId122" Type="http://schemas.openxmlformats.org/officeDocument/2006/relationships/hyperlink" Target="https://www.alphavantage.co/query?function=EARNINGS_ESTIMATES&amp;symbol=APP" TargetMode="External"/><Relationship Id="rId123" Type="http://schemas.openxmlformats.org/officeDocument/2006/relationships/hyperlink" Target="https://s21.q4cdn.com/165405286/files/doc_financials/2026/q2/AppLovin-2Q26-Earnings-Press-Release.pdf" TargetMode="External"/><Relationship Id="rId124" Type="http://schemas.openxmlformats.org/officeDocument/2006/relationships/hyperlink" Target="https://www.alphavantage.co/query?function=EARNINGS_ESTIMATES&amp;symbol=APP" TargetMode="External"/><Relationship Id="rId125" Type="http://schemas.openxmlformats.org/officeDocument/2006/relationships/hyperlink" Target="https://www.sec.gov/Archives/edgar/data/0001751008/000175100826000057/exhibit991-2q26earningspre.htm" TargetMode="External"/><Relationship Id="rId126" Type="http://schemas.openxmlformats.org/officeDocument/2006/relationships/hyperlink" Target="https://finance.yahoo.com/markets/stocks/articles/applovin-nasdaq-app-misses-q2-203826929.html" TargetMode="External"/><Relationship Id="rId127" Type="http://schemas.openxmlformats.org/officeDocument/2006/relationships/hyperlink" Target="https://finance.yahoo.com/markets/stocks/articles/applovin-nasdaq-app-misses-q2-203826929.html" TargetMode="External"/><Relationship Id="rId128" Type="http://schemas.openxmlformats.org/officeDocument/2006/relationships/hyperlink" Target="https://s21.q4cdn.com/165405286/files/doc_financials/2026/q2/AppLovin-2Q26-Earnings-Press-Release.pdf" TargetMode="External"/><Relationship Id="rId129" Type="http://schemas.openxmlformats.org/officeDocument/2006/relationships/hyperlink" Target="https://www.sec.gov/Archives/edgar/data/1751008/000119312524271603/d896321d8k.htm" TargetMode="External"/><Relationship Id="rId130" Type="http://schemas.openxmlformats.org/officeDocument/2006/relationships/hyperlink" Target="https://s21.q4cdn.com/165405286/files/doc_financials/2026/q2/AppLovin-2Q26-Earnings-Press-Release.pdf" TargetMode="External"/><Relationship Id="rId131" Type="http://schemas.openxmlformats.org/officeDocument/2006/relationships/hyperlink" Target="https://www.sec.gov/Archives/edgar/data/0001751008/000175100826000057/exhibit991-2q26earningspre.htm" TargetMode="External"/><Relationship Id="rId132" Type="http://schemas.openxmlformats.org/officeDocument/2006/relationships/hyperlink" Target="https://www.sec.gov/Archives/edgar/data/1751008/000175100826000059/app-20260630.htm" TargetMode="External"/><Relationship Id="rId133" Type="http://schemas.openxmlformats.org/officeDocument/2006/relationships/hyperlink" Target="https://www.sec.gov/Archives/edgar/data/0001751008/000175100826000057/exhibit991-2q26earningspre.htm" TargetMode="External"/><Relationship Id="rId134" Type="http://schemas.openxmlformats.org/officeDocument/2006/relationships/hyperlink" Target="https://www.sec.gov/Archives/edgar/data/1751008/000175100826000059/app-20260630.htm" TargetMode="External"/><Relationship Id="rId135" Type="http://schemas.openxmlformats.org/officeDocument/2006/relationships/hyperlink" Target="https://www.sec.gov/Archives/edgar/data/0001751008/000175100826000057/exhibit991-2q26earningspre.htm" TargetMode="External"/><Relationship Id="rId136" Type="http://schemas.openxmlformats.org/officeDocument/2006/relationships/hyperlink" Target="https://www.alphavantage.co/query?function=EARNINGS_ESTIMATES&amp;symbol=APP" TargetMode="External"/><Relationship Id="rId137" Type="http://schemas.openxmlformats.org/officeDocument/2006/relationships/hyperlink" Target="https://www.tikr.com/blog/applovin-stock-is-down-54-in-2026-and-facing-a-class-action-heres-where-it-could-go" TargetMode="External"/><Relationship Id="rId138" Type="http://schemas.openxmlformats.org/officeDocument/2006/relationships/hyperlink" Target="https://www.tikr.com/blog/applovin-stock-is-down-54-in-2026-and-facing-a-class-action-heres-where-it-could-go" TargetMode="External"/><Relationship Id="rId139" Type="http://schemas.openxmlformats.org/officeDocument/2006/relationships/hyperlink" Target="https://www.tikr.com/blog/applovin-stock-is-down-54-in-2026-and-facing-a-class-action-heres-where-it-could-go" TargetMode="External"/><Relationship Id="rId140" Type="http://schemas.openxmlformats.org/officeDocument/2006/relationships/hyperlink" Target="https://www.tikr.com/blog/applovin-stock-is-down-54-in-2026-and-facing-a-class-action-heres-where-it-could-go" TargetMode="External"/><Relationship Id="rId141" Type="http://schemas.openxmlformats.org/officeDocument/2006/relationships/hyperlink" Target="https://www.tikr.com/blog/applovin-stock-is-down-54-in-2026-and-facing-a-class-action-heres-where-it-could-go" TargetMode="External"/><Relationship Id="rId142" Type="http://schemas.openxmlformats.org/officeDocument/2006/relationships/hyperlink" Target="https://www.tikr.com/blog/applovin-stock-is-down-54-in-2026-and-facing-a-class-action-heres-where-it-could-go" TargetMode="External"/><Relationship Id="rId143" Type="http://schemas.openxmlformats.org/officeDocument/2006/relationships/hyperlink" Target="https://www.sec.gov/Archives/edgar/data/0001751008/000175100826000057/exhibit991-2q26earningspre.htm" TargetMode="External"/><Relationship Id="rId144" Type="http://schemas.openxmlformats.org/officeDocument/2006/relationships/hyperlink" Target="https://www.sec.gov/Archives/edgar/data/1751008/000175100826000059/app-20260630.htm" TargetMode="External"/><Relationship Id="rId145" Type="http://schemas.openxmlformats.org/officeDocument/2006/relationships/hyperlink" Target="https://www.sec.gov/Archives/edgar/data/0001751008/000175100826000057/exhibit991-2q26earningspre.htm" TargetMode="External"/><Relationship Id="rId146" Type="http://schemas.openxmlformats.org/officeDocument/2006/relationships/hyperlink" Target="https://www.sec.gov/Archives/edgar/data/1751008/000175100826000059/app-20260630.htm" TargetMode="External"/><Relationship Id="rId147" Type="http://schemas.openxmlformats.org/officeDocument/2006/relationships/hyperlink" Target="https://www.sec.gov/Archives/edgar/data/0001751008/000175100826000057/exhibit991-2q26earningspre.htm" TargetMode="External"/><Relationship Id="rId148" Type="http://schemas.openxmlformats.org/officeDocument/2006/relationships/hyperlink" Target="https://s21.q4cdn.com/165405286/files/doc_financials/2026/q2/AppLovin-2Q26-Earnings-Press-Release.pdf" TargetMode="External"/><Relationship Id="rId149" Type="http://schemas.openxmlformats.org/officeDocument/2006/relationships/hyperlink" Target="https://www.sec.gov/Archives/edgar/data/1751008/000175100826000059/app-20260630.htm" TargetMode="External"/><Relationship Id="rId150" Type="http://schemas.openxmlformats.org/officeDocument/2006/relationships/hyperlink" Target="https://www.sec.gov/Archives/edgar/data/0001751008/000175100826000057/exhibit991-2q26earningspre.htm" TargetMode="External"/><Relationship Id="rId151" Type="http://schemas.openxmlformats.org/officeDocument/2006/relationships/hyperlink" Target="https://s21.q4cdn.com/165405286/files/doc_financials/2026/q2/AppLovin-2Q26-Earnings-Press-Release.pdf" TargetMode="External"/><Relationship Id="rId152" Type="http://schemas.openxmlformats.org/officeDocument/2006/relationships/hyperlink" Target="https://www.sec.gov/Archives/edgar/data/1751008/000175100826000059/app-20260630.htm" TargetMode="External"/><Relationship Id="rId153" Type="http://schemas.openxmlformats.org/officeDocument/2006/relationships/hyperlink" Target="https://www.sec.gov/Archives/edgar/data/1751008/000175100826000059/app-20260630.htm" TargetMode="External"/><Relationship Id="rId154" Type="http://schemas.openxmlformats.org/officeDocument/2006/relationships/hyperlink" Target="https://www.investing.com/news/transcripts/earnings-call-transcript-applovin-slips-on-q2-revenue-miss-shares-fall-16-in-q2-2026-93CH-4839615" TargetMode="External"/><Relationship Id="rId155" Type="http://schemas.openxmlformats.org/officeDocument/2006/relationships/hyperlink" Target="https://www.sec.gov/Archives/edgar/data/0001751008/000175100826000057/exhibit991-2q26earningspre.htm" TargetMode="External"/><Relationship Id="rId156" Type="http://schemas.openxmlformats.org/officeDocument/2006/relationships/hyperlink" Target="https://www.sec.gov/Archives/edgar/data/0001751008/000175100826000057/exhibit991-2q26earningspre.htm" TargetMode="External"/><Relationship Id="rId157" Type="http://schemas.openxmlformats.org/officeDocument/2006/relationships/hyperlink" Target="https://www.sec.gov/Archives/edgar/data/1751008/000175100826000059/app-20260630.htm" TargetMode="External"/><Relationship Id="rId158" Type="http://schemas.openxmlformats.org/officeDocument/2006/relationships/hyperlink" Target="https://s21.q4cdn.com/165405286/files/doc_financials/2026/q2/AppLovin-2Q26-Earnings-Press-Release.pdf" TargetMode="External"/><Relationship Id="rId159" Type="http://schemas.openxmlformats.org/officeDocument/2006/relationships/hyperlink" Target="https://www.sec.gov/Archives/edgar/data/1751008/000175100826000059/app-20260630.htm" TargetMode="External"/><Relationship Id="rId160" Type="http://schemas.openxmlformats.org/officeDocument/2006/relationships/hyperlink" Target="https://www.sec.gov/Archives/edgar/data/0001751008/000175100826000057/exhibit991-2q26earningspre.htm" TargetMode="External"/><Relationship Id="rId161" Type="http://schemas.openxmlformats.org/officeDocument/2006/relationships/hyperlink" Target="https://s21.q4cdn.com/165405286/files/doc_financials/2026/q2/AppLovin-2Q26-Earnings-Press-Release.pdf" TargetMode="External"/><Relationship Id="rId162" Type="http://schemas.openxmlformats.org/officeDocument/2006/relationships/hyperlink" Target="https://www.sec.gov/Archives/edgar/data/1751008/000175100826000059/app-20260630.ht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sec.gov/Archives/edgar/data/0001751008/000175100826000057/exhibit991-2q26earningspre.htm" TargetMode="External"/><Relationship Id="rId2" Type="http://schemas.openxmlformats.org/officeDocument/2006/relationships/hyperlink" Target="https://www.sec.gov/Archives/edgar/data/1751008/000175100826000059/app-20260630.htm" TargetMode="External"/><Relationship Id="rId3" Type="http://schemas.openxmlformats.org/officeDocument/2006/relationships/hyperlink" Target="https://equibles.com/stocks/app/calls/2026-q2" TargetMode="External"/><Relationship Id="rId4" Type="http://schemas.openxmlformats.org/officeDocument/2006/relationships/hyperlink" Target="https://www.investing.com/news/transcripts/earnings-call-transcript-applovin-slips-on-q2-revenue-miss-shares-fall-16-in-q2-2026-93CH-4839615" TargetMode="External"/><Relationship Id="rId5" Type="http://schemas.openxmlformats.org/officeDocument/2006/relationships/hyperlink" Target="https://www.sec.gov/Archives/edgar/data/0001751008/000175100826000042/exhibit991-1q26earningspre.htm" TargetMode="External"/><Relationship Id="rId6" Type="http://schemas.openxmlformats.org/officeDocument/2006/relationships/hyperlink" Target="https://www.sec.gov/Archives/edgar/data/1751008/000175100826000014/app-20260402.htm" TargetMode="External"/><Relationship Id="rId7" Type="http://schemas.openxmlformats.org/officeDocument/2006/relationships/hyperlink" Target="https://www.sec.gov/cgi-bin/browse-edgar?action=getcompany&amp;CIK=0001751008&amp;type=4" TargetMode="External"/><Relationship Id="rId8" Type="http://schemas.openxmlformats.org/officeDocument/2006/relationships/hyperlink" Target="https://www.sec.gov/Archives/edgar/data/1751008/000175100826000047/s-3asr.htm" TargetMode="External"/><Relationship Id="rId9" Type="http://schemas.openxmlformats.org/officeDocument/2006/relationships/hyperlink" Target="https://data.sec.gov/submissions/CIK0001751008.json" TargetMode="External"/><Relationship Id="rId10" Type="http://schemas.openxmlformats.org/officeDocument/2006/relationships/hyperlink" Target="https://www.sec.gov/Archives/edgar/data/1751008/000175100826000005/exhibit991-4q25earningspre.htm" TargetMode="External"/><Relationship Id="rId11" Type="http://schemas.openxmlformats.org/officeDocument/2006/relationships/hyperlink" Target="https://www.alphavantage.co/query?function=EARNINGS_ESTIMATES&amp;symbol=APP" TargetMode="External"/><Relationship Id="rId12" Type="http://schemas.openxmlformats.org/officeDocument/2006/relationships/hyperlink" Target="https://twelvedata.com/" TargetMode="External"/><Relationship Id="rId13" Type="http://schemas.openxmlformats.org/officeDocument/2006/relationships/hyperlink" Target="https://www.tikr.com/blog/applovin-stock-is-down-54-in-2026-and-facing-a-class-action-heres-where-it-could-go" TargetMode="External"/><Relationship Id="rId14" Type="http://schemas.openxmlformats.org/officeDocument/2006/relationships/hyperlink" Target="https://www.globenewswire.com/news-release/2026/09/29/3371339/1087/en/pomerantz-law-firm-announces-the-filing-of-a-class-action-against-applovin-corporation-and-certain-officers-app.html" TargetMode="External"/><Relationship Id="rId15" Type="http://schemas.openxmlformats.org/officeDocument/2006/relationships/hyperlink" Target="https://www.thestockobserver.com/2026/09/28/why-is-applovin-corporation-nasdaq-app-stock-down-54-this-year.html" TargetMode="External"/><Relationship Id="rId16" Type="http://schemas.openxmlformats.org/officeDocument/2006/relationships/hyperlink" Target="https://www.fool.com/investing/2026/07/22/why-applovin-stock-fell-24-in-the-first-half-of-20/" TargetMode="External"/><Relationship Id="rId17" Type="http://schemas.openxmlformats.org/officeDocument/2006/relationships/hyperlink" Target="https://finance.biggo.com/news/US_APP_2026-08-05" TargetMode="External"/><Relationship Id="rId18" Type="http://schemas.openxmlformats.org/officeDocument/2006/relationships/hyperlink" Target="https://finance.yahoo.com/markets/stocks/articles/app-stock-hits-fresh-52-212057952.html" TargetMode="External"/><Relationship Id="rId19" Type="http://schemas.openxmlformats.org/officeDocument/2006/relationships/hyperlink" Target="https://247wallst.com/investing/2026/09/23/applovin-drops-5-as-edgewater-warns-market-share-growth-has-stalled-magnite-slips-trade-desk-slips-3/" TargetMode="External"/><Relationship Id="rId20" Type="http://schemas.openxmlformats.org/officeDocument/2006/relationships/hyperlink" Target="https://www.businesswire.com/news/home/20260701336632/en/AppLovin-to-Announce-Second-Quarter-2026-Results" TargetMode="External"/><Relationship Id="rId21" Type="http://schemas.openxmlformats.org/officeDocument/2006/relationships/hyperlink" Target="https://www.sec.gov/Archives/edgar/data/0001751008/000175100826000057/exhibit991-2q26earningspre.htm" TargetMode="External"/><Relationship Id="rId22" Type="http://schemas.openxmlformats.org/officeDocument/2006/relationships/hyperlink" Target="https://finance.yahoo.com/markets/stocks/articles/applovin-nasdaq-app-misses-q2-203826929.html" TargetMode="External"/><Relationship Id="rId23" Type="http://schemas.openxmlformats.org/officeDocument/2006/relationships/hyperlink" Target="https://www.alphavantage.co/" TargetMode="External"/><Relationship Id="rId24" Type="http://schemas.openxmlformats.org/officeDocument/2006/relationships/hyperlink" Target="https://247wallst.com/investing/2026/09/23/applovin-drops-5-as-edgewater-warns-market-share-growth-has-stalled-magnite-slips-trade-desk-slips-3/" TargetMode="External"/><Relationship Id="rId25" Type="http://schemas.openxmlformats.org/officeDocument/2006/relationships/hyperlink" Target="https://stocktwits.com/news-articles/markets/equity/app-stock-drops-edgewater-says-app-lovin-growth-has-stalled-citi-sees-rapid-client-expansion/cZMEyuMRBJo" TargetMode="External"/><Relationship Id="rId26" Type="http://schemas.openxmlformats.org/officeDocument/2006/relationships/hyperlink" Target="https://investors.unity.com/news/news-details/2026/Unity-Reports-Second-Quarter-2026-Financial-Results/default.aspx" TargetMode="External"/><Relationship Id="rId27" Type="http://schemas.openxmlformats.org/officeDocument/2006/relationships/hyperlink" Target="https://finance.biggo.com/news/US_U_2026-08-06" TargetMode="External"/><Relationship Id="rId28" Type="http://schemas.openxmlformats.org/officeDocument/2006/relationships/hyperlink" Target="https://gamedevreports.substack.com/p/sensor-tower-mobile-game-ad-monetization" TargetMode="External"/><Relationship Id="rId29" Type="http://schemas.openxmlformats.org/officeDocument/2006/relationships/hyperlink" Target="https://gameworldobserver.com/2026/07/06/in-2025-mobile-game-advertising-revenue-exceeded-12-billion-analytics" TargetMode="External"/><Relationship Id="rId30" Type="http://schemas.openxmlformats.org/officeDocument/2006/relationships/hyperlink" Target="https://sensortower.com/blog/h1-2026-digital-gaming-market-index" TargetMode="External"/><Relationship Id="rId31" Type="http://schemas.openxmlformats.org/officeDocument/2006/relationships/hyperlink" Target="https://seekingalpha.com/news/4632027-liftoff-forecasts-870m-880m-2026-revenue-as-it-guides-to-59-percent-adjusted-ebitda-margin" TargetMode="External"/><Relationship Id="rId32" Type="http://schemas.openxmlformats.org/officeDocument/2006/relationships/hyperlink" Target="https://www.sec.gov/Archives/edgar/data/0001850351/000162828026056173/fy26q2earningsrelease.htm" TargetMode="External"/><Relationship Id="rId33" Type="http://schemas.openxmlformats.org/officeDocument/2006/relationships/hyperlink" Target="https://eciks.org/6504-13668-liftoff-mobile-launches-ipo-roadshow-targeting-3-66b-valuation-on-nasdaq" TargetMode="External"/><Relationship Id="rId34" Type="http://schemas.openxmlformats.org/officeDocument/2006/relationships/hyperlink" Target="https://www.prnewswire.com/news-releases/digital-turbine-reports-strong-fiscal-2027-first-quarter-financial-results-and-raises-full-year-guidance-302842847.html" TargetMode="External"/><Relationship Id="rId35" Type="http://schemas.openxmlformats.org/officeDocument/2006/relationships/hyperlink" Target="https://finance.yahoo.com/media-advertising/articles/applovin-gains-e-commerce-ad-161100854.html" TargetMode="External"/><Relationship Id="rId36" Type="http://schemas.openxmlformats.org/officeDocument/2006/relationships/hyperlink" Target="https://commonthreadco.com/blogs/coachs-corner/applovin-axon-self-serve-ecommerce-june-2026" TargetMode="External"/><Relationship Id="rId37" Type="http://schemas.openxmlformats.org/officeDocument/2006/relationships/hyperlink" Target="https://za.investing.com/news/stock-market-news/gaming-stocks-fall-after-meta-unveils-ai-gamebuilding-tools-4477190" TargetMode="External"/><Relationship Id="rId38" Type="http://schemas.openxmlformats.org/officeDocument/2006/relationships/hyperlink" Target="https://www.tikr.com/blog/applovin-stock-is-down-54-in-2026-and-facing-a-class-action-heres-where-it-could-go" TargetMode="External"/><Relationship Id="rId39" Type="http://schemas.openxmlformats.org/officeDocument/2006/relationships/hyperlink" Target="https://www.globenewswire.com/news-release/2026/09/25/3369014/0/en/app-stock-drop-alert-applovin-stock-plummets-20-after-ai-progress-issues-revealed-bfa-law-notifies-investors-of-the-imminent-november-16-deadline.html" TargetMode="External"/><Relationship Id="rId40" Type="http://schemas.openxmlformats.org/officeDocument/2006/relationships/hyperlink" Target="https://www.trefis.com/stock/app/articles/617272/applovin-stock-extends-a-7-day-losing-streak-to-a-12-loss/2026-10-01" TargetMode="External"/><Relationship Id="rId41" Type="http://schemas.openxmlformats.org/officeDocument/2006/relationships/hyperlink" Target="https://www.tipranks.com/stocks/app/earnings" TargetMode="External"/><Relationship Id="rId42" Type="http://schemas.openxmlformats.org/officeDocument/2006/relationships/hyperlink" Target="https://finance.yahoo.com/markets/stocks/articles/app-stock-hits-fresh-52-212057952.html" TargetMode="External"/><Relationship Id="rId43" Type="http://schemas.openxmlformats.org/officeDocument/2006/relationships/hyperlink" Target="https://mobilegamer.biz/applovin-sues-unity-over-alleged-data-collection-through-its-ad-quality-sdk/" TargetMode="External"/><Relationship Id="rId44" Type="http://schemas.openxmlformats.org/officeDocument/2006/relationships/hyperlink" Target="https://ppc.land/applovin-sues-unity-to-halt-ad-quality-data-collection-within-5-business-days/" TargetMode="External"/><Relationship Id="rId45" Type="http://schemas.openxmlformats.org/officeDocument/2006/relationships/hyperlink" Target="https://pulse2.com/unity-strategic-grow-revenue-targets-up-to-385-million-in-q3-as-vector-ai-drives-68-to-70-growth/" TargetMode="External"/><Relationship Id="rId46" Type="http://schemas.openxmlformats.org/officeDocument/2006/relationships/hyperlink" Target="https://www.tradingpedia.com/2026/09/23/applovin-dips-as-analyst-warns-ad-growth-may-be-stalling/" TargetMode="External"/><Relationship Id="rId47" Type="http://schemas.openxmlformats.org/officeDocument/2006/relationships/hyperlink" Target="https://www.tradingview.com/news/benzinga:2a82193f6094b:0-applovin-stock-falls-to-52-week-low-what-s-happening/" TargetMode="External"/><Relationship Id="rId48" Type="http://schemas.openxmlformats.org/officeDocument/2006/relationships/hyperlink" Target="https://s21.q4cdn.com/165405286/files/doc_financials/2026/q2/AppLovin-2Q26-Earnings-Press-Release.pdf" TargetMode="External"/><Relationship Id="rId49" Type="http://schemas.openxmlformats.org/officeDocument/2006/relationships/hyperlink" Target="https://www.sec.gov/Archives/edgar/data/1751008/000175100826000059/app-20260630.htm" TargetMode="External"/><Relationship Id="rId50" Type="http://schemas.openxmlformats.org/officeDocument/2006/relationships/hyperlink" Target="https://www.investing.com/news/transcripts/earnings-call-transcript-applovin-slips-on-q2-revenue-miss-shares-fall-16-in-q2-2026-93CH-4839615" TargetMode="External"/><Relationship Id="rId51" Type="http://schemas.openxmlformats.org/officeDocument/2006/relationships/hyperlink" Target="https://www.alphavantage.co/" TargetMode="External"/><Relationship Id="rId52" Type="http://schemas.openxmlformats.org/officeDocument/2006/relationships/hyperlink" Target="https://www.alphavantage.co/" TargetMode="External"/><Relationship Id="rId53" Type="http://schemas.openxmlformats.org/officeDocument/2006/relationships/hyperlink" Target="https://www.tikr.com/blog/applovin-stock-is-down-54-in-2026-and-facing-a-class-action-heres-where-it-could-go" TargetMode="External"/><Relationship Id="rId54" Type="http://schemas.openxmlformats.org/officeDocument/2006/relationships/hyperlink" Target="https://www.globenewswire.com/news-release/2026/09/30/3372254/1020/en/kaplan-fox-urges-investors-of-applovin-corporation-nasdaq-app-with-significant-losses-to-seek-a-leadership-role-before-november-16-2026.html" TargetMode="External"/><Relationship Id="rId55" Type="http://schemas.openxmlformats.org/officeDocument/2006/relationships/hyperlink" Target="https://finance.yahoo.com/markets/stocks/articles/applovin-real-problem-isn-t-112602774.html" TargetMode="External"/><Relationship Id="rId56" Type="http://schemas.openxmlformats.org/officeDocument/2006/relationships/hyperlink" Target="https://www.gurufocus.com/news/9047961/app-maintained-by-piper-sandler-price-target-lowered-to-325" TargetMode="External"/><Relationship Id="rId57" Type="http://schemas.openxmlformats.org/officeDocument/2006/relationships/hyperlink" Target="https://247wallst.com/investing/2026/09/23/applovin-drops-5-as-edgewater-warns-market-share-growth-has-stalled-magnite-slips-trade-desk-slips-3/" TargetMode="External"/><Relationship Id="rId58" Type="http://schemas.openxmlformats.org/officeDocument/2006/relationships/hyperlink" Target="https://www.investing.com/news/stock-market-news/why-is-applovin-stock-slipping-today-93CH-4924597" TargetMode="External"/><Relationship Id="rId59" Type="http://schemas.openxmlformats.org/officeDocument/2006/relationships/hyperlink" Target="https://www.cnbc.com/2026/01/27/applovin-short-seller-capitalwatch-report.html" TargetMode="External"/><Relationship Id="rId60" Type="http://schemas.openxmlformats.org/officeDocument/2006/relationships/hyperlink" Target="https://www.cnbc.com/2026/02/09/short-seller-capitalwatch-retraction-applovin-hao-tang.html" TargetMode="External"/><Relationship Id="rId61" Type="http://schemas.openxmlformats.org/officeDocument/2006/relationships/hyperlink" Target="https://247wallst.com/investing/2026/03/26/applovin-plunges-8-as-short-sellers-circle-is-apps-ai-growth-story-under-threat/" TargetMode="External"/><Relationship Id="rId62" Type="http://schemas.openxmlformats.org/officeDocument/2006/relationships/hyperlink" Target="https://sherwood.news/markets/applovin-sinks-amid-report-that-multiple-state-regulators-are-looking-into/" TargetMode="External"/><Relationship Id="rId63" Type="http://schemas.openxmlformats.org/officeDocument/2006/relationships/hyperlink" Target="https://www.morningstar.com/stocks/applovin-sec-probe-into-data-collection-practices-lends-some-legitimacy-short-reports" TargetMode="External"/><Relationship Id="rId64" Type="http://schemas.openxmlformats.org/officeDocument/2006/relationships/hyperlink" Target="https://www.sec.gov/Archives/edgar/data/1751008/000119312524271603/d896321d8k.htm" TargetMode="External"/><Relationship Id="rId65" Type="http://schemas.openxmlformats.org/officeDocument/2006/relationships/hyperlink" Target="https://www.ifre.com/bonds/699608/applovin-marks-ig-bond-debut" TargetMode="External"/><Relationship Id="rId66" Type="http://schemas.openxmlformats.org/officeDocument/2006/relationships/hyperlink" Target="https://www.trefis.com/stock/app/articles/617272/applovin-stock-extends-a-7-day-losing-streak-to-a-12-loss/2026-10-01" TargetMode="External"/><Relationship Id="rId67" Type="http://schemas.openxmlformats.org/officeDocument/2006/relationships/hyperlink" Target="https://www.stocktitan.net/sec-filings/APP/8-k-app-lovin-corp-reports-material-event-5d751427e0dd.html" TargetMode="External"/><Relationship Id="rId68" Type="http://schemas.openxmlformats.org/officeDocument/2006/relationships/hyperlink" Target="https://www.marketscreener.com/news/applovin-insider-sold-shares-worth-11-158-868-according-to-a-recent-sec-filing-ce7f5cded88df423" TargetMode="External"/><Relationship Id="rId69" Type="http://schemas.openxmlformats.org/officeDocument/2006/relationships/hyperlink" Target="https://www.tradingview.com/news/zacks:7655f0236094b:0-unity-gains-on-vector-momentum-how-to-play-the-stock-in-2h26/" TargetMode="External"/><Relationship Id="rId70" Type="http://schemas.openxmlformats.org/officeDocument/2006/relationships/hyperlink" Target="https://www.tipranks.com/stocks/app/earnings" TargetMode="External"/><Relationship Id="rId71" Type="http://schemas.openxmlformats.org/officeDocument/2006/relationships/hyperlink" Target="https://rolfstrasse.substack.com/p/applovin-the-ai-advertising-engine" TargetMode="External"/><Relationship Id="rId72" Type="http://schemas.openxmlformats.org/officeDocument/2006/relationships/hyperlink" Target="https://adtechradar.com/2026/08/05/applovin-sec-inquiry-q2-2026-earnings/" TargetMode="External"/><Relationship Id="rId73" Type="http://schemas.openxmlformats.org/officeDocument/2006/relationships/hyperlink" Target="https://www.sec.gov/Archives/edgar/data/1751008/000184839526000010/primarydocument.xml" TargetMode="External"/><Relationship Id="rId74" Type="http://schemas.openxmlformats.org/officeDocument/2006/relationships/hyperlink" Target="https://www.sec.gov/Archives/edgar/data/1751008/000184839526000012/primarydocument.xml" TargetMode="External"/><Relationship Id="rId75" Type="http://schemas.openxmlformats.org/officeDocument/2006/relationships/hyperlink" Target="https://www.sec.gov/Archives/edgar/data/1751008/000195004726005915/primary_doc.xml" TargetMode="External"/><Relationship Id="rId76" Type="http://schemas.openxmlformats.org/officeDocument/2006/relationships/hyperlink" Target="https://finance.yahoo.com/markets/stocks/articles/app-stock-hits-fresh-52-212057952.html" TargetMode="External"/><Relationship Id="rId77" Type="http://schemas.openxmlformats.org/officeDocument/2006/relationships/hyperlink" Target="https://www.prnewswire.com/news-releases/applovin-legal-alert-applovin-app-investors-who-lost-money-are-notified-of-the-upcoming-deadline-in-the-ongoing-securities-fraud-class-action-302891831.html" TargetMode="External"/><Relationship Id="rId78" Type="http://schemas.openxmlformats.org/officeDocument/2006/relationships/hyperlink" Target="https://www.sec.gov/Archives/edgar/data/0001751008/000175100826000057/exhibit991-2q26earningspre.htm" TargetMode="External"/><Relationship Id="rId79" Type="http://schemas.openxmlformats.org/officeDocument/2006/relationships/hyperlink" Target="https://www.globenewswire.com/news-release/2026/09/25/3369014/0/en/app-stock-drop-alert-applovin-stock-plummets-20-after-ai-progress-issues-revealed-bfa-law-notifies-investors-of-the-imminent-november-16-deadline.html" TargetMode="External"/><Relationship Id="rId80" Type="http://schemas.openxmlformats.org/officeDocument/2006/relationships/hyperlink" Target="https://www.alphavantage.co/query?function=EARNINGS_ESTIMATES&amp;symbol=APP" TargetMode="External"/><Relationship Id="rId81" Type="http://schemas.openxmlformats.org/officeDocument/2006/relationships/hyperlink" Target="https://www.tikr.com/blog/applovin-stock-is-down-54-in-2026-and-facing-a-class-action-heres-where-it-could-go" TargetMode="External"/><Relationship Id="rId82" Type="http://schemas.openxmlformats.org/officeDocument/2006/relationships/hyperlink" Target="https://gamedevreports.substack.com/p/sensor-tower-mobile-game-ad-monetization" TargetMode="External"/><Relationship Id="rId83" Type="http://schemas.openxmlformats.org/officeDocument/2006/relationships/hyperlink" Target="https://stocktwits.com/news-articles/markets/equity/app-stock-hits-fresh-52-week-low-after-wells-fargo-calls-pixel-install-spike-a-false-start/cZMFmvgRBLK" TargetMode="External"/><Relationship Id="rId84" Type="http://schemas.openxmlformats.org/officeDocument/2006/relationships/hyperlink" Target="https://www.gurufocus.com/news/9103485/wells-fargo-flags-surge-in-applovins-pixel-adoption-amid-investor-inquiries-app" TargetMode="External"/><Relationship Id="rId85" Type="http://schemas.openxmlformats.org/officeDocument/2006/relationships/hyperlink" Target="https://commonthreadco.com/blogs/coachs-corner/applovin-q2-2026-earnings-ecommerce-advertisers" TargetMode="External"/><Relationship Id="rId86" Type="http://schemas.openxmlformats.org/officeDocument/2006/relationships/hyperlink" Target="https://finance.yahoo.com/media-advertising/articles/applovin-gains-e-commerce-ad-161100854.html" TargetMode="External"/><Relationship Id="rId87" Type="http://schemas.openxmlformats.org/officeDocument/2006/relationships/hyperlink" Target="https://avenuez.com/blog/an-ecommerce-marketers-take-on-the-applovin-short-reports/" TargetMode="External"/><Relationship Id="rId88" Type="http://schemas.openxmlformats.org/officeDocument/2006/relationships/hyperlink" Target="https://www.techtimes.com/articles/323336/20260806/applovin-stock-lost-40b-16m-miss-while-sec-cleared-axon-data-probe.htm" TargetMode="External"/><Relationship Id="rId89" Type="http://schemas.openxmlformats.org/officeDocument/2006/relationships/hyperlink" Target="https://247wallst.com/investing/2026/10/01/applovin-falls-3-as-wells-fargo-calls-pixel-install-spike-a-false-start-trade-desk-sits-out-the-selloff-magnite-dips/" TargetMode="External"/><Relationship Id="rId90" Type="http://schemas.openxmlformats.org/officeDocument/2006/relationships/hyperlink" Target="https://naavik.co/digest/unitys-ad-driven-turnaround/" TargetMode="External"/><Relationship Id="rId91" Type="http://schemas.openxmlformats.org/officeDocument/2006/relationships/hyperlink" Target="https://marketchameleon.com/Overview/APP/Earnings/Earnings-Dates/" TargetMode="External"/><Relationship Id="rId92" Type="http://schemas.openxmlformats.org/officeDocument/2006/relationships/hyperlink" Target="https://finance.yahoo.com/markets/stocks/articles/applovin-drops-5-edgewater-warns-134813190.html" TargetMode="External"/><Relationship Id="rId93" Type="http://schemas.openxmlformats.org/officeDocument/2006/relationships/hyperlink" Target="https://investors.unity.com/news/news-details/2026/Unity-Reports-Second-Quarter-2026-Financial-Results/default.aspx" TargetMode="External"/><Relationship Id="rId94" Type="http://schemas.openxmlformats.org/officeDocument/2006/relationships/hyperlink" Target="https://apps.shopify.com/applovin" TargetMode="External"/><Relationship Id="rId95" Type="http://schemas.openxmlformats.org/officeDocument/2006/relationships/hyperlink" Target="https://finance.biggo.com/news/US_U_2026-08-06" TargetMode="External"/><Relationship Id="rId96" Type="http://schemas.openxmlformats.org/officeDocument/2006/relationships/hyperlink" Target="https://franklin407.substack.com/p/applovin-deepdive" TargetMode="External"/><Relationship Id="rId97" Type="http://schemas.openxmlformats.org/officeDocument/2006/relationships/hyperlink" Target="https://www.marketbeat.com/stocks/NASDAQ/APP/earnings/" TargetMode="External"/><Relationship Id="rId98" Type="http://schemas.openxmlformats.org/officeDocument/2006/relationships/hyperlink" Target="https://s21.q4cdn.com/165405286/files/doc_financials/2026/q2/AppLovin-2Q26-Earnings-Press-Release.pdf" TargetMode="External"/><Relationship Id="rId99" Type="http://schemas.openxmlformats.org/officeDocument/2006/relationships/hyperlink" Target="https://www.tikr.com/blog/applovin-stock-is-down-54-in-2026-and-facing-a-class-action-heres-where-it-could-go" TargetMode="External"/><Relationship Id="rId100" Type="http://schemas.openxmlformats.org/officeDocument/2006/relationships/hyperlink" Target="https://www.alphavantage.co/query?function=EARNINGS_ESTIMATES&amp;symbol=APP" TargetMode="External"/><Relationship Id="rId101" Type="http://schemas.openxmlformats.org/officeDocument/2006/relationships/hyperlink" Target="https://247wallst.com/investing/2026/09/23/applovin-drops-5-as-edgewater-warns-market-share-growth-has-stalled-magnite-slips-trade-desk-slips-3/" TargetMode="External"/><Relationship Id="rId102" Type="http://schemas.openxmlformats.org/officeDocument/2006/relationships/hyperlink" Target="https://www.gurufocus.com/news/9093413/applovin-stock-falls-as-edgewater-sees-growth-hitting-a-ceiling" TargetMode="External"/><Relationship Id="rId103" Type="http://schemas.openxmlformats.org/officeDocument/2006/relationships/hyperlink" Target="https://www.sec.gov/Archives/edgar/data/1751008/000175100826000059/app-20260630.htm" TargetMode="External"/><Relationship Id="rId104" Type="http://schemas.openxmlformats.org/officeDocument/2006/relationships/hyperlink" Target="https://www.alphavantage.co/query?function=TIME_SERIES_MONTHLY_ADJUSTED&amp;symbol=APP" TargetMode="External"/><Relationship Id="rId105" Type="http://schemas.openxmlformats.org/officeDocument/2006/relationships/hyperlink" Target="https://www.edwardconard.com/macro-roundup/btw-1985-and-2024-the-median-drawdown-for-6500-us-stocks-was-85-with-a-duration-of-2-5-years-from-peak-to-trough-and-another-2-5-years-to-recovery-more-than-one-half-of-all-stocks-never-recover-t/" TargetMode="External"/><Relationship Id="rId106" Type="http://schemas.openxmlformats.org/officeDocument/2006/relationships/hyperlink" Target="https://www.fool.com/investing/2026/01/08/why-the-trade-desk-stock-collapsed-68-in-2025/" TargetMode="External"/><Relationship Id="rId107" Type="http://schemas.openxmlformats.org/officeDocument/2006/relationships/hyperlink" Target="https://www.cnbc.com/2023/12/18/metas-stock-wrapping-up-record-year-spurred-by-cost-cuts.html" TargetMode="External"/><Relationship Id="rId108" Type="http://schemas.openxmlformats.org/officeDocument/2006/relationships/hyperlink" Target="https://polymarket.com/event/fed-decision-in-october" TargetMode="External"/><Relationship Id="rId109" Type="http://schemas.openxmlformats.org/officeDocument/2006/relationships/hyperlink" Target="https://polymarket.com/search?q=recession" TargetMode="External"/><Relationship Id="rId110" Type="http://schemas.openxmlformats.org/officeDocument/2006/relationships/hyperlink" Target="https://polymarket.com/search?q=iran" TargetMode="External"/><Relationship Id="rId111" Type="http://schemas.openxmlformats.org/officeDocument/2006/relationships/hyperlink" Target="https://www.globenewswire.com/news-release/2026/09/25/3369014/0/en/app-stock-drop-alert-applovin-stock-plummets-20-after-ai-progress-issues-revealed-bfa-law-notifies-investors-of-the-imminent-november-16-deadline.html" TargetMode="External"/><Relationship Id="rId112" Type="http://schemas.openxmlformats.org/officeDocument/2006/relationships/hyperlink" Target="https://www.fool.com/investing/2026/07/22/why-applovin-stock-fell-24-in-the-first-half-of-20/" TargetMode="External"/><Relationship Id="rId113" Type="http://schemas.openxmlformats.org/officeDocument/2006/relationships/hyperlink" Target="https://commonthreadco.com/blogs/coachs-corner/applovin-q2-2026-earnings-ecommerce-advertisers" TargetMode="External"/><Relationship Id="rId114" Type="http://schemas.openxmlformats.org/officeDocument/2006/relationships/hyperlink" Target="https://natlawreview.com/article/applovin-faces-sec-scrutiny-over-alleged-data-practices" TargetMode="External"/><Relationship Id="rId115" Type="http://schemas.openxmlformats.org/officeDocument/2006/relationships/hyperlink" Target="https://www.tipranks.com/stocks/app/earnings" TargetMode="External"/><Relationship Id="rId116" Type="http://schemas.openxmlformats.org/officeDocument/2006/relationships/hyperlink" Target="https://manifold.markets/search?q=applovin" TargetMode="External"/><Relationship Id="rId117" Type="http://schemas.openxmlformats.org/officeDocument/2006/relationships/hyperlink" Target="https://adtechradar.com/2026/08/05/applovin-sec-inquiry-q2-2026-earnings/" TargetMode="External"/><Relationship Id="rId118" Type="http://schemas.openxmlformats.org/officeDocument/2006/relationships/hyperlink" Target="https://uk.finance.yahoo.com/news/sec-probe-involving-applovin-still-201911096.html" TargetMode="External"/><Relationship Id="rId119" Type="http://schemas.openxmlformats.org/officeDocument/2006/relationships/hyperlink" Target="https://finance.yahoo.com/markets/stocks/articles/app-stock-hits-fresh-52-212057952.html" TargetMode="External"/><Relationship Id="rId120" Type="http://schemas.openxmlformats.org/officeDocument/2006/relationships/hyperlink" Target="https://ca.investing.com/news/stock-market-news/wells-fargo-reiterates-applovin-stock-rating-on-ecommerce-growth-analysis-93CH-4859586" TargetMode="External"/><Relationship Id="rId121" Type="http://schemas.openxmlformats.org/officeDocument/2006/relationships/hyperlink" Target="https://www.morganstanley.com/im/en-us/individual-investor/insights/consilient-observer/drawdowns-and-recoveries.html" TargetMode="External"/><Relationship Id="rId122" Type="http://schemas.openxmlformats.org/officeDocument/2006/relationships/hyperlink" Target="https://www.sec.gov/Archives/edgar/data/0001751008/000175100826000057/exhibit991-2q26earningspre.htm" TargetMode="External"/><Relationship Id="rId123" Type="http://schemas.openxmlformats.org/officeDocument/2006/relationships/hyperlink" Target="https://www.sec.gov/Archives/edgar/data/0001751008/000175100826000057/exhibit991-2q26earningspre.htm" TargetMode="External"/><Relationship Id="rId124" Type="http://schemas.openxmlformats.org/officeDocument/2006/relationships/hyperlink" Target="https://www.sec.gov/Archives/edgar/data/1751008/000175100826000059/app-20260630.htm" TargetMode="External"/><Relationship Id="rId125" Type="http://schemas.openxmlformats.org/officeDocument/2006/relationships/hyperlink" Target="https://www.sec.gov/Archives/edgar/data/1751008/000175100826000044/app-20260331.htm" TargetMode="External"/><Relationship Id="rId126" Type="http://schemas.openxmlformats.org/officeDocument/2006/relationships/hyperlink" Target="https://www.sec.gov/Archives/edgar/data/1751008/000184839526000010/primarydocument.xml" TargetMode="External"/><Relationship Id="rId127" Type="http://schemas.openxmlformats.org/officeDocument/2006/relationships/hyperlink" Target="https://www.sec.gov/Archives/edgar/data/1751008/000184839526000012/primarydocument.xml" TargetMode="External"/><Relationship Id="rId128" Type="http://schemas.openxmlformats.org/officeDocument/2006/relationships/hyperlink" Target="https://www.sec.gov/Archives/edgar/data/1751008/000184839526000005/primarydocument.xml" TargetMode="External"/><Relationship Id="rId129" Type="http://schemas.openxmlformats.org/officeDocument/2006/relationships/hyperlink" Target="https://www.sec.gov/Archives/edgar/data/1751008/000195004726005915/primary_doc.xml" TargetMode="External"/><Relationship Id="rId130" Type="http://schemas.openxmlformats.org/officeDocument/2006/relationships/hyperlink" Target="https://www.sec.gov/Archives/edgar/data/1810806/000181080626000041/a2026q2ex-991.htm" TargetMode="External"/><Relationship Id="rId131" Type="http://schemas.openxmlformats.org/officeDocument/2006/relationships/hyperlink" Target="https://mobilegamer.biz/applovin-sues-unity-over-alleged-data-collection-through-its-ad-quality-sdk/" TargetMode="External"/><Relationship Id="rId132" Type="http://schemas.openxmlformats.org/officeDocument/2006/relationships/hyperlink" Target="https://investors.applovin.com/news/default.aspx" TargetMode="External"/><Relationship Id="rId133" Type="http://schemas.openxmlformats.org/officeDocument/2006/relationships/hyperlink" Target="https://data.sec.gov/submissions/CIK0001751008.json" TargetMode="External"/><Relationship Id="rId134" Type="http://schemas.openxmlformats.org/officeDocument/2006/relationships/hyperlink" Target="https://www.sec.gov/Archives/edgar/data/1751008/000175100826000059/app-20260630.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4"/>
      <c r="D4" s="3" t="s">
        <v>4</v>
      </c>
    </row>
    <row r="5" customFormat="false" ht="15" hidden="false" customHeight="false" outlineLevel="0" collapsed="false">
      <c r="A5" s="5" t="s">
        <v>5</v>
      </c>
      <c r="B5" s="6" t="n">
        <v>228.5</v>
      </c>
      <c r="D5" s="7" t="s">
        <v>6</v>
      </c>
    </row>
    <row r="6" customFormat="false" ht="15" hidden="false" customHeight="false" outlineLevel="0" collapsed="false">
      <c r="A6" s="5" t="s">
        <v>7</v>
      </c>
      <c r="B6" s="8" t="n">
        <v>0.67</v>
      </c>
      <c r="D6" s="7" t="s">
        <v>8</v>
      </c>
    </row>
    <row r="7" customFormat="false" ht="15" hidden="false" customHeight="false" outlineLevel="0" collapsed="false">
      <c r="A7" s="5" t="s">
        <v>9</v>
      </c>
      <c r="B7" s="8" t="n">
        <v>0.33</v>
      </c>
      <c r="D7" s="7" t="s">
        <v>10</v>
      </c>
    </row>
    <row r="8" customFormat="false" ht="23.85" hidden="false" customHeight="false" outlineLevel="0" collapsed="false">
      <c r="A8" s="5" t="s">
        <v>11</v>
      </c>
      <c r="B8" s="8" t="n">
        <v>0</v>
      </c>
      <c r="D8" s="7" t="s">
        <v>12</v>
      </c>
    </row>
    <row r="9" customFormat="false" ht="15" hidden="false" customHeight="false" outlineLevel="0" collapsed="false">
      <c r="A9" s="5" t="s">
        <v>13</v>
      </c>
      <c r="B9" s="9" t="n">
        <v>466.76</v>
      </c>
      <c r="D9" s="7" t="s">
        <v>14</v>
      </c>
    </row>
    <row r="10" customFormat="false" ht="15" hidden="false" customHeight="false" outlineLevel="0" collapsed="false">
      <c r="A10" s="5" t="s">
        <v>15</v>
      </c>
      <c r="B10" s="10" t="n">
        <v>0</v>
      </c>
      <c r="D10" s="7" t="s">
        <v>16</v>
      </c>
    </row>
    <row r="11" customFormat="false" ht="23.85" hidden="false" customHeight="false" outlineLevel="0" collapsed="false">
      <c r="A11" s="5" t="s">
        <v>17</v>
      </c>
      <c r="B11" s="11" t="n">
        <v>0.0504</v>
      </c>
      <c r="D11" s="7" t="s">
        <v>18</v>
      </c>
    </row>
    <row r="12" customFormat="false" ht="15" hidden="false" customHeight="false" outlineLevel="0" collapsed="false">
      <c r="A12" s="5" t="s">
        <v>19</v>
      </c>
      <c r="B12" s="6" t="n">
        <v>185</v>
      </c>
      <c r="D12" s="7" t="s">
        <v>20</v>
      </c>
    </row>
    <row r="13" customFormat="false" ht="15" hidden="false" customHeight="false" outlineLevel="0" collapsed="false">
      <c r="A13" s="5" t="s">
        <v>21</v>
      </c>
      <c r="B13" s="12" t="n">
        <v>0.6999</v>
      </c>
      <c r="D13" s="7" t="s">
        <v>22</v>
      </c>
    </row>
    <row r="15" customFormat="false" ht="23.85" hidden="false" customHeight="false" outlineLevel="0" collapsed="false">
      <c r="A15" s="5" t="s">
        <v>23</v>
      </c>
      <c r="B15" s="13" t="n">
        <f aca="false">EXP(INDEX(Distribution!$B$6:$B$20,MIN(MAX(IFERROR(MATCH(0.5,Distribution!$C$6:$C$20,-1),1),1),14))+(LN(MIN(MAX(0.5,0.0001),0.9999)/(1-MIN(MAX(0.5,0.0001),0.9999)))-INDEX(Distribution!$P$6:$P$20,MIN(MAX(IFERROR(MATCH(0.5,Distribution!$C$6:$C$20,-1),1),1),14)))/(INDEX(Distribution!$P$6:$P$20,MIN(MAX(IFERROR(MATCH(0.5,Distribution!$C$6:$C$20,-1),1),1),14)+1)-INDEX(Distribution!$P$6:$P$20,MIN(MAX(IFERROR(MATCH(0.5,Distribution!$C$6:$C$20,-1),1),1),14)))*(INDEX(Distribution!$B$6:$B$20,MIN(MAX(IFERROR(MATCH(0.5,Distribution!$C$6:$C$20,-1),1),1),14)+1)-INDEX(Distribution!$B$6:$B$20,MIN(MAX(IFERROR(MATCH(0.5,Distribution!$C$6:$C$20,-1),1),1),14))))</f>
        <v>207.241682159344</v>
      </c>
      <c r="D15" s="7" t="s">
        <v>24</v>
      </c>
    </row>
    <row r="17" customFormat="false" ht="15" hidden="false" customHeight="false" outlineLevel="0" collapsed="false">
      <c r="A17" s="3" t="s">
        <v>25</v>
      </c>
      <c r="B17" s="3" t="s">
        <v>26</v>
      </c>
      <c r="C17" s="3" t="s">
        <v>27</v>
      </c>
      <c r="D17" s="3" t="s">
        <v>28</v>
      </c>
    </row>
    <row r="18" customFormat="false" ht="15" hidden="false" customHeight="false" outlineLevel="0" collapsed="false">
      <c r="A18" s="5" t="s">
        <v>29</v>
      </c>
      <c r="B18" s="13" t="n">
        <f aca="false">Methods!C7</f>
        <v>348.5</v>
      </c>
      <c r="C18" s="13" t="n">
        <f aca="false">Methods!E7</f>
        <v>348</v>
      </c>
    </row>
    <row r="19" customFormat="false" ht="15" hidden="false" customHeight="false" outlineLevel="0" collapsed="false">
      <c r="A19" s="5" t="s">
        <v>30</v>
      </c>
      <c r="B19" s="13" t="n">
        <f aca="false">Methods!C12</f>
        <v>334.05</v>
      </c>
      <c r="C19" s="13" t="n">
        <f aca="false">Methods!E12</f>
        <v>333</v>
      </c>
    </row>
    <row r="20" customFormat="false" ht="15" hidden="false" customHeight="false" outlineLevel="0" collapsed="false">
      <c r="A20" s="5" t="s">
        <v>31</v>
      </c>
      <c r="B20" s="13" t="n">
        <f aca="false">Methods!C17</f>
        <v>315.3</v>
      </c>
      <c r="C20" s="13" t="n">
        <f aca="false">Methods!E17</f>
        <v>315</v>
      </c>
    </row>
    <row r="21" customFormat="false" ht="15" hidden="false" customHeight="false" outlineLevel="0" collapsed="false">
      <c r="A21" s="5" t="s">
        <v>32</v>
      </c>
      <c r="B21" s="13" t="n">
        <f aca="false">Methods!C22</f>
        <v>310.5</v>
      </c>
      <c r="C21" s="13" t="n">
        <f aca="false">Methods!E22</f>
        <v>310</v>
      </c>
    </row>
    <row r="22" customFormat="false" ht="15" hidden="false" customHeight="false" outlineLevel="0" collapsed="false">
      <c r="A22" s="5" t="s">
        <v>33</v>
      </c>
      <c r="B22" s="13" t="n">
        <f aca="false">Methods!C27</f>
        <v>321.7</v>
      </c>
      <c r="C22" s="13" t="n">
        <f aca="false">Methods!E27</f>
        <v>322</v>
      </c>
    </row>
    <row r="23" customFormat="false" ht="15" hidden="false" customHeight="false" outlineLevel="0" collapsed="false">
      <c r="A23" s="14" t="s">
        <v>34</v>
      </c>
      <c r="B23" s="15" t="n">
        <f aca="false">AVERAGE(B18:B22)</f>
        <v>326.01</v>
      </c>
      <c r="C23" s="15" t="n">
        <f aca="false">AVERAGE(C18:C22)</f>
        <v>325.6</v>
      </c>
    </row>
    <row r="24" customFormat="false" ht="15" hidden="false" customHeight="false" outlineLevel="0" collapsed="false">
      <c r="A24" s="5" t="s">
        <v>35</v>
      </c>
      <c r="B24" s="16" t="n">
        <f aca="false">MEDIAN(B18:B22)</f>
        <v>321.7</v>
      </c>
      <c r="C24" s="16" t="n">
        <f aca="false">MEDIAN(C18:C22)</f>
        <v>322</v>
      </c>
    </row>
    <row r="25" customFormat="false" ht="79.85" hidden="false" customHeight="false" outlineLevel="0" collapsed="false">
      <c r="A25" s="14" t="s">
        <v>36</v>
      </c>
      <c r="C25" s="17" t="n">
        <v>322</v>
      </c>
      <c r="D25" s="7" t="s">
        <v>37</v>
      </c>
    </row>
    <row r="26" customFormat="false" ht="15" hidden="false" customHeight="false" outlineLevel="0" collapsed="false">
      <c r="A26" s="5" t="s">
        <v>38</v>
      </c>
      <c r="C26" s="18" t="n">
        <f aca="false">C25/Spot-1</f>
        <v>0.409190371991247</v>
      </c>
    </row>
    <row r="28" customFormat="false" ht="15" hidden="false" customHeight="false" outlineLevel="0" collapsed="false">
      <c r="A28" s="3" t="s">
        <v>39</v>
      </c>
      <c r="B28" s="3" t="s">
        <v>40</v>
      </c>
      <c r="C28" s="3" t="s">
        <v>41</v>
      </c>
      <c r="D28" s="3" t="s">
        <v>42</v>
      </c>
    </row>
    <row r="29" customFormat="false" ht="15" hidden="false" customHeight="false" outlineLevel="0" collapsed="false">
      <c r="A29" s="5" t="s">
        <v>43</v>
      </c>
      <c r="B29" s="19" t="n">
        <f aca="false">EXP(INDEX(Distribution!$B$6:$B$20,MIN(MAX(IFERROR(MATCH(0.5,Distribution!$U$6:$U$20,-1),1),1),14))+(LN(MIN(MAX(0.5,0.0001),0.9999)/(1-MIN(MAX(0.5,0.0001),0.9999)))-INDEX(Distribution!$V$6:$V$20,MIN(MAX(IFERROR(MATCH(0.5,Distribution!$U$6:$U$20,-1),1),1),14)))/(INDEX(Distribution!$V$6:$V$20,MIN(MAX(IFERROR(MATCH(0.5,Distribution!$U$6:$U$20,-1),1),1),14)+1)-INDEX(Distribution!$V$6:$V$20,MIN(MAX(IFERROR(MATCH(0.5,Distribution!$U$6:$U$20,-1),1),1),14)))*(INDEX(Distribution!$B$6:$B$20,MIN(MAX(IFERROR(MATCH(0.5,Distribution!$U$6:$U$20,-1),1),1),14)+1)-INDEX(Distribution!$B$6:$B$20,MIN(MAX(IFERROR(MATCH(0.5,Distribution!$U$6:$U$20,-1),1),1),14))))</f>
        <v>243.582364062714</v>
      </c>
      <c r="C29" s="6" t="n">
        <v>240.865</v>
      </c>
      <c r="D29" s="7" t="s">
        <v>44</v>
      </c>
    </row>
    <row r="30" customFormat="false" ht="15" hidden="false" customHeight="false" outlineLevel="0" collapsed="false">
      <c r="A30" s="5" t="s">
        <v>45</v>
      </c>
      <c r="B30" s="19" t="n">
        <f aca="false">EXP(INDEX(Distribution!$B$6:$B$20,MIN(MAX(IFERROR(MATCH(0.25,Distribution!$U$6:$U$20,-1),1),1),14))+(LN(MIN(MAX(0.25,0.0001),0.9999)/(1-MIN(MAX(0.25,0.0001),0.9999)))-INDEX(Distribution!$V$6:$V$20,MIN(MAX(IFERROR(MATCH(0.25,Distribution!$U$6:$U$20,-1),1),1),14)))/(INDEX(Distribution!$V$6:$V$20,MIN(MAX(IFERROR(MATCH(0.25,Distribution!$U$6:$U$20,-1),1),1),14)+1)-INDEX(Distribution!$V$6:$V$20,MIN(MAX(IFERROR(MATCH(0.25,Distribution!$U$6:$U$20,-1),1),1),14)))*(INDEX(Distribution!$B$6:$B$20,MIN(MAX(IFERROR(MATCH(0.25,Distribution!$U$6:$U$20,-1),1),1),14)+1)-INDEX(Distribution!$B$6:$B$20,MIN(MAX(IFERROR(MATCH(0.25,Distribution!$U$6:$U$20,-1),1),1),14))))</f>
        <v>379.118023618892</v>
      </c>
      <c r="C30" s="6" t="n">
        <v>374.7985</v>
      </c>
      <c r="D30" s="7" t="s">
        <v>46</v>
      </c>
    </row>
    <row r="31" customFormat="false" ht="15" hidden="false" customHeight="false" outlineLevel="0" collapsed="false">
      <c r="A31" s="5" t="s">
        <v>47</v>
      </c>
      <c r="B31" s="19" t="n">
        <f aca="false">EXP(INDEX(Distribution!$B$6:$B$20,MIN(MAX(IFERROR(MATCH(0.85,Distribution!$U$6:$U$20,-1),1),1),14))+(LN(MIN(MAX(0.85,0.0001),0.9999)/(1-MIN(MAX(0.85,0.0001),0.9999)))-INDEX(Distribution!$V$6:$V$20,MIN(MAX(IFERROR(MATCH(0.85,Distribution!$U$6:$U$20,-1),1),1),14)))/(INDEX(Distribution!$V$6:$V$20,MIN(MAX(IFERROR(MATCH(0.85,Distribution!$U$6:$U$20,-1),1),1),14)+1)-INDEX(Distribution!$V$6:$V$20,MIN(MAX(IFERROR(MATCH(0.85,Distribution!$U$6:$U$20,-1),1),1),14)))*(INDEX(Distribution!$B$6:$B$20,MIN(MAX(IFERROR(MATCH(0.85,Distribution!$U$6:$U$20,-1),1),1),14)+1)-INDEX(Distribution!$B$6:$B$20,MIN(MAX(IFERROR(MATCH(0.85,Distribution!$U$6:$U$20,-1),1),1),14))))</f>
        <v>115.920084338644</v>
      </c>
      <c r="C31" s="6" t="n">
        <v>114.6419</v>
      </c>
      <c r="D31" s="7" t="s">
        <v>48</v>
      </c>
    </row>
    <row r="32" customFormat="false" ht="15" hidden="false" customHeight="false" outlineLevel="0" collapsed="false">
      <c r="A32" s="5" t="s">
        <v>49</v>
      </c>
      <c r="B32" s="16" t="n">
        <f aca="false">Spot*EXP(-2*IV30*SQRT(21/252))</f>
        <v>152.543340691922</v>
      </c>
      <c r="D32" s="7" t="s">
        <v>50</v>
      </c>
    </row>
    <row r="33" customFormat="false" ht="23.85" hidden="false" customHeight="false" outlineLevel="0" collapsed="false">
      <c r="A33" s="14" t="s">
        <v>51</v>
      </c>
      <c r="B33" s="20" t="n">
        <f aca="false">MIN(IF(AND(Thesis_Break&gt;0,Thesis_Break&lt;Spot),MAX(B31,Thesis_Break),B31),B32)</f>
        <v>152.543340691922</v>
      </c>
      <c r="C33" s="21" t="n">
        <v>152.5433</v>
      </c>
      <c r="D33" s="7" t="s">
        <v>52</v>
      </c>
    </row>
    <row r="34" customFormat="false" ht="15" hidden="false" customHeight="false" outlineLevel="0" collapsed="false">
      <c r="A34" s="5" t="s">
        <v>53</v>
      </c>
      <c r="B34" s="18" t="n">
        <f aca="false">B29/Spot-1</f>
        <v>0.0660059696398851</v>
      </c>
      <c r="C34" s="18" t="n">
        <f aca="false">C29/Spot-1</f>
        <v>0.054113785557987</v>
      </c>
    </row>
    <row r="35" customFormat="false" ht="15" hidden="false" customHeight="false" outlineLevel="0" collapsed="false">
      <c r="A35" s="5" t="s">
        <v>54</v>
      </c>
      <c r="C35" s="12" t="n">
        <v>0.5305</v>
      </c>
    </row>
    <row r="36" customFormat="false" ht="23.85" hidden="false" customHeight="false" outlineLevel="0" collapsed="false">
      <c r="A36" s="5" t="s">
        <v>55</v>
      </c>
      <c r="C36" s="6" t="n">
        <v>300.4176</v>
      </c>
      <c r="D36" s="7" t="s">
        <v>56</v>
      </c>
    </row>
    <row r="38" customFormat="false" ht="15" hidden="false" customHeight="false" outlineLevel="0" collapsed="false">
      <c r="A38" s="3" t="s">
        <v>57</v>
      </c>
      <c r="B38" s="4"/>
      <c r="C38" s="4"/>
      <c r="D38" s="4"/>
    </row>
    <row r="39" customFormat="false" ht="15" hidden="false" customHeight="false" outlineLevel="0" collapsed="false">
      <c r="A39" s="22" t="s">
        <v>58</v>
      </c>
      <c r="D39" s="2" t="s">
        <v>59</v>
      </c>
    </row>
    <row r="40" customFormat="false" ht="15" hidden="false" customHeight="false" outlineLevel="0" collapsed="false">
      <c r="A40" s="22" t="s">
        <v>60</v>
      </c>
      <c r="D40" s="2" t="s">
        <v>61</v>
      </c>
    </row>
    <row r="41" customFormat="false" ht="15" hidden="false" customHeight="false" outlineLevel="0" collapsed="false">
      <c r="A41" s="22" t="s">
        <v>62</v>
      </c>
      <c r="D41" s="2" t="s">
        <v>63</v>
      </c>
    </row>
    <row r="42" customFormat="false" ht="15" hidden="false" customHeight="false" outlineLevel="0" collapsed="false">
      <c r="A42" s="22" t="s">
        <v>64</v>
      </c>
      <c r="D42" s="2" t="s">
        <v>65</v>
      </c>
    </row>
    <row r="43" customFormat="false" ht="15" hidden="false" customHeight="false" outlineLevel="0" collapsed="false">
      <c r="A43" s="22" t="s">
        <v>66</v>
      </c>
      <c r="D43" s="2" t="s">
        <v>67</v>
      </c>
    </row>
    <row r="44" customFormat="false" ht="15" hidden="false" customHeight="false" outlineLevel="0" collapsed="false">
      <c r="A44" s="22" t="s">
        <v>68</v>
      </c>
      <c r="D44" s="2" t="s">
        <v>69</v>
      </c>
    </row>
    <row r="45" customFormat="false" ht="15" hidden="false" customHeight="false" outlineLevel="0" collapsed="false">
      <c r="A45" s="22" t="s">
        <v>70</v>
      </c>
      <c r="D45" s="2" t="s">
        <v>71</v>
      </c>
    </row>
  </sheetData>
  <hyperlinks>
    <hyperlink ref="A39" location="'Assumptions'!A1" display="Assumptions"/>
    <hyperlink ref="A40" location="'Methods'!A1" display="Methods"/>
    <hyperlink ref="A41" location="'Scenarios'!A1" display="Scenarios"/>
    <hyperlink ref="A42" location="'Distribution'!A1" display="Distribution"/>
    <hyperlink ref="A43" location="'Reasoning'!A1" display="Reasoning"/>
    <hyperlink ref="A44" location="'Supervisor'!A1" display="Supervisor"/>
    <hyperlink ref="A45"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85"/>
    <col collapsed="false" customWidth="true" hidden="false" outlineLevel="0" max="7" min="5" style="0" width="28"/>
    <col collapsed="false" customWidth="true" hidden="false" outlineLevel="0" max="8" min="8" style="0" width="14"/>
    <col collapsed="false" customWidth="true" hidden="false" outlineLevel="0" max="10" min="9" style="0" width="12"/>
    <col collapsed="false" customWidth="true" hidden="false" outlineLevel="0" max="11" min="11" style="0" width="22"/>
  </cols>
  <sheetData>
    <row r="1" customFormat="false" ht="17.35" hidden="false" customHeight="false" outlineLevel="0" collapsed="false">
      <c r="A1" s="1" t="s">
        <v>72</v>
      </c>
    </row>
    <row r="2" customFormat="false" ht="15" hidden="false" customHeight="false" outlineLevel="0" collapsed="false">
      <c r="A2" s="2" t="s">
        <v>73</v>
      </c>
    </row>
    <row r="4" customFormat="false" ht="15" hidden="false" customHeight="false" outlineLevel="0" collapsed="false">
      <c r="A4" s="23" t="s">
        <v>74</v>
      </c>
      <c r="B4" s="23" t="s">
        <v>75</v>
      </c>
      <c r="C4" s="23" t="s">
        <v>3</v>
      </c>
      <c r="D4" s="23" t="s">
        <v>66</v>
      </c>
      <c r="E4" s="23" t="s">
        <v>76</v>
      </c>
      <c r="F4" s="23" t="s">
        <v>77</v>
      </c>
      <c r="G4" s="23" t="s">
        <v>78</v>
      </c>
      <c r="H4" s="23" t="s">
        <v>79</v>
      </c>
      <c r="I4" s="23" t="s">
        <v>80</v>
      </c>
      <c r="J4" s="23" t="s">
        <v>81</v>
      </c>
      <c r="K4" s="23" t="s">
        <v>82</v>
      </c>
    </row>
    <row r="5" customFormat="false" ht="23.85" hidden="false" customHeight="false" outlineLevel="0" collapsed="false">
      <c r="A5" s="3" t="s">
        <v>83</v>
      </c>
      <c r="B5" s="24" t="s">
        <v>84</v>
      </c>
      <c r="C5" s="17" t="n">
        <v>20</v>
      </c>
      <c r="D5" s="25" t="s">
        <v>85</v>
      </c>
      <c r="E5" s="26" t="s">
        <v>86</v>
      </c>
      <c r="F5" s="27"/>
      <c r="G5" s="27"/>
      <c r="H5" s="4"/>
      <c r="I5" s="28" t="n">
        <f aca="false">IF(COUNT(C6:C10)&gt;0,MIN(C6:C10),"")</f>
        <v>20</v>
      </c>
      <c r="J5" s="28" t="n">
        <f aca="false">IF(COUNT(C6:C10)&gt;0,MAX(C6:C10),"")</f>
        <v>20</v>
      </c>
      <c r="K5" s="25" t="s">
        <v>87</v>
      </c>
    </row>
    <row r="6" customFormat="false" ht="15" hidden="false" customHeight="false" outlineLevel="0" collapsed="false">
      <c r="A6" s="2" t="s">
        <v>83</v>
      </c>
      <c r="B6" s="5" t="s">
        <v>88</v>
      </c>
      <c r="C6" s="6" t="n">
        <v>20</v>
      </c>
      <c r="D6" s="29" t="s">
        <v>89</v>
      </c>
      <c r="E6" s="30" t="s">
        <v>86</v>
      </c>
      <c r="H6" s="30" t="s">
        <v>90</v>
      </c>
    </row>
    <row r="7" customFormat="false" ht="15" hidden="false" customHeight="false" outlineLevel="0" collapsed="false">
      <c r="A7" s="2" t="s">
        <v>83</v>
      </c>
      <c r="B7" s="5" t="s">
        <v>91</v>
      </c>
      <c r="C7" s="6" t="n">
        <v>20</v>
      </c>
      <c r="D7" s="29" t="s">
        <v>92</v>
      </c>
      <c r="E7" s="30" t="s">
        <v>93</v>
      </c>
      <c r="H7" s="30" t="s">
        <v>94</v>
      </c>
    </row>
    <row r="8" customFormat="false" ht="15" hidden="false" customHeight="false" outlineLevel="0" collapsed="false">
      <c r="A8" s="2" t="s">
        <v>83</v>
      </c>
      <c r="B8" s="5" t="s">
        <v>95</v>
      </c>
      <c r="C8" s="6" t="n">
        <v>20</v>
      </c>
      <c r="D8" s="29" t="s">
        <v>96</v>
      </c>
      <c r="E8" s="30" t="s">
        <v>93</v>
      </c>
      <c r="H8" s="30" t="s">
        <v>97</v>
      </c>
    </row>
    <row r="9" customFormat="false" ht="15" hidden="false" customHeight="false" outlineLevel="0" collapsed="false">
      <c r="A9" s="2" t="s">
        <v>83</v>
      </c>
      <c r="B9" s="5" t="s">
        <v>98</v>
      </c>
      <c r="C9" s="6" t="n">
        <v>20</v>
      </c>
      <c r="D9" s="29" t="s">
        <v>99</v>
      </c>
      <c r="E9" s="30" t="s">
        <v>100</v>
      </c>
      <c r="H9" s="30" t="s">
        <v>101</v>
      </c>
    </row>
    <row r="10" customFormat="false" ht="15" hidden="false" customHeight="false" outlineLevel="0" collapsed="false">
      <c r="A10" s="2" t="s">
        <v>83</v>
      </c>
      <c r="B10" s="5" t="s">
        <v>102</v>
      </c>
      <c r="C10" s="6" t="n">
        <v>20</v>
      </c>
      <c r="D10" s="29" t="s">
        <v>103</v>
      </c>
      <c r="E10" s="30" t="s">
        <v>93</v>
      </c>
      <c r="H10" s="30" t="s">
        <v>104</v>
      </c>
    </row>
    <row r="12" customFormat="false" ht="35.05" hidden="false" customHeight="false" outlineLevel="0" collapsed="false">
      <c r="A12" s="3" t="s">
        <v>105</v>
      </c>
      <c r="B12" s="24" t="s">
        <v>106</v>
      </c>
      <c r="C12" s="17" t="n">
        <v>19.2</v>
      </c>
      <c r="D12" s="25" t="s">
        <v>107</v>
      </c>
      <c r="E12" s="26" t="s">
        <v>86</v>
      </c>
      <c r="F12" s="26" t="s">
        <v>108</v>
      </c>
      <c r="G12" s="26" t="s">
        <v>109</v>
      </c>
      <c r="H12" s="4"/>
      <c r="I12" s="28" t="n">
        <f aca="false">IF(COUNT(C13:C17)&gt;0,MIN(C13:C17),"")</f>
        <v>19</v>
      </c>
      <c r="J12" s="28" t="n">
        <f aca="false">IF(COUNT(C13:C17)&gt;0,MAX(C13:C17),"")</f>
        <v>19.3</v>
      </c>
      <c r="K12" s="25" t="s">
        <v>110</v>
      </c>
    </row>
    <row r="13" customFormat="false" ht="35.05" hidden="false" customHeight="false" outlineLevel="0" collapsed="false">
      <c r="A13" s="2" t="s">
        <v>105</v>
      </c>
      <c r="B13" s="5" t="s">
        <v>111</v>
      </c>
      <c r="C13" s="6" t="n">
        <v>19.2</v>
      </c>
      <c r="D13" s="29" t="s">
        <v>112</v>
      </c>
      <c r="E13" s="30" t="s">
        <v>86</v>
      </c>
      <c r="F13" s="30" t="s">
        <v>109</v>
      </c>
      <c r="G13" s="30" t="s">
        <v>108</v>
      </c>
      <c r="H13" s="30" t="s">
        <v>113</v>
      </c>
    </row>
    <row r="14" customFormat="false" ht="35.05" hidden="false" customHeight="false" outlineLevel="0" collapsed="false">
      <c r="A14" s="2" t="s">
        <v>105</v>
      </c>
      <c r="B14" s="5" t="s">
        <v>114</v>
      </c>
      <c r="C14" s="6" t="n">
        <v>19.3</v>
      </c>
      <c r="D14" s="29" t="s">
        <v>115</v>
      </c>
      <c r="E14" s="30" t="s">
        <v>93</v>
      </c>
      <c r="F14" s="30" t="s">
        <v>116</v>
      </c>
      <c r="G14" s="30" t="s">
        <v>117</v>
      </c>
      <c r="H14" s="30" t="s">
        <v>118</v>
      </c>
    </row>
    <row r="15" customFormat="false" ht="23.85" hidden="false" customHeight="false" outlineLevel="0" collapsed="false">
      <c r="A15" s="2" t="s">
        <v>105</v>
      </c>
      <c r="B15" s="5" t="s">
        <v>119</v>
      </c>
      <c r="C15" s="6" t="n">
        <v>19</v>
      </c>
      <c r="D15" s="29" t="s">
        <v>120</v>
      </c>
      <c r="E15" s="30" t="s">
        <v>93</v>
      </c>
      <c r="F15" s="30" t="s">
        <v>121</v>
      </c>
      <c r="G15" s="30" t="s">
        <v>122</v>
      </c>
      <c r="H15" s="30" t="s">
        <v>123</v>
      </c>
    </row>
    <row r="16" customFormat="false" ht="23.85" hidden="false" customHeight="false" outlineLevel="0" collapsed="false">
      <c r="A16" s="2" t="s">
        <v>105</v>
      </c>
      <c r="B16" s="5" t="s">
        <v>124</v>
      </c>
      <c r="C16" s="6" t="n">
        <v>19</v>
      </c>
      <c r="D16" s="29" t="s">
        <v>125</v>
      </c>
      <c r="E16" s="30" t="s">
        <v>100</v>
      </c>
      <c r="F16" s="30" t="s">
        <v>126</v>
      </c>
      <c r="G16" s="30" t="s">
        <v>127</v>
      </c>
      <c r="H16" s="30" t="s">
        <v>128</v>
      </c>
    </row>
    <row r="17" customFormat="false" ht="23.85" hidden="false" customHeight="false" outlineLevel="0" collapsed="false">
      <c r="A17" s="2" t="s">
        <v>105</v>
      </c>
      <c r="B17" s="5" t="s">
        <v>129</v>
      </c>
      <c r="C17" s="6" t="n">
        <v>19.1</v>
      </c>
      <c r="D17" s="29" t="s">
        <v>130</v>
      </c>
      <c r="E17" s="30" t="s">
        <v>93</v>
      </c>
      <c r="F17" s="30" t="s">
        <v>131</v>
      </c>
      <c r="G17" s="30" t="s">
        <v>132</v>
      </c>
      <c r="H17" s="30" t="s">
        <v>133</v>
      </c>
    </row>
    <row r="19" customFormat="false" ht="35.05" hidden="false" customHeight="false" outlineLevel="0" collapsed="false">
      <c r="A19" s="3" t="s">
        <v>134</v>
      </c>
      <c r="B19" s="24" t="s">
        <v>135</v>
      </c>
      <c r="C19" s="31" t="n">
        <v>0.16</v>
      </c>
      <c r="D19" s="25" t="s">
        <v>136</v>
      </c>
      <c r="E19" s="26" t="s">
        <v>86</v>
      </c>
      <c r="F19" s="27"/>
      <c r="G19" s="27"/>
      <c r="H19" s="4"/>
      <c r="I19" s="32" t="n">
        <f aca="false">IF(COUNT(C20:C24)&gt;0,MIN(C20:C24),"")</f>
        <v>0.16</v>
      </c>
      <c r="J19" s="32" t="n">
        <f aca="false">IF(COUNT(C20:C24)&gt;0,MAX(C20:C24),"")</f>
        <v>0.18</v>
      </c>
      <c r="K19" s="25" t="s">
        <v>137</v>
      </c>
    </row>
    <row r="20" customFormat="false" ht="23.85" hidden="false" customHeight="false" outlineLevel="0" collapsed="false">
      <c r="A20" s="2" t="s">
        <v>134</v>
      </c>
      <c r="B20" s="5" t="s">
        <v>111</v>
      </c>
      <c r="C20" s="12" t="n">
        <v>0.18</v>
      </c>
      <c r="D20" s="29" t="s">
        <v>138</v>
      </c>
      <c r="E20" s="30" t="s">
        <v>139</v>
      </c>
      <c r="F20" s="30" t="s">
        <v>140</v>
      </c>
      <c r="G20" s="30" t="s">
        <v>86</v>
      </c>
      <c r="H20" s="30" t="s">
        <v>141</v>
      </c>
    </row>
    <row r="21" customFormat="false" ht="23.85" hidden="false" customHeight="false" outlineLevel="0" collapsed="false">
      <c r="A21" s="2" t="s">
        <v>134</v>
      </c>
      <c r="B21" s="5" t="s">
        <v>114</v>
      </c>
      <c r="C21" s="12" t="n">
        <v>0.16</v>
      </c>
      <c r="D21" s="29" t="s">
        <v>142</v>
      </c>
      <c r="E21" s="30" t="s">
        <v>93</v>
      </c>
      <c r="F21" s="30" t="s">
        <v>143</v>
      </c>
      <c r="H21" s="30" t="s">
        <v>144</v>
      </c>
    </row>
    <row r="22" customFormat="false" ht="15" hidden="false" customHeight="false" outlineLevel="0" collapsed="false">
      <c r="A22" s="2" t="s">
        <v>134</v>
      </c>
      <c r="B22" s="5" t="s">
        <v>31</v>
      </c>
      <c r="C22" s="7" t="s">
        <v>145</v>
      </c>
      <c r="D22" s="29" t="s">
        <v>146</v>
      </c>
    </row>
    <row r="23" customFormat="false" ht="15" hidden="false" customHeight="false" outlineLevel="0" collapsed="false">
      <c r="A23" s="2" t="s">
        <v>134</v>
      </c>
      <c r="B23" s="5" t="s">
        <v>32</v>
      </c>
      <c r="C23" s="7" t="s">
        <v>145</v>
      </c>
      <c r="D23" s="29" t="s">
        <v>146</v>
      </c>
    </row>
    <row r="24" customFormat="false" ht="15" hidden="false" customHeight="false" outlineLevel="0" collapsed="false">
      <c r="A24" s="2" t="s">
        <v>134</v>
      </c>
      <c r="B24" s="5" t="s">
        <v>147</v>
      </c>
      <c r="C24" s="12" t="n">
        <v>0.16</v>
      </c>
      <c r="D24" s="29" t="s">
        <v>148</v>
      </c>
      <c r="E24" s="30" t="s">
        <v>93</v>
      </c>
      <c r="H24" s="30" t="s">
        <v>104</v>
      </c>
    </row>
    <row r="26" customFormat="false" ht="23.85" hidden="false" customHeight="false" outlineLevel="0" collapsed="false">
      <c r="A26" s="3" t="s">
        <v>149</v>
      </c>
      <c r="B26" s="24" t="s">
        <v>150</v>
      </c>
      <c r="C26" s="17" t="n">
        <v>22</v>
      </c>
      <c r="D26" s="25" t="s">
        <v>151</v>
      </c>
      <c r="E26" s="26" t="s">
        <v>86</v>
      </c>
      <c r="F26" s="27"/>
      <c r="G26" s="27"/>
      <c r="H26" s="4"/>
      <c r="I26" s="28" t="n">
        <f aca="false">IF(COUNT(C27:C31)&gt;0,MIN(C27:C31),"")</f>
        <v>21.8</v>
      </c>
      <c r="J26" s="28" t="n">
        <f aca="false">IF(COUNT(C27:C31)&gt;0,MAX(C27:C31),"")</f>
        <v>22.2</v>
      </c>
      <c r="K26" s="25" t="s">
        <v>137</v>
      </c>
    </row>
    <row r="27" customFormat="false" ht="23.85" hidden="false" customHeight="false" outlineLevel="0" collapsed="false">
      <c r="A27" s="2" t="s">
        <v>149</v>
      </c>
      <c r="B27" s="5" t="s">
        <v>111</v>
      </c>
      <c r="C27" s="6" t="n">
        <v>21.8</v>
      </c>
      <c r="D27" s="29" t="s">
        <v>152</v>
      </c>
      <c r="E27" s="30" t="s">
        <v>86</v>
      </c>
      <c r="F27" s="30" t="s">
        <v>109</v>
      </c>
      <c r="G27" s="30" t="s">
        <v>108</v>
      </c>
      <c r="H27" s="30" t="s">
        <v>153</v>
      </c>
    </row>
    <row r="28" customFormat="false" ht="15" hidden="false" customHeight="false" outlineLevel="0" collapsed="false">
      <c r="A28" s="2" t="s">
        <v>149</v>
      </c>
      <c r="B28" s="5" t="s">
        <v>114</v>
      </c>
      <c r="C28" s="6" t="n">
        <v>22.2</v>
      </c>
      <c r="D28" s="29" t="s">
        <v>154</v>
      </c>
      <c r="E28" s="30" t="s">
        <v>93</v>
      </c>
      <c r="F28" s="30" t="s">
        <v>143</v>
      </c>
      <c r="H28" s="30" t="s">
        <v>144</v>
      </c>
    </row>
    <row r="29" customFormat="false" ht="35.05" hidden="false" customHeight="false" outlineLevel="0" collapsed="false">
      <c r="A29" s="2" t="s">
        <v>149</v>
      </c>
      <c r="B29" s="5" t="s">
        <v>31</v>
      </c>
      <c r="C29" s="7" t="s">
        <v>155</v>
      </c>
      <c r="D29" s="29" t="s">
        <v>156</v>
      </c>
    </row>
    <row r="30" customFormat="false" ht="35.05" hidden="false" customHeight="false" outlineLevel="0" collapsed="false">
      <c r="A30" s="2" t="s">
        <v>149</v>
      </c>
      <c r="B30" s="5" t="s">
        <v>32</v>
      </c>
      <c r="C30" s="7" t="s">
        <v>155</v>
      </c>
      <c r="D30" s="29" t="s">
        <v>156</v>
      </c>
    </row>
    <row r="31" customFormat="false" ht="15" hidden="false" customHeight="false" outlineLevel="0" collapsed="false">
      <c r="A31" s="2" t="s">
        <v>149</v>
      </c>
      <c r="B31" s="5" t="s">
        <v>147</v>
      </c>
      <c r="C31" s="6" t="n">
        <v>22.2</v>
      </c>
      <c r="D31" s="29" t="s">
        <v>157</v>
      </c>
      <c r="E31" s="30" t="s">
        <v>93</v>
      </c>
      <c r="H31" s="30" t="s">
        <v>104</v>
      </c>
    </row>
    <row r="33" customFormat="false" ht="35.05" hidden="false" customHeight="false" outlineLevel="0" collapsed="false">
      <c r="A33" s="3" t="s">
        <v>158</v>
      </c>
      <c r="B33" s="24" t="s">
        <v>159</v>
      </c>
      <c r="C33" s="33" t="n">
        <v>15</v>
      </c>
      <c r="D33" s="25" t="s">
        <v>160</v>
      </c>
      <c r="E33" s="26" t="s">
        <v>161</v>
      </c>
      <c r="F33" s="26" t="s">
        <v>162</v>
      </c>
      <c r="G33" s="26" t="s">
        <v>86</v>
      </c>
      <c r="H33" s="4"/>
      <c r="I33" s="34" t="n">
        <f aca="false">IF(COUNT(C34:C38)&gt;0,MIN(C34:C38),"")</f>
        <v>15</v>
      </c>
      <c r="J33" s="34" t="n">
        <f aca="false">IF(COUNT(C34:C38)&gt;0,MAX(C34:C38),"")</f>
        <v>18</v>
      </c>
      <c r="K33" s="25" t="s">
        <v>137</v>
      </c>
    </row>
    <row r="34" customFormat="false" ht="35.05" hidden="false" customHeight="false" outlineLevel="0" collapsed="false">
      <c r="A34" s="2" t="s">
        <v>158</v>
      </c>
      <c r="B34" s="5" t="s">
        <v>163</v>
      </c>
      <c r="C34" s="35" t="n">
        <v>16</v>
      </c>
      <c r="D34" s="29" t="s">
        <v>164</v>
      </c>
      <c r="E34" s="30" t="s">
        <v>86</v>
      </c>
      <c r="F34" s="30" t="s">
        <v>165</v>
      </c>
      <c r="G34" s="30" t="s">
        <v>161</v>
      </c>
      <c r="H34" s="30" t="s">
        <v>166</v>
      </c>
    </row>
    <row r="35" customFormat="false" ht="35.05" hidden="false" customHeight="false" outlineLevel="0" collapsed="false">
      <c r="A35" s="2" t="s">
        <v>158</v>
      </c>
      <c r="B35" s="5" t="s">
        <v>167</v>
      </c>
      <c r="C35" s="35" t="n">
        <v>15.5</v>
      </c>
      <c r="D35" s="29" t="s">
        <v>168</v>
      </c>
      <c r="E35" s="30" t="s">
        <v>169</v>
      </c>
      <c r="F35" s="30" t="s">
        <v>170</v>
      </c>
      <c r="G35" s="30" t="s">
        <v>93</v>
      </c>
      <c r="H35" s="30" t="s">
        <v>171</v>
      </c>
    </row>
    <row r="36" customFormat="false" ht="23.85" hidden="false" customHeight="false" outlineLevel="0" collapsed="false">
      <c r="A36" s="2" t="s">
        <v>158</v>
      </c>
      <c r="B36" s="5" t="s">
        <v>172</v>
      </c>
      <c r="C36" s="35" t="n">
        <v>17</v>
      </c>
      <c r="D36" s="29" t="s">
        <v>173</v>
      </c>
      <c r="E36" s="30" t="s">
        <v>162</v>
      </c>
      <c r="F36" s="30" t="s">
        <v>174</v>
      </c>
      <c r="G36" s="30" t="s">
        <v>175</v>
      </c>
      <c r="H36" s="30" t="s">
        <v>176</v>
      </c>
    </row>
    <row r="37" customFormat="false" ht="23.85" hidden="false" customHeight="false" outlineLevel="0" collapsed="false">
      <c r="A37" s="2" t="s">
        <v>158</v>
      </c>
      <c r="B37" s="5" t="s">
        <v>177</v>
      </c>
      <c r="C37" s="35" t="n">
        <v>18</v>
      </c>
      <c r="D37" s="29" t="s">
        <v>178</v>
      </c>
      <c r="E37" s="30" t="s">
        <v>100</v>
      </c>
      <c r="F37" s="30" t="s">
        <v>175</v>
      </c>
      <c r="G37" s="30" t="s">
        <v>179</v>
      </c>
      <c r="H37" s="30" t="s">
        <v>180</v>
      </c>
    </row>
    <row r="38" customFormat="false" ht="23.85" hidden="false" customHeight="false" outlineLevel="0" collapsed="false">
      <c r="A38" s="2" t="s">
        <v>158</v>
      </c>
      <c r="B38" s="5" t="s">
        <v>129</v>
      </c>
      <c r="C38" s="35" t="n">
        <v>15</v>
      </c>
      <c r="D38" s="29" t="s">
        <v>181</v>
      </c>
      <c r="E38" s="30" t="s">
        <v>93</v>
      </c>
      <c r="F38" s="30" t="s">
        <v>182</v>
      </c>
      <c r="G38" s="30" t="s">
        <v>183</v>
      </c>
      <c r="H38" s="30" t="s">
        <v>184</v>
      </c>
    </row>
    <row r="40" customFormat="false" ht="15" hidden="false" customHeight="false" outlineLevel="0" collapsed="false">
      <c r="A40" s="3" t="s">
        <v>185</v>
      </c>
      <c r="B40" s="24" t="s">
        <v>186</v>
      </c>
      <c r="C40" s="36" t="n">
        <v>10.26</v>
      </c>
      <c r="D40" s="25" t="s">
        <v>187</v>
      </c>
      <c r="E40" s="26" t="s">
        <v>86</v>
      </c>
      <c r="F40" s="27"/>
      <c r="G40" s="27"/>
      <c r="H40" s="4"/>
      <c r="I40" s="37" t="n">
        <f aca="false">IF(COUNT(C41:C45)&gt;0,MIN(C41:C45),"")</f>
        <v>10.26</v>
      </c>
      <c r="J40" s="37" t="n">
        <f aca="false">IF(COUNT(C41:C45)&gt;0,MAX(C41:C45),"")</f>
        <v>10.26</v>
      </c>
      <c r="K40" s="25" t="s">
        <v>188</v>
      </c>
    </row>
    <row r="41" customFormat="false" ht="35.05" hidden="false" customHeight="false" outlineLevel="0" collapsed="false">
      <c r="A41" s="2" t="s">
        <v>185</v>
      </c>
      <c r="B41" s="5" t="s">
        <v>29</v>
      </c>
      <c r="C41" s="7" t="s">
        <v>189</v>
      </c>
      <c r="D41" s="29" t="s">
        <v>190</v>
      </c>
    </row>
    <row r="42" customFormat="false" ht="15" hidden="false" customHeight="false" outlineLevel="0" collapsed="false">
      <c r="A42" s="2" t="s">
        <v>185</v>
      </c>
      <c r="B42" s="5" t="s">
        <v>91</v>
      </c>
      <c r="C42" s="38" t="n">
        <v>10.26</v>
      </c>
      <c r="D42" s="29" t="s">
        <v>191</v>
      </c>
      <c r="E42" s="30" t="s">
        <v>93</v>
      </c>
      <c r="H42" s="30" t="s">
        <v>94</v>
      </c>
    </row>
    <row r="43" customFormat="false" ht="15" hidden="false" customHeight="false" outlineLevel="0" collapsed="false">
      <c r="A43" s="2" t="s">
        <v>185</v>
      </c>
      <c r="B43" s="5" t="s">
        <v>95</v>
      </c>
      <c r="C43" s="38" t="n">
        <v>10.26</v>
      </c>
      <c r="D43" s="29" t="s">
        <v>192</v>
      </c>
      <c r="E43" s="30" t="s">
        <v>93</v>
      </c>
      <c r="H43" s="30" t="s">
        <v>97</v>
      </c>
    </row>
    <row r="44" customFormat="false" ht="15" hidden="false" customHeight="false" outlineLevel="0" collapsed="false">
      <c r="A44" s="2" t="s">
        <v>185</v>
      </c>
      <c r="B44" s="5" t="s">
        <v>98</v>
      </c>
      <c r="C44" s="38" t="n">
        <v>10.26</v>
      </c>
      <c r="D44" s="29" t="s">
        <v>193</v>
      </c>
      <c r="E44" s="30" t="s">
        <v>100</v>
      </c>
      <c r="H44" s="30" t="s">
        <v>101</v>
      </c>
    </row>
    <row r="45" customFormat="false" ht="15" hidden="false" customHeight="false" outlineLevel="0" collapsed="false">
      <c r="A45" s="2" t="s">
        <v>185</v>
      </c>
      <c r="B45" s="5" t="s">
        <v>102</v>
      </c>
      <c r="C45" s="38" t="n">
        <v>10.26</v>
      </c>
      <c r="D45" s="29" t="s">
        <v>194</v>
      </c>
      <c r="E45" s="30" t="s">
        <v>93</v>
      </c>
      <c r="H45" s="30" t="s">
        <v>104</v>
      </c>
    </row>
    <row r="47" customFormat="false" ht="23.85" hidden="false" customHeight="false" outlineLevel="0" collapsed="false">
      <c r="A47" s="3" t="s">
        <v>195</v>
      </c>
      <c r="B47" s="24" t="s">
        <v>196</v>
      </c>
      <c r="C47" s="36" t="n">
        <v>10</v>
      </c>
      <c r="D47" s="25" t="s">
        <v>197</v>
      </c>
      <c r="E47" s="26" t="s">
        <v>86</v>
      </c>
      <c r="F47" s="26" t="s">
        <v>108</v>
      </c>
      <c r="G47" s="26" t="s">
        <v>109</v>
      </c>
      <c r="H47" s="4"/>
      <c r="I47" s="37" t="n">
        <f aca="false">IF(COUNT(C48:C52)&gt;0,MIN(C48:C52),"")</f>
        <v>9.85</v>
      </c>
      <c r="J47" s="37" t="n">
        <f aca="false">IF(COUNT(C48:C52)&gt;0,MAX(C48:C52),"")</f>
        <v>10.05</v>
      </c>
      <c r="K47" s="25" t="s">
        <v>188</v>
      </c>
    </row>
    <row r="48" customFormat="false" ht="15" hidden="false" customHeight="false" outlineLevel="0" collapsed="false">
      <c r="A48" s="2" t="s">
        <v>195</v>
      </c>
      <c r="B48" s="5" t="s">
        <v>29</v>
      </c>
      <c r="C48" s="7" t="s">
        <v>145</v>
      </c>
      <c r="D48" s="29" t="s">
        <v>146</v>
      </c>
    </row>
    <row r="49" customFormat="false" ht="23.85" hidden="false" customHeight="false" outlineLevel="0" collapsed="false">
      <c r="A49" s="2" t="s">
        <v>195</v>
      </c>
      <c r="B49" s="5" t="s">
        <v>114</v>
      </c>
      <c r="C49" s="38" t="n">
        <v>9.95</v>
      </c>
      <c r="D49" s="29" t="s">
        <v>198</v>
      </c>
      <c r="E49" s="30" t="s">
        <v>93</v>
      </c>
      <c r="F49" s="30" t="s">
        <v>116</v>
      </c>
      <c r="G49" s="30" t="s">
        <v>117</v>
      </c>
      <c r="H49" s="30" t="s">
        <v>199</v>
      </c>
    </row>
    <row r="50" customFormat="false" ht="15" hidden="false" customHeight="false" outlineLevel="0" collapsed="false">
      <c r="A50" s="2" t="s">
        <v>195</v>
      </c>
      <c r="B50" s="5" t="s">
        <v>119</v>
      </c>
      <c r="C50" s="38" t="n">
        <v>9.85</v>
      </c>
      <c r="D50" s="29" t="s">
        <v>200</v>
      </c>
      <c r="E50" s="30" t="s">
        <v>93</v>
      </c>
      <c r="F50" s="30" t="s">
        <v>121</v>
      </c>
      <c r="G50" s="30" t="s">
        <v>122</v>
      </c>
      <c r="H50" s="30" t="s">
        <v>201</v>
      </c>
    </row>
    <row r="51" customFormat="false" ht="15" hidden="false" customHeight="false" outlineLevel="0" collapsed="false">
      <c r="A51" s="2" t="s">
        <v>195</v>
      </c>
      <c r="B51" s="5" t="s">
        <v>124</v>
      </c>
      <c r="C51" s="38" t="n">
        <v>10</v>
      </c>
      <c r="D51" s="29" t="s">
        <v>202</v>
      </c>
      <c r="E51" s="30" t="s">
        <v>100</v>
      </c>
      <c r="F51" s="30" t="s">
        <v>126</v>
      </c>
      <c r="G51" s="30" t="s">
        <v>121</v>
      </c>
      <c r="H51" s="30" t="s">
        <v>203</v>
      </c>
    </row>
    <row r="52" customFormat="false" ht="23.85" hidden="false" customHeight="false" outlineLevel="0" collapsed="false">
      <c r="A52" s="2" t="s">
        <v>195</v>
      </c>
      <c r="B52" s="5" t="s">
        <v>129</v>
      </c>
      <c r="C52" s="38" t="n">
        <v>10.05</v>
      </c>
      <c r="D52" s="29" t="s">
        <v>204</v>
      </c>
      <c r="E52" s="30" t="s">
        <v>93</v>
      </c>
      <c r="F52" s="30" t="s">
        <v>131</v>
      </c>
      <c r="G52" s="30" t="s">
        <v>132</v>
      </c>
      <c r="H52" s="30" t="s">
        <v>205</v>
      </c>
    </row>
    <row r="54" customFormat="false" ht="23.85" hidden="false" customHeight="false" outlineLevel="0" collapsed="false">
      <c r="A54" s="3" t="s">
        <v>206</v>
      </c>
      <c r="B54" s="24" t="s">
        <v>207</v>
      </c>
      <c r="C54" s="31" t="n">
        <v>0.81</v>
      </c>
      <c r="D54" s="25" t="s">
        <v>208</v>
      </c>
      <c r="E54" s="26" t="s">
        <v>209</v>
      </c>
      <c r="F54" s="27"/>
      <c r="G54" s="27"/>
      <c r="H54" s="4"/>
      <c r="I54" s="32" t="n">
        <f aca="false">IF(COUNT(C55:C59)&gt;0,MIN(C55:C59),"")</f>
        <v>0.8</v>
      </c>
      <c r="J54" s="32" t="n">
        <f aca="false">IF(COUNT(C55:C59)&gt;0,MAX(C55:C59),"")</f>
        <v>0.82</v>
      </c>
      <c r="K54" s="25" t="s">
        <v>188</v>
      </c>
    </row>
    <row r="55" customFormat="false" ht="46.25" hidden="false" customHeight="false" outlineLevel="0" collapsed="false">
      <c r="A55" s="2" t="s">
        <v>206</v>
      </c>
      <c r="B55" s="5" t="s">
        <v>29</v>
      </c>
      <c r="C55" s="7" t="s">
        <v>210</v>
      </c>
      <c r="D55" s="29" t="s">
        <v>211</v>
      </c>
    </row>
    <row r="56" customFormat="false" ht="15" hidden="false" customHeight="false" outlineLevel="0" collapsed="false">
      <c r="A56" s="2" t="s">
        <v>206</v>
      </c>
      <c r="B56" s="5" t="s">
        <v>212</v>
      </c>
      <c r="C56" s="12" t="n">
        <v>0.82</v>
      </c>
      <c r="D56" s="29" t="s">
        <v>213</v>
      </c>
      <c r="E56" s="30" t="s">
        <v>143</v>
      </c>
      <c r="H56" s="30" t="s">
        <v>214</v>
      </c>
    </row>
    <row r="57" customFormat="false" ht="23.85" hidden="false" customHeight="false" outlineLevel="0" collapsed="false">
      <c r="A57" s="2" t="s">
        <v>206</v>
      </c>
      <c r="B57" s="5" t="s">
        <v>119</v>
      </c>
      <c r="C57" s="12" t="n">
        <v>0.8</v>
      </c>
      <c r="D57" s="29" t="s">
        <v>215</v>
      </c>
      <c r="E57" s="30" t="s">
        <v>216</v>
      </c>
      <c r="F57" s="30" t="s">
        <v>217</v>
      </c>
      <c r="H57" s="30" t="s">
        <v>218</v>
      </c>
    </row>
    <row r="58" customFormat="false" ht="23.85" hidden="false" customHeight="false" outlineLevel="0" collapsed="false">
      <c r="A58" s="2" t="s">
        <v>206</v>
      </c>
      <c r="B58" s="5" t="s">
        <v>124</v>
      </c>
      <c r="C58" s="12" t="n">
        <v>0.81</v>
      </c>
      <c r="D58" s="29" t="s">
        <v>219</v>
      </c>
      <c r="E58" s="30" t="s">
        <v>220</v>
      </c>
      <c r="H58" s="30" t="s">
        <v>221</v>
      </c>
    </row>
    <row r="59" customFormat="false" ht="15" hidden="false" customHeight="false" outlineLevel="0" collapsed="false">
      <c r="A59" s="2" t="s">
        <v>206</v>
      </c>
      <c r="B59" s="5" t="s">
        <v>147</v>
      </c>
      <c r="C59" s="12" t="n">
        <v>0.82</v>
      </c>
      <c r="D59" s="29" t="s">
        <v>222</v>
      </c>
      <c r="E59" s="30" t="s">
        <v>216</v>
      </c>
      <c r="H59" s="30" t="s">
        <v>223</v>
      </c>
    </row>
    <row r="61" customFormat="false" ht="35.05" hidden="false" customHeight="false" outlineLevel="0" collapsed="false">
      <c r="A61" s="3" t="s">
        <v>224</v>
      </c>
      <c r="B61" s="24" t="s">
        <v>225</v>
      </c>
      <c r="C61" s="36" t="n">
        <v>8.1</v>
      </c>
      <c r="D61" s="25" t="s">
        <v>226</v>
      </c>
      <c r="E61" s="26" t="s">
        <v>86</v>
      </c>
      <c r="F61" s="26" t="s">
        <v>209</v>
      </c>
      <c r="G61" s="27"/>
      <c r="H61" s="4"/>
      <c r="I61" s="37" t="n">
        <f aca="false">IF(COUNT(C62:C66)&gt;0,MIN(C62:C66),"")</f>
        <v>7.9</v>
      </c>
      <c r="J61" s="37" t="n">
        <f aca="false">IF(COUNT(C62:C66)&gt;0,MAX(C62:C66),"")</f>
        <v>9.64</v>
      </c>
      <c r="K61" s="25" t="s">
        <v>188</v>
      </c>
    </row>
    <row r="62" customFormat="false" ht="15" hidden="false" customHeight="false" outlineLevel="0" collapsed="false">
      <c r="A62" s="2" t="s">
        <v>224</v>
      </c>
      <c r="B62" s="5" t="s">
        <v>29</v>
      </c>
      <c r="C62" s="7" t="s">
        <v>145</v>
      </c>
      <c r="D62" s="29" t="s">
        <v>146</v>
      </c>
    </row>
    <row r="63" customFormat="false" ht="15" hidden="false" customHeight="false" outlineLevel="0" collapsed="false">
      <c r="A63" s="2" t="s">
        <v>224</v>
      </c>
      <c r="B63" s="5" t="s">
        <v>114</v>
      </c>
      <c r="C63" s="38" t="n">
        <v>9.1</v>
      </c>
      <c r="D63" s="29" t="s">
        <v>227</v>
      </c>
      <c r="E63" s="30" t="s">
        <v>143</v>
      </c>
      <c r="F63" s="30" t="s">
        <v>93</v>
      </c>
      <c r="H63" s="30" t="s">
        <v>228</v>
      </c>
    </row>
    <row r="64" customFormat="false" ht="15" hidden="false" customHeight="false" outlineLevel="0" collapsed="false">
      <c r="A64" s="2" t="s">
        <v>224</v>
      </c>
      <c r="B64" s="5" t="s">
        <v>119</v>
      </c>
      <c r="C64" s="38" t="n">
        <v>7.9</v>
      </c>
      <c r="D64" s="29" t="s">
        <v>229</v>
      </c>
      <c r="E64" s="30" t="s">
        <v>216</v>
      </c>
      <c r="F64" s="30" t="s">
        <v>93</v>
      </c>
      <c r="G64" s="30" t="s">
        <v>121</v>
      </c>
      <c r="H64" s="30" t="s">
        <v>230</v>
      </c>
    </row>
    <row r="65" customFormat="false" ht="15" hidden="false" customHeight="false" outlineLevel="0" collapsed="false">
      <c r="A65" s="2" t="s">
        <v>224</v>
      </c>
      <c r="B65" s="5" t="s">
        <v>124</v>
      </c>
      <c r="C65" s="38" t="n">
        <v>8.1</v>
      </c>
      <c r="D65" s="29" t="s">
        <v>231</v>
      </c>
      <c r="E65" s="30" t="s">
        <v>220</v>
      </c>
      <c r="F65" s="30" t="s">
        <v>100</v>
      </c>
      <c r="H65" s="30" t="s">
        <v>232</v>
      </c>
    </row>
    <row r="66" customFormat="false" ht="23.85" hidden="false" customHeight="false" outlineLevel="0" collapsed="false">
      <c r="A66" s="2" t="s">
        <v>224</v>
      </c>
      <c r="B66" s="5" t="s">
        <v>147</v>
      </c>
      <c r="C66" s="38" t="n">
        <v>9.64</v>
      </c>
      <c r="D66" s="29" t="s">
        <v>233</v>
      </c>
      <c r="E66" s="30" t="s">
        <v>216</v>
      </c>
      <c r="F66" s="30" t="s">
        <v>93</v>
      </c>
      <c r="G66" s="30" t="s">
        <v>132</v>
      </c>
      <c r="H66" s="30" t="s">
        <v>234</v>
      </c>
    </row>
    <row r="68" customFormat="false" ht="35.05" hidden="false" customHeight="false" outlineLevel="0" collapsed="false">
      <c r="A68" s="3" t="s">
        <v>235</v>
      </c>
      <c r="B68" s="24" t="s">
        <v>236</v>
      </c>
      <c r="C68" s="33" t="n">
        <v>11.5</v>
      </c>
      <c r="D68" s="25" t="s">
        <v>237</v>
      </c>
      <c r="E68" s="26" t="s">
        <v>86</v>
      </c>
      <c r="F68" s="26" t="s">
        <v>209</v>
      </c>
      <c r="G68" s="26" t="s">
        <v>162</v>
      </c>
      <c r="H68" s="4"/>
      <c r="I68" s="34" t="n">
        <f aca="false">IF(COUNT(C69:C73)&gt;0,MIN(C69:C73),"")</f>
        <v>10</v>
      </c>
      <c r="J68" s="34" t="n">
        <f aca="false">IF(COUNT(C69:C73)&gt;0,MAX(C69:C73),"")</f>
        <v>13</v>
      </c>
      <c r="K68" s="25" t="s">
        <v>238</v>
      </c>
    </row>
    <row r="69" customFormat="false" ht="15" hidden="false" customHeight="false" outlineLevel="0" collapsed="false">
      <c r="A69" s="2" t="s">
        <v>235</v>
      </c>
      <c r="B69" s="5" t="s">
        <v>29</v>
      </c>
      <c r="C69" s="7" t="s">
        <v>145</v>
      </c>
      <c r="D69" s="29" t="s">
        <v>146</v>
      </c>
    </row>
    <row r="70" customFormat="false" ht="23.85" hidden="false" customHeight="false" outlineLevel="0" collapsed="false">
      <c r="A70" s="2" t="s">
        <v>235</v>
      </c>
      <c r="B70" s="5" t="s">
        <v>167</v>
      </c>
      <c r="C70" s="35" t="n">
        <v>11.5</v>
      </c>
      <c r="D70" s="29" t="s">
        <v>239</v>
      </c>
      <c r="E70" s="30" t="s">
        <v>93</v>
      </c>
      <c r="F70" s="30" t="s">
        <v>170</v>
      </c>
      <c r="G70" s="30" t="s">
        <v>240</v>
      </c>
      <c r="H70" s="30" t="s">
        <v>241</v>
      </c>
    </row>
    <row r="71" customFormat="false" ht="23.85" hidden="false" customHeight="false" outlineLevel="0" collapsed="false">
      <c r="A71" s="2" t="s">
        <v>235</v>
      </c>
      <c r="B71" s="5" t="s">
        <v>172</v>
      </c>
      <c r="C71" s="35" t="n">
        <v>13</v>
      </c>
      <c r="D71" s="29" t="s">
        <v>242</v>
      </c>
      <c r="E71" s="30" t="s">
        <v>216</v>
      </c>
      <c r="F71" s="30" t="s">
        <v>93</v>
      </c>
      <c r="G71" s="30" t="s">
        <v>162</v>
      </c>
      <c r="H71" s="30" t="s">
        <v>243</v>
      </c>
    </row>
    <row r="72" customFormat="false" ht="23.85" hidden="false" customHeight="false" outlineLevel="0" collapsed="false">
      <c r="A72" s="2" t="s">
        <v>235</v>
      </c>
      <c r="B72" s="5" t="s">
        <v>177</v>
      </c>
      <c r="C72" s="35" t="n">
        <v>12</v>
      </c>
      <c r="D72" s="29" t="s">
        <v>244</v>
      </c>
      <c r="E72" s="30" t="s">
        <v>100</v>
      </c>
      <c r="F72" s="30" t="s">
        <v>175</v>
      </c>
      <c r="G72" s="30" t="s">
        <v>245</v>
      </c>
      <c r="H72" s="30" t="s">
        <v>246</v>
      </c>
    </row>
    <row r="73" customFormat="false" ht="23.85" hidden="false" customHeight="false" outlineLevel="0" collapsed="false">
      <c r="A73" s="2" t="s">
        <v>235</v>
      </c>
      <c r="B73" s="5" t="s">
        <v>129</v>
      </c>
      <c r="C73" s="35" t="n">
        <v>10</v>
      </c>
      <c r="D73" s="29" t="s">
        <v>247</v>
      </c>
      <c r="E73" s="30" t="s">
        <v>93</v>
      </c>
      <c r="F73" s="30" t="s">
        <v>182</v>
      </c>
      <c r="H73" s="30" t="s">
        <v>248</v>
      </c>
    </row>
    <row r="75" customFormat="false" ht="23.85" hidden="false" customHeight="false" outlineLevel="0" collapsed="false">
      <c r="A75" s="3" t="s">
        <v>249</v>
      </c>
      <c r="B75" s="24" t="s">
        <v>250</v>
      </c>
      <c r="C75" s="36" t="n">
        <v>6.4</v>
      </c>
      <c r="D75" s="25" t="s">
        <v>251</v>
      </c>
      <c r="E75" s="26" t="s">
        <v>209</v>
      </c>
      <c r="F75" s="26" t="s">
        <v>252</v>
      </c>
      <c r="G75" s="26" t="s">
        <v>86</v>
      </c>
      <c r="H75" s="4"/>
      <c r="I75" s="37" t="n">
        <f aca="false">IF(COUNT(C76:C80)&gt;0,MIN(C76:C80),"")</f>
        <v>6.18</v>
      </c>
      <c r="J75" s="37" t="n">
        <f aca="false">IF(COUNT(C76:C80)&gt;0,MAX(C76:C80),"")</f>
        <v>6.84</v>
      </c>
      <c r="K75" s="25" t="s">
        <v>253</v>
      </c>
    </row>
    <row r="76" customFormat="false" ht="35.05" hidden="false" customHeight="false" outlineLevel="0" collapsed="false">
      <c r="A76" s="2" t="s">
        <v>249</v>
      </c>
      <c r="B76" s="5" t="s">
        <v>111</v>
      </c>
      <c r="C76" s="38" t="n">
        <v>6.8</v>
      </c>
      <c r="D76" s="29" t="s">
        <v>254</v>
      </c>
      <c r="E76" s="30" t="s">
        <v>209</v>
      </c>
      <c r="F76" s="30" t="s">
        <v>252</v>
      </c>
      <c r="G76" s="30" t="s">
        <v>86</v>
      </c>
      <c r="H76" s="30" t="s">
        <v>255</v>
      </c>
    </row>
    <row r="77" customFormat="false" ht="15" hidden="false" customHeight="false" outlineLevel="0" collapsed="false">
      <c r="A77" s="2" t="s">
        <v>249</v>
      </c>
      <c r="B77" s="5" t="s">
        <v>114</v>
      </c>
      <c r="C77" s="38" t="n">
        <v>6.84</v>
      </c>
      <c r="D77" s="29" t="s">
        <v>256</v>
      </c>
      <c r="E77" s="30" t="s">
        <v>143</v>
      </c>
      <c r="F77" s="30" t="s">
        <v>257</v>
      </c>
      <c r="G77" s="30" t="s">
        <v>93</v>
      </c>
      <c r="H77" s="30" t="s">
        <v>258</v>
      </c>
    </row>
    <row r="78" customFormat="false" ht="23.85" hidden="false" customHeight="false" outlineLevel="0" collapsed="false">
      <c r="A78" s="2" t="s">
        <v>249</v>
      </c>
      <c r="B78" s="5" t="s">
        <v>119</v>
      </c>
      <c r="C78" s="38" t="n">
        <v>6.18</v>
      </c>
      <c r="D78" s="29" t="s">
        <v>259</v>
      </c>
      <c r="E78" s="30" t="s">
        <v>216</v>
      </c>
      <c r="F78" s="30" t="s">
        <v>93</v>
      </c>
      <c r="G78" s="30" t="s">
        <v>260</v>
      </c>
      <c r="H78" s="30" t="s">
        <v>261</v>
      </c>
    </row>
    <row r="79" customFormat="false" ht="23.85" hidden="false" customHeight="false" outlineLevel="0" collapsed="false">
      <c r="A79" s="2" t="s">
        <v>249</v>
      </c>
      <c r="B79" s="5" t="s">
        <v>124</v>
      </c>
      <c r="C79" s="38" t="n">
        <v>6.2</v>
      </c>
      <c r="D79" s="29" t="s">
        <v>262</v>
      </c>
      <c r="E79" s="30" t="s">
        <v>220</v>
      </c>
      <c r="F79" s="30" t="s">
        <v>100</v>
      </c>
      <c r="H79" s="30" t="s">
        <v>232</v>
      </c>
    </row>
    <row r="80" customFormat="false" ht="15" hidden="false" customHeight="false" outlineLevel="0" collapsed="false">
      <c r="A80" s="2" t="s">
        <v>249</v>
      </c>
      <c r="B80" s="5" t="s">
        <v>147</v>
      </c>
      <c r="C80" s="38" t="n">
        <v>6.54</v>
      </c>
      <c r="D80" s="29" t="s">
        <v>263</v>
      </c>
      <c r="E80" s="30" t="s">
        <v>216</v>
      </c>
      <c r="F80" s="30" t="s">
        <v>93</v>
      </c>
      <c r="H80" s="30" t="s">
        <v>264</v>
      </c>
    </row>
    <row r="82" customFormat="false" ht="23.85" hidden="false" customHeight="false" outlineLevel="0" collapsed="false">
      <c r="A82" s="3" t="s">
        <v>265</v>
      </c>
      <c r="B82" s="24" t="s">
        <v>266</v>
      </c>
      <c r="C82" s="31" t="n">
        <v>0.79</v>
      </c>
      <c r="D82" s="25" t="s">
        <v>267</v>
      </c>
      <c r="E82" s="26" t="s">
        <v>209</v>
      </c>
      <c r="F82" s="26" t="s">
        <v>257</v>
      </c>
      <c r="G82" s="27"/>
      <c r="H82" s="4"/>
      <c r="I82" s="32" t="n">
        <f aca="false">IF(COUNT(C83:C87)&gt;0,MIN(C83:C87),"")</f>
        <v>0.75</v>
      </c>
      <c r="J82" s="32" t="n">
        <f aca="false">IF(COUNT(C83:C87)&gt;0,MAX(C83:C87),"")</f>
        <v>0.79</v>
      </c>
      <c r="K82" s="25" t="s">
        <v>253</v>
      </c>
    </row>
    <row r="83" customFormat="false" ht="35.05" hidden="false" customHeight="false" outlineLevel="0" collapsed="false">
      <c r="A83" s="2" t="s">
        <v>265</v>
      </c>
      <c r="B83" s="5" t="s">
        <v>29</v>
      </c>
      <c r="C83" s="7" t="s">
        <v>268</v>
      </c>
      <c r="D83" s="29" t="s">
        <v>269</v>
      </c>
    </row>
    <row r="84" customFormat="false" ht="15" hidden="false" customHeight="false" outlineLevel="0" collapsed="false">
      <c r="A84" s="2" t="s">
        <v>265</v>
      </c>
      <c r="B84" s="5" t="s">
        <v>212</v>
      </c>
      <c r="C84" s="12" t="n">
        <v>0.75</v>
      </c>
      <c r="D84" s="29" t="s">
        <v>270</v>
      </c>
      <c r="E84" s="30" t="s">
        <v>257</v>
      </c>
      <c r="H84" s="30" t="s">
        <v>271</v>
      </c>
    </row>
    <row r="85" customFormat="false" ht="23.85" hidden="false" customHeight="false" outlineLevel="0" collapsed="false">
      <c r="A85" s="2" t="s">
        <v>265</v>
      </c>
      <c r="B85" s="5" t="s">
        <v>119</v>
      </c>
      <c r="C85" s="12" t="n">
        <v>0.78</v>
      </c>
      <c r="D85" s="29" t="s">
        <v>272</v>
      </c>
      <c r="E85" s="30" t="s">
        <v>216</v>
      </c>
      <c r="F85" s="30" t="s">
        <v>260</v>
      </c>
      <c r="H85" s="30" t="s">
        <v>273</v>
      </c>
    </row>
    <row r="86" customFormat="false" ht="35.05" hidden="false" customHeight="false" outlineLevel="0" collapsed="false">
      <c r="A86" s="2" t="s">
        <v>265</v>
      </c>
      <c r="B86" s="5" t="s">
        <v>32</v>
      </c>
      <c r="C86" s="7" t="s">
        <v>274</v>
      </c>
      <c r="D86" s="29" t="s">
        <v>275</v>
      </c>
    </row>
    <row r="87" customFormat="false" ht="23.85" hidden="false" customHeight="false" outlineLevel="0" collapsed="false">
      <c r="A87" s="2" t="s">
        <v>265</v>
      </c>
      <c r="B87" s="5" t="s">
        <v>147</v>
      </c>
      <c r="C87" s="12" t="n">
        <v>0.79</v>
      </c>
      <c r="D87" s="29" t="s">
        <v>276</v>
      </c>
      <c r="E87" s="30" t="s">
        <v>216</v>
      </c>
      <c r="H87" s="30" t="s">
        <v>223</v>
      </c>
    </row>
    <row r="89" customFormat="false" ht="23.85" hidden="false" customHeight="false" outlineLevel="0" collapsed="false">
      <c r="A89" s="3" t="s">
        <v>277</v>
      </c>
      <c r="B89" s="24" t="s">
        <v>278</v>
      </c>
      <c r="C89" s="31" t="n">
        <v>0.96</v>
      </c>
      <c r="D89" s="25" t="s">
        <v>279</v>
      </c>
      <c r="E89" s="26" t="s">
        <v>209</v>
      </c>
      <c r="F89" s="26" t="s">
        <v>252</v>
      </c>
      <c r="G89" s="27"/>
      <c r="H89" s="4"/>
      <c r="I89" s="32" t="n">
        <f aca="false">IF(COUNT(C90:C94)&gt;0,MIN(C90:C94),"")</f>
        <v>0.95</v>
      </c>
      <c r="J89" s="32" t="n">
        <f aca="false">IF(COUNT(C90:C94)&gt;0,MAX(C90:C94),"")</f>
        <v>0.97</v>
      </c>
      <c r="K89" s="25" t="s">
        <v>253</v>
      </c>
    </row>
    <row r="90" customFormat="false" ht="23.85" hidden="false" customHeight="false" outlineLevel="0" collapsed="false">
      <c r="A90" s="2" t="s">
        <v>277</v>
      </c>
      <c r="B90" s="5" t="s">
        <v>111</v>
      </c>
      <c r="C90" s="12" t="n">
        <v>0.95</v>
      </c>
      <c r="D90" s="29" t="s">
        <v>280</v>
      </c>
      <c r="E90" s="30" t="s">
        <v>209</v>
      </c>
      <c r="F90" s="30" t="s">
        <v>252</v>
      </c>
      <c r="H90" s="30" t="s">
        <v>281</v>
      </c>
    </row>
    <row r="91" customFormat="false" ht="15" hidden="false" customHeight="false" outlineLevel="0" collapsed="false">
      <c r="A91" s="2" t="s">
        <v>277</v>
      </c>
      <c r="B91" s="5" t="s">
        <v>30</v>
      </c>
      <c r="C91" s="7" t="s">
        <v>145</v>
      </c>
      <c r="D91" s="29" t="s">
        <v>146</v>
      </c>
    </row>
    <row r="92" customFormat="false" ht="15" hidden="false" customHeight="false" outlineLevel="0" collapsed="false">
      <c r="A92" s="2" t="s">
        <v>277</v>
      </c>
      <c r="B92" s="5" t="s">
        <v>31</v>
      </c>
      <c r="C92" s="7" t="s">
        <v>145</v>
      </c>
      <c r="D92" s="29" t="s">
        <v>146</v>
      </c>
    </row>
    <row r="93" customFormat="false" ht="23.85" hidden="false" customHeight="false" outlineLevel="0" collapsed="false">
      <c r="A93" s="2" t="s">
        <v>277</v>
      </c>
      <c r="B93" s="5" t="s">
        <v>124</v>
      </c>
      <c r="C93" s="12" t="n">
        <v>0.97</v>
      </c>
      <c r="D93" s="29" t="s">
        <v>282</v>
      </c>
      <c r="E93" s="30" t="s">
        <v>220</v>
      </c>
      <c r="F93" s="30" t="s">
        <v>100</v>
      </c>
      <c r="H93" s="30" t="s">
        <v>232</v>
      </c>
    </row>
    <row r="94" customFormat="false" ht="15" hidden="false" customHeight="false" outlineLevel="0" collapsed="false">
      <c r="A94" s="2" t="s">
        <v>277</v>
      </c>
      <c r="B94" s="5" t="s">
        <v>33</v>
      </c>
      <c r="C94" s="7" t="s">
        <v>145</v>
      </c>
      <c r="D94" s="29" t="s">
        <v>146</v>
      </c>
    </row>
    <row r="96" customFormat="false" ht="23.85" hidden="false" customHeight="false" outlineLevel="0" collapsed="false">
      <c r="A96" s="3" t="s">
        <v>283</v>
      </c>
      <c r="B96" s="24" t="s">
        <v>284</v>
      </c>
      <c r="C96" s="31" t="n">
        <v>0.06</v>
      </c>
      <c r="D96" s="25" t="s">
        <v>285</v>
      </c>
      <c r="E96" s="26" t="s">
        <v>161</v>
      </c>
      <c r="F96" s="27"/>
      <c r="G96" s="27"/>
      <c r="H96" s="4"/>
      <c r="I96" s="32" t="n">
        <f aca="false">IF(COUNT(C97:C101)&gt;0,MIN(C97:C101),"")</f>
        <v>0.06</v>
      </c>
      <c r="J96" s="32" t="n">
        <f aca="false">IF(COUNT(C97:C101)&gt;0,MAX(C97:C101),"")</f>
        <v>0.065</v>
      </c>
      <c r="K96" s="25" t="s">
        <v>253</v>
      </c>
    </row>
    <row r="97" customFormat="false" ht="35.05" hidden="false" customHeight="false" outlineLevel="0" collapsed="false">
      <c r="A97" s="2" t="s">
        <v>283</v>
      </c>
      <c r="B97" s="5" t="s">
        <v>163</v>
      </c>
      <c r="C97" s="12" t="n">
        <v>0.06</v>
      </c>
      <c r="D97" s="29" t="s">
        <v>286</v>
      </c>
      <c r="E97" s="30" t="s">
        <v>161</v>
      </c>
      <c r="H97" s="30" t="s">
        <v>287</v>
      </c>
    </row>
    <row r="98" customFormat="false" ht="23.85" hidden="false" customHeight="false" outlineLevel="0" collapsed="false">
      <c r="A98" s="2" t="s">
        <v>283</v>
      </c>
      <c r="B98" s="5" t="s">
        <v>167</v>
      </c>
      <c r="C98" s="12" t="n">
        <v>0.063</v>
      </c>
      <c r="D98" s="29" t="s">
        <v>288</v>
      </c>
      <c r="E98" s="30" t="s">
        <v>169</v>
      </c>
      <c r="H98" s="30" t="s">
        <v>289</v>
      </c>
    </row>
    <row r="99" customFormat="false" ht="23.85" hidden="false" customHeight="false" outlineLevel="0" collapsed="false">
      <c r="A99" s="2" t="s">
        <v>283</v>
      </c>
      <c r="B99" s="5" t="s">
        <v>172</v>
      </c>
      <c r="C99" s="12" t="n">
        <v>0.06</v>
      </c>
      <c r="D99" s="29" t="s">
        <v>290</v>
      </c>
      <c r="E99" s="30" t="s">
        <v>175</v>
      </c>
      <c r="H99" s="30" t="s">
        <v>291</v>
      </c>
    </row>
    <row r="100" customFormat="false" ht="15" hidden="false" customHeight="false" outlineLevel="0" collapsed="false">
      <c r="A100" s="2" t="s">
        <v>283</v>
      </c>
      <c r="B100" s="5" t="s">
        <v>177</v>
      </c>
      <c r="C100" s="12" t="n">
        <v>0.065</v>
      </c>
      <c r="D100" s="29" t="s">
        <v>292</v>
      </c>
      <c r="E100" s="30" t="s">
        <v>175</v>
      </c>
      <c r="H100" s="30" t="s">
        <v>293</v>
      </c>
    </row>
    <row r="101" customFormat="false" ht="23.85" hidden="false" customHeight="false" outlineLevel="0" collapsed="false">
      <c r="A101" s="2" t="s">
        <v>283</v>
      </c>
      <c r="B101" s="5" t="s">
        <v>129</v>
      </c>
      <c r="C101" s="12" t="n">
        <v>0.06</v>
      </c>
      <c r="D101" s="29" t="s">
        <v>294</v>
      </c>
      <c r="E101" s="30" t="s">
        <v>161</v>
      </c>
      <c r="H101" s="30" t="s">
        <v>295</v>
      </c>
    </row>
    <row r="103" customFormat="false" ht="23.85" hidden="false" customHeight="false" outlineLevel="0" collapsed="false">
      <c r="A103" s="3" t="s">
        <v>296</v>
      </c>
      <c r="B103" s="24" t="s">
        <v>297</v>
      </c>
      <c r="C103" s="36" t="n">
        <v>0.46</v>
      </c>
      <c r="D103" s="25" t="s">
        <v>298</v>
      </c>
      <c r="E103" s="26" t="s">
        <v>209</v>
      </c>
      <c r="F103" s="26" t="s">
        <v>252</v>
      </c>
      <c r="G103" s="27"/>
      <c r="H103" s="4"/>
      <c r="I103" s="37" t="n">
        <f aca="false">IF(COUNT(C104:C108)&gt;0,MIN(C104:C108),"")</f>
        <v>0.46</v>
      </c>
      <c r="J103" s="37" t="n">
        <f aca="false">IF(COUNT(C104:C108)&gt;0,MAX(C104:C108),"")</f>
        <v>0.46</v>
      </c>
      <c r="K103" s="25" t="s">
        <v>188</v>
      </c>
    </row>
    <row r="104" customFormat="false" ht="15" hidden="false" customHeight="false" outlineLevel="0" collapsed="false">
      <c r="A104" s="2" t="s">
        <v>296</v>
      </c>
      <c r="B104" s="5" t="s">
        <v>299</v>
      </c>
      <c r="C104" s="38" t="n">
        <v>0.46</v>
      </c>
      <c r="D104" s="29" t="s">
        <v>300</v>
      </c>
      <c r="E104" s="30" t="s">
        <v>209</v>
      </c>
      <c r="F104" s="30" t="s">
        <v>252</v>
      </c>
      <c r="H104" s="30" t="s">
        <v>281</v>
      </c>
    </row>
    <row r="105" customFormat="false" ht="15" hidden="false" customHeight="false" outlineLevel="0" collapsed="false">
      <c r="A105" s="2" t="s">
        <v>296</v>
      </c>
      <c r="B105" s="5" t="s">
        <v>301</v>
      </c>
      <c r="C105" s="38" t="n">
        <v>0.46</v>
      </c>
      <c r="D105" s="29" t="s">
        <v>300</v>
      </c>
      <c r="E105" s="30" t="s">
        <v>143</v>
      </c>
      <c r="H105" s="30" t="s">
        <v>214</v>
      </c>
    </row>
    <row r="106" customFormat="false" ht="15" hidden="false" customHeight="false" outlineLevel="0" collapsed="false">
      <c r="A106" s="2" t="s">
        <v>296</v>
      </c>
      <c r="B106" s="5" t="s">
        <v>302</v>
      </c>
      <c r="C106" s="38" t="n">
        <v>0.46</v>
      </c>
      <c r="D106" s="29" t="s">
        <v>300</v>
      </c>
      <c r="E106" s="30" t="s">
        <v>216</v>
      </c>
      <c r="F106" s="30" t="s">
        <v>252</v>
      </c>
      <c r="H106" s="30" t="s">
        <v>303</v>
      </c>
    </row>
    <row r="107" customFormat="false" ht="15" hidden="false" customHeight="false" outlineLevel="0" collapsed="false">
      <c r="A107" s="2" t="s">
        <v>296</v>
      </c>
      <c r="B107" s="5" t="s">
        <v>304</v>
      </c>
      <c r="C107" s="38" t="n">
        <v>0.46</v>
      </c>
      <c r="D107" s="29" t="s">
        <v>300</v>
      </c>
      <c r="E107" s="30" t="s">
        <v>220</v>
      </c>
      <c r="H107" s="30" t="s">
        <v>221</v>
      </c>
    </row>
    <row r="108" customFormat="false" ht="15" hidden="false" customHeight="false" outlineLevel="0" collapsed="false">
      <c r="A108" s="2" t="s">
        <v>296</v>
      </c>
      <c r="B108" s="5" t="s">
        <v>305</v>
      </c>
      <c r="C108" s="38" t="n">
        <v>0.46</v>
      </c>
      <c r="D108" s="29" t="s">
        <v>306</v>
      </c>
      <c r="E108" s="30" t="s">
        <v>216</v>
      </c>
      <c r="H108" s="30" t="s">
        <v>223</v>
      </c>
    </row>
    <row r="110" customFormat="false" ht="23.85" hidden="false" customHeight="false" outlineLevel="0" collapsed="false">
      <c r="A110" s="3" t="s">
        <v>307</v>
      </c>
      <c r="B110" s="24" t="s">
        <v>308</v>
      </c>
      <c r="C110" s="39" t="n">
        <v>0.328</v>
      </c>
      <c r="D110" s="25" t="s">
        <v>309</v>
      </c>
      <c r="E110" s="26" t="s">
        <v>252</v>
      </c>
      <c r="F110" s="27"/>
      <c r="G110" s="27"/>
      <c r="H110" s="4"/>
      <c r="I110" s="40" t="n">
        <f aca="false">IF(COUNT(C111:C115)&gt;0,MIN(C111:C115),"")</f>
        <v>0.326</v>
      </c>
      <c r="J110" s="40" t="n">
        <f aca="false">IF(COUNT(C111:C115)&gt;0,MAX(C111:C115),"")</f>
        <v>0.33</v>
      </c>
      <c r="K110" s="25" t="s">
        <v>87</v>
      </c>
    </row>
    <row r="111" customFormat="false" ht="23.85" hidden="false" customHeight="false" outlineLevel="0" collapsed="false">
      <c r="A111" s="2" t="s">
        <v>307</v>
      </c>
      <c r="B111" s="5" t="s">
        <v>111</v>
      </c>
      <c r="C111" s="41" t="n">
        <v>0.326</v>
      </c>
      <c r="D111" s="29" t="s">
        <v>310</v>
      </c>
      <c r="E111" s="30" t="s">
        <v>252</v>
      </c>
      <c r="F111" s="30" t="s">
        <v>140</v>
      </c>
      <c r="G111" s="30" t="s">
        <v>209</v>
      </c>
      <c r="H111" s="30" t="s">
        <v>311</v>
      </c>
    </row>
    <row r="112" customFormat="false" ht="23.85" hidden="false" customHeight="false" outlineLevel="0" collapsed="false">
      <c r="A112" s="2" t="s">
        <v>307</v>
      </c>
      <c r="B112" s="5" t="s">
        <v>114</v>
      </c>
      <c r="C112" s="41" t="n">
        <v>0.326</v>
      </c>
      <c r="D112" s="29" t="s">
        <v>312</v>
      </c>
      <c r="E112" s="30" t="s">
        <v>143</v>
      </c>
      <c r="F112" s="30" t="s">
        <v>313</v>
      </c>
      <c r="H112" s="30" t="s">
        <v>314</v>
      </c>
    </row>
    <row r="113" customFormat="false" ht="23.85" hidden="false" customHeight="false" outlineLevel="0" collapsed="false">
      <c r="A113" s="2" t="s">
        <v>307</v>
      </c>
      <c r="B113" s="5" t="s">
        <v>119</v>
      </c>
      <c r="C113" s="41" t="n">
        <v>0.33</v>
      </c>
      <c r="D113" s="29" t="s">
        <v>315</v>
      </c>
      <c r="E113" s="30" t="s">
        <v>216</v>
      </c>
      <c r="F113" s="30" t="s">
        <v>252</v>
      </c>
      <c r="H113" s="30" t="s">
        <v>303</v>
      </c>
    </row>
    <row r="114" customFormat="false" ht="15" hidden="false" customHeight="false" outlineLevel="0" collapsed="false">
      <c r="A114" s="2" t="s">
        <v>307</v>
      </c>
      <c r="B114" s="5" t="s">
        <v>124</v>
      </c>
      <c r="C114" s="41" t="n">
        <v>0.33</v>
      </c>
      <c r="D114" s="29" t="s">
        <v>316</v>
      </c>
      <c r="E114" s="30" t="s">
        <v>220</v>
      </c>
      <c r="H114" s="30" t="s">
        <v>221</v>
      </c>
    </row>
    <row r="115" customFormat="false" ht="15" hidden="false" customHeight="false" outlineLevel="0" collapsed="false">
      <c r="A115" s="2" t="s">
        <v>307</v>
      </c>
      <c r="B115" s="5" t="s">
        <v>147</v>
      </c>
      <c r="C115" s="41" t="n">
        <v>0.33</v>
      </c>
      <c r="D115" s="29" t="s">
        <v>317</v>
      </c>
      <c r="E115" s="30" t="s">
        <v>216</v>
      </c>
      <c r="F115" s="30" t="s">
        <v>252</v>
      </c>
      <c r="H115" s="30" t="s">
        <v>318</v>
      </c>
    </row>
  </sheetData>
  <hyperlinks>
    <hyperlink ref="E5" r:id="rId1" display="Alpha Vantage consensus earnings estimates f…"/>
    <hyperlink ref="E6" r:id="rId2" display="Alpha Vantage consensus earnings estimates f…"/>
    <hyperlink ref="H6" location="'Sources'!A15" display="A1.11"/>
    <hyperlink ref="E7" r:id="rId3" display="Alpha Vantage EARNINGS_ESTIMATES for APP (FY…"/>
    <hyperlink ref="H7" location="'Sources'!A27" display="A2.3"/>
    <hyperlink ref="E8" r:id="rId4" display="Alpha Vantage EARNINGS_ESTIMATES for APP (FY…"/>
    <hyperlink ref="H8" location="'Sources'!A55" display="A3.4"/>
    <hyperlink ref="E9" r:id="rId5" display="Alpha Vantage earnings estimates for APP (FY…"/>
    <hyperlink ref="H9" location="'Sources'!A84" display="A4.3"/>
    <hyperlink ref="E10" r:id="rId6" display="Alpha Vantage EARNINGS_ESTIMATES for APP (FY…"/>
    <hyperlink ref="H10" location="'Sources'!A104" display="A5.3"/>
    <hyperlink ref="E12" r:id="rId7" display="Alpha Vantage consensus earnings estimates f…"/>
    <hyperlink ref="F12" r:id="rId8" display="24/7 Wall St.: AppLovin Drops 5% as Edgewate…"/>
    <hyperlink ref="G12" r:id="rId9" display="Stocktwits/Yahoo: APP Stock Hits Fresh 52-We…"/>
    <hyperlink ref="E13" r:id="rId10" display="Alpha Vantage consensus earnings estimates f…"/>
    <hyperlink ref="F13" r:id="rId11" display="Stocktwits/Yahoo: APP Stock Hits Fresh 52-We…"/>
    <hyperlink ref="G13" r:id="rId12" display="24/7 Wall St.: AppLovin Drops 5% as Edgewate…"/>
    <hyperlink ref="H13" location="'Sources'!A15" display="A1.11, A1.18, A1.19, A1.1"/>
    <hyperlink ref="E14" r:id="rId13" display="Alpha Vantage EARNINGS_ESTIMATES for APP (FY…"/>
    <hyperlink ref="F14" r:id="rId14" display="Edgewater Research: AppLovin growth hitting …"/>
    <hyperlink ref="G14" r:id="rId15" display="Stocktwits/Yahoo: APP hits fresh 52-week low…"/>
    <hyperlink ref="H14" location="'Sources'!A27" display="A2.3, A2.4, A2.22, A2.26"/>
    <hyperlink ref="E15" r:id="rId16" display="Alpha Vantage EARNINGS_ESTIMATES for APP (FY…"/>
    <hyperlink ref="F15" r:id="rId17" display="AppLovin Drops 5% as Edgewater Warns Market …"/>
    <hyperlink ref="G15" r:id="rId18" display="Why is AppLovin stock slipping today? (Wells…"/>
    <hyperlink ref="H15" location="'Sources'!A55" display="A3.4, A3.10, A3.11, A3.29, A3.9"/>
    <hyperlink ref="E16" r:id="rId19" display="Alpha Vantage earnings estimates for APP (FY…"/>
    <hyperlink ref="F16" r:id="rId20" display="APP Stock Hits Fresh 52-Week Low After Wells…"/>
    <hyperlink ref="G16" r:id="rId21" display="Wells Fargo Flags Surge in AppLovin's Pixel …"/>
    <hyperlink ref="H16" location="'Sources'!A84" display="A4.3, A4.6, A4.7, A4.12, A4.15, A4.16, A4.17, A4.18"/>
    <hyperlink ref="E17" r:id="rId22" display="Alpha Vantage EARNINGS_ESTIMATES for APP (FY…"/>
    <hyperlink ref="F17" r:id="rId23" display="24/7 Wall St: AppLovin Drops 5% as Edgewater…"/>
    <hyperlink ref="G17" r:id="rId24" display="Stocktwits / Yahoo: APP Stock Hits Fresh 52-…"/>
    <hyperlink ref="H17" location="'Sources'!A104" display="A5.3, A5.4, A5.22, A5.25"/>
    <hyperlink ref="E19" r:id="rId25" display="Alpha Vantage consensus earnings estimates f…"/>
    <hyperlink ref="E20" r:id="rId26" display="AppLovin Q2 2026 earnings call transcript (E…"/>
    <hyperlink ref="F20" r:id="rId27" display="Earnings call transcript: AppLovin Q2 2026 (…"/>
    <hyperlink ref="G20" r:id="rId28" display="Alpha Vantage consensus earnings estimates f…"/>
    <hyperlink ref="H20" location="'Sources'!A7" display="A1.3, A1.4, A1.11, A1.19"/>
    <hyperlink ref="E21" r:id="rId29" display="Alpha Vantage EARNINGS_ESTIMATES for APP (FY…"/>
    <hyperlink ref="F21" r:id="rId30" display="AppLovin Q2 2026 earnings press release (For…"/>
    <hyperlink ref="H21" location="'Sources'!A27" display="A2.3, A2.1"/>
    <hyperlink ref="E24" r:id="rId31" display="Alpha Vantage EARNINGS_ESTIMATES for APP (FY…"/>
    <hyperlink ref="H24" location="'Sources'!A104" display="A5.3"/>
    <hyperlink ref="E26" r:id="rId32" display="Alpha Vantage consensus earnings estimates f…"/>
    <hyperlink ref="E27" r:id="rId33" display="Alpha Vantage consensus earnings estimates f…"/>
    <hyperlink ref="F27" r:id="rId34" display="Stocktwits/Yahoo: APP Stock Hits Fresh 52-We…"/>
    <hyperlink ref="G27" r:id="rId35" display="24/7 Wall St.: AppLovin Drops 5% as Edgewate…"/>
    <hyperlink ref="H27" location="'Sources'!A15" display="A1.11, A1.18, A1.19, A1.1, A1.3, A1.4"/>
    <hyperlink ref="E28" r:id="rId36" display="Alpha Vantage EARNINGS_ESTIMATES for APP (FY…"/>
    <hyperlink ref="F28" r:id="rId37" display="AppLovin Q2 2026 earnings press release (For…"/>
    <hyperlink ref="H28" location="'Sources'!A27" display="A2.3, A2.1"/>
    <hyperlink ref="E31" r:id="rId38" display="Alpha Vantage EARNINGS_ESTIMATES for APP (FY…"/>
    <hyperlink ref="H31" location="'Sources'!A104" display="A5.3"/>
    <hyperlink ref="E33" r:id="rId39" display="TIKR: AppLovin Stock Is Down 54% in 2026 and…"/>
    <hyperlink ref="F33" r:id="rId40" display="APP Maintained by Piper Sandler -- Price Tar…"/>
    <hyperlink ref="G33" r:id="rId41" display="Alpha Vantage consensus earnings estimates f…"/>
    <hyperlink ref="E34" r:id="rId42" display="Alpha Vantage consensus earnings estimates f…"/>
    <hyperlink ref="F34" r:id="rId43" display="Twelve Data weekly OHLCV for APP, May-Sep 20…"/>
    <hyperlink ref="G34" r:id="rId44" display="TIKR: AppLovin Stock Is Down 54% in 2026 and…"/>
    <hyperlink ref="H34" location="'Sources'!A15" display="A1.11, A1.12, A1.13, A1.18"/>
    <hyperlink ref="E35" r:id="rId45" display="AppLovin stock is down 54% in 2026 and facin…"/>
    <hyperlink ref="F35" r:id="rId46" display="Liftoff Mobile launches IPO roadshow targeti…"/>
    <hyperlink ref="G35" r:id="rId47" display="Alpha Vantage EARNINGS_ESTIMATES for APP (FY…"/>
    <hyperlink ref="H35" location="'Sources'!A42" display="A2.18, A2.13, A2.3, A2.23"/>
    <hyperlink ref="E36" r:id="rId48" display="APP Maintained by Piper Sandler -- Price Tar…"/>
    <hyperlink ref="F36" r:id="rId49" display="AppLovin Stock Extends A 7-Day Losing Streak…"/>
    <hyperlink ref="G36" r:id="rId50" display="AppLovin Stock Is Down 54% in 2026 and Facin…"/>
    <hyperlink ref="H36" location="'Sources'!A60" display="A3.9, A3.19, A3.6"/>
    <hyperlink ref="E37" r:id="rId51" display="Alpha Vantage earnings estimates for APP (FY…"/>
    <hyperlink ref="F37" r:id="rId52" display="AppLovin Stock Is Down 54% in 2026 and Facin…"/>
    <hyperlink ref="G37" r:id="rId53" display="Sensor Tower: Mobile Game Ad Monetization in…"/>
    <hyperlink ref="H37" location="'Sources'!A84" display="A4.3, A4.4, A4.5, A4.19"/>
    <hyperlink ref="E38" r:id="rId54" display="Alpha Vantage EARNINGS_ESTIMATES for APP (FY…"/>
    <hyperlink ref="F38" r:id="rId55" display="Motley Fool: Why the Trade Desk Stock Collap…"/>
    <hyperlink ref="G38" r:id="rId56" display="CNBC: Meta's stock is wrapping up a record y…"/>
    <hyperlink ref="H38" location="'Sources'!A104" display="A5.3, A5.9, A5.10"/>
    <hyperlink ref="E40" r:id="rId57" display="Alpha Vantage consensus earnings estimates f…"/>
    <hyperlink ref="E42" r:id="rId58" display="Alpha Vantage EARNINGS_ESTIMATES for APP (FY…"/>
    <hyperlink ref="H42" location="'Sources'!A27" display="A2.3"/>
    <hyperlink ref="E43" r:id="rId59" display="Alpha Vantage EARNINGS_ESTIMATES for APP (FY…"/>
    <hyperlink ref="H43" location="'Sources'!A55" display="A3.4"/>
    <hyperlink ref="E44" r:id="rId60" display="Alpha Vantage earnings estimates for APP (FY…"/>
    <hyperlink ref="H44" location="'Sources'!A84" display="A4.3"/>
    <hyperlink ref="E45" r:id="rId61" display="Alpha Vantage EARNINGS_ESTIMATES for APP (FY…"/>
    <hyperlink ref="H45" location="'Sources'!A104" display="A5.3"/>
    <hyperlink ref="E47" r:id="rId62" display="Alpha Vantage consensus earnings estimates f…"/>
    <hyperlink ref="F47" r:id="rId63" display="24/7 Wall St.: AppLovin Drops 5% as Edgewate…"/>
    <hyperlink ref="G47" r:id="rId64" display="Stocktwits/Yahoo: APP Stock Hits Fresh 52-We…"/>
    <hyperlink ref="E49" r:id="rId65" display="Alpha Vantage EARNINGS_ESTIMATES for APP (FY…"/>
    <hyperlink ref="F49" r:id="rId66" display="Edgewater Research: AppLovin growth hitting …"/>
    <hyperlink ref="G49" r:id="rId67" display="Stocktwits/Yahoo: APP hits fresh 52-week low…"/>
    <hyperlink ref="H49" location="'Sources'!A27" display="A2.3, A2.4, A2.22"/>
    <hyperlink ref="E50" r:id="rId68" display="Alpha Vantage EARNINGS_ESTIMATES for APP (FY…"/>
    <hyperlink ref="F50" r:id="rId69" display="AppLovin Drops 5% as Edgewater Warns Market …"/>
    <hyperlink ref="G50" r:id="rId70" display="Why is AppLovin stock slipping today? (Wells…"/>
    <hyperlink ref="H50" location="'Sources'!A55" display="A3.4, A3.10, A3.11, A3.29"/>
    <hyperlink ref="E51" r:id="rId71" display="Alpha Vantage earnings estimates for APP (FY…"/>
    <hyperlink ref="F51" r:id="rId72" display="APP Stock Hits Fresh 52-Week Low After Wells…"/>
    <hyperlink ref="G51" r:id="rId73" display="AppLovin Drops 5% as Edgewater Warns Market …"/>
    <hyperlink ref="H51" location="'Sources'!A84" display="A4.3, A4.6, A4.15"/>
    <hyperlink ref="E52" r:id="rId74" display="Alpha Vantage EARNINGS_ESTIMATES for APP (FY…"/>
    <hyperlink ref="F52" r:id="rId75" display="24/7 Wall St: AppLovin Drops 5% as Edgewater…"/>
    <hyperlink ref="G52" r:id="rId76" display="Stocktwits / Yahoo: APP Stock Hits Fresh 52-…"/>
    <hyperlink ref="H52" location="'Sources'!A104" display="A5.3, A5.4, A5.22"/>
    <hyperlink ref="E54" r:id="rId77" display="AppLovin 8-K Ex.99.1: Second Quarter 2026 Fi…"/>
    <hyperlink ref="E56" r:id="rId78" display="AppLovin Q2 2026 earnings press release (For…"/>
    <hyperlink ref="H56" location="'Sources'!A25" display="A2.1"/>
    <hyperlink ref="E57" r:id="rId79" display="AppLovin Announces Second Quarter 2026 Finan…"/>
    <hyperlink ref="F57" r:id="rId80" display="Earnings call transcript: AppLovin slips on …"/>
    <hyperlink ref="H57" location="'Sources'!A52" display="A3.1, A3.3"/>
    <hyperlink ref="E58" r:id="rId81" display="AppLovin Q2 2026 earnings press release (8-K…"/>
    <hyperlink ref="H58" location="'Sources'!A82" display="A4.1"/>
    <hyperlink ref="E59" r:id="rId82" display="AppLovin Announces Second Quarter 2026 Finan…"/>
    <hyperlink ref="H59" location="'Sources'!A102" display="A5.1"/>
    <hyperlink ref="E61" r:id="rId83" display="Alpha Vantage consensus earnings estimates f…"/>
    <hyperlink ref="F61" r:id="rId84" display="AppLovin 8-K Ex.99.1: Second Quarter 2026 Fi…"/>
    <hyperlink ref="E63" r:id="rId85" display="AppLovin Q2 2026 earnings press release (For…"/>
    <hyperlink ref="F63" r:id="rId86" display="Alpha Vantage EARNINGS_ESTIMATES for APP (FY…"/>
    <hyperlink ref="H63" location="'Sources'!A25" display="A2.1, A2.3"/>
    <hyperlink ref="E64" r:id="rId87" display="AppLovin Announces Second Quarter 2026 Finan…"/>
    <hyperlink ref="F64" r:id="rId88" display="Alpha Vantage EARNINGS_ESTIMATES for APP (FY…"/>
    <hyperlink ref="G64" r:id="rId89" display="AppLovin Drops 5% as Edgewater Warns Market …"/>
    <hyperlink ref="H64" location="'Sources'!A52" display="A3.1, A3.4, A3.10, A3.11, A3.29"/>
    <hyperlink ref="E65" r:id="rId90" display="AppLovin Q2 2026 earnings press release (8-K…"/>
    <hyperlink ref="F65" r:id="rId91" display="Alpha Vantage earnings estimates for APP (FY…"/>
    <hyperlink ref="H65" location="'Sources'!A82" display="A4.1, A4.3"/>
    <hyperlink ref="E66" r:id="rId92" display="AppLovin Announces Second Quarter 2026 Finan…"/>
    <hyperlink ref="F66" r:id="rId93" display="Alpha Vantage EARNINGS_ESTIMATES for APP (FY…"/>
    <hyperlink ref="G66" r:id="rId94" display="Stocktwits / Yahoo: APP Stock Hits Fresh 52-…"/>
    <hyperlink ref="H66" location="'Sources'!A102" display="A5.1, A5.3, A5.22"/>
    <hyperlink ref="E68" r:id="rId95" display="Alpha Vantage consensus earnings estimates f…"/>
    <hyperlink ref="F68" r:id="rId96" display="AppLovin 8-K Ex.99.1: Second Quarter 2026 Fi…"/>
    <hyperlink ref="G68" r:id="rId97" display="APP Maintained by Piper Sandler -- Price Tar…"/>
    <hyperlink ref="E70" r:id="rId98" display="Alpha Vantage EARNINGS_ESTIMATES for APP (FY…"/>
    <hyperlink ref="F70" r:id="rId99" display="Liftoff Mobile launches IPO roadshow targeti…"/>
    <hyperlink ref="G70" r:id="rId100" display="Liftoff Mobile Q2 2026 results / FY2026 guid…"/>
    <hyperlink ref="H70" location="'Sources'!A27" display="A2.3, A2.13, A2.11"/>
    <hyperlink ref="E71" r:id="rId101" display="AppLovin Announces Second Quarter 2026 Finan…"/>
    <hyperlink ref="F71" r:id="rId102" display="Alpha Vantage EARNINGS_ESTIMATES for APP (FY…"/>
    <hyperlink ref="G71" r:id="rId103" display="APP Maintained by Piper Sandler -- Price Tar…"/>
    <hyperlink ref="H71" location="'Sources'!A52" display="A3.1, A3.4, A3.9"/>
    <hyperlink ref="E72" r:id="rId104" display="Alpha Vantage earnings estimates for APP (FY…"/>
    <hyperlink ref="F72" r:id="rId105" display="AppLovin Stock Is Down 54% in 2026 and Facin…"/>
    <hyperlink ref="G72" r:id="rId106" display="Unity Reports Second Quarter 2026 Financial …"/>
    <hyperlink ref="H72" location="'Sources'!A84" display="A4.3, A4.4, A4.16"/>
    <hyperlink ref="E73" r:id="rId107" display="Alpha Vantage EARNINGS_ESTIMATES for APP (FY…"/>
    <hyperlink ref="F73" r:id="rId108" display="Motley Fool: Why the Trade Desk Stock Collap…"/>
    <hyperlink ref="H73" location="'Sources'!A104" display="A5.3, A5.9"/>
    <hyperlink ref="E75" r:id="rId109" display="AppLovin 8-K Ex.99.1: Second Quarter 2026 Fi…"/>
    <hyperlink ref="F75" r:id="rId110" display="AppLovin Form 10-Q for quarter ended June 30…"/>
    <hyperlink ref="G75" r:id="rId111" display="Alpha Vantage consensus earnings estimates f…"/>
    <hyperlink ref="E76" r:id="rId112" display="AppLovin 8-K Ex.99.1: Second Quarter 2026 Fi…"/>
    <hyperlink ref="F76" r:id="rId113" display="AppLovin Form 10-Q for quarter ended June 30…"/>
    <hyperlink ref="G76" r:id="rId114" display="Alpha Vantage consensus earnings estimates f…"/>
    <hyperlink ref="H76" location="'Sources'!A5" display="A1.1, A1.2, A1.11, A1.10"/>
    <hyperlink ref="E77" r:id="rId115" display="AppLovin Q2 2026 earnings press release (For…"/>
    <hyperlink ref="F77" r:id="rId116" display="AppLovin (NASDAQ:APP) Misses Q2 CY2026 Reven…"/>
    <hyperlink ref="G77" r:id="rId117" display="Alpha Vantage EARNINGS_ESTIMATES for APP (FY…"/>
    <hyperlink ref="H77" location="'Sources'!A25" display="A2.1, A2.2, A2.3"/>
    <hyperlink ref="E78" r:id="rId118" display="AppLovin Announces Second Quarter 2026 Finan…"/>
    <hyperlink ref="F78" r:id="rId119" display="Alpha Vantage EARNINGS_ESTIMATES for APP (FY…"/>
    <hyperlink ref="G78" r:id="rId120" display="AppLovin 8-K: $3.55bn senior notes (5.125% 2…"/>
    <hyperlink ref="H78" location="'Sources'!A52" display="A3.1, A3.4, A3.17"/>
    <hyperlink ref="E79" r:id="rId121" display="AppLovin Q2 2026 earnings press release (8-K…"/>
    <hyperlink ref="F79" r:id="rId122" display="Alpha Vantage earnings estimates for APP (FY…"/>
    <hyperlink ref="H79" location="'Sources'!A82" display="A4.1, A4.3"/>
    <hyperlink ref="E80" r:id="rId123" display="AppLovin Announces Second Quarter 2026 Finan…"/>
    <hyperlink ref="F80" r:id="rId124" display="Alpha Vantage EARNINGS_ESTIMATES for APP (FY…"/>
    <hyperlink ref="H80" location="'Sources'!A102" display="A5.1, A5.3"/>
    <hyperlink ref="E82" r:id="rId125" display="AppLovin 8-K Ex.99.1: Second Quarter 2026 Fi…"/>
    <hyperlink ref="F82" r:id="rId126" display="AppLovin (NASDAQ:APP) Misses Q2 CY2026 Reven…"/>
    <hyperlink ref="E84" r:id="rId127" display="AppLovin (NASDAQ:APP) Misses Q2 CY2026 Reven…"/>
    <hyperlink ref="H84" location="'Sources'!A26" display="A2.2"/>
    <hyperlink ref="E85" r:id="rId128" display="AppLovin Announces Second Quarter 2026 Finan…"/>
    <hyperlink ref="F85" r:id="rId129" display="AppLovin 8-K: $3.55bn senior notes (5.125% 2…"/>
    <hyperlink ref="H85" location="'Sources'!A52" display="A3.1, A3.17"/>
    <hyperlink ref="E87" r:id="rId130" display="AppLovin Announces Second Quarter 2026 Finan…"/>
    <hyperlink ref="H87" location="'Sources'!A102" display="A5.1"/>
    <hyperlink ref="E89" r:id="rId131" display="AppLovin 8-K Ex.99.1: Second Quarter 2026 Fi…"/>
    <hyperlink ref="F89" r:id="rId132" display="AppLovin Form 10-Q for quarter ended June 30…"/>
    <hyperlink ref="E90" r:id="rId133" display="AppLovin 8-K Ex.99.1: Second Quarter 2026 Fi…"/>
    <hyperlink ref="F90" r:id="rId134" display="AppLovin Form 10-Q for quarter ended June 30…"/>
    <hyperlink ref="H90" location="'Sources'!A5" display="A1.1, A1.2"/>
    <hyperlink ref="E93" r:id="rId135" display="AppLovin Q2 2026 earnings press release (8-K…"/>
    <hyperlink ref="F93" r:id="rId136" display="Alpha Vantage earnings estimates for APP (FY…"/>
    <hyperlink ref="H93" location="'Sources'!A82" display="A4.1, A4.3"/>
    <hyperlink ref="E96" r:id="rId137" display="TIKR: AppLovin Stock Is Down 54% in 2026 and…"/>
    <hyperlink ref="E97" r:id="rId138" display="TIKR: AppLovin Stock Is Down 54% in 2026 and…"/>
    <hyperlink ref="H97" location="'Sources'!A17" display="A1.13"/>
    <hyperlink ref="E98" r:id="rId139" display="AppLovin stock is down 54% in 2026 and facin…"/>
    <hyperlink ref="H98" location="'Sources'!A42" display="A2.18"/>
    <hyperlink ref="E99" r:id="rId140" display="AppLovin Stock Is Down 54% in 2026 and Facin…"/>
    <hyperlink ref="H99" location="'Sources'!A57" display="A3.6"/>
    <hyperlink ref="E100" r:id="rId141" display="AppLovin Stock Is Down 54% in 2026 and Facin…"/>
    <hyperlink ref="H100" location="'Sources'!A85" display="A4.4"/>
    <hyperlink ref="E101" r:id="rId142" display="TIKR: AppLovin Stock Is Down 54% in 2026 and…"/>
    <hyperlink ref="H101" location="'Sources'!A103" display="A5.2"/>
    <hyperlink ref="E103" r:id="rId143" display="AppLovin 8-K Ex.99.1: Second Quarter 2026 Fi…"/>
    <hyperlink ref="F103" r:id="rId144" display="AppLovin Form 10-Q for quarter ended June 30…"/>
    <hyperlink ref="E104" r:id="rId145" display="AppLovin 8-K Ex.99.1: Second Quarter 2026 Fi…"/>
    <hyperlink ref="F104" r:id="rId146" display="AppLovin Form 10-Q for quarter ended June 30…"/>
    <hyperlink ref="H104" location="'Sources'!A5" display="A1.1, A1.2"/>
    <hyperlink ref="E105" r:id="rId147" display="AppLovin Q2 2026 earnings press release (For…"/>
    <hyperlink ref="H105" location="'Sources'!A25" display="A2.1"/>
    <hyperlink ref="E106" r:id="rId148" display="AppLovin Announces Second Quarter 2026 Finan…"/>
    <hyperlink ref="F106" r:id="rId149" display="AppLovin Form 10-Q for quarter ended June 30…"/>
    <hyperlink ref="H106" location="'Sources'!A52" display="A3.1, A3.2"/>
    <hyperlink ref="E107" r:id="rId150" display="AppLovin Q2 2026 earnings press release (8-K…"/>
    <hyperlink ref="H107" location="'Sources'!A82" display="A4.1"/>
    <hyperlink ref="E108" r:id="rId151" display="AppLovin Announces Second Quarter 2026 Finan…"/>
    <hyperlink ref="H108" location="'Sources'!A102" display="A5.1"/>
    <hyperlink ref="E110" r:id="rId152" display="AppLovin Form 10-Q for quarter ended June 30…"/>
    <hyperlink ref="E111" r:id="rId153" display="AppLovin Form 10-Q for quarter ended June 30…"/>
    <hyperlink ref="F111" r:id="rId154" display="Earnings call transcript: AppLovin Q2 2026 (…"/>
    <hyperlink ref="G111" r:id="rId155" display="AppLovin 8-K Ex.99.1: Second Quarter 2026 Fi…"/>
    <hyperlink ref="H111" location="'Sources'!A6" display="A1.2, A1.4, A1.1"/>
    <hyperlink ref="E112" r:id="rId156" display="AppLovin Q2 2026 earnings press release (For…"/>
    <hyperlink ref="F112" r:id="rId157" display="Supervisor: AppLovin Form 10-Q for quarter e…"/>
    <hyperlink ref="H112" location="'Sources'!A25" display="A2.1, X.1"/>
    <hyperlink ref="E113" r:id="rId158" display="AppLovin Announces Second Quarter 2026 Finan…"/>
    <hyperlink ref="F113" r:id="rId159" display="AppLovin Form 10-Q for quarter ended June 30…"/>
    <hyperlink ref="H113" location="'Sources'!A52" display="A3.1, A3.2"/>
    <hyperlink ref="E114" r:id="rId160" display="AppLovin Q2 2026 earnings press release (8-K…"/>
    <hyperlink ref="H114" location="'Sources'!A82" display="A4.1"/>
    <hyperlink ref="E115" r:id="rId161" display="AppLovin Announces Second Quarter 2026 Finan…"/>
    <hyperlink ref="F115" r:id="rId162" display="AppLovin Form 10-Q for quarter ended June 30…"/>
    <hyperlink ref="H115" location="'Sources'!A102" display="A5.1, A5.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1"/>
    <col collapsed="false" customWidth="true" hidden="false" outlineLevel="0" max="8" min="4" style="0" width="10"/>
    <col collapsed="false" customWidth="true" hidden="false" outlineLevel="0" max="11" min="9" style="0" width="11"/>
    <col collapsed="false" customWidth="true" hidden="false" outlineLevel="0" max="12" min="12" style="0" width="9"/>
    <col collapsed="false" customWidth="true" hidden="false" outlineLevel="0" max="13" min="13" style="0" width="10"/>
    <col collapsed="false" customWidth="true" hidden="false" outlineLevel="0" max="14" min="14" style="0" width="6"/>
    <col collapsed="false" customWidth="true" hidden="false" outlineLevel="0" max="15" min="15" style="0" width="12"/>
    <col collapsed="false" customWidth="true" hidden="false" outlineLevel="0" max="16" min="16" style="0" width="9"/>
    <col collapsed="false" customWidth="true" hidden="false" outlineLevel="0" max="17" min="17" style="0" width="10"/>
    <col collapsed="false" customWidth="true" hidden="false" outlineLevel="0" max="18" min="18" style="0" width="6"/>
    <col collapsed="false" customWidth="true" hidden="false" outlineLevel="0" max="21" min="19" style="0" width="11"/>
    <col collapsed="false" customWidth="true" hidden="false" outlineLevel="0" max="22" min="22" style="0" width="9"/>
    <col collapsed="false" customWidth="true" hidden="false" outlineLevel="0" max="23" min="23" style="0" width="12"/>
  </cols>
  <sheetData>
    <row r="1" customFormat="false" ht="17.35" hidden="false" customHeight="false" outlineLevel="0" collapsed="false">
      <c r="A1" s="1" t="s">
        <v>319</v>
      </c>
    </row>
    <row r="2" customFormat="false" ht="15" hidden="false" customHeight="false" outlineLevel="0" collapsed="false">
      <c r="A2" s="2" t="s">
        <v>320</v>
      </c>
    </row>
    <row r="5" customFormat="false" ht="23.85" hidden="false" customHeight="false" outlineLevel="0" collapsed="false">
      <c r="A5" s="23" t="s">
        <v>321</v>
      </c>
      <c r="B5" s="23" t="s">
        <v>322</v>
      </c>
      <c r="C5" s="23" t="s">
        <v>323</v>
      </c>
      <c r="D5" s="23" t="s">
        <v>29</v>
      </c>
      <c r="E5" s="23" t="s">
        <v>30</v>
      </c>
      <c r="F5" s="23" t="s">
        <v>31</v>
      </c>
      <c r="G5" s="23" t="s">
        <v>32</v>
      </c>
      <c r="H5" s="23" t="s">
        <v>33</v>
      </c>
      <c r="I5" s="23" t="s">
        <v>324</v>
      </c>
      <c r="J5" s="23" t="s">
        <v>68</v>
      </c>
      <c r="K5" s="23" t="s">
        <v>325</v>
      </c>
      <c r="L5" s="23" t="s">
        <v>326</v>
      </c>
      <c r="M5" s="23" t="s">
        <v>327</v>
      </c>
      <c r="N5" s="23" t="s">
        <v>328</v>
      </c>
      <c r="O5" s="23" t="s">
        <v>329</v>
      </c>
      <c r="P5" s="23" t="s">
        <v>330</v>
      </c>
      <c r="Q5" s="23" t="s">
        <v>331</v>
      </c>
      <c r="R5" s="23" t="s">
        <v>328</v>
      </c>
      <c r="S5" s="23" t="s">
        <v>332</v>
      </c>
      <c r="T5" s="23" t="s">
        <v>333</v>
      </c>
      <c r="U5" s="23" t="s">
        <v>334</v>
      </c>
      <c r="V5" s="23" t="s">
        <v>335</v>
      </c>
      <c r="W5" s="23" t="s">
        <v>336</v>
      </c>
    </row>
    <row r="6" customFormat="false" ht="15" hidden="false" customHeight="false" outlineLevel="0" collapsed="false">
      <c r="A6" s="6" t="n">
        <v>57.12</v>
      </c>
      <c r="B6" s="42" t="n">
        <f aca="false">LN(A6)</f>
        <v>4.04515431803133</v>
      </c>
      <c r="C6" s="43" t="n">
        <v>0.9672</v>
      </c>
      <c r="D6" s="43" t="n">
        <v>0.9959</v>
      </c>
      <c r="E6" s="43" t="n">
        <v>0.9936</v>
      </c>
      <c r="F6" s="43" t="n">
        <v>0.9944</v>
      </c>
      <c r="G6" s="43" t="n">
        <v>0.9994</v>
      </c>
      <c r="H6" s="43" t="n">
        <v>0.9911</v>
      </c>
      <c r="I6" s="42" t="n">
        <f aca="false">AVERAGE(D6:H6)</f>
        <v>0.99488</v>
      </c>
      <c r="J6" s="43" t="n">
        <v>0.9948</v>
      </c>
      <c r="K6" s="42" t="n">
        <f aca="false">IF(AND(Sup_Used=1,ISNUMBER(J6)),J6,I6)</f>
        <v>0.99488</v>
      </c>
      <c r="L6" s="42" t="n">
        <f aca="false">LN(MIN(MAX(K6,0.0001),0.9999)/(1-MIN(MAX(K6,0.0001),0.9999)))</f>
        <v>5.26946768781897</v>
      </c>
      <c r="M6" s="16" t="n">
        <f aca="false">A6*EXP(-Platt_Shift)</f>
        <v>54.3124953837483</v>
      </c>
      <c r="N6" s="44" t="n">
        <f aca="false">MIN(MAX(IFERROR(MATCH(M6,Distribution!$A$6:$A$20,1),1),1),14)</f>
        <v>1</v>
      </c>
      <c r="O6" s="42" t="n">
        <f aca="false">1/(1+EXP(-(INDEX(Distribution!$L$6:$L$20,N6)+(LN(M6)-INDEX(Distribution!$B$6:$B$20,N6))/(INDEX(Distribution!$B$6:$B$20,N6+1)-INDEX(Distribution!$B$6:$B$20,N6))*(INDEX(Distribution!$L$6:$L$20,N6+1)-INDEX(Distribution!$L$6:$L$20,N6)))))</f>
        <v>0.995637188842151</v>
      </c>
      <c r="P6" s="42" t="n">
        <f aca="false">LN(MIN(MAX(C6,0.0001),0.9999)/(1-MIN(MAX(C6,0.0001),0.9999)))</f>
        <v>3.38397678391048</v>
      </c>
      <c r="Q6" s="16" t="n">
        <f aca="false">IF(Analyst_Median&gt;0,A6*Market_Median/Analyst_Median,A6)</f>
        <v>25.3613096343768</v>
      </c>
      <c r="R6" s="44" t="n">
        <f aca="false">MIN(MAX(IFERROR(MATCH(Q6,Distribution!$A$6:$A$20,1),1),1),14)</f>
        <v>1</v>
      </c>
      <c r="S6" s="42" t="n">
        <f aca="false">1/(1+EXP(-(INDEX(Distribution!$P$6:$P$20,R6)+(LN(Q6)-INDEX(Distribution!$B$6:$B$20,R6))/(INDEX(Distribution!$B$6:$B$20,R6+1)-INDEX(Distribution!$B$6:$B$20,R6))*(INDEX(Distribution!$P$6:$P$20,R6+1)-INDEX(Distribution!$P$6:$P$20,R6)))))</f>
        <v>0.996997615268407</v>
      </c>
      <c r="T6" s="42" t="n">
        <f aca="false">W_Mkt*C6+W_Agents*O6</f>
        <v>0.97658427231791</v>
      </c>
      <c r="U6" s="45" t="n">
        <f aca="false">(1-W_Analyst)*T6+W_Analyst*S6</f>
        <v>0.97658427231791</v>
      </c>
      <c r="V6" s="42" t="n">
        <f aca="false">LN(MIN(MAX(U6,0.0001),0.9999)/(1-MIN(MAX(U6,0.0001),0.9999)))</f>
        <v>3.73065312721355</v>
      </c>
      <c r="W6" s="43" t="n">
        <v>0.9758</v>
      </c>
    </row>
    <row r="7" customFormat="false" ht="15" hidden="false" customHeight="false" outlineLevel="0" collapsed="false">
      <c r="A7" s="6" t="n">
        <v>91.4</v>
      </c>
      <c r="B7" s="42" t="n">
        <f aca="false">LN(A7)</f>
        <v>4.51524547846011</v>
      </c>
      <c r="C7" s="43" t="n">
        <v>0.8789</v>
      </c>
      <c r="D7" s="43" t="n">
        <v>0.9753</v>
      </c>
      <c r="E7" s="43" t="n">
        <v>0.9726</v>
      </c>
      <c r="F7" s="43" t="n">
        <v>0.9789</v>
      </c>
      <c r="G7" s="43" t="n">
        <v>0.99</v>
      </c>
      <c r="H7" s="43" t="n">
        <v>0.9705</v>
      </c>
      <c r="I7" s="42" t="n">
        <f aca="false">AVERAGE(D7:H7)</f>
        <v>0.97746</v>
      </c>
      <c r="J7" s="43" t="n">
        <v>0.9764</v>
      </c>
      <c r="K7" s="42" t="n">
        <f aca="false">IF(AND(Sup_Used=1,ISNUMBER(J7)),J7,I7)</f>
        <v>0.97746</v>
      </c>
      <c r="L7" s="42" t="n">
        <f aca="false">LN(MIN(MAX(K7,0.0001),0.9999)/(1-MIN(MAX(K7,0.0001),0.9999)))</f>
        <v>3.7696658616945</v>
      </c>
      <c r="M7" s="16" t="n">
        <f aca="false">A7*EXP(-Platt_Shift)</f>
        <v>86.9075994060678</v>
      </c>
      <c r="N7" s="44" t="n">
        <f aca="false">MIN(MAX(IFERROR(MATCH(M7,Distribution!$A$6:$A$20,1),1),1),14)</f>
        <v>1</v>
      </c>
      <c r="O7" s="42" t="n">
        <f aca="false">1/(1+EXP(-(INDEX(Distribution!$L$6:$L$20,N7)+(LN(M7)-INDEX(Distribution!$B$6:$B$20,N7))/(INDEX(Distribution!$B$6:$B$20,N7+1)-INDEX(Distribution!$B$6:$B$20,N7))*(INDEX(Distribution!$L$6:$L$20,N7+1)-INDEX(Distribution!$L$6:$L$20,N7)))))</f>
        <v>0.980743541451976</v>
      </c>
      <c r="P7" s="42" t="n">
        <f aca="false">LN(MIN(MAX(C7,0.0001),0.9999)/(1-MIN(MAX(C7,0.0001),0.9999)))</f>
        <v>1.98205447501155</v>
      </c>
      <c r="Q7" s="16" t="n">
        <f aca="false">IF(Analyst_Median&gt;0,A7*Market_Median/Analyst_Median,A7)</f>
        <v>40.5816474191534</v>
      </c>
      <c r="R7" s="44" t="n">
        <f aca="false">MIN(MAX(IFERROR(MATCH(Q7,Distribution!$A$6:$A$20,1),1),1),14)</f>
        <v>1</v>
      </c>
      <c r="S7" s="42" t="n">
        <f aca="false">1/(1+EXP(-(INDEX(Distribution!$P$6:$P$20,R7)+(LN(Q7)-INDEX(Distribution!$B$6:$B$20,R7))/(INDEX(Distribution!$B$6:$B$20,R7+1)-INDEX(Distribution!$B$6:$B$20,R7))*(INDEX(Distribution!$P$6:$P$20,R7+1)-INDEX(Distribution!$P$6:$P$20,R7)))))</f>
        <v>0.987912463165932</v>
      </c>
      <c r="T7" s="42" t="n">
        <f aca="false">W_Mkt*C7+W_Agents*O7</f>
        <v>0.912508368679152</v>
      </c>
      <c r="U7" s="45" t="n">
        <f aca="false">(1-W_Analyst)*T7+W_Analyst*S7</f>
        <v>0.912508368679152</v>
      </c>
      <c r="V7" s="42" t="n">
        <f aca="false">LN(MIN(MAX(U7,0.0001),0.9999)/(1-MIN(MAX(U7,0.0001),0.9999)))</f>
        <v>2.3446541098277</v>
      </c>
      <c r="W7" s="43" t="n">
        <v>0.9102</v>
      </c>
    </row>
    <row r="8" customFormat="false" ht="15" hidden="false" customHeight="false" outlineLevel="0" collapsed="false">
      <c r="A8" s="6" t="n">
        <v>114.25</v>
      </c>
      <c r="B8" s="42" t="n">
        <f aca="false">LN(A8)</f>
        <v>4.73838902977431</v>
      </c>
      <c r="C8" s="43" t="n">
        <v>0.8026</v>
      </c>
      <c r="D8" s="43" t="n">
        <v>0.9441</v>
      </c>
      <c r="E8" s="43" t="n">
        <v>0.9461</v>
      </c>
      <c r="F8" s="43" t="n">
        <v>0.9605</v>
      </c>
      <c r="G8" s="43" t="n">
        <v>0.9635</v>
      </c>
      <c r="H8" s="43" t="n">
        <v>0.9482</v>
      </c>
      <c r="I8" s="42" t="n">
        <f aca="false">AVERAGE(D8:H8)</f>
        <v>0.95248</v>
      </c>
      <c r="J8" s="43" t="n">
        <v>0.9523</v>
      </c>
      <c r="K8" s="42" t="n">
        <f aca="false">IF(AND(Sup_Used=1,ISNUMBER(J8)),J8,I8)</f>
        <v>0.95248</v>
      </c>
      <c r="L8" s="42" t="n">
        <f aca="false">LN(MIN(MAX(K8,0.0001),0.9999)/(1-MIN(MAX(K8,0.0001),0.9999)))</f>
        <v>2.99791843435069</v>
      </c>
      <c r="M8" s="16" t="n">
        <f aca="false">A8*EXP(-Platt_Shift)</f>
        <v>108.634499257585</v>
      </c>
      <c r="N8" s="44" t="n">
        <f aca="false">MIN(MAX(IFERROR(MATCH(M8,Distribution!$A$6:$A$20,1),1),1),14)</f>
        <v>2</v>
      </c>
      <c r="O8" s="42" t="n">
        <f aca="false">1/(1+EXP(-(INDEX(Distribution!$L$6:$L$20,N8)+(LN(M8)-INDEX(Distribution!$B$6:$B$20,N8))/(INDEX(Distribution!$B$6:$B$20,N8+1)-INDEX(Distribution!$B$6:$B$20,N8))*(INDEX(Distribution!$L$6:$L$20,N8+1)-INDEX(Distribution!$L$6:$L$20,N8)))))</f>
        <v>0.959775690184315</v>
      </c>
      <c r="P8" s="42" t="n">
        <f aca="false">LN(MIN(MAX(C8,0.0001),0.9999)/(1-MIN(MAX(C8,0.0001),0.9999)))</f>
        <v>1.40262433083344</v>
      </c>
      <c r="Q8" s="16" t="n">
        <f aca="false">IF(Analyst_Median&gt;0,A8*Market_Median/Analyst_Median,A8)</f>
        <v>50.7270592739417</v>
      </c>
      <c r="R8" s="44" t="n">
        <f aca="false">MIN(MAX(IFERROR(MATCH(Q8,Distribution!$A$6:$A$20,1),1),1),14)</f>
        <v>1</v>
      </c>
      <c r="S8" s="42" t="n">
        <f aca="false">1/(1+EXP(-(INDEX(Distribution!$P$6:$P$20,R8)+(LN(Q8)-INDEX(Distribution!$B$6:$B$20,R8))/(INDEX(Distribution!$B$6:$B$20,R8+1)-INDEX(Distribution!$B$6:$B$20,R8))*(INDEX(Distribution!$P$6:$P$20,R8+1)-INDEX(Distribution!$P$6:$P$20,R8)))))</f>
        <v>0.976750614883225</v>
      </c>
      <c r="T8" s="42" t="n">
        <f aca="false">W_Mkt*C8+W_Agents*O8</f>
        <v>0.854467977760824</v>
      </c>
      <c r="U8" s="45" t="n">
        <f aca="false">(1-W_Analyst)*T8+W_Analyst*S8</f>
        <v>0.854467977760824</v>
      </c>
      <c r="V8" s="42" t="n">
        <f aca="false">LN(MIN(MAX(U8,0.0001),0.9999)/(1-MIN(MAX(U8,0.0001),0.9999)))</f>
        <v>1.77008288051239</v>
      </c>
      <c r="W8" s="43" t="n">
        <v>0.8511</v>
      </c>
    </row>
    <row r="9" customFormat="false" ht="15" hidden="false" customHeight="false" outlineLevel="0" collapsed="false">
      <c r="A9" s="6" t="n">
        <v>137.1</v>
      </c>
      <c r="B9" s="42" t="n">
        <f aca="false">LN(A9)</f>
        <v>4.92071058656827</v>
      </c>
      <c r="C9" s="43" t="n">
        <v>0.7225</v>
      </c>
      <c r="D9" s="43" t="n">
        <v>0.9025</v>
      </c>
      <c r="E9" s="43" t="n">
        <v>0.9037</v>
      </c>
      <c r="F9" s="43" t="n">
        <v>0.9271</v>
      </c>
      <c r="G9" s="43" t="n">
        <v>0.9278</v>
      </c>
      <c r="H9" s="43" t="n">
        <v>0.9082</v>
      </c>
      <c r="I9" s="42" t="n">
        <f aca="false">AVERAGE(D9:H9)</f>
        <v>0.91386</v>
      </c>
      <c r="J9" s="43" t="n">
        <v>0.9139</v>
      </c>
      <c r="K9" s="42" t="n">
        <f aca="false">IF(AND(Sup_Used=1,ISNUMBER(J9)),J9,I9)</f>
        <v>0.91386</v>
      </c>
      <c r="L9" s="42" t="n">
        <f aca="false">LN(MIN(MAX(K9,0.0001),0.9999)/(1-MIN(MAX(K9,0.0001),0.9999)))</f>
        <v>2.3617035072295</v>
      </c>
      <c r="M9" s="16" t="n">
        <f aca="false">A9*EXP(-Platt_Shift)</f>
        <v>130.361399109102</v>
      </c>
      <c r="N9" s="44" t="n">
        <f aca="false">MIN(MAX(IFERROR(MATCH(M9,Distribution!$A$6:$A$20,1),1),1),14)</f>
        <v>3</v>
      </c>
      <c r="O9" s="42" t="n">
        <f aca="false">1/(1+EXP(-(INDEX(Distribution!$L$6:$L$20,N9)+(LN(M9)-INDEX(Distribution!$B$6:$B$20,N9))/(INDEX(Distribution!$B$6:$B$20,N9+1)-INDEX(Distribution!$B$6:$B$20,N9))*(INDEX(Distribution!$L$6:$L$20,N9+1)-INDEX(Distribution!$L$6:$L$20,N9)))))</f>
        <v>0.926734370018674</v>
      </c>
      <c r="P9" s="42" t="n">
        <f aca="false">LN(MIN(MAX(C9,0.0001),0.9999)/(1-MIN(MAX(C9,0.0001),0.9999)))</f>
        <v>0.956896486800098</v>
      </c>
      <c r="Q9" s="16" t="n">
        <f aca="false">IF(Analyst_Median&gt;0,A9*Market_Median/Analyst_Median,A9)</f>
        <v>60.8724711287301</v>
      </c>
      <c r="R9" s="44" t="n">
        <f aca="false">MIN(MAX(IFERROR(MATCH(Q9,Distribution!$A$6:$A$20,1),1),1),14)</f>
        <v>1</v>
      </c>
      <c r="S9" s="42" t="n">
        <f aca="false">1/(1+EXP(-(INDEX(Distribution!$P$6:$P$20,R9)+(LN(Q9)-INDEX(Distribution!$B$6:$B$20,R9))/(INDEX(Distribution!$B$6:$B$20,R9+1)-INDEX(Distribution!$B$6:$B$20,R9))*(INDEX(Distribution!$P$6:$P$20,R9+1)-INDEX(Distribution!$P$6:$P$20,R9)))))</f>
        <v>0.960616448267357</v>
      </c>
      <c r="T9" s="42" t="n">
        <f aca="false">W_Mkt*C9+W_Agents*O9</f>
        <v>0.789897342106163</v>
      </c>
      <c r="U9" s="45" t="n">
        <f aca="false">(1-W_Analyst)*T9+W_Analyst*S9</f>
        <v>0.789897342106163</v>
      </c>
      <c r="V9" s="42" t="n">
        <f aca="false">LN(MIN(MAX(U9,0.0001),0.9999)/(1-MIN(MAX(U9,0.0001),0.9999)))</f>
        <v>1.32430673193205</v>
      </c>
      <c r="W9" s="43" t="n">
        <v>0.7855</v>
      </c>
    </row>
    <row r="10" customFormat="false" ht="15" hidden="false" customHeight="false" outlineLevel="0" collapsed="false">
      <c r="A10" s="6" t="n">
        <v>159.95</v>
      </c>
      <c r="B10" s="42" t="n">
        <f aca="false">LN(A10)</f>
        <v>5.07486126639553</v>
      </c>
      <c r="C10" s="43" t="n">
        <v>0.6444</v>
      </c>
      <c r="D10" s="43" t="n">
        <v>0.8509</v>
      </c>
      <c r="E10" s="43" t="n">
        <v>0.8513</v>
      </c>
      <c r="F10" s="43" t="n">
        <v>0.8844</v>
      </c>
      <c r="G10" s="43" t="n">
        <v>0.8851</v>
      </c>
      <c r="H10" s="43" t="n">
        <v>0.8608</v>
      </c>
      <c r="I10" s="42" t="n">
        <f aca="false">AVERAGE(D10:H10)</f>
        <v>0.8665</v>
      </c>
      <c r="J10" s="43" t="n">
        <v>0.8663</v>
      </c>
      <c r="K10" s="42" t="n">
        <f aca="false">IF(AND(Sup_Used=1,ISNUMBER(J10)),J10,I10)</f>
        <v>0.8665</v>
      </c>
      <c r="L10" s="42" t="n">
        <f aca="false">LN(MIN(MAX(K10,0.0001),0.9999)/(1-MIN(MAX(K10,0.0001),0.9999)))</f>
        <v>1.87036063131536</v>
      </c>
      <c r="M10" s="16" t="n">
        <f aca="false">A10*EXP(-Platt_Shift)</f>
        <v>152.088298960619</v>
      </c>
      <c r="N10" s="44" t="n">
        <f aca="false">MIN(MAX(IFERROR(MATCH(M10,Distribution!$A$6:$A$20,1),1),1),14)</f>
        <v>4</v>
      </c>
      <c r="O10" s="42" t="n">
        <f aca="false">1/(1+EXP(-(INDEX(Distribution!$L$6:$L$20,N10)+(LN(M10)-INDEX(Distribution!$B$6:$B$20,N10))/(INDEX(Distribution!$B$6:$B$20,N10+1)-INDEX(Distribution!$B$6:$B$20,N10))*(INDEX(Distribution!$L$6:$L$20,N10+1)-INDEX(Distribution!$L$6:$L$20,N10)))))</f>
        <v>0.884014324661792</v>
      </c>
      <c r="P10" s="42" t="n">
        <f aca="false">LN(MIN(MAX(C10,0.0001),0.9999)/(1-MIN(MAX(C10,0.0001),0.9999)))</f>
        <v>0.59451314766307</v>
      </c>
      <c r="Q10" s="16" t="n">
        <f aca="false">IF(Analyst_Median&gt;0,A10*Market_Median/Analyst_Median,A10)</f>
        <v>71.0178829835184</v>
      </c>
      <c r="R10" s="44" t="n">
        <f aca="false">MIN(MAX(IFERROR(MATCH(Q10,Distribution!$A$6:$A$20,1),1),1),14)</f>
        <v>1</v>
      </c>
      <c r="S10" s="42" t="n">
        <f aca="false">1/(1+EXP(-(INDEX(Distribution!$P$6:$P$20,R10)+(LN(Q10)-INDEX(Distribution!$B$6:$B$20,R10))/(INDEX(Distribution!$B$6:$B$20,R10+1)-INDEX(Distribution!$B$6:$B$20,R10))*(INDEX(Distribution!$P$6:$P$20,R10+1)-INDEX(Distribution!$P$6:$P$20,R10)))))</f>
        <v>0.939032743043892</v>
      </c>
      <c r="T10" s="42" t="n">
        <f aca="false">W_Mkt*C10+W_Agents*O10</f>
        <v>0.723472727138391</v>
      </c>
      <c r="U10" s="45" t="n">
        <f aca="false">(1-W_Analyst)*T10+W_Analyst*S10</f>
        <v>0.723472727138391</v>
      </c>
      <c r="V10" s="42" t="n">
        <f aca="false">LN(MIN(MAX(U10,0.0001),0.9999)/(1-MIN(MAX(U10,0.0001),0.9999)))</f>
        <v>0.961753397504024</v>
      </c>
      <c r="W10" s="43" t="n">
        <v>0.7183</v>
      </c>
    </row>
    <row r="11" customFormat="false" ht="15" hidden="false" customHeight="false" outlineLevel="0" collapsed="false">
      <c r="A11" s="6" t="n">
        <v>182.8</v>
      </c>
      <c r="B11" s="42" t="n">
        <f aca="false">LN(A11)</f>
        <v>5.20839265902005</v>
      </c>
      <c r="C11" s="43" t="n">
        <v>0.5712</v>
      </c>
      <c r="D11" s="43" t="n">
        <v>0.793</v>
      </c>
      <c r="E11" s="43" t="n">
        <v>0.7926</v>
      </c>
      <c r="F11" s="43" t="n">
        <v>0.8343</v>
      </c>
      <c r="G11" s="43" t="n">
        <v>0.8371</v>
      </c>
      <c r="H11" s="43" t="n">
        <v>0.8088</v>
      </c>
      <c r="I11" s="42" t="n">
        <f aca="false">AVERAGE(D11:H11)</f>
        <v>0.81316</v>
      </c>
      <c r="J11" s="43" t="n">
        <v>0.813</v>
      </c>
      <c r="K11" s="42" t="n">
        <f aca="false">IF(AND(Sup_Used=1,ISNUMBER(J11)),J11,I11)</f>
        <v>0.81316</v>
      </c>
      <c r="L11" s="42" t="n">
        <f aca="false">LN(MIN(MAX(K11,0.0001),0.9999)/(1-MIN(MAX(K11,0.0001),0.9999)))</f>
        <v>1.47067525651896</v>
      </c>
      <c r="M11" s="16" t="n">
        <f aca="false">A11*EXP(-Platt_Shift)</f>
        <v>173.815198812136</v>
      </c>
      <c r="N11" s="44" t="n">
        <f aca="false">MIN(MAX(IFERROR(MATCH(M11,Distribution!$A$6:$A$20,1),1),1),14)</f>
        <v>5</v>
      </c>
      <c r="O11" s="42" t="n">
        <f aca="false">1/(1+EXP(-(INDEX(Distribution!$L$6:$L$20,N11)+(LN(M11)-INDEX(Distribution!$B$6:$B$20,N11))/(INDEX(Distribution!$B$6:$B$20,N11+1)-INDEX(Distribution!$B$6:$B$20,N11))*(INDEX(Distribution!$L$6:$L$20,N11+1)-INDEX(Distribution!$L$6:$L$20,N11)))))</f>
        <v>0.835006335835689</v>
      </c>
      <c r="P11" s="42" t="n">
        <f aca="false">LN(MIN(MAX(C11,0.0001),0.9999)/(1-MIN(MAX(C11,0.0001),0.9999)))</f>
        <v>0.286748801268783</v>
      </c>
      <c r="Q11" s="16" t="n">
        <f aca="false">IF(Analyst_Median&gt;0,A11*Market_Median/Analyst_Median,A11)</f>
        <v>81.1632948383068</v>
      </c>
      <c r="R11" s="44" t="n">
        <f aca="false">MIN(MAX(IFERROR(MATCH(Q11,Distribution!$A$6:$A$20,1),1),1),14)</f>
        <v>1</v>
      </c>
      <c r="S11" s="42" t="n">
        <f aca="false">1/(1+EXP(-(INDEX(Distribution!$P$6:$P$20,R11)+(LN(Q11)-INDEX(Distribution!$B$6:$B$20,R11))/(INDEX(Distribution!$B$6:$B$20,R11+1)-INDEX(Distribution!$B$6:$B$20,R11))*(INDEX(Distribution!$P$6:$P$20,R11+1)-INDEX(Distribution!$P$6:$P$20,R11)))))</f>
        <v>0.911838409702027</v>
      </c>
      <c r="T11" s="42" t="n">
        <f aca="false">W_Mkt*C11+W_Agents*O11</f>
        <v>0.658256090825777</v>
      </c>
      <c r="U11" s="45" t="n">
        <f aca="false">(1-W_Analyst)*T11+W_Analyst*S11</f>
        <v>0.658256090825777</v>
      </c>
      <c r="V11" s="42" t="n">
        <f aca="false">LN(MIN(MAX(U11,0.0001),0.9999)/(1-MIN(MAX(U11,0.0001),0.9999)))</f>
        <v>0.655532398407114</v>
      </c>
      <c r="W11" s="43" t="n">
        <v>0.6526</v>
      </c>
    </row>
    <row r="12" customFormat="false" ht="15" hidden="false" customHeight="false" outlineLevel="0" collapsed="false">
      <c r="A12" s="6" t="n">
        <v>205.65</v>
      </c>
      <c r="B12" s="42" t="n">
        <f aca="false">LN(A12)</f>
        <v>5.32617569467643</v>
      </c>
      <c r="C12" s="43" t="n">
        <v>0.5044</v>
      </c>
      <c r="D12" s="43" t="n">
        <v>0.7318</v>
      </c>
      <c r="E12" s="43" t="n">
        <v>0.7305</v>
      </c>
      <c r="F12" s="43" t="n">
        <v>0.7776</v>
      </c>
      <c r="G12" s="43" t="n">
        <v>0.7843</v>
      </c>
      <c r="H12" s="43" t="n">
        <v>0.7523</v>
      </c>
      <c r="I12" s="42" t="n">
        <f aca="false">AVERAGE(D12:H12)</f>
        <v>0.7553</v>
      </c>
      <c r="J12" s="43" t="n">
        <v>0.7553</v>
      </c>
      <c r="K12" s="42" t="n">
        <f aca="false">IF(AND(Sup_Used=1,ISNUMBER(J12)),J12,I12)</f>
        <v>0.7553</v>
      </c>
      <c r="L12" s="42" t="n">
        <f aca="false">LN(MIN(MAX(K12,0.0001),0.9999)/(1-MIN(MAX(K12,0.0001),0.9999)))</f>
        <v>1.12708205087078</v>
      </c>
      <c r="M12" s="16" t="n">
        <f aca="false">A12*EXP(-Platt_Shift)</f>
        <v>195.542098663653</v>
      </c>
      <c r="N12" s="44" t="n">
        <f aca="false">MIN(MAX(IFERROR(MATCH(M12,Distribution!$A$6:$A$20,1),1),1),14)</f>
        <v>6</v>
      </c>
      <c r="O12" s="42" t="n">
        <f aca="false">1/(1+EXP(-(INDEX(Distribution!$L$6:$L$20,N12)+(LN(M12)-INDEX(Distribution!$B$6:$B$20,N12))/(INDEX(Distribution!$B$6:$B$20,N12+1)-INDEX(Distribution!$B$6:$B$20,N12))*(INDEX(Distribution!$L$6:$L$20,N12+1)-INDEX(Distribution!$L$6:$L$20,N12)))))</f>
        <v>0.781445064381505</v>
      </c>
      <c r="P12" s="42" t="n">
        <f aca="false">LN(MIN(MAX(C12,0.0001),0.9999)/(1-MIN(MAX(C12,0.0001),0.9999)))</f>
        <v>0.0176004543357769</v>
      </c>
      <c r="Q12" s="16" t="n">
        <f aca="false">IF(Analyst_Median&gt;0,A12*Market_Median/Analyst_Median,A12)</f>
        <v>91.3087066930951</v>
      </c>
      <c r="R12" s="44" t="n">
        <f aca="false">MIN(MAX(IFERROR(MATCH(Q12,Distribution!$A$6:$A$20,1),1),1),14)</f>
        <v>1</v>
      </c>
      <c r="S12" s="42" t="n">
        <f aca="false">1/(1+EXP(-(INDEX(Distribution!$P$6:$P$20,R12)+(LN(Q12)-INDEX(Distribution!$B$6:$B$20,R12))/(INDEX(Distribution!$B$6:$B$20,R12+1)-INDEX(Distribution!$B$6:$B$20,R12))*(INDEX(Distribution!$P$6:$P$20,R12+1)-INDEX(Distribution!$P$6:$P$20,R12)))))</f>
        <v>0.879216843455394</v>
      </c>
      <c r="T12" s="42" t="n">
        <f aca="false">W_Mkt*C12+W_Agents*O12</f>
        <v>0.595824871245897</v>
      </c>
      <c r="U12" s="45" t="n">
        <f aca="false">(1-W_Analyst)*T12+W_Analyst*S12</f>
        <v>0.595824871245897</v>
      </c>
      <c r="V12" s="42" t="n">
        <f aca="false">LN(MIN(MAX(U12,0.0001),0.9999)/(1-MIN(MAX(U12,0.0001),0.9999)))</f>
        <v>0.388098512646509</v>
      </c>
      <c r="W12" s="43" t="n">
        <v>0.5897</v>
      </c>
    </row>
    <row r="13" customFormat="false" ht="15" hidden="false" customHeight="false" outlineLevel="0" collapsed="false">
      <c r="A13" s="6" t="n">
        <v>228.5</v>
      </c>
      <c r="B13" s="42" t="n">
        <f aca="false">LN(A13)</f>
        <v>5.43153621033426</v>
      </c>
      <c r="C13" s="43" t="n">
        <v>0.4445</v>
      </c>
      <c r="D13" s="43" t="n">
        <v>0.6694</v>
      </c>
      <c r="E13" s="43" t="n">
        <v>0.6677</v>
      </c>
      <c r="F13" s="43" t="n">
        <v>0.7157</v>
      </c>
      <c r="G13" s="43" t="n">
        <v>0.7264</v>
      </c>
      <c r="H13" s="43" t="n">
        <v>0.6906</v>
      </c>
      <c r="I13" s="42" t="n">
        <f aca="false">AVERAGE(D13:H13)</f>
        <v>0.69396</v>
      </c>
      <c r="J13" s="43" t="n">
        <v>0.6936</v>
      </c>
      <c r="K13" s="42" t="n">
        <f aca="false">IF(AND(Sup_Used=1,ISNUMBER(J13)),J13,I13)</f>
        <v>0.69396</v>
      </c>
      <c r="L13" s="42" t="n">
        <f aca="false">LN(MIN(MAX(K13,0.0001),0.9999)/(1-MIN(MAX(K13,0.0001),0.9999)))</f>
        <v>0.818698509594476</v>
      </c>
      <c r="M13" s="16" t="n">
        <f aca="false">A13*EXP(-Platt_Shift)</f>
        <v>217.268998515169</v>
      </c>
      <c r="N13" s="44" t="n">
        <f aca="false">MIN(MAX(IFERROR(MATCH(M13,Distribution!$A$6:$A$20,1),1),1),14)</f>
        <v>7</v>
      </c>
      <c r="O13" s="42" t="n">
        <f aca="false">1/(1+EXP(-(INDEX(Distribution!$L$6:$L$20,N13)+(LN(M13)-INDEX(Distribution!$B$6:$B$20,N13))/(INDEX(Distribution!$B$6:$B$20,N13+1)-INDEX(Distribution!$B$6:$B$20,N13))*(INDEX(Distribution!$L$6:$L$20,N13+1)-INDEX(Distribution!$L$6:$L$20,N13)))))</f>
        <v>0.724364646209881</v>
      </c>
      <c r="P13" s="42" t="n">
        <f aca="false">LN(MIN(MAX(C13,0.0001),0.9999)/(1-MIN(MAX(C13,0.0001),0.9999)))</f>
        <v>-0.222918554125725</v>
      </c>
      <c r="Q13" s="16" t="n">
        <f aca="false">IF(Analyst_Median&gt;0,A13*Market_Median/Analyst_Median,A13)</f>
        <v>101.454118547883</v>
      </c>
      <c r="R13" s="44" t="n">
        <f aca="false">MIN(MAX(IFERROR(MATCH(Q13,Distribution!$A$6:$A$20,1),1),1),14)</f>
        <v>2</v>
      </c>
      <c r="S13" s="42" t="n">
        <f aca="false">1/(1+EXP(-(INDEX(Distribution!$P$6:$P$20,R13)+(LN(Q13)-INDEX(Distribution!$B$6:$B$20,R13))/(INDEX(Distribution!$B$6:$B$20,R13+1)-INDEX(Distribution!$B$6:$B$20,R13))*(INDEX(Distribution!$P$6:$P$20,R13+1)-INDEX(Distribution!$P$6:$P$20,R13)))))</f>
        <v>0.846974100285351</v>
      </c>
      <c r="T13" s="42" t="n">
        <f aca="false">W_Mkt*C13+W_Agents*O13</f>
        <v>0.536855333249261</v>
      </c>
      <c r="U13" s="45" t="n">
        <f aca="false">(1-W_Analyst)*T13+W_Analyst*S13</f>
        <v>0.536855333249261</v>
      </c>
      <c r="V13" s="42" t="n">
        <f aca="false">LN(MIN(MAX(U13,0.0001),0.9999)/(1-MIN(MAX(U13,0.0001),0.9999)))</f>
        <v>0.147689199701163</v>
      </c>
      <c r="W13" s="43" t="n">
        <v>0.5305</v>
      </c>
    </row>
    <row r="14" customFormat="false" ht="15" hidden="false" customHeight="false" outlineLevel="0" collapsed="false">
      <c r="A14" s="6" t="n">
        <v>251.35</v>
      </c>
      <c r="B14" s="42" t="n">
        <f aca="false">LN(A14)</f>
        <v>5.52684639013858</v>
      </c>
      <c r="C14" s="43" t="n">
        <v>0.3914</v>
      </c>
      <c r="D14" s="43" t="n">
        <v>0.6074</v>
      </c>
      <c r="E14" s="43" t="n">
        <v>0.6073</v>
      </c>
      <c r="F14" s="43" t="n">
        <v>0.6544</v>
      </c>
      <c r="G14" s="43" t="n">
        <v>0.6626</v>
      </c>
      <c r="H14" s="43" t="n">
        <v>0.6294</v>
      </c>
      <c r="I14" s="42" t="n">
        <f aca="false">AVERAGE(D14:H14)</f>
        <v>0.63222</v>
      </c>
      <c r="J14" s="43" t="n">
        <v>0.6324</v>
      </c>
      <c r="K14" s="42" t="n">
        <f aca="false">IF(AND(Sup_Used=1,ISNUMBER(J14)),J14,I14)</f>
        <v>0.63222</v>
      </c>
      <c r="L14" s="42" t="n">
        <f aca="false">LN(MIN(MAX(K14,0.0001),0.9999)/(1-MIN(MAX(K14,0.0001),0.9999)))</f>
        <v>0.541752501526784</v>
      </c>
      <c r="M14" s="16" t="n">
        <f aca="false">A14*EXP(-Platt_Shift)</f>
        <v>238.995898366686</v>
      </c>
      <c r="N14" s="44" t="n">
        <f aca="false">MIN(MAX(IFERROR(MATCH(M14,Distribution!$A$6:$A$20,1),1),1),14)</f>
        <v>8</v>
      </c>
      <c r="O14" s="42" t="n">
        <f aca="false">1/(1+EXP(-(INDEX(Distribution!$L$6:$L$20,N14)+(LN(M14)-INDEX(Distribution!$B$6:$B$20,N14))/(INDEX(Distribution!$B$6:$B$20,N14+1)-INDEX(Distribution!$B$6:$B$20,N14))*(INDEX(Distribution!$L$6:$L$20,N14+1)-INDEX(Distribution!$L$6:$L$20,N14)))))</f>
        <v>0.665566718455211</v>
      </c>
      <c r="P14" s="42" t="n">
        <f aca="false">LN(MIN(MAX(C14,0.0001),0.9999)/(1-MIN(MAX(C14,0.0001),0.9999)))</f>
        <v>-0.441431182500895</v>
      </c>
      <c r="Q14" s="16" t="n">
        <f aca="false">IF(Analyst_Median&gt;0,A14*Market_Median/Analyst_Median,A14)</f>
        <v>111.599530402672</v>
      </c>
      <c r="R14" s="44" t="n">
        <f aca="false">MIN(MAX(IFERROR(MATCH(Q14,Distribution!$A$6:$A$20,1),1),1),14)</f>
        <v>2</v>
      </c>
      <c r="S14" s="42" t="n">
        <f aca="false">1/(1+EXP(-(INDEX(Distribution!$P$6:$P$20,R14)+(LN(Q14)-INDEX(Distribution!$B$6:$B$20,R14))/(INDEX(Distribution!$B$6:$B$20,R14+1)-INDEX(Distribution!$B$6:$B$20,R14))*(INDEX(Distribution!$P$6:$P$20,R14+1)-INDEX(Distribution!$P$6:$P$20,R14)))))</f>
        <v>0.812078677985966</v>
      </c>
      <c r="T14" s="42" t="n">
        <f aca="false">W_Mkt*C14+W_Agents*O14</f>
        <v>0.48187501709022</v>
      </c>
      <c r="U14" s="45" t="n">
        <f aca="false">(1-W_Analyst)*T14+W_Analyst*S14</f>
        <v>0.48187501709022</v>
      </c>
      <c r="V14" s="42" t="n">
        <f aca="false">LN(MIN(MAX(U14,0.0001),0.9999)/(1-MIN(MAX(U14,0.0001),0.9999)))</f>
        <v>-0.0725317131211379</v>
      </c>
      <c r="W14" s="43" t="n">
        <v>0.4754</v>
      </c>
    </row>
    <row r="15" customFormat="false" ht="15" hidden="false" customHeight="false" outlineLevel="0" collapsed="false">
      <c r="A15" s="6" t="n">
        <v>274.2</v>
      </c>
      <c r="B15" s="42" t="n">
        <f aca="false">LN(A15)</f>
        <v>5.61385776712821</v>
      </c>
      <c r="C15" s="43" t="n">
        <v>0.3446</v>
      </c>
      <c r="D15" s="43" t="n">
        <v>0.5488</v>
      </c>
      <c r="E15" s="43" t="n">
        <v>0.5488</v>
      </c>
      <c r="F15" s="43" t="n">
        <v>0.5907</v>
      </c>
      <c r="G15" s="43" t="n">
        <v>0.5965</v>
      </c>
      <c r="H15" s="43" t="n">
        <v>0.5678</v>
      </c>
      <c r="I15" s="42" t="n">
        <f aca="false">AVERAGE(D15:H15)</f>
        <v>0.57052</v>
      </c>
      <c r="J15" s="43" t="n">
        <v>0.5709</v>
      </c>
      <c r="K15" s="42" t="n">
        <f aca="false">IF(AND(Sup_Used=1,ISNUMBER(J15)),J15,I15)</f>
        <v>0.57052</v>
      </c>
      <c r="L15" s="42" t="n">
        <f aca="false">LN(MIN(MAX(K15,0.0001),0.9999)/(1-MIN(MAX(K15,0.0001),0.9999)))</f>
        <v>0.283973051089286</v>
      </c>
      <c r="M15" s="16" t="n">
        <f aca="false">A15*EXP(-Platt_Shift)</f>
        <v>260.722798218203</v>
      </c>
      <c r="N15" s="44" t="n">
        <f aca="false">MIN(MAX(IFERROR(MATCH(M15,Distribution!$A$6:$A$20,1),1),1),14)</f>
        <v>9</v>
      </c>
      <c r="O15" s="42" t="n">
        <f aca="false">1/(1+EXP(-(INDEX(Distribution!$L$6:$L$20,N15)+(LN(M15)-INDEX(Distribution!$B$6:$B$20,N15))/(INDEX(Distribution!$B$6:$B$20,N15+1)-INDEX(Distribution!$B$6:$B$20,N15))*(INDEX(Distribution!$L$6:$L$20,N15+1)-INDEX(Distribution!$L$6:$L$20,N15)))))</f>
        <v>0.606658497383078</v>
      </c>
      <c r="P15" s="42" t="n">
        <f aca="false">LN(MIN(MAX(C15,0.0001),0.9999)/(1-MIN(MAX(C15,0.0001),0.9999)))</f>
        <v>-0.642861412170885</v>
      </c>
      <c r="Q15" s="16" t="n">
        <f aca="false">IF(Analyst_Median&gt;0,A15*Market_Median/Analyst_Median,A15)</f>
        <v>121.74494225746</v>
      </c>
      <c r="R15" s="44" t="n">
        <f aca="false">MIN(MAX(IFERROR(MATCH(Q15,Distribution!$A$6:$A$20,1),1),1),14)</f>
        <v>3</v>
      </c>
      <c r="S15" s="42" t="n">
        <f aca="false">1/(1+EXP(-(INDEX(Distribution!$P$6:$P$20,R15)+(LN(Q15)-INDEX(Distribution!$B$6:$B$20,R15))/(INDEX(Distribution!$B$6:$B$20,R15+1)-INDEX(Distribution!$B$6:$B$20,R15))*(INDEX(Distribution!$P$6:$P$20,R15+1)-INDEX(Distribution!$P$6:$P$20,R15)))))</f>
        <v>0.776830024960975</v>
      </c>
      <c r="T15" s="42" t="n">
        <f aca="false">W_Mkt*C15+W_Agents*O15</f>
        <v>0.431079304136416</v>
      </c>
      <c r="U15" s="45" t="n">
        <f aca="false">(1-W_Analyst)*T15+W_Analyst*S15</f>
        <v>0.431079304136416</v>
      </c>
      <c r="V15" s="42" t="n">
        <f aca="false">LN(MIN(MAX(U15,0.0001),0.9999)/(1-MIN(MAX(U15,0.0001),0.9999)))</f>
        <v>-0.27744897633782</v>
      </c>
      <c r="W15" s="43" t="n">
        <v>0.4245</v>
      </c>
    </row>
    <row r="16" customFormat="false" ht="15" hidden="false" customHeight="false" outlineLevel="0" collapsed="false">
      <c r="A16" s="6" t="n">
        <v>308.48</v>
      </c>
      <c r="B16" s="42" t="n">
        <f aca="false">LN(A16)</f>
        <v>5.73165701142218</v>
      </c>
      <c r="C16" s="43" t="n">
        <v>0.285</v>
      </c>
      <c r="D16" s="43" t="n">
        <v>0.4672</v>
      </c>
      <c r="E16" s="43" t="n">
        <v>0.4682</v>
      </c>
      <c r="F16" s="43" t="n">
        <v>0.4964</v>
      </c>
      <c r="G16" s="43" t="n">
        <v>0.4975</v>
      </c>
      <c r="H16" s="43" t="n">
        <v>0.4813</v>
      </c>
      <c r="I16" s="42" t="n">
        <f aca="false">AVERAGE(D16:H16)</f>
        <v>0.48212</v>
      </c>
      <c r="J16" s="43" t="n">
        <v>0.4823</v>
      </c>
      <c r="K16" s="42" t="n">
        <f aca="false">IF(AND(Sup_Used=1,ISNUMBER(J16)),J16,I16)</f>
        <v>0.48212</v>
      </c>
      <c r="L16" s="42" t="n">
        <f aca="false">LN(MIN(MAX(K16,0.0001),0.9999)/(1-MIN(MAX(K16,0.0001),0.9999)))</f>
        <v>-0.0715505094703037</v>
      </c>
      <c r="M16" s="16" t="n">
        <f aca="false">A16*EXP(-Platt_Shift)</f>
        <v>293.317902240523</v>
      </c>
      <c r="N16" s="44" t="n">
        <f aca="false">MIN(MAX(IFERROR(MATCH(M16,Distribution!$A$6:$A$20,1),1),1),14)</f>
        <v>10</v>
      </c>
      <c r="O16" s="42" t="n">
        <f aca="false">1/(1+EXP(-(INDEX(Distribution!$L$6:$L$20,N16)+(LN(M16)-INDEX(Distribution!$B$6:$B$20,N16))/(INDEX(Distribution!$B$6:$B$20,N16+1)-INDEX(Distribution!$B$6:$B$20,N16))*(INDEX(Distribution!$L$6:$L$20,N16+1)-INDEX(Distribution!$L$6:$L$20,N16)))))</f>
        <v>0.520128869864341</v>
      </c>
      <c r="P16" s="42" t="n">
        <f aca="false">LN(MIN(MAX(C16,0.0001),0.9999)/(1-MIN(MAX(C16,0.0001),0.9999)))</f>
        <v>-0.919793362425357</v>
      </c>
      <c r="Q16" s="16" t="n">
        <f aca="false">IF(Analyst_Median&gt;0,A16*Market_Median/Analyst_Median,A16)</f>
        <v>136.965280042237</v>
      </c>
      <c r="R16" s="44" t="n">
        <f aca="false">MIN(MAX(IFERROR(MATCH(Q16,Distribution!$A$6:$A$20,1),1),1),14)</f>
        <v>3</v>
      </c>
      <c r="S16" s="42" t="n">
        <f aca="false">1/(1+EXP(-(INDEX(Distribution!$P$6:$P$20,R16)+(LN(Q16)-INDEX(Distribution!$B$6:$B$20,R16))/(INDEX(Distribution!$B$6:$B$20,R16+1)-INDEX(Distribution!$B$6:$B$20,R16))*(INDEX(Distribution!$P$6:$P$20,R16+1)-INDEX(Distribution!$P$6:$P$20,R16)))))</f>
        <v>0.722981624016713</v>
      </c>
      <c r="T16" s="42" t="n">
        <f aca="false">W_Mkt*C16+W_Agents*O16</f>
        <v>0.362592527055233</v>
      </c>
      <c r="U16" s="45" t="n">
        <f aca="false">(1-W_Analyst)*T16+W_Analyst*S16</f>
        <v>0.362592527055233</v>
      </c>
      <c r="V16" s="42" t="n">
        <f aca="false">LN(MIN(MAX(U16,0.0001),0.9999)/(1-MIN(MAX(U16,0.0001),0.9999)))</f>
        <v>-0.564129437246225</v>
      </c>
      <c r="W16" s="43" t="n">
        <v>0.3561</v>
      </c>
    </row>
    <row r="17" customFormat="false" ht="15" hidden="false" customHeight="false" outlineLevel="0" collapsed="false">
      <c r="A17" s="6" t="n">
        <v>342.75</v>
      </c>
      <c r="B17" s="42" t="n">
        <f aca="false">LN(A17)</f>
        <v>5.83700131844242</v>
      </c>
      <c r="C17" s="43" t="n">
        <v>0.2362</v>
      </c>
      <c r="D17" s="43" t="n">
        <v>0.3954</v>
      </c>
      <c r="E17" s="43" t="n">
        <v>0.3966</v>
      </c>
      <c r="F17" s="43" t="n">
        <v>0.4139</v>
      </c>
      <c r="G17" s="43" t="n">
        <v>0.4061</v>
      </c>
      <c r="H17" s="43" t="n">
        <v>0.3995</v>
      </c>
      <c r="I17" s="42" t="n">
        <f aca="false">AVERAGE(D17:H17)</f>
        <v>0.4023</v>
      </c>
      <c r="J17" s="43" t="n">
        <v>0.4025</v>
      </c>
      <c r="K17" s="42" t="n">
        <f aca="false">IF(AND(Sup_Used=1,ISNUMBER(J17)),J17,I17)</f>
        <v>0.4023</v>
      </c>
      <c r="L17" s="42" t="n">
        <f aca="false">LN(MIN(MAX(K17,0.0001),0.9999)/(1-MIN(MAX(K17,0.0001),0.9999)))</f>
        <v>-0.395890876874466</v>
      </c>
      <c r="M17" s="16" t="n">
        <f aca="false">A17*EXP(-Platt_Shift)</f>
        <v>325.903497772754</v>
      </c>
      <c r="N17" s="44" t="n">
        <f aca="false">MIN(MAX(IFERROR(MATCH(M17,Distribution!$A$6:$A$20,1),1),1),14)</f>
        <v>11</v>
      </c>
      <c r="O17" s="42" t="n">
        <f aca="false">1/(1+EXP(-(INDEX(Distribution!$L$6:$L$20,N17)+(LN(M17)-INDEX(Distribution!$B$6:$B$20,N17))/(INDEX(Distribution!$B$6:$B$20,N17+1)-INDEX(Distribution!$B$6:$B$20,N17))*(INDEX(Distribution!$L$6:$L$20,N17+1)-INDEX(Distribution!$L$6:$L$20,N17)))))</f>
        <v>0.44010982864186</v>
      </c>
      <c r="P17" s="42" t="n">
        <f aca="false">LN(MIN(MAX(C17,0.0001),0.9999)/(1-MIN(MAX(C17,0.0001),0.9999)))</f>
        <v>-1.17362707102815</v>
      </c>
      <c r="Q17" s="16" t="n">
        <f aca="false">IF(Analyst_Median&gt;0,A17*Market_Median/Analyst_Median,A17)</f>
        <v>152.181177821825</v>
      </c>
      <c r="R17" s="44" t="n">
        <f aca="false">MIN(MAX(IFERROR(MATCH(Q17,Distribution!$A$6:$A$20,1),1),1),14)</f>
        <v>4</v>
      </c>
      <c r="S17" s="42" t="n">
        <f aca="false">1/(1+EXP(-(INDEX(Distribution!$P$6:$P$20,R17)+(LN(Q17)-INDEX(Distribution!$B$6:$B$20,R17))/(INDEX(Distribution!$B$6:$B$20,R17+1)-INDEX(Distribution!$B$6:$B$20,R17))*(INDEX(Distribution!$P$6:$P$20,R17+1)-INDEX(Distribution!$P$6:$P$20,R17)))))</f>
        <v>0.67074581689462</v>
      </c>
      <c r="T17" s="42" t="n">
        <f aca="false">W_Mkt*C17+W_Agents*O17</f>
        <v>0.303490243451814</v>
      </c>
      <c r="U17" s="45" t="n">
        <f aca="false">(1-W_Analyst)*T17+W_Analyst*S17</f>
        <v>0.303490243451814</v>
      </c>
      <c r="V17" s="42" t="n">
        <f aca="false">LN(MIN(MAX(U17,0.0001),0.9999)/(1-MIN(MAX(U17,0.0001),0.9999)))</f>
        <v>-0.830732337886228</v>
      </c>
      <c r="W17" s="43" t="n">
        <v>0.2973</v>
      </c>
    </row>
    <row r="18" customFormat="false" ht="15" hidden="false" customHeight="false" outlineLevel="0" collapsed="false">
      <c r="A18" s="6" t="n">
        <v>399.88</v>
      </c>
      <c r="B18" s="42" t="n">
        <f aca="false">LN(A18)</f>
        <v>5.99116450209898</v>
      </c>
      <c r="C18" s="43" t="n">
        <v>0.1739</v>
      </c>
      <c r="D18" s="43" t="n">
        <v>0.2954</v>
      </c>
      <c r="E18" s="43" t="n">
        <v>0.2984</v>
      </c>
      <c r="F18" s="43" t="n">
        <v>0.2982</v>
      </c>
      <c r="G18" s="43" t="n">
        <v>0.2835</v>
      </c>
      <c r="H18" s="43" t="n">
        <v>0.2897</v>
      </c>
      <c r="I18" s="42" t="n">
        <f aca="false">AVERAGE(D18:H18)</f>
        <v>0.29304</v>
      </c>
      <c r="J18" s="43" t="n">
        <v>0.2933</v>
      </c>
      <c r="K18" s="42" t="n">
        <f aca="false">IF(AND(Sup_Used=1,ISNUMBER(J18)),J18,I18)</f>
        <v>0.29304</v>
      </c>
      <c r="L18" s="42" t="n">
        <f aca="false">LN(MIN(MAX(K18,0.0001),0.9999)/(1-MIN(MAX(K18,0.0001),0.9999)))</f>
        <v>-0.88066496873919</v>
      </c>
      <c r="M18" s="16" t="n">
        <f aca="false">A18*EXP(-Platt_Shift)</f>
        <v>380.225501646591</v>
      </c>
      <c r="N18" s="44" t="n">
        <f aca="false">MIN(MAX(IFERROR(MATCH(M18,Distribution!$A$6:$A$20,1),1),1),14)</f>
        <v>12</v>
      </c>
      <c r="O18" s="42" t="n">
        <f aca="false">1/(1+EXP(-(INDEX(Distribution!$L$6:$L$20,N18)+(LN(M18)-INDEX(Distribution!$B$6:$B$20,N18))/(INDEX(Distribution!$B$6:$B$20,N18+1)-INDEX(Distribution!$B$6:$B$20,N18))*(INDEX(Distribution!$L$6:$L$20,N18+1)-INDEX(Distribution!$L$6:$L$20,N18)))))</f>
        <v>0.326913208296998</v>
      </c>
      <c r="P18" s="42" t="n">
        <f aca="false">LN(MIN(MAX(C18,0.0001),0.9999)/(1-MIN(MAX(C18,0.0001),0.9999)))</f>
        <v>-1.55823541020822</v>
      </c>
      <c r="Q18" s="16" t="n">
        <f aca="false">IF(Analyst_Median&gt;0,A18*Market_Median/Analyst_Median,A18)</f>
        <v>177.54692746139</v>
      </c>
      <c r="R18" s="44" t="n">
        <f aca="false">MIN(MAX(IFERROR(MATCH(Q18,Distribution!$A$6:$A$20,1),1),1),14)</f>
        <v>5</v>
      </c>
      <c r="S18" s="42" t="n">
        <f aca="false">1/(1+EXP(-(INDEX(Distribution!$P$6:$P$20,R18)+(LN(Q18)-INDEX(Distribution!$B$6:$B$20,R18))/(INDEX(Distribution!$B$6:$B$20,R18+1)-INDEX(Distribution!$B$6:$B$20,R18))*(INDEX(Distribution!$P$6:$P$20,R18+1)-INDEX(Distribution!$P$6:$P$20,R18)))))</f>
        <v>0.587575536461747</v>
      </c>
      <c r="T18" s="42" t="n">
        <f aca="false">W_Mkt*C18+W_Agents*O18</f>
        <v>0.224394358738009</v>
      </c>
      <c r="U18" s="45" t="n">
        <f aca="false">(1-W_Analyst)*T18+W_Analyst*S18</f>
        <v>0.224394358738009</v>
      </c>
      <c r="V18" s="42" t="n">
        <f aca="false">LN(MIN(MAX(U18,0.0001),0.9999)/(1-MIN(MAX(U18,0.0001),0.9999)))</f>
        <v>-1.24023916273988</v>
      </c>
      <c r="W18" s="43" t="n">
        <v>0.219</v>
      </c>
    </row>
    <row r="19" customFormat="false" ht="15" hidden="false" customHeight="false" outlineLevel="0" collapsed="false">
      <c r="A19" s="6" t="n">
        <v>457</v>
      </c>
      <c r="B19" s="42" t="n">
        <f aca="false">LN(A19)</f>
        <v>6.12468339089421</v>
      </c>
      <c r="C19" s="43" t="n">
        <v>0.1293</v>
      </c>
      <c r="D19" s="43" t="n">
        <v>0.2193</v>
      </c>
      <c r="E19" s="43" t="n">
        <v>0.2229</v>
      </c>
      <c r="F19" s="43" t="n">
        <v>0.2137</v>
      </c>
      <c r="G19" s="43" t="n">
        <v>0.1973</v>
      </c>
      <c r="H19" s="43" t="n">
        <v>0.2077</v>
      </c>
      <c r="I19" s="42" t="n">
        <f aca="false">AVERAGE(D19:H19)</f>
        <v>0.21218</v>
      </c>
      <c r="J19" s="43" t="n">
        <v>0.2124</v>
      </c>
      <c r="K19" s="42" t="n">
        <f aca="false">IF(AND(Sup_Used=1,ISNUMBER(J19)),J19,I19)</f>
        <v>0.21218</v>
      </c>
      <c r="L19" s="42" t="n">
        <f aca="false">LN(MIN(MAX(K19,0.0001),0.9999)/(1-MIN(MAX(K19,0.0001),0.9999)))</f>
        <v>-1.31183466633753</v>
      </c>
      <c r="M19" s="16" t="n">
        <f aca="false">A19*EXP(-Platt_Shift)</f>
        <v>434.537997030339</v>
      </c>
      <c r="N19" s="44" t="n">
        <f aca="false">MIN(MAX(IFERROR(MATCH(M19,Distribution!$A$6:$A$20,1),1),1),14)</f>
        <v>13</v>
      </c>
      <c r="O19" s="42" t="n">
        <f aca="false">1/(1+EXP(-(INDEX(Distribution!$L$6:$L$20,N19)+(LN(M19)-INDEX(Distribution!$B$6:$B$20,N19))/(INDEX(Distribution!$B$6:$B$20,N19+1)-INDEX(Distribution!$B$6:$B$20,N19))*(INDEX(Distribution!$L$6:$L$20,N19+1)-INDEX(Distribution!$L$6:$L$20,N19)))))</f>
        <v>0.240657343622055</v>
      </c>
      <c r="P19" s="42" t="n">
        <f aca="false">LN(MIN(MAX(C19,0.0001),0.9999)/(1-MIN(MAX(C19,0.0001),0.9999)))</f>
        <v>-1.90716220005676</v>
      </c>
      <c r="Q19" s="16" t="n">
        <f aca="false">IF(Analyst_Median&gt;0,A19*Market_Median/Analyst_Median,A19)</f>
        <v>202.908237095767</v>
      </c>
      <c r="R19" s="44" t="n">
        <f aca="false">MIN(MAX(IFERROR(MATCH(Q19,Distribution!$A$6:$A$20,1),1),1),14)</f>
        <v>6</v>
      </c>
      <c r="S19" s="42" t="n">
        <f aca="false">1/(1+EXP(-(INDEX(Distribution!$P$6:$P$20,R19)+(LN(Q19)-INDEX(Distribution!$B$6:$B$20,R19))/(INDEX(Distribution!$B$6:$B$20,R19+1)-INDEX(Distribution!$B$6:$B$20,R19))*(INDEX(Distribution!$P$6:$P$20,R19+1)-INDEX(Distribution!$P$6:$P$20,R19)))))</f>
        <v>0.512065405737669</v>
      </c>
      <c r="T19" s="42" t="n">
        <f aca="false">W_Mkt*C19+W_Agents*O19</f>
        <v>0.166047923395278</v>
      </c>
      <c r="U19" s="45" t="n">
        <f aca="false">(1-W_Analyst)*T19+W_Analyst*S19</f>
        <v>0.166047923395278</v>
      </c>
      <c r="V19" s="42" t="n">
        <f aca="false">LN(MIN(MAX(U19,0.0001),0.9999)/(1-MIN(MAX(U19,0.0001),0.9999)))</f>
        <v>-1.61389949675869</v>
      </c>
      <c r="W19" s="43" t="n">
        <v>0.1615</v>
      </c>
    </row>
    <row r="20" customFormat="false" ht="15" hidden="false" customHeight="false" outlineLevel="0" collapsed="false">
      <c r="A20" s="6" t="n">
        <v>571.25</v>
      </c>
      <c r="B20" s="42" t="n">
        <f aca="false">LN(A20)</f>
        <v>6.34782694220842</v>
      </c>
      <c r="C20" s="43" t="n">
        <v>0.0737</v>
      </c>
      <c r="D20" s="43" t="n">
        <v>0.1205</v>
      </c>
      <c r="E20" s="43" t="n">
        <v>0.1255</v>
      </c>
      <c r="F20" s="43" t="n">
        <v>0.1124</v>
      </c>
      <c r="G20" s="43" t="n">
        <v>0.099</v>
      </c>
      <c r="H20" s="43" t="n">
        <v>0.1046</v>
      </c>
      <c r="I20" s="42" t="n">
        <f aca="false">AVERAGE(D20:H20)</f>
        <v>0.1124</v>
      </c>
      <c r="J20" s="43" t="n">
        <v>0.1126</v>
      </c>
      <c r="K20" s="42" t="n">
        <f aca="false">IF(AND(Sup_Used=1,ISNUMBER(J20)),J20,I20)</f>
        <v>0.1124</v>
      </c>
      <c r="L20" s="42" t="n">
        <f aca="false">LN(MIN(MAX(K20,0.0001),0.9999)/(1-MIN(MAX(K20,0.0001),0.9999)))</f>
        <v>-2.06645725359885</v>
      </c>
      <c r="M20" s="16" t="n">
        <f aca="false">A20*EXP(-Platt_Shift)</f>
        <v>543.172496287924</v>
      </c>
      <c r="N20" s="44" t="n">
        <f aca="false">MIN(MAX(IFERROR(MATCH(M20,Distribution!$A$6:$A$20,1),1),1),14)</f>
        <v>14</v>
      </c>
      <c r="O20" s="42" t="n">
        <f aca="false">1/(1+EXP(-(INDEX(Distribution!$L$6:$L$20,N20)+(LN(M20)-INDEX(Distribution!$B$6:$B$20,N20))/(INDEX(Distribution!$B$6:$B$20,N20+1)-INDEX(Distribution!$B$6:$B$20,N20))*(INDEX(Distribution!$L$6:$L$20,N20+1)-INDEX(Distribution!$L$6:$L$20,N20)))))</f>
        <v>0.130560106243885</v>
      </c>
      <c r="P20" s="42" t="n">
        <f aca="false">LN(MIN(MAX(C20,0.0001),0.9999)/(1-MIN(MAX(C20,0.0001),0.9999)))</f>
        <v>-2.53119535706469</v>
      </c>
      <c r="Q20" s="16" t="n">
        <f aca="false">IF(Analyst_Median&gt;0,A20*Market_Median/Analyst_Median,A20)</f>
        <v>253.635296369709</v>
      </c>
      <c r="R20" s="44" t="n">
        <f aca="false">MIN(MAX(IFERROR(MATCH(Q20,Distribution!$A$6:$A$20,1),1),1),14)</f>
        <v>9</v>
      </c>
      <c r="S20" s="42" t="n">
        <f aca="false">1/(1+EXP(-(INDEX(Distribution!$P$6:$P$20,R20)+(LN(Q20)-INDEX(Distribution!$B$6:$B$20,R20))/(INDEX(Distribution!$B$6:$B$20,R20+1)-INDEX(Distribution!$B$6:$B$20,R20))*(INDEX(Distribution!$P$6:$P$20,R20+1)-INDEX(Distribution!$P$6:$P$20,R20)))))</f>
        <v>0.386420391841761</v>
      </c>
      <c r="T20" s="42" t="n">
        <f aca="false">W_Mkt*C20+W_Agents*O20</f>
        <v>0.0924638350604821</v>
      </c>
      <c r="U20" s="45" t="n">
        <f aca="false">(1-W_Analyst)*T20+W_Analyst*S20</f>
        <v>0.0924638350604821</v>
      </c>
      <c r="V20" s="42" t="n">
        <f aca="false">LN(MIN(MAX(U20,0.0001),0.9999)/(1-MIN(MAX(U20,0.0001),0.9999)))</f>
        <v>-2.28391582076833</v>
      </c>
      <c r="W20" s="43" t="n">
        <v>0.0897</v>
      </c>
    </row>
    <row r="22" customFormat="false" ht="15" hidden="false" customHeight="false" outlineLevel="0" collapsed="false">
      <c r="A22" s="2" t="s">
        <v>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9"/>
    <col collapsed="false" customWidth="true" hidden="false" outlineLevel="0" max="5" min="5" style="0" width="13"/>
    <col collapsed="false" customWidth="true" hidden="false" outlineLevel="0" max="6" min="6" style="0" width="44"/>
    <col collapsed="false" customWidth="true" hidden="false" outlineLevel="0" max="7" min="7" style="0" width="90"/>
  </cols>
  <sheetData>
    <row r="1" customFormat="false" ht="17.35" hidden="false" customHeight="false" outlineLevel="0" collapsed="false">
      <c r="A1" s="1" t="s">
        <v>338</v>
      </c>
    </row>
    <row r="2" customFormat="false" ht="15" hidden="false" customHeight="false" outlineLevel="0" collapsed="false">
      <c r="A2" s="2" t="s">
        <v>339</v>
      </c>
    </row>
    <row r="4" customFormat="false" ht="23.85" hidden="false" customHeight="false" outlineLevel="0" collapsed="false">
      <c r="A4" s="23" t="s">
        <v>340</v>
      </c>
      <c r="B4" s="23" t="s">
        <v>341</v>
      </c>
      <c r="C4" s="23" t="s">
        <v>342</v>
      </c>
      <c r="D4" s="23" t="s">
        <v>343</v>
      </c>
      <c r="E4" s="23" t="s">
        <v>344</v>
      </c>
      <c r="F4" s="23" t="s">
        <v>345</v>
      </c>
      <c r="G4" s="23" t="s">
        <v>346</v>
      </c>
    </row>
    <row r="5" customFormat="false" ht="23.85" hidden="false" customHeight="false" outlineLevel="0" collapsed="false">
      <c r="A5" s="5" t="s">
        <v>29</v>
      </c>
      <c r="B5" s="29" t="s">
        <v>137</v>
      </c>
      <c r="C5" s="6" t="n">
        <v>349</v>
      </c>
      <c r="D5" s="12" t="n">
        <v>0.5</v>
      </c>
      <c r="E5" s="16" t="n">
        <f aca="false">C5*D5</f>
        <v>174.5</v>
      </c>
      <c r="F5" s="29" t="s">
        <v>347</v>
      </c>
      <c r="G5" s="29" t="s">
        <v>348</v>
      </c>
    </row>
    <row r="6" customFormat="false" ht="23.85" hidden="false" customHeight="false" outlineLevel="0" collapsed="false">
      <c r="A6" s="5" t="s">
        <v>29</v>
      </c>
      <c r="B6" s="29" t="s">
        <v>253</v>
      </c>
      <c r="C6" s="6" t="n">
        <v>348</v>
      </c>
      <c r="D6" s="12" t="n">
        <v>0.5</v>
      </c>
      <c r="E6" s="16" t="n">
        <f aca="false">C6*D6</f>
        <v>174</v>
      </c>
      <c r="F6" s="29" t="s">
        <v>349</v>
      </c>
      <c r="G6" s="29" t="s">
        <v>350</v>
      </c>
    </row>
    <row r="7" customFormat="false" ht="35.05" hidden="false" customHeight="false" outlineLevel="0" collapsed="false">
      <c r="A7" s="46" t="s">
        <v>29</v>
      </c>
      <c r="B7" s="46" t="s">
        <v>351</v>
      </c>
      <c r="C7" s="47" t="n">
        <f aca="false">IF(SUM(D5:D6)&gt;0,SUMPRODUCT(C5:C6,D5:D6)/SUM(D5:D6),"")</f>
        <v>348.5</v>
      </c>
      <c r="D7" s="48" t="n">
        <f aca="false">SUM(D5:D6)</f>
        <v>1</v>
      </c>
      <c r="E7" s="49" t="n">
        <v>348</v>
      </c>
      <c r="F7" s="46" t="s">
        <v>352</v>
      </c>
      <c r="G7" s="50" t="s">
        <v>353</v>
      </c>
    </row>
    <row r="9" customFormat="false" ht="23.85" hidden="false" customHeight="false" outlineLevel="0" collapsed="false">
      <c r="A9" s="5" t="s">
        <v>30</v>
      </c>
      <c r="B9" s="29" t="s">
        <v>137</v>
      </c>
      <c r="C9" s="6" t="n">
        <v>344</v>
      </c>
      <c r="D9" s="12" t="n">
        <v>0.45</v>
      </c>
      <c r="E9" s="16" t="n">
        <f aca="false">C9*D9</f>
        <v>154.8</v>
      </c>
      <c r="F9" s="29" t="s">
        <v>354</v>
      </c>
      <c r="G9" s="29" t="s">
        <v>355</v>
      </c>
    </row>
    <row r="10" customFormat="false" ht="35.05" hidden="false" customHeight="false" outlineLevel="0" collapsed="false">
      <c r="A10" s="5" t="s">
        <v>30</v>
      </c>
      <c r="B10" s="29" t="s">
        <v>238</v>
      </c>
      <c r="C10" s="6" t="n">
        <v>320</v>
      </c>
      <c r="D10" s="12" t="n">
        <v>0.3</v>
      </c>
      <c r="E10" s="16" t="n">
        <f aca="false">C10*D10</f>
        <v>96</v>
      </c>
      <c r="F10" s="29" t="s">
        <v>356</v>
      </c>
      <c r="G10" s="29" t="s">
        <v>357</v>
      </c>
    </row>
    <row r="11" customFormat="false" ht="23.85" hidden="false" customHeight="false" outlineLevel="0" collapsed="false">
      <c r="A11" s="5" t="s">
        <v>30</v>
      </c>
      <c r="B11" s="29" t="s">
        <v>253</v>
      </c>
      <c r="C11" s="6" t="n">
        <v>333</v>
      </c>
      <c r="D11" s="12" t="n">
        <v>0.25</v>
      </c>
      <c r="E11" s="16" t="n">
        <f aca="false">C11*D11</f>
        <v>83.25</v>
      </c>
      <c r="F11" s="29" t="s">
        <v>358</v>
      </c>
      <c r="G11" s="29" t="s">
        <v>359</v>
      </c>
    </row>
    <row r="12" customFormat="false" ht="46.25" hidden="false" customHeight="false" outlineLevel="0" collapsed="false">
      <c r="A12" s="46" t="s">
        <v>30</v>
      </c>
      <c r="B12" s="46" t="s">
        <v>351</v>
      </c>
      <c r="C12" s="47" t="n">
        <f aca="false">IF(SUM(D9:D11)&gt;0,SUMPRODUCT(C9:C11,D9:D11)/SUM(D9:D11),"")</f>
        <v>334.05</v>
      </c>
      <c r="D12" s="48" t="n">
        <f aca="false">SUM(D9:D11)</f>
        <v>1</v>
      </c>
      <c r="E12" s="49" t="n">
        <v>333</v>
      </c>
      <c r="F12" s="46" t="s">
        <v>352</v>
      </c>
      <c r="G12" s="50" t="s">
        <v>360</v>
      </c>
    </row>
    <row r="14" customFormat="false" ht="15" hidden="false" customHeight="false" outlineLevel="0" collapsed="false">
      <c r="A14" s="5" t="s">
        <v>31</v>
      </c>
      <c r="B14" s="29" t="s">
        <v>137</v>
      </c>
      <c r="C14" s="6" t="n">
        <v>323</v>
      </c>
      <c r="D14" s="12" t="n">
        <v>0.4</v>
      </c>
      <c r="E14" s="16" t="n">
        <f aca="false">C14*D14</f>
        <v>129.2</v>
      </c>
      <c r="F14" s="29" t="s">
        <v>361</v>
      </c>
      <c r="G14" s="29" t="s">
        <v>362</v>
      </c>
    </row>
    <row r="15" customFormat="false" ht="35.05" hidden="false" customHeight="false" outlineLevel="0" collapsed="false">
      <c r="A15" s="5" t="s">
        <v>31</v>
      </c>
      <c r="B15" s="29" t="s">
        <v>253</v>
      </c>
      <c r="C15" s="6" t="n">
        <v>311</v>
      </c>
      <c r="D15" s="12" t="n">
        <v>0.35</v>
      </c>
      <c r="E15" s="16" t="n">
        <f aca="false">C15*D15</f>
        <v>108.85</v>
      </c>
      <c r="F15" s="29" t="s">
        <v>363</v>
      </c>
      <c r="G15" s="29" t="s">
        <v>364</v>
      </c>
    </row>
    <row r="16" customFormat="false" ht="23.85" hidden="false" customHeight="false" outlineLevel="0" collapsed="false">
      <c r="A16" s="5" t="s">
        <v>31</v>
      </c>
      <c r="B16" s="29" t="s">
        <v>238</v>
      </c>
      <c r="C16" s="6" t="n">
        <v>309</v>
      </c>
      <c r="D16" s="12" t="n">
        <v>0.25</v>
      </c>
      <c r="E16" s="16" t="n">
        <f aca="false">C16*D16</f>
        <v>77.25</v>
      </c>
      <c r="F16" s="29" t="s">
        <v>365</v>
      </c>
      <c r="G16" s="29" t="s">
        <v>366</v>
      </c>
    </row>
    <row r="17" customFormat="false" ht="35.05" hidden="false" customHeight="false" outlineLevel="0" collapsed="false">
      <c r="A17" s="46" t="s">
        <v>31</v>
      </c>
      <c r="B17" s="46" t="s">
        <v>351</v>
      </c>
      <c r="C17" s="47" t="n">
        <f aca="false">IF(SUM(D14:D16)&gt;0,SUMPRODUCT(C14:C16,D14:D16)/SUM(D14:D16),"")</f>
        <v>315.3</v>
      </c>
      <c r="D17" s="48" t="n">
        <f aca="false">SUM(D14:D16)</f>
        <v>1</v>
      </c>
      <c r="E17" s="49" t="n">
        <v>315</v>
      </c>
      <c r="F17" s="46" t="s">
        <v>352</v>
      </c>
      <c r="G17" s="50" t="s">
        <v>367</v>
      </c>
    </row>
    <row r="19" customFormat="false" ht="15" hidden="false" customHeight="false" outlineLevel="0" collapsed="false">
      <c r="A19" s="5" t="s">
        <v>32</v>
      </c>
      <c r="B19" s="29" t="s">
        <v>137</v>
      </c>
      <c r="C19" s="6" t="n">
        <v>342</v>
      </c>
      <c r="D19" s="12" t="n">
        <v>0.4</v>
      </c>
      <c r="E19" s="16" t="n">
        <f aca="false">C19*D19</f>
        <v>136.8</v>
      </c>
      <c r="F19" s="29" t="s">
        <v>368</v>
      </c>
      <c r="G19" s="29" t="s">
        <v>369</v>
      </c>
    </row>
    <row r="20" customFormat="false" ht="35.05" hidden="false" customHeight="false" outlineLevel="0" collapsed="false">
      <c r="A20" s="5" t="s">
        <v>32</v>
      </c>
      <c r="B20" s="29" t="s">
        <v>238</v>
      </c>
      <c r="C20" s="6" t="n">
        <v>293</v>
      </c>
      <c r="D20" s="12" t="n">
        <v>0.3</v>
      </c>
      <c r="E20" s="16" t="n">
        <f aca="false">C20*D20</f>
        <v>87.9</v>
      </c>
      <c r="F20" s="29" t="s">
        <v>370</v>
      </c>
      <c r="G20" s="29" t="s">
        <v>371</v>
      </c>
    </row>
    <row r="21" customFormat="false" ht="46.25" hidden="false" customHeight="false" outlineLevel="0" collapsed="false">
      <c r="A21" s="5" t="s">
        <v>32</v>
      </c>
      <c r="B21" s="29" t="s">
        <v>253</v>
      </c>
      <c r="C21" s="6" t="n">
        <v>286</v>
      </c>
      <c r="D21" s="12" t="n">
        <v>0.3</v>
      </c>
      <c r="E21" s="16" t="n">
        <f aca="false">C21*D21</f>
        <v>85.8</v>
      </c>
      <c r="F21" s="29" t="s">
        <v>372</v>
      </c>
      <c r="G21" s="29" t="s">
        <v>373</v>
      </c>
    </row>
    <row r="22" customFormat="false" ht="35.05" hidden="false" customHeight="false" outlineLevel="0" collapsed="false">
      <c r="A22" s="46" t="s">
        <v>32</v>
      </c>
      <c r="B22" s="46" t="s">
        <v>351</v>
      </c>
      <c r="C22" s="47" t="n">
        <f aca="false">IF(SUM(D19:D21)&gt;0,SUMPRODUCT(C19:C21,D19:D21)/SUM(D19:D21),"")</f>
        <v>310.5</v>
      </c>
      <c r="D22" s="48" t="n">
        <f aca="false">SUM(D19:D21)</f>
        <v>1</v>
      </c>
      <c r="E22" s="49" t="n">
        <v>310</v>
      </c>
      <c r="F22" s="46" t="s">
        <v>352</v>
      </c>
      <c r="G22" s="50" t="s">
        <v>374</v>
      </c>
    </row>
    <row r="24" customFormat="false" ht="23.85" hidden="false" customHeight="false" outlineLevel="0" collapsed="false">
      <c r="A24" s="5" t="s">
        <v>33</v>
      </c>
      <c r="B24" s="29" t="s">
        <v>137</v>
      </c>
      <c r="C24" s="6" t="n">
        <v>333</v>
      </c>
      <c r="D24" s="12" t="n">
        <v>0.4</v>
      </c>
      <c r="E24" s="16" t="n">
        <f aca="false">C24*D24</f>
        <v>133.2</v>
      </c>
      <c r="F24" s="29" t="s">
        <v>375</v>
      </c>
      <c r="G24" s="29" t="s">
        <v>376</v>
      </c>
    </row>
    <row r="25" customFormat="false" ht="35.05" hidden="false" customHeight="false" outlineLevel="0" collapsed="false">
      <c r="A25" s="5" t="s">
        <v>33</v>
      </c>
      <c r="B25" s="29" t="s">
        <v>253</v>
      </c>
      <c r="C25" s="6" t="n">
        <v>330</v>
      </c>
      <c r="D25" s="12" t="n">
        <v>0.35</v>
      </c>
      <c r="E25" s="16" t="n">
        <f aca="false">C25*D25</f>
        <v>115.5</v>
      </c>
      <c r="F25" s="29" t="s">
        <v>377</v>
      </c>
      <c r="G25" s="29" t="s">
        <v>378</v>
      </c>
    </row>
    <row r="26" customFormat="false" ht="35.05" hidden="false" customHeight="false" outlineLevel="0" collapsed="false">
      <c r="A26" s="5" t="s">
        <v>33</v>
      </c>
      <c r="B26" s="29" t="s">
        <v>238</v>
      </c>
      <c r="C26" s="6" t="n">
        <v>292</v>
      </c>
      <c r="D26" s="12" t="n">
        <v>0.25</v>
      </c>
      <c r="E26" s="16" t="n">
        <f aca="false">C26*D26</f>
        <v>73</v>
      </c>
      <c r="F26" s="29" t="s">
        <v>379</v>
      </c>
      <c r="G26" s="29" t="s">
        <v>380</v>
      </c>
    </row>
    <row r="27" customFormat="false" ht="57.45" hidden="false" customHeight="false" outlineLevel="0" collapsed="false">
      <c r="A27" s="46" t="s">
        <v>33</v>
      </c>
      <c r="B27" s="46" t="s">
        <v>351</v>
      </c>
      <c r="C27" s="47" t="n">
        <f aca="false">IF(SUM(D24:D26)&gt;0,SUMPRODUCT(C24:C26,D24:D26)/SUM(D24:D26),"")</f>
        <v>321.7</v>
      </c>
      <c r="D27" s="48" t="n">
        <f aca="false">SUM(D24:D26)</f>
        <v>1</v>
      </c>
      <c r="E27" s="49" t="n">
        <v>322</v>
      </c>
      <c r="F27" s="46" t="s">
        <v>352</v>
      </c>
      <c r="G27" s="50" t="s">
        <v>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3"/>
    <col collapsed="false" customWidth="true" hidden="false" outlineLevel="0" max="7" min="5" style="0" width="50"/>
  </cols>
  <sheetData>
    <row r="1" customFormat="false" ht="17.35" hidden="false" customHeight="false" outlineLevel="0" collapsed="false">
      <c r="A1" s="1" t="s">
        <v>382</v>
      </c>
    </row>
    <row r="2" customFormat="false" ht="15" hidden="false" customHeight="false" outlineLevel="0" collapsed="false">
      <c r="A2" s="2" t="s">
        <v>383</v>
      </c>
    </row>
    <row r="4" customFormat="false" ht="23.85" hidden="false" customHeight="false" outlineLevel="0" collapsed="false">
      <c r="A4" s="23" t="s">
        <v>340</v>
      </c>
      <c r="B4" s="23" t="s">
        <v>384</v>
      </c>
      <c r="C4" s="23" t="s">
        <v>385</v>
      </c>
      <c r="D4" s="23" t="s">
        <v>386</v>
      </c>
      <c r="E4" s="23" t="s">
        <v>387</v>
      </c>
      <c r="F4" s="23" t="s">
        <v>388</v>
      </c>
      <c r="G4" s="23" t="s">
        <v>389</v>
      </c>
    </row>
    <row r="5" customFormat="false" ht="68.65" hidden="false" customHeight="false" outlineLevel="0" collapsed="false">
      <c r="A5" s="5" t="s">
        <v>29</v>
      </c>
      <c r="B5" s="6" t="n">
        <v>175</v>
      </c>
      <c r="C5" s="6" t="n">
        <v>320</v>
      </c>
      <c r="D5" s="6" t="n">
        <v>490</v>
      </c>
      <c r="E5" s="29" t="s">
        <v>390</v>
      </c>
      <c r="F5" s="29" t="s">
        <v>391</v>
      </c>
      <c r="G5" s="29" t="s">
        <v>392</v>
      </c>
    </row>
    <row r="6" customFormat="false" ht="91" hidden="false" customHeight="false" outlineLevel="0" collapsed="false">
      <c r="A6" s="5" t="s">
        <v>30</v>
      </c>
      <c r="B6" s="6" t="n">
        <v>185</v>
      </c>
      <c r="C6" s="6" t="n">
        <v>325</v>
      </c>
      <c r="D6" s="6" t="n">
        <v>500</v>
      </c>
      <c r="E6" s="29" t="s">
        <v>393</v>
      </c>
      <c r="F6" s="29" t="s">
        <v>394</v>
      </c>
      <c r="G6" s="29" t="s">
        <v>395</v>
      </c>
    </row>
    <row r="7" customFormat="false" ht="91" hidden="false" customHeight="false" outlineLevel="0" collapsed="false">
      <c r="A7" s="5" t="s">
        <v>31</v>
      </c>
      <c r="B7" s="6" t="n">
        <v>190</v>
      </c>
      <c r="C7" s="6" t="n">
        <v>315</v>
      </c>
      <c r="D7" s="6" t="n">
        <v>480</v>
      </c>
      <c r="E7" s="29" t="s">
        <v>396</v>
      </c>
      <c r="F7" s="29" t="s">
        <v>397</v>
      </c>
      <c r="G7" s="29" t="s">
        <v>398</v>
      </c>
    </row>
    <row r="8" customFormat="false" ht="102.2" hidden="false" customHeight="false" outlineLevel="0" collapsed="false">
      <c r="A8" s="5" t="s">
        <v>32</v>
      </c>
      <c r="B8" s="6" t="n">
        <v>170</v>
      </c>
      <c r="C8" s="6" t="n">
        <v>315</v>
      </c>
      <c r="D8" s="6" t="n">
        <v>490</v>
      </c>
      <c r="E8" s="29" t="s">
        <v>399</v>
      </c>
      <c r="F8" s="29" t="s">
        <v>400</v>
      </c>
      <c r="G8" s="29" t="s">
        <v>401</v>
      </c>
    </row>
    <row r="9" customFormat="false" ht="113.4" hidden="false" customHeight="false" outlineLevel="0" collapsed="false">
      <c r="A9" s="5" t="s">
        <v>33</v>
      </c>
      <c r="B9" s="6" t="n">
        <v>175</v>
      </c>
      <c r="C9" s="6" t="n">
        <v>310</v>
      </c>
      <c r="D9" s="6" t="n">
        <v>475</v>
      </c>
      <c r="E9" s="29" t="s">
        <v>402</v>
      </c>
      <c r="F9" s="29" t="s">
        <v>403</v>
      </c>
      <c r="G9" s="29" t="s">
        <v>404</v>
      </c>
    </row>
    <row r="10" customFormat="false" ht="15" hidden="false" customHeight="false" outlineLevel="0" collapsed="false">
      <c r="A10" s="14" t="s">
        <v>405</v>
      </c>
      <c r="B10" s="15" t="n">
        <f aca="false">AVERAGE(B5:B9)</f>
        <v>179</v>
      </c>
      <c r="C10" s="15" t="n">
        <f aca="false">AVERAGE(C5:C9)</f>
        <v>317</v>
      </c>
      <c r="D10" s="15" t="n">
        <f aca="false">AVERAGE(D5:D9)</f>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2"/>
    <col collapsed="false" customWidth="true" hidden="false" outlineLevel="0" max="5" min="5" style="0" width="90"/>
    <col collapsed="false" customWidth="true" hidden="false" outlineLevel="0" max="6" min="6" style="0" width="50"/>
    <col collapsed="false" customWidth="true" hidden="false" outlineLevel="0" max="7" min="7" style="0" width="60"/>
    <col collapsed="false" customWidth="true" hidden="false" outlineLevel="0" max="8" min="8" style="0" width="70"/>
  </cols>
  <sheetData>
    <row r="1" customFormat="false" ht="17.35" hidden="false" customHeight="false" outlineLevel="0" collapsed="false">
      <c r="A1" s="1" t="s">
        <v>406</v>
      </c>
    </row>
    <row r="2" customFormat="false" ht="15" hidden="false" customHeight="false" outlineLevel="0" collapsed="false">
      <c r="A2" s="2" t="s">
        <v>407</v>
      </c>
    </row>
    <row r="4" customFormat="false" ht="35.05" hidden="false" customHeight="false" outlineLevel="0" collapsed="false">
      <c r="A4" s="23" t="s">
        <v>340</v>
      </c>
      <c r="B4" s="23" t="s">
        <v>408</v>
      </c>
      <c r="C4" s="23" t="s">
        <v>409</v>
      </c>
      <c r="D4" s="23" t="s">
        <v>410</v>
      </c>
      <c r="E4" s="23" t="s">
        <v>66</v>
      </c>
      <c r="F4" s="23" t="s">
        <v>411</v>
      </c>
      <c r="G4" s="23" t="s">
        <v>412</v>
      </c>
      <c r="H4" s="23" t="s">
        <v>413</v>
      </c>
    </row>
    <row r="5" customFormat="false" ht="314.9" hidden="false" customHeight="false" outlineLevel="0" collapsed="false">
      <c r="A5" s="5" t="s">
        <v>29</v>
      </c>
      <c r="B5" s="6" t="n">
        <v>382</v>
      </c>
      <c r="C5" s="6" t="n">
        <v>348</v>
      </c>
      <c r="D5" s="6" t="n">
        <v>180</v>
      </c>
      <c r="E5" s="29" t="s">
        <v>414</v>
      </c>
      <c r="F5" s="29" t="s">
        <v>415</v>
      </c>
      <c r="G5" s="29" t="s">
        <v>416</v>
      </c>
      <c r="H5" s="29" t="s">
        <v>417</v>
      </c>
    </row>
    <row r="6" customFormat="false" ht="337.3" hidden="false" customHeight="false" outlineLevel="0" collapsed="false">
      <c r="A6" s="5" t="s">
        <v>30</v>
      </c>
      <c r="B6" s="6" t="n">
        <v>334</v>
      </c>
      <c r="C6" s="6" t="n">
        <v>333</v>
      </c>
      <c r="D6" s="6" t="n">
        <v>185</v>
      </c>
      <c r="E6" s="29" t="s">
        <v>418</v>
      </c>
      <c r="F6" s="29" t="s">
        <v>419</v>
      </c>
      <c r="G6" s="29" t="s">
        <v>420</v>
      </c>
      <c r="H6" s="29" t="s">
        <v>421</v>
      </c>
    </row>
    <row r="7" customFormat="false" ht="370.85" hidden="false" customHeight="false" outlineLevel="0" collapsed="false">
      <c r="A7" s="5" t="s">
        <v>31</v>
      </c>
      <c r="B7" s="6" t="n">
        <v>306</v>
      </c>
      <c r="C7" s="6" t="n">
        <v>315</v>
      </c>
      <c r="D7" s="6" t="n">
        <v>195</v>
      </c>
      <c r="E7" s="29" t="s">
        <v>422</v>
      </c>
      <c r="F7" s="29" t="s">
        <v>423</v>
      </c>
      <c r="G7" s="29" t="s">
        <v>424</v>
      </c>
      <c r="H7" s="29" t="s">
        <v>425</v>
      </c>
    </row>
    <row r="8" customFormat="false" ht="270.1" hidden="false" customHeight="false" outlineLevel="0" collapsed="false">
      <c r="A8" s="5" t="s">
        <v>32</v>
      </c>
      <c r="B8" s="6" t="n">
        <v>302</v>
      </c>
      <c r="C8" s="6" t="n">
        <v>310</v>
      </c>
      <c r="D8" s="6" t="n">
        <v>180</v>
      </c>
      <c r="E8" s="29" t="s">
        <v>426</v>
      </c>
      <c r="F8" s="29" t="s">
        <v>427</v>
      </c>
      <c r="G8" s="29" t="s">
        <v>428</v>
      </c>
      <c r="H8" s="29" t="s">
        <v>429</v>
      </c>
    </row>
    <row r="9" customFormat="false" ht="303.7" hidden="false" customHeight="false" outlineLevel="0" collapsed="false">
      <c r="A9" s="5" t="s">
        <v>33</v>
      </c>
      <c r="B9" s="6" t="n">
        <v>315</v>
      </c>
      <c r="C9" s="6" t="n">
        <v>322</v>
      </c>
      <c r="D9" s="6" t="n">
        <v>185</v>
      </c>
      <c r="E9" s="29" t="s">
        <v>430</v>
      </c>
      <c r="F9" s="29" t="s">
        <v>431</v>
      </c>
      <c r="G9" s="29" t="s">
        <v>432</v>
      </c>
      <c r="H9" s="29" t="s">
        <v>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 collapsed="false" customWidth="true" hidden="false" outlineLevel="0" max="4" min="4" style="0" width="50"/>
  </cols>
  <sheetData>
    <row r="1" customFormat="false" ht="17.35" hidden="false" customHeight="false" outlineLevel="0" collapsed="false">
      <c r="A1" s="1" t="s">
        <v>434</v>
      </c>
    </row>
    <row r="2" customFormat="false" ht="15" hidden="false" customHeight="false" outlineLevel="0" collapsed="false">
      <c r="A2" s="2" t="s">
        <v>435</v>
      </c>
    </row>
    <row r="4" customFormat="false" ht="46.25" hidden="false" customHeight="true" outlineLevel="0" collapsed="false">
      <c r="A4" s="14" t="s">
        <v>436</v>
      </c>
      <c r="B4" s="51" t="s">
        <v>437</v>
      </c>
      <c r="C4" s="51"/>
      <c r="D4" s="51"/>
    </row>
    <row r="5" customFormat="false" ht="35.05" hidden="false" customHeight="true" outlineLevel="0" collapsed="false">
      <c r="A5" s="14" t="s">
        <v>438</v>
      </c>
      <c r="B5" s="51" t="s">
        <v>37</v>
      </c>
      <c r="C5" s="51"/>
      <c r="D5" s="51"/>
    </row>
    <row r="6" customFormat="false" ht="68.65" hidden="false" customHeight="true" outlineLevel="0" collapsed="false">
      <c r="A6" s="14" t="s">
        <v>439</v>
      </c>
      <c r="B6" s="51" t="s">
        <v>440</v>
      </c>
      <c r="C6" s="51"/>
      <c r="D6" s="51"/>
    </row>
    <row r="8" customFormat="false" ht="15" hidden="false" customHeight="false" outlineLevel="0" collapsed="false">
      <c r="A8" s="52" t="s">
        <v>441</v>
      </c>
    </row>
    <row r="9" customFormat="false" ht="15" hidden="false" customHeight="false" outlineLevel="0" collapsed="false">
      <c r="A9" s="53" t="s">
        <v>442</v>
      </c>
      <c r="B9" s="53" t="s">
        <v>443</v>
      </c>
      <c r="C9" s="53" t="s">
        <v>444</v>
      </c>
      <c r="D9" s="53" t="s">
        <v>445</v>
      </c>
    </row>
    <row r="10" customFormat="false" ht="124.6" hidden="false" customHeight="false" outlineLevel="0" collapsed="false">
      <c r="A10" s="29" t="s">
        <v>446</v>
      </c>
      <c r="B10" s="29" t="s">
        <v>447</v>
      </c>
      <c r="C10" s="29" t="s">
        <v>448</v>
      </c>
      <c r="D10" s="29" t="s">
        <v>449</v>
      </c>
    </row>
    <row r="11" customFormat="false" ht="79.85" hidden="false" customHeight="false" outlineLevel="0" collapsed="false">
      <c r="A11" s="29" t="s">
        <v>450</v>
      </c>
      <c r="B11" s="29" t="s">
        <v>451</v>
      </c>
      <c r="C11" s="29" t="s">
        <v>452</v>
      </c>
      <c r="D11" s="29" t="s">
        <v>453</v>
      </c>
    </row>
    <row r="12" customFormat="false" ht="113.4" hidden="false" customHeight="false" outlineLevel="0" collapsed="false">
      <c r="A12" s="29" t="s">
        <v>454</v>
      </c>
      <c r="B12" s="29" t="s">
        <v>455</v>
      </c>
      <c r="C12" s="29" t="s">
        <v>456</v>
      </c>
      <c r="D12" s="29" t="s">
        <v>457</v>
      </c>
    </row>
    <row r="13" customFormat="false" ht="68.65" hidden="false" customHeight="false" outlineLevel="0" collapsed="false">
      <c r="A13" s="29" t="s">
        <v>458</v>
      </c>
      <c r="B13" s="29" t="s">
        <v>459</v>
      </c>
      <c r="C13" s="29" t="s">
        <v>460</v>
      </c>
      <c r="D13" s="29" t="s">
        <v>461</v>
      </c>
    </row>
    <row r="14" customFormat="false" ht="46.25" hidden="false" customHeight="false" outlineLevel="0" collapsed="false">
      <c r="A14" s="29" t="s">
        <v>462</v>
      </c>
      <c r="B14" s="29" t="s">
        <v>463</v>
      </c>
      <c r="C14" s="29" t="s">
        <v>464</v>
      </c>
      <c r="D14" s="29" t="s">
        <v>465</v>
      </c>
    </row>
    <row r="16" customFormat="false" ht="15" hidden="false" customHeight="false" outlineLevel="0" collapsed="false">
      <c r="A16" s="52" t="s">
        <v>466</v>
      </c>
    </row>
    <row r="17" customFormat="false" ht="15" hidden="false" customHeight="false" outlineLevel="0" collapsed="false">
      <c r="A17" s="53" t="s">
        <v>442</v>
      </c>
      <c r="B17" s="53" t="s">
        <v>443</v>
      </c>
      <c r="C17" s="53" t="s">
        <v>444</v>
      </c>
      <c r="D17" s="53" t="s">
        <v>445</v>
      </c>
    </row>
    <row r="18" customFormat="false" ht="68.65" hidden="false" customHeight="false" outlineLevel="0" collapsed="false">
      <c r="A18" s="29" t="s">
        <v>467</v>
      </c>
      <c r="B18" s="29" t="s">
        <v>468</v>
      </c>
      <c r="C18" s="29" t="s">
        <v>469</v>
      </c>
      <c r="D18" s="29" t="s">
        <v>470</v>
      </c>
    </row>
    <row r="19" customFormat="false" ht="57.45" hidden="false" customHeight="false" outlineLevel="0" collapsed="false">
      <c r="A19" s="29" t="s">
        <v>471</v>
      </c>
      <c r="B19" s="29" t="s">
        <v>472</v>
      </c>
      <c r="C19" s="29" t="s">
        <v>473</v>
      </c>
      <c r="D19" s="29" t="s">
        <v>474</v>
      </c>
    </row>
    <row r="20" customFormat="false" ht="57.45" hidden="false" customHeight="false" outlineLevel="0" collapsed="false">
      <c r="A20" s="29" t="s">
        <v>475</v>
      </c>
      <c r="B20" s="29" t="s">
        <v>476</v>
      </c>
      <c r="C20" s="29" t="s">
        <v>477</v>
      </c>
      <c r="D20" s="29" t="s">
        <v>478</v>
      </c>
    </row>
    <row r="21" customFormat="false" ht="68.65" hidden="false" customHeight="false" outlineLevel="0" collapsed="false">
      <c r="A21" s="29" t="s">
        <v>479</v>
      </c>
      <c r="B21" s="29" t="s">
        <v>480</v>
      </c>
      <c r="C21" s="29" t="s">
        <v>481</v>
      </c>
      <c r="D21" s="29" t="s">
        <v>482</v>
      </c>
    </row>
    <row r="22" customFormat="false" ht="68.65" hidden="false" customHeight="false" outlineLevel="0" collapsed="false">
      <c r="A22" s="29" t="s">
        <v>483</v>
      </c>
      <c r="B22" s="29" t="s">
        <v>484</v>
      </c>
      <c r="C22" s="29" t="s">
        <v>485</v>
      </c>
      <c r="D22" s="29" t="s">
        <v>486</v>
      </c>
    </row>
    <row r="24" customFormat="false" ht="15" hidden="false" customHeight="false" outlineLevel="0" collapsed="false">
      <c r="A24" s="52" t="s">
        <v>487</v>
      </c>
    </row>
    <row r="25" customFormat="false" ht="15" hidden="false" customHeight="false" outlineLevel="0" collapsed="false">
      <c r="A25" s="53" t="s">
        <v>488</v>
      </c>
      <c r="B25" s="53" t="s">
        <v>489</v>
      </c>
      <c r="C25" s="53" t="s">
        <v>490</v>
      </c>
      <c r="D25" s="53" t="s">
        <v>491</v>
      </c>
    </row>
    <row r="26" customFormat="false" ht="35.05" hidden="false" customHeight="false" outlineLevel="0" collapsed="false">
      <c r="A26" s="29" t="s">
        <v>492</v>
      </c>
      <c r="B26" s="29" t="s">
        <v>493</v>
      </c>
      <c r="C26" s="29" t="s">
        <v>494</v>
      </c>
      <c r="D26" s="29" t="s">
        <v>495</v>
      </c>
    </row>
    <row r="27" customFormat="false" ht="46.25" hidden="false" customHeight="false" outlineLevel="0" collapsed="false">
      <c r="A27" s="29" t="s">
        <v>496</v>
      </c>
      <c r="B27" s="29" t="s">
        <v>497</v>
      </c>
      <c r="C27" s="29" t="s">
        <v>498</v>
      </c>
      <c r="D27" s="29" t="s">
        <v>499</v>
      </c>
    </row>
    <row r="28" customFormat="false" ht="35.05" hidden="false" customHeight="false" outlineLevel="0" collapsed="false">
      <c r="A28" s="29" t="s">
        <v>500</v>
      </c>
      <c r="B28" s="29" t="s">
        <v>501</v>
      </c>
      <c r="C28" s="29" t="s">
        <v>502</v>
      </c>
      <c r="D28" s="29" t="s">
        <v>503</v>
      </c>
    </row>
    <row r="29" customFormat="false" ht="46.25" hidden="false" customHeight="false" outlineLevel="0" collapsed="false">
      <c r="A29" s="29" t="s">
        <v>492</v>
      </c>
      <c r="B29" s="29" t="s">
        <v>504</v>
      </c>
      <c r="C29" s="29" t="s">
        <v>505</v>
      </c>
      <c r="D29" s="29" t="s">
        <v>506</v>
      </c>
    </row>
    <row r="30" customFormat="false" ht="35.05" hidden="false" customHeight="false" outlineLevel="0" collapsed="false">
      <c r="A30" s="29" t="s">
        <v>507</v>
      </c>
      <c r="B30" s="29" t="s">
        <v>508</v>
      </c>
      <c r="C30" s="29" t="s">
        <v>509</v>
      </c>
      <c r="D30" s="29" t="s">
        <v>510</v>
      </c>
    </row>
    <row r="31" customFormat="false" ht="23.85" hidden="false" customHeight="false" outlineLevel="0" collapsed="false">
      <c r="A31" s="29" t="s">
        <v>511</v>
      </c>
      <c r="B31" s="29" t="s">
        <v>512</v>
      </c>
      <c r="C31" s="29" t="s">
        <v>513</v>
      </c>
      <c r="D31" s="29" t="s">
        <v>514</v>
      </c>
    </row>
    <row r="32" customFormat="false" ht="23.85" hidden="false" customHeight="false" outlineLevel="0" collapsed="false">
      <c r="A32" s="29" t="s">
        <v>515</v>
      </c>
      <c r="B32" s="29" t="s">
        <v>516</v>
      </c>
      <c r="C32" s="29" t="s">
        <v>497</v>
      </c>
      <c r="D32" s="29" t="s">
        <v>517</v>
      </c>
    </row>
    <row r="34" customFormat="false" ht="15" hidden="false" customHeight="false" outlineLevel="0" collapsed="false">
      <c r="A34" s="52" t="s">
        <v>518</v>
      </c>
    </row>
    <row r="35" customFormat="false" ht="15" hidden="false" customHeight="false" outlineLevel="0" collapsed="false">
      <c r="A35" s="53" t="s">
        <v>340</v>
      </c>
      <c r="B35" s="53" t="s">
        <v>519</v>
      </c>
      <c r="C35" s="53" t="s">
        <v>520</v>
      </c>
    </row>
    <row r="36" customFormat="false" ht="124.6" hidden="false" customHeight="false" outlineLevel="0" collapsed="false">
      <c r="A36" s="5" t="s">
        <v>521</v>
      </c>
      <c r="B36" s="29" t="s">
        <v>522</v>
      </c>
      <c r="C36" s="29" t="s">
        <v>523</v>
      </c>
    </row>
    <row r="37" customFormat="false" ht="79.85" hidden="false" customHeight="false" outlineLevel="0" collapsed="false">
      <c r="A37" s="5" t="s">
        <v>524</v>
      </c>
      <c r="B37" s="29" t="s">
        <v>525</v>
      </c>
      <c r="C37" s="29" t="s">
        <v>526</v>
      </c>
    </row>
    <row r="38" customFormat="false" ht="102.2" hidden="false" customHeight="false" outlineLevel="0" collapsed="false">
      <c r="A38" s="5" t="s">
        <v>527</v>
      </c>
      <c r="B38" s="29" t="s">
        <v>528</v>
      </c>
      <c r="C38" s="29" t="s">
        <v>529</v>
      </c>
    </row>
    <row r="39" customFormat="false" ht="79.85" hidden="false" customHeight="false" outlineLevel="0" collapsed="false">
      <c r="A39" s="5" t="s">
        <v>530</v>
      </c>
      <c r="B39" s="29" t="s">
        <v>531</v>
      </c>
      <c r="C39" s="29" t="s">
        <v>532</v>
      </c>
    </row>
    <row r="40" customFormat="false" ht="102.2" hidden="false" customHeight="false" outlineLevel="0" collapsed="false">
      <c r="A40" s="5" t="s">
        <v>533</v>
      </c>
      <c r="B40" s="29" t="s">
        <v>534</v>
      </c>
      <c r="C40" s="29" t="s">
        <v>535</v>
      </c>
    </row>
    <row r="42" customFormat="false" ht="15" hidden="false" customHeight="false" outlineLevel="0" collapsed="false">
      <c r="A42" s="52" t="s">
        <v>536</v>
      </c>
    </row>
    <row r="43" customFormat="false" ht="15" hidden="false" customHeight="false" outlineLevel="0" collapsed="false">
      <c r="A43" s="5" t="s">
        <v>537</v>
      </c>
      <c r="B43" s="29" t="n">
        <v>2.5</v>
      </c>
    </row>
    <row r="44" customFormat="false" ht="15" hidden="false" customHeight="false" outlineLevel="0" collapsed="false">
      <c r="A44" s="5" t="s">
        <v>538</v>
      </c>
      <c r="B44" s="29" t="n">
        <v>0.38</v>
      </c>
    </row>
    <row r="45" customFormat="false" ht="15" hidden="false" customHeight="false" outlineLevel="0" collapsed="false">
      <c r="A45" s="5" t="s">
        <v>539</v>
      </c>
      <c r="B45" s="29" t="s">
        <v>540</v>
      </c>
    </row>
    <row r="46" customFormat="false" ht="57.45" hidden="false" customHeight="false" outlineLevel="0" collapsed="false">
      <c r="A46" s="5" t="s">
        <v>541</v>
      </c>
      <c r="B46" s="29" t="s">
        <v>542</v>
      </c>
    </row>
    <row r="47" customFormat="false" ht="23.85" hidden="false" customHeight="false" outlineLevel="0" collapsed="false">
      <c r="A47" s="5" t="s">
        <v>543</v>
      </c>
      <c r="B47" s="29" t="s">
        <v>544</v>
      </c>
    </row>
    <row r="48" customFormat="false" ht="46.25" hidden="false" customHeight="false" outlineLevel="0" collapsed="false">
      <c r="A48" s="5" t="s">
        <v>545</v>
      </c>
      <c r="B48" s="29" t="s">
        <v>546</v>
      </c>
    </row>
    <row r="49" customFormat="false" ht="68.65" hidden="false" customHeight="false" outlineLevel="0" collapsed="false">
      <c r="A49" s="5" t="s">
        <v>547</v>
      </c>
      <c r="B49" s="29" t="s">
        <v>548</v>
      </c>
    </row>
  </sheetData>
  <mergeCells count="3">
    <mergeCell ref="B4:D4"/>
    <mergeCell ref="B5:D5"/>
    <mergeCell ref="B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0"/>
    <col collapsed="false" customWidth="true" hidden="false" outlineLevel="0" max="4" min="4" style="0" width="12"/>
    <col collapsed="false" customWidth="true" hidden="false" outlineLevel="0" max="5" min="5" style="0" width="60"/>
  </cols>
  <sheetData>
    <row r="1" customFormat="false" ht="17.35" hidden="false" customHeight="false" outlineLevel="0" collapsed="false">
      <c r="A1" s="1" t="s">
        <v>549</v>
      </c>
    </row>
    <row r="2" customFormat="false" ht="15" hidden="false" customHeight="false" outlineLevel="0" collapsed="false">
      <c r="A2" s="2" t="s">
        <v>550</v>
      </c>
    </row>
    <row r="4" customFormat="false" ht="15" hidden="false" customHeight="false" outlineLevel="0" collapsed="false">
      <c r="A4" s="23" t="s">
        <v>74</v>
      </c>
      <c r="B4" s="23" t="s">
        <v>551</v>
      </c>
      <c r="C4" s="23" t="s">
        <v>552</v>
      </c>
      <c r="D4" s="23" t="s">
        <v>553</v>
      </c>
      <c r="E4" s="23" t="s">
        <v>554</v>
      </c>
    </row>
    <row r="5" customFormat="false" ht="15" hidden="false" customHeight="false" outlineLevel="0" collapsed="false">
      <c r="A5" s="5" t="s">
        <v>555</v>
      </c>
      <c r="B5" s="5" t="s">
        <v>521</v>
      </c>
      <c r="C5" s="29" t="s">
        <v>556</v>
      </c>
      <c r="D5" s="5" t="s">
        <v>557</v>
      </c>
      <c r="E5" s="22" t="s">
        <v>558</v>
      </c>
    </row>
    <row r="6" customFormat="false" ht="23.85" hidden="false" customHeight="false" outlineLevel="0" collapsed="false">
      <c r="A6" s="5" t="s">
        <v>559</v>
      </c>
      <c r="B6" s="5" t="s">
        <v>521</v>
      </c>
      <c r="C6" s="29" t="s">
        <v>560</v>
      </c>
      <c r="D6" s="5" t="s">
        <v>557</v>
      </c>
      <c r="E6" s="22" t="s">
        <v>561</v>
      </c>
    </row>
    <row r="7" customFormat="false" ht="15" hidden="false" customHeight="false" outlineLevel="0" collapsed="false">
      <c r="A7" s="5" t="s">
        <v>562</v>
      </c>
      <c r="B7" s="5" t="s">
        <v>521</v>
      </c>
      <c r="C7" s="29" t="s">
        <v>563</v>
      </c>
      <c r="D7" s="5" t="s">
        <v>557</v>
      </c>
      <c r="E7" s="22" t="s">
        <v>564</v>
      </c>
    </row>
    <row r="8" customFormat="false" ht="15" hidden="false" customHeight="false" outlineLevel="0" collapsed="false">
      <c r="A8" s="5" t="s">
        <v>565</v>
      </c>
      <c r="B8" s="5" t="s">
        <v>521</v>
      </c>
      <c r="C8" s="29" t="s">
        <v>566</v>
      </c>
      <c r="D8" s="5" t="s">
        <v>557</v>
      </c>
      <c r="E8" s="22" t="s">
        <v>567</v>
      </c>
    </row>
    <row r="9" customFormat="false" ht="15" hidden="false" customHeight="false" outlineLevel="0" collapsed="false">
      <c r="A9" s="5" t="s">
        <v>568</v>
      </c>
      <c r="B9" s="5" t="s">
        <v>521</v>
      </c>
      <c r="C9" s="29" t="s">
        <v>569</v>
      </c>
      <c r="D9" s="5" t="s">
        <v>570</v>
      </c>
      <c r="E9" s="22" t="s">
        <v>571</v>
      </c>
    </row>
    <row r="10" customFormat="false" ht="15" hidden="false" customHeight="false" outlineLevel="0" collapsed="false">
      <c r="A10" s="5" t="s">
        <v>572</v>
      </c>
      <c r="B10" s="5" t="s">
        <v>521</v>
      </c>
      <c r="C10" s="29" t="s">
        <v>573</v>
      </c>
      <c r="D10" s="5" t="s">
        <v>574</v>
      </c>
      <c r="E10" s="22" t="s">
        <v>575</v>
      </c>
    </row>
    <row r="11" customFormat="false" ht="23.85" hidden="false" customHeight="false" outlineLevel="0" collapsed="false">
      <c r="A11" s="5" t="s">
        <v>576</v>
      </c>
      <c r="B11" s="5" t="s">
        <v>521</v>
      </c>
      <c r="C11" s="29" t="s">
        <v>577</v>
      </c>
      <c r="D11" s="5" t="s">
        <v>578</v>
      </c>
      <c r="E11" s="22" t="s">
        <v>579</v>
      </c>
    </row>
    <row r="12" customFormat="false" ht="15" hidden="false" customHeight="false" outlineLevel="0" collapsed="false">
      <c r="A12" s="5" t="s">
        <v>580</v>
      </c>
      <c r="B12" s="5" t="s">
        <v>521</v>
      </c>
      <c r="C12" s="29" t="s">
        <v>581</v>
      </c>
      <c r="D12" s="5" t="s">
        <v>570</v>
      </c>
      <c r="E12" s="22" t="s">
        <v>582</v>
      </c>
    </row>
    <row r="13" customFormat="false" ht="15" hidden="false" customHeight="false" outlineLevel="0" collapsed="false">
      <c r="A13" s="5" t="s">
        <v>583</v>
      </c>
      <c r="B13" s="5" t="s">
        <v>521</v>
      </c>
      <c r="C13" s="29" t="s">
        <v>584</v>
      </c>
      <c r="D13" s="5" t="s">
        <v>585</v>
      </c>
      <c r="E13" s="22" t="s">
        <v>586</v>
      </c>
    </row>
    <row r="14" customFormat="false" ht="15" hidden="false" customHeight="false" outlineLevel="0" collapsed="false">
      <c r="A14" s="5" t="s">
        <v>587</v>
      </c>
      <c r="B14" s="5" t="s">
        <v>521</v>
      </c>
      <c r="C14" s="29" t="s">
        <v>588</v>
      </c>
      <c r="D14" s="5" t="s">
        <v>589</v>
      </c>
      <c r="E14" s="22" t="s">
        <v>590</v>
      </c>
    </row>
    <row r="15" customFormat="false" ht="23.85" hidden="false" customHeight="false" outlineLevel="0" collapsed="false">
      <c r="A15" s="5" t="s">
        <v>90</v>
      </c>
      <c r="B15" s="5" t="s">
        <v>521</v>
      </c>
      <c r="C15" s="29" t="s">
        <v>591</v>
      </c>
      <c r="D15" s="5" t="s">
        <v>585</v>
      </c>
      <c r="E15" s="22" t="s">
        <v>592</v>
      </c>
    </row>
    <row r="16" customFormat="false" ht="15" hidden="false" customHeight="false" outlineLevel="0" collapsed="false">
      <c r="A16" s="5" t="s">
        <v>593</v>
      </c>
      <c r="B16" s="5" t="s">
        <v>521</v>
      </c>
      <c r="C16" s="29" t="s">
        <v>594</v>
      </c>
      <c r="D16" s="5" t="s">
        <v>585</v>
      </c>
      <c r="E16" s="22" t="s">
        <v>595</v>
      </c>
    </row>
    <row r="17" customFormat="false" ht="23.85" hidden="false" customHeight="false" outlineLevel="0" collapsed="false">
      <c r="A17" s="5" t="s">
        <v>287</v>
      </c>
      <c r="B17" s="5" t="s">
        <v>521</v>
      </c>
      <c r="C17" s="29" t="s">
        <v>596</v>
      </c>
      <c r="D17" s="5" t="s">
        <v>597</v>
      </c>
      <c r="E17" s="22" t="s">
        <v>598</v>
      </c>
    </row>
    <row r="18" customFormat="false" ht="23.85" hidden="false" customHeight="false" outlineLevel="0" collapsed="false">
      <c r="A18" s="5" t="s">
        <v>599</v>
      </c>
      <c r="B18" s="5" t="s">
        <v>521</v>
      </c>
      <c r="C18" s="29" t="s">
        <v>600</v>
      </c>
      <c r="D18" s="5" t="s">
        <v>601</v>
      </c>
      <c r="E18" s="22" t="s">
        <v>602</v>
      </c>
    </row>
    <row r="19" customFormat="false" ht="15" hidden="false" customHeight="false" outlineLevel="0" collapsed="false">
      <c r="A19" s="5" t="s">
        <v>603</v>
      </c>
      <c r="B19" s="5" t="s">
        <v>521</v>
      </c>
      <c r="C19" s="29" t="s">
        <v>604</v>
      </c>
      <c r="D19" s="5" t="s">
        <v>605</v>
      </c>
      <c r="E19" s="22" t="s">
        <v>606</v>
      </c>
    </row>
    <row r="20" customFormat="false" ht="23.85" hidden="false" customHeight="false" outlineLevel="0" collapsed="false">
      <c r="A20" s="5" t="s">
        <v>607</v>
      </c>
      <c r="B20" s="5" t="s">
        <v>521</v>
      </c>
      <c r="C20" s="29" t="s">
        <v>608</v>
      </c>
      <c r="D20" s="5" t="s">
        <v>609</v>
      </c>
      <c r="E20" s="22" t="s">
        <v>610</v>
      </c>
    </row>
    <row r="21" customFormat="false" ht="23.85" hidden="false" customHeight="false" outlineLevel="0" collapsed="false">
      <c r="A21" s="5" t="s">
        <v>611</v>
      </c>
      <c r="B21" s="5" t="s">
        <v>521</v>
      </c>
      <c r="C21" s="29" t="s">
        <v>612</v>
      </c>
      <c r="D21" s="5" t="s">
        <v>557</v>
      </c>
      <c r="E21" s="22" t="s">
        <v>613</v>
      </c>
    </row>
    <row r="22" customFormat="false" ht="23.85" hidden="false" customHeight="false" outlineLevel="0" collapsed="false">
      <c r="A22" s="5" t="s">
        <v>614</v>
      </c>
      <c r="B22" s="5" t="s">
        <v>521</v>
      </c>
      <c r="C22" s="29" t="s">
        <v>615</v>
      </c>
      <c r="D22" s="5" t="s">
        <v>616</v>
      </c>
      <c r="E22" s="22" t="s">
        <v>617</v>
      </c>
    </row>
    <row r="23" customFormat="false" ht="23.85" hidden="false" customHeight="false" outlineLevel="0" collapsed="false">
      <c r="A23" s="5" t="s">
        <v>618</v>
      </c>
      <c r="B23" s="5" t="s">
        <v>521</v>
      </c>
      <c r="C23" s="29" t="s">
        <v>619</v>
      </c>
      <c r="D23" s="5" t="s">
        <v>620</v>
      </c>
      <c r="E23" s="22" t="s">
        <v>621</v>
      </c>
    </row>
    <row r="24" customFormat="false" ht="23.85" hidden="false" customHeight="false" outlineLevel="0" collapsed="false">
      <c r="A24" s="5" t="s">
        <v>622</v>
      </c>
      <c r="B24" s="5" t="s">
        <v>521</v>
      </c>
      <c r="C24" s="29" t="s">
        <v>623</v>
      </c>
      <c r="D24" s="5" t="s">
        <v>624</v>
      </c>
      <c r="E24" s="22" t="s">
        <v>625</v>
      </c>
    </row>
    <row r="25" customFormat="false" ht="15" hidden="false" customHeight="false" outlineLevel="0" collapsed="false">
      <c r="A25" s="5" t="s">
        <v>214</v>
      </c>
      <c r="B25" s="5" t="s">
        <v>524</v>
      </c>
      <c r="C25" s="29" t="s">
        <v>626</v>
      </c>
      <c r="D25" s="5" t="s">
        <v>557</v>
      </c>
      <c r="E25" s="22" t="s">
        <v>558</v>
      </c>
    </row>
    <row r="26" customFormat="false" ht="23.85" hidden="false" customHeight="false" outlineLevel="0" collapsed="false">
      <c r="A26" s="5" t="s">
        <v>271</v>
      </c>
      <c r="B26" s="5" t="s">
        <v>524</v>
      </c>
      <c r="C26" s="29" t="s">
        <v>627</v>
      </c>
      <c r="D26" s="5" t="s">
        <v>557</v>
      </c>
      <c r="E26" s="22" t="s">
        <v>628</v>
      </c>
    </row>
    <row r="27" customFormat="false" ht="23.85" hidden="false" customHeight="false" outlineLevel="0" collapsed="false">
      <c r="A27" s="5" t="s">
        <v>94</v>
      </c>
      <c r="B27" s="5" t="s">
        <v>524</v>
      </c>
      <c r="C27" s="29" t="s">
        <v>629</v>
      </c>
      <c r="D27" s="5" t="s">
        <v>585</v>
      </c>
      <c r="E27" s="22" t="s">
        <v>630</v>
      </c>
    </row>
    <row r="28" customFormat="false" ht="15" hidden="false" customHeight="false" outlineLevel="0" collapsed="false">
      <c r="A28" s="5" t="s">
        <v>631</v>
      </c>
      <c r="B28" s="5" t="s">
        <v>524</v>
      </c>
      <c r="C28" s="29" t="s">
        <v>632</v>
      </c>
      <c r="D28" s="5" t="s">
        <v>620</v>
      </c>
      <c r="E28" s="22" t="s">
        <v>621</v>
      </c>
    </row>
    <row r="29" customFormat="false" ht="23.85" hidden="false" customHeight="false" outlineLevel="0" collapsed="false">
      <c r="A29" s="5" t="s">
        <v>633</v>
      </c>
      <c r="B29" s="5" t="s">
        <v>524</v>
      </c>
      <c r="C29" s="29" t="s">
        <v>634</v>
      </c>
      <c r="D29" s="5" t="s">
        <v>620</v>
      </c>
      <c r="E29" s="22" t="s">
        <v>635</v>
      </c>
    </row>
    <row r="30" customFormat="false" ht="15" hidden="false" customHeight="false" outlineLevel="0" collapsed="false">
      <c r="A30" s="5" t="s">
        <v>636</v>
      </c>
      <c r="B30" s="5" t="s">
        <v>524</v>
      </c>
      <c r="C30" s="29" t="s">
        <v>637</v>
      </c>
      <c r="D30" s="5" t="s">
        <v>638</v>
      </c>
      <c r="E30" s="22" t="s">
        <v>639</v>
      </c>
    </row>
    <row r="31" customFormat="false" ht="23.85" hidden="false" customHeight="false" outlineLevel="0" collapsed="false">
      <c r="A31" s="5" t="s">
        <v>640</v>
      </c>
      <c r="B31" s="5" t="s">
        <v>524</v>
      </c>
      <c r="C31" s="29" t="s">
        <v>641</v>
      </c>
      <c r="D31" s="5" t="s">
        <v>638</v>
      </c>
      <c r="E31" s="22" t="s">
        <v>642</v>
      </c>
    </row>
    <row r="32" customFormat="false" ht="15" hidden="false" customHeight="false" outlineLevel="0" collapsed="false">
      <c r="A32" s="5" t="s">
        <v>643</v>
      </c>
      <c r="B32" s="5" t="s">
        <v>524</v>
      </c>
      <c r="C32" s="29" t="s">
        <v>644</v>
      </c>
      <c r="D32" s="5" t="s">
        <v>645</v>
      </c>
      <c r="E32" s="22" t="s">
        <v>646</v>
      </c>
    </row>
    <row r="33" customFormat="false" ht="23.85" hidden="false" customHeight="false" outlineLevel="0" collapsed="false">
      <c r="A33" s="5" t="s">
        <v>647</v>
      </c>
      <c r="B33" s="5" t="s">
        <v>524</v>
      </c>
      <c r="C33" s="29" t="s">
        <v>648</v>
      </c>
      <c r="D33" s="5" t="s">
        <v>649</v>
      </c>
      <c r="E33" s="22" t="s">
        <v>650</v>
      </c>
    </row>
    <row r="34" customFormat="false" ht="23.85" hidden="false" customHeight="false" outlineLevel="0" collapsed="false">
      <c r="A34" s="5" t="s">
        <v>651</v>
      </c>
      <c r="B34" s="5" t="s">
        <v>524</v>
      </c>
      <c r="C34" s="29" t="s">
        <v>652</v>
      </c>
      <c r="D34" s="5" t="s">
        <v>653</v>
      </c>
      <c r="E34" s="22" t="s">
        <v>654</v>
      </c>
    </row>
    <row r="35" customFormat="false" ht="15" hidden="false" customHeight="false" outlineLevel="0" collapsed="false">
      <c r="A35" s="5" t="s">
        <v>655</v>
      </c>
      <c r="B35" s="5" t="s">
        <v>524</v>
      </c>
      <c r="C35" s="29" t="s">
        <v>656</v>
      </c>
      <c r="D35" s="5" t="s">
        <v>657</v>
      </c>
      <c r="E35" s="22" t="s">
        <v>658</v>
      </c>
    </row>
    <row r="36" customFormat="false" ht="15" hidden="false" customHeight="false" outlineLevel="0" collapsed="false">
      <c r="A36" s="5" t="s">
        <v>659</v>
      </c>
      <c r="B36" s="5" t="s">
        <v>524</v>
      </c>
      <c r="C36" s="29" t="s">
        <v>660</v>
      </c>
      <c r="D36" s="5" t="s">
        <v>657</v>
      </c>
      <c r="E36" s="22" t="s">
        <v>661</v>
      </c>
    </row>
    <row r="37" customFormat="false" ht="15" hidden="false" customHeight="false" outlineLevel="0" collapsed="false">
      <c r="A37" s="5" t="s">
        <v>662</v>
      </c>
      <c r="B37" s="5" t="s">
        <v>524</v>
      </c>
      <c r="C37" s="29" t="s">
        <v>663</v>
      </c>
      <c r="D37" s="5" t="s">
        <v>664</v>
      </c>
      <c r="E37" s="22" t="s">
        <v>665</v>
      </c>
    </row>
    <row r="38" customFormat="false" ht="15" hidden="false" customHeight="false" outlineLevel="0" collapsed="false">
      <c r="A38" s="5" t="s">
        <v>666</v>
      </c>
      <c r="B38" s="5" t="s">
        <v>524</v>
      </c>
      <c r="C38" s="29" t="s">
        <v>667</v>
      </c>
      <c r="D38" s="5" t="s">
        <v>668</v>
      </c>
      <c r="E38" s="22" t="s">
        <v>669</v>
      </c>
    </row>
    <row r="39" customFormat="false" ht="23.85" hidden="false" customHeight="false" outlineLevel="0" collapsed="false">
      <c r="A39" s="5" t="s">
        <v>670</v>
      </c>
      <c r="B39" s="5" t="s">
        <v>524</v>
      </c>
      <c r="C39" s="29" t="s">
        <v>671</v>
      </c>
      <c r="D39" s="5" t="s">
        <v>653</v>
      </c>
      <c r="E39" s="22" t="s">
        <v>672</v>
      </c>
    </row>
    <row r="40" customFormat="false" ht="23.85" hidden="false" customHeight="false" outlineLevel="0" collapsed="false">
      <c r="A40" s="5" t="s">
        <v>673</v>
      </c>
      <c r="B40" s="5" t="s">
        <v>524</v>
      </c>
      <c r="C40" s="29" t="s">
        <v>674</v>
      </c>
      <c r="D40" s="5" t="s">
        <v>645</v>
      </c>
      <c r="E40" s="22" t="s">
        <v>675</v>
      </c>
    </row>
    <row r="41" customFormat="false" ht="15" hidden="false" customHeight="false" outlineLevel="0" collapsed="false">
      <c r="A41" s="5" t="s">
        <v>676</v>
      </c>
      <c r="B41" s="5" t="s">
        <v>524</v>
      </c>
      <c r="C41" s="29" t="s">
        <v>677</v>
      </c>
      <c r="D41" s="5" t="s">
        <v>678</v>
      </c>
      <c r="E41" s="22" t="s">
        <v>679</v>
      </c>
    </row>
    <row r="42" customFormat="false" ht="23.85" hidden="false" customHeight="false" outlineLevel="0" collapsed="false">
      <c r="A42" s="5" t="s">
        <v>289</v>
      </c>
      <c r="B42" s="5" t="s">
        <v>524</v>
      </c>
      <c r="C42" s="29" t="s">
        <v>680</v>
      </c>
      <c r="D42" s="5" t="s">
        <v>597</v>
      </c>
      <c r="E42" s="22" t="s">
        <v>598</v>
      </c>
    </row>
    <row r="43" customFormat="false" ht="23.85" hidden="false" customHeight="false" outlineLevel="0" collapsed="false">
      <c r="A43" s="5" t="s">
        <v>681</v>
      </c>
      <c r="B43" s="5" t="s">
        <v>524</v>
      </c>
      <c r="C43" s="29" t="s">
        <v>682</v>
      </c>
      <c r="D43" s="5" t="s">
        <v>683</v>
      </c>
      <c r="E43" s="22" t="s">
        <v>684</v>
      </c>
    </row>
    <row r="44" customFormat="false" ht="15" hidden="false" customHeight="false" outlineLevel="0" collapsed="false">
      <c r="A44" s="5" t="s">
        <v>685</v>
      </c>
      <c r="B44" s="5" t="s">
        <v>524</v>
      </c>
      <c r="C44" s="29" t="s">
        <v>686</v>
      </c>
      <c r="D44" s="5" t="s">
        <v>687</v>
      </c>
      <c r="E44" s="22" t="s">
        <v>688</v>
      </c>
    </row>
    <row r="45" customFormat="false" ht="15" hidden="false" customHeight="false" outlineLevel="0" collapsed="false">
      <c r="A45" s="5" t="s">
        <v>689</v>
      </c>
      <c r="B45" s="5" t="s">
        <v>524</v>
      </c>
      <c r="C45" s="29" t="s">
        <v>690</v>
      </c>
      <c r="D45" s="5" t="s">
        <v>691</v>
      </c>
      <c r="E45" s="22" t="s">
        <v>692</v>
      </c>
    </row>
    <row r="46" customFormat="false" ht="35.05" hidden="false" customHeight="false" outlineLevel="0" collapsed="false">
      <c r="A46" s="5" t="s">
        <v>693</v>
      </c>
      <c r="B46" s="5" t="s">
        <v>524</v>
      </c>
      <c r="C46" s="29" t="s">
        <v>694</v>
      </c>
      <c r="D46" s="5" t="s">
        <v>616</v>
      </c>
      <c r="E46" s="22" t="s">
        <v>617</v>
      </c>
    </row>
    <row r="47" customFormat="false" ht="23.85" hidden="false" customHeight="false" outlineLevel="0" collapsed="false">
      <c r="A47" s="5" t="s">
        <v>695</v>
      </c>
      <c r="B47" s="5" t="s">
        <v>524</v>
      </c>
      <c r="C47" s="29" t="s">
        <v>696</v>
      </c>
      <c r="D47" s="5" t="s">
        <v>687</v>
      </c>
      <c r="E47" s="22" t="s">
        <v>697</v>
      </c>
    </row>
    <row r="48" customFormat="false" ht="23.85" hidden="false" customHeight="false" outlineLevel="0" collapsed="false">
      <c r="A48" s="5" t="s">
        <v>698</v>
      </c>
      <c r="B48" s="5" t="s">
        <v>524</v>
      </c>
      <c r="C48" s="29" t="s">
        <v>699</v>
      </c>
      <c r="D48" s="5" t="s">
        <v>616</v>
      </c>
      <c r="E48" s="22" t="s">
        <v>700</v>
      </c>
    </row>
    <row r="49" customFormat="false" ht="23.85" hidden="false" customHeight="false" outlineLevel="0" collapsed="false">
      <c r="A49" s="5" t="s">
        <v>701</v>
      </c>
      <c r="B49" s="5" t="s">
        <v>524</v>
      </c>
      <c r="C49" s="29" t="s">
        <v>702</v>
      </c>
      <c r="D49" s="5" t="s">
        <v>703</v>
      </c>
      <c r="E49" s="22" t="s">
        <v>704</v>
      </c>
    </row>
    <row r="50" customFormat="false" ht="23.85" hidden="false" customHeight="false" outlineLevel="0" collapsed="false">
      <c r="A50" s="5" t="s">
        <v>705</v>
      </c>
      <c r="B50" s="5" t="s">
        <v>524</v>
      </c>
      <c r="C50" s="29" t="s">
        <v>706</v>
      </c>
      <c r="D50" s="5" t="s">
        <v>620</v>
      </c>
      <c r="E50" s="22" t="s">
        <v>707</v>
      </c>
    </row>
    <row r="51" customFormat="false" ht="23.85" hidden="false" customHeight="false" outlineLevel="0" collapsed="false">
      <c r="A51" s="5" t="s">
        <v>708</v>
      </c>
      <c r="B51" s="5" t="s">
        <v>524</v>
      </c>
      <c r="C51" s="29" t="s">
        <v>709</v>
      </c>
      <c r="D51" s="5" t="s">
        <v>687</v>
      </c>
      <c r="E51" s="22" t="s">
        <v>710</v>
      </c>
    </row>
    <row r="52" customFormat="false" ht="23.85" hidden="false" customHeight="false" outlineLevel="0" collapsed="false">
      <c r="A52" s="5" t="s">
        <v>711</v>
      </c>
      <c r="B52" s="5" t="s">
        <v>527</v>
      </c>
      <c r="C52" s="29" t="s">
        <v>712</v>
      </c>
      <c r="D52" s="5" t="s">
        <v>557</v>
      </c>
      <c r="E52" s="22" t="s">
        <v>713</v>
      </c>
    </row>
    <row r="53" customFormat="false" ht="23.85" hidden="false" customHeight="false" outlineLevel="0" collapsed="false">
      <c r="A53" s="5" t="s">
        <v>714</v>
      </c>
      <c r="B53" s="5" t="s">
        <v>527</v>
      </c>
      <c r="C53" s="29" t="s">
        <v>715</v>
      </c>
      <c r="D53" s="5" t="s">
        <v>703</v>
      </c>
      <c r="E53" s="22" t="s">
        <v>561</v>
      </c>
    </row>
    <row r="54" customFormat="false" ht="15" hidden="false" customHeight="false" outlineLevel="0" collapsed="false">
      <c r="A54" s="5" t="s">
        <v>716</v>
      </c>
      <c r="B54" s="5" t="s">
        <v>527</v>
      </c>
      <c r="C54" s="29" t="s">
        <v>717</v>
      </c>
      <c r="D54" s="5" t="s">
        <v>557</v>
      </c>
      <c r="E54" s="22" t="s">
        <v>567</v>
      </c>
    </row>
    <row r="55" customFormat="false" ht="23.85" hidden="false" customHeight="false" outlineLevel="0" collapsed="false">
      <c r="A55" s="5" t="s">
        <v>97</v>
      </c>
      <c r="B55" s="5" t="s">
        <v>527</v>
      </c>
      <c r="C55" s="29" t="s">
        <v>718</v>
      </c>
      <c r="D55" s="5" t="s">
        <v>585</v>
      </c>
      <c r="E55" s="22" t="s">
        <v>630</v>
      </c>
    </row>
    <row r="56" customFormat="false" ht="23.85" hidden="false" customHeight="false" outlineLevel="0" collapsed="false">
      <c r="A56" s="5" t="s">
        <v>719</v>
      </c>
      <c r="B56" s="5" t="s">
        <v>527</v>
      </c>
      <c r="C56" s="29" t="s">
        <v>720</v>
      </c>
      <c r="D56" s="5" t="s">
        <v>585</v>
      </c>
      <c r="E56" s="22" t="s">
        <v>630</v>
      </c>
    </row>
    <row r="57" customFormat="false" ht="23.85" hidden="false" customHeight="false" outlineLevel="0" collapsed="false">
      <c r="A57" s="5" t="s">
        <v>291</v>
      </c>
      <c r="B57" s="5" t="s">
        <v>527</v>
      </c>
      <c r="C57" s="29" t="s">
        <v>721</v>
      </c>
      <c r="D57" s="5" t="s">
        <v>597</v>
      </c>
      <c r="E57" s="22" t="s">
        <v>598</v>
      </c>
    </row>
    <row r="58" customFormat="false" ht="23.85" hidden="false" customHeight="false" outlineLevel="0" collapsed="false">
      <c r="A58" s="5" t="s">
        <v>722</v>
      </c>
      <c r="B58" s="5" t="s">
        <v>527</v>
      </c>
      <c r="C58" s="29" t="s">
        <v>723</v>
      </c>
      <c r="D58" s="5" t="s">
        <v>616</v>
      </c>
      <c r="E58" s="22" t="s">
        <v>724</v>
      </c>
    </row>
    <row r="59" customFormat="false" ht="15" hidden="false" customHeight="false" outlineLevel="0" collapsed="false">
      <c r="A59" s="5" t="s">
        <v>725</v>
      </c>
      <c r="B59" s="5" t="s">
        <v>527</v>
      </c>
      <c r="C59" s="29" t="s">
        <v>726</v>
      </c>
      <c r="D59" s="5" t="s">
        <v>703</v>
      </c>
      <c r="E59" s="22" t="s">
        <v>727</v>
      </c>
    </row>
    <row r="60" customFormat="false" ht="23.85" hidden="false" customHeight="false" outlineLevel="0" collapsed="false">
      <c r="A60" s="5" t="s">
        <v>728</v>
      </c>
      <c r="B60" s="5" t="s">
        <v>527</v>
      </c>
      <c r="C60" s="29" t="s">
        <v>729</v>
      </c>
      <c r="D60" s="5" t="s">
        <v>578</v>
      </c>
      <c r="E60" s="22" t="s">
        <v>730</v>
      </c>
    </row>
    <row r="61" customFormat="false" ht="23.85" hidden="false" customHeight="false" outlineLevel="0" collapsed="false">
      <c r="A61" s="5" t="s">
        <v>731</v>
      </c>
      <c r="B61" s="5" t="s">
        <v>527</v>
      </c>
      <c r="C61" s="29" t="s">
        <v>732</v>
      </c>
      <c r="D61" s="5" t="s">
        <v>620</v>
      </c>
      <c r="E61" s="22" t="s">
        <v>621</v>
      </c>
    </row>
    <row r="62" customFormat="false" ht="23.85" hidden="false" customHeight="false" outlineLevel="0" collapsed="false">
      <c r="A62" s="5" t="s">
        <v>733</v>
      </c>
      <c r="B62" s="5" t="s">
        <v>527</v>
      </c>
      <c r="C62" s="29" t="s">
        <v>734</v>
      </c>
      <c r="D62" s="5" t="s">
        <v>616</v>
      </c>
      <c r="E62" s="22" t="s">
        <v>735</v>
      </c>
    </row>
    <row r="63" customFormat="false" ht="15" hidden="false" customHeight="false" outlineLevel="0" collapsed="false">
      <c r="A63" s="5" t="s">
        <v>736</v>
      </c>
      <c r="B63" s="5" t="s">
        <v>527</v>
      </c>
      <c r="C63" s="29" t="s">
        <v>737</v>
      </c>
      <c r="D63" s="5" t="s">
        <v>738</v>
      </c>
      <c r="E63" s="22" t="s">
        <v>739</v>
      </c>
    </row>
    <row r="64" customFormat="false" ht="23.85" hidden="false" customHeight="false" outlineLevel="0" collapsed="false">
      <c r="A64" s="5" t="s">
        <v>740</v>
      </c>
      <c r="B64" s="5" t="s">
        <v>527</v>
      </c>
      <c r="C64" s="29" t="s">
        <v>741</v>
      </c>
      <c r="D64" s="5" t="s">
        <v>742</v>
      </c>
      <c r="E64" s="22" t="s">
        <v>743</v>
      </c>
    </row>
    <row r="65" customFormat="false" ht="15" hidden="false" customHeight="false" outlineLevel="0" collapsed="false">
      <c r="A65" s="5" t="s">
        <v>744</v>
      </c>
      <c r="B65" s="5" t="s">
        <v>527</v>
      </c>
      <c r="C65" s="29" t="s">
        <v>745</v>
      </c>
      <c r="D65" s="5" t="s">
        <v>746</v>
      </c>
      <c r="E65" s="22" t="s">
        <v>747</v>
      </c>
    </row>
    <row r="66" customFormat="false" ht="23.85" hidden="false" customHeight="false" outlineLevel="0" collapsed="false">
      <c r="A66" s="5" t="s">
        <v>748</v>
      </c>
      <c r="B66" s="5" t="s">
        <v>527</v>
      </c>
      <c r="C66" s="29" t="s">
        <v>749</v>
      </c>
      <c r="D66" s="5" t="s">
        <v>750</v>
      </c>
      <c r="E66" s="22" t="s">
        <v>751</v>
      </c>
    </row>
    <row r="67" customFormat="false" ht="23.85" hidden="false" customHeight="false" outlineLevel="0" collapsed="false">
      <c r="A67" s="5" t="s">
        <v>752</v>
      </c>
      <c r="B67" s="5" t="s">
        <v>527</v>
      </c>
      <c r="C67" s="29" t="s">
        <v>753</v>
      </c>
      <c r="D67" s="5" t="s">
        <v>754</v>
      </c>
      <c r="E67" s="22" t="s">
        <v>755</v>
      </c>
    </row>
    <row r="68" customFormat="false" ht="23.85" hidden="false" customHeight="false" outlineLevel="0" collapsed="false">
      <c r="A68" s="5" t="s">
        <v>756</v>
      </c>
      <c r="B68" s="5" t="s">
        <v>527</v>
      </c>
      <c r="C68" s="29" t="s">
        <v>757</v>
      </c>
      <c r="D68" s="5" t="s">
        <v>758</v>
      </c>
      <c r="E68" s="22" t="s">
        <v>759</v>
      </c>
    </row>
    <row r="69" customFormat="false" ht="15" hidden="false" customHeight="false" outlineLevel="0" collapsed="false">
      <c r="A69" s="5" t="s">
        <v>760</v>
      </c>
      <c r="B69" s="5" t="s">
        <v>527</v>
      </c>
      <c r="C69" s="29" t="s">
        <v>761</v>
      </c>
      <c r="D69" s="5" t="s">
        <v>762</v>
      </c>
      <c r="E69" s="22" t="s">
        <v>763</v>
      </c>
    </row>
    <row r="70" customFormat="false" ht="15" hidden="false" customHeight="false" outlineLevel="0" collapsed="false">
      <c r="A70" s="5" t="s">
        <v>764</v>
      </c>
      <c r="B70" s="5" t="s">
        <v>527</v>
      </c>
      <c r="C70" s="29" t="s">
        <v>765</v>
      </c>
      <c r="D70" s="5" t="s">
        <v>687</v>
      </c>
      <c r="E70" s="22" t="s">
        <v>688</v>
      </c>
    </row>
    <row r="71" customFormat="false" ht="15" hidden="false" customHeight="false" outlineLevel="0" collapsed="false">
      <c r="A71" s="5" t="s">
        <v>766</v>
      </c>
      <c r="B71" s="5" t="s">
        <v>527</v>
      </c>
      <c r="C71" s="29" t="s">
        <v>767</v>
      </c>
      <c r="D71" s="5" t="s">
        <v>768</v>
      </c>
      <c r="E71" s="22" t="s">
        <v>769</v>
      </c>
    </row>
    <row r="72" customFormat="false" ht="23.85" hidden="false" customHeight="false" outlineLevel="0" collapsed="false">
      <c r="A72" s="5" t="s">
        <v>770</v>
      </c>
      <c r="B72" s="5" t="s">
        <v>527</v>
      </c>
      <c r="C72" s="29" t="s">
        <v>771</v>
      </c>
      <c r="D72" s="5" t="s">
        <v>645</v>
      </c>
      <c r="E72" s="22" t="s">
        <v>772</v>
      </c>
    </row>
    <row r="73" customFormat="false" ht="15" hidden="false" customHeight="false" outlineLevel="0" collapsed="false">
      <c r="A73" s="5" t="s">
        <v>773</v>
      </c>
      <c r="B73" s="5" t="s">
        <v>527</v>
      </c>
      <c r="C73" s="29" t="s">
        <v>774</v>
      </c>
      <c r="D73" s="5" t="s">
        <v>768</v>
      </c>
      <c r="E73" s="22" t="s">
        <v>775</v>
      </c>
    </row>
    <row r="74" customFormat="false" ht="23.85" hidden="false" customHeight="false" outlineLevel="0" collapsed="false">
      <c r="A74" s="5" t="s">
        <v>776</v>
      </c>
      <c r="B74" s="5" t="s">
        <v>527</v>
      </c>
      <c r="C74" s="29" t="s">
        <v>777</v>
      </c>
      <c r="D74" s="5" t="s">
        <v>691</v>
      </c>
      <c r="E74" s="22" t="s">
        <v>692</v>
      </c>
    </row>
    <row r="75" customFormat="false" ht="23.85" hidden="false" customHeight="false" outlineLevel="0" collapsed="false">
      <c r="A75" s="5" t="s">
        <v>778</v>
      </c>
      <c r="B75" s="5" t="s">
        <v>527</v>
      </c>
      <c r="C75" s="29" t="s">
        <v>779</v>
      </c>
      <c r="D75" s="5" t="s">
        <v>768</v>
      </c>
      <c r="E75" s="22" t="s">
        <v>780</v>
      </c>
    </row>
    <row r="76" customFormat="false" ht="23.85" hidden="false" customHeight="false" outlineLevel="0" collapsed="false">
      <c r="A76" s="5" t="s">
        <v>781</v>
      </c>
      <c r="B76" s="5" t="s">
        <v>527</v>
      </c>
      <c r="C76" s="29" t="s">
        <v>782</v>
      </c>
      <c r="D76" s="5" t="s">
        <v>557</v>
      </c>
      <c r="E76" s="22" t="s">
        <v>783</v>
      </c>
    </row>
    <row r="77" customFormat="false" ht="23.85" hidden="false" customHeight="false" outlineLevel="0" collapsed="false">
      <c r="A77" s="5" t="s">
        <v>784</v>
      </c>
      <c r="B77" s="5" t="s">
        <v>527</v>
      </c>
      <c r="C77" s="29" t="s">
        <v>785</v>
      </c>
      <c r="D77" s="5" t="s">
        <v>786</v>
      </c>
      <c r="E77" s="22" t="s">
        <v>787</v>
      </c>
    </row>
    <row r="78" customFormat="false" ht="23.85" hidden="false" customHeight="false" outlineLevel="0" collapsed="false">
      <c r="A78" s="5" t="s">
        <v>788</v>
      </c>
      <c r="B78" s="5" t="s">
        <v>527</v>
      </c>
      <c r="C78" s="29" t="s">
        <v>789</v>
      </c>
      <c r="D78" s="5" t="s">
        <v>786</v>
      </c>
      <c r="E78" s="22" t="s">
        <v>790</v>
      </c>
    </row>
    <row r="79" customFormat="false" ht="35.05" hidden="false" customHeight="false" outlineLevel="0" collapsed="false">
      <c r="A79" s="5" t="s">
        <v>791</v>
      </c>
      <c r="B79" s="5" t="s">
        <v>527</v>
      </c>
      <c r="C79" s="29" t="s">
        <v>792</v>
      </c>
      <c r="D79" s="5" t="s">
        <v>793</v>
      </c>
      <c r="E79" s="22" t="s">
        <v>794</v>
      </c>
    </row>
    <row r="80" customFormat="false" ht="23.85" hidden="false" customHeight="false" outlineLevel="0" collapsed="false">
      <c r="A80" s="5" t="s">
        <v>795</v>
      </c>
      <c r="B80" s="5" t="s">
        <v>527</v>
      </c>
      <c r="C80" s="29" t="s">
        <v>615</v>
      </c>
      <c r="D80" s="5" t="s">
        <v>616</v>
      </c>
      <c r="E80" s="22" t="s">
        <v>617</v>
      </c>
    </row>
    <row r="81" customFormat="false" ht="35.05" hidden="false" customHeight="false" outlineLevel="0" collapsed="false">
      <c r="A81" s="5" t="s">
        <v>796</v>
      </c>
      <c r="B81" s="5" t="s">
        <v>527</v>
      </c>
      <c r="C81" s="29" t="s">
        <v>797</v>
      </c>
      <c r="D81" s="5" t="s">
        <v>601</v>
      </c>
      <c r="E81" s="22" t="s">
        <v>798</v>
      </c>
    </row>
    <row r="82" customFormat="false" ht="15" hidden="false" customHeight="false" outlineLevel="0" collapsed="false">
      <c r="A82" s="5" t="s">
        <v>221</v>
      </c>
      <c r="B82" s="5" t="s">
        <v>530</v>
      </c>
      <c r="C82" s="29" t="s">
        <v>799</v>
      </c>
      <c r="D82" s="5" t="s">
        <v>557</v>
      </c>
      <c r="E82" s="22" t="s">
        <v>558</v>
      </c>
    </row>
    <row r="83" customFormat="false" ht="23.85" hidden="false" customHeight="false" outlineLevel="0" collapsed="false">
      <c r="A83" s="5" t="s">
        <v>800</v>
      </c>
      <c r="B83" s="5" t="s">
        <v>530</v>
      </c>
      <c r="C83" s="29" t="s">
        <v>801</v>
      </c>
      <c r="D83" s="5" t="s">
        <v>683</v>
      </c>
      <c r="E83" s="22" t="s">
        <v>684</v>
      </c>
    </row>
    <row r="84" customFormat="false" ht="23.85" hidden="false" customHeight="false" outlineLevel="0" collapsed="false">
      <c r="A84" s="5" t="s">
        <v>101</v>
      </c>
      <c r="B84" s="5" t="s">
        <v>530</v>
      </c>
      <c r="C84" s="29" t="s">
        <v>802</v>
      </c>
      <c r="D84" s="5" t="s">
        <v>585</v>
      </c>
      <c r="E84" s="22" t="s">
        <v>592</v>
      </c>
    </row>
    <row r="85" customFormat="false" ht="15" hidden="false" customHeight="false" outlineLevel="0" collapsed="false">
      <c r="A85" s="5" t="s">
        <v>293</v>
      </c>
      <c r="B85" s="5" t="s">
        <v>530</v>
      </c>
      <c r="C85" s="29" t="s">
        <v>803</v>
      </c>
      <c r="D85" s="5" t="s">
        <v>683</v>
      </c>
      <c r="E85" s="22" t="s">
        <v>598</v>
      </c>
    </row>
    <row r="86" customFormat="false" ht="15" hidden="false" customHeight="false" outlineLevel="0" collapsed="false">
      <c r="A86" s="5" t="s">
        <v>804</v>
      </c>
      <c r="B86" s="5" t="s">
        <v>530</v>
      </c>
      <c r="C86" s="29" t="s">
        <v>805</v>
      </c>
      <c r="D86" s="5" t="s">
        <v>768</v>
      </c>
      <c r="E86" s="22" t="s">
        <v>646</v>
      </c>
    </row>
    <row r="87" customFormat="false" ht="23.85" hidden="false" customHeight="false" outlineLevel="0" collapsed="false">
      <c r="A87" s="5" t="s">
        <v>806</v>
      </c>
      <c r="B87" s="5" t="s">
        <v>530</v>
      </c>
      <c r="C87" s="29" t="s">
        <v>807</v>
      </c>
      <c r="D87" s="5" t="s">
        <v>616</v>
      </c>
      <c r="E87" s="22" t="s">
        <v>808</v>
      </c>
    </row>
    <row r="88" customFormat="false" ht="23.85" hidden="false" customHeight="false" outlineLevel="0" collapsed="false">
      <c r="A88" s="5" t="s">
        <v>809</v>
      </c>
      <c r="B88" s="5" t="s">
        <v>530</v>
      </c>
      <c r="C88" s="29" t="s">
        <v>810</v>
      </c>
      <c r="D88" s="5" t="s">
        <v>811</v>
      </c>
      <c r="E88" s="22" t="s">
        <v>812</v>
      </c>
    </row>
    <row r="89" customFormat="false" ht="23.85" hidden="false" customHeight="false" outlineLevel="0" collapsed="false">
      <c r="A89" s="5" t="s">
        <v>813</v>
      </c>
      <c r="B89" s="5" t="s">
        <v>530</v>
      </c>
      <c r="C89" s="29" t="s">
        <v>814</v>
      </c>
      <c r="D89" s="5" t="s">
        <v>703</v>
      </c>
      <c r="E89" s="22" t="s">
        <v>815</v>
      </c>
    </row>
    <row r="90" customFormat="false" ht="23.85" hidden="false" customHeight="false" outlineLevel="0" collapsed="false">
      <c r="A90" s="5" t="s">
        <v>816</v>
      </c>
      <c r="B90" s="5" t="s">
        <v>530</v>
      </c>
      <c r="C90" s="29" t="s">
        <v>817</v>
      </c>
      <c r="D90" s="5" t="s">
        <v>818</v>
      </c>
      <c r="E90" s="22" t="s">
        <v>672</v>
      </c>
    </row>
    <row r="91" customFormat="false" ht="15" hidden="false" customHeight="false" outlineLevel="0" collapsed="false">
      <c r="A91" s="5" t="s">
        <v>819</v>
      </c>
      <c r="B91" s="5" t="s">
        <v>530</v>
      </c>
      <c r="C91" s="29" t="s">
        <v>820</v>
      </c>
      <c r="D91" s="5" t="s">
        <v>750</v>
      </c>
      <c r="E91" s="22" t="s">
        <v>821</v>
      </c>
    </row>
    <row r="92" customFormat="false" ht="23.85" hidden="false" customHeight="false" outlineLevel="0" collapsed="false">
      <c r="A92" s="5" t="s">
        <v>822</v>
      </c>
      <c r="B92" s="5" t="s">
        <v>530</v>
      </c>
      <c r="C92" s="29" t="s">
        <v>823</v>
      </c>
      <c r="D92" s="5" t="s">
        <v>638</v>
      </c>
      <c r="E92" s="22" t="s">
        <v>824</v>
      </c>
    </row>
    <row r="93" customFormat="false" ht="15" hidden="false" customHeight="false" outlineLevel="0" collapsed="false">
      <c r="A93" s="5" t="s">
        <v>825</v>
      </c>
      <c r="B93" s="5" t="s">
        <v>530</v>
      </c>
      <c r="C93" s="29" t="s">
        <v>826</v>
      </c>
      <c r="D93" s="5" t="s">
        <v>687</v>
      </c>
      <c r="E93" s="22" t="s">
        <v>827</v>
      </c>
    </row>
    <row r="94" customFormat="false" ht="15" hidden="false" customHeight="false" outlineLevel="0" collapsed="false">
      <c r="A94" s="5" t="s">
        <v>828</v>
      </c>
      <c r="B94" s="5" t="s">
        <v>530</v>
      </c>
      <c r="C94" s="29" t="s">
        <v>829</v>
      </c>
      <c r="D94" s="5" t="s">
        <v>768</v>
      </c>
      <c r="E94" s="22" t="s">
        <v>830</v>
      </c>
    </row>
    <row r="95" customFormat="false" ht="15" hidden="false" customHeight="false" outlineLevel="0" collapsed="false">
      <c r="A95" s="5" t="s">
        <v>831</v>
      </c>
      <c r="B95" s="5" t="s">
        <v>530</v>
      </c>
      <c r="C95" s="29" t="s">
        <v>832</v>
      </c>
      <c r="D95" s="5" t="s">
        <v>691</v>
      </c>
      <c r="E95" s="22" t="s">
        <v>833</v>
      </c>
    </row>
    <row r="96" customFormat="false" ht="23.85" hidden="false" customHeight="false" outlineLevel="0" collapsed="false">
      <c r="A96" s="5" t="s">
        <v>834</v>
      </c>
      <c r="B96" s="5" t="s">
        <v>530</v>
      </c>
      <c r="C96" s="29" t="s">
        <v>835</v>
      </c>
      <c r="D96" s="5" t="s">
        <v>620</v>
      </c>
      <c r="E96" s="22" t="s">
        <v>836</v>
      </c>
    </row>
    <row r="97" customFormat="false" ht="15" hidden="false" customHeight="false" outlineLevel="0" collapsed="false">
      <c r="A97" s="5" t="s">
        <v>837</v>
      </c>
      <c r="B97" s="5" t="s">
        <v>530</v>
      </c>
      <c r="C97" s="29" t="s">
        <v>637</v>
      </c>
      <c r="D97" s="5" t="s">
        <v>557</v>
      </c>
      <c r="E97" s="22" t="s">
        <v>639</v>
      </c>
    </row>
    <row r="98" customFormat="false" ht="15" hidden="false" customHeight="false" outlineLevel="0" collapsed="false">
      <c r="A98" s="5" t="s">
        <v>838</v>
      </c>
      <c r="B98" s="5" t="s">
        <v>530</v>
      </c>
      <c r="C98" s="29" t="s">
        <v>839</v>
      </c>
      <c r="D98" s="5" t="s">
        <v>585</v>
      </c>
      <c r="E98" s="22" t="s">
        <v>840</v>
      </c>
    </row>
    <row r="99" customFormat="false" ht="15" hidden="false" customHeight="false" outlineLevel="0" collapsed="false">
      <c r="A99" s="5" t="s">
        <v>841</v>
      </c>
      <c r="B99" s="5" t="s">
        <v>530</v>
      </c>
      <c r="C99" s="29" t="s">
        <v>842</v>
      </c>
      <c r="D99" s="5" t="s">
        <v>638</v>
      </c>
      <c r="E99" s="22" t="s">
        <v>642</v>
      </c>
    </row>
    <row r="100" customFormat="false" ht="15" hidden="false" customHeight="false" outlineLevel="0" collapsed="false">
      <c r="A100" s="5" t="s">
        <v>843</v>
      </c>
      <c r="B100" s="5" t="s">
        <v>530</v>
      </c>
      <c r="C100" s="29" t="s">
        <v>844</v>
      </c>
      <c r="D100" s="5" t="s">
        <v>811</v>
      </c>
      <c r="E100" s="22" t="s">
        <v>845</v>
      </c>
    </row>
    <row r="101" customFormat="false" ht="15" hidden="false" customHeight="false" outlineLevel="0" collapsed="false">
      <c r="A101" s="5" t="s">
        <v>846</v>
      </c>
      <c r="B101" s="5" t="s">
        <v>530</v>
      </c>
      <c r="C101" s="29" t="s">
        <v>847</v>
      </c>
      <c r="D101" s="5" t="s">
        <v>691</v>
      </c>
      <c r="E101" s="22" t="s">
        <v>848</v>
      </c>
    </row>
    <row r="102" customFormat="false" ht="15" hidden="false" customHeight="false" outlineLevel="0" collapsed="false">
      <c r="A102" s="5" t="s">
        <v>223</v>
      </c>
      <c r="B102" s="5" t="s">
        <v>533</v>
      </c>
      <c r="C102" s="29" t="s">
        <v>849</v>
      </c>
      <c r="D102" s="5" t="s">
        <v>557</v>
      </c>
      <c r="E102" s="22" t="s">
        <v>713</v>
      </c>
    </row>
    <row r="103" customFormat="false" ht="15" hidden="false" customHeight="false" outlineLevel="0" collapsed="false">
      <c r="A103" s="5" t="s">
        <v>295</v>
      </c>
      <c r="B103" s="5" t="s">
        <v>533</v>
      </c>
      <c r="C103" s="29" t="s">
        <v>850</v>
      </c>
      <c r="D103" s="5" t="s">
        <v>597</v>
      </c>
      <c r="E103" s="22" t="s">
        <v>598</v>
      </c>
    </row>
    <row r="104" customFormat="false" ht="23.85" hidden="false" customHeight="false" outlineLevel="0" collapsed="false">
      <c r="A104" s="5" t="s">
        <v>104</v>
      </c>
      <c r="B104" s="5" t="s">
        <v>533</v>
      </c>
      <c r="C104" s="29" t="s">
        <v>851</v>
      </c>
      <c r="D104" s="5" t="s">
        <v>687</v>
      </c>
      <c r="E104" s="22" t="s">
        <v>592</v>
      </c>
    </row>
    <row r="105" customFormat="false" ht="23.85" hidden="false" customHeight="false" outlineLevel="0" collapsed="false">
      <c r="A105" s="5" t="s">
        <v>852</v>
      </c>
      <c r="B105" s="5" t="s">
        <v>533</v>
      </c>
      <c r="C105" s="29" t="s">
        <v>853</v>
      </c>
      <c r="D105" s="5" t="s">
        <v>620</v>
      </c>
      <c r="E105" s="22" t="s">
        <v>621</v>
      </c>
    </row>
    <row r="106" customFormat="false" ht="15" hidden="false" customHeight="false" outlineLevel="0" collapsed="false">
      <c r="A106" s="5" t="s">
        <v>854</v>
      </c>
      <c r="B106" s="5" t="s">
        <v>533</v>
      </c>
      <c r="C106" s="29" t="s">
        <v>855</v>
      </c>
      <c r="D106" s="5" t="s">
        <v>620</v>
      </c>
      <c r="E106" s="22" t="s">
        <v>856</v>
      </c>
    </row>
    <row r="107" customFormat="false" ht="15" hidden="false" customHeight="false" outlineLevel="0" collapsed="false">
      <c r="A107" s="5" t="s">
        <v>857</v>
      </c>
      <c r="B107" s="5" t="s">
        <v>533</v>
      </c>
      <c r="C107" s="29" t="s">
        <v>858</v>
      </c>
      <c r="D107" s="5" t="s">
        <v>557</v>
      </c>
      <c r="E107" s="22" t="s">
        <v>561</v>
      </c>
    </row>
    <row r="108" customFormat="false" ht="23.85" hidden="false" customHeight="false" outlineLevel="0" collapsed="false">
      <c r="A108" s="5" t="s">
        <v>859</v>
      </c>
      <c r="B108" s="5" t="s">
        <v>533</v>
      </c>
      <c r="C108" s="29" t="s">
        <v>860</v>
      </c>
      <c r="D108" s="5" t="s">
        <v>687</v>
      </c>
      <c r="E108" s="22" t="s">
        <v>861</v>
      </c>
    </row>
    <row r="109" customFormat="false" ht="23.85" hidden="false" customHeight="false" outlineLevel="0" collapsed="false">
      <c r="A109" s="5" t="s">
        <v>862</v>
      </c>
      <c r="B109" s="5" t="s">
        <v>533</v>
      </c>
      <c r="C109" s="29" t="s">
        <v>863</v>
      </c>
      <c r="D109" s="5" t="s">
        <v>864</v>
      </c>
      <c r="E109" s="22" t="s">
        <v>865</v>
      </c>
    </row>
    <row r="110" customFormat="false" ht="23.85" hidden="false" customHeight="false" outlineLevel="0" collapsed="false">
      <c r="A110" s="5" t="s">
        <v>866</v>
      </c>
      <c r="B110" s="5" t="s">
        <v>533</v>
      </c>
      <c r="C110" s="29" t="s">
        <v>867</v>
      </c>
      <c r="D110" s="5" t="s">
        <v>868</v>
      </c>
      <c r="E110" s="22" t="s">
        <v>869</v>
      </c>
    </row>
    <row r="111" customFormat="false" ht="23.85" hidden="false" customHeight="false" outlineLevel="0" collapsed="false">
      <c r="A111" s="5" t="s">
        <v>870</v>
      </c>
      <c r="B111" s="5" t="s">
        <v>533</v>
      </c>
      <c r="C111" s="29" t="s">
        <v>871</v>
      </c>
      <c r="D111" s="5" t="s">
        <v>872</v>
      </c>
      <c r="E111" s="22" t="s">
        <v>873</v>
      </c>
    </row>
    <row r="112" customFormat="false" ht="15" hidden="false" customHeight="false" outlineLevel="0" collapsed="false">
      <c r="A112" s="5" t="s">
        <v>874</v>
      </c>
      <c r="B112" s="5" t="s">
        <v>533</v>
      </c>
      <c r="C112" s="29" t="s">
        <v>875</v>
      </c>
      <c r="D112" s="5" t="s">
        <v>687</v>
      </c>
      <c r="E112" s="22" t="s">
        <v>876</v>
      </c>
    </row>
    <row r="113" customFormat="false" ht="23.85" hidden="false" customHeight="false" outlineLevel="0" collapsed="false">
      <c r="A113" s="5" t="s">
        <v>877</v>
      </c>
      <c r="B113" s="5" t="s">
        <v>533</v>
      </c>
      <c r="C113" s="29" t="s">
        <v>878</v>
      </c>
      <c r="D113" s="5" t="s">
        <v>687</v>
      </c>
      <c r="E113" s="22" t="s">
        <v>879</v>
      </c>
    </row>
    <row r="114" customFormat="false" ht="23.85" hidden="false" customHeight="false" outlineLevel="0" collapsed="false">
      <c r="A114" s="5" t="s">
        <v>880</v>
      </c>
      <c r="B114" s="5" t="s">
        <v>533</v>
      </c>
      <c r="C114" s="29" t="s">
        <v>881</v>
      </c>
      <c r="D114" s="5" t="s">
        <v>687</v>
      </c>
      <c r="E114" s="22" t="s">
        <v>882</v>
      </c>
    </row>
    <row r="115" customFormat="false" ht="23.85" hidden="false" customHeight="false" outlineLevel="0" collapsed="false">
      <c r="A115" s="5" t="s">
        <v>883</v>
      </c>
      <c r="B115" s="5" t="s">
        <v>533</v>
      </c>
      <c r="C115" s="29" t="s">
        <v>884</v>
      </c>
      <c r="D115" s="5" t="s">
        <v>683</v>
      </c>
      <c r="E115" s="22" t="s">
        <v>684</v>
      </c>
    </row>
    <row r="116" customFormat="false" ht="15" hidden="false" customHeight="false" outlineLevel="0" collapsed="false">
      <c r="A116" s="5" t="s">
        <v>885</v>
      </c>
      <c r="B116" s="5" t="s">
        <v>533</v>
      </c>
      <c r="C116" s="29" t="s">
        <v>886</v>
      </c>
      <c r="D116" s="5" t="s">
        <v>609</v>
      </c>
      <c r="E116" s="22" t="s">
        <v>610</v>
      </c>
    </row>
    <row r="117" customFormat="false" ht="23.85" hidden="false" customHeight="false" outlineLevel="0" collapsed="false">
      <c r="A117" s="5" t="s">
        <v>887</v>
      </c>
      <c r="B117" s="5" t="s">
        <v>533</v>
      </c>
      <c r="C117" s="29" t="s">
        <v>888</v>
      </c>
      <c r="D117" s="5" t="s">
        <v>889</v>
      </c>
      <c r="E117" s="22" t="s">
        <v>815</v>
      </c>
    </row>
    <row r="118" customFormat="false" ht="23.85" hidden="false" customHeight="false" outlineLevel="0" collapsed="false">
      <c r="A118" s="5" t="s">
        <v>890</v>
      </c>
      <c r="B118" s="5" t="s">
        <v>533</v>
      </c>
      <c r="C118" s="29" t="s">
        <v>891</v>
      </c>
      <c r="D118" s="5" t="s">
        <v>754</v>
      </c>
      <c r="E118" s="22" t="s">
        <v>892</v>
      </c>
    </row>
    <row r="119" customFormat="false" ht="15" hidden="false" customHeight="false" outlineLevel="0" collapsed="false">
      <c r="A119" s="5" t="s">
        <v>893</v>
      </c>
      <c r="B119" s="5" t="s">
        <v>533</v>
      </c>
      <c r="C119" s="29" t="s">
        <v>894</v>
      </c>
      <c r="D119" s="5" t="s">
        <v>687</v>
      </c>
      <c r="E119" s="22" t="s">
        <v>692</v>
      </c>
    </row>
    <row r="120" customFormat="false" ht="15" hidden="false" customHeight="false" outlineLevel="0" collapsed="false">
      <c r="A120" s="5" t="s">
        <v>895</v>
      </c>
      <c r="B120" s="5" t="s">
        <v>533</v>
      </c>
      <c r="C120" s="29" t="s">
        <v>896</v>
      </c>
      <c r="D120" s="5" t="s">
        <v>687</v>
      </c>
      <c r="E120" s="22" t="s">
        <v>897</v>
      </c>
    </row>
    <row r="121" customFormat="false" ht="15" hidden="false" customHeight="false" outlineLevel="0" collapsed="false">
      <c r="A121" s="5" t="s">
        <v>898</v>
      </c>
      <c r="B121" s="5" t="s">
        <v>533</v>
      </c>
      <c r="C121" s="29" t="s">
        <v>899</v>
      </c>
      <c r="D121" s="5" t="s">
        <v>557</v>
      </c>
      <c r="E121" s="22" t="s">
        <v>783</v>
      </c>
    </row>
    <row r="122" customFormat="false" ht="23.85" hidden="false" customHeight="false" outlineLevel="0" collapsed="false">
      <c r="A122" s="5" t="s">
        <v>900</v>
      </c>
      <c r="B122" s="5" t="s">
        <v>533</v>
      </c>
      <c r="C122" s="29" t="s">
        <v>901</v>
      </c>
      <c r="D122" s="5" t="s">
        <v>902</v>
      </c>
      <c r="E122" s="22" t="s">
        <v>903</v>
      </c>
    </row>
    <row r="123" customFormat="false" ht="23.85" hidden="false" customHeight="false" outlineLevel="0" collapsed="false">
      <c r="A123" s="5" t="s">
        <v>904</v>
      </c>
      <c r="B123" s="5" t="s">
        <v>533</v>
      </c>
      <c r="C123" s="29" t="s">
        <v>905</v>
      </c>
      <c r="D123" s="5" t="s">
        <v>616</v>
      </c>
      <c r="E123" s="22" t="s">
        <v>617</v>
      </c>
    </row>
    <row r="124" customFormat="false" ht="23.85" hidden="false" customHeight="false" outlineLevel="0" collapsed="false">
      <c r="A124" s="5" t="s">
        <v>906</v>
      </c>
      <c r="B124" s="5" t="s">
        <v>533</v>
      </c>
      <c r="C124" s="29" t="s">
        <v>907</v>
      </c>
      <c r="D124" s="5" t="s">
        <v>616</v>
      </c>
      <c r="E124" s="22" t="s">
        <v>908</v>
      </c>
    </row>
    <row r="125" customFormat="false" ht="23.85" hidden="false" customHeight="false" outlineLevel="0" collapsed="false">
      <c r="A125" s="5" t="s">
        <v>909</v>
      </c>
      <c r="B125" s="5" t="s">
        <v>533</v>
      </c>
      <c r="C125" s="29" t="s">
        <v>910</v>
      </c>
      <c r="D125" s="5" t="s">
        <v>911</v>
      </c>
      <c r="E125" s="22" t="s">
        <v>912</v>
      </c>
    </row>
    <row r="126" customFormat="false" ht="15" hidden="false" customHeight="false" outlineLevel="0" collapsed="false">
      <c r="A126" s="5" t="s">
        <v>913</v>
      </c>
      <c r="B126" s="5" t="s">
        <v>533</v>
      </c>
      <c r="C126" s="29" t="s">
        <v>914</v>
      </c>
      <c r="D126" s="5" t="s">
        <v>557</v>
      </c>
      <c r="E126" s="22" t="s">
        <v>558</v>
      </c>
    </row>
    <row r="127" customFormat="false" ht="15" hidden="false" customHeight="false" outlineLevel="0" collapsed="false">
      <c r="A127" s="5" t="s">
        <v>915</v>
      </c>
      <c r="B127" s="5" t="s">
        <v>916</v>
      </c>
      <c r="C127" s="29" t="s">
        <v>917</v>
      </c>
      <c r="D127" s="5" t="s">
        <v>557</v>
      </c>
      <c r="E127" s="22" t="s">
        <v>558</v>
      </c>
    </row>
    <row r="128" customFormat="false" ht="23.85" hidden="false" customHeight="false" outlineLevel="0" collapsed="false">
      <c r="A128" s="5" t="s">
        <v>918</v>
      </c>
      <c r="B128" s="5" t="s">
        <v>916</v>
      </c>
      <c r="C128" s="29" t="s">
        <v>919</v>
      </c>
      <c r="D128" s="5" t="s">
        <v>557</v>
      </c>
      <c r="E128" s="22" t="s">
        <v>561</v>
      </c>
    </row>
    <row r="129" customFormat="false" ht="23.85" hidden="false" customHeight="false" outlineLevel="0" collapsed="false">
      <c r="A129" s="5" t="s">
        <v>920</v>
      </c>
      <c r="B129" s="5" t="s">
        <v>916</v>
      </c>
      <c r="C129" s="29" t="s">
        <v>921</v>
      </c>
      <c r="D129" s="5" t="s">
        <v>570</v>
      </c>
      <c r="E129" s="22" t="s">
        <v>922</v>
      </c>
    </row>
    <row r="130" customFormat="false" ht="15" hidden="false" customHeight="false" outlineLevel="0" collapsed="false">
      <c r="A130" s="5" t="s">
        <v>923</v>
      </c>
      <c r="B130" s="5" t="s">
        <v>916</v>
      </c>
      <c r="C130" s="29" t="s">
        <v>924</v>
      </c>
      <c r="D130" s="5" t="s">
        <v>786</v>
      </c>
      <c r="E130" s="22" t="s">
        <v>787</v>
      </c>
    </row>
    <row r="131" customFormat="false" ht="15" hidden="false" customHeight="false" outlineLevel="0" collapsed="false">
      <c r="A131" s="5" t="s">
        <v>925</v>
      </c>
      <c r="B131" s="5" t="s">
        <v>916</v>
      </c>
      <c r="C131" s="29" t="s">
        <v>926</v>
      </c>
      <c r="D131" s="5" t="s">
        <v>786</v>
      </c>
      <c r="E131" s="22" t="s">
        <v>790</v>
      </c>
    </row>
    <row r="132" customFormat="false" ht="15" hidden="false" customHeight="false" outlineLevel="0" collapsed="false">
      <c r="A132" s="5" t="s">
        <v>927</v>
      </c>
      <c r="B132" s="5" t="s">
        <v>916</v>
      </c>
      <c r="C132" s="29" t="s">
        <v>928</v>
      </c>
      <c r="D132" s="5" t="s">
        <v>929</v>
      </c>
      <c r="E132" s="22" t="s">
        <v>930</v>
      </c>
    </row>
    <row r="133" customFormat="false" ht="15" hidden="false" customHeight="false" outlineLevel="0" collapsed="false">
      <c r="A133" s="5" t="s">
        <v>931</v>
      </c>
      <c r="B133" s="5" t="s">
        <v>916</v>
      </c>
      <c r="C133" s="29" t="s">
        <v>932</v>
      </c>
      <c r="D133" s="5" t="s">
        <v>793</v>
      </c>
      <c r="E133" s="22" t="s">
        <v>794</v>
      </c>
    </row>
    <row r="134" customFormat="false" ht="23.85" hidden="false" customHeight="false" outlineLevel="0" collapsed="false">
      <c r="A134" s="5" t="s">
        <v>933</v>
      </c>
      <c r="B134" s="5" t="s">
        <v>916</v>
      </c>
      <c r="C134" s="29" t="s">
        <v>934</v>
      </c>
      <c r="D134" s="5" t="s">
        <v>638</v>
      </c>
      <c r="E134" s="22" t="s">
        <v>935</v>
      </c>
    </row>
    <row r="135" customFormat="false" ht="23.85" hidden="false" customHeight="false" outlineLevel="0" collapsed="false">
      <c r="A135" s="5" t="s">
        <v>936</v>
      </c>
      <c r="B135" s="5" t="s">
        <v>916</v>
      </c>
      <c r="C135" s="29" t="s">
        <v>696</v>
      </c>
      <c r="D135" s="5" t="s">
        <v>687</v>
      </c>
      <c r="E135" s="22" t="s">
        <v>697</v>
      </c>
    </row>
    <row r="136" customFormat="false" ht="23.85" hidden="false" customHeight="false" outlineLevel="0" collapsed="false">
      <c r="A136" s="5" t="s">
        <v>937</v>
      </c>
      <c r="B136" s="5" t="s">
        <v>916</v>
      </c>
      <c r="C136" s="29" t="s">
        <v>938</v>
      </c>
      <c r="D136" s="5" t="s">
        <v>585</v>
      </c>
      <c r="E136" s="22" t="s">
        <v>939</v>
      </c>
    </row>
    <row r="137" customFormat="false" ht="15" hidden="false" customHeight="false" outlineLevel="0" collapsed="false">
      <c r="A137" s="5" t="s">
        <v>940</v>
      </c>
      <c r="B137" s="5" t="s">
        <v>916</v>
      </c>
      <c r="C137" s="29" t="s">
        <v>941</v>
      </c>
      <c r="D137" s="5" t="s">
        <v>585</v>
      </c>
      <c r="E137" s="22" t="s">
        <v>586</v>
      </c>
    </row>
    <row r="138" customFormat="false" ht="15" hidden="false" customHeight="false" outlineLevel="0" collapsed="false">
      <c r="A138" s="5" t="s">
        <v>942</v>
      </c>
      <c r="B138" s="5" t="s">
        <v>943</v>
      </c>
      <c r="C138" s="29" t="s">
        <v>944</v>
      </c>
      <c r="D138" s="5" t="s">
        <v>557</v>
      </c>
      <c r="E138" s="22" t="s">
        <v>561</v>
      </c>
    </row>
  </sheetData>
  <hyperlinks>
    <hyperlink ref="E5" r:id="rId1" display="https://www.sec.gov/Archives/edgar/data/0001751008/000175100826000057/exhibit991-2q26earningspre.htm"/>
    <hyperlink ref="E6" r:id="rId2" display="https://www.sec.gov/Archives/edgar/data/1751008/000175100826000059/app-20260630.htm"/>
    <hyperlink ref="E7" r:id="rId3" display="https://equibles.com/stocks/app/calls/2026-q2"/>
    <hyperlink ref="E8" r:id="rId4" display="https://www.investing.com/news/transcripts/earnings-call-transcript-applovin-slips-on-q2-revenue-miss-shares-fall-16-in-q2-2026-93CH-4839615"/>
    <hyperlink ref="E9" r:id="rId5" display="https://www.sec.gov/Archives/edgar/data/0001751008/000175100826000042/exhibit991-1q26earningspre.htm"/>
    <hyperlink ref="E10" r:id="rId6" display="https://www.sec.gov/Archives/edgar/data/1751008/000175100826000014/app-20260402.htm"/>
    <hyperlink ref="E11" r:id="rId7" display="https://www.sec.gov/cgi-bin/browse-edgar?action=getcompany&amp;CIK=0001751008&amp;type=4"/>
    <hyperlink ref="E12" r:id="rId8" display="https://www.sec.gov/Archives/edgar/data/1751008/000175100826000047/s-3asr.htm"/>
    <hyperlink ref="E13" r:id="rId9" display="https://data.sec.gov/submissions/CIK0001751008.json"/>
    <hyperlink ref="E14" r:id="rId10" display="https://www.sec.gov/Archives/edgar/data/1751008/000175100826000005/exhibit991-4q25earningspre.htm"/>
    <hyperlink ref="E15" r:id="rId11" display="https://www.alphavantage.co/query?function=EARNINGS_ESTIMATES&amp;symbol=APP"/>
    <hyperlink ref="E16" r:id="rId12" display="https://twelvedata.com/"/>
    <hyperlink ref="E17" r:id="rId13" display="https://www.tikr.com/blog/applovin-stock-is-down-54-in-2026-and-facing-a-class-action-heres-where-it-could-go"/>
    <hyperlink ref="E18" r:id="rId14" display="https://www.globenewswire.com/news-release/2026/09/29/3371339/1087/en/pomerantz-law-firm-announces-the-filing-of-a-class-action-against-applovin-corporation-and-certain-officers-app.html"/>
    <hyperlink ref="E19" r:id="rId15" display="https://www.thestockobserver.com/2026/09/28/why-is-applovin-corporation-nasdaq-app-stock-down-54-this-year.html"/>
    <hyperlink ref="E20" r:id="rId16" display="https://www.fool.com/investing/2026/07/22/why-applovin-stock-fell-24-in-the-first-half-of-20/"/>
    <hyperlink ref="E21" r:id="rId17" display="https://finance.biggo.com/news/US_APP_2026-08-05"/>
    <hyperlink ref="E22" r:id="rId18" display="https://finance.yahoo.com/markets/stocks/articles/app-stock-hits-fresh-52-212057952.html"/>
    <hyperlink ref="E23" r:id="rId19" display="https://247wallst.com/investing/2026/09/23/applovin-drops-5-as-edgewater-warns-market-share-growth-has-stalled-magnite-slips-trade-desk-slips-3/"/>
    <hyperlink ref="E24" r:id="rId20" display="https://www.businesswire.com/news/home/20260701336632/en/AppLovin-to-Announce-Second-Quarter-2026-Results"/>
    <hyperlink ref="E25" r:id="rId21" display="https://www.sec.gov/Archives/edgar/data/0001751008/000175100826000057/exhibit991-2q26earningspre.htm"/>
    <hyperlink ref="E26" r:id="rId22" display="https://finance.yahoo.com/markets/stocks/articles/applovin-nasdaq-app-misses-q2-203826929.html"/>
    <hyperlink ref="E27" r:id="rId23" display="https://www.alphavantage.co/"/>
    <hyperlink ref="E28" r:id="rId24" display="https://247wallst.com/investing/2026/09/23/applovin-drops-5-as-edgewater-warns-market-share-growth-has-stalled-magnite-slips-trade-desk-slips-3/"/>
    <hyperlink ref="E29" r:id="rId25" display="https://stocktwits.com/news-articles/markets/equity/app-stock-drops-edgewater-says-app-lovin-growth-has-stalled-citi-sees-rapid-client-expansion/cZMEyuMRBJo"/>
    <hyperlink ref="E30" r:id="rId26" display="https://investors.unity.com/news/news-details/2026/Unity-Reports-Second-Quarter-2026-Financial-Results/default.aspx"/>
    <hyperlink ref="E31" r:id="rId27" display="https://finance.biggo.com/news/US_U_2026-08-06"/>
    <hyperlink ref="E32" r:id="rId28" display="https://gamedevreports.substack.com/p/sensor-tower-mobile-game-ad-monetization"/>
    <hyperlink ref="E33" r:id="rId29" display="https://gameworldobserver.com/2026/07/06/in-2025-mobile-game-advertising-revenue-exceeded-12-billion-analytics"/>
    <hyperlink ref="E34" r:id="rId30" display="https://sensortower.com/blog/h1-2026-digital-gaming-market-index"/>
    <hyperlink ref="E35" r:id="rId31" display="https://seekingalpha.com/news/4632027-liftoff-forecasts-870m-880m-2026-revenue-as-it-guides-to-59-percent-adjusted-ebitda-margin"/>
    <hyperlink ref="E36" r:id="rId32" display="https://www.sec.gov/Archives/edgar/data/0001850351/000162828026056173/fy26q2earningsrelease.htm"/>
    <hyperlink ref="E37" r:id="rId33" display="https://eciks.org/6504-13668-liftoff-mobile-launches-ipo-roadshow-targeting-3-66b-valuation-on-nasdaq"/>
    <hyperlink ref="E38" r:id="rId34" display="https://www.prnewswire.com/news-releases/digital-turbine-reports-strong-fiscal-2027-first-quarter-financial-results-and-raises-full-year-guidance-302842847.html"/>
    <hyperlink ref="E39" r:id="rId35" display="https://finance.yahoo.com/media-advertising/articles/applovin-gains-e-commerce-ad-161100854.html"/>
    <hyperlink ref="E40" r:id="rId36" display="https://commonthreadco.com/blogs/coachs-corner/applovin-axon-self-serve-ecommerce-june-2026"/>
    <hyperlink ref="E41" r:id="rId37" display="https://za.investing.com/news/stock-market-news/gaming-stocks-fall-after-meta-unveils-ai-gamebuilding-tools-4477190"/>
    <hyperlink ref="E42" r:id="rId38" display="https://www.tikr.com/blog/applovin-stock-is-down-54-in-2026-and-facing-a-class-action-heres-where-it-could-go"/>
    <hyperlink ref="E43" r:id="rId39" display="https://www.globenewswire.com/news-release/2026/09/25/3369014/0/en/app-stock-drop-alert-applovin-stock-plummets-20-after-ai-progress-issues-revealed-bfa-law-notifies-investors-of-the-imminent-november-16-deadline.html"/>
    <hyperlink ref="E44" r:id="rId40" display="https://www.trefis.com/stock/app/articles/617272/applovin-stock-extends-a-7-day-losing-streak-to-a-12-loss/2026-10-01"/>
    <hyperlink ref="E45" r:id="rId41" display="https://www.tipranks.com/stocks/app/earnings"/>
    <hyperlink ref="E46" r:id="rId42" display="https://finance.yahoo.com/markets/stocks/articles/app-stock-hits-fresh-52-212057952.html"/>
    <hyperlink ref="E47" r:id="rId43" display="https://mobilegamer.biz/applovin-sues-unity-over-alleged-data-collection-through-its-ad-quality-sdk/"/>
    <hyperlink ref="E48" r:id="rId44" display="https://ppc.land/applovin-sues-unity-to-halt-ad-quality-data-collection-within-5-business-days/"/>
    <hyperlink ref="E49" r:id="rId45" display="https://pulse2.com/unity-strategic-grow-revenue-targets-up-to-385-million-in-q3-as-vector-ai-drives-68-to-70-growth/"/>
    <hyperlink ref="E50" r:id="rId46" display="https://www.tradingpedia.com/2026/09/23/applovin-dips-as-analyst-warns-ad-growth-may-be-stalling/"/>
    <hyperlink ref="E51" r:id="rId47" display="https://www.tradingview.com/news/benzinga:2a82193f6094b:0-applovin-stock-falls-to-52-week-low-what-s-happening/"/>
    <hyperlink ref="E52" r:id="rId48" display="https://s21.q4cdn.com/165405286/files/doc_financials/2026/q2/AppLovin-2Q26-Earnings-Press-Release.pdf"/>
    <hyperlink ref="E53" r:id="rId49" display="https://www.sec.gov/Archives/edgar/data/1751008/000175100826000059/app-20260630.htm"/>
    <hyperlink ref="E54" r:id="rId50" display="https://www.investing.com/news/transcripts/earnings-call-transcript-applovin-slips-on-q2-revenue-miss-shares-fall-16-in-q2-2026-93CH-4839615"/>
    <hyperlink ref="E55" r:id="rId51" display="https://www.alphavantage.co/"/>
    <hyperlink ref="E56" r:id="rId52" display="https://www.alphavantage.co/"/>
    <hyperlink ref="E57" r:id="rId53" display="https://www.tikr.com/blog/applovin-stock-is-down-54-in-2026-and-facing-a-class-action-heres-where-it-could-go"/>
    <hyperlink ref="E58" r:id="rId54" display="https://www.globenewswire.com/news-release/2026/09/30/3372254/1020/en/kaplan-fox-urges-investors-of-applovin-corporation-nasdaq-app-with-significant-losses-to-seek-a-leadership-role-before-november-16-2026.html"/>
    <hyperlink ref="E59" r:id="rId55" display="https://finance.yahoo.com/markets/stocks/articles/applovin-real-problem-isn-t-112602774.html"/>
    <hyperlink ref="E60" r:id="rId56" display="https://www.gurufocus.com/news/9047961/app-maintained-by-piper-sandler-price-target-lowered-to-325"/>
    <hyperlink ref="E61" r:id="rId57" display="https://247wallst.com/investing/2026/09/23/applovin-drops-5-as-edgewater-warns-market-share-growth-has-stalled-magnite-slips-trade-desk-slips-3/"/>
    <hyperlink ref="E62" r:id="rId58" display="https://www.investing.com/news/stock-market-news/why-is-applovin-stock-slipping-today-93CH-4924597"/>
    <hyperlink ref="E63" r:id="rId59" display="https://www.cnbc.com/2026/01/27/applovin-short-seller-capitalwatch-report.html"/>
    <hyperlink ref="E64" r:id="rId60" display="https://www.cnbc.com/2026/02/09/short-seller-capitalwatch-retraction-applovin-hao-tang.html"/>
    <hyperlink ref="E65" r:id="rId61" display="https://247wallst.com/investing/2026/03/26/applovin-plunges-8-as-short-sellers-circle-is-apps-ai-growth-story-under-threat/"/>
    <hyperlink ref="E66" r:id="rId62" display="https://sherwood.news/markets/applovin-sinks-amid-report-that-multiple-state-regulators-are-looking-into/"/>
    <hyperlink ref="E67" r:id="rId63" display="https://www.morningstar.com/stocks/applovin-sec-probe-into-data-collection-practices-lends-some-legitimacy-short-reports"/>
    <hyperlink ref="E68" r:id="rId64" display="https://www.sec.gov/Archives/edgar/data/1751008/000119312524271603/d896321d8k.htm"/>
    <hyperlink ref="E69" r:id="rId65" display="https://www.ifre.com/bonds/699608/applovin-marks-ig-bond-debut"/>
    <hyperlink ref="E70" r:id="rId66" display="https://www.trefis.com/stock/app/articles/617272/applovin-stock-extends-a-7-day-losing-streak-to-a-12-loss/2026-10-01"/>
    <hyperlink ref="E71" r:id="rId67" display="https://www.stocktitan.net/sec-filings/APP/8-k-app-lovin-corp-reports-material-event-5d751427e0dd.html"/>
    <hyperlink ref="E72" r:id="rId68" display="https://www.marketscreener.com/news/applovin-insider-sold-shares-worth-11-158-868-according-to-a-recent-sec-filing-ce7f5cded88df423"/>
    <hyperlink ref="E73" r:id="rId69" display="https://www.tradingview.com/news/zacks:7655f0236094b:0-unity-gains-on-vector-momentum-how-to-play-the-stock-in-2h26/"/>
    <hyperlink ref="E74" r:id="rId70" display="https://www.tipranks.com/stocks/app/earnings"/>
    <hyperlink ref="E75" r:id="rId71" display="https://rolfstrasse.substack.com/p/applovin-the-ai-advertising-engine"/>
    <hyperlink ref="E76" r:id="rId72" display="https://adtechradar.com/2026/08/05/applovin-sec-inquiry-q2-2026-earnings/"/>
    <hyperlink ref="E77" r:id="rId73" display="https://www.sec.gov/Archives/edgar/data/1751008/000184839526000010/primarydocument.xml"/>
    <hyperlink ref="E78" r:id="rId74" display="https://www.sec.gov/Archives/edgar/data/1751008/000184839526000012/primarydocument.xml"/>
    <hyperlink ref="E79" r:id="rId75" display="https://www.sec.gov/Archives/edgar/data/1751008/000195004726005915/primary_doc.xml"/>
    <hyperlink ref="E80" r:id="rId76" display="https://finance.yahoo.com/markets/stocks/articles/app-stock-hits-fresh-52-212057952.html"/>
    <hyperlink ref="E81" r:id="rId77" display="https://www.prnewswire.com/news-releases/applovin-legal-alert-applovin-app-investors-who-lost-money-are-notified-of-the-upcoming-deadline-in-the-ongoing-securities-fraud-class-action-302891831.html"/>
    <hyperlink ref="E82" r:id="rId78" display="https://www.sec.gov/Archives/edgar/data/0001751008/000175100826000057/exhibit991-2q26earningspre.htm"/>
    <hyperlink ref="E83" r:id="rId79" display="https://www.globenewswire.com/news-release/2026/09/25/3369014/0/en/app-stock-drop-alert-applovin-stock-plummets-20-after-ai-progress-issues-revealed-bfa-law-notifies-investors-of-the-imminent-november-16-deadline.html"/>
    <hyperlink ref="E84" r:id="rId80" display="https://www.alphavantage.co/query?function=EARNINGS_ESTIMATES&amp;symbol=APP"/>
    <hyperlink ref="E85" r:id="rId81" display="https://www.tikr.com/blog/applovin-stock-is-down-54-in-2026-and-facing-a-class-action-heres-where-it-could-go"/>
    <hyperlink ref="E86" r:id="rId82" display="https://gamedevreports.substack.com/p/sensor-tower-mobile-game-ad-monetization"/>
    <hyperlink ref="E87" r:id="rId83" display="https://stocktwits.com/news-articles/markets/equity/app-stock-hits-fresh-52-week-low-after-wells-fargo-calls-pixel-install-spike-a-false-start/cZMFmvgRBLK"/>
    <hyperlink ref="E88" r:id="rId84" display="https://www.gurufocus.com/news/9103485/wells-fargo-flags-surge-in-applovins-pixel-adoption-amid-investor-inquiries-app"/>
    <hyperlink ref="E89" r:id="rId85" display="https://commonthreadco.com/blogs/coachs-corner/applovin-q2-2026-earnings-ecommerce-advertisers"/>
    <hyperlink ref="E90" r:id="rId86" display="https://finance.yahoo.com/media-advertising/articles/applovin-gains-e-commerce-ad-161100854.html"/>
    <hyperlink ref="E91" r:id="rId87" display="https://avenuez.com/blog/an-ecommerce-marketers-take-on-the-applovin-short-reports/"/>
    <hyperlink ref="E92" r:id="rId88" display="https://www.techtimes.com/articles/323336/20260806/applovin-stock-lost-40b-16m-miss-while-sec-cleared-axon-data-probe.htm"/>
    <hyperlink ref="E93" r:id="rId89" display="https://247wallst.com/investing/2026/10/01/applovin-falls-3-as-wells-fargo-calls-pixel-install-spike-a-false-start-trade-desk-sits-out-the-selloff-magnite-dips/"/>
    <hyperlink ref="E94" r:id="rId90" display="https://naavik.co/digest/unitys-ad-driven-turnaround/"/>
    <hyperlink ref="E95" r:id="rId91" display="https://marketchameleon.com/Overview/APP/Earnings/Earnings-Dates/"/>
    <hyperlink ref="E96" r:id="rId92" display="https://finance.yahoo.com/markets/stocks/articles/applovin-drops-5-edgewater-warns-134813190.html"/>
    <hyperlink ref="E97" r:id="rId93" display="https://investors.unity.com/news/news-details/2026/Unity-Reports-Second-Quarter-2026-Financial-Results/default.aspx"/>
    <hyperlink ref="E98" r:id="rId94" display="https://apps.shopify.com/applovin"/>
    <hyperlink ref="E99" r:id="rId95" display="https://finance.biggo.com/news/US_U_2026-08-06"/>
    <hyperlink ref="E100" r:id="rId96" display="https://franklin407.substack.com/p/applovin-deepdive"/>
    <hyperlink ref="E101" r:id="rId97" display="https://www.marketbeat.com/stocks/NASDAQ/APP/earnings/"/>
    <hyperlink ref="E102" r:id="rId98" display="https://s21.q4cdn.com/165405286/files/doc_financials/2026/q2/AppLovin-2Q26-Earnings-Press-Release.pdf"/>
    <hyperlink ref="E103" r:id="rId99" display="https://www.tikr.com/blog/applovin-stock-is-down-54-in-2026-and-facing-a-class-action-heres-where-it-could-go"/>
    <hyperlink ref="E104" r:id="rId100" display="https://www.alphavantage.co/query?function=EARNINGS_ESTIMATES&amp;symbol=APP"/>
    <hyperlink ref="E105" r:id="rId101" display="https://247wallst.com/investing/2026/09/23/applovin-drops-5-as-edgewater-warns-market-share-growth-has-stalled-magnite-slips-trade-desk-slips-3/"/>
    <hyperlink ref="E106" r:id="rId102" display="https://www.gurufocus.com/news/9093413/applovin-stock-falls-as-edgewater-sees-growth-hitting-a-ceiling"/>
    <hyperlink ref="E107" r:id="rId103" display="https://www.sec.gov/Archives/edgar/data/1751008/000175100826000059/app-20260630.htm"/>
    <hyperlink ref="E108" r:id="rId104" display="https://www.alphavantage.co/query?function=TIME_SERIES_MONTHLY_ADJUSTED&amp;symbol=APP"/>
    <hyperlink ref="E109" r:id="rId105" display="https://www.edwardconard.com/macro-roundup/btw-1985-and-2024-the-median-drawdown-for-6500-us-stocks-was-85-with-a-duration-of-2-5-years-from-peak-to-trough-and-another-2-5-years-to-recovery-more-than-one-half-of-all-stocks-never-recover-t/"/>
    <hyperlink ref="E110" r:id="rId106" display="https://www.fool.com/investing/2026/01/08/why-the-trade-desk-stock-collapsed-68-in-2025/"/>
    <hyperlink ref="E111" r:id="rId107" display="https://www.cnbc.com/2023/12/18/metas-stock-wrapping-up-record-year-spurred-by-cost-cuts.html"/>
    <hyperlink ref="E112" r:id="rId108" display="https://polymarket.com/event/fed-decision-in-october"/>
    <hyperlink ref="E113" r:id="rId109" display="https://polymarket.com/search?q=recession"/>
    <hyperlink ref="E114" r:id="rId110" display="https://polymarket.com/search?q=iran"/>
    <hyperlink ref="E115" r:id="rId111" display="https://www.globenewswire.com/news-release/2026/09/25/3369014/0/en/app-stock-drop-alert-applovin-stock-plummets-20-after-ai-progress-issues-revealed-bfa-law-notifies-investors-of-the-imminent-november-16-deadline.html"/>
    <hyperlink ref="E116" r:id="rId112" display="https://www.fool.com/investing/2026/07/22/why-applovin-stock-fell-24-in-the-first-half-of-20/"/>
    <hyperlink ref="E117" r:id="rId113" display="https://commonthreadco.com/blogs/coachs-corner/applovin-q2-2026-earnings-ecommerce-advertisers"/>
    <hyperlink ref="E118" r:id="rId114" display="https://natlawreview.com/article/applovin-faces-sec-scrutiny-over-alleged-data-practices"/>
    <hyperlink ref="E119" r:id="rId115" display="https://www.tipranks.com/stocks/app/earnings"/>
    <hyperlink ref="E120" r:id="rId116" display="https://manifold.markets/search?q=applovin"/>
    <hyperlink ref="E121" r:id="rId117" display="https://adtechradar.com/2026/08/05/applovin-sec-inquiry-q2-2026-earnings/"/>
    <hyperlink ref="E122" r:id="rId118" display="https://uk.finance.yahoo.com/news/sec-probe-involving-applovin-still-201911096.html"/>
    <hyperlink ref="E123" r:id="rId119" display="https://finance.yahoo.com/markets/stocks/articles/app-stock-hits-fresh-52-212057952.html"/>
    <hyperlink ref="E124" r:id="rId120" display="https://ca.investing.com/news/stock-market-news/wells-fargo-reiterates-applovin-stock-rating-on-ecommerce-growth-analysis-93CH-4859586"/>
    <hyperlink ref="E125" r:id="rId121" display="https://www.morganstanley.com/im/en-us/individual-investor/insights/consilient-observer/drawdowns-and-recoveries.html"/>
    <hyperlink ref="E126" r:id="rId122" display="https://www.sec.gov/Archives/edgar/data/0001751008/000175100826000057/exhibit991-2q26earningspre.htm"/>
    <hyperlink ref="E127" r:id="rId123" display="https://www.sec.gov/Archives/edgar/data/0001751008/000175100826000057/exhibit991-2q26earningspre.htm"/>
    <hyperlink ref="E128" r:id="rId124" display="https://www.sec.gov/Archives/edgar/data/1751008/000175100826000059/app-20260630.htm"/>
    <hyperlink ref="E129" r:id="rId125" display="https://www.sec.gov/Archives/edgar/data/1751008/000175100826000044/app-20260331.htm"/>
    <hyperlink ref="E130" r:id="rId126" display="https://www.sec.gov/Archives/edgar/data/1751008/000184839526000010/primarydocument.xml"/>
    <hyperlink ref="E131" r:id="rId127" display="https://www.sec.gov/Archives/edgar/data/1751008/000184839526000012/primarydocument.xml"/>
    <hyperlink ref="E132" r:id="rId128" display="https://www.sec.gov/Archives/edgar/data/1751008/000184839526000005/primarydocument.xml"/>
    <hyperlink ref="E133" r:id="rId129" display="https://www.sec.gov/Archives/edgar/data/1751008/000195004726005915/primary_doc.xml"/>
    <hyperlink ref="E134" r:id="rId130" display="https://www.sec.gov/Archives/edgar/data/1810806/000181080626000041/a2026q2ex-991.htm"/>
    <hyperlink ref="E135" r:id="rId131" display="https://mobilegamer.biz/applovin-sues-unity-over-alleged-data-collection-through-its-ad-quality-sdk/"/>
    <hyperlink ref="E136" r:id="rId132" display="https://investors.applovin.com/news/default.aspx"/>
    <hyperlink ref="E137" r:id="rId133" display="https://data.sec.gov/submissions/CIK0001751008.json"/>
    <hyperlink ref="E138" r:id="rId134" display="https://www.sec.gov/Archives/edgar/data/1751008/000175100826000059/app-20260630.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2026-10-30T22:16:00Z</dcterms:created>
  <dc:creator>openpyxl</dc:creator>
  <dc:description/>
  <dc:language>en-US</dc:language>
  <cp:lastModifiedBy/>
  <dcterms:modified xsi:type="dcterms:W3CDTF">2026-10-30T22:16:00Z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