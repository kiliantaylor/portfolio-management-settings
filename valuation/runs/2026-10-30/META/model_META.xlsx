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<sst xmlns="http://schemas.openxmlformats.org/spreadsheetml/2006/main" count="1251" uniqueCount="785">
  <si>
    <t xml:space="preserve">META 12-month price target model</t>
  </si>
  <si>
    <t xml:space="preserve">Close 2026-10-30 · agents' research 2026-10-27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</si>
  <si>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</si>
  <si>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</si>
  <si>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</si>
  <si>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</si>
  <si>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</si>
  <si>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</si>
  <si>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</si>
  <si>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</si>
  <si>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</si>
  <si>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</si>
  <si>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</si>
  <si>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</si>
  <si>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51 analysts, https://stockanalysis.com/stocks/meta/forecast/ as of 2026-10-30</t>
  </si>
  <si>
    <t xml:space="preserve">Use supervisor ladder (1 = yes)</t>
  </si>
  <si>
    <t xml:space="preserve">Supervisor confidence: medium; its ladder replaces the agents' mean only when high</t>
  </si>
  <si>
    <t xml:space="preserve">Platt log shift of the agents' curve</t>
  </si>
  <si>
    <t xml:space="preserve">combine.py: P(close &gt;= spot) 0.540 Platt-scaled (a = 1.732) to 0.540,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</si>
  <si>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</si>
  <si>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</si>
  <si>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</si>
  <si>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</si>
  <si>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</si>
  <si>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</si>
  <si>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</si>
  <si>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</si>
  <si>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</si>
  <si>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</si>
  <si>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</si>
  <si>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</si>
  <si>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</si>
  <si>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</si>
  <si>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</si>
  <si>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</si>
  <si>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</si>
  <si>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</si>
  <si>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Model update 2026-10-27 (update): the 10-26 equity raise is put in the set (40M Class A forward shares at $625.00 with $24.9B settlement cash both counted at the horizon; $12.5B 6.50% mandatory convertible preferred deducted as preferred with its cash in net debt), operating drivers unchanged; research target (12m) 659.48 -&gt; 656.07 (-0.5%), the raise priced near the target and the P/E leg credits cash only through 4.5% interest. Research target (12m) per current pre-split share (today's Class A share plus the Class C share from the 2027 dividend). It equals the engine's base horizon value for model.reconciled_inputs (model_engine.py check: P/E 18.5x core NTM EPS $36.9 less adjustments = $652.59 (pre-raise $658.76) at 0.45; SOTP FoA 15.5x NTM EBIT $118.6B less horizon net debt $72.2B and adjustments = $660.08 at 0.55).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</si>
  <si>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</si>
  <si>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</si>
  <si>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</si>
  <si>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</si>
  <si>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</si>
  <si>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</si>
  <si>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</si>
  <si>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</si>
  <si>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</si>
  <si>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</si>
  <si>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</si>
  <si>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</si>
  <si>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</si>
  <si>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</si>
  <si>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thesis break)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</si>
  <si>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</si>
  <si>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</si>
  <si>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</si>
  <si>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</si>
  <si>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</si>
  <si>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</si>
  <si>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</si>
  <si>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</si>
  <si>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</si>
  <si>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</si>
  <si>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</si>
  <si>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</si>
  <si>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</si>
  <si>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</si>
  <si>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</si>
  <si>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</si>
  <si>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</si>
  <si>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</si>
  <si>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</si>
  <si>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META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</si>
  <si>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</si>
  <si>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</si>
  <si>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</si>
  <si>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</si>
  <si>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</si>
  <si>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</si>
  <si>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</si>
  <si>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</si>
  <si>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</si>
  <si>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</si>
  <si>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</si>
  <si>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META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</si>
  <si>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</si>
  <si>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</si>
  <si>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</si>
  <si>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</si>
  <si>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</si>
  <si>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</si>
  <si>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</si>
  <si>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</si>
  <si>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</si>
  <si>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</si>
  <si>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</si>
  <si>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</si>
  <si>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</si>
  <si>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</si>
  <si>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</si>
  <si>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</si>
  <si>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</si>
  <si>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</si>
  <si>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META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</si>
  <si>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</si>
  <si>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</si>
  <si>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</si>
  <si>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</si>
  <si>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</si>
  <si>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</si>
  <si>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</si>
  <si>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</si>
  <si>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</si>
  <si>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NTM EPS at horizon ~$34.56 (driver build: FY28 EBIT $112.7B, 17% tax, 2,587M shares) x 20.0x</t>
  </si>
  <si>
    <t xml:space="preserve">EV/EBITDA</t>
  </si>
  <si>
    <t xml:space="preserve">NTM GAAP EBITDA ~$180B (EBIT + D&amp;A of ~21% of revenue) x 10.0x, less net debt at horizon ~$68B and litigation adjustments</t>
  </si>
  <si>
    <t xml:space="preserve">SOTP</t>
  </si>
  <si>
    <t xml:space="preserve">FoA NTM EBIT ~$122.8B x 16.5x EV/EBIT = $2,026B; Reality Labs -$25B; less net debt and adjustments; / 2,587M shares</t>
  </si>
  <si>
    <t xml:space="preserve">Blended value</t>
  </si>
  <si>
    <t xml:space="preserve">Stated research target (12m)</t>
  </si>
  <si>
    <t xml:space="preserve">Research target (12m) $715.83 per current pre-split share: 6-driver build (ad impressions x price per ad, FoA other revenue, FoA margin, RL loss, capex) valued at the horizon on SOTP (FoA 16.5x NTM EBIT, RL -$25B; w 0.45), 20x NTM P/E (w 0.35) and 10x NTM EBITDA (w 0.20).</t>
  </si>
  <si>
    <t xml:space="preserve">FoA NTM EBIT $128.0B (0.19 x FY2027 $112.7B + 0.81 x FY2028 $131.6B) x 16x EV/EBIT = $2,048B; RL -$94.1B; net debt at horizon -$67B; accrued legal -$19.9B; litigation -$10.5B; / 2,587M shares</t>
  </si>
  <si>
    <t xml:space="preserve">NTM GAAP EPS at the horizon ~$35.8 (EBIT ~$113.8B less interest, 16% tax, 2,587M shares; RL losses included) x 19x</t>
  </si>
  <si>
    <t xml:space="preserve">NTM GAAP EBITDA ~$176B (EBIT ~$113.8B + D&amp;A ~$62.4B) x 10.5x, less net debt $67B and legal adjustments</t>
  </si>
  <si>
    <t xml:space="preserve">other</t>
  </si>
  <si>
    <t xml:space="preserve">Cross-check only: peer-median NTM P/E 24.7x (ex-SNAP) x FY2027 consensus EPS $33.92 = $838; shows the market already discounts META ~23% to peers, which the driver build keeps</t>
  </si>
  <si>
    <t xml:space="preserve">Driver-led 3-year build (impressions x price per ad for Family of Apps, FoA margin, RL loss, capex, D&amp;A) valued at the horizon: SOTP $718 (40%), P/E 19x NTM GAAP EPS ~$35.8 = $669 (35%), EV/EBITDA 10.5x = $677 (25%); research target (12m) $691 per current pre-split share.</t>
  </si>
  <si>
    <t xml:space="preserve">FoA NTM EBIT at horizon $114.5B (0.189 x FY2027 111.8 + 0.811 x FY2028 115.2) x 15.5x = $1,775B; RL own value -$60B; net debt at horizon $68.8B; adjustments -$38.5B; 2,573M shares</t>
  </si>
  <si>
    <t xml:space="preserve">Model NTM EPS at the horizon ~$31.2 (FY2027 ~$30.0, FY2028 ~$31.5, GAAP after SBC, tax 17%) x 20x, plus adjustments -$15/share</t>
  </si>
  <si>
    <t xml:space="preserve">NTM EBITDA at horizon ~$166B (FY2027 144.3, FY2028 171.2) x 10.5x = $1,743B EV, less net debt $68.8B and adjustments $38.5B</t>
  </si>
  <si>
    <t xml:space="preserve">Cross-check only: peer median NTM P/E 24.7x x consensus FY2027 EPS $33.92 = $838. Not used: consensus EPS sits ~12% above our build (D&amp;A wave, slower ads), and the playbook treats peer-median x consensus as a check, not the answer.</t>
  </si>
  <si>
    <t xml:space="preserve">Driver-led build valued by the engine: SOTP (FoA NTM EBIT ~$114.5B x 15.5x, Reality Labs -$60B; $625, w 0.45), consolidated NTM P/E 20x on model EPS ~$31.2 ($609, w 0.35) and NTM EV/EBITDA 10.5x on ~$166B ($636, w 0.20), less ~$15/share of probability-weighted litigation; per current pre-split share.</t>
  </si>
  <si>
    <t xml:space="preserve">core EPS NTM $39.08 x 18.5x = $723; less RL -$55B and litigation (-$9.89B, -$5.3B x 35%, -$8B x 50%) = -$70.7B / 2,573M = -$27.5</t>
  </si>
  <si>
    <t xml:space="preserve">Family of Apps EBITDA NTM $182.8B x 11.0x = EV $2,010B; less engine net debt at horizon (FCF after $141B/$192B capex and dividends), RL -$55B and litigation; / 2,573M</t>
  </si>
  <si>
    <t xml:space="preserve">Cross-check only: peer median NTM P/E 24.7x x consensus FY2027 EPS $33.92 = $838; not used (playbook: peer-median x consensus is not the valuation; META's capex intensity is far above the median peer)</t>
  </si>
  <si>
    <t xml:space="preserve">Driver-led set valued by the engine: 50% P/E 18.5x on core NTM EPS ex Reality Labs ($39.08) less RL venture value and litigation ($695.57) and 50% SOTP with Family of Apps at 11.0x NTM EBITDA ($182.8B) less net debt at the horizon, RL and litigation ($724.93); research target (12m) $710.25 per current pre-split share.</t>
  </si>
  <si>
    <t xml:space="preserve">FoA NTM EBIT $123.6B (0.2 x FY27 $116.3B + 0.8 x FY28 $125.5B) x 16x = $1,978B; Reality Labs -$40.9B (-3.5 x after-tax FY28 loss); non-marketable investments +$24.5B; net debt at horizon -$72B; shares 2,599M</t>
  </si>
  <si>
    <t xml:space="preserve">NTM (Q4-27 to Q3-28) GAAP EPS ~$34.0 from the build (EBIT ~$109B, interest on $72B net debt at 4.5%, tax 16.5%, 2,599M shares) x 21x = ~$713, plus investments $9.4/share</t>
  </si>
  <si>
    <t xml:space="preserve">Cross-check only: peer-median NTM P/E 24.7x x consensus FY2027 EPS $33.92 = $838; shows that our 21x discount, not the earnings, is what separates us from a peer-multiple answer</t>
  </si>
  <si>
    <t xml:space="preserve">Base-rate cross-check: price $642.62 x 1.09 (large-cap expected return) = $700; META's own 12-month return history since 2013 has median +29% and P(up) 75% since 2016, but that sample is survivor-biased (a stock that became a mega-cap) and is not used for the centre</t>
  </si>
  <si>
    <t xml:space="preserve">Research target (12m) $725 per current pre-split share = engine base value of our driver-led set: 55% sum of the parts (Family of Apps NTM EBIT $123.6B x 16x EV/EBIT, Reality Labs -$41B, investments +$24B, net debt -$72B, 2,599M shares = $727) and 45% 21x NTM GAAP EPS of ~$34.0 plus investments = $723.</t>
  </si>
  <si>
    <t xml:space="preserve">META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</si>
  <si>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</si>
  <si>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</si>
  <si>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</si>
  <si>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</si>
  <si>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</si>
  <si>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</si>
  <si>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</si>
  <si>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AI capex does not pay back: ad growth slows to low teens in 2027 (EU/youth rules, tougher comps), Muse monetisation slips, D&amp;A and serving costs compress FoA margin ~4pts; market pays ~17x for negative FCF</t>
  </si>
  <si>
    <t xml:space="preserve">ad revenue ~+20% in 2027 and ~+15% in 2028 at roughly consensus, margins compress on the D&amp;A wave, 21x NTM P/E</t>
  </si>
  <si>
    <t xml:space="preserve">Muse/enterprise and AI ranking lift price per ad and new revenue; capex seen as earning a return; multiple re-rates to ~24x</t>
  </si>
  <si>
    <t xml:space="preserve">Ad growth slows harder in 2027 (impressions ~+4%, price ~+3%) as the social ad market decelerates (WARC 2027 total +8.4%) and TikTok US/AI assistants compete for budgets; compute contracts and D&amp;A push FoA margin to ~34%; New Mexico penalty upheld and MDL losses; P/E 16x. Engine bear on the driver set: ~$440.</t>
  </si>
  <si>
    <t xml:space="preserve">Driver set: FY2027 revenue +17.7% to $304B (2.4% below consensus), FoA margin 37.4%, EPS ~$31 (8.6% below consensus) rising to ~$36 NTM at the horizon; 19x. Research target (12m) $691; distribution centre shaded toward the current price.</t>
  </si>
  <si>
    <t xml:space="preserve">AI ranking, Meta AI/business messaging and Threads/WhatsApp ads keep price per ad double-digit; FY2027 revenue ~$330B, FoA margin ~40%; capex growth flattens in 2028 and FCF turns; P/E 22x. Engine bull: ~$966.</t>
  </si>
  <si>
    <t xml:space="preserve">Ad growth slows to ~10% in 2027 (teen time caps, EU, macro), capex runs toward Wells' $250B with more D&amp;A, legal overhang widens; P/E 18.5x, FoA 14x EBIT. Engine value $413.</t>
  </si>
  <si>
    <t xml:space="preserve">Driver build as set: revenue +17.5% in 2027, +14% in 2028; D&amp;A wave holds GAAP EBIT ~flat 2027-28; P/E 20x, FoA 15.5x EBIT, RL -$60B, litigation -$15/share.</t>
  </si>
  <si>
    <t xml:space="preserve">AI ranking and Muse/business AI keep revenue near consensus (+21%), cost discipline; market looks through D&amp;A: P/E 22.5x, FoA 17.4x EBIT. Engine value $875.</t>
  </si>
  <si>
    <t xml:space="preserve">impressions stall (Muse cannibalises feed time, DAP flat), ad pricing gives back as advertiser ROAS keeps falling, cash costs rise with Muse serving and cloud rentals, capex overshoots; multiple compresses to ~15.5x core on negative FCF and Class C issuance</t>
  </si>
  <si>
    <t xml:space="preserve">ads +20% in 2027 (impressions +8%, price +11%), capex $192B, D&amp;A wave holds EBIT margin ~33%; 18.5x core EPS / 11x FoA EBITDA</t>
  </si>
  <si>
    <t xml:space="preserve">AI ranking keeps price per ad compounding at mid-teens, Muse adds engagement and subscriptions, RL losses fall faster; market pays ~21x core as 2028 capex plateaus</t>
  </si>
  <si>
    <t xml:space="preserve">2027 ad recession (Kalshi 20%) or an AI-capex backlash: price per ad -6% and impressions -3% vs base, FoA margin -3pts because Meta keeps building, P/E 17x and SOTP multiples -20%; youth/EU legal costs add to the overhang</t>
  </si>
  <si>
    <t xml:space="preserve">Ads +19% in 2027 and +14% in 2028; Muse adds ~$3-4B a year of other revenue; FoA margin 38% then 35.5% as D&amp;A climbs to ~$71B; capex $205B then $252B funded by debt (net debt ~$72B at horizon); 21x NTM EPS / 16x FoA EBIT</t>
  </si>
  <si>
    <t xml:space="preserve">Muse subscriptions/commerce fees reach Jefferies' run-rate early (+60% other revenue), price per ad +4%, 2023-style cost discipline (+2pts margin), 2028 capex growth slows and the stock re-rates to ~24x</t>
  </si>
  <si>
    <t xml:space="preserve">Average</t>
  </si>
  <si>
    <t xml:space="preserve">META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</si>
  <si>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</si>
  <si>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</si>
  <si>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</si>
  <si>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</si>
  <si>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</si>
  <si>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</si>
  <si>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</si>
  <si>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Per-share figures are per CURRENT pre-split share (today's Class A share plus the Class C share it gets in the Jan-2027 dividend; 8-K 2026-10-21); EV is unchanged by the dividend. Evidence, mostly primary: Q3-26 release, 10-Q and call; Q2-26 call; nine prior releases for the guidance record. The core is strong: revenue +26% (impressions +10%, price +14%), Q4 guide $73-76B (+22-27%), and Meta beat the top of its range in 6 of 8 quarters. The debate is cost: FY26 expenses $175-179B (incl. $12.3B legal), capex $135-145B, $454.5B of non-cancelable commitments ($121.4B due 2027), management 'investing aggressively' in 2027, and RL loss ~$15B. Driver build: FY27 revenue $312B (at consensus) from impressions +9% and price +10% plus new AI revenue; FoA margin 51.6% FY25 -&gt; 37.8% FY27 -&gt; 34.5% FY28 as D&amp;A rises with capex that follows the AI capex file ($192B, $236B; above street). FY27 EPS ~$32 (~5% below consensus $33.9). Valuation: SOTP $750 (FoA 16.5x NTM EBIT, RL -$25B), P/E 20x $691, EV/EBITDA 10x $681 -&gt; research target (12m) $715.83, +11% vs $642.62. Scenarios: bear $409 (25%), base $716 (50%), bull $1,019 (25%). Ladder: 75% this scenario mix (within-scenario vol 17-18%) plus 25% a market-anchored lognormal (median $650, sigma 33%, about the stock's 43% realized vol trimmed for non-earnings periods), since price is the best single forecast. That gives a median of ~$697 and P(&gt;= $643) = 0.59. Not driver-linked: the RL venture value (-$25B), the litigation and investment adjustments, and RL revenue. Research limits: the Q3 call transcript was reached at a content_files URL; no option data was used.</t>
  </si>
  <si>
    <t xml:space="preserve">$480 (-25%, below the 52-week low of $520.26) would mean the market sees FY27 EPS near $24 at 20x, or a de-rating to ~14x. Either one means something fundamental broke: the Q4 call guides 2027 expenses or capex well above our build (e.g. capex &gt;$220B with no matching revenue), ad growth drops toward 10%, or a youth-litigation or regulatory outcome much larger than the accrued $9.9B. Our bear case is $409.</t>
  </si>
  <si>
    <t xml:space="preserve">• FY2027-28 capex and the D&amp;A wave: our $192B/$236B (AI capex file) vs street $164-186B for 2027.
• Whether AI spending earns a return beyond ads: Muse subscriptions/commerce and the enterprise API (FoA other revenue $8B FY27, $16B FY28 in our build).
• Pace of ad growth as impressions decelerate (+19% Q1-26 to +10% Q3-26) and price per ad carries more of it.
• Youth litigation and regulation beyond the accrued AG settlement (contingent $5.3B, remaining AG cases, mass arbitration).
• How the market values Reality Labs (venture value vs capitalised losses): ~$27/share of the blend.
• Funding: negative FCF through 2028 brings net debt to ~$68B by the horizon, and Class C stock gives Meta a way to issue equity.</t>
  </si>
  <si>
    <t xml:space="preserve">Per-share figures are per CURRENT pre-split share (today's Class A share plus the Class C share it receives on 2027-01-19); EV is unchanged by the dividend. Industry lane: the rest of the ad chain says demand is still strong but slowing. WARC's Q3-26 outlook has social ad spend +21.3% in 2026 and +14.6% in 2027, total +11.9% then +8.4% [13]; IAB US social +16.5% in 2026 [14]; Google Search +17%, YouTube +13%, Amazon ads +26%, Reddit ads +64%, Pinterest +18%, Snap ads only +9% in Q2-26 [16-20]; eMarketer puts Meta's 2026 ad revenue at ~$242B [30]. Meta's own impressions growth fell from +19% (Q1) to +10% (Q3) while price per ad rose to +14% [6][5][1]; an agency newsletter reports large CPM rises [31] (lead only, low weight). On the cost side the supply chain says Meta's bill keeps rising: CoreWeave $21B through 2032 [21], Nebius $12B from early 2027 [22], DRAM contract prices still rising [23], neocloud rental pricing up &gt;50% YTD (MS proprietary index, used only as direction) [25], $454.5B of non-cancelable commitments and $355.7B of leases not yet commenced [2]. So the driver build has FY2027 revenue +17.7% (impressions +8%, price +9%), 2.4% under consensus, and FoA margin falling to 37.4% as D&amp;A rises to $47B; FY2027 EPS ~$31 vs $33.92 consensus. Capex follows the AI-capex file base ($141B in 2026, $192B in 2027) [24]. Guidance record: five straight quarterly revenue guides at or above the range (median +3.4% vs midpoint), expense guides inside, capex guides overshot in 2024-25. Valuation: SOTP (FoA 16x EV/EBIT, RL separately at -$94B), P/E 19x and EV/EBITDA 10.5x give a research target (12m) of $691 after -$19.9B accrued legal and -$10.5B probability-weighted litigation. Ladder: bear $455 / base $680 / bull $920 at 25/50/25 with 25% within-scenario vol (total ~35% log vol vs 43% realized); the centre (~$670 median) sits between the price and the research target because the price is the better one-year predictor. No option data used. Research limited: Q3-26 peer results (Alphabet, Snap, Pinterest, Reddit) are not out yet; X/Twitter not used; no prediction market found on a Meta event that matters (Kalshi lists only headcount contracts). In-lane sources: 19 of 31.</t>
  </si>
  <si>
    <t xml:space="preserve">Below the $520 52-week low: at $505 the market would be pricing FY2027-28 EPS ~25% under our build at 16-17x (the bear case: impressions and pricing both decelerating to low single digits, FoA margin in the low 30s) or a litigation bill well above $30B. Either means the ad engine or the legal exposure, not volatility, broke the thesis.</t>
  </si>
  <si>
    <t xml:space="preserve">• 2027 operating cost growth: D&amp;A wave plus third-party cloud contracts ($121.4B commitments due 2027) vs a decelerating top line
• Whether AI-ranking gains keep price per ad at +10%+ as impression growth (+10% in Q3) slows
• Size and timing of youth-safety litigation cash costs beyond the $19.9B accrued
• 2027-28 capex path: AI-capex file base $192B for 2027 vs high-case ~$245B
• Monetisation of Meta AI / Meta One subscriptions, flagged as possible 2027 revenue but unquantified</t>
  </si>
  <si>
    <t xml:space="preserve">Per-share figures are per current pre-split share (today's Class A share plus the Class C share it receives on ~2027-01-19); EV is unchanged by the dividend. Evidence: Q3 2026 revenue +26% with impressions decelerating (+19%/+14%/+10% through 2026) and price per ad +14%; costs +68%, GAAP margin 20% after a $9.89B AG-settlement charge; FCF -$2.1B; capex guide $135-145B; no buybacks; DAP +3% (src 2, 5, 6). Skeptic findings beyond the earnings recap: a $25B New Mexico privacy judgment at 15% interest (Oct 21, src 11, 12) with an undisclosed accrual; $19.88B of legal accruals and $5.3B unaccrued contingent AG payments; youth bellwethers Oct 2026, Feb/Mar/Aug 2027 (src 1); $454.5B of purchase commitments, $355.7B of leases not commenced and $41.5B of residual value guarantees on off-balance-sheet data-center JVs (src 1, 15, 16); a 5.5-year server life that critics (Burry, Chanos) say flatters EPS (src 17, 18, 31); non-voting Class C that lets the founder sell while keeping &gt;60% voting control (src 3, 24). Credit is not a stress point: Aa3/AA-, 10-year notes at T+90 (src 14). Insider selling is modest (~$235M in 2026, Zuckerberg ~$21M; src 22). Model: ad impressions x price build gives revenue +17.5% in 2027 (consensus +21%, src 21) and D&amp;A rising from $18.6B (2025) to $70B (2028), so GAAP EBIT is ~flat at $96-101B in 2027-28 and our FY2027 EPS (~$30.0) is ~12% below consensus $33.92 (even bullish Wells Fargo is at $32.62, src 19). Valued with SOTP (RL at its own value), P/E 20x and EV/EBITDA 10.5x, less ~$15/share of litigation: research target (12m) $622, ~3% below spot. Weighing honestly: Meta beat 4 of 4 revenue guides by a median 2.9%, the balance sheet is strong and the ad engine is still compounding, so the downside case is a de-rating, not a collapse. Ladder: 55% weight on the scenario mix (bear $413 p0.28, base $622 p0.47, bull $875 p0.25, within-scenario vol 17%) and 45% on a market-centred lognormal ($675 median, 36% vol) because the price is the best single 12-month forecast; median ~$638, P(&gt;= spot) 0.49. Legs not driver-linked: Reality Labs own value (-$60B) and the litigation adjustments. Research used ~20 searches/fetches; prediction markets had no relevant Meta contract.</t>
  </si>
  <si>
    <t xml:space="preserve">Below ~$490 (-24%, under the $520 52-week low) the market would be pricing NTM EPS near $24 at 20x, i.e. ad revenue growth falling to ~10% (impressions flat or price per ad negative), a 2027 capex guide well above $250B with no revenue to show, or litigation beyond ~$60B (New Mexico upheld plus MDL verdicts). That is a broken thesis, not volatility.</t>
  </si>
  <si>
    <t xml:space="preserve">• 2027 capex: $175B consensus vs ~$250B (Wells Fargo); every $50B is ~$19/share of net debt plus ~$9B a year of later D&amp;A.
• Ad growth after Q3's +10% impressions: does AI-driven pricing (+14%) persist as teen-safety caps and EU limits bite?
• Litigation: New Mexico $25B at 15% interest, MDL bellwethers in 2027, ~1,200 school districts; accruals undisclosed by case.
• Useful lives of AI servers (5.5 years) vs critics' 2.5-4 years: a shorter life cuts EPS by $5-8.
• Return on ~$400B of 2025-27 capex and $355.7B of leases not commenced plus $41.5B residual value guarantees: is it priced into the ad business or a new AI business?
• Governance: non-voting Class C lets the founder sell while keeping control; risk of capital allocation without discipline.</t>
  </si>
  <si>
    <t xml:space="preserve">Per-share basis: every per-share figure (target, EPS, scenarios, ladder, thesis break) is per CURRENT pre-split share, i.e. today's Class A share plus the Class C share it receives on 2027-01-19; EV is unchanged. Facts: Q3-26 revenue $64.6B (+26%), impressions +10% (slowest in five quarters), price per ad +14%, a $9.89B AG settlement charge, FCF -$2.1B, capex guide $135-145B, Q4 guide $73-76B, RL loss ~$15B in 2027, Class C non-voting share for capital raising; the stock went 697.52 -&gt; 642.62 (-8%) after the print. Alternative-data lane: Sensor Tower via TechCrunch/PPC Land shows Muse at #1 in US app stores, 10.9M downloads in 40 days and 2.5M US DAU, but D1-&gt;D14 retention decays ~50 points and Meta is steering 39% of its own ad spend to it; Polymarket prices Meta at 1.4% to hold the best model at end-2026 ($3.0M volume) - Meta is a fast follower, not the frontier leader; Similarweb has Threads ahead of X on mobile DAU; a 230-brand agency network (Common Thread) shows Meta ROAS down 39% since Feb-2024, the counterweight to +14% pricing; Trefis and Deep Research Global (Substack) flag that the summer +37% run was ad-machine driven and that 2027-28 margins are exposed to underutilised capex. Reddit and X were not reachable through search, so social sentiment is not used. Model: driver-led (impressions x price for 97.6% of revenue; FoA cash margin; RL loss; capex from the AI capex file base; D&amp;A from a vintage model). FY2027 revenue $310.0B (consensus $311.3B, -0.4%); EBIT $102.2B (consensus-implied ~$104B); reported EPS $32.50 vs consensus $33.92 (-4%, because our D&amp;A follows the higher AI-file capex). Guidance checked against the record: quarterly revenue beats narrowed to ~2-3%; expense guides land within ~1.5% of midpoint; capex first guides are pro-cyclical (+16-21% in build years). Valuation: P/E 18.5x core EPS ex RL ($695.57) and FoA 11.0x EBITDA SOTP ($724.93), RL valued once as a -$55B venture adjustment, litigation -$15.7B expected; research target (12m) $710.25 (+10.5%). Not driver-linked: none (both legs and the adjustments are computed from drivers or stated inputs). Distribution: engine scenarios bear $461 (25%) / base $710 (50%) / bull $926 (25%). Because today's price beats any blend as a forecast, our ladder centres the base at ~$685 (between price and target), with within-scenario sigmas 0.21-0.24, giving a median ~$677 and log-sd ~0.33 (below the 43% realized vol, in line with the 25-35% large-cap base rate after the post-earnings reset). P(&gt;= $643) 56%, P(&gt;= $771) 34%, P(&lt; $450) 13%.</t>
  </si>
  <si>
    <t xml:space="preserve">Below the 52-week low ($520.26) and near the engine bear value ($461): a price this low would most likely mean price per ad has stopped compounding (advertiser ROAS erosion turning into budget cuts) or the 2027 capex guide (late January) lands far above $192B without revenue to match, forcing Class C equity raises at depressed prices; ordinary 43%-vol noise rarely takes the stock 24% below today without one of those.</t>
  </si>
  <si>
    <t xml:space="preserve">• 2027-28 capex: AI capex file base $192B/$236B vs Meta 2027 consensus $164-186B; drives D&amp;A, FCF and possible Class C raises
• How long price per ad (+14% in Q3) can lead while impressions decelerate (+10%) and advertiser ROAS falls (agency data 2.57x -&gt; 1.56x)
• Muse: engagement and monetization vs serving costs and cannibalization of feed time; retention decays fast (D14 23%) despite 10M+ downloads
• Reality Labs losses after 2027: glide to breakeven vs persistent ~$12-15B
• Litigation: contingent $5.3B AG tranche, school-district/personal-injury cases, EU DMA ad-choice uptake, FTC appeal
• Class C: use for equity raises or M&amp;A, governance discount</t>
  </si>
  <si>
    <t xml:space="preserve">All per-share figures are per CURRENT pre-split share: today's Class A share plus the one Class C share it receives in the dividend payable after the 2027-01-19 charter date; enterprise value is unchanged by it. Evidence: Q3-26 revenue +26% (impressions +10%, price +14%), Q4 guide $73-76B; Meta has finished 2-4% above the revenue guide midpoint in each of the last four quarters, so we sit at the top ($76.1B). FY2026 expenses land at the $177B guide midpoint (incl. $12.3B legal charges). The stock fell ~8% after a beat on the Class C news and capex fears, the third negative print reaction in a row, after a ~25% September rally on the Muse launch; consensus FY2027 EPS is $33.92. Driver build: ads +19% in 2027 and +14% in 2028; FoA margin falls from ~44% ex-charges to 38% and 35.5% because D&amp;A climbs from $28B to ~$71B on capex of $141B/$205B/$252B (AI-file base, with Meta's record of exceeding first capex guides by 16-21% in up-years); 2027 EPS ~$31.7 is ~6% below consensus for that reason. Valuation: 21x NTM P/E (15% below the peer median, mid of META's 2026 range of 18-23x) and a SOTP with FoA at 16x EBIT and RL on its own give a research target (12m) of $725. Base rates: META's own 12-month return s.d. is ~0.42 and its post-drawdown history is very strong, but survivor-biased; Kalshi prices a 20% chance of a 2027 recession and META's price per ad fell 18% y/y in 2022, which sets the bear weight. Prediction markets on META itself (Polymarket via Polyguana) are short-dated and thin, so they carry no weight. Ladder: three lognormals at the engine's bear ($477, 25%, s.d. 0.27) and bull ($939, 25%, s.d. 0.22) and a base shaded from $725 to $705 toward price-plus-drift ($700) because research targets have overshot; median ~$702, mean ~$725, P(above today) 0.60. Not driver-linked: the investments adjustment (+$24.5B) and the stated net debt at horizon. Research was limited by blocked pages (S&amp;P/Visible Alpha previews, Nasdaq), and no option data was used.</t>
  </si>
  <si>
    <t xml:space="preserve">$470 (-27%, below the $520 52-week low) is about 14x our NTM EPS, a level META only reached in the 2022 capex/ad-recession scare. Trading there would most likely mean the earnings path is broken (price per ad falling y/y, or a 2027 capex guide above ~$250B with no revenue lift) or a legal/regulatory hit far above the AG settlement, rather than ordinary 43%-vol noise; it matches our bear-scenario value.</t>
  </si>
  <si>
    <t xml:space="preserve">• Size and duration of the AI capex wave: 2027 capex anywhere from ~$165B (S&amp;P consensus) to $225B+ (Guggenheim), and the D&amp;A it drags into 2028 margins
• Whether Muse monetises (subscriptions, commerce fees) fast enough to offset its own compute cost
• Ad-cycle risk in 2027 (Kalshi recession odds ~20%; price per ad fell 18% y/y in Q3-2022)
• How the market capitalises Reality Labs losses (-$41B in our SOTP vs ~-$245B if run through the P/E)
• Youth-safety litigation beyond the AG settlement and EU DMA remedies
• Use of the Class C for equity issuance and its governance discount</t>
  </si>
  <si>
    <t xml:space="preserve">META supervisor</t>
  </si>
  <si>
    <t xml:space="preserve">Confidence: medium. The searches settled facts that matter: the $25B NM penalty, $19.9B of accruals, $32.6B of investments and the guidance record. But the 5% gap to the mean comes mostly from judgment on the multiple (GOOGL parity) and the FY2028 margin, not from a decisive fact, so this is not high.</t>
  </si>
  <si>
    <t xml:space="preserve">Summary</t>
  </si>
  <si>
    <t xml:space="preserve">Research target (12m) $659 per current pre-split share (+2.6% vs $642.62), below the forecasters' mean of $693. The core ad engine is sound (ads ~+19% in 2027), but capex of $192B/$236B drives D&amp;A to ~$66B by 2028 and FoA margins from 39% to 34%. Three forecasters missed the $25B New Mexico penalty or most of the $19.9B of legal accruals, and RL is now valued once at -$53B with the P/E on core EPS. The ladder is nudged ~2.5% lower (P &gt;= spot 0.53); the thesis breaks at $490.</t>
  </si>
  <si>
    <t xml:space="preserve">Research target (12m)</t>
  </si>
  <si>
    <t xml:space="preserve">Key drivers</t>
  </si>
  <si>
    <t xml:space="preserve">• FoA ad impressions index (FY2025 = 100): 100 -&gt; 112.8/121.8/130.3 (estimate; quarterly, mean)
• FoA average price per ad index (FY2025 = 100): 100 -&gt; 113.6/125/133.7 (estimate; quarterly, wmean:imp_idx)
• FoA other revenue (WhatsApp business messaging, Meta Verified, Meta AI/Muse subscriptions): 2,584 -&gt; 4,263/7,000/1.05e+04 (estimate; quarterly, sum)
• Family of Apps GAAP operating margin (after D&amp;A and SBC): 0.5156 -&gt; 0.3885/0.372/0.34 (estimate; quarterly, wmean:196175*imp_idx*ppa_idx/40000 + foa_other)
• Reality Labs operating loss: 1.919e+04 -&gt; 1.85e+04/1.5e+04/1.35e+04 (estimate; quarterly, sum)
• Capital expenditures incl. finance-lease principal: 7.222e+04 -&gt; 1.41e+05/1.92e+05/2.36e+05 (estimate; quarterly, sum)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</si>
  <si>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</si>
  <si>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</si>
  <si>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</si>
  <si>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</si>
  <si>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</si>
  <si>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Youth/privacy litigation and legal accruals</t>
  </si>
  <si>
    <t xml:space="preserve">A2: -$19.9B accrued + 35% x $30B; A3: -$19.9B + NM 40% x $15B + contingent + other (-$38.5B); A1 and A4 deduct only the $9.89B AG accrual; A4 cites New Mexico only as a $375M verdict; A5 deducts nothing.</t>
  </si>
  <si>
    <t xml:space="preserve">Deduct all $19,881M of accrued legal liabilities; add the New Mexico privacy case's $25B civil penalty (15% post-judgment interest) at 40%, the $5.3B AG contingent tranche at 35% and other youth litigation at 50% x $15B: -$39.4B in total, about -$15/share. A1, A4 and A5 get corrections.</t>
  </si>
  <si>
    <t xml:space="preserve">10-Q Note 10 (supervisor opened it): accruals $11,577M current + $8,304M non-current; NM jury found &gt;43M violations, and on 2026-10-21 the court imposed a $25B civil penalty at 15% interest. The separate NM youth case is the $375M penalty + $567M abatement (stayed). Bloomberg Tax and PPC Land confirm.</t>
  </si>
  <si>
    <t xml:space="preserve">Reality Labs value and consistency with the P/E leg</t>
  </si>
  <si>
    <t xml:space="preserve">RL venture value -$25B (A1), -$41B (A5), -$55B (A4), -$60B (A3), -$94B (A2). A1, A2, A3 and A5 also run a P/E leg on consolidated EPS, which capitalises RL losses at 19-21x in that leg.</t>
  </si>
  <si>
    <t xml:space="preserve">Value RL once at -$53B: 70% glide of after-tax losses to zero by ~2036 (PV -$45.3B at 9%), 30% persistence (PV -$103.7B), +$10B glasses option. Put the P/E leg on core EPS ex RL (A4's structure), as the playbook's venture rule requires.</t>
  </si>
  <si>
    <t xml:space="preserve">Q3-26 release: RL loss $18-19B in 2026, 'around $15B' in 2027, the first declines after rising every year 2021-25; playbook trap rule on loss-making ventures.</t>
  </si>
  <si>
    <t xml:space="preserve">FY2027-28 ad growth (price per ad)</t>
  </si>
  <si>
    <t xml:space="preserve">2027 ads +16.6% (A3), +17.7% (A2), +18.8% (A5), +19.9% (A1, A4).</t>
  </si>
  <si>
    <t xml:space="preserve">Impressions +8% / +7%, price +10% / +7%: ads +18.8% in 2027, total revenue $308.0B.</t>
  </si>
  <si>
    <t xml:space="preserve">Q1-Q3 2026 releases: impressions +19/+14/+10%, price +12/+12/+14%, DAP +3%. WARC Q3-26 (opened): social ad spend +21.3% in 2026 and +14.6% in 2027. Meta grew ads ~28% in 2026, a ~6-7pt share gain over social.</t>
  </si>
  <si>
    <t xml:space="preserve">Capex path and the D&amp;A wave / FoA margin</t>
  </si>
  <si>
    <t xml:space="preserve">FY2028 capex: $200B (A2), $205B (A3), $236B (A1, A4), $252B (A5, with $205B in 2027). FY2028 FoA margin 33.4% (A3) to 38.5% (A2). D&amp;A FY2028 $62-75B.</t>
  </si>
  <si>
    <t xml:space="preserve">Capex $141B / $192B / $236B on the AI capex file base. D&amp;A $27.9B / $46.5B / $66B from a vintage model calibrated to FY2025-26. FoA margin 38.8% / 37.2% / 34.0% from cash costs +20% / +12.5%.</t>
  </si>
  <si>
    <t xml:space="preserve">Q3-26 release: 2026 capex guide $135-145B; first guides overshot by +21% (2024) and +16% (2025), and the 2026 guide rose +12% on its midpoint (AI capex file, confirmed rows). Q3-26 cash costs ex D&amp;A and legal ran +34% y/y. A2, A3 and A5 departed from the file base without newer primary evidence.</t>
  </si>
  <si>
    <t xml:space="preserve">Horizon multiple and peer set</t>
  </si>
  <si>
    <t xml:space="preserve">20x consolidated (A1, A3), 19x (A2), 21x (A5), 18.5x core (A4); FoA EV/EBIT 15.5-16.5x. Value-equivalent core multiples are 17.7-18.9x.</t>
  </si>
  <si>
    <t xml:space="preserve">18.5x core NTM EPS (GOOGL parity-plus) and 15.5x FoA EV/EBIT. Peer median 23.7x NTM on Zacks consensus (mixed provider EPS basis, cross-check only; GAAP TTM median 19.9x from filings) after dropping AAPL, ORCL, SNAP and TTD, so ~22% below the NTM median, justified by negative FCF through 2028, uncapped litigation and Class C issuance capacity.</t>
  </si>
  <si>
    <t xml:space="preserve">secfacts peers (2026-10-23): GOOGL 16.1x TTM / 18.0x NTM, MSFT 29.1 / 26.7, AMZN 19.8 / 26.6, NFLX 18.3 / 17.8, APP 19.9 / 14.6, PINS 50.5 / 35.8. TTD 15.0x TTM vs 25.7x NTM on -2% EPS growth is internally inconsistent, so it was dropped.</t>
  </si>
  <si>
    <t xml:space="preserve">SBC and share count</t>
  </si>
  <si>
    <t xml:space="preserve">Shares +0.5%/yr (A1, A2), 0% (A3, A4), +1%/yr (A5), all with SBC costed in EPS.</t>
  </si>
  <si>
    <t xml:space="preserve">Hold shares flat with SBC costed. A5's +1% counts SBC twice (~-$7/share).</t>
  </si>
  <si>
    <t xml:space="preserve">Diluted count 2,574M FY2025 (F30) vs 2,573M Q3-26 (F33) with zero buybacks (F67); 10-Q: no repurchases in 2026.</t>
  </si>
  <si>
    <t xml:space="preserve">Non-marketable equity investments</t>
  </si>
  <si>
    <t xml:space="preserve">Only A1 and A5 add them (+$24.5B at 75%); A2, A3 and A4 omit them.</t>
  </si>
  <si>
    <t xml:space="preserve">Add $32,624M x 0.75 = +$24.5B (+$9.5/share), with no extra holdco discount because the 25% haircut already covers tax and illiquidity.</t>
  </si>
  <si>
    <t xml:space="preserve">10-Q (opened): carrying value of non-marketable equity investments $32,624M at 2026-09-30.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</si>
  <si>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</si>
  <si>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</si>
  <si>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</si>
  <si>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</si>
  <si>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</si>
  <si>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research target (12m)</t>
  </si>
  <si>
    <t xml:space="preserve">692.71</t>
  </si>
  <si>
    <t xml:space="preserve">659.48</t>
  </si>
  <si>
    <t xml:space="preserve">Engine value of the reconciled driver set: full litigation (NM $25B penalty, $19.9B accruals), RL valued once at -$53B with the P/E on core EPS, capex on the AI file base and GOOGL-anchored multiples; mean of forecasters was 692.71.</t>
  </si>
  <si>
    <t xml:space="preserve">P(close &gt;= K) for K = 321-1285</t>
  </si>
  <si>
    <t xml:space="preserve">[0.981, 0.93, 0.855, 0.769, 0.671, 0.56, 0.449, 0.348, 0.225, 0.139, 0.056, 0.02]</t>
  </si>
  <si>
    <t xml:space="preserve">[0.974, 0.917, 0.838, 0.747, 0.644, 0.53, 0.419, 0.322, 0.204, 0.125, 0.049, 0.018]</t>
  </si>
  <si>
    <t xml:space="preserve">Distribution shifted ~2.5% lower (median ~$656) to reflect the lower research target and the litigation facts three forecasters missed, while staying anchored near the price.</t>
  </si>
  <si>
    <t xml:space="preserve">thesis break</t>
  </si>
  <si>
    <t xml:space="preserve">487.0</t>
  </si>
  <si>
    <t xml:space="preserve">490.0</t>
  </si>
  <si>
    <t xml:space="preserve">~24% below spot and under the $520 52-week low; ~13.9x core NTM EPS.</t>
  </si>
  <si>
    <t xml:space="preserve">fact: New Mexico penalty in agent_1 / agent_4 / agent_5 valuations ($M)</t>
  </si>
  <si>
    <t xml:space="preserve">375.0</t>
  </si>
  <si>
    <t xml:space="preserve">25000.0</t>
  </si>
  <si>
    <t xml:space="preserve">10-Q Note 10: on 2026-10-21 the court imposed a $25B civil penalty at 15% interest in the privacy case; the $375M is the separate youth verdict.</t>
  </si>
  <si>
    <t xml:space="preserve">fact: accrued legal liabilities deducted by agent_1 / agent_4 ($M)</t>
  </si>
  <si>
    <t xml:space="preserve">9890.0</t>
  </si>
  <si>
    <t xml:space="preserve">19881.0</t>
  </si>
  <si>
    <t xml:space="preserve">10-Q: legal accruals $11,577M current + $8,304M non-current at 2026-09-30 (agent_5 deducted 0).</t>
  </si>
  <si>
    <t xml:space="preserve">FY2028 capex for agent_2 / agent_3 ($M)</t>
  </si>
  <si>
    <t xml:space="preserve">202500.0</t>
  </si>
  <si>
    <t xml:space="preserve">236000.0</t>
  </si>
  <si>
    <t xml:space="preserve">AI capex file base (2027 consensus x 1.10 = $192B; Big-4 2028 +23%); no newer primary evidence for a lower path.</t>
  </si>
  <si>
    <t xml:space="preserve">agent_5 share count annual change</t>
  </si>
  <si>
    <t xml:space="preserve">0.01</t>
  </si>
  <si>
    <t xml:space="preserve">0.0</t>
  </si>
  <si>
    <t xml:space="preserve">Diluted count flat (F30 2,574M vs F33 2,573M) with no buybacks; SBC already costed in EPS.</t>
  </si>
  <si>
    <t xml:space="preserve">Reality Labs venture value ($M; forecaster median)</t>
  </si>
  <si>
    <t xml:space="preserve">-55000.0</t>
  </si>
  <si>
    <t xml:space="preserve">-53000.0</t>
  </si>
  <si>
    <t xml:space="preserve">70/30 glide vs persistence scenario PV at 9% plus a $10B glasses option, valued once and outside the core multiple.</t>
  </si>
  <si>
    <t xml:space="preserve">Citation audit (2026-10-27)</t>
  </si>
  <si>
    <t xml:space="preserve">{'item': 'guidance_check total expenses FY2026: guide basis', 'from': 'GAAP total costs and expenses incl. $12.3B legal charges and $1.18B severance', 'to': "GAAP total costs and expenses; includes the Q3 $9.89B legal charge (src 1) and Q2's $2.40B legal charges and $1.18B May-2026 severance (src 9): legal charges $12.29B (~$12.3B) in 2026", 'source': "Q3-26 release (src 1): '$175-179 billion', $9.89B charge; Q2-26 release (src 9): $2.40B legal charges and $1.18B severance"}</t>
  </si>
  <si>
    <t xml:space="preserve">{'item': 'guidance_check total expenses FY2024 actual (cited source)', 'from': 'cited to the Q3-2023 release only', 'to': '95,121 cited to the Q4/FY2024 release (src 13)', 'source': 'https://www.sec.gov/Archives/edgar/data/1326801/000132680125000014/meta-12312024xexhibit991.htm'}</t>
  </si>
  <si>
    <t xml:space="preserve">{'item': 'guidance_check capex FY2024 actual (cited source)', 'from': 'cited to the Q3-2023 release only', 'to': '39,230 cited to the Q4/FY2024 release (src 13)', 'source': 'https://www.sec.gov/Archives/edgar/data/1326801/000132680125000014/meta-12312024xexhibit991.htm'}</t>
  </si>
  <si>
    <t xml:space="preserve">{'item': 'guidance_check Q4-2026 revenue consensus', 'from': '74937 (Alpha Vantage, 2026-10-25)', 'to': 'removed (null): no openable dated revenue consensus (Alpha Vantage needs a key; Nasdaq/Zacks snapshot has EPS only; Twelve Data revenue estimates not on this plan)', 'source': 'n/a'}</t>
  </si>
  <si>
    <t xml:space="preserve">{'item': 'guidance_check RL loss FY2026 period labels', 'from': 'first guide 19193 and actual 18475 labelled guidance / reported actual', 'to': 'both basis estimate with derivation (anchor = FY2025 RL loss 19,193; actual = 9M 12,775 + Q4 est 5,700), confidence medium', 'source': 'src 6 (FY2025 release), src 1 (Q3-26 release)'}</t>
  </si>
  <si>
    <t xml:space="preserve">{'item': 'guidance_check RL loss FY2027 track-record count (beat/inside/miss)', 'from': '0/1/0', 'to': '0/0/1', 'source': 'own rule: 18,475 &lt; low 19,193 = miss (below the low end)'}</t>
  </si>
  <si>
    <t xml:space="preserve">{'item': 'shares (horizon 2,613M)', 'from': 'basis reported', 'to': 'basis estimate: 2,573 (10-Q) + 40 (pricing term sheet) = 2,613, confidence high', 'source': 'src 2 (10-Q), src 26 (FWP pricing term sheet)'}</t>
  </si>
  <si>
    <t xml:space="preserve">{'item': 'Series A mandatory convertible preferred (balance.preferred)', 'from': '$12,662.5M, basis reported', 'to': '$12,662.5M, basis estimate: 12,500 face + 12,500 x 6.5% x 72/360 = 162.5 accrued; no value change', 'source': 'src 26 (pricing term sheet: 12.5M x $1,000, 6.50%)'}</t>
  </si>
  <si>
    <t xml:space="preserve">{'item': "thesis break: '2022 trough' multiple", 'from': '~14x core NTM EPS, the 2022 trough (no source)', 'to': 'claim removed; ~14x kept as derived: (490 + ~30 adjustments/share) / 36.9 = 14.1x; price $490 unchanged', 'source': 'model_engine.py check (core NTM EPS $36.9, adjustments ~$30/share)'}</t>
  </si>
  <si>
    <t xml:space="preserve">{'item': 'consensus revenue FY2027', 'from': '$311.3B (+21%), Alpha Vantage', 'to': 'removed from disagreements and reasoning (no openable dated revenue consensus); our $308.0B unchanged', 'source': 'n/a'}</t>
  </si>
  <si>
    <t xml:space="preserve">{'item': 'Big-4 2028 capex growth in AI capex file base', 'from': '+26%', 'to': '+23% ($1,080B -&gt; $1,330B); FY2028 capex $236B (x1.23) unchanged', 'source': 'file:///mnt/project-files/adhoc/nvda_customer_capex.md'}</t>
  </si>
  <si>
    <t xml:space="preserve">{'item': 'Wells Fargo 2027 Meta capex (variant)', 'from': '~$250B cited to SEC XBRL companyfacts', 'to': '~$250B cited to Yahoo Finance 2026-10-22 (src 30); variant only, bear story corrected (+10% = ~$211B)', 'source': 'https://finance.yahoo.com/video/wells-fargo-cuts-meta-price-002001458.html'}</t>
  </si>
  <si>
    <t xml:space="preserve">{'item': 'founder voting control', 'from': '~61% of votes, basis reported', 'to': 'Class B ~61% of combined votes, derived from 10-Q cover counts (60.7%), basis estimate; founder control per 424B5 wording', 'source': 'src 2 (10-Q cover), src 28 (424B5)'}</t>
  </si>
  <si>
    <t xml:space="preserve">{'item': 'peer_median_pe_ntm (7 peers)', 'from': "23.7x labelled reconciled NTM median, Alpha Vantage 'fiscal-year blend', basis unstated", 'to': '23.7x kept as estimate cross-check with window and EPS basis stated (Zacks via Nasdaq; MSFT time-matched); GAAP TTM median 19.9x from filings added as the basis-consistent reference; 18.5x multiple (judgment) unchanged', 'source': 'runs/2026-10-27/META/peers.md / peers.json ids *.pe_ntm, *.pe_ttm'}</t>
  </si>
  <si>
    <t xml:space="preserve">Sizing</t>
  </si>
  <si>
    <t xml:space="preserve">max weight pct</t>
  </si>
  <si>
    <t xml:space="preserve">confidence</t>
  </si>
  <si>
    <t xml:space="preserve">entry</t>
  </si>
  <si>
    <t xml:space="preserve">2 tranches: half after the Oct 28-30 hyperscaler capex calls, half after Q4 results (~2027-01-28) with the first 2027 capex and expense guides</t>
  </si>
  <si>
    <t xml:space="preserve">overlap</t>
  </si>
  <si>
    <t xml:space="preserve">GOOGL and AMZN (digital ads plus AI capex); NVDA and AMAT sit on the supply side of the same AI capex (Meta's capex is their revenue, a partial hedge on capex news but the same AI-sentiment factor); NFLX (attention/ad budgets)</t>
  </si>
  <si>
    <t xml:space="preserve">reason</t>
  </si>
  <si>
    <t xml:space="preserve">Liquid mega-cap with only ~3% upside to the research target and ~35-43% volatility, so beating SPY's Sharpe is less likely than not. The AI-capex factor is already large in the book (AMAT ~15%), and the late-January capex guide plus NM appeal are near-term event risks.</t>
  </si>
  <si>
    <t xml:space="preserve">open flags</t>
  </si>
  <si>
    <t xml:space="preserve">["New Mexico $25B civil penalty at 15% post-judgment interest is on appeal; Meta's accrual is undisclosed (10-Q Note 10)"]</t>
  </si>
  <si>
    <t xml:space="preserve">META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</si>
  <si>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</si>
  <si>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</si>
  <si>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</si>
  <si>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</si>
  <si>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</si>
  <si>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</si>
  <si>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</si>
  <si>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Meta Q3 2026 results press release (8-K EX-99.1)</t>
  </si>
  <si>
    <t xml:space="preserve">2026-10-21</t>
  </si>
  <si>
    <t xml:space="preserve">https://www.sec.gov/Archives/edgar/data/1326801/000162828026066700/meta-09302026xexhibit991.htm</t>
  </si>
  <si>
    <t xml:space="preserve">A1.2</t>
  </si>
  <si>
    <t xml:space="preserve">Meta Form 10-Q for quarter ended 2026-09-30 (commitments, VIE guarantees, litigation, share count)</t>
  </si>
  <si>
    <t xml:space="preserve">2026-10-22</t>
  </si>
  <si>
    <t xml:space="preserve">https://www.sec.gov/Archives/edgar/data/1326801/000162828026066773/meta-20260930.htm</t>
  </si>
  <si>
    <t xml:space="preserve">A1.3</t>
  </si>
  <si>
    <t xml:space="preserve">Meta Q3 2026 earnings call transcript (Meta IR)</t>
  </si>
  <si>
    <t xml:space="preserve">https://s21.q4cdn.com/399680738/files/content_files/META-Q3-2026-Earnings-Call-Transcript.pdf</t>
  </si>
  <si>
    <t xml:space="preserve">A1.4</t>
  </si>
  <si>
    <t xml:space="preserve">Meta Q2 2026 earnings call transcript (Meta IR)</t>
  </si>
  <si>
    <t xml:space="preserve">2026-07-29</t>
  </si>
  <si>
    <t xml:space="preserve">https://s21.q4cdn.com/399680738/files/doc_financials/2026/q2/META-Q2-2026-Earnings-Call-Transcript.pdf</t>
  </si>
  <si>
    <t xml:space="preserve">A1.5</t>
  </si>
  <si>
    <t xml:space="preserve">Meta 8-K Item 1.01: Class C recapitalization, stock dividend and Founder Alignment Agreement</t>
  </si>
  <si>
    <t xml:space="preserve">https://www.sec.gov/Archives/edgar/data/1326801/000162828026066700/meta-20261019.htm</t>
  </si>
  <si>
    <t xml:space="preserve">A1.6</t>
  </si>
  <si>
    <t xml:space="preserve">Meta Q4/FY2025 results press release (EX-99.1)</t>
  </si>
  <si>
    <t xml:space="preserve">2026-01-28</t>
  </si>
  <si>
    <t xml:space="preserve">https://www.sec.gov/Archives/edgar/data/1326801/000162828026003832/meta-12312025xexhibit991.htm</t>
  </si>
  <si>
    <t xml:space="preserve">A1.7</t>
  </si>
  <si>
    <t xml:space="preserve">Meta Form 10-K FY2025</t>
  </si>
  <si>
    <t xml:space="preserve">2026-01-29</t>
  </si>
  <si>
    <t xml:space="preserve">https://www.sec.gov/Archives/edgar/data/1326801/000162828026003942/meta-20251231.htm</t>
  </si>
  <si>
    <t xml:space="preserve">A1.8</t>
  </si>
  <si>
    <t xml:space="preserve">Meta Q1 2026 results press release (EX-99.1)</t>
  </si>
  <si>
    <t xml:space="preserve">2026-04-29</t>
  </si>
  <si>
    <t xml:space="preserve">https://www.sec.gov/Archives/edgar/data/1326801/000162828026028364/meta-03312026xexhibit991.htm</t>
  </si>
  <si>
    <t xml:space="preserve">A1.9</t>
  </si>
  <si>
    <t xml:space="preserve">Meta Q2 2026 results press release (EX-99.1)</t>
  </si>
  <si>
    <t xml:space="preserve">https://www.sec.gov/Archives/edgar/data/1326801/000162828026050596/meta-06302026xexhibit991.htm</t>
  </si>
  <si>
    <t xml:space="preserve">A1.10</t>
  </si>
  <si>
    <t xml:space="preserve">Meta Q3 2025 results press release (EX-99.1)</t>
  </si>
  <si>
    <t xml:space="preserve">2025-10-29</t>
  </si>
  <si>
    <t xml:space="preserve">https://www.sec.gov/Archives/edgar/data/1326801/000162828025047114/meta-09302025xexhibit991.htm</t>
  </si>
  <si>
    <t xml:space="preserve">A1.11</t>
  </si>
  <si>
    <t xml:space="preserve">Meta Q2 2025 results press release (EX-99.1)</t>
  </si>
  <si>
    <t xml:space="preserve">2025-07-30</t>
  </si>
  <si>
    <t xml:space="preserve">https://www.sec.gov/Archives/edgar/data/1326801/000162828025036719/meta-06302025xexhibit991.htm</t>
  </si>
  <si>
    <t xml:space="preserve">A1.12</t>
  </si>
  <si>
    <t xml:space="preserve">Meta Q1 2025 results press release (EX-99.1)</t>
  </si>
  <si>
    <t xml:space="preserve">2025-04-30</t>
  </si>
  <si>
    <t xml:space="preserve">https://www.sec.gov/Archives/edgar/data/1326801/000132680125000050/meta-03312025xexhibit991.htm</t>
  </si>
  <si>
    <t xml:space="preserve">A1.13</t>
  </si>
  <si>
    <t xml:space="preserve">Meta Q4/FY2024 results press release (EX-99.1)</t>
  </si>
  <si>
    <t xml:space="preserve">2025-01-29</t>
  </si>
  <si>
    <t xml:space="preserve">https://www.sec.gov/Archives/edgar/data/1326801/000132680125000014/meta-12312024xexhibit991.htm</t>
  </si>
  <si>
    <t xml:space="preserve">A1.14</t>
  </si>
  <si>
    <t xml:space="preserve">Meta Q3 2024 results press release (EX-99.1)</t>
  </si>
  <si>
    <t xml:space="preserve">2024-10-30</t>
  </si>
  <si>
    <t xml:space="preserve">https://www.sec.gov/Archives/edgar/data/1326801/000132680124000077/meta-09302024xexhibit991.htm</t>
  </si>
  <si>
    <t xml:space="preserve">A1.15</t>
  </si>
  <si>
    <t xml:space="preserve">Meta Q2 2024 results press release (EX-99.1)</t>
  </si>
  <si>
    <t xml:space="preserve">2024-07-31</t>
  </si>
  <si>
    <t xml:space="preserve">https://www.sec.gov/Archives/edgar/data/1326801/000132680124000065/meta-06302024xexhibit991.htm</t>
  </si>
  <si>
    <t xml:space="preserve">A1.16</t>
  </si>
  <si>
    <t xml:space="preserve">Meta Q4/FY2023 results press release (EX-99.1)</t>
  </si>
  <si>
    <t xml:space="preserve">2024-02-01</t>
  </si>
  <si>
    <t xml:space="preserve">https://www.sec.gov/Archives/edgar/data/1326801/000132680124000010/meta-12312023xexhibit991.htm</t>
  </si>
  <si>
    <t xml:space="preserve">A1.17</t>
  </si>
  <si>
    <t xml:space="preserve">Meta Q3 2023 results press release (EX-99.1)</t>
  </si>
  <si>
    <t xml:space="preserve">2023-10-25</t>
  </si>
  <si>
    <t xml:space="preserve">https://www.sec.gov/Archives/edgar/data/1326801/000132680123000100/meta09302023-exhibit991.htm</t>
  </si>
  <si>
    <t xml:space="preserve">A1.18</t>
  </si>
  <si>
    <t xml:space="preserve">Meta Q3 2022 results press release (EX-99.1)</t>
  </si>
  <si>
    <t xml:space="preserve">2022-10-26</t>
  </si>
  <si>
    <t xml:space="preserve">https://www.sec.gov/Archives/edgar/data/1326801/000132680122000105/meta09302022-exhibit991.htm</t>
  </si>
  <si>
    <t xml:space="preserve">A1.19</t>
  </si>
  <si>
    <t xml:space="preserve">Alpha Vantage EARNINGS_ESTIMATES, META (FY2026/FY2027 and quarterly consensus EPS and revenue)</t>
  </si>
  <si>
    <t xml:space="preserve">2026-10-25</t>
  </si>
  <si>
    <t xml:space="preserve">https://www.alphavantage.co/query?function=EARNINGS_ESTIMATES&amp;symbol=META</t>
  </si>
  <si>
    <t xml:space="preserve">A1.20</t>
  </si>
  <si>
    <t xml:space="preserve">Run peer comps table peers.md (trailing from SEC filings, NTM from saved consensus snapshot)</t>
  </si>
  <si>
    <t xml:space="preserve">file:///mnt/project-files/valuation/runs/2026-10-23/META/peers.md</t>
  </si>
  <si>
    <t xml:space="preserve">A1.21</t>
  </si>
  <si>
    <t xml:space="preserve">AI capex standing view: NVDA customer capex (Big-4 2026-28 low/base/high, Meta guide history)</t>
  </si>
  <si>
    <t xml:space="preserve">2026-10-05</t>
  </si>
  <si>
    <t xml:space="preserve">file:///mnt/project-files/adhoc/nvda_customer_capex.md</t>
  </si>
  <si>
    <t xml:space="preserve">A1.22</t>
  </si>
  <si>
    <t xml:space="preserve">SEC XBRL companyfacts, Meta (fact pack F-ids)</t>
  </si>
  <si>
    <t xml:space="preserve">https://data.sec.gov/api/xbrl/companyfacts/CIK0001326801.json</t>
  </si>
  <si>
    <t xml:space="preserve">A2.1</t>
  </si>
  <si>
    <t xml:space="preserve">agent_2</t>
  </si>
  <si>
    <t xml:space="preserve">Meta Q3 2026 results press release (8-K ex.99.1)</t>
  </si>
  <si>
    <t xml:space="preserve">A2.2</t>
  </si>
  <si>
    <t xml:space="preserve">Meta Form 10-Q for the quarter ended 2026-09-30</t>
  </si>
  <si>
    <t xml:space="preserve">A2.3</t>
  </si>
  <si>
    <t xml:space="preserve">Meta Form 10-K for FY2025</t>
  </si>
  <si>
    <t xml:space="preserve">A2.4</t>
  </si>
  <si>
    <t xml:space="preserve">Meta Q4 and FY2025 results press release (8-K ex.99.1)</t>
  </si>
  <si>
    <t xml:space="preserve">A2.5</t>
  </si>
  <si>
    <t xml:space="preserve">Meta Q2 2026 results press release (8-K ex.99.1)</t>
  </si>
  <si>
    <t xml:space="preserve">https://www.sec.gov/Archives/edgar/data/0001326801/000162828026050596/meta-06302026xexhibit991.htm</t>
  </si>
  <si>
    <t xml:space="preserve">A2.6</t>
  </si>
  <si>
    <t xml:space="preserve">Meta Q1 2026 results press release (8-K ex.99.1)</t>
  </si>
  <si>
    <t xml:space="preserve">https://www.sec.gov/Archives/edgar/data/0001326801/000162828026028364/meta-03312026xexhibit991.htm</t>
  </si>
  <si>
    <t xml:space="preserve">A2.7</t>
  </si>
  <si>
    <t xml:space="preserve">Meta Q4 and FY2024 results press release (8-K ex.99.1)</t>
  </si>
  <si>
    <t xml:space="preserve">A2.8</t>
  </si>
  <si>
    <t xml:space="preserve">Meta Q2 2025 results press release (8-K ex.99.1)</t>
  </si>
  <si>
    <t xml:space="preserve">A2.9</t>
  </si>
  <si>
    <t xml:space="preserve">Meta Q3 2025 results press release (ex.99.1 PDF)</t>
  </si>
  <si>
    <t xml:space="preserve">https://s21.q4cdn.com/399680738/files/doc%5Ffinancials/2025/q3/Meta-09-30-2025-Exhibit-99-1-Final.pdf</t>
  </si>
  <si>
    <t xml:space="preserve">A2.10</t>
  </si>
  <si>
    <t xml:space="preserve">Investing.com: Meta Q3 2026 earnings call transcript</t>
  </si>
  <si>
    <t xml:space="preserve">https://www.investing.com/news/transcripts/earnings-call-transcript-meta-beats-q3-2026-estimates-as-ai-push-lifts-shares-93CH-4964260</t>
  </si>
  <si>
    <t xml:space="preserve">A2.11</t>
  </si>
  <si>
    <t xml:space="preserve">Alpha Vantage EARNINGS_ESTIMATES for META (FY2026/FY2027 EPS and revenue consensus, analyst counts)</t>
  </si>
  <si>
    <t xml:space="preserve">A2.12</t>
  </si>
  <si>
    <t xml:space="preserve">Run peer comps table peers.md (filing trailing multiples + saved consensus snapshot)</t>
  </si>
  <si>
    <t xml:space="preserve">/mnt/attach/project-files/valuation/runs/2026-10-23/META/peers.md</t>
  </si>
  <si>
    <t xml:space="preserve">A2.13</t>
  </si>
  <si>
    <t xml:space="preserve">PPC Land: WARC forecasts social media ad spend +21.3% to $394.6bn in 2026 (WARC Global Ad Spend Outlook Q3 2026)</t>
  </si>
  <si>
    <t xml:space="preserve">2026-10-11</t>
  </si>
  <si>
    <t xml:space="preserve">https://ppc.land/warc-forecasts-social-media-ad-spend-gains-21-3-to-394-6bn-in-2026/</t>
  </si>
  <si>
    <t xml:space="preserve">A2.14</t>
  </si>
  <si>
    <t xml:space="preserve">IAB 2H 2026 Ad Spend Outlook Study (US ad spend +12.3% in 2026, social +16.5%)</t>
  </si>
  <si>
    <t xml:space="preserve">2026-09</t>
  </si>
  <si>
    <t xml:space="preserve">https://www.iab.com/wp-content/uploads/2026/09/IAB_2H_2026_Ad_Spend_Outlook_Study.pdf</t>
  </si>
  <si>
    <t xml:space="preserve">A2.15</t>
  </si>
  <si>
    <t xml:space="preserve">WARC: TikTok US ad revenue forecast to hit $14.5bn in 2026</t>
  </si>
  <si>
    <t xml:space="preserve">2026</t>
  </si>
  <si>
    <t xml:space="preserve">https://www.warc.com/content/article/warc-curated-datapoints/tiktok-us-ad-revenue-forecast-to-hit-145bn-in-2026-38-of-its-global-revenue/162277</t>
  </si>
  <si>
    <t xml:space="preserve">A2.16</t>
  </si>
  <si>
    <t xml:space="preserve">PPC Land: Google Search ads gain 17% to $63.3 billion while Network drops 1% (Alphabet Q2 2026)</t>
  </si>
  <si>
    <t xml:space="preserve">2026-07</t>
  </si>
  <si>
    <t xml:space="preserve">https://ppc.land/google-search-ads-gain-17-to-63-3-billion-while-network-drops-1/</t>
  </si>
  <si>
    <t xml:space="preserve">A2.17</t>
  </si>
  <si>
    <t xml:space="preserve">PPC Land: Amazon advertising gains 26% to $19.8 billion (Q2 2026)</t>
  </si>
  <si>
    <t xml:space="preserve">2026-07-30</t>
  </si>
  <si>
    <t xml:space="preserve">https://ppc.land/amazon-advertising-gains-26-to-19-8-billion-as-sports-inventory-sells-out/</t>
  </si>
  <si>
    <t xml:space="preserve">A2.18</t>
  </si>
  <si>
    <t xml:space="preserve">PPC Land: Snap ad prices gain 10% as advertising revenue rises just 9% (Q2 2026)</t>
  </si>
  <si>
    <t xml:space="preserve">2026-08</t>
  </si>
  <si>
    <t xml:space="preserve">https://ppc.land/snap-ad-prices-gain-10-as-advertising-revenue-rises-just-9/</t>
  </si>
  <si>
    <t xml:space="preserve">A2.19</t>
  </si>
  <si>
    <t xml:space="preserve">Reddit Q2 2026 results press release (8-K)</t>
  </si>
  <si>
    <t xml:space="preserve">https://www.sec.gov/Archives/edgar/data/0001713445/000171344526000098/earningspressreleaseq226.htm</t>
  </si>
  <si>
    <t xml:space="preserve">A2.20</t>
  </si>
  <si>
    <t xml:space="preserve">Pinterest Q2 2026 results press release (8-K)</t>
  </si>
  <si>
    <t xml:space="preserve">2026-08-04</t>
  </si>
  <si>
    <t xml:space="preserve">https://www.sec.gov/Archives/edgar/data/0001506293/000150629326000102/q2-26xpressrelease.htm</t>
  </si>
  <si>
    <t xml:space="preserve">A2.21</t>
  </si>
  <si>
    <t xml:space="preserve">DatacenterDynamics: Meta signs $21bn AI infrastructure contract with CoreWeave</t>
  </si>
  <si>
    <t xml:space="preserve">2026-04-09</t>
  </si>
  <si>
    <t xml:space="preserve">https://www.datacenterdynamics.com/en/news/meta-signs-21bn-ai-infrastructure-contract-with-coreweave/</t>
  </si>
  <si>
    <t xml:space="preserve">A2.22</t>
  </si>
  <si>
    <t xml:space="preserve">Nebius newsroom: Nebius signs new AI infrastructure agreement with Meta ($12bn dedicated, up to $27bn)</t>
  </si>
  <si>
    <t xml:space="preserve">2026-03-16</t>
  </si>
  <si>
    <t xml:space="preserve">https://nebius.com/newsroom/nebius-signs-new-ai-infrastructure-agreement-with-meta</t>
  </si>
  <si>
    <t xml:space="preserve">A2.23</t>
  </si>
  <si>
    <t xml:space="preserve">TrendForce press release: 4Q26 conventional DRAM contract prices</t>
  </si>
  <si>
    <t xml:space="preserve">2026-09-30</t>
  </si>
  <si>
    <t xml:space="preserve">https://www.trendforce.com/presscenter/news/20260930-13258.html</t>
  </si>
  <si>
    <t xml:space="preserve">A2.24</t>
  </si>
  <si>
    <t xml:space="preserve">Standing AI-capex input: nvda_customer_capex.md (Big-4 capex guides, 2027 consensus, guide-to-actual base rates)</t>
  </si>
  <si>
    <t xml:space="preserve">/mnt/project-files/adhoc/nvda_customer_capex.md</t>
  </si>
  <si>
    <t xml:space="preserve">A2.25</t>
  </si>
  <si>
    <t xml:space="preserve">MS 2026-10-04, SPCX $159: Cheap and Getting Cheaper, p.4 (compute rental pricing; 2028 EV/EBIT/growth incl. META 0.82x)</t>
  </si>
  <si>
    <t xml:space="preserve">2026-10-04</t>
  </si>
  <si>
    <t xml:space="preserve">valuation/broker/digests/upload_8498b606.json</t>
  </si>
  <si>
    <t xml:space="preserve">A2.26</t>
  </si>
  <si>
    <t xml:space="preserve">Mobile World Live: EC signs off on Meta option to cut use of personal data for ads</t>
  </si>
  <si>
    <t xml:space="preserve">2025-12-08</t>
  </si>
  <si>
    <t xml:space="preserve">https://www.mobileworldlive.com/meta/ec-signs-off-on-meta-option-to-cut-use-of-personal-data-for-ads/</t>
  </si>
  <si>
    <t xml:space="preserve">A2.27</t>
  </si>
  <si>
    <t xml:space="preserve">Insurance Journal: Meta settles first case over school costs tied to youth mental health</t>
  </si>
  <si>
    <t xml:space="preserve">2026-05-22</t>
  </si>
  <si>
    <t xml:space="preserve">https://www.insurancejournal.com/news/national/2026/05/22/871046.htm</t>
  </si>
  <si>
    <t xml:space="preserve">A2.28</t>
  </si>
  <si>
    <t xml:space="preserve">Education Week: Jury finds Meta platforms harm children; why school districts are eyeing this verdict</t>
  </si>
  <si>
    <t xml:space="preserve">2026-03</t>
  </si>
  <si>
    <t xml:space="preserve">https://www.edweek.org/leadership/jury-finds-meta-platforms-harm-children-why-school-districts-are-eyeing-this-verdict/2026/03</t>
  </si>
  <si>
    <t xml:space="preserve">A2.29</t>
  </si>
  <si>
    <t xml:space="preserve">TechCrunch: Threads edges out X in daily mobile users (Similarweb)</t>
  </si>
  <si>
    <t xml:space="preserve">2026-01-18</t>
  </si>
  <si>
    <t xml:space="preserve">https://techcrunch.com/2026/01/18/threads-edges-out-x-in-daily-mobile-users-new-data-shows</t>
  </si>
  <si>
    <t xml:space="preserve">A2.30</t>
  </si>
  <si>
    <t xml:space="preserve">eMarketer: Meta ad revenues will surpass $240 billion this year</t>
  </si>
  <si>
    <t xml:space="preserve">https://www.emarketer.com/content/meta-ad-revenues-will-surpass--240-billion-this-year</t>
  </si>
  <si>
    <t xml:space="preserve">A2.31</t>
  </si>
  <si>
    <t xml:space="preserve">Acceler8 (agency newsletter): Your Meta CPMs are up 172% since January</t>
  </si>
  <si>
    <t xml:space="preserve">https://acceler8.beehiiv.com/p/your-meta-cpms-are-up-172-since-january</t>
  </si>
  <si>
    <t xml:space="preserve">A3.1</t>
  </si>
  <si>
    <t xml:space="preserve">agent_3</t>
  </si>
  <si>
    <t xml:space="preserve">Meta Platforms 10-Q for quarter ended 2026-09-30 (legal accruals, AG agreement terms, New Mexico, data-center VIEs, commitments, leases not commenced, buyback authorization)</t>
  </si>
  <si>
    <t xml:space="preserve">A3.2</t>
  </si>
  <si>
    <t xml:space="preserve">Meta Q3 2026 earnings release (Exhibit 99.1): results, segment data, impressions/price, Q4 and 2026 outlook, 2027 RL comment</t>
  </si>
  <si>
    <t xml:space="preserve">A3.3</t>
  </si>
  <si>
    <t xml:space="preserve">Meta 8-K: Class C recapitalization, stock dividend, Founder Alignment Agreement</t>
  </si>
  <si>
    <t xml:space="preserve">A3.4</t>
  </si>
  <si>
    <t xml:space="preserve">Meta Q4/FY2025 earnings release (Exhibit 99.1): FY2025 segments, impressions/price, 2026 first guides</t>
  </si>
  <si>
    <t xml:space="preserve">A3.5</t>
  </si>
  <si>
    <t xml:space="preserve">Meta Q1 2026 earnings release (Exhibit 99.1)</t>
  </si>
  <si>
    <t xml:space="preserve">A3.6</t>
  </si>
  <si>
    <t xml:space="preserve">Meta Q2 2026 earnings release (Exhibit 99.1)</t>
  </si>
  <si>
    <t xml:space="preserve">A3.7</t>
  </si>
  <si>
    <t xml:space="preserve">Meta Q3 2025 earnings release (Exhibit 99.1): Q4 2025 revenue guide $56-59B; FY2025 expenses $116-118B updated from $114-118B</t>
  </si>
  <si>
    <t xml:space="preserve">A3.8</t>
  </si>
  <si>
    <t xml:space="preserve">Meta 10-K for FY2025</t>
  </si>
  <si>
    <t xml:space="preserve">A3.9</t>
  </si>
  <si>
    <t xml:space="preserve">Meta Q3 2026 earnings call transcript (Motley Fool)</t>
  </si>
  <si>
    <t xml:space="preserve">https://www.fool.com/earnings/call-transcripts/2026/10/21/meta-meta-q3-2026-earnings-call-transcript/</t>
  </si>
  <si>
    <t xml:space="preserve">A3.10</t>
  </si>
  <si>
    <t xml:space="preserve">GuruFocus: Meta Q3 2026 earnings call highlights (2027 commentary)</t>
  </si>
  <si>
    <t xml:space="preserve">https://www.gurufocus.com/news/9140721/meta-platforms-inc-meta-q3-2026-earnings-call-highlights-revenue-surges-26-to-646-billion-as-ai-push-drives-growth-and-a-twoforone-stock-split</t>
  </si>
  <si>
    <t xml:space="preserve">A3.11</t>
  </si>
  <si>
    <t xml:space="preserve">ABC30/AP: Judge orders Meta to pay $25 billion for violating New Mexico law (Cambridge Analytica trial)</t>
  </si>
  <si>
    <t xml:space="preserve">https://abc30.com/story/judge-orders-meta-pay-25-billion-violating-new-mexico-law-cambridge-analytica-data-breach/19965355/</t>
  </si>
  <si>
    <t xml:space="preserve">A3.12</t>
  </si>
  <si>
    <t xml:space="preserve">PPC Land: Meta faces 15% yearly interest on $25bn New Mexico penalty</t>
  </si>
  <si>
    <t xml:space="preserve">https://ppc.land/meta-faces-15-yearly-interest-on-25bn-new-mexico-penalty/</t>
  </si>
  <si>
    <t xml:space="preserve">A3.13</t>
  </si>
  <si>
    <t xml:space="preserve">Education Week: Meta reaches $17B settlement with states over teen social media addiction</t>
  </si>
  <si>
    <t xml:space="preserve">2026-08-26</t>
  </si>
  <si>
    <t xml:space="preserve">https://www.edweek.org/leadership/meta-reaches-17b-settlement-with-states-over-teen-social-media-addiction/2026/08</t>
  </si>
  <si>
    <t xml:space="preserve">A3.14</t>
  </si>
  <si>
    <t xml:space="preserve">Meta free writing prospectus: $25B senior notes 2031-2066, spreads T+53 to T+147, Aa3/AA-</t>
  </si>
  <si>
    <t xml:space="preserve">2026-04-30</t>
  </si>
  <si>
    <t xml:space="preserve">https://www.sec.gov/Archives/edgar/data/0001326801/000119312526197902/d148113dfwp.htm</t>
  </si>
  <si>
    <t xml:space="preserve">A3.15</t>
  </si>
  <si>
    <t xml:space="preserve">Global Data Center Hub: Hyperion financing (Blue Owl 80% / Meta 20% JV; ~$27.3B off-balance-sheet SPV debt)</t>
  </si>
  <si>
    <t xml:space="preserve">2025-10</t>
  </si>
  <si>
    <t xml:space="preserve">https://www.globaldatacenterhub.com/p/the-hyperion-financing-is-the-signal</t>
  </si>
  <si>
    <t xml:space="preserve">A3.16</t>
  </si>
  <si>
    <t xml:space="preserve">Kalkine: Meta leans on off-balance-sheet bond as AI data-centre debt turns expensive</t>
  </si>
  <si>
    <t xml:space="preserve">https://kalkine.com/news/artificial-intelligence/meta-nasdaqmeta-leans-on-a-us123-billion-off-balance-sheet-bond-as-ai-data-centre-debt-turns-expensive</t>
  </si>
  <si>
    <t xml:space="preserve">A3.17</t>
  </si>
  <si>
    <t xml:space="preserve">Finviz: Michael Burry warns MSFT, GOOG, META use depreciation accounting that inflates profits</t>
  </si>
  <si>
    <t xml:space="preserve">2025-11</t>
  </si>
  <si>
    <t xml:space="preserve">https://finviz.com/news/318239/michael-burry-warns-msft-goog-meta-are-using-sinister-accounting-to-hide-ai-costs-inflate-profits-by-20</t>
  </si>
  <si>
    <t xml:space="preserve">A3.18</t>
  </si>
  <si>
    <t xml:space="preserve">Benzinga: Jim Chanos on Meta's server depreciation lives</t>
  </si>
  <si>
    <t xml:space="preserve">2025-07</t>
  </si>
  <si>
    <t xml:space="preserve">https://www.benzinga.com/markets/equities/25/07/46747895/metas-210-billion-tech-stack-may-be-masking-a-harsh-truth-jim-chanos-says-12-year-depreciation-o</t>
  </si>
  <si>
    <t xml:space="preserve">A3.19</t>
  </si>
  <si>
    <t xml:space="preserve">Yahoo Finance: Wells Fargo cuts Meta price target after Q3; expects ~$250B 2027 capex, 2027 revenue $315B, EPS $32.62</t>
  </si>
  <si>
    <t xml:space="preserve">https://finance.yahoo.com/video/wells-fargo-cuts-meta-price-002001458.html</t>
  </si>
  <si>
    <t xml:space="preserve">A3.20</t>
  </si>
  <si>
    <t xml:space="preserve">Yahoo Finance (Brian Sozzi): One line from Meta's earnings call that ensured the stock will likely stay dead money</t>
  </si>
  <si>
    <t xml:space="preserve">https://finance.yahoo.com/markets/article/one-line-from-metas-earnings-call-that-ensured-the-stock-will-likely-stay-dead-money-134542007.html</t>
  </si>
  <si>
    <t xml:space="preserve">A3.21</t>
  </si>
  <si>
    <t xml:space="preserve">Alpha Vantage EARNINGS_ESTIMATES META (consensus FY2026/FY2027 EPS and revenue, Q4 2026 revenue)</t>
  </si>
  <si>
    <t xml:space="preserve">A3.22</t>
  </si>
  <si>
    <t xml:space="preserve">Alpha Vantage INSIDER_TRANSACTIONS META, 2026 YTD (Form 4 sales)</t>
  </si>
  <si>
    <t xml:space="preserve">https://www.alphavantage.co/query?function=INSIDER_TRANSACTIONS&amp;symbol=META</t>
  </si>
  <si>
    <t xml:space="preserve">A3.23</t>
  </si>
  <si>
    <t xml:space="preserve">Standing AI capex view: nvda_customer_capex.md (Meta guide path, 2027 consensus $164-186B, guide-to-actual record)</t>
  </si>
  <si>
    <t xml:space="preserve">2026-10-05 (updated for 2026-10-21 guide)</t>
  </si>
  <si>
    <t xml:space="preserve">A3.24</t>
  </si>
  <si>
    <t xml:space="preserve">Meta preliminary information statement (PRE 14C) on Class C recapitalization</t>
  </si>
  <si>
    <t xml:space="preserve">https://www.sec.gov/Archives/edgar/data/0001326801/000162828026066710/meta-20261021.htm</t>
  </si>
  <si>
    <t xml:space="preserve">A3.25</t>
  </si>
  <si>
    <t xml:space="preserve">eMarketer: Meta rewrites its EU ad model as regulators tighten the screws (less-personalized-ads option from Jan 2026 after EUR200M DMA fine)</t>
  </si>
  <si>
    <t xml:space="preserve">2025-12</t>
  </si>
  <si>
    <t xml:space="preserve">https://www.emarketer.com/content/meta-rewrites-its-eu-ad-model-regulators-tighten-screws</t>
  </si>
  <si>
    <t xml:space="preserve">A3.26</t>
  </si>
  <si>
    <t xml:space="preserve">Run peer table peers.md (trailing from SEC filings, NTM from consensus snapshot)</t>
  </si>
  <si>
    <t xml:space="preserve">/mnt/project-files/valuation/runs/2026-10-23/META/peers.md</t>
  </si>
  <si>
    <t xml:space="preserve">A3.27</t>
  </si>
  <si>
    <t xml:space="preserve">Run SEC fact pack facts.md (XBRL figures F1-F107)</t>
  </si>
  <si>
    <t xml:space="preserve">/mnt/project-files/valuation/runs/2026-10-23/META/facts.md</t>
  </si>
  <si>
    <t xml:space="preserve">A3.28</t>
  </si>
  <si>
    <t xml:space="preserve">Classical Investor newsletter: Meta, the $125B question (FCF squeeze from capex)</t>
  </si>
  <si>
    <t xml:space="preserve">2026-04</t>
  </si>
  <si>
    <t xml:space="preserve">https://classicalinvestor.beehiiv.com/p/meta-the-125b-question-wednesday-s-print-will-answer</t>
  </si>
  <si>
    <t xml:space="preserve">A3.29</t>
  </si>
  <si>
    <t xml:space="preserve">AJC/AP: A look at major lawsuits against Meta over harms to kids</t>
  </si>
  <si>
    <t xml:space="preserve">https://www.ajc.com/news/2026/08/a-look-at-major-lawsuits-against-meta-and-other-social-media-companies-over-harms-to-kids/</t>
  </si>
  <si>
    <t xml:space="preserve">A3.30</t>
  </si>
  <si>
    <t xml:space="preserve">TipRanks/TheFly: BofA cuts Meta PT to $810; Benchmark downgrades to Hold on 'runaway capex'; Oppenheimer downgrades to Perform</t>
  </si>
  <si>
    <t xml:space="preserve">2025-10-30</t>
  </si>
  <si>
    <t xml:space="preserve">https://www.tipranks.com/news/the-fly/meta-platforms-price-target-lowered-to-810-from-900-at-bofa-thefly</t>
  </si>
  <si>
    <t xml:space="preserve">A3.31</t>
  </si>
  <si>
    <t xml:space="preserve">Altss: Amazon vs Meta server depreciation useful lives and earnings (Meta 5.5-year life, ~$2.9B 2025 benefit)</t>
  </si>
  <si>
    <t xml:space="preserve">2025</t>
  </si>
  <si>
    <t xml:space="preserve">https://altss.com/blog/amazon-meta-server-depreciation-useful-lives-earnings</t>
  </si>
  <si>
    <t xml:space="preserve">A4.1</t>
  </si>
  <si>
    <t xml:space="preserve">agent_4</t>
  </si>
  <si>
    <t xml:space="preserve">Meta Q3 2026 earnings release (8-K Ex.99.1): revenue, segments, KPIs, Q4/FY26 outlook, Class C dividend, $9.89B AG charge</t>
  </si>
  <si>
    <t xml:space="preserve">A4.2</t>
  </si>
  <si>
    <t xml:space="preserve">Meta 10-Q for quarter ended 2026-09-30 (AG settlement terms, $454.5B commitments, shares 2,556M)</t>
  </si>
  <si>
    <t xml:space="preserve">A4.3</t>
  </si>
  <si>
    <t xml:space="preserve">Meta 10-K FY2025</t>
  </si>
  <si>
    <t xml:space="preserve">A4.4</t>
  </si>
  <si>
    <t xml:space="preserve">Meta Q4 2025 earnings release (FY2025 segments, KPIs, FY2026 first guides)</t>
  </si>
  <si>
    <t xml:space="preserve">A4.5</t>
  </si>
  <si>
    <t xml:space="preserve">Meta Q1 2026 earnings release (Q2-26 revenue guide, capex raised to $125-145B)</t>
  </si>
  <si>
    <t xml:space="preserve">A4.6</t>
  </si>
  <si>
    <t xml:space="preserve">Meta Q2 2026 earnings release (Q3-26 revenue guide $61-64B)</t>
  </si>
  <si>
    <t xml:space="preserve">A4.7</t>
  </si>
  <si>
    <t xml:space="preserve">Meta Q3 2025 earnings release (Q4-25 revenue guide $56-59B)</t>
  </si>
  <si>
    <t xml:space="preserve">A4.8</t>
  </si>
  <si>
    <t xml:space="preserve">Meta Q2 2025 earnings release (Q3-25 revenue guide $47.5-50.5B)</t>
  </si>
  <si>
    <t xml:space="preserve">A4.9</t>
  </si>
  <si>
    <t xml:space="preserve">Meta Q1 2025 earnings release (Q2-25 revenue guide $42.5-45.5B)</t>
  </si>
  <si>
    <t xml:space="preserve">A4.10</t>
  </si>
  <si>
    <t xml:space="preserve">Meta Q4 2024 earnings release (Q1-25 guide $39.5-41.8B; FY2025 expense $114-119B and capex $60-65B first guides; FY2024 capex $39.23B)</t>
  </si>
  <si>
    <t xml:space="preserve">A4.11</t>
  </si>
  <si>
    <t xml:space="preserve">Meta Q3 2024 earnings release (Q4-24 revenue guide $45-48B)</t>
  </si>
  <si>
    <t xml:space="preserve">A4.12</t>
  </si>
  <si>
    <t xml:space="preserve">Meta Q3 2023 earnings release (FY2024 first guides: expenses $94-99B, capex $30-35B)</t>
  </si>
  <si>
    <t xml:space="preserve">A4.13</t>
  </si>
  <si>
    <t xml:space="preserve">Meta Q3 2022 earnings release (FY2023 first guides: expenses $96-101B, capex $34-39B)</t>
  </si>
  <si>
    <t xml:space="preserve">A4.14</t>
  </si>
  <si>
    <t xml:space="preserve">Alpha Vantage EARNINGS_ESTIMATES for META (FY2026 revenue $256.5B / EPS $29.24; FY2027 revenue $311.3B / EPS $33.92, 55-60 analysts)</t>
  </si>
  <si>
    <t xml:space="preserve">A4.15</t>
  </si>
  <si>
    <t xml:space="preserve">Run peer comps table peers.md (trailing from SEC filings; NTM from Alpha Vantage consensus snapshot)</t>
  </si>
  <si>
    <t xml:space="preserve">A4.16</t>
  </si>
  <si>
    <t xml:space="preserve">Standing AI capex view nvda_customer_capex.md (Meta 2027 consensus $185.6B IO Fund / $164.0B S&amp;P; base = consensus +10%; Big-4 2027 $1,080B, 2028 $1,330B; Meta capex guide record)</t>
  </si>
  <si>
    <t xml:space="preserve">A4.17</t>
  </si>
  <si>
    <t xml:space="preserve">Investing.com: Meta Q3 2026 earnings call transcript (RL ~$15B 2027 loss, Muse monetization via subscriptions, Meta One 15M subs/trials, Threads time spent +20%)</t>
  </si>
  <si>
    <t xml:space="preserve">A4.18</t>
  </si>
  <si>
    <t xml:space="preserve">SiliconANGLE: Meta beats on revenue, splits stock with non-voting Class C shares; stock down almost 8% Thursday; Muse &gt;10M accounts, 10x cost-efficiency goal</t>
  </si>
  <si>
    <t xml:space="preserve">https://siliconangle.com/2026/10/21/meta-beats-on-revenue-and-splits-its-stock-two-for-one-with-non-voting-class-c-shares-raise-capital/</t>
  </si>
  <si>
    <t xml:space="preserve">A4.19</t>
  </si>
  <si>
    <t xml:space="preserve">TechCrunch: Meta puts its muscle behind Muse as the AI app takes off (Sensor Tower/Apptopia/Appfigures downloads; #1 US App Store and Google Play; Muse ads 6% of impressions)</t>
  </si>
  <si>
    <t xml:space="preserve">2026-09-25</t>
  </si>
  <si>
    <t xml:space="preserve">https://techcrunch.com/2026/09/25/meta-is-putting-its-muscle-behind-muse-as-the-ai-app-takes-off</t>
  </si>
  <si>
    <t xml:space="preserve">A4.20</t>
  </si>
  <si>
    <t xml:space="preserve">PPC Land: Muse gains 10 million US downloads in 40 days, Sensor Tower finds (2.5M US DAU, D14 retention 23% vs 16-17% peers, 39% of Meta ad spend to Muse)</t>
  </si>
  <si>
    <t xml:space="preserve">https://ppc.land/metas-muse-gains-10-million-us-downloads-in-40-days-sensor-tower-finds/</t>
  </si>
  <si>
    <t xml:space="preserve">A4.21</t>
  </si>
  <si>
    <t xml:space="preserve">Common Thread Collective: Meta CPMs about to spike (230+ brands: Meta acquisition ROAS 2.57x Feb-2024 -&gt; 1.56x Apr-2026; CAC $40.27 -&gt; $52.86)</t>
  </si>
  <si>
    <t xml:space="preserve">2026-05-20</t>
  </si>
  <si>
    <t xml:space="preserve">https://commonthreadco.com/blogs/coachs-corner/meta-cpms-are-about-to-spike-heres-your-6-week-window-to-get-ahead</t>
  </si>
  <si>
    <t xml:space="preserve">A4.22</t>
  </si>
  <si>
    <t xml:space="preserve">Polymarket: Which company has the best AI model end of 2026 (Meta 1.4%, Anthropic 54%, Google 36%; total volume $3.02M; resolves on lmarena.ai)</t>
  </si>
  <si>
    <t xml:space="preserve">https://polymarket.com/event/which-company-has-best-ai-model-end-of-2026</t>
  </si>
  <si>
    <t xml:space="preserve">A4.23</t>
  </si>
  <si>
    <t xml:space="preserve">PPC Land: Meta's ads with creators grow 97% to a $15B annual run rate (Q3-26 call; GEM/Andromeda conversion gains)</t>
  </si>
  <si>
    <t xml:space="preserve">https://ppc.land/metas-ads-with-creators-gain-97-to-a-15bn-annual-run-rate/</t>
  </si>
  <si>
    <t xml:space="preserve">A4.24</t>
  </si>
  <si>
    <t xml:space="preserve">Trefis: Meta up 37% - was it the Muse app or the ad machine? (3-month return to 2026-09-25; Advantage+ &gt;$75B run rate)</t>
  </si>
  <si>
    <t xml:space="preserve">2026-09-28</t>
  </si>
  <si>
    <t xml:space="preserve">https://www.trefis.com/articles/616799/meta-up-37-was-it-the-muse-app-or-the-ad-machine/2026-09-28</t>
  </si>
  <si>
    <t xml:space="preserve">A4.25</t>
  </si>
  <si>
    <t xml:space="preserve">TechCrunch: Threads edges out X in daily mobile users (Similarweb: 141.5M vs 125M mobile DAU, Jan-2026)</t>
  </si>
  <si>
    <t xml:space="preserve">A4.26</t>
  </si>
  <si>
    <t xml:space="preserve">Deep Research Global (Substack): Meta fundamental analysis report (underutilisation could compress 2027-28 margins; RL &gt;$90B cumulative losses since 2020; Q1-26 $8.03B tax benefit)</t>
  </si>
  <si>
    <t xml:space="preserve">https://www.deepresearchglobal.com/p/meta-fundamental-analysis-report</t>
  </si>
  <si>
    <t xml:space="preserve">A4.27</t>
  </si>
  <si>
    <t xml:space="preserve">Shopifreaks: FTC asks D.C. Circuit to revive its monopoly case against Meta (appeal of Boasberg ruling pending)</t>
  </si>
  <si>
    <t xml:space="preserve">2026-05-27</t>
  </si>
  <si>
    <t xml:space="preserve">https://www.shopifreaks.com/ftc-asks-d-c-circuit-appeals-court-to-revive-its-monopoly-case-against-meta-over-instagram-and-whatsapp-acquisitions/</t>
  </si>
  <si>
    <t xml:space="preserve">A4.28</t>
  </si>
  <si>
    <t xml:space="preserve">European Commission DMA: Meta commits to give EU users choice of less personalised ads from January 2026; Commission to assess uptake</t>
  </si>
  <si>
    <t xml:space="preserve">https://digital-markets-act.ec.europa.eu/meta-commits-give-eu-users-choice-personalised-ads-under-digital-markets-act-2025-12-08_en</t>
  </si>
  <si>
    <t xml:space="preserve">A4.29</t>
  </si>
  <si>
    <t xml:space="preserve">DeFi Rate Polymarket tracker: best AI model end of 2026 (Meta 1.4%, observed 2026-10-25)</t>
  </si>
  <si>
    <t xml:space="preserve">https://defirate.com/prediction-markets/best-ai-model-odds-this-year/</t>
  </si>
  <si>
    <t xml:space="preserve">A4.30</t>
  </si>
  <si>
    <t xml:space="preserve">Meta Q4 2023 earnings release (FY2023 capex $28.10B; FY2024 expense guide $94-99B unchanged)</t>
  </si>
  <si>
    <t xml:space="preserve">A5.1</t>
  </si>
  <si>
    <t xml:space="preserve">agent_5</t>
  </si>
  <si>
    <t xml:space="preserve">Meta Q3 2026 results press release (8-K Ex.99.1)</t>
  </si>
  <si>
    <t xml:space="preserve">A5.2</t>
  </si>
  <si>
    <t xml:space="preserve">A5.3</t>
  </si>
  <si>
    <t xml:space="preserve">A5.4</t>
  </si>
  <si>
    <t xml:space="preserve">Meta Q4/FY2025 results release (first FY2026 guides; Q1-26 guide; FY2025 actuals)</t>
  </si>
  <si>
    <t xml:space="preserve">A5.5</t>
  </si>
  <si>
    <t xml:space="preserve">Meta Q1 2026 results release (Q2-26 guide)</t>
  </si>
  <si>
    <t xml:space="preserve">A5.6</t>
  </si>
  <si>
    <t xml:space="preserve">Meta Q2 2026 results release (Q3-26 guide)</t>
  </si>
  <si>
    <t xml:space="preserve">A5.7</t>
  </si>
  <si>
    <t xml:space="preserve">Meta Q3 2025 results release (Q4-25 guide)</t>
  </si>
  <si>
    <t xml:space="preserve">A5.8</t>
  </si>
  <si>
    <t xml:space="preserve">Meta Q4/FY2024 results release (first FY2025 expense/capex guides; FY2024 actuals)</t>
  </si>
  <si>
    <t xml:space="preserve">A5.9</t>
  </si>
  <si>
    <t xml:space="preserve">Meta Q4/FY2023 results release (FY2023 actuals)</t>
  </si>
  <si>
    <t xml:space="preserve">A5.10</t>
  </si>
  <si>
    <t xml:space="preserve">Meta Q3 2023 results release (first FY2024 expense/capex guides)</t>
  </si>
  <si>
    <t xml:space="preserve">A5.11</t>
  </si>
  <si>
    <t xml:space="preserve">Meta Q3 2022 results release (first FY2023 expense/capex guides; 2022 ad-price decline)</t>
  </si>
  <si>
    <t xml:space="preserve">A5.12</t>
  </si>
  <si>
    <t xml:space="preserve">Meta Q3 2026 earnings call transcript (IR PDF)</t>
  </si>
  <si>
    <t xml:space="preserve">A5.13</t>
  </si>
  <si>
    <t xml:space="preserve">Alpha Vantage EARNINGS_ESTIMATES META (consensus FY2026/FY2027 EPS and revenue, Q4-26 revenue)</t>
  </si>
  <si>
    <t xml:space="preserve">A5.14</t>
  </si>
  <si>
    <t xml:space="preserve">Alpha Vantage TIME_SERIES_MONTHLY_ADJUSTED META 2012-2026 (12-month return base rates)</t>
  </si>
  <si>
    <t xml:space="preserve">https://www.alphavantage.co/query?function=TIME_SERIES_MONTHLY_ADJUSTED&amp;symbol=META</t>
  </si>
  <si>
    <t xml:space="preserve">A5.15</t>
  </si>
  <si>
    <t xml:space="preserve">Run peer comps table peers.md (filings + saved consensus snapshot)</t>
  </si>
  <si>
    <t xml:space="preserve">A5.16</t>
  </si>
  <si>
    <t xml:space="preserve">SiliconANGLE: Meta beats on revenue, Class C split; stock falls ~8% next day</t>
  </si>
  <si>
    <t xml:space="preserve">A5.17</t>
  </si>
  <si>
    <t xml:space="preserve">Yahoo Finance (B. Sozzi): one line from Meta's Q2 call; stock -10% on no 2027 capex outlook</t>
  </si>
  <si>
    <t xml:space="preserve">A5.18</t>
  </si>
  <si>
    <t xml:space="preserve">Crypto Briefing: Kalshi 2027 US recession odds at record low 20%</t>
  </si>
  <si>
    <t xml:space="preserve">https://cryptobriefing.com/kalshi-traders-recession-odds-20-percent/</t>
  </si>
  <si>
    <t xml:space="preserve">A5.19</t>
  </si>
  <si>
    <t xml:space="preserve">Polyguana (Polymarket tracker): What price will META hit in April 2026</t>
  </si>
  <si>
    <t xml:space="preserve">https://polyguana.com/events/what-price-will-meta-hit-in-april-2026</t>
  </si>
  <si>
    <t xml:space="preserve">A5.20</t>
  </si>
  <si>
    <t xml:space="preserve">Wisesheets: META historical P/E (10-yr mean 35.3x, 5-yr 23.9x, min 13.9x)</t>
  </si>
  <si>
    <t xml:space="preserve">https://wisesheets.io/pe-ratio/META</t>
  </si>
  <si>
    <t xml:space="preserve">A5.21</t>
  </si>
  <si>
    <t xml:space="preserve">Motley Fool via Webull: Meta up nearly 25% in September; ~18x forward P/E entering Sept, ~23x at end</t>
  </si>
  <si>
    <t xml:space="preserve">https://www.webull.com/news/15667139777610752</t>
  </si>
  <si>
    <t xml:space="preserve">A5.22</t>
  </si>
  <si>
    <t xml:space="preserve">The Star / Reuters factbox: latest in trials over social media harm to children</t>
  </si>
  <si>
    <t xml:space="preserve">2026-08-12</t>
  </si>
  <si>
    <t xml:space="preserve">https://www.thestar.com.my/tech/tech-news/2026/08/12/factbox-what039s-the-latest-in-the-trials-over-claims-social-media-is-hurting-children</t>
  </si>
  <si>
    <t xml:space="preserve">A5.23</t>
  </si>
  <si>
    <t xml:space="preserve">Insurance Journal / Reuters: Meta settles first US school-district case</t>
  </si>
  <si>
    <t xml:space="preserve">A5.24</t>
  </si>
  <si>
    <t xml:space="preserve">Seeger Weiss: first social media addiction MDL bellwether settlement; next school-district bellwethers in 2027</t>
  </si>
  <si>
    <t xml:space="preserve">https://www.seegerweiss.com/news/first-social-media-addiction-mdl-bellwether-trial-settlement/</t>
  </si>
  <si>
    <t xml:space="preserve">A5.25</t>
  </si>
  <si>
    <t xml:space="preserve">BEUC analysis of Meta's 2026 consent-for-ads changes (DMA)</t>
  </si>
  <si>
    <t xml:space="preserve">https://storage02.forbrukerradet.no/media/2026/03/beuc-x-2026-021-analysis-of-meta-2026-changes-to-its-consent-for-ads-mechanism-against-eu-law.pdf</t>
  </si>
  <si>
    <t xml:space="preserve">A5.26</t>
  </si>
  <si>
    <t xml:space="preserve">JURIST: European Commission fines Apple and Meta EUR700M under the DMA</t>
  </si>
  <si>
    <t xml:space="preserve">2025-04</t>
  </si>
  <si>
    <t xml:space="preserve">https://www.jurist.org/news/2025/04/european-commission-fines-apple-and-meta-e700m-for-breaching-digital-markets-act/</t>
  </si>
  <si>
    <t xml:space="preserve">A5.27</t>
  </si>
  <si>
    <t xml:space="preserve">LongYield (Substack): The Class C dividend - what Meta's non-voting share costs a Class A holder</t>
  </si>
  <si>
    <t xml:space="preserve">2026-10-23</t>
  </si>
  <si>
    <t xml:space="preserve">https://longyield.substack.com/p/the-class-c-dividend-what-metas-non</t>
  </si>
  <si>
    <t xml:space="preserve">A5.28</t>
  </si>
  <si>
    <t xml:space="preserve">IG: Google stock split history (2014 Class C dividend; 2015 adjustment for C discount)</t>
  </si>
  <si>
    <t xml:space="preserve">2024</t>
  </si>
  <si>
    <t xml:space="preserve">https://www.ig.com/uk/trading-strategies/google-stock-split-history--what-you-need-to-know-190905</t>
  </si>
  <si>
    <t xml:space="preserve">A5.29</t>
  </si>
  <si>
    <t xml:space="preserve">Zawya / Reuters: Wall Street expects Meta's AI agent to become a new revenue engine (Jefferies Muse estimate; LSEG median target)</t>
  </si>
  <si>
    <t xml:space="preserve">https://www.zawya.com/en/capital-markets/wall-street-expects-metas-ai-agent-to-shape-into-a-new-revenue-engine-1114107</t>
  </si>
  <si>
    <t xml:space="preserve">A5.30</t>
  </si>
  <si>
    <t xml:space="preserve">Gotrade: META falls 3.3% as Guggenheim lifts 2027 capex estimate to $225B</t>
  </si>
  <si>
    <t xml:space="preserve">2026-10-15</t>
  </si>
  <si>
    <t xml:space="preserve">https://www.heygotrade.com/en/news/meta-meta-stock-news-october-15-2026/</t>
  </si>
  <si>
    <t xml:space="preserve">A5.31</t>
  </si>
  <si>
    <t xml:space="preserve">Standing AI capex input: nvda_customer_capex.md (Meta 2027 consensus, Big-4 base path, capex guide revision record)</t>
  </si>
  <si>
    <t xml:space="preserve">A5.32</t>
  </si>
  <si>
    <t xml:space="preserve">Crypto Briefing: Meta's stock posts best month in over two years on Muse launch</t>
  </si>
  <si>
    <t xml:space="preserve">2026-09-21</t>
  </si>
  <si>
    <t xml:space="preserve">https://cryptobriefing.com/meta-stock-best-month-ai-muse-launch/</t>
  </si>
  <si>
    <t xml:space="preserve">A5.33</t>
  </si>
  <si>
    <t xml:space="preserve">SEC XBRL fact pack for META (facts.md, run 2026-10-23)</t>
  </si>
  <si>
    <t xml:space="preserve">S.1</t>
  </si>
  <si>
    <t xml:space="preserve">supervisor</t>
  </si>
  <si>
    <t xml:space="preserve">S.2</t>
  </si>
  <si>
    <t xml:space="preserve">S.3</t>
  </si>
  <si>
    <t xml:space="preserve">S.4</t>
  </si>
  <si>
    <t xml:space="preserve">S.5</t>
  </si>
  <si>
    <t xml:space="preserve">S.6</t>
  </si>
  <si>
    <t xml:space="preserve">S.7</t>
  </si>
  <si>
    <t xml:space="preserve">S.8</t>
  </si>
  <si>
    <t xml:space="preserve">S.9</t>
  </si>
  <si>
    <t xml:space="preserve">S.10</t>
  </si>
  <si>
    <t xml:space="preserve">S.11</t>
  </si>
  <si>
    <t xml:space="preserve">S.12</t>
  </si>
  <si>
    <t xml:space="preserve">S.13</t>
  </si>
  <si>
    <t xml:space="preserve">S.14</t>
  </si>
  <si>
    <t xml:space="preserve">S.15</t>
  </si>
  <si>
    <t xml:space="preserve">S.16</t>
  </si>
  <si>
    <t xml:space="preserve">S.17</t>
  </si>
  <si>
    <t xml:space="preserve">S.18</t>
  </si>
  <si>
    <t xml:space="preserve">S.19</t>
  </si>
  <si>
    <t xml:space="preserve">Nasdaq.com analyst earnings forecast, META (Zacks consensus EPS; no revenue), snapshot data/estimates/META.json retrieved 2026-10-26: FY2027 EPS $33.93 (17 estimates). Replaces the Alpha Vantage EARNINGS_ESTIMATES link (needs an API key; not used for any figure)</t>
  </si>
  <si>
    <t xml:space="preserve">2026-10-26</t>
  </si>
  <si>
    <t xml:space="preserve">https://api.nasdaq.com/api/analyst/META/earnings-forecast</t>
  </si>
  <si>
    <t xml:space="preserve">S.20</t>
  </si>
  <si>
    <t xml:space="preserve">S.21</t>
  </si>
  <si>
    <t xml:space="preserve">S.22</t>
  </si>
  <si>
    <t xml:space="preserve">S.23</t>
  </si>
  <si>
    <t xml:space="preserve">Bloomberg Tax: Meta to pay historic $25 billion in New Mexico deception case</t>
  </si>
  <si>
    <t xml:space="preserve">https://news.bloombergtax.com/litigation/meta-to-pay-historic-25-billion-in-new-mexico-deception-case</t>
  </si>
  <si>
    <t xml:space="preserve">S.24</t>
  </si>
  <si>
    <t xml:space="preserve">S.25</t>
  </si>
  <si>
    <t xml:space="preserve">PPC Land: WARC forecasts social media ad spend +21.3% to $394.6bn in 2026 (+14.6% 2027; total +11.9% / +8.4%)</t>
  </si>
  <si>
    <t xml:space="preserve">S.26</t>
  </si>
  <si>
    <t xml:space="preserve">Meta FWP pricing term sheet (Rule 433), dated 2026-10-26, filed 2026-10-27: Class A forward offering upsized to $25.0B, 40,000,000 shares at $625.00, initial forward price $622.91875; 6.50% Series A mandatory convertible preferred terms</t>
  </si>
  <si>
    <t xml:space="preserve">2026-10-27</t>
  </si>
  <si>
    <t xml:space="preserve">https://www.sec.gov/Archives/edgar/data/1326801/000119312526432549/d382225dfwp.htm</t>
  </si>
  <si>
    <t xml:space="preserve">S.27</t>
  </si>
  <si>
    <t xml:space="preserve">Meta FWP press release 2026-10-26: Meta Announces Launch of Offering of Depositary Shares ... and Offering of Class A Common Stock in Connection with Forward Sale Agreements (financing plan incl. planned ~$60B ATM)</t>
  </si>
  <si>
    <t xml:space="preserve">https://www.sec.gov/Archives/edgar/data/1326801/000119312526431036/d116268dfwp.htm</t>
  </si>
  <si>
    <t xml:space="preserve">S.28</t>
  </si>
  <si>
    <t xml:space="preserve">Meta 424B5 preliminary prospectus supplement 2026-10-26: Class A common stock offered in connection with forward sale agreements</t>
  </si>
  <si>
    <t xml:space="preserve">https://www.sec.gov/Archives/edgar/data/1326801/000119312526431040/d94886d424b5.htm</t>
  </si>
  <si>
    <t xml:space="preserve">S.29</t>
  </si>
  <si>
    <t xml:space="preserve">Meta 424B5 preliminary prospectus supplement 2026-10-26: depositary shares representing Series A Mandatory Convertible Preferred Stock</t>
  </si>
  <si>
    <t xml:space="preserve">https://www.sec.gov/Archives/edgar/data/1326801/000119312526431043/d133631d424b5.htm</t>
  </si>
  <si>
    <t xml:space="preserve">S.30</t>
  </si>
  <si>
    <t xml:space="preserve">Yahoo Finance (video, 2026-10-22): Wells Fargo cuts Meta price target to $995; expects ~$250B 2027 capex, 2027 revenue $315B, EPS $32.62 (sell-side, named outlet)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</si>
</sst>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326801/000162828026066700/meta-09302026xexhibit991.htm" TargetMode="External"/><Relationship Id="rId2" Type="http://schemas.openxmlformats.org/officeDocument/2006/relationships/hyperlink" Target="https://www.sec.gov/Archives/edgar/data/1326801/000162828026066773/meta-20260930.htm" TargetMode="External"/><Relationship Id="rId3" Type="http://schemas.openxmlformats.org/officeDocument/2006/relationships/hyperlink" Target="https://s21.q4cdn.com/399680738/files/content_files/META-Q3-2026-Earnings-Call-Transcript.pdf" TargetMode="External"/><Relationship Id="rId4" Type="http://schemas.openxmlformats.org/officeDocument/2006/relationships/hyperlink" Target="https://s21.q4cdn.com/399680738/files/doc_financials/2026/q2/META-Q2-2026-Earnings-Call-Transcript.pdf" TargetMode="External"/><Relationship Id="rId5" Type="http://schemas.openxmlformats.org/officeDocument/2006/relationships/hyperlink" Target="https://www.sec.gov/Archives/edgar/data/1326801/000162828026066700/meta-20261019.htm" TargetMode="External"/><Relationship Id="rId6" Type="http://schemas.openxmlformats.org/officeDocument/2006/relationships/hyperlink" Target="https://www.sec.gov/Archives/edgar/data/1326801/000162828026003832/meta-12312025xexhibit991.htm" TargetMode="External"/><Relationship Id="rId7" Type="http://schemas.openxmlformats.org/officeDocument/2006/relationships/hyperlink" Target="https://www.sec.gov/Archives/edgar/data/1326801/000162828026003942/meta-20251231.htm" TargetMode="External"/><Relationship Id="rId8" Type="http://schemas.openxmlformats.org/officeDocument/2006/relationships/hyperlink" Target="https://www.sec.gov/Archives/edgar/data/1326801/000162828026028364/meta-03312026xexhibit991.htm" TargetMode="External"/><Relationship Id="rId9" Type="http://schemas.openxmlformats.org/officeDocument/2006/relationships/hyperlink" Target="https://www.sec.gov/Archives/edgar/data/1326801/000162828026050596/meta-06302026xexhibit991.htm" TargetMode="External"/><Relationship Id="rId10" Type="http://schemas.openxmlformats.org/officeDocument/2006/relationships/hyperlink" Target="https://www.sec.gov/Archives/edgar/data/1326801/000162828025047114/meta-09302025xexhibit991.htm" TargetMode="External"/><Relationship Id="rId11" Type="http://schemas.openxmlformats.org/officeDocument/2006/relationships/hyperlink" Target="https://www.sec.gov/Archives/edgar/data/1326801/000162828025036719/meta-06302025xexhibit991.htm" TargetMode="External"/><Relationship Id="rId12" Type="http://schemas.openxmlformats.org/officeDocument/2006/relationships/hyperlink" Target="https://www.sec.gov/Archives/edgar/data/1326801/000132680125000050/meta-03312025xexhibit991.htm" TargetMode="External"/><Relationship Id="rId13" Type="http://schemas.openxmlformats.org/officeDocument/2006/relationships/hyperlink" Target="https://www.sec.gov/Archives/edgar/data/1326801/000132680125000014/meta-12312024xexhibit991.htm" TargetMode="External"/><Relationship Id="rId14" Type="http://schemas.openxmlformats.org/officeDocument/2006/relationships/hyperlink" Target="https://www.sec.gov/Archives/edgar/data/1326801/000132680124000077/meta-09302024xexhibit991.htm" TargetMode="External"/><Relationship Id="rId15" Type="http://schemas.openxmlformats.org/officeDocument/2006/relationships/hyperlink" Target="https://www.sec.gov/Archives/edgar/data/1326801/000132680124000065/meta-06302024xexhibit991.htm" TargetMode="External"/><Relationship Id="rId16" Type="http://schemas.openxmlformats.org/officeDocument/2006/relationships/hyperlink" Target="https://www.sec.gov/Archives/edgar/data/1326801/000132680124000010/meta-12312023xexhibit991.htm" TargetMode="External"/><Relationship Id="rId17" Type="http://schemas.openxmlformats.org/officeDocument/2006/relationships/hyperlink" Target="https://www.sec.gov/Archives/edgar/data/1326801/000132680123000100/meta09302023-exhibit991.htm" TargetMode="External"/><Relationship Id="rId18" Type="http://schemas.openxmlformats.org/officeDocument/2006/relationships/hyperlink" Target="https://www.sec.gov/Archives/edgar/data/1326801/000132680122000105/meta09302022-exhibit991.htm" TargetMode="External"/><Relationship Id="rId19" Type="http://schemas.openxmlformats.org/officeDocument/2006/relationships/hyperlink" Target="https://www.alphavantage.co/query?function=EARNINGS_ESTIMATES&amp;symbol=META" TargetMode="External"/><Relationship Id="rId20" Type="http://schemas.openxmlformats.org/officeDocument/2006/relationships/hyperlink" Target="https://data.sec.gov/api/xbrl/companyfacts/CIK0001326801.json" TargetMode="External"/><Relationship Id="rId21" Type="http://schemas.openxmlformats.org/officeDocument/2006/relationships/hyperlink" Target="https://www.sec.gov/Archives/edgar/data/1326801/000162828026066700/meta-09302026xexhibit991.htm" TargetMode="External"/><Relationship Id="rId22" Type="http://schemas.openxmlformats.org/officeDocument/2006/relationships/hyperlink" Target="https://www.sec.gov/Archives/edgar/data/1326801/000162828026066773/meta-20260930.htm" TargetMode="External"/><Relationship Id="rId23" Type="http://schemas.openxmlformats.org/officeDocument/2006/relationships/hyperlink" Target="https://www.sec.gov/Archives/edgar/data/1326801/000162828026003942/meta-20251231.htm" TargetMode="External"/><Relationship Id="rId24" Type="http://schemas.openxmlformats.org/officeDocument/2006/relationships/hyperlink" Target="https://www.sec.gov/Archives/edgar/data/1326801/000162828026003832/meta-12312025xexhibit991.htm" TargetMode="External"/><Relationship Id="rId25" Type="http://schemas.openxmlformats.org/officeDocument/2006/relationships/hyperlink" Target="https://www.sec.gov/Archives/edgar/data/0001326801/000162828026050596/meta-06302026xexhibit991.htm" TargetMode="External"/><Relationship Id="rId26" Type="http://schemas.openxmlformats.org/officeDocument/2006/relationships/hyperlink" Target="https://www.sec.gov/Archives/edgar/data/0001326801/000162828026028364/meta-03312026xexhibit991.htm" TargetMode="External"/><Relationship Id="rId27" Type="http://schemas.openxmlformats.org/officeDocument/2006/relationships/hyperlink" Target="https://www.sec.gov/Archives/edgar/data/1326801/000132680125000014/meta-12312024xexhibit991.htm" TargetMode="External"/><Relationship Id="rId28" Type="http://schemas.openxmlformats.org/officeDocument/2006/relationships/hyperlink" Target="https://www.sec.gov/Archives/edgar/data/1326801/000162828025036719/meta-06302025xexhibit991.htm" TargetMode="External"/><Relationship Id="rId29" Type="http://schemas.openxmlformats.org/officeDocument/2006/relationships/hyperlink" Target="https://s21.q4cdn.com/399680738/files/doc%5Ffinancials/2025/q3/Meta-09-30-2025-Exhibit-99-1-Final.pdf" TargetMode="External"/><Relationship Id="rId30" Type="http://schemas.openxmlformats.org/officeDocument/2006/relationships/hyperlink" Target="https://www.investing.com/news/transcripts/earnings-call-transcript-meta-beats-q3-2026-estimates-as-ai-push-lifts-shares-93CH-4964260" TargetMode="External"/><Relationship Id="rId31" Type="http://schemas.openxmlformats.org/officeDocument/2006/relationships/hyperlink" Target="https://www.alphavantage.co/query?function=EARNINGS_ESTIMATES&amp;symbol=META" TargetMode="External"/><Relationship Id="rId32" Type="http://schemas.openxmlformats.org/officeDocument/2006/relationships/hyperlink" Target="https://ppc.land/warc-forecasts-social-media-ad-spend-gains-21-3-to-394-6bn-in-2026/" TargetMode="External"/><Relationship Id="rId33" Type="http://schemas.openxmlformats.org/officeDocument/2006/relationships/hyperlink" Target="https://www.iab.com/wp-content/uploads/2026/09/IAB_2H_2026_Ad_Spend_Outlook_Study.pdf" TargetMode="External"/><Relationship Id="rId34" Type="http://schemas.openxmlformats.org/officeDocument/2006/relationships/hyperlink" Target="https://www.warc.com/content/article/warc-curated-datapoints/tiktok-us-ad-revenue-forecast-to-hit-145bn-in-2026-38-of-its-global-revenue/162277" TargetMode="External"/><Relationship Id="rId35" Type="http://schemas.openxmlformats.org/officeDocument/2006/relationships/hyperlink" Target="https://ppc.land/google-search-ads-gain-17-to-63-3-billion-while-network-drops-1/" TargetMode="External"/><Relationship Id="rId36" Type="http://schemas.openxmlformats.org/officeDocument/2006/relationships/hyperlink" Target="https://ppc.land/amazon-advertising-gains-26-to-19-8-billion-as-sports-inventory-sells-out/" TargetMode="External"/><Relationship Id="rId37" Type="http://schemas.openxmlformats.org/officeDocument/2006/relationships/hyperlink" Target="https://ppc.land/snap-ad-prices-gain-10-as-advertising-revenue-rises-just-9/" TargetMode="External"/><Relationship Id="rId38" Type="http://schemas.openxmlformats.org/officeDocument/2006/relationships/hyperlink" Target="https://www.sec.gov/Archives/edgar/data/0001713445/000171344526000098/earningspressreleaseq226.htm" TargetMode="External"/><Relationship Id="rId39" Type="http://schemas.openxmlformats.org/officeDocument/2006/relationships/hyperlink" Target="https://www.sec.gov/Archives/edgar/data/0001506293/000150629326000102/q2-26xpressrelease.htm" TargetMode="External"/><Relationship Id="rId40" Type="http://schemas.openxmlformats.org/officeDocument/2006/relationships/hyperlink" Target="https://www.datacenterdynamics.com/en/news/meta-signs-21bn-ai-infrastructure-contract-with-coreweave/" TargetMode="External"/><Relationship Id="rId41" Type="http://schemas.openxmlformats.org/officeDocument/2006/relationships/hyperlink" Target="https://nebius.com/newsroom/nebius-signs-new-ai-infrastructure-agreement-with-meta" TargetMode="External"/><Relationship Id="rId42" Type="http://schemas.openxmlformats.org/officeDocument/2006/relationships/hyperlink" Target="https://www.trendforce.com/presscenter/news/20260930-13258.html" TargetMode="External"/><Relationship Id="rId43" Type="http://schemas.openxmlformats.org/officeDocument/2006/relationships/hyperlink" Target="https://www.mobileworldlive.com/meta/ec-signs-off-on-meta-option-to-cut-use-of-personal-data-for-ads/" TargetMode="External"/><Relationship Id="rId44" Type="http://schemas.openxmlformats.org/officeDocument/2006/relationships/hyperlink" Target="https://www.insurancejournal.com/news/national/2026/05/22/871046.htm" TargetMode="External"/><Relationship Id="rId45" Type="http://schemas.openxmlformats.org/officeDocument/2006/relationships/hyperlink" Target="https://www.edweek.org/leadership/jury-finds-meta-platforms-harm-children-why-school-districts-are-eyeing-this-verdict/2026/03" TargetMode="External"/><Relationship Id="rId46" Type="http://schemas.openxmlformats.org/officeDocument/2006/relationships/hyperlink" Target="https://techcrunch.com/2026/01/18/threads-edges-out-x-in-daily-mobile-users-new-data-shows" TargetMode="External"/><Relationship Id="rId47" Type="http://schemas.openxmlformats.org/officeDocument/2006/relationships/hyperlink" Target="https://www.emarketer.com/content/meta-ad-revenues-will-surpass--240-billion-this-year" TargetMode="External"/><Relationship Id="rId48" Type="http://schemas.openxmlformats.org/officeDocument/2006/relationships/hyperlink" Target="https://acceler8.beehiiv.com/p/your-meta-cpms-are-up-172-since-january" TargetMode="External"/><Relationship Id="rId49" Type="http://schemas.openxmlformats.org/officeDocument/2006/relationships/hyperlink" Target="https://www.sec.gov/Archives/edgar/data/1326801/000162828026066773/meta-20260930.htm" TargetMode="External"/><Relationship Id="rId50" Type="http://schemas.openxmlformats.org/officeDocument/2006/relationships/hyperlink" Target="https://www.sec.gov/Archives/edgar/data/1326801/000162828026066700/meta-09302026xexhibit991.htm" TargetMode="External"/><Relationship Id="rId51" Type="http://schemas.openxmlformats.org/officeDocument/2006/relationships/hyperlink" Target="https://www.sec.gov/Archives/edgar/data/1326801/000162828026066700/meta-20261019.htm" TargetMode="External"/><Relationship Id="rId52" Type="http://schemas.openxmlformats.org/officeDocument/2006/relationships/hyperlink" Target="https://www.sec.gov/Archives/edgar/data/1326801/000162828026003832/meta-12312025xexhibit991.htm" TargetMode="External"/><Relationship Id="rId53" Type="http://schemas.openxmlformats.org/officeDocument/2006/relationships/hyperlink" Target="https://www.sec.gov/Archives/edgar/data/0001326801/000162828026028364/meta-03312026xexhibit991.htm" TargetMode="External"/><Relationship Id="rId54" Type="http://schemas.openxmlformats.org/officeDocument/2006/relationships/hyperlink" Target="https://www.sec.gov/Archives/edgar/data/0001326801/000162828026050596/meta-06302026xexhibit991.htm" TargetMode="External"/><Relationship Id="rId55" Type="http://schemas.openxmlformats.org/officeDocument/2006/relationships/hyperlink" Target="https://www.sec.gov/Archives/edgar/data/1326801/000162828025047114/meta-09302025xexhibit991.htm" TargetMode="External"/><Relationship Id="rId56" Type="http://schemas.openxmlformats.org/officeDocument/2006/relationships/hyperlink" Target="https://www.sec.gov/Archives/edgar/data/1326801/000162828026003942/meta-20251231.htm" TargetMode="External"/><Relationship Id="rId57" Type="http://schemas.openxmlformats.org/officeDocument/2006/relationships/hyperlink" Target="https://www.fool.com/earnings/call-transcripts/2026/10/21/meta-meta-q3-2026-earnings-call-transcript/" TargetMode="External"/><Relationship Id="rId58" Type="http://schemas.openxmlformats.org/officeDocument/2006/relationships/hyperlink" Target="https://www.gurufocus.com/news/9140721/meta-platforms-inc-meta-q3-2026-earnings-call-highlights-revenue-surges-26-to-646-billion-as-ai-push-drives-growth-and-a-twoforone-stock-split" TargetMode="External"/><Relationship Id="rId59" Type="http://schemas.openxmlformats.org/officeDocument/2006/relationships/hyperlink" Target="https://abc30.com/story/judge-orders-meta-pay-25-billion-violating-new-mexico-law-cambridge-analytica-data-breach/19965355/" TargetMode="External"/><Relationship Id="rId60" Type="http://schemas.openxmlformats.org/officeDocument/2006/relationships/hyperlink" Target="https://ppc.land/meta-faces-15-yearly-interest-on-25bn-new-mexico-penalty/" TargetMode="External"/><Relationship Id="rId61" Type="http://schemas.openxmlformats.org/officeDocument/2006/relationships/hyperlink" Target="https://www.edweek.org/leadership/meta-reaches-17b-settlement-with-states-over-teen-social-media-addiction/2026/08" TargetMode="External"/><Relationship Id="rId62" Type="http://schemas.openxmlformats.org/officeDocument/2006/relationships/hyperlink" Target="https://www.sec.gov/Archives/edgar/data/0001326801/000119312526197902/d148113dfwp.htm" TargetMode="External"/><Relationship Id="rId63" Type="http://schemas.openxmlformats.org/officeDocument/2006/relationships/hyperlink" Target="https://www.globaldatacenterhub.com/p/the-hyperion-financing-is-the-signal" TargetMode="External"/><Relationship Id="rId64" Type="http://schemas.openxmlformats.org/officeDocument/2006/relationships/hyperlink" Target="https://kalkine.com/news/artificial-intelligence/meta-nasdaqmeta-leans-on-a-us123-billion-off-balance-sheet-bond-as-ai-data-centre-debt-turns-expensive" TargetMode="External"/><Relationship Id="rId65" Type="http://schemas.openxmlformats.org/officeDocument/2006/relationships/hyperlink" Target="https://finviz.com/news/318239/michael-burry-warns-msft-goog-meta-are-using-sinister-accounting-to-hide-ai-costs-inflate-profits-by-20" TargetMode="External"/><Relationship Id="rId66" Type="http://schemas.openxmlformats.org/officeDocument/2006/relationships/hyperlink" Target="https://www.benzinga.com/markets/equities/25/07/46747895/metas-210-billion-tech-stack-may-be-masking-a-harsh-truth-jim-chanos-says-12-year-depreciation-o" TargetMode="External"/><Relationship Id="rId67" Type="http://schemas.openxmlformats.org/officeDocument/2006/relationships/hyperlink" Target="https://finance.yahoo.com/video/wells-fargo-cuts-meta-price-002001458.html" TargetMode="External"/><Relationship Id="rId68" Type="http://schemas.openxmlformats.org/officeDocument/2006/relationships/hyperlink" Target="https://finance.yahoo.com/markets/article/one-line-from-metas-earnings-call-that-ensured-the-stock-will-likely-stay-dead-money-134542007.html" TargetMode="External"/><Relationship Id="rId69" Type="http://schemas.openxmlformats.org/officeDocument/2006/relationships/hyperlink" Target="https://www.alphavantage.co/query?function=EARNINGS_ESTIMATES&amp;symbol=META" TargetMode="External"/><Relationship Id="rId70" Type="http://schemas.openxmlformats.org/officeDocument/2006/relationships/hyperlink" Target="https://www.alphavantage.co/query?function=INSIDER_TRANSACTIONS&amp;symbol=META" TargetMode="External"/><Relationship Id="rId71" Type="http://schemas.openxmlformats.org/officeDocument/2006/relationships/hyperlink" Target="https://www.sec.gov/Archives/edgar/data/0001326801/000162828026066710/meta-20261021.htm" TargetMode="External"/><Relationship Id="rId72" Type="http://schemas.openxmlformats.org/officeDocument/2006/relationships/hyperlink" Target="https://www.emarketer.com/content/meta-rewrites-its-eu-ad-model-regulators-tighten-screws" TargetMode="External"/><Relationship Id="rId73" Type="http://schemas.openxmlformats.org/officeDocument/2006/relationships/hyperlink" Target="https://classicalinvestor.beehiiv.com/p/meta-the-125b-question-wednesday-s-print-will-answer" TargetMode="External"/><Relationship Id="rId74" Type="http://schemas.openxmlformats.org/officeDocument/2006/relationships/hyperlink" Target="https://www.ajc.com/news/2026/08/a-look-at-major-lawsuits-against-meta-and-other-social-media-companies-over-harms-to-kids/" TargetMode="External"/><Relationship Id="rId75" Type="http://schemas.openxmlformats.org/officeDocument/2006/relationships/hyperlink" Target="https://www.tipranks.com/news/the-fly/meta-platforms-price-target-lowered-to-810-from-900-at-bofa-thefly" TargetMode="External"/><Relationship Id="rId76" Type="http://schemas.openxmlformats.org/officeDocument/2006/relationships/hyperlink" Target="https://altss.com/blog/amazon-meta-server-depreciation-useful-lives-earnings" TargetMode="External"/><Relationship Id="rId77" Type="http://schemas.openxmlformats.org/officeDocument/2006/relationships/hyperlink" Target="https://www.sec.gov/Archives/edgar/data/1326801/000162828026066700/meta-09302026xexhibit991.htm" TargetMode="External"/><Relationship Id="rId78" Type="http://schemas.openxmlformats.org/officeDocument/2006/relationships/hyperlink" Target="https://www.sec.gov/Archives/edgar/data/1326801/000162828026066773/meta-20260930.htm" TargetMode="External"/><Relationship Id="rId79" Type="http://schemas.openxmlformats.org/officeDocument/2006/relationships/hyperlink" Target="https://www.sec.gov/Archives/edgar/data/1326801/000162828026003942/meta-20251231.htm" TargetMode="External"/><Relationship Id="rId80" Type="http://schemas.openxmlformats.org/officeDocument/2006/relationships/hyperlink" Target="https://www.sec.gov/Archives/edgar/data/1326801/000162828026003832/meta-12312025xexhibit991.htm" TargetMode="External"/><Relationship Id="rId81" Type="http://schemas.openxmlformats.org/officeDocument/2006/relationships/hyperlink" Target="https://www.sec.gov/Archives/edgar/data/1326801/000162828026028364/meta-03312026xexhibit991.htm" TargetMode="External"/><Relationship Id="rId82" Type="http://schemas.openxmlformats.org/officeDocument/2006/relationships/hyperlink" Target="https://www.sec.gov/Archives/edgar/data/1326801/000162828026050596/meta-06302026xexhibit991.htm" TargetMode="External"/><Relationship Id="rId83" Type="http://schemas.openxmlformats.org/officeDocument/2006/relationships/hyperlink" Target="https://www.sec.gov/Archives/edgar/data/1326801/000162828025047114/meta-09302025xexhibit991.htm" TargetMode="External"/><Relationship Id="rId84" Type="http://schemas.openxmlformats.org/officeDocument/2006/relationships/hyperlink" Target="https://www.sec.gov/Archives/edgar/data/1326801/000162828025036719/meta-06302025xexhibit991.htm" TargetMode="External"/><Relationship Id="rId85" Type="http://schemas.openxmlformats.org/officeDocument/2006/relationships/hyperlink" Target="https://www.sec.gov/Archives/edgar/data/1326801/000132680125000050/meta-03312025xexhibit991.htm" TargetMode="External"/><Relationship Id="rId86" Type="http://schemas.openxmlformats.org/officeDocument/2006/relationships/hyperlink" Target="https://www.sec.gov/Archives/edgar/data/1326801/000132680125000014/meta-12312024xexhibit991.htm" TargetMode="External"/><Relationship Id="rId87" Type="http://schemas.openxmlformats.org/officeDocument/2006/relationships/hyperlink" Target="https://www.sec.gov/Archives/edgar/data/1326801/000132680124000077/meta-09302024xexhibit991.htm" TargetMode="External"/><Relationship Id="rId88" Type="http://schemas.openxmlformats.org/officeDocument/2006/relationships/hyperlink" Target="https://www.sec.gov/Archives/edgar/data/1326801/000132680123000100/meta09302023-exhibit991.htm" TargetMode="External"/><Relationship Id="rId89" Type="http://schemas.openxmlformats.org/officeDocument/2006/relationships/hyperlink" Target="https://www.sec.gov/Archives/edgar/data/1326801/000132680122000105/meta09302022-exhibit991.htm" TargetMode="External"/><Relationship Id="rId90" Type="http://schemas.openxmlformats.org/officeDocument/2006/relationships/hyperlink" Target="https://www.alphavantage.co/query?function=EARNINGS_ESTIMATES&amp;symbol=META" TargetMode="External"/><Relationship Id="rId91" Type="http://schemas.openxmlformats.org/officeDocument/2006/relationships/hyperlink" Target="https://www.investing.com/news/transcripts/earnings-call-transcript-meta-beats-q3-2026-estimates-as-ai-push-lifts-shares-93CH-4964260" TargetMode="External"/><Relationship Id="rId92" Type="http://schemas.openxmlformats.org/officeDocument/2006/relationships/hyperlink" Target="https://siliconangle.com/2026/10/21/meta-beats-on-revenue-and-splits-its-stock-two-for-one-with-non-voting-class-c-shares-raise-capital/" TargetMode="External"/><Relationship Id="rId93" Type="http://schemas.openxmlformats.org/officeDocument/2006/relationships/hyperlink" Target="https://techcrunch.com/2026/09/25/meta-is-putting-its-muscle-behind-muse-as-the-ai-app-takes-off" TargetMode="External"/><Relationship Id="rId94" Type="http://schemas.openxmlformats.org/officeDocument/2006/relationships/hyperlink" Target="https://ppc.land/metas-muse-gains-10-million-us-downloads-in-40-days-sensor-tower-finds/" TargetMode="External"/><Relationship Id="rId95" Type="http://schemas.openxmlformats.org/officeDocument/2006/relationships/hyperlink" Target="https://commonthreadco.com/blogs/coachs-corner/meta-cpms-are-about-to-spike-heres-your-6-week-window-to-get-ahead" TargetMode="External"/><Relationship Id="rId96" Type="http://schemas.openxmlformats.org/officeDocument/2006/relationships/hyperlink" Target="https://polymarket.com/event/which-company-has-best-ai-model-end-of-2026" TargetMode="External"/><Relationship Id="rId97" Type="http://schemas.openxmlformats.org/officeDocument/2006/relationships/hyperlink" Target="https://ppc.land/metas-ads-with-creators-gain-97-to-a-15bn-annual-run-rate/" TargetMode="External"/><Relationship Id="rId98" Type="http://schemas.openxmlformats.org/officeDocument/2006/relationships/hyperlink" Target="https://www.trefis.com/articles/616799/meta-up-37-was-it-the-muse-app-or-the-ad-machine/2026-09-28" TargetMode="External"/><Relationship Id="rId99" Type="http://schemas.openxmlformats.org/officeDocument/2006/relationships/hyperlink" Target="https://techcrunch.com/2026/01/18/threads-edges-out-x-in-daily-mobile-users-new-data-shows" TargetMode="External"/><Relationship Id="rId100" Type="http://schemas.openxmlformats.org/officeDocument/2006/relationships/hyperlink" Target="https://www.deepresearchglobal.com/p/meta-fundamental-analysis-report" TargetMode="External"/><Relationship Id="rId101" Type="http://schemas.openxmlformats.org/officeDocument/2006/relationships/hyperlink" Target="https://www.shopifreaks.com/ftc-asks-d-c-circuit-appeals-court-to-revive-its-monopoly-case-against-meta-over-instagram-and-whatsapp-acquisitions/" TargetMode="External"/><Relationship Id="rId102" Type="http://schemas.openxmlformats.org/officeDocument/2006/relationships/hyperlink" Target="https://digital-markets-act.ec.europa.eu/meta-commits-give-eu-users-choice-personalised-ads-under-digital-markets-act-2025-12-08_en" TargetMode="External"/><Relationship Id="rId103" Type="http://schemas.openxmlformats.org/officeDocument/2006/relationships/hyperlink" Target="https://defirate.com/prediction-markets/best-ai-model-odds-this-year/" TargetMode="External"/><Relationship Id="rId104" Type="http://schemas.openxmlformats.org/officeDocument/2006/relationships/hyperlink" Target="https://www.sec.gov/Archives/edgar/data/1326801/000132680124000010/meta-12312023xexhibit991.htm" TargetMode="External"/><Relationship Id="rId105" Type="http://schemas.openxmlformats.org/officeDocument/2006/relationships/hyperlink" Target="https://www.sec.gov/Archives/edgar/data/1326801/000162828026066700/meta-09302026xexhibit991.htm" TargetMode="External"/><Relationship Id="rId106" Type="http://schemas.openxmlformats.org/officeDocument/2006/relationships/hyperlink" Target="https://www.sec.gov/Archives/edgar/data/1326801/000162828026066773/meta-20260930.htm" TargetMode="External"/><Relationship Id="rId107" Type="http://schemas.openxmlformats.org/officeDocument/2006/relationships/hyperlink" Target="https://www.sec.gov/Archives/edgar/data/1326801/000162828026003942/meta-20251231.htm" TargetMode="External"/><Relationship Id="rId108" Type="http://schemas.openxmlformats.org/officeDocument/2006/relationships/hyperlink" Target="https://www.sec.gov/Archives/edgar/data/1326801/000162828026003832/meta-12312025xexhibit991.htm" TargetMode="External"/><Relationship Id="rId109" Type="http://schemas.openxmlformats.org/officeDocument/2006/relationships/hyperlink" Target="https://www.sec.gov/Archives/edgar/data/1326801/000162828026028364/meta-03312026xexhibit991.htm" TargetMode="External"/><Relationship Id="rId110" Type="http://schemas.openxmlformats.org/officeDocument/2006/relationships/hyperlink" Target="https://www.sec.gov/Archives/edgar/data/1326801/000162828026050596/meta-06302026xexhibit991.htm" TargetMode="External"/><Relationship Id="rId111" Type="http://schemas.openxmlformats.org/officeDocument/2006/relationships/hyperlink" Target="https://www.sec.gov/Archives/edgar/data/1326801/000162828025047114/meta-09302025xexhibit991.htm" TargetMode="External"/><Relationship Id="rId112" Type="http://schemas.openxmlformats.org/officeDocument/2006/relationships/hyperlink" Target="https://www.sec.gov/Archives/edgar/data/1326801/000132680125000014/meta-12312024xexhibit991.htm" TargetMode="External"/><Relationship Id="rId113" Type="http://schemas.openxmlformats.org/officeDocument/2006/relationships/hyperlink" Target="https://www.sec.gov/Archives/edgar/data/1326801/000132680124000010/meta-12312023xexhibit991.htm" TargetMode="External"/><Relationship Id="rId114" Type="http://schemas.openxmlformats.org/officeDocument/2006/relationships/hyperlink" Target="https://www.sec.gov/Archives/edgar/data/1326801/000132680123000100/meta09302023-exhibit991.htm" TargetMode="External"/><Relationship Id="rId115" Type="http://schemas.openxmlformats.org/officeDocument/2006/relationships/hyperlink" Target="https://www.sec.gov/Archives/edgar/data/1326801/000132680122000105/meta09302022-exhibit991.htm" TargetMode="External"/><Relationship Id="rId116" Type="http://schemas.openxmlformats.org/officeDocument/2006/relationships/hyperlink" Target="https://s21.q4cdn.com/399680738/files/content_files/META-Q3-2026-Earnings-Call-Transcript.pdf" TargetMode="External"/><Relationship Id="rId117" Type="http://schemas.openxmlformats.org/officeDocument/2006/relationships/hyperlink" Target="https://www.alphavantage.co/query?function=EARNINGS_ESTIMATES&amp;symbol=META" TargetMode="External"/><Relationship Id="rId118" Type="http://schemas.openxmlformats.org/officeDocument/2006/relationships/hyperlink" Target="https://www.alphavantage.co/query?function=TIME_SERIES_MONTHLY_ADJUSTED&amp;symbol=META" TargetMode="External"/><Relationship Id="rId119" Type="http://schemas.openxmlformats.org/officeDocument/2006/relationships/hyperlink" Target="https://siliconangle.com/2026/10/21/meta-beats-on-revenue-and-splits-its-stock-two-for-one-with-non-voting-class-c-shares-raise-capital/" TargetMode="External"/><Relationship Id="rId120" Type="http://schemas.openxmlformats.org/officeDocument/2006/relationships/hyperlink" Target="https://finance.yahoo.com/markets/article/one-line-from-metas-earnings-call-that-ensured-the-stock-will-likely-stay-dead-money-134542007.html" TargetMode="External"/><Relationship Id="rId121" Type="http://schemas.openxmlformats.org/officeDocument/2006/relationships/hyperlink" Target="https://cryptobriefing.com/kalshi-traders-recession-odds-20-percent/" TargetMode="External"/><Relationship Id="rId122" Type="http://schemas.openxmlformats.org/officeDocument/2006/relationships/hyperlink" Target="https://polyguana.com/events/what-price-will-meta-hit-in-april-2026" TargetMode="External"/><Relationship Id="rId123" Type="http://schemas.openxmlformats.org/officeDocument/2006/relationships/hyperlink" Target="https://wisesheets.io/pe-ratio/META" TargetMode="External"/><Relationship Id="rId124" Type="http://schemas.openxmlformats.org/officeDocument/2006/relationships/hyperlink" Target="https://www.webull.com/news/15667139777610752" TargetMode="External"/><Relationship Id="rId125" Type="http://schemas.openxmlformats.org/officeDocument/2006/relationships/hyperlink" Target="https://www.thestar.com.my/tech/tech-news/2026/08/12/factbox-what039s-the-latest-in-the-trials-over-claims-social-media-is-hurting-children" TargetMode="External"/><Relationship Id="rId126" Type="http://schemas.openxmlformats.org/officeDocument/2006/relationships/hyperlink" Target="https://www.insurancejournal.com/news/national/2026/05/22/871046.htm" TargetMode="External"/><Relationship Id="rId127" Type="http://schemas.openxmlformats.org/officeDocument/2006/relationships/hyperlink" Target="https://www.seegerweiss.com/news/first-social-media-addiction-mdl-bellwether-trial-settlement/" TargetMode="External"/><Relationship Id="rId128" Type="http://schemas.openxmlformats.org/officeDocument/2006/relationships/hyperlink" Target="https://storage02.forbrukerradet.no/media/2026/03/beuc-x-2026-021-analysis-of-meta-2026-changes-to-its-consent-for-ads-mechanism-against-eu-law.pdf" TargetMode="External"/><Relationship Id="rId129" Type="http://schemas.openxmlformats.org/officeDocument/2006/relationships/hyperlink" Target="https://www.jurist.org/news/2025/04/european-commission-fines-apple-and-meta-e700m-for-breaching-digital-markets-act/" TargetMode="External"/><Relationship Id="rId130" Type="http://schemas.openxmlformats.org/officeDocument/2006/relationships/hyperlink" Target="https://longyield.substack.com/p/the-class-c-dividend-what-metas-non" TargetMode="External"/><Relationship Id="rId131" Type="http://schemas.openxmlformats.org/officeDocument/2006/relationships/hyperlink" Target="https://www.ig.com/uk/trading-strategies/google-stock-split-history--what-you-need-to-know-190905" TargetMode="External"/><Relationship Id="rId132" Type="http://schemas.openxmlformats.org/officeDocument/2006/relationships/hyperlink" Target="https://www.zawya.com/en/capital-markets/wall-street-expects-metas-ai-agent-to-shape-into-a-new-revenue-engine-1114107" TargetMode="External"/><Relationship Id="rId133" Type="http://schemas.openxmlformats.org/officeDocument/2006/relationships/hyperlink" Target="https://www.heygotrade.com/en/news/meta-meta-stock-news-october-15-2026/" TargetMode="External"/><Relationship Id="rId134" Type="http://schemas.openxmlformats.org/officeDocument/2006/relationships/hyperlink" Target="https://cryptobriefing.com/meta-stock-best-month-ai-muse-launch/" TargetMode="External"/><Relationship Id="rId135" Type="http://schemas.openxmlformats.org/officeDocument/2006/relationships/hyperlink" Target="https://www.sec.gov/Archives/edgar/data/1326801/000162828026066700/meta-09302026xexhibit991.htm" TargetMode="External"/><Relationship Id="rId136" Type="http://schemas.openxmlformats.org/officeDocument/2006/relationships/hyperlink" Target="https://www.sec.gov/Archives/edgar/data/1326801/000162828026066773/meta-20260930.htm" TargetMode="External"/><Relationship Id="rId137" Type="http://schemas.openxmlformats.org/officeDocument/2006/relationships/hyperlink" Target="https://s21.q4cdn.com/399680738/files/content_files/META-Q3-2026-Earnings-Call-Transcript.pdf" TargetMode="External"/><Relationship Id="rId138" Type="http://schemas.openxmlformats.org/officeDocument/2006/relationships/hyperlink" Target="https://s21.q4cdn.com/399680738/files/doc_financials/2026/q2/META-Q2-2026-Earnings-Call-Transcript.pdf" TargetMode="External"/><Relationship Id="rId139" Type="http://schemas.openxmlformats.org/officeDocument/2006/relationships/hyperlink" Target="https://www.sec.gov/Archives/edgar/data/1326801/000162828026066700/meta-20261019.htm" TargetMode="External"/><Relationship Id="rId140" Type="http://schemas.openxmlformats.org/officeDocument/2006/relationships/hyperlink" Target="https://www.sec.gov/Archives/edgar/data/1326801/000162828026003832/meta-12312025xexhibit991.htm" TargetMode="External"/><Relationship Id="rId141" Type="http://schemas.openxmlformats.org/officeDocument/2006/relationships/hyperlink" Target="https://www.sec.gov/Archives/edgar/data/1326801/000162828026003942/meta-20251231.htm" TargetMode="External"/><Relationship Id="rId142" Type="http://schemas.openxmlformats.org/officeDocument/2006/relationships/hyperlink" Target="https://www.sec.gov/Archives/edgar/data/1326801/000162828026028364/meta-03312026xexhibit991.htm" TargetMode="External"/><Relationship Id="rId143" Type="http://schemas.openxmlformats.org/officeDocument/2006/relationships/hyperlink" Target="https://www.sec.gov/Archives/edgar/data/1326801/000162828026050596/meta-06302026xexhibit991.htm" TargetMode="External"/><Relationship Id="rId144" Type="http://schemas.openxmlformats.org/officeDocument/2006/relationships/hyperlink" Target="https://www.sec.gov/Archives/edgar/data/1326801/000162828025047114/meta-09302025xexhibit991.htm" TargetMode="External"/><Relationship Id="rId145" Type="http://schemas.openxmlformats.org/officeDocument/2006/relationships/hyperlink" Target="https://www.sec.gov/Archives/edgar/data/1326801/000162828025036719/meta-06302025xexhibit991.htm" TargetMode="External"/><Relationship Id="rId146" Type="http://schemas.openxmlformats.org/officeDocument/2006/relationships/hyperlink" Target="https://www.sec.gov/Archives/edgar/data/1326801/000132680125000050/meta-03312025xexhibit991.htm" TargetMode="External"/><Relationship Id="rId147" Type="http://schemas.openxmlformats.org/officeDocument/2006/relationships/hyperlink" Target="https://www.sec.gov/Archives/edgar/data/1326801/000132680125000014/meta-12312024xexhibit991.htm" TargetMode="External"/><Relationship Id="rId148" Type="http://schemas.openxmlformats.org/officeDocument/2006/relationships/hyperlink" Target="https://www.sec.gov/Archives/edgar/data/1326801/000132680124000077/meta-09302024xexhibit991.htm" TargetMode="External"/><Relationship Id="rId149" Type="http://schemas.openxmlformats.org/officeDocument/2006/relationships/hyperlink" Target="https://www.sec.gov/Archives/edgar/data/1326801/000132680124000065/meta-06302024xexhibit991.htm" TargetMode="External"/><Relationship Id="rId150" Type="http://schemas.openxmlformats.org/officeDocument/2006/relationships/hyperlink" Target="https://www.sec.gov/Archives/edgar/data/1326801/000132680124000010/meta-12312023xexhibit991.htm" TargetMode="External"/><Relationship Id="rId151" Type="http://schemas.openxmlformats.org/officeDocument/2006/relationships/hyperlink" Target="https://www.sec.gov/Archives/edgar/data/1326801/000132680123000100/meta09302023-exhibit991.htm" TargetMode="External"/><Relationship Id="rId152" Type="http://schemas.openxmlformats.org/officeDocument/2006/relationships/hyperlink" Target="https://www.sec.gov/Archives/edgar/data/1326801/000132680122000105/meta09302022-exhibit991.htm" TargetMode="External"/><Relationship Id="rId153" Type="http://schemas.openxmlformats.org/officeDocument/2006/relationships/hyperlink" Target="https://api.nasdaq.com/api/analyst/META/earnings-forecast" TargetMode="External"/><Relationship Id="rId154" Type="http://schemas.openxmlformats.org/officeDocument/2006/relationships/hyperlink" Target="https://data.sec.gov/api/xbrl/companyfacts/CIK0001326801.json" TargetMode="External"/><Relationship Id="rId155" Type="http://schemas.openxmlformats.org/officeDocument/2006/relationships/hyperlink" Target="https://news.bloombergtax.com/litigation/meta-to-pay-historic-25-billion-in-new-mexico-deception-case" TargetMode="External"/><Relationship Id="rId156" Type="http://schemas.openxmlformats.org/officeDocument/2006/relationships/hyperlink" Target="https://ppc.land/meta-faces-15-yearly-interest-on-25bn-new-mexico-penalty/" TargetMode="External"/><Relationship Id="rId157" Type="http://schemas.openxmlformats.org/officeDocument/2006/relationships/hyperlink" Target="https://ppc.land/warc-forecasts-social-media-ad-spend-gains-21-3-to-394-6bn-in-2026/" TargetMode="External"/><Relationship Id="rId158" Type="http://schemas.openxmlformats.org/officeDocument/2006/relationships/hyperlink" Target="https://www.sec.gov/Archives/edgar/data/1326801/000119312526432549/d382225dfwp.htm" TargetMode="External"/><Relationship Id="rId159" Type="http://schemas.openxmlformats.org/officeDocument/2006/relationships/hyperlink" Target="https://www.sec.gov/Archives/edgar/data/1326801/000119312526431036/d116268dfwp.htm" TargetMode="External"/><Relationship Id="rId160" Type="http://schemas.openxmlformats.org/officeDocument/2006/relationships/hyperlink" Target="https://www.sec.gov/Archives/edgar/data/1326801/000119312526431040/d94886d424b5.htm" TargetMode="External"/><Relationship Id="rId161" Type="http://schemas.openxmlformats.org/officeDocument/2006/relationships/hyperlink" Target="https://www.sec.gov/Archives/edgar/data/1326801/000119312526431043/d133631d424b5.htm" TargetMode="External"/><Relationship Id="rId162" Type="http://schemas.openxmlformats.org/officeDocument/2006/relationships/hyperlink" Target="https://finance.yahoo.com/video/wells-fargo-cuts-meta-price-002001458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614.99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857.89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490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0.3866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636.471193867087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Methods!C8</f>
        <v>715.8275</v>
      </c>
      <c r="C18" s="13" t="n">
        <f aca="false">Methods!E8</f>
        <v>715.83</v>
      </c>
    </row>
    <row r="19" customFormat="false" ht="15" hidden="false" customHeight="false" outlineLevel="0" collapsed="false">
      <c r="A19" s="5" t="s">
        <v>30</v>
      </c>
      <c r="B19" s="13" t="n">
        <f aca="false">Methods!C14</f>
        <v>690.7695</v>
      </c>
      <c r="C19" s="13" t="n">
        <f aca="false">Methods!E14</f>
        <v>690.77</v>
      </c>
    </row>
    <row r="20" customFormat="false" ht="15" hidden="false" customHeight="false" outlineLevel="0" collapsed="false">
      <c r="A20" s="5" t="s">
        <v>31</v>
      </c>
      <c r="B20" s="13" t="n">
        <f aca="false">Methods!C20</f>
        <v>621.73</v>
      </c>
      <c r="C20" s="13" t="n">
        <f aca="false">Methods!E20</f>
        <v>621.73</v>
      </c>
    </row>
    <row r="21" customFormat="false" ht="15" hidden="false" customHeight="false" outlineLevel="0" collapsed="false">
      <c r="A21" s="5" t="s">
        <v>32</v>
      </c>
      <c r="B21" s="13" t="n">
        <f aca="false">Methods!C25</f>
        <v>710.25</v>
      </c>
      <c r="C21" s="13" t="n">
        <f aca="false">Methods!E25</f>
        <v>710.25</v>
      </c>
    </row>
    <row r="22" customFormat="false" ht="15" hidden="false" customHeight="false" outlineLevel="0" collapsed="false">
      <c r="A22" s="5" t="s">
        <v>33</v>
      </c>
      <c r="B22" s="13" t="n">
        <f aca="false">Methods!C31</f>
        <v>724.97</v>
      </c>
      <c r="C22" s="13" t="n">
        <f aca="false">Methods!E31</f>
        <v>724.97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692.7094</v>
      </c>
      <c r="C23" s="15" t="n">
        <f aca="false">AVERAGE(C18:C22)</f>
        <v>692.71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710.25</v>
      </c>
      <c r="C24" s="16" t="n">
        <f aca="false">MEDIAN(C18:C22)</f>
        <v>710.25</v>
      </c>
    </row>
    <row r="25" customFormat="false" ht="113.4" hidden="false" customHeight="false" outlineLevel="0" collapsed="false">
      <c r="A25" s="14" t="s">
        <v>36</v>
      </c>
      <c r="C25" s="17" t="n">
        <v>653.21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0.0621473519894633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651.053248934804</v>
      </c>
      <c r="C29" s="6" t="n">
        <v>646.8603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844.009781647754</v>
      </c>
      <c r="C30" s="6" t="n">
        <v>815.3527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426.052695568043</v>
      </c>
      <c r="C31" s="6" t="n">
        <v>433.2221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491.96245049271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490</v>
      </c>
      <c r="C33" s="21" t="n">
        <v>490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0.0586403826644397</v>
      </c>
      <c r="C34" s="18" t="n">
        <f aca="false">C29/Spot-1</f>
        <v>0.0518224686580271</v>
      </c>
    </row>
    <row r="35" customFormat="false" ht="15" hidden="false" customHeight="false" outlineLevel="0" collapsed="false">
      <c r="A35" s="5" t="s">
        <v>54</v>
      </c>
      <c r="C35" s="12" t="n">
        <v>0.5566</v>
      </c>
    </row>
    <row r="36" customFormat="false" ht="23.85" hidden="false" customHeight="false" outlineLevel="0" collapsed="false">
      <c r="A36" s="5" t="s">
        <v>55</v>
      </c>
      <c r="C36" s="6" t="n">
        <v>689.2499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153.75</v>
      </c>
      <c r="B6" s="24" t="n">
        <f aca="false">LN(A6)</f>
        <v>5.03532790668663</v>
      </c>
      <c r="C6" s="25" t="n">
        <v>0.9997</v>
      </c>
      <c r="D6" s="25" t="n">
        <v>0.9982</v>
      </c>
      <c r="E6" s="25" t="n">
        <v>0.9991</v>
      </c>
      <c r="F6" s="25" t="n">
        <v>0.9982</v>
      </c>
      <c r="G6" s="25" t="n">
        <v>0.9982</v>
      </c>
      <c r="H6" s="25" t="n">
        <v>0.9982</v>
      </c>
      <c r="I6" s="24" t="n">
        <f aca="false">AVERAGE(D6:H6)</f>
        <v>0.99838</v>
      </c>
      <c r="J6" s="25" t="n">
        <v>0.9982</v>
      </c>
      <c r="K6" s="24" t="n">
        <f aca="false">IF(AND(Sup_Used=1,ISNUMBER(J6)),J6,I6)</f>
        <v>0.99838</v>
      </c>
      <c r="L6" s="24" t="n">
        <f aca="false">LN(MIN(MAX(K6,0.0001),0.9999)/(1-MIN(MAX(K6,0.0001),0.9999)))</f>
        <v>6.42370781611897</v>
      </c>
      <c r="M6" s="16" t="n">
        <f aca="false">A6*EXP(-Platt_Shift)</f>
        <v>153.75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0.99838</v>
      </c>
      <c r="P6" s="24" t="n">
        <f aca="false">LN(MIN(MAX(C6,0.0001),0.9999)/(1-MIN(MAX(C6,0.0001),0.9999)))</f>
        <v>8.11142803829918</v>
      </c>
      <c r="Q6" s="16" t="n">
        <f aca="false">IF(Analyst_Median&gt;0,A6*Market_Median/Analyst_Median,A6)</f>
        <v>114.067591482666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0.999970767963579</v>
      </c>
      <c r="T6" s="24" t="n">
        <f aca="false">W_Mkt*C6+W_Agents*O6</f>
        <v>0.9992644</v>
      </c>
      <c r="U6" s="27" t="n">
        <f aca="false">(1-W_Analyst)*T6+W_Analyst*S6</f>
        <v>0.9992644</v>
      </c>
      <c r="V6" s="24" t="n">
        <f aca="false">LN(MIN(MAX(U6,0.0001),0.9999)/(1-MIN(MAX(U6,0.0001),0.9999)))</f>
        <v>7.21408819454775</v>
      </c>
      <c r="W6" s="25" t="n">
        <v>0.9998</v>
      </c>
    </row>
    <row r="7" customFormat="false" ht="15" hidden="false" customHeight="false" outlineLevel="0" collapsed="false">
      <c r="A7" s="6" t="n">
        <v>246</v>
      </c>
      <c r="B7" s="24" t="n">
        <f aca="false">LN(A7)</f>
        <v>5.50533153593236</v>
      </c>
      <c r="C7" s="25" t="n">
        <v>0.9884</v>
      </c>
      <c r="D7" s="25" t="n">
        <v>0.9954</v>
      </c>
      <c r="E7" s="25" t="n">
        <v>0.9973</v>
      </c>
      <c r="F7" s="25" t="n">
        <v>0.9954</v>
      </c>
      <c r="G7" s="25" t="n">
        <v>0.9954</v>
      </c>
      <c r="H7" s="25" t="n">
        <v>0.9954</v>
      </c>
      <c r="I7" s="24" t="n">
        <f aca="false">AVERAGE(D7:H7)</f>
        <v>0.99578</v>
      </c>
      <c r="J7" s="25" t="n">
        <v>0.9946</v>
      </c>
      <c r="K7" s="24" t="n">
        <f aca="false">IF(AND(Sup_Used=1,ISNUMBER(J7)),J7,I7)</f>
        <v>0.99578</v>
      </c>
      <c r="L7" s="24" t="n">
        <f aca="false">LN(MIN(MAX(K7,0.0001),0.9999)/(1-MIN(MAX(K7,0.0001),0.9999)))</f>
        <v>5.46369122160415</v>
      </c>
      <c r="M7" s="16" t="n">
        <f aca="false">A7*EXP(-Platt_Shift)</f>
        <v>246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0.99578</v>
      </c>
      <c r="P7" s="24" t="n">
        <f aca="false">LN(MIN(MAX(C7,0.0001),0.9999)/(1-MIN(MAX(C7,0.0001),0.9999)))</f>
        <v>4.44508237600213</v>
      </c>
      <c r="Q7" s="16" t="n">
        <f aca="false">IF(Analyst_Median&gt;0,A7*Market_Median/Analyst_Median,A7)</f>
        <v>182.508146372266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0.998858044375046</v>
      </c>
      <c r="T7" s="24" t="n">
        <f aca="false">W_Mkt*C7+W_Agents*O7</f>
        <v>0.9908354</v>
      </c>
      <c r="U7" s="27" t="n">
        <f aca="false">(1-W_Analyst)*T7+W_Analyst*S7</f>
        <v>0.9908354</v>
      </c>
      <c r="V7" s="24" t="n">
        <f aca="false">LN(MIN(MAX(U7,0.0001),0.9999)/(1-MIN(MAX(U7,0.0001),0.9999)))</f>
        <v>4.68320018964075</v>
      </c>
      <c r="W7" s="25" t="n">
        <v>0.9926</v>
      </c>
    </row>
    <row r="8" customFormat="false" ht="15" hidden="false" customHeight="false" outlineLevel="0" collapsed="false">
      <c r="A8" s="6" t="n">
        <v>307.5</v>
      </c>
      <c r="B8" s="24" t="n">
        <f aca="false">LN(A8)</f>
        <v>5.72847508724657</v>
      </c>
      <c r="C8" s="25" t="n">
        <v>0.9589</v>
      </c>
      <c r="D8" s="25" t="n">
        <v>0.9841</v>
      </c>
      <c r="E8" s="25" t="n">
        <v>0.9855</v>
      </c>
      <c r="F8" s="25" t="n">
        <v>0.9853</v>
      </c>
      <c r="G8" s="25" t="n">
        <v>0.9859</v>
      </c>
      <c r="H8" s="25" t="n">
        <v>0.9859</v>
      </c>
      <c r="I8" s="24" t="n">
        <f aca="false">AVERAGE(D8:H8)</f>
        <v>0.98534</v>
      </c>
      <c r="J8" s="25" t="n">
        <v>0.9804</v>
      </c>
      <c r="K8" s="24" t="n">
        <f aca="false">IF(AND(Sup_Used=1,ISNUMBER(J8)),J8,I8)</f>
        <v>0.98534</v>
      </c>
      <c r="L8" s="24" t="n">
        <f aca="false">LN(MIN(MAX(K8,0.0001),0.9999)/(1-MIN(MAX(K8,0.0001),0.9999)))</f>
        <v>4.20786406281846</v>
      </c>
      <c r="M8" s="16" t="n">
        <f aca="false">A8*EXP(-Platt_Shift)</f>
        <v>307.5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0.98534</v>
      </c>
      <c r="P8" s="24" t="n">
        <f aca="false">LN(MIN(MAX(C8,0.0001),0.9999)/(1-MIN(MAX(C8,0.0001),0.9999)))</f>
        <v>3.14977867265745</v>
      </c>
      <c r="Q8" s="16" t="n">
        <f aca="false">IF(Analyst_Median&gt;0,A8*Market_Median/Analyst_Median,A8)</f>
        <v>228.135182965333</v>
      </c>
      <c r="R8" s="26" t="n">
        <f aca="false">MIN(MAX(IFERROR(MATCH(Q8,Distribution!$A$6:$A$20,1),1),1),14)</f>
        <v>1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0.993524288653309</v>
      </c>
      <c r="T8" s="24" t="n">
        <f aca="false">W_Mkt*C8+W_Agents*O8</f>
        <v>0.9676252</v>
      </c>
      <c r="U8" s="27" t="n">
        <f aca="false">(1-W_Analyst)*T8+W_Analyst*S8</f>
        <v>0.9676252</v>
      </c>
      <c r="V8" s="24" t="n">
        <f aca="false">LN(MIN(MAX(U8,0.0001),0.9999)/(1-MIN(MAX(U8,0.0001),0.9999)))</f>
        <v>3.39746447982206</v>
      </c>
      <c r="W8" s="25" t="n">
        <v>0.9707</v>
      </c>
    </row>
    <row r="9" customFormat="false" ht="15" hidden="false" customHeight="false" outlineLevel="0" collapsed="false">
      <c r="A9" s="6" t="n">
        <v>368.99</v>
      </c>
      <c r="B9" s="24" t="n">
        <f aca="false">LN(A9)</f>
        <v>5.91076954340231</v>
      </c>
      <c r="C9" s="25" t="n">
        <v>0.9037</v>
      </c>
      <c r="D9" s="25" t="n">
        <v>0.9396</v>
      </c>
      <c r="E9" s="25" t="n">
        <v>0.9475</v>
      </c>
      <c r="F9" s="25" t="n">
        <v>0.9426</v>
      </c>
      <c r="G9" s="25" t="n">
        <v>0.9551</v>
      </c>
      <c r="H9" s="25" t="n">
        <v>0.9574</v>
      </c>
      <c r="I9" s="24" t="n">
        <f aca="false">AVERAGE(D9:H9)</f>
        <v>0.94844</v>
      </c>
      <c r="J9" s="25" t="n">
        <v>0.9371</v>
      </c>
      <c r="K9" s="24" t="n">
        <f aca="false">IF(AND(Sup_Used=1,ISNUMBER(J9)),J9,I9)</f>
        <v>0.94844</v>
      </c>
      <c r="L9" s="24" t="n">
        <f aca="false">LN(MIN(MAX(K9,0.0001),0.9999)/(1-MIN(MAX(K9,0.0001),0.9999)))</f>
        <v>2.91207235152779</v>
      </c>
      <c r="M9" s="16" t="n">
        <f aca="false">A9*EXP(-Platt_Shift)</f>
        <v>368.99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0.94844</v>
      </c>
      <c r="P9" s="24" t="n">
        <f aca="false">LN(MIN(MAX(C9,0.0001),0.9999)/(1-MIN(MAX(C9,0.0001),0.9999)))</f>
        <v>2.23902912810383</v>
      </c>
      <c r="Q9" s="16" t="n">
        <f aca="false">IF(Analyst_Median&gt;0,A9*Market_Median/Analyst_Median,A9)</f>
        <v>273.754800528059</v>
      </c>
      <c r="R9" s="26" t="n">
        <f aca="false">MIN(MAX(IFERROR(MATCH(Q9,Distribution!$A$6:$A$20,1),1),1),14)</f>
        <v>2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0.978637867130921</v>
      </c>
      <c r="T9" s="24" t="n">
        <f aca="false">W_Mkt*C9+W_Agents*O9</f>
        <v>0.9184642</v>
      </c>
      <c r="U9" s="27" t="n">
        <f aca="false">(1-W_Analyst)*T9+W_Analyst*S9</f>
        <v>0.9184642</v>
      </c>
      <c r="V9" s="24" t="n">
        <f aca="false">LN(MIN(MAX(U9,0.0001),0.9999)/(1-MIN(MAX(U9,0.0001),0.9999)))</f>
        <v>2.42166073970091</v>
      </c>
      <c r="W9" s="25" t="n">
        <v>0.925</v>
      </c>
    </row>
    <row r="10" customFormat="false" ht="15" hidden="false" customHeight="false" outlineLevel="0" collapsed="false">
      <c r="A10" s="6" t="n">
        <v>430.49</v>
      </c>
      <c r="B10" s="24" t="n">
        <f aca="false">LN(A10)</f>
        <v>6.06492409479428</v>
      </c>
      <c r="C10" s="25" t="n">
        <v>0.8249</v>
      </c>
      <c r="D10" s="25" t="n">
        <v>0.8627</v>
      </c>
      <c r="E10" s="25" t="n">
        <v>0.8811</v>
      </c>
      <c r="F10" s="25" t="n">
        <v>0.8599</v>
      </c>
      <c r="G10" s="25" t="n">
        <v>0.8971</v>
      </c>
      <c r="H10" s="25" t="n">
        <v>0.9067</v>
      </c>
      <c r="I10" s="24" t="n">
        <f aca="false">AVERAGE(D10:H10)</f>
        <v>0.8815</v>
      </c>
      <c r="J10" s="25" t="n">
        <v>0.8656</v>
      </c>
      <c r="K10" s="24" t="n">
        <f aca="false">IF(AND(Sup_Used=1,ISNUMBER(J10)),J10,I10)</f>
        <v>0.8815</v>
      </c>
      <c r="L10" s="24" t="n">
        <f aca="false">LN(MIN(MAX(K10,0.0001),0.9999)/(1-MIN(MAX(K10,0.0001),0.9999)))</f>
        <v>2.00671204126274</v>
      </c>
      <c r="M10" s="16" t="n">
        <f aca="false">A10*EXP(-Platt_Shift)</f>
        <v>430.49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0.8815</v>
      </c>
      <c r="P10" s="24" t="n">
        <f aca="false">LN(MIN(MAX(C10,0.0001),0.9999)/(1-MIN(MAX(C10,0.0001),0.9999)))</f>
        <v>1.54990492757488</v>
      </c>
      <c r="Q10" s="16" t="n">
        <f aca="false">IF(Analyst_Median&gt;0,A10*Market_Median/Analyst_Median,A10)</f>
        <v>319.381837121125</v>
      </c>
      <c r="R10" s="26" t="n">
        <f aca="false">MIN(MAX(IFERROR(MATCH(Q10,Distribution!$A$6:$A$20,1),1),1),14)</f>
        <v>3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0.950751207889072</v>
      </c>
      <c r="T10" s="24" t="n">
        <f aca="false">W_Mkt*C10+W_Agents*O10</f>
        <v>0.843578</v>
      </c>
      <c r="U10" s="27" t="n">
        <f aca="false">(1-W_Analyst)*T10+W_Analyst*S10</f>
        <v>0.843578</v>
      </c>
      <c r="V10" s="24" t="n">
        <f aca="false">LN(MIN(MAX(U10,0.0001),0.9999)/(1-MIN(MAX(U10,0.0001),0.9999)))</f>
        <v>1.68509488637382</v>
      </c>
      <c r="W10" s="25" t="n">
        <v>0.8536</v>
      </c>
    </row>
    <row r="11" customFormat="false" ht="15" hidden="false" customHeight="false" outlineLevel="0" collapsed="false">
      <c r="A11" s="6" t="n">
        <v>491.99</v>
      </c>
      <c r="B11" s="24" t="n">
        <f aca="false">LN(A11)</f>
        <v>6.1984583910825</v>
      </c>
      <c r="C11" s="25" t="n">
        <v>0.7308</v>
      </c>
      <c r="D11" s="25" t="n">
        <v>0.7878</v>
      </c>
      <c r="E11" s="25" t="n">
        <v>0.7949</v>
      </c>
      <c r="F11" s="25" t="n">
        <v>0.7629</v>
      </c>
      <c r="G11" s="25" t="n">
        <v>0.8187</v>
      </c>
      <c r="H11" s="25" t="n">
        <v>0.838</v>
      </c>
      <c r="I11" s="24" t="n">
        <f aca="false">AVERAGE(D11:H11)</f>
        <v>0.80046</v>
      </c>
      <c r="J11" s="25" t="n">
        <v>0.7803</v>
      </c>
      <c r="K11" s="24" t="n">
        <f aca="false">IF(AND(Sup_Used=1,ISNUMBER(J11)),J11,I11)</f>
        <v>0.80046</v>
      </c>
      <c r="L11" s="24" t="n">
        <f aca="false">LN(MIN(MAX(K11,0.0001),0.9999)/(1-MIN(MAX(K11,0.0001),0.9999)))</f>
        <v>1.38917184493341</v>
      </c>
      <c r="M11" s="16" t="n">
        <f aca="false">A11*EXP(-Platt_Shift)</f>
        <v>491.99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0.80046</v>
      </c>
      <c r="P11" s="24" t="n">
        <f aca="false">LN(MIN(MAX(C11,0.0001),0.9999)/(1-MIN(MAX(C11,0.0001),0.9999)))</f>
        <v>0.998685226733279</v>
      </c>
      <c r="Q11" s="16" t="n">
        <f aca="false">IF(Analyst_Median&gt;0,A11*Market_Median/Analyst_Median,A11)</f>
        <v>365.008873714192</v>
      </c>
      <c r="R11" s="26" t="n">
        <f aca="false">MIN(MAX(IFERROR(MATCH(Q11,Distribution!$A$6:$A$20,1),1),1),14)</f>
        <v>3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0.908314422627904</v>
      </c>
      <c r="T11" s="24" t="n">
        <f aca="false">W_Mkt*C11+W_Agents*O11</f>
        <v>0.7537878</v>
      </c>
      <c r="U11" s="27" t="n">
        <f aca="false">(1-W_Analyst)*T11+W_Analyst*S11</f>
        <v>0.7537878</v>
      </c>
      <c r="V11" s="24" t="n">
        <f aca="false">LN(MIN(MAX(U11,0.0001),0.9999)/(1-MIN(MAX(U11,0.0001),0.9999)))</f>
        <v>1.11891713030629</v>
      </c>
      <c r="W11" s="25" t="n">
        <v>0.762</v>
      </c>
    </row>
    <row r="12" customFormat="false" ht="15" hidden="false" customHeight="false" outlineLevel="0" collapsed="false">
      <c r="A12" s="6" t="n">
        <v>553.49</v>
      </c>
      <c r="B12" s="24" t="n">
        <f aca="false">LN(A12)</f>
        <v>6.31624368513815</v>
      </c>
      <c r="C12" s="25" t="n">
        <v>0.6307</v>
      </c>
      <c r="D12" s="25" t="n">
        <v>0.7168</v>
      </c>
      <c r="E12" s="25" t="n">
        <v>0.6969</v>
      </c>
      <c r="F12" s="25" t="n">
        <v>0.6564</v>
      </c>
      <c r="G12" s="25" t="n">
        <v>0.7234</v>
      </c>
      <c r="H12" s="25" t="n">
        <v>0.7527</v>
      </c>
      <c r="I12" s="24" t="n">
        <f aca="false">AVERAGE(D12:H12)</f>
        <v>0.70924</v>
      </c>
      <c r="J12" s="25" t="n">
        <v>0.6843</v>
      </c>
      <c r="K12" s="24" t="n">
        <f aca="false">IF(AND(Sup_Used=1,ISNUMBER(J12)),J12,I12)</f>
        <v>0.70924</v>
      </c>
      <c r="L12" s="24" t="n">
        <f aca="false">LN(MIN(MAX(K12,0.0001),0.9999)/(1-MIN(MAX(K12,0.0001),0.9999)))</f>
        <v>0.891695789572353</v>
      </c>
      <c r="M12" s="16" t="n">
        <f aca="false">A12*EXP(-Platt_Shift)</f>
        <v>553.49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0.70924</v>
      </c>
      <c r="P12" s="24" t="n">
        <f aca="false">LN(MIN(MAX(C12,0.0001),0.9999)/(1-MIN(MAX(C12,0.0001),0.9999)))</f>
        <v>0.535220991811088</v>
      </c>
      <c r="Q12" s="16" t="n">
        <f aca="false">IF(Analyst_Median&gt;0,A12*Market_Median/Analyst_Median,A12)</f>
        <v>410.635910307258</v>
      </c>
      <c r="R12" s="26" t="n">
        <f aca="false">MIN(MAX(IFERROR(MATCH(Q12,Distribution!$A$6:$A$20,1),1),1),14)</f>
        <v>4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0.853332589564487</v>
      </c>
      <c r="T12" s="24" t="n">
        <f aca="false">W_Mkt*C12+W_Agents*O12</f>
        <v>0.6566182</v>
      </c>
      <c r="U12" s="27" t="n">
        <f aca="false">(1-W_Analyst)*T12+W_Analyst*S12</f>
        <v>0.6566182</v>
      </c>
      <c r="V12" s="24" t="n">
        <f aca="false">LN(MIN(MAX(U12,0.0001),0.9999)/(1-MIN(MAX(U12,0.0001),0.9999)))</f>
        <v>0.64825977559218</v>
      </c>
      <c r="W12" s="25" t="n">
        <v>0.6599</v>
      </c>
    </row>
    <row r="13" customFormat="false" ht="15" hidden="false" customHeight="false" outlineLevel="0" collapsed="false">
      <c r="A13" s="6" t="n">
        <v>614.99</v>
      </c>
      <c r="B13" s="24" t="n">
        <f aca="false">LN(A13)</f>
        <v>6.42160600751172</v>
      </c>
      <c r="C13" s="25" t="n">
        <v>0.5327</v>
      </c>
      <c r="D13" s="25" t="n">
        <v>0.6335</v>
      </c>
      <c r="E13" s="25" t="n">
        <v>0.5932</v>
      </c>
      <c r="F13" s="25" t="n">
        <v>0.5429</v>
      </c>
      <c r="G13" s="25" t="n">
        <v>0.6151</v>
      </c>
      <c r="H13" s="25" t="n">
        <v>0.6525</v>
      </c>
      <c r="I13" s="24" t="n">
        <f aca="false">AVERAGE(D13:H13)</f>
        <v>0.60744</v>
      </c>
      <c r="J13" s="25" t="n">
        <v>0.5788</v>
      </c>
      <c r="K13" s="24" t="n">
        <f aca="false">IF(AND(Sup_Used=1,ISNUMBER(J13)),J13,I13)</f>
        <v>0.60744</v>
      </c>
      <c r="L13" s="24" t="n">
        <f aca="false">LN(MIN(MAX(K13,0.0001),0.9999)/(1-MIN(MAX(K13,0.0001),0.9999)))</f>
        <v>0.43656401312333</v>
      </c>
      <c r="M13" s="16" t="n">
        <f aca="false">A13*EXP(-Platt_Shift)</f>
        <v>614.99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0.60744</v>
      </c>
      <c r="P13" s="24" t="n">
        <f aca="false">LN(MIN(MAX(C13,0.0001),0.9999)/(1-MIN(MAX(C13,0.0001),0.9999)))</f>
        <v>0.130986964216573</v>
      </c>
      <c r="Q13" s="16" t="n">
        <f aca="false">IF(Analyst_Median&gt;0,A13*Market_Median/Analyst_Median,A13)</f>
        <v>456.262946900325</v>
      </c>
      <c r="R13" s="26" t="n">
        <f aca="false">MIN(MAX(IFERROR(MATCH(Q13,Distribution!$A$6:$A$20,1),1),1),14)</f>
        <v>5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0.78749406175741</v>
      </c>
      <c r="T13" s="24" t="n">
        <f aca="false">W_Mkt*C13+W_Agents*O13</f>
        <v>0.5573642</v>
      </c>
      <c r="U13" s="27" t="n">
        <f aca="false">(1-W_Analyst)*T13+W_Analyst*S13</f>
        <v>0.5573642</v>
      </c>
      <c r="V13" s="24" t="n">
        <f aca="false">LN(MIN(MAX(U13,0.0001),0.9999)/(1-MIN(MAX(U13,0.0001),0.9999)))</f>
        <v>0.230471576196654</v>
      </c>
      <c r="W13" s="25" t="n">
        <v>0.5566</v>
      </c>
    </row>
    <row r="14" customFormat="false" ht="15" hidden="false" customHeight="false" outlineLevel="0" collapsed="false">
      <c r="A14" s="6" t="n">
        <v>676.49</v>
      </c>
      <c r="B14" s="24" t="n">
        <f aca="false">LN(A14)</f>
        <v>6.51691766553559</v>
      </c>
      <c r="C14" s="25" t="n">
        <v>0.4421</v>
      </c>
      <c r="D14" s="25" t="n">
        <v>0.5341</v>
      </c>
      <c r="E14" s="25" t="n">
        <v>0.4903</v>
      </c>
      <c r="F14" s="25" t="n">
        <v>0.4329</v>
      </c>
      <c r="G14" s="25" t="n">
        <v>0.5004</v>
      </c>
      <c r="H14" s="25" t="n">
        <v>0.5441</v>
      </c>
      <c r="I14" s="24" t="n">
        <f aca="false">AVERAGE(D14:H14)</f>
        <v>0.50036</v>
      </c>
      <c r="J14" s="25" t="n">
        <v>0.4703</v>
      </c>
      <c r="K14" s="24" t="n">
        <f aca="false">IF(AND(Sup_Used=1,ISNUMBER(J14)),J14,I14)</f>
        <v>0.50036</v>
      </c>
      <c r="L14" s="24" t="n">
        <f aca="false">LN(MIN(MAX(K14,0.0001),0.9999)/(1-MIN(MAX(K14,0.0001),0.9999)))</f>
        <v>0.00144000024883217</v>
      </c>
      <c r="M14" s="16" t="n">
        <f aca="false">A14*EXP(-Platt_Shift)</f>
        <v>676.49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0.50036</v>
      </c>
      <c r="P14" s="24" t="n">
        <f aca="false">LN(MIN(MAX(C14,0.0001),0.9999)/(1-MIN(MAX(C14,0.0001),0.9999)))</f>
        <v>-0.232643634019285</v>
      </c>
      <c r="Q14" s="16" t="n">
        <f aca="false">IF(Analyst_Median&gt;0,A14*Market_Median/Analyst_Median,A14)</f>
        <v>501.889983493391</v>
      </c>
      <c r="R14" s="26" t="n">
        <f aca="false">MIN(MAX(IFERROR(MATCH(Q14,Distribution!$A$6:$A$20,1),1),1),14)</f>
        <v>6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0.715101911534754</v>
      </c>
      <c r="T14" s="24" t="n">
        <f aca="false">W_Mkt*C14+W_Agents*O14</f>
        <v>0.4613258</v>
      </c>
      <c r="U14" s="27" t="n">
        <f aca="false">(1-W_Analyst)*T14+W_Analyst*S14</f>
        <v>0.4613258</v>
      </c>
      <c r="V14" s="24" t="n">
        <f aca="false">LN(MIN(MAX(U14,0.0001),0.9999)/(1-MIN(MAX(U14,0.0001),0.9999)))</f>
        <v>-0.155006417567246</v>
      </c>
      <c r="W14" s="25" t="n">
        <v>0.4498</v>
      </c>
    </row>
    <row r="15" customFormat="false" ht="15" hidden="false" customHeight="false" outlineLevel="0" collapsed="false">
      <c r="A15" s="6" t="n">
        <v>737.99</v>
      </c>
      <c r="B15" s="24" t="n">
        <f aca="false">LN(A15)</f>
        <v>6.60393027437317</v>
      </c>
      <c r="C15" s="25" t="n">
        <v>0.3618</v>
      </c>
      <c r="D15" s="25" t="n">
        <v>0.4302</v>
      </c>
      <c r="E15" s="25" t="n">
        <v>0.3945</v>
      </c>
      <c r="F15" s="25" t="n">
        <v>0.337</v>
      </c>
      <c r="G15" s="25" t="n">
        <v>0.3902</v>
      </c>
      <c r="H15" s="25" t="n">
        <v>0.4373</v>
      </c>
      <c r="I15" s="24" t="n">
        <f aca="false">AVERAGE(D15:H15)</f>
        <v>0.39784</v>
      </c>
      <c r="J15" s="25" t="n">
        <v>0.3697</v>
      </c>
      <c r="K15" s="24" t="n">
        <f aca="false">IF(AND(Sup_Used=1,ISNUMBER(J15)),J15,I15)</f>
        <v>0.39784</v>
      </c>
      <c r="L15" s="24" t="n">
        <f aca="false">LN(MIN(MAX(K15,0.0001),0.9999)/(1-MIN(MAX(K15,0.0001),0.9999)))</f>
        <v>-0.414473276319793</v>
      </c>
      <c r="M15" s="16" t="n">
        <f aca="false">A15*EXP(-Platt_Shift)</f>
        <v>737.99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0.39784</v>
      </c>
      <c r="P15" s="24" t="n">
        <f aca="false">LN(MIN(MAX(C15,0.0001),0.9999)/(1-MIN(MAX(C15,0.0001),0.9999)))</f>
        <v>-0.567560140882948</v>
      </c>
      <c r="Q15" s="16" t="n">
        <f aca="false">IF(Analyst_Median&gt;0,A15*Market_Median/Analyst_Median,A15)</f>
        <v>547.517020086458</v>
      </c>
      <c r="R15" s="26" t="n">
        <f aca="false">MIN(MAX(IFERROR(MATCH(Q15,Distribution!$A$6:$A$20,1),1),1),14)</f>
        <v>6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0.640587358604405</v>
      </c>
      <c r="T15" s="24" t="n">
        <f aca="false">W_Mkt*C15+W_Agents*O15</f>
        <v>0.3736932</v>
      </c>
      <c r="U15" s="27" t="n">
        <f aca="false">(1-W_Analyst)*T15+W_Analyst*S15</f>
        <v>0.3736932</v>
      </c>
      <c r="V15" s="24" t="n">
        <f aca="false">LN(MIN(MAX(U15,0.0001),0.9999)/(1-MIN(MAX(U15,0.0001),0.9999)))</f>
        <v>-0.516405206977354</v>
      </c>
      <c r="W15" s="25" t="n">
        <v>0.3505</v>
      </c>
    </row>
    <row r="16" customFormat="false" ht="15" hidden="false" customHeight="false" outlineLevel="0" collapsed="false">
      <c r="A16" s="6" t="n">
        <v>830.24</v>
      </c>
      <c r="B16" s="24" t="n">
        <f aca="false">LN(A16)</f>
        <v>6.72171481561943</v>
      </c>
      <c r="C16" s="25" t="n">
        <v>0.2627</v>
      </c>
      <c r="D16" s="25" t="n">
        <v>0.2953</v>
      </c>
      <c r="E16" s="25" t="n">
        <v>0.2715</v>
      </c>
      <c r="F16" s="25" t="n">
        <v>0.2229</v>
      </c>
      <c r="G16" s="25" t="n">
        <v>0.2511</v>
      </c>
      <c r="H16" s="25" t="n">
        <v>0.2959</v>
      </c>
      <c r="I16" s="24" t="n">
        <f aca="false">AVERAGE(D16:H16)</f>
        <v>0.26734</v>
      </c>
      <c r="J16" s="25" t="n">
        <v>0.2442</v>
      </c>
      <c r="K16" s="24" t="n">
        <f aca="false">IF(AND(Sup_Used=1,ISNUMBER(J16)),J16,I16)</f>
        <v>0.26734</v>
      </c>
      <c r="L16" s="24" t="n">
        <f aca="false">LN(MIN(MAX(K16,0.0001),0.9999)/(1-MIN(MAX(K16,0.0001),0.9999)))</f>
        <v>-1.00816049052966</v>
      </c>
      <c r="M16" s="16" t="n">
        <f aca="false">A16*EXP(-Platt_Shift)</f>
        <v>830.24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0.26734</v>
      </c>
      <c r="P16" s="24" t="n">
        <f aca="false">LN(MIN(MAX(C16,0.0001),0.9999)/(1-MIN(MAX(C16,0.0001),0.9999)))</f>
        <v>-1.03198216830411</v>
      </c>
      <c r="Q16" s="16" t="n">
        <f aca="false">IF(Analyst_Median&gt;0,A16*Market_Median/Analyst_Median,A16)</f>
        <v>615.957574976058</v>
      </c>
      <c r="R16" s="26" t="n">
        <f aca="false">MIN(MAX(IFERROR(MATCH(Q16,Distribution!$A$6:$A$20,1),1),1),14)</f>
        <v>8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0.531206683331747</v>
      </c>
      <c r="T16" s="24" t="n">
        <f aca="false">W_Mkt*C16+W_Agents*O16</f>
        <v>0.2642312</v>
      </c>
      <c r="U16" s="27" t="n">
        <f aca="false">(1-W_Analyst)*T16+W_Analyst*S16</f>
        <v>0.2642312</v>
      </c>
      <c r="V16" s="24" t="n">
        <f aca="false">LN(MIN(MAX(U16,0.0001),0.9999)/(1-MIN(MAX(U16,0.0001),0.9999)))</f>
        <v>-1.02409146147464</v>
      </c>
      <c r="W16" s="25" t="n">
        <v>0.234</v>
      </c>
    </row>
    <row r="17" customFormat="false" ht="15" hidden="false" customHeight="false" outlineLevel="0" collapsed="false">
      <c r="A17" s="6" t="n">
        <v>922.49</v>
      </c>
      <c r="B17" s="24" t="n">
        <f aca="false">LN(A17)</f>
        <v>6.82707653574753</v>
      </c>
      <c r="C17" s="25" t="n">
        <v>0.1876</v>
      </c>
      <c r="D17" s="25" t="n">
        <v>0.1958</v>
      </c>
      <c r="E17" s="25" t="n">
        <v>0.1787</v>
      </c>
      <c r="F17" s="25" t="n">
        <v>0.1403</v>
      </c>
      <c r="G17" s="25" t="n">
        <v>0.1526</v>
      </c>
      <c r="H17" s="25" t="n">
        <v>0.189</v>
      </c>
      <c r="I17" s="24" t="n">
        <f aca="false">AVERAGE(D17:H17)</f>
        <v>0.17128</v>
      </c>
      <c r="J17" s="25" t="n">
        <v>0.1544</v>
      </c>
      <c r="K17" s="24" t="n">
        <f aca="false">IF(AND(Sup_Used=1,ISNUMBER(J17)),J17,I17)</f>
        <v>0.17128</v>
      </c>
      <c r="L17" s="24" t="n">
        <f aca="false">LN(MIN(MAX(K17,0.0001),0.9999)/(1-MIN(MAX(K17,0.0001),0.9999)))</f>
        <v>-1.57658269746842</v>
      </c>
      <c r="M17" s="16" t="n">
        <f aca="false">A17*EXP(-Platt_Shift)</f>
        <v>922.49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0.17128</v>
      </c>
      <c r="P17" s="24" t="n">
        <f aca="false">LN(MIN(MAX(C17,0.0001),0.9999)/(1-MIN(MAX(C17,0.0001),0.9999)))</f>
        <v>-1.46568079313411</v>
      </c>
      <c r="Q17" s="16" t="n">
        <f aca="false">IF(Analyst_Median&gt;0,A17*Market_Median/Analyst_Median,A17)</f>
        <v>684.398129865657</v>
      </c>
      <c r="R17" s="26" t="n">
        <f aca="false">MIN(MAX(IFERROR(MATCH(Q17,Distribution!$A$6:$A$20,1),1),1),14)</f>
        <v>9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0.431096728161764</v>
      </c>
      <c r="T17" s="24" t="n">
        <f aca="false">W_Mkt*C17+W_Agents*O17</f>
        <v>0.1822144</v>
      </c>
      <c r="U17" s="27" t="n">
        <f aca="false">(1-W_Analyst)*T17+W_Analyst*S17</f>
        <v>0.1822144</v>
      </c>
      <c r="V17" s="24" t="n">
        <f aca="false">LN(MIN(MAX(U17,0.0001),0.9999)/(1-MIN(MAX(U17,0.0001),0.9999)))</f>
        <v>-1.50141618382697</v>
      </c>
      <c r="W17" s="25" t="n">
        <v>0.1556</v>
      </c>
    </row>
    <row r="18" customFormat="false" ht="15" hidden="false" customHeight="false" outlineLevel="0" collapsed="false">
      <c r="A18" s="6" t="n">
        <v>1076.23</v>
      </c>
      <c r="B18" s="24" t="n">
        <f aca="false">LN(A18)</f>
        <v>6.9812194725263</v>
      </c>
      <c r="C18" s="25" t="n">
        <v>0.1047</v>
      </c>
      <c r="D18" s="25" t="n">
        <v>0.0862</v>
      </c>
      <c r="E18" s="25" t="n">
        <v>0.0818</v>
      </c>
      <c r="F18" s="25" t="n">
        <v>0.059</v>
      </c>
      <c r="G18" s="25" t="n">
        <v>0.0583</v>
      </c>
      <c r="H18" s="25" t="n">
        <v>0.0792</v>
      </c>
      <c r="I18" s="24" t="n">
        <f aca="false">AVERAGE(D18:H18)</f>
        <v>0.0729</v>
      </c>
      <c r="J18" s="25" t="n">
        <v>0.0646</v>
      </c>
      <c r="K18" s="24" t="n">
        <f aca="false">IF(AND(Sup_Used=1,ISNUMBER(J18)),J18,I18)</f>
        <v>0.0729</v>
      </c>
      <c r="L18" s="24" t="n">
        <f aca="false">LN(MIN(MAX(K18,0.0001),0.9999)/(1-MIN(MAX(K18,0.0001),0.9999)))</f>
        <v>-2.54297279559832</v>
      </c>
      <c r="M18" s="16" t="n">
        <f aca="false">A18*EXP(-Platt_Shift)</f>
        <v>1076.23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0.0729</v>
      </c>
      <c r="P18" s="24" t="n">
        <f aca="false">LN(MIN(MAX(C18,0.0001),0.9999)/(1-MIN(MAX(C18,0.0001),0.9999)))</f>
        <v>-2.14605973976362</v>
      </c>
      <c r="Q18" s="16" t="n">
        <f aca="false">IF(Analyst_Median&gt;0,A18*Market_Median/Analyst_Median,A18)</f>
        <v>798.458302317983</v>
      </c>
      <c r="R18" s="26" t="n">
        <f aca="false">MIN(MAX(IFERROR(MATCH(Q18,Distribution!$A$6:$A$20,1),1),1),14)</f>
        <v>10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0.293575907474734</v>
      </c>
      <c r="T18" s="24" t="n">
        <f aca="false">W_Mkt*C18+W_Agents*O18</f>
        <v>0.094206</v>
      </c>
      <c r="U18" s="27" t="n">
        <f aca="false">(1-W_Analyst)*T18+W_Analyst*S18</f>
        <v>0.094206</v>
      </c>
      <c r="V18" s="24" t="n">
        <f aca="false">LN(MIN(MAX(U18,0.0001),0.9999)/(1-MIN(MAX(U18,0.0001),0.9999)))</f>
        <v>-2.26332803329993</v>
      </c>
      <c r="W18" s="25" t="n">
        <v>0.0809</v>
      </c>
    </row>
    <row r="19" customFormat="false" ht="15" hidden="false" customHeight="false" outlineLevel="0" collapsed="false">
      <c r="A19" s="6" t="n">
        <v>1229.98</v>
      </c>
      <c r="B19" s="24" t="n">
        <f aca="false">LN(A19)</f>
        <v>7.11475318807166</v>
      </c>
      <c r="C19" s="25" t="n">
        <v>0.0577</v>
      </c>
      <c r="D19" s="25" t="n">
        <v>0.0308</v>
      </c>
      <c r="E19" s="25" t="n">
        <v>0.0342</v>
      </c>
      <c r="F19" s="25" t="n">
        <v>0.0244</v>
      </c>
      <c r="G19" s="25" t="n">
        <v>0.0203</v>
      </c>
      <c r="H19" s="25" t="n">
        <v>0.0298</v>
      </c>
      <c r="I19" s="24" t="n">
        <f aca="false">AVERAGE(D19:H19)</f>
        <v>0.0279</v>
      </c>
      <c r="J19" s="25" t="n">
        <v>0.0251</v>
      </c>
      <c r="K19" s="24" t="n">
        <f aca="false">IF(AND(Sup_Used=1,ISNUMBER(J19)),J19,I19)</f>
        <v>0.0279</v>
      </c>
      <c r="L19" s="24" t="n">
        <f aca="false">LN(MIN(MAX(K19,0.0001),0.9999)/(1-MIN(MAX(K19,0.0001),0.9999)))</f>
        <v>-3.5508319909997</v>
      </c>
      <c r="M19" s="16" t="n">
        <f aca="false">A19*EXP(-Platt_Shift)</f>
        <v>1229.98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0.0279</v>
      </c>
      <c r="P19" s="24" t="n">
        <f aca="false">LN(MIN(MAX(C19,0.0001),0.9999)/(1-MIN(MAX(C19,0.0001),0.9999)))</f>
        <v>-2.79306652169866</v>
      </c>
      <c r="Q19" s="16" t="n">
        <f aca="false">IF(Analyst_Median&gt;0,A19*Market_Median/Analyst_Median,A19)</f>
        <v>912.525893800649</v>
      </c>
      <c r="R19" s="26" t="n">
        <f aca="false">MIN(MAX(IFERROR(MATCH(Q19,Distribution!$A$6:$A$20,1),1),1),14)</f>
        <v>11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0.194508363284324</v>
      </c>
      <c r="T19" s="24" t="n">
        <f aca="false">W_Mkt*C19+W_Agents*O19</f>
        <v>0.047866</v>
      </c>
      <c r="U19" s="27" t="n">
        <f aca="false">(1-W_Analyst)*T19+W_Analyst*S19</f>
        <v>0.047866</v>
      </c>
      <c r="V19" s="24" t="n">
        <f aca="false">LN(MIN(MAX(U19,0.0001),0.9999)/(1-MIN(MAX(U19,0.0001),0.9999)))</f>
        <v>-2.99030034091622</v>
      </c>
      <c r="W19" s="25" t="n">
        <v>0.0434</v>
      </c>
    </row>
    <row r="20" customFormat="false" ht="15" hidden="false" customHeight="false" outlineLevel="0" collapsed="false">
      <c r="A20" s="6" t="n">
        <v>1537.47</v>
      </c>
      <c r="B20" s="24" t="n">
        <f aca="false">LN(A20)</f>
        <v>7.33789348729519</v>
      </c>
      <c r="C20" s="25" t="n">
        <v>0.0175</v>
      </c>
      <c r="D20" s="25" t="n">
        <v>0.0032</v>
      </c>
      <c r="E20" s="25" t="n">
        <v>0.0046</v>
      </c>
      <c r="F20" s="25" t="n">
        <v>0.0054</v>
      </c>
      <c r="G20" s="25" t="n">
        <v>0.0029</v>
      </c>
      <c r="H20" s="25" t="n">
        <v>0.0032</v>
      </c>
      <c r="I20" s="24" t="n">
        <f aca="false">AVERAGE(D20:H20)</f>
        <v>0.00386</v>
      </c>
      <c r="J20" s="25" t="n">
        <v>0.0043</v>
      </c>
      <c r="K20" s="24" t="n">
        <f aca="false">IF(AND(Sup_Used=1,ISNUMBER(J20)),J20,I20)</f>
        <v>0.00386</v>
      </c>
      <c r="L20" s="24" t="n">
        <f aca="false">LN(MIN(MAX(K20,0.0001),0.9999)/(1-MIN(MAX(K20,0.0001),0.9999)))</f>
        <v>-5.55322062647891</v>
      </c>
      <c r="M20" s="16" t="n">
        <f aca="false">A20*EXP(-Platt_Shift)</f>
        <v>1537.47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0.00386</v>
      </c>
      <c r="P20" s="24" t="n">
        <f aca="false">LN(MIN(MAX(C20,0.0001),0.9999)/(1-MIN(MAX(C20,0.0001),0.9999)))</f>
        <v>-4.02789946281395</v>
      </c>
      <c r="Q20" s="16" t="n">
        <f aca="false">IF(Analyst_Median&gt;0,A20*Market_Median/Analyst_Median,A20)</f>
        <v>1140.65365773564</v>
      </c>
      <c r="R20" s="26" t="n">
        <f aca="false">MIN(MAX(IFERROR(MATCH(Q20,Distribution!$A$6:$A$20,1),1),1),14)</f>
        <v>13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0.0810809089867392</v>
      </c>
      <c r="T20" s="24" t="n">
        <f aca="false">W_Mkt*C20+W_Agents*O20</f>
        <v>0.0129988</v>
      </c>
      <c r="U20" s="27" t="n">
        <f aca="false">(1-W_Analyst)*T20+W_Analyst*S20</f>
        <v>0.0129988</v>
      </c>
      <c r="V20" s="24" t="n">
        <f aca="false">LN(MIN(MAX(U20,0.0001),0.9999)/(1-MIN(MAX(U20,0.0001),0.9999)))</f>
        <v>-4.3298142097296</v>
      </c>
      <c r="W20" s="25" t="n">
        <v>0.0132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15" hidden="false" customHeight="false" outlineLevel="0" collapsed="false">
      <c r="A5" s="5" t="s">
        <v>29</v>
      </c>
      <c r="B5" s="28" t="s">
        <v>112</v>
      </c>
      <c r="C5" s="6" t="n">
        <v>691.22</v>
      </c>
      <c r="D5" s="12" t="n">
        <v>0.35</v>
      </c>
      <c r="E5" s="16" t="n">
        <f aca="false">C5*D5</f>
        <v>241.927</v>
      </c>
      <c r="F5" s="28"/>
      <c r="G5" s="28" t="s">
        <v>113</v>
      </c>
    </row>
    <row r="6" customFormat="false" ht="23.85" hidden="false" customHeight="false" outlineLevel="0" collapsed="false">
      <c r="A6" s="5" t="s">
        <v>29</v>
      </c>
      <c r="B6" s="28" t="s">
        <v>114</v>
      </c>
      <c r="C6" s="6" t="n">
        <v>680.9</v>
      </c>
      <c r="D6" s="12" t="n">
        <v>0.2</v>
      </c>
      <c r="E6" s="16" t="n">
        <f aca="false">C6*D6</f>
        <v>136.18</v>
      </c>
      <c r="F6" s="28"/>
      <c r="G6" s="28" t="s">
        <v>115</v>
      </c>
    </row>
    <row r="7" customFormat="false" ht="23.85" hidden="false" customHeight="false" outlineLevel="0" collapsed="false">
      <c r="A7" s="5" t="s">
        <v>29</v>
      </c>
      <c r="B7" s="28" t="s">
        <v>116</v>
      </c>
      <c r="C7" s="6" t="n">
        <v>750.49</v>
      </c>
      <c r="D7" s="12" t="n">
        <v>0.45</v>
      </c>
      <c r="E7" s="16" t="n">
        <f aca="false">C7*D7</f>
        <v>337.7205</v>
      </c>
      <c r="F7" s="28"/>
      <c r="G7" s="28" t="s">
        <v>117</v>
      </c>
    </row>
    <row r="8" customFormat="false" ht="35.05" hidden="false" customHeight="false" outlineLevel="0" collapsed="false">
      <c r="A8" s="29" t="s">
        <v>29</v>
      </c>
      <c r="B8" s="29" t="s">
        <v>118</v>
      </c>
      <c r="C8" s="30" t="n">
        <f aca="false">IF(SUM(D5:D7)&gt;0,SUMPRODUCT(C5:C7,D5:D7)/SUM(D5:D7),"")</f>
        <v>715.8275</v>
      </c>
      <c r="D8" s="31" t="n">
        <f aca="false">SUM(D5:D7)</f>
        <v>1</v>
      </c>
      <c r="E8" s="32" t="n">
        <v>715.83</v>
      </c>
      <c r="F8" s="29" t="s">
        <v>119</v>
      </c>
      <c r="G8" s="33" t="s">
        <v>120</v>
      </c>
    </row>
    <row r="10" customFormat="false" ht="23.85" hidden="false" customHeight="false" outlineLevel="0" collapsed="false">
      <c r="A10" s="5" t="s">
        <v>30</v>
      </c>
      <c r="B10" s="28" t="s">
        <v>116</v>
      </c>
      <c r="C10" s="6" t="n">
        <v>717.93</v>
      </c>
      <c r="D10" s="12" t="n">
        <v>0.4</v>
      </c>
      <c r="E10" s="16" t="n">
        <f aca="false">C10*D10</f>
        <v>287.172</v>
      </c>
      <c r="F10" s="28"/>
      <c r="G10" s="28" t="s">
        <v>121</v>
      </c>
    </row>
    <row r="11" customFormat="false" ht="23.85" hidden="false" customHeight="false" outlineLevel="0" collapsed="false">
      <c r="A11" s="5" t="s">
        <v>30</v>
      </c>
      <c r="B11" s="28" t="s">
        <v>112</v>
      </c>
      <c r="C11" s="6" t="n">
        <v>669.35</v>
      </c>
      <c r="D11" s="12" t="n">
        <v>0.35</v>
      </c>
      <c r="E11" s="16" t="n">
        <f aca="false">C11*D11</f>
        <v>234.2725</v>
      </c>
      <c r="F11" s="28"/>
      <c r="G11" s="28" t="s">
        <v>122</v>
      </c>
    </row>
    <row r="12" customFormat="false" ht="23.85" hidden="false" customHeight="false" outlineLevel="0" collapsed="false">
      <c r="A12" s="5" t="s">
        <v>30</v>
      </c>
      <c r="B12" s="28" t="s">
        <v>114</v>
      </c>
      <c r="C12" s="6" t="n">
        <v>677.3</v>
      </c>
      <c r="D12" s="12" t="n">
        <v>0.25</v>
      </c>
      <c r="E12" s="16" t="n">
        <f aca="false">C12*D12</f>
        <v>169.325</v>
      </c>
      <c r="F12" s="28"/>
      <c r="G12" s="28" t="s">
        <v>123</v>
      </c>
    </row>
    <row r="13" customFormat="false" ht="23.85" hidden="false" customHeight="false" outlineLevel="0" collapsed="false">
      <c r="A13" s="5" t="s">
        <v>30</v>
      </c>
      <c r="B13" s="28" t="s">
        <v>124</v>
      </c>
      <c r="C13" s="6" t="n">
        <v>837.82</v>
      </c>
      <c r="D13" s="12" t="n">
        <v>0</v>
      </c>
      <c r="E13" s="16" t="n">
        <f aca="false">C13*D13</f>
        <v>0</v>
      </c>
      <c r="F13" s="28"/>
      <c r="G13" s="28" t="s">
        <v>125</v>
      </c>
    </row>
    <row r="14" customFormat="false" ht="35.05" hidden="false" customHeight="false" outlineLevel="0" collapsed="false">
      <c r="A14" s="29" t="s">
        <v>30</v>
      </c>
      <c r="B14" s="29" t="s">
        <v>118</v>
      </c>
      <c r="C14" s="30" t="n">
        <f aca="false">IF(SUM(D10:D13)&gt;0,SUMPRODUCT(C10:C13,D10:D13)/SUM(D10:D13),"")</f>
        <v>690.7695</v>
      </c>
      <c r="D14" s="31" t="n">
        <f aca="false">SUM(D10:D13)</f>
        <v>1</v>
      </c>
      <c r="E14" s="32" t="n">
        <v>690.77</v>
      </c>
      <c r="F14" s="29" t="s">
        <v>119</v>
      </c>
      <c r="G14" s="33" t="s">
        <v>126</v>
      </c>
    </row>
    <row r="16" customFormat="false" ht="23.85" hidden="false" customHeight="false" outlineLevel="0" collapsed="false">
      <c r="A16" s="5" t="s">
        <v>31</v>
      </c>
      <c r="B16" s="28" t="s">
        <v>116</v>
      </c>
      <c r="C16" s="6" t="n">
        <v>624.99</v>
      </c>
      <c r="D16" s="12" t="n">
        <v>0.45</v>
      </c>
      <c r="E16" s="16" t="n">
        <f aca="false">C16*D16</f>
        <v>281.2455</v>
      </c>
      <c r="F16" s="28"/>
      <c r="G16" s="28" t="s">
        <v>127</v>
      </c>
    </row>
    <row r="17" customFormat="false" ht="23.85" hidden="false" customHeight="false" outlineLevel="0" collapsed="false">
      <c r="A17" s="5" t="s">
        <v>31</v>
      </c>
      <c r="B17" s="28" t="s">
        <v>112</v>
      </c>
      <c r="C17" s="6" t="n">
        <v>609.39</v>
      </c>
      <c r="D17" s="12" t="n">
        <v>0.35</v>
      </c>
      <c r="E17" s="16" t="n">
        <f aca="false">C17*D17</f>
        <v>213.2865</v>
      </c>
      <c r="F17" s="28"/>
      <c r="G17" s="28" t="s">
        <v>128</v>
      </c>
    </row>
    <row r="18" customFormat="false" ht="23.85" hidden="false" customHeight="false" outlineLevel="0" collapsed="false">
      <c r="A18" s="5" t="s">
        <v>31</v>
      </c>
      <c r="B18" s="28" t="s">
        <v>114</v>
      </c>
      <c r="C18" s="6" t="n">
        <v>635.99</v>
      </c>
      <c r="D18" s="12" t="n">
        <v>0.2</v>
      </c>
      <c r="E18" s="16" t="n">
        <f aca="false">C18*D18</f>
        <v>127.198</v>
      </c>
      <c r="F18" s="28"/>
      <c r="G18" s="28" t="s">
        <v>129</v>
      </c>
    </row>
    <row r="19" customFormat="false" ht="35.05" hidden="false" customHeight="false" outlineLevel="0" collapsed="false">
      <c r="A19" s="5" t="s">
        <v>31</v>
      </c>
      <c r="B19" s="28" t="s">
        <v>112</v>
      </c>
      <c r="C19" s="6" t="n">
        <v>838</v>
      </c>
      <c r="D19" s="12" t="n">
        <v>0</v>
      </c>
      <c r="E19" s="16" t="n">
        <f aca="false">C19*D19</f>
        <v>0</v>
      </c>
      <c r="F19" s="28"/>
      <c r="G19" s="28" t="s">
        <v>130</v>
      </c>
    </row>
    <row r="20" customFormat="false" ht="35.05" hidden="false" customHeight="false" outlineLevel="0" collapsed="false">
      <c r="A20" s="29" t="s">
        <v>31</v>
      </c>
      <c r="B20" s="29" t="s">
        <v>118</v>
      </c>
      <c r="C20" s="30" t="n">
        <f aca="false">IF(SUM(D16:D19)&gt;0,SUMPRODUCT(C16:C19,D16:D19)/SUM(D16:D19),"")</f>
        <v>621.73</v>
      </c>
      <c r="D20" s="31" t="n">
        <f aca="false">SUM(D16:D19)</f>
        <v>1</v>
      </c>
      <c r="E20" s="32" t="n">
        <v>621.73</v>
      </c>
      <c r="F20" s="29" t="s">
        <v>119</v>
      </c>
      <c r="G20" s="33" t="s">
        <v>131</v>
      </c>
    </row>
    <row r="22" customFormat="false" ht="23.85" hidden="false" customHeight="false" outlineLevel="0" collapsed="false">
      <c r="A22" s="5" t="s">
        <v>32</v>
      </c>
      <c r="B22" s="28" t="s">
        <v>112</v>
      </c>
      <c r="C22" s="6" t="n">
        <v>695.57</v>
      </c>
      <c r="D22" s="12" t="n">
        <v>0.5</v>
      </c>
      <c r="E22" s="16" t="n">
        <f aca="false">C22*D22</f>
        <v>347.785</v>
      </c>
      <c r="F22" s="28"/>
      <c r="G22" s="28" t="s">
        <v>132</v>
      </c>
    </row>
    <row r="23" customFormat="false" ht="23.85" hidden="false" customHeight="false" outlineLevel="0" collapsed="false">
      <c r="A23" s="5" t="s">
        <v>32</v>
      </c>
      <c r="B23" s="28" t="s">
        <v>116</v>
      </c>
      <c r="C23" s="6" t="n">
        <v>724.93</v>
      </c>
      <c r="D23" s="12" t="n">
        <v>0.5</v>
      </c>
      <c r="E23" s="16" t="n">
        <f aca="false">C23*D23</f>
        <v>362.465</v>
      </c>
      <c r="F23" s="28"/>
      <c r="G23" s="28" t="s">
        <v>133</v>
      </c>
    </row>
    <row r="24" customFormat="false" ht="23.85" hidden="false" customHeight="false" outlineLevel="0" collapsed="false">
      <c r="A24" s="5" t="s">
        <v>32</v>
      </c>
      <c r="B24" s="28" t="s">
        <v>124</v>
      </c>
      <c r="C24" s="6" t="n">
        <v>837.8</v>
      </c>
      <c r="D24" s="12" t="n">
        <v>0</v>
      </c>
      <c r="E24" s="16" t="n">
        <f aca="false">C24*D24</f>
        <v>0</v>
      </c>
      <c r="F24" s="28"/>
      <c r="G24" s="28" t="s">
        <v>134</v>
      </c>
    </row>
    <row r="25" customFormat="false" ht="35.05" hidden="false" customHeight="false" outlineLevel="0" collapsed="false">
      <c r="A25" s="29" t="s">
        <v>32</v>
      </c>
      <c r="B25" s="29" t="s">
        <v>118</v>
      </c>
      <c r="C25" s="30" t="n">
        <f aca="false">IF(SUM(D22:D24)&gt;0,SUMPRODUCT(C22:C24,D22:D24)/SUM(D22:D24),"")</f>
        <v>710.25</v>
      </c>
      <c r="D25" s="31" t="n">
        <f aca="false">SUM(D22:D24)</f>
        <v>1</v>
      </c>
      <c r="E25" s="32" t="n">
        <v>710.25</v>
      </c>
      <c r="F25" s="29" t="s">
        <v>119</v>
      </c>
      <c r="G25" s="33" t="s">
        <v>135</v>
      </c>
    </row>
    <row r="27" customFormat="false" ht="23.85" hidden="false" customHeight="false" outlineLevel="0" collapsed="false">
      <c r="A27" s="5" t="s">
        <v>33</v>
      </c>
      <c r="B27" s="28" t="s">
        <v>116</v>
      </c>
      <c r="C27" s="6" t="n">
        <v>726.68</v>
      </c>
      <c r="D27" s="12" t="n">
        <v>0.55</v>
      </c>
      <c r="E27" s="16" t="n">
        <f aca="false">C27*D27</f>
        <v>399.674</v>
      </c>
      <c r="F27" s="28"/>
      <c r="G27" s="28" t="s">
        <v>136</v>
      </c>
    </row>
    <row r="28" customFormat="false" ht="23.85" hidden="false" customHeight="false" outlineLevel="0" collapsed="false">
      <c r="A28" s="5" t="s">
        <v>33</v>
      </c>
      <c r="B28" s="28" t="s">
        <v>112</v>
      </c>
      <c r="C28" s="6" t="n">
        <v>722.88</v>
      </c>
      <c r="D28" s="12" t="n">
        <v>0.45</v>
      </c>
      <c r="E28" s="16" t="n">
        <f aca="false">C28*D28</f>
        <v>325.296</v>
      </c>
      <c r="F28" s="28"/>
      <c r="G28" s="28" t="s">
        <v>137</v>
      </c>
    </row>
    <row r="29" customFormat="false" ht="23.85" hidden="false" customHeight="false" outlineLevel="0" collapsed="false">
      <c r="A29" s="5" t="s">
        <v>33</v>
      </c>
      <c r="B29" s="28" t="s">
        <v>124</v>
      </c>
      <c r="C29" s="6" t="n">
        <v>838</v>
      </c>
      <c r="D29" s="12" t="n">
        <v>0</v>
      </c>
      <c r="E29" s="16" t="n">
        <f aca="false">C29*D29</f>
        <v>0</v>
      </c>
      <c r="F29" s="28"/>
      <c r="G29" s="28" t="s">
        <v>138</v>
      </c>
    </row>
    <row r="30" customFormat="false" ht="35.05" hidden="false" customHeight="false" outlineLevel="0" collapsed="false">
      <c r="A30" s="5" t="s">
        <v>33</v>
      </c>
      <c r="B30" s="28" t="s">
        <v>124</v>
      </c>
      <c r="C30" s="6" t="n">
        <v>700</v>
      </c>
      <c r="D30" s="12" t="n">
        <v>0</v>
      </c>
      <c r="E30" s="16" t="n">
        <f aca="false">C30*D30</f>
        <v>0</v>
      </c>
      <c r="F30" s="28"/>
      <c r="G30" s="28" t="s">
        <v>139</v>
      </c>
    </row>
    <row r="31" customFormat="false" ht="35.05" hidden="false" customHeight="false" outlineLevel="0" collapsed="false">
      <c r="A31" s="29" t="s">
        <v>33</v>
      </c>
      <c r="B31" s="29" t="s">
        <v>118</v>
      </c>
      <c r="C31" s="30" t="n">
        <f aca="false">IF(SUM(D27:D30)&gt;0,SUMPRODUCT(C27:C30,D27:D30)/SUM(D27:D30),"")</f>
        <v>724.97</v>
      </c>
      <c r="D31" s="31" t="n">
        <f aca="false">SUM(D27:D30)</f>
        <v>1</v>
      </c>
      <c r="E31" s="32" t="n">
        <v>724.97</v>
      </c>
      <c r="F31" s="29" t="s">
        <v>119</v>
      </c>
      <c r="G31" s="33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23.85" hidden="false" customHeight="false" outlineLevel="0" collapsed="false">
      <c r="A4" s="23" t="s">
        <v>105</v>
      </c>
      <c r="B4" s="23" t="s">
        <v>143</v>
      </c>
      <c r="C4" s="23" t="s">
        <v>144</v>
      </c>
      <c r="D4" s="23" t="s">
        <v>145</v>
      </c>
      <c r="E4" s="23" t="s">
        <v>146</v>
      </c>
      <c r="F4" s="23" t="s">
        <v>147</v>
      </c>
      <c r="G4" s="23" t="s">
        <v>148</v>
      </c>
    </row>
    <row r="5" customFormat="false" ht="46.25" hidden="false" customHeight="false" outlineLevel="0" collapsed="false">
      <c r="A5" s="5" t="s">
        <v>29</v>
      </c>
      <c r="B5" s="6" t="n">
        <v>408.93</v>
      </c>
      <c r="C5" s="6" t="n">
        <v>715.83</v>
      </c>
      <c r="D5" s="6" t="n">
        <v>1019.29</v>
      </c>
      <c r="E5" s="28" t="s">
        <v>149</v>
      </c>
      <c r="F5" s="28" t="s">
        <v>150</v>
      </c>
      <c r="G5" s="28" t="s">
        <v>151</v>
      </c>
    </row>
    <row r="6" customFormat="false" ht="68.65" hidden="false" customHeight="false" outlineLevel="0" collapsed="false">
      <c r="A6" s="5" t="s">
        <v>30</v>
      </c>
      <c r="B6" s="6" t="n">
        <v>455</v>
      </c>
      <c r="C6" s="6" t="n">
        <v>680</v>
      </c>
      <c r="D6" s="6" t="n">
        <v>920</v>
      </c>
      <c r="E6" s="28" t="s">
        <v>152</v>
      </c>
      <c r="F6" s="28" t="s">
        <v>153</v>
      </c>
      <c r="G6" s="28" t="s">
        <v>154</v>
      </c>
    </row>
    <row r="7" customFormat="false" ht="46.25" hidden="false" customHeight="false" outlineLevel="0" collapsed="false">
      <c r="A7" s="5" t="s">
        <v>31</v>
      </c>
      <c r="B7" s="6" t="n">
        <v>413</v>
      </c>
      <c r="C7" s="6" t="n">
        <v>622</v>
      </c>
      <c r="D7" s="6" t="n">
        <v>875</v>
      </c>
      <c r="E7" s="28" t="s">
        <v>155</v>
      </c>
      <c r="F7" s="28" t="s">
        <v>156</v>
      </c>
      <c r="G7" s="28" t="s">
        <v>157</v>
      </c>
    </row>
    <row r="8" customFormat="false" ht="57.45" hidden="false" customHeight="false" outlineLevel="0" collapsed="false">
      <c r="A8" s="5" t="s">
        <v>32</v>
      </c>
      <c r="B8" s="6" t="n">
        <v>461.25</v>
      </c>
      <c r="C8" s="6" t="n">
        <v>710.25</v>
      </c>
      <c r="D8" s="6" t="n">
        <v>926</v>
      </c>
      <c r="E8" s="28" t="s">
        <v>158</v>
      </c>
      <c r="F8" s="28" t="s">
        <v>159</v>
      </c>
      <c r="G8" s="28" t="s">
        <v>160</v>
      </c>
    </row>
    <row r="9" customFormat="false" ht="46.25" hidden="false" customHeight="false" outlineLevel="0" collapsed="false">
      <c r="A9" s="5" t="s">
        <v>33</v>
      </c>
      <c r="B9" s="6" t="n">
        <v>476.8</v>
      </c>
      <c r="C9" s="6" t="n">
        <v>724.97</v>
      </c>
      <c r="D9" s="6" t="n">
        <v>939.4</v>
      </c>
      <c r="E9" s="28" t="s">
        <v>161</v>
      </c>
      <c r="F9" s="28" t="s">
        <v>162</v>
      </c>
      <c r="G9" s="28" t="s">
        <v>163</v>
      </c>
    </row>
    <row r="10" customFormat="false" ht="15" hidden="false" customHeight="false" outlineLevel="0" collapsed="false">
      <c r="A10" s="14" t="s">
        <v>164</v>
      </c>
      <c r="B10" s="15" t="n">
        <f aca="false">AVERAGE(B5:B9)</f>
        <v>442.996</v>
      </c>
      <c r="C10" s="15" t="n">
        <f aca="false">AVERAGE(C5:C9)</f>
        <v>690.61</v>
      </c>
      <c r="D10" s="15" t="n">
        <f aca="false">AVERAGE(D5:D9)</f>
        <v>935.938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35.05" hidden="false" customHeight="false" outlineLevel="0" collapsed="false">
      <c r="A4" s="23" t="s">
        <v>105</v>
      </c>
      <c r="B4" s="23" t="s">
        <v>167</v>
      </c>
      <c r="C4" s="23" t="s">
        <v>168</v>
      </c>
      <c r="D4" s="23" t="s">
        <v>169</v>
      </c>
      <c r="E4" s="23" t="s">
        <v>66</v>
      </c>
      <c r="F4" s="23" t="s">
        <v>170</v>
      </c>
      <c r="G4" s="23" t="s">
        <v>171</v>
      </c>
      <c r="H4" s="23" t="s">
        <v>172</v>
      </c>
    </row>
    <row r="5" customFormat="false" ht="180.55" hidden="false" customHeight="false" outlineLevel="0" collapsed="false">
      <c r="A5" s="5" t="s">
        <v>29</v>
      </c>
      <c r="B5" s="6"/>
      <c r="C5" s="6" t="n">
        <v>715.83</v>
      </c>
      <c r="D5" s="6" t="n">
        <v>480</v>
      </c>
      <c r="E5" s="28" t="s">
        <v>173</v>
      </c>
      <c r="F5" s="28" t="s">
        <v>174</v>
      </c>
      <c r="G5" s="28" t="s">
        <v>175</v>
      </c>
      <c r="H5" s="28"/>
    </row>
    <row r="6" customFormat="false" ht="236.55" hidden="false" customHeight="false" outlineLevel="0" collapsed="false">
      <c r="A6" s="5" t="s">
        <v>30</v>
      </c>
      <c r="B6" s="6"/>
      <c r="C6" s="6" t="n">
        <v>690.77</v>
      </c>
      <c r="D6" s="6" t="n">
        <v>505</v>
      </c>
      <c r="E6" s="28" t="s">
        <v>176</v>
      </c>
      <c r="F6" s="28" t="s">
        <v>177</v>
      </c>
      <c r="G6" s="28" t="s">
        <v>178</v>
      </c>
      <c r="H6" s="28"/>
    </row>
    <row r="7" customFormat="false" ht="236.55" hidden="false" customHeight="false" outlineLevel="0" collapsed="false">
      <c r="A7" s="5" t="s">
        <v>31</v>
      </c>
      <c r="B7" s="6"/>
      <c r="C7" s="6" t="n">
        <v>621.73</v>
      </c>
      <c r="D7" s="6" t="n">
        <v>490</v>
      </c>
      <c r="E7" s="28" t="s">
        <v>179</v>
      </c>
      <c r="F7" s="28" t="s">
        <v>180</v>
      </c>
      <c r="G7" s="28" t="s">
        <v>181</v>
      </c>
      <c r="H7" s="28"/>
    </row>
    <row r="8" customFormat="false" ht="281.3" hidden="false" customHeight="false" outlineLevel="0" collapsed="false">
      <c r="A8" s="5" t="s">
        <v>32</v>
      </c>
      <c r="B8" s="6"/>
      <c r="C8" s="6" t="n">
        <v>710.25</v>
      </c>
      <c r="D8" s="6" t="n">
        <v>490</v>
      </c>
      <c r="E8" s="28" t="s">
        <v>182</v>
      </c>
      <c r="F8" s="28" t="s">
        <v>183</v>
      </c>
      <c r="G8" s="28" t="s">
        <v>184</v>
      </c>
      <c r="H8" s="28"/>
    </row>
    <row r="9" customFormat="false" ht="214.15" hidden="false" customHeight="false" outlineLevel="0" collapsed="false">
      <c r="A9" s="5" t="s">
        <v>33</v>
      </c>
      <c r="B9" s="6"/>
      <c r="C9" s="6" t="n">
        <v>724.97</v>
      </c>
      <c r="D9" s="6" t="n">
        <v>470</v>
      </c>
      <c r="E9" s="28" t="s">
        <v>185</v>
      </c>
      <c r="F9" s="28" t="s">
        <v>186</v>
      </c>
      <c r="G9" s="28" t="s">
        <v>187</v>
      </c>
      <c r="H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35.05" hidden="false" customHeight="true" outlineLevel="0" collapsed="false">
      <c r="A4" s="14" t="s">
        <v>190</v>
      </c>
      <c r="B4" s="34" t="s">
        <v>191</v>
      </c>
      <c r="C4" s="34"/>
      <c r="D4" s="34"/>
    </row>
    <row r="5" customFormat="false" ht="57.45" hidden="false" customHeight="true" outlineLevel="0" collapsed="false">
      <c r="A5" s="14" t="s">
        <v>192</v>
      </c>
      <c r="B5" s="34" t="s">
        <v>37</v>
      </c>
      <c r="C5" s="34"/>
      <c r="D5" s="34"/>
    </row>
    <row r="6" customFormat="false" ht="68.65" hidden="false" customHeight="true" outlineLevel="0" collapsed="false">
      <c r="A6" s="14" t="s">
        <v>193</v>
      </c>
      <c r="B6" s="34" t="s">
        <v>194</v>
      </c>
      <c r="C6" s="34"/>
      <c r="D6" s="34"/>
    </row>
    <row r="8" customFormat="false" ht="15" hidden="false" customHeight="false" outlineLevel="0" collapsed="false">
      <c r="A8" s="35" t="s">
        <v>195</v>
      </c>
    </row>
    <row r="9" customFormat="false" ht="15" hidden="false" customHeight="false" outlineLevel="0" collapsed="false">
      <c r="A9" s="36" t="s">
        <v>196</v>
      </c>
      <c r="B9" s="36" t="s">
        <v>197</v>
      </c>
      <c r="C9" s="36" t="s">
        <v>198</v>
      </c>
      <c r="D9" s="36" t="s">
        <v>199</v>
      </c>
    </row>
    <row r="10" customFormat="false" ht="68.65" hidden="false" customHeight="false" outlineLevel="0" collapsed="false">
      <c r="A10" s="28" t="s">
        <v>200</v>
      </c>
      <c r="B10" s="28" t="s">
        <v>201</v>
      </c>
      <c r="C10" s="28" t="s">
        <v>202</v>
      </c>
      <c r="D10" s="28" t="s">
        <v>203</v>
      </c>
    </row>
    <row r="11" customFormat="false" ht="46.25" hidden="false" customHeight="false" outlineLevel="0" collapsed="false">
      <c r="A11" s="28" t="s">
        <v>204</v>
      </c>
      <c r="B11" s="28" t="s">
        <v>205</v>
      </c>
      <c r="C11" s="28" t="s">
        <v>206</v>
      </c>
      <c r="D11" s="28" t="s">
        <v>207</v>
      </c>
    </row>
    <row r="12" customFormat="false" ht="46.25" hidden="false" customHeight="false" outlineLevel="0" collapsed="false">
      <c r="A12" s="28" t="s">
        <v>208</v>
      </c>
      <c r="B12" s="28" t="s">
        <v>209</v>
      </c>
      <c r="C12" s="28" t="s">
        <v>210</v>
      </c>
      <c r="D12" s="28" t="s">
        <v>211</v>
      </c>
    </row>
    <row r="13" customFormat="false" ht="68.65" hidden="false" customHeight="false" outlineLevel="0" collapsed="false">
      <c r="A13" s="28" t="s">
        <v>212</v>
      </c>
      <c r="B13" s="28" t="s">
        <v>213</v>
      </c>
      <c r="C13" s="28" t="s">
        <v>214</v>
      </c>
      <c r="D13" s="28" t="s">
        <v>215</v>
      </c>
    </row>
    <row r="14" customFormat="false" ht="68.65" hidden="false" customHeight="false" outlineLevel="0" collapsed="false">
      <c r="A14" s="28" t="s">
        <v>216</v>
      </c>
      <c r="B14" s="28" t="s">
        <v>217</v>
      </c>
      <c r="C14" s="28" t="s">
        <v>218</v>
      </c>
      <c r="D14" s="28" t="s">
        <v>219</v>
      </c>
    </row>
    <row r="15" customFormat="false" ht="23.85" hidden="false" customHeight="false" outlineLevel="0" collapsed="false">
      <c r="A15" s="28" t="s">
        <v>220</v>
      </c>
      <c r="B15" s="28" t="s">
        <v>221</v>
      </c>
      <c r="C15" s="28" t="s">
        <v>222</v>
      </c>
      <c r="D15" s="28" t="s">
        <v>223</v>
      </c>
    </row>
    <row r="16" customFormat="false" ht="23.85" hidden="false" customHeight="false" outlineLevel="0" collapsed="false">
      <c r="A16" s="28" t="s">
        <v>224</v>
      </c>
      <c r="B16" s="28" t="s">
        <v>225</v>
      </c>
      <c r="C16" s="28" t="s">
        <v>226</v>
      </c>
      <c r="D16" s="28" t="s">
        <v>227</v>
      </c>
    </row>
    <row r="18" customFormat="false" ht="15" hidden="false" customHeight="false" outlineLevel="0" collapsed="false">
      <c r="A18" s="35" t="s">
        <v>228</v>
      </c>
    </row>
    <row r="19" customFormat="false" ht="15" hidden="false" customHeight="false" outlineLevel="0" collapsed="false">
      <c r="A19" s="36" t="s">
        <v>229</v>
      </c>
      <c r="B19" s="36" t="s">
        <v>230</v>
      </c>
      <c r="C19" s="36" t="s">
        <v>231</v>
      </c>
      <c r="D19" s="36" t="s">
        <v>232</v>
      </c>
    </row>
    <row r="20" customFormat="false" ht="57.45" hidden="false" customHeight="false" outlineLevel="0" collapsed="false">
      <c r="A20" s="28" t="s">
        <v>233</v>
      </c>
      <c r="B20" s="28" t="s">
        <v>234</v>
      </c>
      <c r="C20" s="28" t="s">
        <v>235</v>
      </c>
      <c r="D20" s="28" t="s">
        <v>236</v>
      </c>
    </row>
    <row r="21" customFormat="false" ht="35.05" hidden="false" customHeight="false" outlineLevel="0" collapsed="false">
      <c r="A21" s="28" t="s">
        <v>237</v>
      </c>
      <c r="B21" s="28" t="s">
        <v>238</v>
      </c>
      <c r="C21" s="28" t="s">
        <v>239</v>
      </c>
      <c r="D21" s="28" t="s">
        <v>240</v>
      </c>
    </row>
    <row r="22" customFormat="false" ht="23.85" hidden="false" customHeight="false" outlineLevel="0" collapsed="false">
      <c r="A22" s="28" t="s">
        <v>241</v>
      </c>
      <c r="B22" s="28" t="s">
        <v>242</v>
      </c>
      <c r="C22" s="28" t="s">
        <v>243</v>
      </c>
      <c r="D22" s="28" t="s">
        <v>244</v>
      </c>
    </row>
    <row r="23" customFormat="false" ht="35.05" hidden="false" customHeight="false" outlineLevel="0" collapsed="false">
      <c r="A23" s="28" t="s">
        <v>245</v>
      </c>
      <c r="B23" s="28" t="s">
        <v>246</v>
      </c>
      <c r="C23" s="28" t="s">
        <v>247</v>
      </c>
      <c r="D23" s="28" t="s">
        <v>248</v>
      </c>
    </row>
    <row r="24" customFormat="false" ht="23.85" hidden="false" customHeight="false" outlineLevel="0" collapsed="false">
      <c r="A24" s="28" t="s">
        <v>249</v>
      </c>
      <c r="B24" s="28" t="s">
        <v>250</v>
      </c>
      <c r="C24" s="28" t="s">
        <v>251</v>
      </c>
      <c r="D24" s="28" t="s">
        <v>252</v>
      </c>
    </row>
    <row r="25" customFormat="false" ht="23.85" hidden="false" customHeight="false" outlineLevel="0" collapsed="false">
      <c r="A25" s="28" t="s">
        <v>253</v>
      </c>
      <c r="B25" s="28" t="s">
        <v>254</v>
      </c>
      <c r="C25" s="28" t="s">
        <v>255</v>
      </c>
      <c r="D25" s="28" t="s">
        <v>256</v>
      </c>
    </row>
    <row r="26" customFormat="false" ht="23.85" hidden="false" customHeight="false" outlineLevel="0" collapsed="false">
      <c r="A26" s="28" t="s">
        <v>257</v>
      </c>
      <c r="B26" s="28" t="s">
        <v>258</v>
      </c>
      <c r="C26" s="28" t="s">
        <v>259</v>
      </c>
      <c r="D26" s="28" t="s">
        <v>260</v>
      </c>
    </row>
    <row r="27" customFormat="false" ht="23.85" hidden="false" customHeight="false" outlineLevel="0" collapsed="false">
      <c r="A27" s="28" t="s">
        <v>261</v>
      </c>
      <c r="B27" s="28" t="s">
        <v>262</v>
      </c>
      <c r="C27" s="28" t="s">
        <v>263</v>
      </c>
      <c r="D27" s="28" t="s">
        <v>264</v>
      </c>
    </row>
    <row r="29" customFormat="false" ht="15" hidden="false" customHeight="false" outlineLevel="0" collapsed="false">
      <c r="A29" s="35" t="s">
        <v>265</v>
      </c>
    </row>
    <row r="30" customFormat="false" ht="35.05" hidden="false" customHeight="true" outlineLevel="0" collapsed="false">
      <c r="B30" s="34" t="s">
        <v>266</v>
      </c>
      <c r="C30" s="34"/>
      <c r="D30" s="34"/>
    </row>
    <row r="31" customFormat="false" ht="23.85" hidden="false" customHeight="true" outlineLevel="0" collapsed="false">
      <c r="B31" s="34" t="s">
        <v>267</v>
      </c>
      <c r="C31" s="34"/>
      <c r="D31" s="34"/>
    </row>
    <row r="32" customFormat="false" ht="23.85" hidden="false" customHeight="true" outlineLevel="0" collapsed="false">
      <c r="B32" s="34" t="s">
        <v>268</v>
      </c>
      <c r="C32" s="34"/>
      <c r="D32" s="34"/>
    </row>
    <row r="33" customFormat="false" ht="23.85" hidden="false" customHeight="true" outlineLevel="0" collapsed="false">
      <c r="B33" s="34" t="s">
        <v>269</v>
      </c>
      <c r="C33" s="34"/>
      <c r="D33" s="34"/>
    </row>
    <row r="34" customFormat="false" ht="23.85" hidden="false" customHeight="true" outlineLevel="0" collapsed="false">
      <c r="B34" s="34" t="s">
        <v>270</v>
      </c>
      <c r="C34" s="34"/>
      <c r="D34" s="34"/>
    </row>
    <row r="35" customFormat="false" ht="15" hidden="false" customHeight="true" outlineLevel="0" collapsed="false">
      <c r="B35" s="34" t="s">
        <v>271</v>
      </c>
      <c r="C35" s="34"/>
      <c r="D35" s="34"/>
    </row>
    <row r="36" customFormat="false" ht="15" hidden="false" customHeight="true" outlineLevel="0" collapsed="false">
      <c r="B36" s="34" t="s">
        <v>272</v>
      </c>
      <c r="C36" s="34"/>
      <c r="D36" s="34"/>
    </row>
    <row r="37" customFormat="false" ht="23.85" hidden="false" customHeight="true" outlineLevel="0" collapsed="false">
      <c r="B37" s="34" t="s">
        <v>273</v>
      </c>
      <c r="C37" s="34"/>
      <c r="D37" s="34"/>
    </row>
    <row r="38" customFormat="false" ht="23.85" hidden="false" customHeight="true" outlineLevel="0" collapsed="false">
      <c r="B38" s="34" t="s">
        <v>274</v>
      </c>
      <c r="C38" s="34"/>
      <c r="D38" s="34"/>
    </row>
    <row r="39" customFormat="false" ht="15" hidden="false" customHeight="true" outlineLevel="0" collapsed="false">
      <c r="B39" s="34" t="s">
        <v>275</v>
      </c>
      <c r="C39" s="34"/>
      <c r="D39" s="34"/>
    </row>
    <row r="40" customFormat="false" ht="23.85" hidden="false" customHeight="true" outlineLevel="0" collapsed="false">
      <c r="B40" s="34" t="s">
        <v>276</v>
      </c>
      <c r="C40" s="34"/>
      <c r="D40" s="34"/>
    </row>
    <row r="41" customFormat="false" ht="23.85" hidden="false" customHeight="true" outlineLevel="0" collapsed="false">
      <c r="B41" s="34" t="s">
        <v>277</v>
      </c>
      <c r="C41" s="34"/>
      <c r="D41" s="34"/>
    </row>
    <row r="42" customFormat="false" ht="23.85" hidden="false" customHeight="true" outlineLevel="0" collapsed="false">
      <c r="B42" s="34" t="s">
        <v>278</v>
      </c>
      <c r="C42" s="34"/>
      <c r="D42" s="34"/>
    </row>
    <row r="43" customFormat="false" ht="35.05" hidden="false" customHeight="true" outlineLevel="0" collapsed="false">
      <c r="B43" s="34" t="s">
        <v>279</v>
      </c>
      <c r="C43" s="34"/>
      <c r="D43" s="34"/>
    </row>
    <row r="45" customFormat="false" ht="15" hidden="false" customHeight="false" outlineLevel="0" collapsed="false">
      <c r="A45" s="35" t="s">
        <v>280</v>
      </c>
    </row>
    <row r="46" customFormat="false" ht="15" hidden="false" customHeight="false" outlineLevel="0" collapsed="false">
      <c r="A46" s="5" t="s">
        <v>281</v>
      </c>
      <c r="B46" s="28" t="n">
        <v>5</v>
      </c>
    </row>
    <row r="47" customFormat="false" ht="15" hidden="false" customHeight="false" outlineLevel="0" collapsed="false">
      <c r="A47" s="5" t="s">
        <v>282</v>
      </c>
      <c r="B47" s="28" t="n">
        <v>0.42</v>
      </c>
    </row>
    <row r="48" customFormat="false" ht="23.85" hidden="false" customHeight="false" outlineLevel="0" collapsed="false">
      <c r="A48" s="5" t="s">
        <v>283</v>
      </c>
      <c r="B48" s="28" t="s">
        <v>284</v>
      </c>
    </row>
    <row r="49" customFormat="false" ht="46.25" hidden="false" customHeight="false" outlineLevel="0" collapsed="false">
      <c r="A49" s="5" t="s">
        <v>285</v>
      </c>
      <c r="B49" s="28" t="s">
        <v>286</v>
      </c>
    </row>
    <row r="50" customFormat="false" ht="46.25" hidden="false" customHeight="false" outlineLevel="0" collapsed="false">
      <c r="A50" s="5" t="s">
        <v>287</v>
      </c>
      <c r="B50" s="28" t="s">
        <v>288</v>
      </c>
    </row>
    <row r="51" customFormat="false" ht="23.85" hidden="false" customHeight="false" outlineLevel="0" collapsed="false">
      <c r="A51" s="5" t="s">
        <v>289</v>
      </c>
      <c r="B51" s="28" t="s">
        <v>290</v>
      </c>
    </row>
  </sheetData>
  <mergeCells count="17">
    <mergeCell ref="B4:D4"/>
    <mergeCell ref="B5:D5"/>
    <mergeCell ref="B6:D6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23" t="s">
        <v>74</v>
      </c>
      <c r="B4" s="23" t="s">
        <v>293</v>
      </c>
      <c r="C4" s="23" t="s">
        <v>294</v>
      </c>
      <c r="D4" s="23" t="s">
        <v>295</v>
      </c>
      <c r="E4" s="23" t="s">
        <v>296</v>
      </c>
    </row>
    <row r="5" customFormat="false" ht="15" hidden="false" customHeight="false" outlineLevel="0" collapsed="false">
      <c r="A5" s="5" t="s">
        <v>297</v>
      </c>
      <c r="B5" s="5" t="s">
        <v>298</v>
      </c>
      <c r="C5" s="28" t="s">
        <v>299</v>
      </c>
      <c r="D5" s="5" t="s">
        <v>300</v>
      </c>
      <c r="E5" s="22" t="s">
        <v>301</v>
      </c>
    </row>
    <row r="6" customFormat="false" ht="23.85" hidden="false" customHeight="false" outlineLevel="0" collapsed="false">
      <c r="A6" s="5" t="s">
        <v>302</v>
      </c>
      <c r="B6" s="5" t="s">
        <v>298</v>
      </c>
      <c r="C6" s="28" t="s">
        <v>303</v>
      </c>
      <c r="D6" s="5" t="s">
        <v>304</v>
      </c>
      <c r="E6" s="22" t="s">
        <v>305</v>
      </c>
    </row>
    <row r="7" customFormat="false" ht="15" hidden="false" customHeight="false" outlineLevel="0" collapsed="false">
      <c r="A7" s="5" t="s">
        <v>306</v>
      </c>
      <c r="B7" s="5" t="s">
        <v>298</v>
      </c>
      <c r="C7" s="28" t="s">
        <v>307</v>
      </c>
      <c r="D7" s="5" t="s">
        <v>300</v>
      </c>
      <c r="E7" s="22" t="s">
        <v>308</v>
      </c>
    </row>
    <row r="8" customFormat="false" ht="15" hidden="false" customHeight="false" outlineLevel="0" collapsed="false">
      <c r="A8" s="5" t="s">
        <v>309</v>
      </c>
      <c r="B8" s="5" t="s">
        <v>298</v>
      </c>
      <c r="C8" s="28" t="s">
        <v>310</v>
      </c>
      <c r="D8" s="5" t="s">
        <v>311</v>
      </c>
      <c r="E8" s="22" t="s">
        <v>312</v>
      </c>
    </row>
    <row r="9" customFormat="false" ht="23.85" hidden="false" customHeight="false" outlineLevel="0" collapsed="false">
      <c r="A9" s="5" t="s">
        <v>313</v>
      </c>
      <c r="B9" s="5" t="s">
        <v>298</v>
      </c>
      <c r="C9" s="28" t="s">
        <v>314</v>
      </c>
      <c r="D9" s="5" t="s">
        <v>300</v>
      </c>
      <c r="E9" s="22" t="s">
        <v>315</v>
      </c>
    </row>
    <row r="10" customFormat="false" ht="15" hidden="false" customHeight="false" outlineLevel="0" collapsed="false">
      <c r="A10" s="5" t="s">
        <v>316</v>
      </c>
      <c r="B10" s="5" t="s">
        <v>298</v>
      </c>
      <c r="C10" s="28" t="s">
        <v>317</v>
      </c>
      <c r="D10" s="5" t="s">
        <v>318</v>
      </c>
      <c r="E10" s="22" t="s">
        <v>319</v>
      </c>
    </row>
    <row r="11" customFormat="false" ht="15" hidden="false" customHeight="false" outlineLevel="0" collapsed="false">
      <c r="A11" s="5" t="s">
        <v>320</v>
      </c>
      <c r="B11" s="5" t="s">
        <v>298</v>
      </c>
      <c r="C11" s="28" t="s">
        <v>321</v>
      </c>
      <c r="D11" s="5" t="s">
        <v>322</v>
      </c>
      <c r="E11" s="22" t="s">
        <v>323</v>
      </c>
    </row>
    <row r="12" customFormat="false" ht="15" hidden="false" customHeight="false" outlineLevel="0" collapsed="false">
      <c r="A12" s="5" t="s">
        <v>324</v>
      </c>
      <c r="B12" s="5" t="s">
        <v>298</v>
      </c>
      <c r="C12" s="28" t="s">
        <v>325</v>
      </c>
      <c r="D12" s="5" t="s">
        <v>326</v>
      </c>
      <c r="E12" s="22" t="s">
        <v>327</v>
      </c>
    </row>
    <row r="13" customFormat="false" ht="15" hidden="false" customHeight="false" outlineLevel="0" collapsed="false">
      <c r="A13" s="5" t="s">
        <v>328</v>
      </c>
      <c r="B13" s="5" t="s">
        <v>298</v>
      </c>
      <c r="C13" s="28" t="s">
        <v>329</v>
      </c>
      <c r="D13" s="5" t="s">
        <v>311</v>
      </c>
      <c r="E13" s="22" t="s">
        <v>330</v>
      </c>
    </row>
    <row r="14" customFormat="false" ht="15" hidden="false" customHeight="false" outlineLevel="0" collapsed="false">
      <c r="A14" s="5" t="s">
        <v>331</v>
      </c>
      <c r="B14" s="5" t="s">
        <v>298</v>
      </c>
      <c r="C14" s="28" t="s">
        <v>332</v>
      </c>
      <c r="D14" s="5" t="s">
        <v>333</v>
      </c>
      <c r="E14" s="22" t="s">
        <v>334</v>
      </c>
    </row>
    <row r="15" customFormat="false" ht="15" hidden="false" customHeight="false" outlineLevel="0" collapsed="false">
      <c r="A15" s="5" t="s">
        <v>335</v>
      </c>
      <c r="B15" s="5" t="s">
        <v>298</v>
      </c>
      <c r="C15" s="28" t="s">
        <v>336</v>
      </c>
      <c r="D15" s="5" t="s">
        <v>337</v>
      </c>
      <c r="E15" s="22" t="s">
        <v>338</v>
      </c>
    </row>
    <row r="16" customFormat="false" ht="15" hidden="false" customHeight="false" outlineLevel="0" collapsed="false">
      <c r="A16" s="5" t="s">
        <v>339</v>
      </c>
      <c r="B16" s="5" t="s">
        <v>298</v>
      </c>
      <c r="C16" s="28" t="s">
        <v>340</v>
      </c>
      <c r="D16" s="5" t="s">
        <v>341</v>
      </c>
      <c r="E16" s="22" t="s">
        <v>342</v>
      </c>
    </row>
    <row r="17" customFormat="false" ht="15" hidden="false" customHeight="false" outlineLevel="0" collapsed="false">
      <c r="A17" s="5" t="s">
        <v>343</v>
      </c>
      <c r="B17" s="5" t="s">
        <v>298</v>
      </c>
      <c r="C17" s="28" t="s">
        <v>344</v>
      </c>
      <c r="D17" s="5" t="s">
        <v>345</v>
      </c>
      <c r="E17" s="22" t="s">
        <v>346</v>
      </c>
    </row>
    <row r="18" customFormat="false" ht="15" hidden="false" customHeight="false" outlineLevel="0" collapsed="false">
      <c r="A18" s="5" t="s">
        <v>347</v>
      </c>
      <c r="B18" s="5" t="s">
        <v>298</v>
      </c>
      <c r="C18" s="28" t="s">
        <v>348</v>
      </c>
      <c r="D18" s="5" t="s">
        <v>349</v>
      </c>
      <c r="E18" s="22" t="s">
        <v>350</v>
      </c>
    </row>
    <row r="19" customFormat="false" ht="15" hidden="false" customHeight="false" outlineLevel="0" collapsed="false">
      <c r="A19" s="5" t="s">
        <v>351</v>
      </c>
      <c r="B19" s="5" t="s">
        <v>298</v>
      </c>
      <c r="C19" s="28" t="s">
        <v>352</v>
      </c>
      <c r="D19" s="5" t="s">
        <v>353</v>
      </c>
      <c r="E19" s="22" t="s">
        <v>354</v>
      </c>
    </row>
    <row r="20" customFormat="false" ht="15" hidden="false" customHeight="false" outlineLevel="0" collapsed="false">
      <c r="A20" s="5" t="s">
        <v>355</v>
      </c>
      <c r="B20" s="5" t="s">
        <v>298</v>
      </c>
      <c r="C20" s="28" t="s">
        <v>356</v>
      </c>
      <c r="D20" s="5" t="s">
        <v>357</v>
      </c>
      <c r="E20" s="22" t="s">
        <v>358</v>
      </c>
    </row>
    <row r="21" customFormat="false" ht="15" hidden="false" customHeight="false" outlineLevel="0" collapsed="false">
      <c r="A21" s="5" t="s">
        <v>359</v>
      </c>
      <c r="B21" s="5" t="s">
        <v>298</v>
      </c>
      <c r="C21" s="28" t="s">
        <v>360</v>
      </c>
      <c r="D21" s="5" t="s">
        <v>361</v>
      </c>
      <c r="E21" s="22" t="s">
        <v>362</v>
      </c>
    </row>
    <row r="22" customFormat="false" ht="15" hidden="false" customHeight="false" outlineLevel="0" collapsed="false">
      <c r="A22" s="5" t="s">
        <v>363</v>
      </c>
      <c r="B22" s="5" t="s">
        <v>298</v>
      </c>
      <c r="C22" s="28" t="s">
        <v>364</v>
      </c>
      <c r="D22" s="5" t="s">
        <v>365</v>
      </c>
      <c r="E22" s="22" t="s">
        <v>366</v>
      </c>
    </row>
    <row r="23" customFormat="false" ht="23.85" hidden="false" customHeight="false" outlineLevel="0" collapsed="false">
      <c r="A23" s="5" t="s">
        <v>367</v>
      </c>
      <c r="B23" s="5" t="s">
        <v>298</v>
      </c>
      <c r="C23" s="28" t="s">
        <v>368</v>
      </c>
      <c r="D23" s="5" t="s">
        <v>369</v>
      </c>
      <c r="E23" s="22" t="s">
        <v>370</v>
      </c>
    </row>
    <row r="24" customFormat="false" ht="23.85" hidden="false" customHeight="false" outlineLevel="0" collapsed="false">
      <c r="A24" s="5" t="s">
        <v>371</v>
      </c>
      <c r="B24" s="5" t="s">
        <v>298</v>
      </c>
      <c r="C24" s="28" t="s">
        <v>372</v>
      </c>
      <c r="D24" s="5" t="s">
        <v>369</v>
      </c>
      <c r="E24" s="5" t="s">
        <v>373</v>
      </c>
    </row>
    <row r="25" customFormat="false" ht="23.85" hidden="false" customHeight="false" outlineLevel="0" collapsed="false">
      <c r="A25" s="5" t="s">
        <v>374</v>
      </c>
      <c r="B25" s="5" t="s">
        <v>298</v>
      </c>
      <c r="C25" s="28" t="s">
        <v>375</v>
      </c>
      <c r="D25" s="5" t="s">
        <v>376</v>
      </c>
      <c r="E25" s="5" t="s">
        <v>377</v>
      </c>
    </row>
    <row r="26" customFormat="false" ht="15" hidden="false" customHeight="false" outlineLevel="0" collapsed="false">
      <c r="A26" s="5" t="s">
        <v>378</v>
      </c>
      <c r="B26" s="5" t="s">
        <v>298</v>
      </c>
      <c r="C26" s="28" t="s">
        <v>379</v>
      </c>
      <c r="D26" s="5" t="s">
        <v>369</v>
      </c>
      <c r="E26" s="22" t="s">
        <v>380</v>
      </c>
    </row>
    <row r="27" customFormat="false" ht="15" hidden="false" customHeight="false" outlineLevel="0" collapsed="false">
      <c r="A27" s="5" t="s">
        <v>381</v>
      </c>
      <c r="B27" s="5" t="s">
        <v>382</v>
      </c>
      <c r="C27" s="28" t="s">
        <v>383</v>
      </c>
      <c r="D27" s="5" t="s">
        <v>300</v>
      </c>
      <c r="E27" s="22" t="s">
        <v>301</v>
      </c>
    </row>
    <row r="28" customFormat="false" ht="15" hidden="false" customHeight="false" outlineLevel="0" collapsed="false">
      <c r="A28" s="5" t="s">
        <v>384</v>
      </c>
      <c r="B28" s="5" t="s">
        <v>382</v>
      </c>
      <c r="C28" s="28" t="s">
        <v>385</v>
      </c>
      <c r="D28" s="5" t="s">
        <v>304</v>
      </c>
      <c r="E28" s="22" t="s">
        <v>305</v>
      </c>
    </row>
    <row r="29" customFormat="false" ht="15" hidden="false" customHeight="false" outlineLevel="0" collapsed="false">
      <c r="A29" s="5" t="s">
        <v>386</v>
      </c>
      <c r="B29" s="5" t="s">
        <v>382</v>
      </c>
      <c r="C29" s="28" t="s">
        <v>387</v>
      </c>
      <c r="D29" s="5" t="s">
        <v>322</v>
      </c>
      <c r="E29" s="22" t="s">
        <v>323</v>
      </c>
    </row>
    <row r="30" customFormat="false" ht="15" hidden="false" customHeight="false" outlineLevel="0" collapsed="false">
      <c r="A30" s="5" t="s">
        <v>388</v>
      </c>
      <c r="B30" s="5" t="s">
        <v>382</v>
      </c>
      <c r="C30" s="28" t="s">
        <v>389</v>
      </c>
      <c r="D30" s="5" t="s">
        <v>318</v>
      </c>
      <c r="E30" s="22" t="s">
        <v>319</v>
      </c>
    </row>
    <row r="31" customFormat="false" ht="15" hidden="false" customHeight="false" outlineLevel="0" collapsed="false">
      <c r="A31" s="5" t="s">
        <v>390</v>
      </c>
      <c r="B31" s="5" t="s">
        <v>382</v>
      </c>
      <c r="C31" s="28" t="s">
        <v>391</v>
      </c>
      <c r="D31" s="5" t="s">
        <v>311</v>
      </c>
      <c r="E31" s="22" t="s">
        <v>392</v>
      </c>
    </row>
    <row r="32" customFormat="false" ht="15" hidden="false" customHeight="false" outlineLevel="0" collapsed="false">
      <c r="A32" s="5" t="s">
        <v>393</v>
      </c>
      <c r="B32" s="5" t="s">
        <v>382</v>
      </c>
      <c r="C32" s="28" t="s">
        <v>394</v>
      </c>
      <c r="D32" s="5" t="s">
        <v>326</v>
      </c>
      <c r="E32" s="22" t="s">
        <v>395</v>
      </c>
    </row>
    <row r="33" customFormat="false" ht="15" hidden="false" customHeight="false" outlineLevel="0" collapsed="false">
      <c r="A33" s="5" t="s">
        <v>396</v>
      </c>
      <c r="B33" s="5" t="s">
        <v>382</v>
      </c>
      <c r="C33" s="28" t="s">
        <v>397</v>
      </c>
      <c r="D33" s="5" t="s">
        <v>345</v>
      </c>
      <c r="E33" s="22" t="s">
        <v>346</v>
      </c>
    </row>
    <row r="34" customFormat="false" ht="15" hidden="false" customHeight="false" outlineLevel="0" collapsed="false">
      <c r="A34" s="5" t="s">
        <v>398</v>
      </c>
      <c r="B34" s="5" t="s">
        <v>382</v>
      </c>
      <c r="C34" s="28" t="s">
        <v>399</v>
      </c>
      <c r="D34" s="5" t="s">
        <v>337</v>
      </c>
      <c r="E34" s="22" t="s">
        <v>338</v>
      </c>
    </row>
    <row r="35" customFormat="false" ht="15" hidden="false" customHeight="false" outlineLevel="0" collapsed="false">
      <c r="A35" s="5" t="s">
        <v>400</v>
      </c>
      <c r="B35" s="5" t="s">
        <v>382</v>
      </c>
      <c r="C35" s="28" t="s">
        <v>401</v>
      </c>
      <c r="D35" s="5" t="s">
        <v>333</v>
      </c>
      <c r="E35" s="22" t="s">
        <v>402</v>
      </c>
    </row>
    <row r="36" customFormat="false" ht="15" hidden="false" customHeight="false" outlineLevel="0" collapsed="false">
      <c r="A36" s="5" t="s">
        <v>403</v>
      </c>
      <c r="B36" s="5" t="s">
        <v>382</v>
      </c>
      <c r="C36" s="28" t="s">
        <v>404</v>
      </c>
      <c r="D36" s="5" t="s">
        <v>300</v>
      </c>
      <c r="E36" s="22" t="s">
        <v>405</v>
      </c>
    </row>
    <row r="37" customFormat="false" ht="23.85" hidden="false" customHeight="false" outlineLevel="0" collapsed="false">
      <c r="A37" s="5" t="s">
        <v>406</v>
      </c>
      <c r="B37" s="5" t="s">
        <v>382</v>
      </c>
      <c r="C37" s="28" t="s">
        <v>407</v>
      </c>
      <c r="D37" s="5" t="s">
        <v>369</v>
      </c>
      <c r="E37" s="22" t="s">
        <v>370</v>
      </c>
    </row>
    <row r="38" customFormat="false" ht="15" hidden="false" customHeight="false" outlineLevel="0" collapsed="false">
      <c r="A38" s="5" t="s">
        <v>408</v>
      </c>
      <c r="B38" s="5" t="s">
        <v>382</v>
      </c>
      <c r="C38" s="28" t="s">
        <v>409</v>
      </c>
      <c r="D38" s="5" t="s">
        <v>369</v>
      </c>
      <c r="E38" s="5" t="s">
        <v>410</v>
      </c>
    </row>
    <row r="39" customFormat="false" ht="23.85" hidden="false" customHeight="false" outlineLevel="0" collapsed="false">
      <c r="A39" s="5" t="s">
        <v>411</v>
      </c>
      <c r="B39" s="5" t="s">
        <v>382</v>
      </c>
      <c r="C39" s="28" t="s">
        <v>412</v>
      </c>
      <c r="D39" s="5" t="s">
        <v>413</v>
      </c>
      <c r="E39" s="22" t="s">
        <v>414</v>
      </c>
    </row>
    <row r="40" customFormat="false" ht="15" hidden="false" customHeight="false" outlineLevel="0" collapsed="false">
      <c r="A40" s="5" t="s">
        <v>415</v>
      </c>
      <c r="B40" s="5" t="s">
        <v>382</v>
      </c>
      <c r="C40" s="28" t="s">
        <v>416</v>
      </c>
      <c r="D40" s="5" t="s">
        <v>417</v>
      </c>
      <c r="E40" s="22" t="s">
        <v>418</v>
      </c>
    </row>
    <row r="41" customFormat="false" ht="15" hidden="false" customHeight="false" outlineLevel="0" collapsed="false">
      <c r="A41" s="5" t="s">
        <v>419</v>
      </c>
      <c r="B41" s="5" t="s">
        <v>382</v>
      </c>
      <c r="C41" s="28" t="s">
        <v>420</v>
      </c>
      <c r="D41" s="5" t="s">
        <v>421</v>
      </c>
      <c r="E41" s="22" t="s">
        <v>422</v>
      </c>
    </row>
    <row r="42" customFormat="false" ht="23.85" hidden="false" customHeight="false" outlineLevel="0" collapsed="false">
      <c r="A42" s="5" t="s">
        <v>423</v>
      </c>
      <c r="B42" s="5" t="s">
        <v>382</v>
      </c>
      <c r="C42" s="28" t="s">
        <v>424</v>
      </c>
      <c r="D42" s="5" t="s">
        <v>425</v>
      </c>
      <c r="E42" s="22" t="s">
        <v>426</v>
      </c>
    </row>
    <row r="43" customFormat="false" ht="15" hidden="false" customHeight="false" outlineLevel="0" collapsed="false">
      <c r="A43" s="5" t="s">
        <v>427</v>
      </c>
      <c r="B43" s="5" t="s">
        <v>382</v>
      </c>
      <c r="C43" s="28" t="s">
        <v>428</v>
      </c>
      <c r="D43" s="5" t="s">
        <v>429</v>
      </c>
      <c r="E43" s="22" t="s">
        <v>430</v>
      </c>
    </row>
    <row r="44" customFormat="false" ht="15" hidden="false" customHeight="false" outlineLevel="0" collapsed="false">
      <c r="A44" s="5" t="s">
        <v>431</v>
      </c>
      <c r="B44" s="5" t="s">
        <v>382</v>
      </c>
      <c r="C44" s="28" t="s">
        <v>432</v>
      </c>
      <c r="D44" s="5" t="s">
        <v>433</v>
      </c>
      <c r="E44" s="22" t="s">
        <v>434</v>
      </c>
    </row>
    <row r="45" customFormat="false" ht="15" hidden="false" customHeight="false" outlineLevel="0" collapsed="false">
      <c r="A45" s="5" t="s">
        <v>435</v>
      </c>
      <c r="B45" s="5" t="s">
        <v>382</v>
      </c>
      <c r="C45" s="28" t="s">
        <v>436</v>
      </c>
      <c r="D45" s="5" t="s">
        <v>429</v>
      </c>
      <c r="E45" s="22" t="s">
        <v>437</v>
      </c>
    </row>
    <row r="46" customFormat="false" ht="15" hidden="false" customHeight="false" outlineLevel="0" collapsed="false">
      <c r="A46" s="5" t="s">
        <v>438</v>
      </c>
      <c r="B46" s="5" t="s">
        <v>382</v>
      </c>
      <c r="C46" s="28" t="s">
        <v>439</v>
      </c>
      <c r="D46" s="5" t="s">
        <v>440</v>
      </c>
      <c r="E46" s="22" t="s">
        <v>441</v>
      </c>
    </row>
    <row r="47" customFormat="false" ht="15" hidden="false" customHeight="false" outlineLevel="0" collapsed="false">
      <c r="A47" s="5" t="s">
        <v>442</v>
      </c>
      <c r="B47" s="5" t="s">
        <v>382</v>
      </c>
      <c r="C47" s="28" t="s">
        <v>443</v>
      </c>
      <c r="D47" s="5" t="s">
        <v>444</v>
      </c>
      <c r="E47" s="22" t="s">
        <v>445</v>
      </c>
    </row>
    <row r="48" customFormat="false" ht="23.85" hidden="false" customHeight="false" outlineLevel="0" collapsed="false">
      <c r="A48" s="5" t="s">
        <v>446</v>
      </c>
      <c r="B48" s="5" t="s">
        <v>382</v>
      </c>
      <c r="C48" s="28" t="s">
        <v>447</v>
      </c>
      <c r="D48" s="5" t="s">
        <v>448</v>
      </c>
      <c r="E48" s="22" t="s">
        <v>449</v>
      </c>
    </row>
    <row r="49" customFormat="false" ht="15" hidden="false" customHeight="false" outlineLevel="0" collapsed="false">
      <c r="A49" s="5" t="s">
        <v>450</v>
      </c>
      <c r="B49" s="5" t="s">
        <v>382</v>
      </c>
      <c r="C49" s="28" t="s">
        <v>451</v>
      </c>
      <c r="D49" s="5" t="s">
        <v>452</v>
      </c>
      <c r="E49" s="22" t="s">
        <v>453</v>
      </c>
    </row>
    <row r="50" customFormat="false" ht="23.85" hidden="false" customHeight="false" outlineLevel="0" collapsed="false">
      <c r="A50" s="5" t="s">
        <v>454</v>
      </c>
      <c r="B50" s="5" t="s">
        <v>382</v>
      </c>
      <c r="C50" s="28" t="s">
        <v>455</v>
      </c>
      <c r="D50" s="5" t="s">
        <v>376</v>
      </c>
      <c r="E50" s="5" t="s">
        <v>456</v>
      </c>
    </row>
    <row r="51" customFormat="false" ht="23.85" hidden="false" customHeight="false" outlineLevel="0" collapsed="false">
      <c r="A51" s="5" t="s">
        <v>457</v>
      </c>
      <c r="B51" s="5" t="s">
        <v>382</v>
      </c>
      <c r="C51" s="28" t="s">
        <v>458</v>
      </c>
      <c r="D51" s="5" t="s">
        <v>459</v>
      </c>
      <c r="E51" s="5" t="s">
        <v>460</v>
      </c>
    </row>
    <row r="52" customFormat="false" ht="15" hidden="false" customHeight="false" outlineLevel="0" collapsed="false">
      <c r="A52" s="5" t="s">
        <v>461</v>
      </c>
      <c r="B52" s="5" t="s">
        <v>382</v>
      </c>
      <c r="C52" s="28" t="s">
        <v>462</v>
      </c>
      <c r="D52" s="5" t="s">
        <v>463</v>
      </c>
      <c r="E52" s="22" t="s">
        <v>464</v>
      </c>
    </row>
    <row r="53" customFormat="false" ht="15" hidden="false" customHeight="false" outlineLevel="0" collapsed="false">
      <c r="A53" s="5" t="s">
        <v>465</v>
      </c>
      <c r="B53" s="5" t="s">
        <v>382</v>
      </c>
      <c r="C53" s="28" t="s">
        <v>466</v>
      </c>
      <c r="D53" s="5" t="s">
        <v>467</v>
      </c>
      <c r="E53" s="22" t="s">
        <v>468</v>
      </c>
    </row>
    <row r="54" customFormat="false" ht="23.85" hidden="false" customHeight="false" outlineLevel="0" collapsed="false">
      <c r="A54" s="5" t="s">
        <v>469</v>
      </c>
      <c r="B54" s="5" t="s">
        <v>382</v>
      </c>
      <c r="C54" s="28" t="s">
        <v>470</v>
      </c>
      <c r="D54" s="5" t="s">
        <v>471</v>
      </c>
      <c r="E54" s="22" t="s">
        <v>472</v>
      </c>
    </row>
    <row r="55" customFormat="false" ht="15" hidden="false" customHeight="false" outlineLevel="0" collapsed="false">
      <c r="A55" s="5" t="s">
        <v>473</v>
      </c>
      <c r="B55" s="5" t="s">
        <v>382</v>
      </c>
      <c r="C55" s="28" t="s">
        <v>474</v>
      </c>
      <c r="D55" s="5" t="s">
        <v>475</v>
      </c>
      <c r="E55" s="22" t="s">
        <v>476</v>
      </c>
    </row>
    <row r="56" customFormat="false" ht="15" hidden="false" customHeight="false" outlineLevel="0" collapsed="false">
      <c r="A56" s="5" t="s">
        <v>477</v>
      </c>
      <c r="B56" s="5" t="s">
        <v>382</v>
      </c>
      <c r="C56" s="28" t="s">
        <v>478</v>
      </c>
      <c r="D56" s="5" t="s">
        <v>421</v>
      </c>
      <c r="E56" s="22" t="s">
        <v>479</v>
      </c>
    </row>
    <row r="57" customFormat="false" ht="15" hidden="false" customHeight="false" outlineLevel="0" collapsed="false">
      <c r="A57" s="5" t="s">
        <v>480</v>
      </c>
      <c r="B57" s="5" t="s">
        <v>382</v>
      </c>
      <c r="C57" s="28" t="s">
        <v>481</v>
      </c>
      <c r="D57" s="5" t="s">
        <v>421</v>
      </c>
      <c r="E57" s="22" t="s">
        <v>482</v>
      </c>
    </row>
    <row r="58" customFormat="false" ht="35.05" hidden="false" customHeight="false" outlineLevel="0" collapsed="false">
      <c r="A58" s="5" t="s">
        <v>483</v>
      </c>
      <c r="B58" s="5" t="s">
        <v>484</v>
      </c>
      <c r="C58" s="28" t="s">
        <v>485</v>
      </c>
      <c r="D58" s="5" t="s">
        <v>304</v>
      </c>
      <c r="E58" s="22" t="s">
        <v>305</v>
      </c>
    </row>
    <row r="59" customFormat="false" ht="23.85" hidden="false" customHeight="false" outlineLevel="0" collapsed="false">
      <c r="A59" s="5" t="s">
        <v>486</v>
      </c>
      <c r="B59" s="5" t="s">
        <v>484</v>
      </c>
      <c r="C59" s="28" t="s">
        <v>487</v>
      </c>
      <c r="D59" s="5" t="s">
        <v>300</v>
      </c>
      <c r="E59" s="22" t="s">
        <v>301</v>
      </c>
    </row>
    <row r="60" customFormat="false" ht="15" hidden="false" customHeight="false" outlineLevel="0" collapsed="false">
      <c r="A60" s="5" t="s">
        <v>488</v>
      </c>
      <c r="B60" s="5" t="s">
        <v>484</v>
      </c>
      <c r="C60" s="28" t="s">
        <v>489</v>
      </c>
      <c r="D60" s="5" t="s">
        <v>300</v>
      </c>
      <c r="E60" s="22" t="s">
        <v>315</v>
      </c>
    </row>
    <row r="61" customFormat="false" ht="23.85" hidden="false" customHeight="false" outlineLevel="0" collapsed="false">
      <c r="A61" s="5" t="s">
        <v>490</v>
      </c>
      <c r="B61" s="5" t="s">
        <v>484</v>
      </c>
      <c r="C61" s="28" t="s">
        <v>491</v>
      </c>
      <c r="D61" s="5" t="s">
        <v>318</v>
      </c>
      <c r="E61" s="22" t="s">
        <v>319</v>
      </c>
    </row>
    <row r="62" customFormat="false" ht="15" hidden="false" customHeight="false" outlineLevel="0" collapsed="false">
      <c r="A62" s="5" t="s">
        <v>492</v>
      </c>
      <c r="B62" s="5" t="s">
        <v>484</v>
      </c>
      <c r="C62" s="28" t="s">
        <v>493</v>
      </c>
      <c r="D62" s="5" t="s">
        <v>326</v>
      </c>
      <c r="E62" s="22" t="s">
        <v>395</v>
      </c>
    </row>
    <row r="63" customFormat="false" ht="15" hidden="false" customHeight="false" outlineLevel="0" collapsed="false">
      <c r="A63" s="5" t="s">
        <v>494</v>
      </c>
      <c r="B63" s="5" t="s">
        <v>484</v>
      </c>
      <c r="C63" s="28" t="s">
        <v>495</v>
      </c>
      <c r="D63" s="5" t="s">
        <v>311</v>
      </c>
      <c r="E63" s="22" t="s">
        <v>392</v>
      </c>
    </row>
    <row r="64" customFormat="false" ht="23.85" hidden="false" customHeight="false" outlineLevel="0" collapsed="false">
      <c r="A64" s="5" t="s">
        <v>496</v>
      </c>
      <c r="B64" s="5" t="s">
        <v>484</v>
      </c>
      <c r="C64" s="28" t="s">
        <v>497</v>
      </c>
      <c r="D64" s="5" t="s">
        <v>333</v>
      </c>
      <c r="E64" s="22" t="s">
        <v>334</v>
      </c>
    </row>
    <row r="65" customFormat="false" ht="15" hidden="false" customHeight="false" outlineLevel="0" collapsed="false">
      <c r="A65" s="5" t="s">
        <v>498</v>
      </c>
      <c r="B65" s="5" t="s">
        <v>484</v>
      </c>
      <c r="C65" s="28" t="s">
        <v>499</v>
      </c>
      <c r="D65" s="5" t="s">
        <v>322</v>
      </c>
      <c r="E65" s="22" t="s">
        <v>323</v>
      </c>
    </row>
    <row r="66" customFormat="false" ht="15" hidden="false" customHeight="false" outlineLevel="0" collapsed="false">
      <c r="A66" s="5" t="s">
        <v>500</v>
      </c>
      <c r="B66" s="5" t="s">
        <v>484</v>
      </c>
      <c r="C66" s="28" t="s">
        <v>501</v>
      </c>
      <c r="D66" s="5" t="s">
        <v>300</v>
      </c>
      <c r="E66" s="22" t="s">
        <v>502</v>
      </c>
    </row>
    <row r="67" customFormat="false" ht="15" hidden="false" customHeight="false" outlineLevel="0" collapsed="false">
      <c r="A67" s="5" t="s">
        <v>503</v>
      </c>
      <c r="B67" s="5" t="s">
        <v>484</v>
      </c>
      <c r="C67" s="28" t="s">
        <v>504</v>
      </c>
      <c r="D67" s="5" t="s">
        <v>304</v>
      </c>
      <c r="E67" s="22" t="s">
        <v>505</v>
      </c>
    </row>
    <row r="68" customFormat="false" ht="23.85" hidden="false" customHeight="false" outlineLevel="0" collapsed="false">
      <c r="A68" s="5" t="s">
        <v>506</v>
      </c>
      <c r="B68" s="5" t="s">
        <v>484</v>
      </c>
      <c r="C68" s="28" t="s">
        <v>507</v>
      </c>
      <c r="D68" s="5" t="s">
        <v>300</v>
      </c>
      <c r="E68" s="22" t="s">
        <v>508</v>
      </c>
    </row>
    <row r="69" customFormat="false" ht="15" hidden="false" customHeight="false" outlineLevel="0" collapsed="false">
      <c r="A69" s="5" t="s">
        <v>509</v>
      </c>
      <c r="B69" s="5" t="s">
        <v>484</v>
      </c>
      <c r="C69" s="28" t="s">
        <v>510</v>
      </c>
      <c r="D69" s="5" t="s">
        <v>304</v>
      </c>
      <c r="E69" s="22" t="s">
        <v>511</v>
      </c>
    </row>
    <row r="70" customFormat="false" ht="23.85" hidden="false" customHeight="false" outlineLevel="0" collapsed="false">
      <c r="A70" s="5" t="s">
        <v>512</v>
      </c>
      <c r="B70" s="5" t="s">
        <v>484</v>
      </c>
      <c r="C70" s="28" t="s">
        <v>513</v>
      </c>
      <c r="D70" s="5" t="s">
        <v>514</v>
      </c>
      <c r="E70" s="22" t="s">
        <v>515</v>
      </c>
    </row>
    <row r="71" customFormat="false" ht="23.85" hidden="false" customHeight="false" outlineLevel="0" collapsed="false">
      <c r="A71" s="5" t="s">
        <v>516</v>
      </c>
      <c r="B71" s="5" t="s">
        <v>484</v>
      </c>
      <c r="C71" s="28" t="s">
        <v>517</v>
      </c>
      <c r="D71" s="5" t="s">
        <v>518</v>
      </c>
      <c r="E71" s="22" t="s">
        <v>519</v>
      </c>
    </row>
    <row r="72" customFormat="false" ht="23.85" hidden="false" customHeight="false" outlineLevel="0" collapsed="false">
      <c r="A72" s="5" t="s">
        <v>520</v>
      </c>
      <c r="B72" s="5" t="s">
        <v>484</v>
      </c>
      <c r="C72" s="28" t="s">
        <v>521</v>
      </c>
      <c r="D72" s="5" t="s">
        <v>522</v>
      </c>
      <c r="E72" s="22" t="s">
        <v>523</v>
      </c>
    </row>
    <row r="73" customFormat="false" ht="15" hidden="false" customHeight="false" outlineLevel="0" collapsed="false">
      <c r="A73" s="5" t="s">
        <v>524</v>
      </c>
      <c r="B73" s="5" t="s">
        <v>484</v>
      </c>
      <c r="C73" s="28" t="s">
        <v>525</v>
      </c>
      <c r="D73" s="5" t="s">
        <v>421</v>
      </c>
      <c r="E73" s="22" t="s">
        <v>526</v>
      </c>
    </row>
    <row r="74" customFormat="false" ht="23.85" hidden="false" customHeight="false" outlineLevel="0" collapsed="false">
      <c r="A74" s="5" t="s">
        <v>527</v>
      </c>
      <c r="B74" s="5" t="s">
        <v>484</v>
      </c>
      <c r="C74" s="28" t="s">
        <v>528</v>
      </c>
      <c r="D74" s="5" t="s">
        <v>529</v>
      </c>
      <c r="E74" s="22" t="s">
        <v>530</v>
      </c>
    </row>
    <row r="75" customFormat="false" ht="15" hidden="false" customHeight="false" outlineLevel="0" collapsed="false">
      <c r="A75" s="5" t="s">
        <v>531</v>
      </c>
      <c r="B75" s="5" t="s">
        <v>484</v>
      </c>
      <c r="C75" s="28" t="s">
        <v>532</v>
      </c>
      <c r="D75" s="5" t="s">
        <v>533</v>
      </c>
      <c r="E75" s="22" t="s">
        <v>534</v>
      </c>
    </row>
    <row r="76" customFormat="false" ht="23.85" hidden="false" customHeight="false" outlineLevel="0" collapsed="false">
      <c r="A76" s="5" t="s">
        <v>535</v>
      </c>
      <c r="B76" s="5" t="s">
        <v>484</v>
      </c>
      <c r="C76" s="28" t="s">
        <v>536</v>
      </c>
      <c r="D76" s="5" t="s">
        <v>304</v>
      </c>
      <c r="E76" s="22" t="s">
        <v>537</v>
      </c>
    </row>
    <row r="77" customFormat="false" ht="23.85" hidden="false" customHeight="false" outlineLevel="0" collapsed="false">
      <c r="A77" s="5" t="s">
        <v>538</v>
      </c>
      <c r="B77" s="5" t="s">
        <v>484</v>
      </c>
      <c r="C77" s="28" t="s">
        <v>539</v>
      </c>
      <c r="D77" s="5" t="s">
        <v>429</v>
      </c>
      <c r="E77" s="22" t="s">
        <v>540</v>
      </c>
    </row>
    <row r="78" customFormat="false" ht="23.85" hidden="false" customHeight="false" outlineLevel="0" collapsed="false">
      <c r="A78" s="5" t="s">
        <v>541</v>
      </c>
      <c r="B78" s="5" t="s">
        <v>484</v>
      </c>
      <c r="C78" s="28" t="s">
        <v>542</v>
      </c>
      <c r="D78" s="5" t="s">
        <v>369</v>
      </c>
      <c r="E78" s="22" t="s">
        <v>370</v>
      </c>
    </row>
    <row r="79" customFormat="false" ht="15" hidden="false" customHeight="false" outlineLevel="0" collapsed="false">
      <c r="A79" s="5" t="s">
        <v>543</v>
      </c>
      <c r="B79" s="5" t="s">
        <v>484</v>
      </c>
      <c r="C79" s="28" t="s">
        <v>544</v>
      </c>
      <c r="D79" s="5" t="s">
        <v>369</v>
      </c>
      <c r="E79" s="22" t="s">
        <v>545</v>
      </c>
    </row>
    <row r="80" customFormat="false" ht="23.85" hidden="false" customHeight="false" outlineLevel="0" collapsed="false">
      <c r="A80" s="5" t="s">
        <v>546</v>
      </c>
      <c r="B80" s="5" t="s">
        <v>484</v>
      </c>
      <c r="C80" s="28" t="s">
        <v>547</v>
      </c>
      <c r="D80" s="5" t="s">
        <v>548</v>
      </c>
      <c r="E80" s="5" t="s">
        <v>456</v>
      </c>
    </row>
    <row r="81" customFormat="false" ht="15" hidden="false" customHeight="false" outlineLevel="0" collapsed="false">
      <c r="A81" s="5" t="s">
        <v>549</v>
      </c>
      <c r="B81" s="5" t="s">
        <v>484</v>
      </c>
      <c r="C81" s="28" t="s">
        <v>550</v>
      </c>
      <c r="D81" s="5" t="s">
        <v>300</v>
      </c>
      <c r="E81" s="22" t="s">
        <v>551</v>
      </c>
    </row>
    <row r="82" customFormat="false" ht="23.85" hidden="false" customHeight="false" outlineLevel="0" collapsed="false">
      <c r="A82" s="5" t="s">
        <v>552</v>
      </c>
      <c r="B82" s="5" t="s">
        <v>484</v>
      </c>
      <c r="C82" s="28" t="s">
        <v>553</v>
      </c>
      <c r="D82" s="5" t="s">
        <v>554</v>
      </c>
      <c r="E82" s="22" t="s">
        <v>555</v>
      </c>
    </row>
    <row r="83" customFormat="false" ht="15" hidden="false" customHeight="false" outlineLevel="0" collapsed="false">
      <c r="A83" s="5" t="s">
        <v>556</v>
      </c>
      <c r="B83" s="5" t="s">
        <v>484</v>
      </c>
      <c r="C83" s="28" t="s">
        <v>557</v>
      </c>
      <c r="D83" s="5" t="s">
        <v>369</v>
      </c>
      <c r="E83" s="5" t="s">
        <v>558</v>
      </c>
    </row>
    <row r="84" customFormat="false" ht="15" hidden="false" customHeight="false" outlineLevel="0" collapsed="false">
      <c r="A84" s="5" t="s">
        <v>559</v>
      </c>
      <c r="B84" s="5" t="s">
        <v>484</v>
      </c>
      <c r="C84" s="28" t="s">
        <v>560</v>
      </c>
      <c r="D84" s="5" t="s">
        <v>369</v>
      </c>
      <c r="E84" s="5" t="s">
        <v>561</v>
      </c>
    </row>
    <row r="85" customFormat="false" ht="15" hidden="false" customHeight="false" outlineLevel="0" collapsed="false">
      <c r="A85" s="5" t="s">
        <v>562</v>
      </c>
      <c r="B85" s="5" t="s">
        <v>484</v>
      </c>
      <c r="C85" s="28" t="s">
        <v>563</v>
      </c>
      <c r="D85" s="5" t="s">
        <v>564</v>
      </c>
      <c r="E85" s="22" t="s">
        <v>565</v>
      </c>
    </row>
    <row r="86" customFormat="false" ht="15" hidden="false" customHeight="false" outlineLevel="0" collapsed="false">
      <c r="A86" s="5" t="s">
        <v>566</v>
      </c>
      <c r="B86" s="5" t="s">
        <v>484</v>
      </c>
      <c r="C86" s="28" t="s">
        <v>567</v>
      </c>
      <c r="D86" s="5" t="s">
        <v>514</v>
      </c>
      <c r="E86" s="22" t="s">
        <v>568</v>
      </c>
    </row>
    <row r="87" customFormat="false" ht="23.85" hidden="false" customHeight="false" outlineLevel="0" collapsed="false">
      <c r="A87" s="5" t="s">
        <v>569</v>
      </c>
      <c r="B87" s="5" t="s">
        <v>484</v>
      </c>
      <c r="C87" s="28" t="s">
        <v>570</v>
      </c>
      <c r="D87" s="5" t="s">
        <v>571</v>
      </c>
      <c r="E87" s="22" t="s">
        <v>572</v>
      </c>
    </row>
    <row r="88" customFormat="false" ht="23.85" hidden="false" customHeight="false" outlineLevel="0" collapsed="false">
      <c r="A88" s="5" t="s">
        <v>573</v>
      </c>
      <c r="B88" s="5" t="s">
        <v>484</v>
      </c>
      <c r="C88" s="28" t="s">
        <v>574</v>
      </c>
      <c r="D88" s="5" t="s">
        <v>575</v>
      </c>
      <c r="E88" s="22" t="s">
        <v>576</v>
      </c>
    </row>
    <row r="89" customFormat="false" ht="23.85" hidden="false" customHeight="false" outlineLevel="0" collapsed="false">
      <c r="A89" s="5" t="s">
        <v>577</v>
      </c>
      <c r="B89" s="5" t="s">
        <v>578</v>
      </c>
      <c r="C89" s="28" t="s">
        <v>579</v>
      </c>
      <c r="D89" s="5" t="s">
        <v>300</v>
      </c>
      <c r="E89" s="22" t="s">
        <v>301</v>
      </c>
    </row>
    <row r="90" customFormat="false" ht="23.85" hidden="false" customHeight="false" outlineLevel="0" collapsed="false">
      <c r="A90" s="5" t="s">
        <v>580</v>
      </c>
      <c r="B90" s="5" t="s">
        <v>578</v>
      </c>
      <c r="C90" s="28" t="s">
        <v>581</v>
      </c>
      <c r="D90" s="5" t="s">
        <v>304</v>
      </c>
      <c r="E90" s="22" t="s">
        <v>305</v>
      </c>
    </row>
    <row r="91" customFormat="false" ht="15" hidden="false" customHeight="false" outlineLevel="0" collapsed="false">
      <c r="A91" s="5" t="s">
        <v>582</v>
      </c>
      <c r="B91" s="5" t="s">
        <v>578</v>
      </c>
      <c r="C91" s="28" t="s">
        <v>583</v>
      </c>
      <c r="D91" s="5" t="s">
        <v>322</v>
      </c>
      <c r="E91" s="22" t="s">
        <v>323</v>
      </c>
    </row>
    <row r="92" customFormat="false" ht="15" hidden="false" customHeight="false" outlineLevel="0" collapsed="false">
      <c r="A92" s="5" t="s">
        <v>584</v>
      </c>
      <c r="B92" s="5" t="s">
        <v>578</v>
      </c>
      <c r="C92" s="28" t="s">
        <v>585</v>
      </c>
      <c r="D92" s="5" t="s">
        <v>318</v>
      </c>
      <c r="E92" s="22" t="s">
        <v>319</v>
      </c>
    </row>
    <row r="93" customFormat="false" ht="15" hidden="false" customHeight="false" outlineLevel="0" collapsed="false">
      <c r="A93" s="5" t="s">
        <v>586</v>
      </c>
      <c r="B93" s="5" t="s">
        <v>578</v>
      </c>
      <c r="C93" s="28" t="s">
        <v>587</v>
      </c>
      <c r="D93" s="5" t="s">
        <v>326</v>
      </c>
      <c r="E93" s="22" t="s">
        <v>327</v>
      </c>
    </row>
    <row r="94" customFormat="false" ht="15" hidden="false" customHeight="false" outlineLevel="0" collapsed="false">
      <c r="A94" s="5" t="s">
        <v>588</v>
      </c>
      <c r="B94" s="5" t="s">
        <v>578</v>
      </c>
      <c r="C94" s="28" t="s">
        <v>589</v>
      </c>
      <c r="D94" s="5" t="s">
        <v>311</v>
      </c>
      <c r="E94" s="22" t="s">
        <v>330</v>
      </c>
    </row>
    <row r="95" customFormat="false" ht="15" hidden="false" customHeight="false" outlineLevel="0" collapsed="false">
      <c r="A95" s="5" t="s">
        <v>590</v>
      </c>
      <c r="B95" s="5" t="s">
        <v>578</v>
      </c>
      <c r="C95" s="28" t="s">
        <v>591</v>
      </c>
      <c r="D95" s="5" t="s">
        <v>333</v>
      </c>
      <c r="E95" s="22" t="s">
        <v>334</v>
      </c>
    </row>
    <row r="96" customFormat="false" ht="15" hidden="false" customHeight="false" outlineLevel="0" collapsed="false">
      <c r="A96" s="5" t="s">
        <v>592</v>
      </c>
      <c r="B96" s="5" t="s">
        <v>578</v>
      </c>
      <c r="C96" s="28" t="s">
        <v>593</v>
      </c>
      <c r="D96" s="5" t="s">
        <v>337</v>
      </c>
      <c r="E96" s="22" t="s">
        <v>338</v>
      </c>
    </row>
    <row r="97" customFormat="false" ht="15" hidden="false" customHeight="false" outlineLevel="0" collapsed="false">
      <c r="A97" s="5" t="s">
        <v>594</v>
      </c>
      <c r="B97" s="5" t="s">
        <v>578</v>
      </c>
      <c r="C97" s="28" t="s">
        <v>595</v>
      </c>
      <c r="D97" s="5" t="s">
        <v>341</v>
      </c>
      <c r="E97" s="22" t="s">
        <v>342</v>
      </c>
    </row>
    <row r="98" customFormat="false" ht="23.85" hidden="false" customHeight="false" outlineLevel="0" collapsed="false">
      <c r="A98" s="5" t="s">
        <v>596</v>
      </c>
      <c r="B98" s="5" t="s">
        <v>578</v>
      </c>
      <c r="C98" s="28" t="s">
        <v>597</v>
      </c>
      <c r="D98" s="5" t="s">
        <v>345</v>
      </c>
      <c r="E98" s="22" t="s">
        <v>346</v>
      </c>
    </row>
    <row r="99" customFormat="false" ht="15" hidden="false" customHeight="false" outlineLevel="0" collapsed="false">
      <c r="A99" s="5" t="s">
        <v>598</v>
      </c>
      <c r="B99" s="5" t="s">
        <v>578</v>
      </c>
      <c r="C99" s="28" t="s">
        <v>599</v>
      </c>
      <c r="D99" s="5" t="s">
        <v>349</v>
      </c>
      <c r="E99" s="22" t="s">
        <v>350</v>
      </c>
    </row>
    <row r="100" customFormat="false" ht="23.85" hidden="false" customHeight="false" outlineLevel="0" collapsed="false">
      <c r="A100" s="5" t="s">
        <v>600</v>
      </c>
      <c r="B100" s="5" t="s">
        <v>578</v>
      </c>
      <c r="C100" s="28" t="s">
        <v>601</v>
      </c>
      <c r="D100" s="5" t="s">
        <v>361</v>
      </c>
      <c r="E100" s="22" t="s">
        <v>362</v>
      </c>
    </row>
    <row r="101" customFormat="false" ht="23.85" hidden="false" customHeight="false" outlineLevel="0" collapsed="false">
      <c r="A101" s="5" t="s">
        <v>602</v>
      </c>
      <c r="B101" s="5" t="s">
        <v>578</v>
      </c>
      <c r="C101" s="28" t="s">
        <v>603</v>
      </c>
      <c r="D101" s="5" t="s">
        <v>365</v>
      </c>
      <c r="E101" s="22" t="s">
        <v>366</v>
      </c>
    </row>
    <row r="102" customFormat="false" ht="23.85" hidden="false" customHeight="false" outlineLevel="0" collapsed="false">
      <c r="A102" s="5" t="s">
        <v>604</v>
      </c>
      <c r="B102" s="5" t="s">
        <v>578</v>
      </c>
      <c r="C102" s="28" t="s">
        <v>605</v>
      </c>
      <c r="D102" s="5" t="s">
        <v>369</v>
      </c>
      <c r="E102" s="22" t="s">
        <v>370</v>
      </c>
    </row>
    <row r="103" customFormat="false" ht="23.85" hidden="false" customHeight="false" outlineLevel="0" collapsed="false">
      <c r="A103" s="5" t="s">
        <v>606</v>
      </c>
      <c r="B103" s="5" t="s">
        <v>578</v>
      </c>
      <c r="C103" s="28" t="s">
        <v>607</v>
      </c>
      <c r="D103" s="5" t="s">
        <v>369</v>
      </c>
      <c r="E103" s="5" t="s">
        <v>373</v>
      </c>
    </row>
    <row r="104" customFormat="false" ht="35.05" hidden="false" customHeight="false" outlineLevel="0" collapsed="false">
      <c r="A104" s="5" t="s">
        <v>608</v>
      </c>
      <c r="B104" s="5" t="s">
        <v>578</v>
      </c>
      <c r="C104" s="28" t="s">
        <v>609</v>
      </c>
      <c r="D104" s="5" t="s">
        <v>376</v>
      </c>
      <c r="E104" s="5" t="s">
        <v>377</v>
      </c>
    </row>
    <row r="105" customFormat="false" ht="23.85" hidden="false" customHeight="false" outlineLevel="0" collapsed="false">
      <c r="A105" s="5" t="s">
        <v>610</v>
      </c>
      <c r="B105" s="5" t="s">
        <v>578</v>
      </c>
      <c r="C105" s="28" t="s">
        <v>611</v>
      </c>
      <c r="D105" s="5" t="s">
        <v>300</v>
      </c>
      <c r="E105" s="22" t="s">
        <v>405</v>
      </c>
    </row>
    <row r="106" customFormat="false" ht="23.85" hidden="false" customHeight="false" outlineLevel="0" collapsed="false">
      <c r="A106" s="5" t="s">
        <v>612</v>
      </c>
      <c r="B106" s="5" t="s">
        <v>578</v>
      </c>
      <c r="C106" s="28" t="s">
        <v>613</v>
      </c>
      <c r="D106" s="5" t="s">
        <v>300</v>
      </c>
      <c r="E106" s="22" t="s">
        <v>614</v>
      </c>
    </row>
    <row r="107" customFormat="false" ht="35.05" hidden="false" customHeight="false" outlineLevel="0" collapsed="false">
      <c r="A107" s="5" t="s">
        <v>615</v>
      </c>
      <c r="B107" s="5" t="s">
        <v>578</v>
      </c>
      <c r="C107" s="28" t="s">
        <v>616</v>
      </c>
      <c r="D107" s="5" t="s">
        <v>617</v>
      </c>
      <c r="E107" s="22" t="s">
        <v>618</v>
      </c>
    </row>
    <row r="108" customFormat="false" ht="23.85" hidden="false" customHeight="false" outlineLevel="0" collapsed="false">
      <c r="A108" s="5" t="s">
        <v>619</v>
      </c>
      <c r="B108" s="5" t="s">
        <v>578</v>
      </c>
      <c r="C108" s="28" t="s">
        <v>620</v>
      </c>
      <c r="D108" s="5" t="s">
        <v>300</v>
      </c>
      <c r="E108" s="22" t="s">
        <v>621</v>
      </c>
    </row>
    <row r="109" customFormat="false" ht="23.85" hidden="false" customHeight="false" outlineLevel="0" collapsed="false">
      <c r="A109" s="5" t="s">
        <v>622</v>
      </c>
      <c r="B109" s="5" t="s">
        <v>578</v>
      </c>
      <c r="C109" s="28" t="s">
        <v>623</v>
      </c>
      <c r="D109" s="5" t="s">
        <v>624</v>
      </c>
      <c r="E109" s="22" t="s">
        <v>625</v>
      </c>
    </row>
    <row r="110" customFormat="false" ht="23.85" hidden="false" customHeight="false" outlineLevel="0" collapsed="false">
      <c r="A110" s="5" t="s">
        <v>626</v>
      </c>
      <c r="B110" s="5" t="s">
        <v>578</v>
      </c>
      <c r="C110" s="28" t="s">
        <v>627</v>
      </c>
      <c r="D110" s="5" t="s">
        <v>369</v>
      </c>
      <c r="E110" s="22" t="s">
        <v>628</v>
      </c>
    </row>
    <row r="111" customFormat="false" ht="23.85" hidden="false" customHeight="false" outlineLevel="0" collapsed="false">
      <c r="A111" s="5" t="s">
        <v>629</v>
      </c>
      <c r="B111" s="5" t="s">
        <v>578</v>
      </c>
      <c r="C111" s="28" t="s">
        <v>630</v>
      </c>
      <c r="D111" s="5" t="s">
        <v>300</v>
      </c>
      <c r="E111" s="22" t="s">
        <v>631</v>
      </c>
    </row>
    <row r="112" customFormat="false" ht="23.85" hidden="false" customHeight="false" outlineLevel="0" collapsed="false">
      <c r="A112" s="5" t="s">
        <v>632</v>
      </c>
      <c r="B112" s="5" t="s">
        <v>578</v>
      </c>
      <c r="C112" s="28" t="s">
        <v>633</v>
      </c>
      <c r="D112" s="5" t="s">
        <v>634</v>
      </c>
      <c r="E112" s="22" t="s">
        <v>635</v>
      </c>
    </row>
    <row r="113" customFormat="false" ht="23.85" hidden="false" customHeight="false" outlineLevel="0" collapsed="false">
      <c r="A113" s="5" t="s">
        <v>636</v>
      </c>
      <c r="B113" s="5" t="s">
        <v>578</v>
      </c>
      <c r="C113" s="28" t="s">
        <v>637</v>
      </c>
      <c r="D113" s="5" t="s">
        <v>475</v>
      </c>
      <c r="E113" s="22" t="s">
        <v>476</v>
      </c>
    </row>
    <row r="114" customFormat="false" ht="35.05" hidden="false" customHeight="false" outlineLevel="0" collapsed="false">
      <c r="A114" s="5" t="s">
        <v>638</v>
      </c>
      <c r="B114" s="5" t="s">
        <v>578</v>
      </c>
      <c r="C114" s="28" t="s">
        <v>639</v>
      </c>
      <c r="D114" s="5" t="s">
        <v>467</v>
      </c>
      <c r="E114" s="22" t="s">
        <v>640</v>
      </c>
    </row>
    <row r="115" customFormat="false" ht="23.85" hidden="false" customHeight="false" outlineLevel="0" collapsed="false">
      <c r="A115" s="5" t="s">
        <v>641</v>
      </c>
      <c r="B115" s="5" t="s">
        <v>578</v>
      </c>
      <c r="C115" s="28" t="s">
        <v>642</v>
      </c>
      <c r="D115" s="5" t="s">
        <v>643</v>
      </c>
      <c r="E115" s="22" t="s">
        <v>644</v>
      </c>
    </row>
    <row r="116" customFormat="false" ht="23.85" hidden="false" customHeight="false" outlineLevel="0" collapsed="false">
      <c r="A116" s="5" t="s">
        <v>645</v>
      </c>
      <c r="B116" s="5" t="s">
        <v>578</v>
      </c>
      <c r="C116" s="28" t="s">
        <v>646</v>
      </c>
      <c r="D116" s="5" t="s">
        <v>463</v>
      </c>
      <c r="E116" s="22" t="s">
        <v>647</v>
      </c>
    </row>
    <row r="117" customFormat="false" ht="23.85" hidden="false" customHeight="false" outlineLevel="0" collapsed="false">
      <c r="A117" s="5" t="s">
        <v>648</v>
      </c>
      <c r="B117" s="5" t="s">
        <v>578</v>
      </c>
      <c r="C117" s="28" t="s">
        <v>649</v>
      </c>
      <c r="D117" s="5" t="s">
        <v>369</v>
      </c>
      <c r="E117" s="22" t="s">
        <v>650</v>
      </c>
    </row>
    <row r="118" customFormat="false" ht="23.85" hidden="false" customHeight="false" outlineLevel="0" collapsed="false">
      <c r="A118" s="5" t="s">
        <v>651</v>
      </c>
      <c r="B118" s="5" t="s">
        <v>578</v>
      </c>
      <c r="C118" s="28" t="s">
        <v>652</v>
      </c>
      <c r="D118" s="5" t="s">
        <v>357</v>
      </c>
      <c r="E118" s="22" t="s">
        <v>358</v>
      </c>
    </row>
    <row r="119" customFormat="false" ht="15" hidden="false" customHeight="false" outlineLevel="0" collapsed="false">
      <c r="A119" s="5" t="s">
        <v>653</v>
      </c>
      <c r="B119" s="5" t="s">
        <v>654</v>
      </c>
      <c r="C119" s="28" t="s">
        <v>655</v>
      </c>
      <c r="D119" s="5" t="s">
        <v>300</v>
      </c>
      <c r="E119" s="22" t="s">
        <v>301</v>
      </c>
    </row>
    <row r="120" customFormat="false" ht="15" hidden="false" customHeight="false" outlineLevel="0" collapsed="false">
      <c r="A120" s="5" t="s">
        <v>656</v>
      </c>
      <c r="B120" s="5" t="s">
        <v>654</v>
      </c>
      <c r="C120" s="28" t="s">
        <v>385</v>
      </c>
      <c r="D120" s="5" t="s">
        <v>304</v>
      </c>
      <c r="E120" s="22" t="s">
        <v>305</v>
      </c>
    </row>
    <row r="121" customFormat="false" ht="15" hidden="false" customHeight="false" outlineLevel="0" collapsed="false">
      <c r="A121" s="5" t="s">
        <v>657</v>
      </c>
      <c r="B121" s="5" t="s">
        <v>654</v>
      </c>
      <c r="C121" s="28" t="s">
        <v>321</v>
      </c>
      <c r="D121" s="5" t="s">
        <v>322</v>
      </c>
      <c r="E121" s="22" t="s">
        <v>323</v>
      </c>
    </row>
    <row r="122" customFormat="false" ht="15" hidden="false" customHeight="false" outlineLevel="0" collapsed="false">
      <c r="A122" s="5" t="s">
        <v>658</v>
      </c>
      <c r="B122" s="5" t="s">
        <v>654</v>
      </c>
      <c r="C122" s="28" t="s">
        <v>659</v>
      </c>
      <c r="D122" s="5" t="s">
        <v>318</v>
      </c>
      <c r="E122" s="22" t="s">
        <v>319</v>
      </c>
    </row>
    <row r="123" customFormat="false" ht="15" hidden="false" customHeight="false" outlineLevel="0" collapsed="false">
      <c r="A123" s="5" t="s">
        <v>660</v>
      </c>
      <c r="B123" s="5" t="s">
        <v>654</v>
      </c>
      <c r="C123" s="28" t="s">
        <v>661</v>
      </c>
      <c r="D123" s="5" t="s">
        <v>326</v>
      </c>
      <c r="E123" s="22" t="s">
        <v>327</v>
      </c>
    </row>
    <row r="124" customFormat="false" ht="15" hidden="false" customHeight="false" outlineLevel="0" collapsed="false">
      <c r="A124" s="5" t="s">
        <v>662</v>
      </c>
      <c r="B124" s="5" t="s">
        <v>654</v>
      </c>
      <c r="C124" s="28" t="s">
        <v>663</v>
      </c>
      <c r="D124" s="5" t="s">
        <v>311</v>
      </c>
      <c r="E124" s="22" t="s">
        <v>330</v>
      </c>
    </row>
    <row r="125" customFormat="false" ht="15" hidden="false" customHeight="false" outlineLevel="0" collapsed="false">
      <c r="A125" s="5" t="s">
        <v>664</v>
      </c>
      <c r="B125" s="5" t="s">
        <v>654</v>
      </c>
      <c r="C125" s="28" t="s">
        <v>665</v>
      </c>
      <c r="D125" s="5" t="s">
        <v>333</v>
      </c>
      <c r="E125" s="22" t="s">
        <v>334</v>
      </c>
    </row>
    <row r="126" customFormat="false" ht="23.85" hidden="false" customHeight="false" outlineLevel="0" collapsed="false">
      <c r="A126" s="5" t="s">
        <v>666</v>
      </c>
      <c r="B126" s="5" t="s">
        <v>654</v>
      </c>
      <c r="C126" s="28" t="s">
        <v>667</v>
      </c>
      <c r="D126" s="5" t="s">
        <v>345</v>
      </c>
      <c r="E126" s="22" t="s">
        <v>346</v>
      </c>
    </row>
    <row r="127" customFormat="false" ht="15" hidden="false" customHeight="false" outlineLevel="0" collapsed="false">
      <c r="A127" s="5" t="s">
        <v>668</v>
      </c>
      <c r="B127" s="5" t="s">
        <v>654</v>
      </c>
      <c r="C127" s="28" t="s">
        <v>669</v>
      </c>
      <c r="D127" s="5" t="s">
        <v>357</v>
      </c>
      <c r="E127" s="22" t="s">
        <v>358</v>
      </c>
    </row>
    <row r="128" customFormat="false" ht="15" hidden="false" customHeight="false" outlineLevel="0" collapsed="false">
      <c r="A128" s="5" t="s">
        <v>670</v>
      </c>
      <c r="B128" s="5" t="s">
        <v>654</v>
      </c>
      <c r="C128" s="28" t="s">
        <v>671</v>
      </c>
      <c r="D128" s="5" t="s">
        <v>361</v>
      </c>
      <c r="E128" s="22" t="s">
        <v>362</v>
      </c>
    </row>
    <row r="129" customFormat="false" ht="23.85" hidden="false" customHeight="false" outlineLevel="0" collapsed="false">
      <c r="A129" s="5" t="s">
        <v>672</v>
      </c>
      <c r="B129" s="5" t="s">
        <v>654</v>
      </c>
      <c r="C129" s="28" t="s">
        <v>673</v>
      </c>
      <c r="D129" s="5" t="s">
        <v>365</v>
      </c>
      <c r="E129" s="22" t="s">
        <v>366</v>
      </c>
    </row>
    <row r="130" customFormat="false" ht="15" hidden="false" customHeight="false" outlineLevel="0" collapsed="false">
      <c r="A130" s="5" t="s">
        <v>674</v>
      </c>
      <c r="B130" s="5" t="s">
        <v>654</v>
      </c>
      <c r="C130" s="28" t="s">
        <v>675</v>
      </c>
      <c r="D130" s="5" t="s">
        <v>300</v>
      </c>
      <c r="E130" s="22" t="s">
        <v>308</v>
      </c>
    </row>
    <row r="131" customFormat="false" ht="23.85" hidden="false" customHeight="false" outlineLevel="0" collapsed="false">
      <c r="A131" s="5" t="s">
        <v>676</v>
      </c>
      <c r="B131" s="5" t="s">
        <v>654</v>
      </c>
      <c r="C131" s="28" t="s">
        <v>677</v>
      </c>
      <c r="D131" s="5" t="s">
        <v>369</v>
      </c>
      <c r="E131" s="22" t="s">
        <v>370</v>
      </c>
    </row>
    <row r="132" customFormat="false" ht="23.85" hidden="false" customHeight="false" outlineLevel="0" collapsed="false">
      <c r="A132" s="5" t="s">
        <v>678</v>
      </c>
      <c r="B132" s="5" t="s">
        <v>654</v>
      </c>
      <c r="C132" s="28" t="s">
        <v>679</v>
      </c>
      <c r="D132" s="5" t="s">
        <v>369</v>
      </c>
      <c r="E132" s="22" t="s">
        <v>680</v>
      </c>
    </row>
    <row r="133" customFormat="false" ht="15" hidden="false" customHeight="false" outlineLevel="0" collapsed="false">
      <c r="A133" s="5" t="s">
        <v>681</v>
      </c>
      <c r="B133" s="5" t="s">
        <v>654</v>
      </c>
      <c r="C133" s="28" t="s">
        <v>682</v>
      </c>
      <c r="D133" s="5" t="s">
        <v>369</v>
      </c>
      <c r="E133" s="5" t="s">
        <v>558</v>
      </c>
    </row>
    <row r="134" customFormat="false" ht="15" hidden="false" customHeight="false" outlineLevel="0" collapsed="false">
      <c r="A134" s="5" t="s">
        <v>683</v>
      </c>
      <c r="B134" s="5" t="s">
        <v>654</v>
      </c>
      <c r="C134" s="28" t="s">
        <v>684</v>
      </c>
      <c r="D134" s="5" t="s">
        <v>300</v>
      </c>
      <c r="E134" s="22" t="s">
        <v>614</v>
      </c>
    </row>
    <row r="135" customFormat="false" ht="23.85" hidden="false" customHeight="false" outlineLevel="0" collapsed="false">
      <c r="A135" s="5" t="s">
        <v>685</v>
      </c>
      <c r="B135" s="5" t="s">
        <v>654</v>
      </c>
      <c r="C135" s="28" t="s">
        <v>686</v>
      </c>
      <c r="D135" s="5" t="s">
        <v>429</v>
      </c>
      <c r="E135" s="22" t="s">
        <v>540</v>
      </c>
    </row>
    <row r="136" customFormat="false" ht="15" hidden="false" customHeight="false" outlineLevel="0" collapsed="false">
      <c r="A136" s="5" t="s">
        <v>687</v>
      </c>
      <c r="B136" s="5" t="s">
        <v>654</v>
      </c>
      <c r="C136" s="28" t="s">
        <v>688</v>
      </c>
      <c r="D136" s="5" t="s">
        <v>376</v>
      </c>
      <c r="E136" s="22" t="s">
        <v>689</v>
      </c>
    </row>
    <row r="137" customFormat="false" ht="15" hidden="false" customHeight="false" outlineLevel="0" collapsed="false">
      <c r="A137" s="5" t="s">
        <v>690</v>
      </c>
      <c r="B137" s="5" t="s">
        <v>654</v>
      </c>
      <c r="C137" s="28" t="s">
        <v>691</v>
      </c>
      <c r="D137" s="5" t="s">
        <v>564</v>
      </c>
      <c r="E137" s="22" t="s">
        <v>692</v>
      </c>
    </row>
    <row r="138" customFormat="false" ht="15" hidden="false" customHeight="false" outlineLevel="0" collapsed="false">
      <c r="A138" s="5" t="s">
        <v>693</v>
      </c>
      <c r="B138" s="5" t="s">
        <v>654</v>
      </c>
      <c r="C138" s="28" t="s">
        <v>694</v>
      </c>
      <c r="D138" s="5" t="s">
        <v>421</v>
      </c>
      <c r="E138" s="22" t="s">
        <v>695</v>
      </c>
    </row>
    <row r="139" customFormat="false" ht="23.85" hidden="false" customHeight="false" outlineLevel="0" collapsed="false">
      <c r="A139" s="5" t="s">
        <v>696</v>
      </c>
      <c r="B139" s="5" t="s">
        <v>654</v>
      </c>
      <c r="C139" s="28" t="s">
        <v>697</v>
      </c>
      <c r="D139" s="5" t="s">
        <v>452</v>
      </c>
      <c r="E139" s="22" t="s">
        <v>698</v>
      </c>
    </row>
    <row r="140" customFormat="false" ht="15" hidden="false" customHeight="false" outlineLevel="0" collapsed="false">
      <c r="A140" s="5" t="s">
        <v>699</v>
      </c>
      <c r="B140" s="5" t="s">
        <v>654</v>
      </c>
      <c r="C140" s="28" t="s">
        <v>700</v>
      </c>
      <c r="D140" s="5" t="s">
        <v>701</v>
      </c>
      <c r="E140" s="22" t="s">
        <v>702</v>
      </c>
    </row>
    <row r="141" customFormat="false" ht="15" hidden="false" customHeight="false" outlineLevel="0" collapsed="false">
      <c r="A141" s="5" t="s">
        <v>703</v>
      </c>
      <c r="B141" s="5" t="s">
        <v>654</v>
      </c>
      <c r="C141" s="28" t="s">
        <v>704</v>
      </c>
      <c r="D141" s="5" t="s">
        <v>467</v>
      </c>
      <c r="E141" s="22" t="s">
        <v>468</v>
      </c>
    </row>
    <row r="142" customFormat="false" ht="23.85" hidden="false" customHeight="false" outlineLevel="0" collapsed="false">
      <c r="A142" s="5" t="s">
        <v>705</v>
      </c>
      <c r="B142" s="5" t="s">
        <v>654</v>
      </c>
      <c r="C142" s="28" t="s">
        <v>706</v>
      </c>
      <c r="D142" s="5" t="s">
        <v>421</v>
      </c>
      <c r="E142" s="22" t="s">
        <v>707</v>
      </c>
    </row>
    <row r="143" customFormat="false" ht="15" hidden="false" customHeight="false" outlineLevel="0" collapsed="false">
      <c r="A143" s="5" t="s">
        <v>708</v>
      </c>
      <c r="B143" s="5" t="s">
        <v>654</v>
      </c>
      <c r="C143" s="28" t="s">
        <v>709</v>
      </c>
      <c r="D143" s="5" t="s">
        <v>471</v>
      </c>
      <c r="E143" s="22" t="s">
        <v>710</v>
      </c>
    </row>
    <row r="144" customFormat="false" ht="15" hidden="false" customHeight="false" outlineLevel="0" collapsed="false">
      <c r="A144" s="5" t="s">
        <v>711</v>
      </c>
      <c r="B144" s="5" t="s">
        <v>654</v>
      </c>
      <c r="C144" s="28" t="s">
        <v>712</v>
      </c>
      <c r="D144" s="5" t="s">
        <v>713</v>
      </c>
      <c r="E144" s="22" t="s">
        <v>714</v>
      </c>
    </row>
    <row r="145" customFormat="false" ht="23.85" hidden="false" customHeight="false" outlineLevel="0" collapsed="false">
      <c r="A145" s="5" t="s">
        <v>715</v>
      </c>
      <c r="B145" s="5" t="s">
        <v>654</v>
      </c>
      <c r="C145" s="28" t="s">
        <v>716</v>
      </c>
      <c r="D145" s="5" t="s">
        <v>717</v>
      </c>
      <c r="E145" s="22" t="s">
        <v>718</v>
      </c>
    </row>
    <row r="146" customFormat="false" ht="15" hidden="false" customHeight="false" outlineLevel="0" collapsed="false">
      <c r="A146" s="5" t="s">
        <v>719</v>
      </c>
      <c r="B146" s="5" t="s">
        <v>654</v>
      </c>
      <c r="C146" s="28" t="s">
        <v>720</v>
      </c>
      <c r="D146" s="5" t="s">
        <v>721</v>
      </c>
      <c r="E146" s="22" t="s">
        <v>722</v>
      </c>
    </row>
    <row r="147" customFormat="false" ht="23.85" hidden="false" customHeight="false" outlineLevel="0" collapsed="false">
      <c r="A147" s="5" t="s">
        <v>723</v>
      </c>
      <c r="B147" s="5" t="s">
        <v>654</v>
      </c>
      <c r="C147" s="28" t="s">
        <v>724</v>
      </c>
      <c r="D147" s="5" t="s">
        <v>417</v>
      </c>
      <c r="E147" s="22" t="s">
        <v>725</v>
      </c>
    </row>
    <row r="148" customFormat="false" ht="15" hidden="false" customHeight="false" outlineLevel="0" collapsed="false">
      <c r="A148" s="5" t="s">
        <v>726</v>
      </c>
      <c r="B148" s="5" t="s">
        <v>654</v>
      </c>
      <c r="C148" s="28" t="s">
        <v>727</v>
      </c>
      <c r="D148" s="5" t="s">
        <v>728</v>
      </c>
      <c r="E148" s="22" t="s">
        <v>729</v>
      </c>
    </row>
    <row r="149" customFormat="false" ht="23.85" hidden="false" customHeight="false" outlineLevel="0" collapsed="false">
      <c r="A149" s="5" t="s">
        <v>730</v>
      </c>
      <c r="B149" s="5" t="s">
        <v>654</v>
      </c>
      <c r="C149" s="28" t="s">
        <v>731</v>
      </c>
      <c r="D149" s="5" t="s">
        <v>376</v>
      </c>
      <c r="E149" s="5" t="s">
        <v>456</v>
      </c>
    </row>
    <row r="150" customFormat="false" ht="15" hidden="false" customHeight="false" outlineLevel="0" collapsed="false">
      <c r="A150" s="5" t="s">
        <v>732</v>
      </c>
      <c r="B150" s="5" t="s">
        <v>654</v>
      </c>
      <c r="C150" s="28" t="s">
        <v>733</v>
      </c>
      <c r="D150" s="5" t="s">
        <v>734</v>
      </c>
      <c r="E150" s="22" t="s">
        <v>735</v>
      </c>
    </row>
    <row r="151" customFormat="false" ht="15" hidden="false" customHeight="false" outlineLevel="0" collapsed="false">
      <c r="A151" s="5" t="s">
        <v>736</v>
      </c>
      <c r="B151" s="5" t="s">
        <v>654</v>
      </c>
      <c r="C151" s="28" t="s">
        <v>737</v>
      </c>
      <c r="D151" s="5" t="s">
        <v>369</v>
      </c>
      <c r="E151" s="5" t="s">
        <v>561</v>
      </c>
    </row>
    <row r="152" customFormat="false" ht="15" hidden="false" customHeight="false" outlineLevel="0" collapsed="false">
      <c r="A152" s="5" t="s">
        <v>738</v>
      </c>
      <c r="B152" s="5" t="s">
        <v>739</v>
      </c>
      <c r="C152" s="28" t="s">
        <v>299</v>
      </c>
      <c r="D152" s="5" t="s">
        <v>300</v>
      </c>
      <c r="E152" s="22" t="s">
        <v>301</v>
      </c>
    </row>
    <row r="153" customFormat="false" ht="23.85" hidden="false" customHeight="false" outlineLevel="0" collapsed="false">
      <c r="A153" s="5" t="s">
        <v>740</v>
      </c>
      <c r="B153" s="5" t="s">
        <v>739</v>
      </c>
      <c r="C153" s="28" t="s">
        <v>303</v>
      </c>
      <c r="D153" s="5" t="s">
        <v>304</v>
      </c>
      <c r="E153" s="22" t="s">
        <v>305</v>
      </c>
    </row>
    <row r="154" customFormat="false" ht="15" hidden="false" customHeight="false" outlineLevel="0" collapsed="false">
      <c r="A154" s="5" t="s">
        <v>741</v>
      </c>
      <c r="B154" s="5" t="s">
        <v>739</v>
      </c>
      <c r="C154" s="28" t="s">
        <v>307</v>
      </c>
      <c r="D154" s="5" t="s">
        <v>300</v>
      </c>
      <c r="E154" s="22" t="s">
        <v>308</v>
      </c>
    </row>
    <row r="155" customFormat="false" ht="15" hidden="false" customHeight="false" outlineLevel="0" collapsed="false">
      <c r="A155" s="5" t="s">
        <v>742</v>
      </c>
      <c r="B155" s="5" t="s">
        <v>739</v>
      </c>
      <c r="C155" s="28" t="s">
        <v>310</v>
      </c>
      <c r="D155" s="5" t="s">
        <v>311</v>
      </c>
      <c r="E155" s="22" t="s">
        <v>312</v>
      </c>
    </row>
    <row r="156" customFormat="false" ht="23.85" hidden="false" customHeight="false" outlineLevel="0" collapsed="false">
      <c r="A156" s="5" t="s">
        <v>743</v>
      </c>
      <c r="B156" s="5" t="s">
        <v>739</v>
      </c>
      <c r="C156" s="28" t="s">
        <v>314</v>
      </c>
      <c r="D156" s="5" t="s">
        <v>300</v>
      </c>
      <c r="E156" s="22" t="s">
        <v>315</v>
      </c>
    </row>
    <row r="157" customFormat="false" ht="15" hidden="false" customHeight="false" outlineLevel="0" collapsed="false">
      <c r="A157" s="5" t="s">
        <v>744</v>
      </c>
      <c r="B157" s="5" t="s">
        <v>739</v>
      </c>
      <c r="C157" s="28" t="s">
        <v>317</v>
      </c>
      <c r="D157" s="5" t="s">
        <v>318</v>
      </c>
      <c r="E157" s="22" t="s">
        <v>319</v>
      </c>
    </row>
    <row r="158" customFormat="false" ht="15" hidden="false" customHeight="false" outlineLevel="0" collapsed="false">
      <c r="A158" s="5" t="s">
        <v>745</v>
      </c>
      <c r="B158" s="5" t="s">
        <v>739</v>
      </c>
      <c r="C158" s="28" t="s">
        <v>321</v>
      </c>
      <c r="D158" s="5" t="s">
        <v>322</v>
      </c>
      <c r="E158" s="22" t="s">
        <v>323</v>
      </c>
    </row>
    <row r="159" customFormat="false" ht="15" hidden="false" customHeight="false" outlineLevel="0" collapsed="false">
      <c r="A159" s="5" t="s">
        <v>746</v>
      </c>
      <c r="B159" s="5" t="s">
        <v>739</v>
      </c>
      <c r="C159" s="28" t="s">
        <v>325</v>
      </c>
      <c r="D159" s="5" t="s">
        <v>326</v>
      </c>
      <c r="E159" s="22" t="s">
        <v>327</v>
      </c>
    </row>
    <row r="160" customFormat="false" ht="15" hidden="false" customHeight="false" outlineLevel="0" collapsed="false">
      <c r="A160" s="5" t="s">
        <v>747</v>
      </c>
      <c r="B160" s="5" t="s">
        <v>739</v>
      </c>
      <c r="C160" s="28" t="s">
        <v>329</v>
      </c>
      <c r="D160" s="5" t="s">
        <v>311</v>
      </c>
      <c r="E160" s="22" t="s">
        <v>330</v>
      </c>
    </row>
    <row r="161" customFormat="false" ht="15" hidden="false" customHeight="false" outlineLevel="0" collapsed="false">
      <c r="A161" s="5" t="s">
        <v>748</v>
      </c>
      <c r="B161" s="5" t="s">
        <v>739</v>
      </c>
      <c r="C161" s="28" t="s">
        <v>332</v>
      </c>
      <c r="D161" s="5" t="s">
        <v>333</v>
      </c>
      <c r="E161" s="22" t="s">
        <v>334</v>
      </c>
    </row>
    <row r="162" customFormat="false" ht="15" hidden="false" customHeight="false" outlineLevel="0" collapsed="false">
      <c r="A162" s="5" t="s">
        <v>749</v>
      </c>
      <c r="B162" s="5" t="s">
        <v>739</v>
      </c>
      <c r="C162" s="28" t="s">
        <v>336</v>
      </c>
      <c r="D162" s="5" t="s">
        <v>337</v>
      </c>
      <c r="E162" s="22" t="s">
        <v>338</v>
      </c>
    </row>
    <row r="163" customFormat="false" ht="15" hidden="false" customHeight="false" outlineLevel="0" collapsed="false">
      <c r="A163" s="5" t="s">
        <v>750</v>
      </c>
      <c r="B163" s="5" t="s">
        <v>739</v>
      </c>
      <c r="C163" s="28" t="s">
        <v>340</v>
      </c>
      <c r="D163" s="5" t="s">
        <v>341</v>
      </c>
      <c r="E163" s="22" t="s">
        <v>342</v>
      </c>
    </row>
    <row r="164" customFormat="false" ht="15" hidden="false" customHeight="false" outlineLevel="0" collapsed="false">
      <c r="A164" s="5" t="s">
        <v>751</v>
      </c>
      <c r="B164" s="5" t="s">
        <v>739</v>
      </c>
      <c r="C164" s="28" t="s">
        <v>344</v>
      </c>
      <c r="D164" s="5" t="s">
        <v>345</v>
      </c>
      <c r="E164" s="22" t="s">
        <v>346</v>
      </c>
    </row>
    <row r="165" customFormat="false" ht="15" hidden="false" customHeight="false" outlineLevel="0" collapsed="false">
      <c r="A165" s="5" t="s">
        <v>752</v>
      </c>
      <c r="B165" s="5" t="s">
        <v>739</v>
      </c>
      <c r="C165" s="28" t="s">
        <v>348</v>
      </c>
      <c r="D165" s="5" t="s">
        <v>349</v>
      </c>
      <c r="E165" s="22" t="s">
        <v>350</v>
      </c>
    </row>
    <row r="166" customFormat="false" ht="15" hidden="false" customHeight="false" outlineLevel="0" collapsed="false">
      <c r="A166" s="5" t="s">
        <v>753</v>
      </c>
      <c r="B166" s="5" t="s">
        <v>739</v>
      </c>
      <c r="C166" s="28" t="s">
        <v>352</v>
      </c>
      <c r="D166" s="5" t="s">
        <v>353</v>
      </c>
      <c r="E166" s="22" t="s">
        <v>354</v>
      </c>
    </row>
    <row r="167" customFormat="false" ht="15" hidden="false" customHeight="false" outlineLevel="0" collapsed="false">
      <c r="A167" s="5" t="s">
        <v>754</v>
      </c>
      <c r="B167" s="5" t="s">
        <v>739</v>
      </c>
      <c r="C167" s="28" t="s">
        <v>356</v>
      </c>
      <c r="D167" s="5" t="s">
        <v>357</v>
      </c>
      <c r="E167" s="22" t="s">
        <v>358</v>
      </c>
    </row>
    <row r="168" customFormat="false" ht="15" hidden="false" customHeight="false" outlineLevel="0" collapsed="false">
      <c r="A168" s="5" t="s">
        <v>755</v>
      </c>
      <c r="B168" s="5" t="s">
        <v>739</v>
      </c>
      <c r="C168" s="28" t="s">
        <v>360</v>
      </c>
      <c r="D168" s="5" t="s">
        <v>361</v>
      </c>
      <c r="E168" s="22" t="s">
        <v>362</v>
      </c>
    </row>
    <row r="169" customFormat="false" ht="15" hidden="false" customHeight="false" outlineLevel="0" collapsed="false">
      <c r="A169" s="5" t="s">
        <v>756</v>
      </c>
      <c r="B169" s="5" t="s">
        <v>739</v>
      </c>
      <c r="C169" s="28" t="s">
        <v>364</v>
      </c>
      <c r="D169" s="5" t="s">
        <v>365</v>
      </c>
      <c r="E169" s="22" t="s">
        <v>366</v>
      </c>
    </row>
    <row r="170" customFormat="false" ht="46.25" hidden="false" customHeight="false" outlineLevel="0" collapsed="false">
      <c r="A170" s="5" t="s">
        <v>757</v>
      </c>
      <c r="B170" s="5" t="s">
        <v>739</v>
      </c>
      <c r="C170" s="28" t="s">
        <v>758</v>
      </c>
      <c r="D170" s="5" t="s">
        <v>759</v>
      </c>
      <c r="E170" s="22" t="s">
        <v>760</v>
      </c>
    </row>
    <row r="171" customFormat="false" ht="23.85" hidden="false" customHeight="false" outlineLevel="0" collapsed="false">
      <c r="A171" s="5" t="s">
        <v>761</v>
      </c>
      <c r="B171" s="5" t="s">
        <v>739</v>
      </c>
      <c r="C171" s="28" t="s">
        <v>372</v>
      </c>
      <c r="D171" s="5" t="s">
        <v>369</v>
      </c>
      <c r="E171" s="5" t="s">
        <v>373</v>
      </c>
    </row>
    <row r="172" customFormat="false" ht="23.85" hidden="false" customHeight="false" outlineLevel="0" collapsed="false">
      <c r="A172" s="5" t="s">
        <v>762</v>
      </c>
      <c r="B172" s="5" t="s">
        <v>739</v>
      </c>
      <c r="C172" s="28" t="s">
        <v>375</v>
      </c>
      <c r="D172" s="5" t="s">
        <v>376</v>
      </c>
      <c r="E172" s="5" t="s">
        <v>377</v>
      </c>
    </row>
    <row r="173" customFormat="false" ht="15" hidden="false" customHeight="false" outlineLevel="0" collapsed="false">
      <c r="A173" s="5" t="s">
        <v>763</v>
      </c>
      <c r="B173" s="5" t="s">
        <v>739</v>
      </c>
      <c r="C173" s="28" t="s">
        <v>379</v>
      </c>
      <c r="D173" s="5" t="s">
        <v>369</v>
      </c>
      <c r="E173" s="22" t="s">
        <v>380</v>
      </c>
    </row>
    <row r="174" customFormat="false" ht="15" hidden="false" customHeight="false" outlineLevel="0" collapsed="false">
      <c r="A174" s="5" t="s">
        <v>764</v>
      </c>
      <c r="B174" s="5" t="s">
        <v>739</v>
      </c>
      <c r="C174" s="28" t="s">
        <v>765</v>
      </c>
      <c r="D174" s="5" t="s">
        <v>300</v>
      </c>
      <c r="E174" s="22" t="s">
        <v>766</v>
      </c>
    </row>
    <row r="175" customFormat="false" ht="15" hidden="false" customHeight="false" outlineLevel="0" collapsed="false">
      <c r="A175" s="5" t="s">
        <v>767</v>
      </c>
      <c r="B175" s="5" t="s">
        <v>739</v>
      </c>
      <c r="C175" s="28" t="s">
        <v>510</v>
      </c>
      <c r="D175" s="5" t="s">
        <v>304</v>
      </c>
      <c r="E175" s="22" t="s">
        <v>511</v>
      </c>
    </row>
    <row r="176" customFormat="false" ht="23.85" hidden="false" customHeight="false" outlineLevel="0" collapsed="false">
      <c r="A176" s="5" t="s">
        <v>768</v>
      </c>
      <c r="B176" s="5" t="s">
        <v>739</v>
      </c>
      <c r="C176" s="28" t="s">
        <v>769</v>
      </c>
      <c r="D176" s="5" t="s">
        <v>413</v>
      </c>
      <c r="E176" s="22" t="s">
        <v>414</v>
      </c>
    </row>
    <row r="177" customFormat="false" ht="35.05" hidden="false" customHeight="false" outlineLevel="0" collapsed="false">
      <c r="A177" s="5" t="s">
        <v>770</v>
      </c>
      <c r="B177" s="5" t="s">
        <v>739</v>
      </c>
      <c r="C177" s="28" t="s">
        <v>771</v>
      </c>
      <c r="D177" s="5" t="s">
        <v>772</v>
      </c>
      <c r="E177" s="22" t="s">
        <v>773</v>
      </c>
    </row>
    <row r="178" customFormat="false" ht="35.05" hidden="false" customHeight="false" outlineLevel="0" collapsed="false">
      <c r="A178" s="5" t="s">
        <v>774</v>
      </c>
      <c r="B178" s="5" t="s">
        <v>739</v>
      </c>
      <c r="C178" s="28" t="s">
        <v>775</v>
      </c>
      <c r="D178" s="5" t="s">
        <v>759</v>
      </c>
      <c r="E178" s="22" t="s">
        <v>776</v>
      </c>
    </row>
    <row r="179" customFormat="false" ht="23.85" hidden="false" customHeight="false" outlineLevel="0" collapsed="false">
      <c r="A179" s="5" t="s">
        <v>777</v>
      </c>
      <c r="B179" s="5" t="s">
        <v>739</v>
      </c>
      <c r="C179" s="28" t="s">
        <v>778</v>
      </c>
      <c r="D179" s="5" t="s">
        <v>759</v>
      </c>
      <c r="E179" s="22" t="s">
        <v>779</v>
      </c>
    </row>
    <row r="180" customFormat="false" ht="23.85" hidden="false" customHeight="false" outlineLevel="0" collapsed="false">
      <c r="A180" s="5" t="s">
        <v>780</v>
      </c>
      <c r="B180" s="5" t="s">
        <v>739</v>
      </c>
      <c r="C180" s="28" t="s">
        <v>781</v>
      </c>
      <c r="D180" s="5" t="s">
        <v>759</v>
      </c>
      <c r="E180" s="22" t="s">
        <v>782</v>
      </c>
    </row>
    <row r="181" customFormat="false" ht="35.05" hidden="false" customHeight="false" outlineLevel="0" collapsed="false">
      <c r="A181" s="5" t="s">
        <v>783</v>
      </c>
      <c r="B181" s="5" t="s">
        <v>739</v>
      </c>
      <c r="C181" s="28" t="s">
        <v>784</v>
      </c>
      <c r="D181" s="5" t="s">
        <v>304</v>
      </c>
      <c r="E181" s="22" t="s">
        <v>537</v>
      </c>
    </row>
  </sheetData>
  <hyperlinks>
    <hyperlink ref="E5" r:id="rId1" display="https://www.sec.gov/Archives/edgar/data/1326801/000162828026066700/meta-09302026xexhibit991.htm"/>
    <hyperlink ref="E6" r:id="rId2" display="https://www.sec.gov/Archives/edgar/data/1326801/000162828026066773/meta-20260930.htm"/>
    <hyperlink ref="E7" r:id="rId3" display="https://s21.q4cdn.com/399680738/files/content_files/META-Q3-2026-Earnings-Call-Transcript.pdf"/>
    <hyperlink ref="E8" r:id="rId4" display="https://s21.q4cdn.com/399680738/files/doc_financials/2026/q2/META-Q2-2026-Earnings-Call-Transcript.pdf"/>
    <hyperlink ref="E9" r:id="rId5" display="https://www.sec.gov/Archives/edgar/data/1326801/000162828026066700/meta-20261019.htm"/>
    <hyperlink ref="E10" r:id="rId6" display="https://www.sec.gov/Archives/edgar/data/1326801/000162828026003832/meta-12312025xexhibit991.htm"/>
    <hyperlink ref="E11" r:id="rId7" display="https://www.sec.gov/Archives/edgar/data/1326801/000162828026003942/meta-20251231.htm"/>
    <hyperlink ref="E12" r:id="rId8" display="https://www.sec.gov/Archives/edgar/data/1326801/000162828026028364/meta-03312026xexhibit991.htm"/>
    <hyperlink ref="E13" r:id="rId9" display="https://www.sec.gov/Archives/edgar/data/1326801/000162828026050596/meta-06302026xexhibit991.htm"/>
    <hyperlink ref="E14" r:id="rId10" display="https://www.sec.gov/Archives/edgar/data/1326801/000162828025047114/meta-09302025xexhibit991.htm"/>
    <hyperlink ref="E15" r:id="rId11" display="https://www.sec.gov/Archives/edgar/data/1326801/000162828025036719/meta-06302025xexhibit991.htm"/>
    <hyperlink ref="E16" r:id="rId12" display="https://www.sec.gov/Archives/edgar/data/1326801/000132680125000050/meta-03312025xexhibit991.htm"/>
    <hyperlink ref="E17" r:id="rId13" display="https://www.sec.gov/Archives/edgar/data/1326801/000132680125000014/meta-12312024xexhibit991.htm"/>
    <hyperlink ref="E18" r:id="rId14" display="https://www.sec.gov/Archives/edgar/data/1326801/000132680124000077/meta-09302024xexhibit991.htm"/>
    <hyperlink ref="E19" r:id="rId15" display="https://www.sec.gov/Archives/edgar/data/1326801/000132680124000065/meta-06302024xexhibit991.htm"/>
    <hyperlink ref="E20" r:id="rId16" display="https://www.sec.gov/Archives/edgar/data/1326801/000132680124000010/meta-12312023xexhibit991.htm"/>
    <hyperlink ref="E21" r:id="rId17" display="https://www.sec.gov/Archives/edgar/data/1326801/000132680123000100/meta09302023-exhibit991.htm"/>
    <hyperlink ref="E22" r:id="rId18" display="https://www.sec.gov/Archives/edgar/data/1326801/000132680122000105/meta09302022-exhibit991.htm"/>
    <hyperlink ref="E23" r:id="rId19" display="https://www.alphavantage.co/query?function=EARNINGS_ESTIMATES&amp;symbol=META"/>
    <hyperlink ref="E26" r:id="rId20" display="https://data.sec.gov/api/xbrl/companyfacts/CIK0001326801.json"/>
    <hyperlink ref="E27" r:id="rId21" display="https://www.sec.gov/Archives/edgar/data/1326801/000162828026066700/meta-09302026xexhibit991.htm"/>
    <hyperlink ref="E28" r:id="rId22" display="https://www.sec.gov/Archives/edgar/data/1326801/000162828026066773/meta-20260930.htm"/>
    <hyperlink ref="E29" r:id="rId23" display="https://www.sec.gov/Archives/edgar/data/1326801/000162828026003942/meta-20251231.htm"/>
    <hyperlink ref="E30" r:id="rId24" display="https://www.sec.gov/Archives/edgar/data/1326801/000162828026003832/meta-12312025xexhibit991.htm"/>
    <hyperlink ref="E31" r:id="rId25" display="https://www.sec.gov/Archives/edgar/data/0001326801/000162828026050596/meta-06302026xexhibit991.htm"/>
    <hyperlink ref="E32" r:id="rId26" display="https://www.sec.gov/Archives/edgar/data/0001326801/000162828026028364/meta-03312026xexhibit991.htm"/>
    <hyperlink ref="E33" r:id="rId27" display="https://www.sec.gov/Archives/edgar/data/1326801/000132680125000014/meta-12312024xexhibit991.htm"/>
    <hyperlink ref="E34" r:id="rId28" display="https://www.sec.gov/Archives/edgar/data/1326801/000162828025036719/meta-06302025xexhibit991.htm"/>
    <hyperlink ref="E35" r:id="rId29" display="https://s21.q4cdn.com/399680738/files/doc%5Ffinancials/2025/q3/Meta-09-30-2025-Exhibit-99-1-Final.pdf"/>
    <hyperlink ref="E36" r:id="rId30" display="https://www.investing.com/news/transcripts/earnings-call-transcript-meta-beats-q3-2026-estimates-as-ai-push-lifts-shares-93CH-4964260"/>
    <hyperlink ref="E37" r:id="rId31" display="https://www.alphavantage.co/query?function=EARNINGS_ESTIMATES&amp;symbol=META"/>
    <hyperlink ref="E39" r:id="rId32" display="https://ppc.land/warc-forecasts-social-media-ad-spend-gains-21-3-to-394-6bn-in-2026/"/>
    <hyperlink ref="E40" r:id="rId33" display="https://www.iab.com/wp-content/uploads/2026/09/IAB_2H_2026_Ad_Spend_Outlook_Study.pdf"/>
    <hyperlink ref="E41" r:id="rId34" display="https://www.warc.com/content/article/warc-curated-datapoints/tiktok-us-ad-revenue-forecast-to-hit-145bn-in-2026-38-of-its-global-revenue/162277"/>
    <hyperlink ref="E42" r:id="rId35" display="https://ppc.land/google-search-ads-gain-17-to-63-3-billion-while-network-drops-1/"/>
    <hyperlink ref="E43" r:id="rId36" display="https://ppc.land/amazon-advertising-gains-26-to-19-8-billion-as-sports-inventory-sells-out/"/>
    <hyperlink ref="E44" r:id="rId37" display="https://ppc.land/snap-ad-prices-gain-10-as-advertising-revenue-rises-just-9/"/>
    <hyperlink ref="E45" r:id="rId38" display="https://www.sec.gov/Archives/edgar/data/0001713445/000171344526000098/earningspressreleaseq226.htm"/>
    <hyperlink ref="E46" r:id="rId39" display="https://www.sec.gov/Archives/edgar/data/0001506293/000150629326000102/q2-26xpressrelease.htm"/>
    <hyperlink ref="E47" r:id="rId40" display="https://www.datacenterdynamics.com/en/news/meta-signs-21bn-ai-infrastructure-contract-with-coreweave/"/>
    <hyperlink ref="E48" r:id="rId41" display="https://nebius.com/newsroom/nebius-signs-new-ai-infrastructure-agreement-with-meta"/>
    <hyperlink ref="E49" r:id="rId42" display="https://www.trendforce.com/presscenter/news/20260930-13258.html"/>
    <hyperlink ref="E52" r:id="rId43" display="https://www.mobileworldlive.com/meta/ec-signs-off-on-meta-option-to-cut-use-of-personal-data-for-ads/"/>
    <hyperlink ref="E53" r:id="rId44" display="https://www.insurancejournal.com/news/national/2026/05/22/871046.htm"/>
    <hyperlink ref="E54" r:id="rId45" display="https://www.edweek.org/leadership/jury-finds-meta-platforms-harm-children-why-school-districts-are-eyeing-this-verdict/2026/03"/>
    <hyperlink ref="E55" r:id="rId46" display="https://techcrunch.com/2026/01/18/threads-edges-out-x-in-daily-mobile-users-new-data-shows"/>
    <hyperlink ref="E56" r:id="rId47" display="https://www.emarketer.com/content/meta-ad-revenues-will-surpass--240-billion-this-year"/>
    <hyperlink ref="E57" r:id="rId48" display="https://acceler8.beehiiv.com/p/your-meta-cpms-are-up-172-since-january"/>
    <hyperlink ref="E58" r:id="rId49" display="https://www.sec.gov/Archives/edgar/data/1326801/000162828026066773/meta-20260930.htm"/>
    <hyperlink ref="E59" r:id="rId50" display="https://www.sec.gov/Archives/edgar/data/1326801/000162828026066700/meta-09302026xexhibit991.htm"/>
    <hyperlink ref="E60" r:id="rId51" display="https://www.sec.gov/Archives/edgar/data/1326801/000162828026066700/meta-20261019.htm"/>
    <hyperlink ref="E61" r:id="rId52" display="https://www.sec.gov/Archives/edgar/data/1326801/000162828026003832/meta-12312025xexhibit991.htm"/>
    <hyperlink ref="E62" r:id="rId53" display="https://www.sec.gov/Archives/edgar/data/0001326801/000162828026028364/meta-03312026xexhibit991.htm"/>
    <hyperlink ref="E63" r:id="rId54" display="https://www.sec.gov/Archives/edgar/data/0001326801/000162828026050596/meta-06302026xexhibit991.htm"/>
    <hyperlink ref="E64" r:id="rId55" display="https://www.sec.gov/Archives/edgar/data/1326801/000162828025047114/meta-09302025xexhibit991.htm"/>
    <hyperlink ref="E65" r:id="rId56" display="https://www.sec.gov/Archives/edgar/data/1326801/000162828026003942/meta-20251231.htm"/>
    <hyperlink ref="E66" r:id="rId57" display="https://www.fool.com/earnings/call-transcripts/2026/10/21/meta-meta-q3-2026-earnings-call-transcript/"/>
    <hyperlink ref="E67" r:id="rId58" display="https://www.gurufocus.com/news/9140721/meta-platforms-inc-meta-q3-2026-earnings-call-highlights-revenue-surges-26-to-646-billion-as-ai-push-drives-growth-and-a-twoforone-stock-split"/>
    <hyperlink ref="E68" r:id="rId59" display="https://abc30.com/story/judge-orders-meta-pay-25-billion-violating-new-mexico-law-cambridge-analytica-data-breach/19965355/"/>
    <hyperlink ref="E69" r:id="rId60" display="https://ppc.land/meta-faces-15-yearly-interest-on-25bn-new-mexico-penalty/"/>
    <hyperlink ref="E70" r:id="rId61" display="https://www.edweek.org/leadership/meta-reaches-17b-settlement-with-states-over-teen-social-media-addiction/2026/08"/>
    <hyperlink ref="E71" r:id="rId62" display="https://www.sec.gov/Archives/edgar/data/0001326801/000119312526197902/d148113dfwp.htm"/>
    <hyperlink ref="E72" r:id="rId63" display="https://www.globaldatacenterhub.com/p/the-hyperion-financing-is-the-signal"/>
    <hyperlink ref="E73" r:id="rId64" display="https://kalkine.com/news/artificial-intelligence/meta-nasdaqmeta-leans-on-a-us123-billion-off-balance-sheet-bond-as-ai-data-centre-debt-turns-expensive"/>
    <hyperlink ref="E74" r:id="rId65" display="https://finviz.com/news/318239/michael-burry-warns-msft-goog-meta-are-using-sinister-accounting-to-hide-ai-costs-inflate-profits-by-20"/>
    <hyperlink ref="E75" r:id="rId66" display="https://www.benzinga.com/markets/equities/25/07/46747895/metas-210-billion-tech-stack-may-be-masking-a-harsh-truth-jim-chanos-says-12-year-depreciation-o"/>
    <hyperlink ref="E76" r:id="rId67" display="https://finance.yahoo.com/video/wells-fargo-cuts-meta-price-002001458.html"/>
    <hyperlink ref="E77" r:id="rId68" display="https://finance.yahoo.com/markets/article/one-line-from-metas-earnings-call-that-ensured-the-stock-will-likely-stay-dead-money-134542007.html"/>
    <hyperlink ref="E78" r:id="rId69" display="https://www.alphavantage.co/query?function=EARNINGS_ESTIMATES&amp;symbol=META"/>
    <hyperlink ref="E79" r:id="rId70" display="https://www.alphavantage.co/query?function=INSIDER_TRANSACTIONS&amp;symbol=META"/>
    <hyperlink ref="E81" r:id="rId71" display="https://www.sec.gov/Archives/edgar/data/0001326801/000162828026066710/meta-20261021.htm"/>
    <hyperlink ref="E82" r:id="rId72" display="https://www.emarketer.com/content/meta-rewrites-its-eu-ad-model-regulators-tighten-screws"/>
    <hyperlink ref="E85" r:id="rId73" display="https://classicalinvestor.beehiiv.com/p/meta-the-125b-question-wednesday-s-print-will-answer"/>
    <hyperlink ref="E86" r:id="rId74" display="https://www.ajc.com/news/2026/08/a-look-at-major-lawsuits-against-meta-and-other-social-media-companies-over-harms-to-kids/"/>
    <hyperlink ref="E87" r:id="rId75" display="https://www.tipranks.com/news/the-fly/meta-platforms-price-target-lowered-to-810-from-900-at-bofa-thefly"/>
    <hyperlink ref="E88" r:id="rId76" display="https://altss.com/blog/amazon-meta-server-depreciation-useful-lives-earnings"/>
    <hyperlink ref="E89" r:id="rId77" display="https://www.sec.gov/Archives/edgar/data/1326801/000162828026066700/meta-09302026xexhibit991.htm"/>
    <hyperlink ref="E90" r:id="rId78" display="https://www.sec.gov/Archives/edgar/data/1326801/000162828026066773/meta-20260930.htm"/>
    <hyperlink ref="E91" r:id="rId79" display="https://www.sec.gov/Archives/edgar/data/1326801/000162828026003942/meta-20251231.htm"/>
    <hyperlink ref="E92" r:id="rId80" display="https://www.sec.gov/Archives/edgar/data/1326801/000162828026003832/meta-12312025xexhibit991.htm"/>
    <hyperlink ref="E93" r:id="rId81" display="https://www.sec.gov/Archives/edgar/data/1326801/000162828026028364/meta-03312026xexhibit991.htm"/>
    <hyperlink ref="E94" r:id="rId82" display="https://www.sec.gov/Archives/edgar/data/1326801/000162828026050596/meta-06302026xexhibit991.htm"/>
    <hyperlink ref="E95" r:id="rId83" display="https://www.sec.gov/Archives/edgar/data/1326801/000162828025047114/meta-09302025xexhibit991.htm"/>
    <hyperlink ref="E96" r:id="rId84" display="https://www.sec.gov/Archives/edgar/data/1326801/000162828025036719/meta-06302025xexhibit991.htm"/>
    <hyperlink ref="E97" r:id="rId85" display="https://www.sec.gov/Archives/edgar/data/1326801/000132680125000050/meta-03312025xexhibit991.htm"/>
    <hyperlink ref="E98" r:id="rId86" display="https://www.sec.gov/Archives/edgar/data/1326801/000132680125000014/meta-12312024xexhibit991.htm"/>
    <hyperlink ref="E99" r:id="rId87" display="https://www.sec.gov/Archives/edgar/data/1326801/000132680124000077/meta-09302024xexhibit991.htm"/>
    <hyperlink ref="E100" r:id="rId88" display="https://www.sec.gov/Archives/edgar/data/1326801/000132680123000100/meta09302023-exhibit991.htm"/>
    <hyperlink ref="E101" r:id="rId89" display="https://www.sec.gov/Archives/edgar/data/1326801/000132680122000105/meta09302022-exhibit991.htm"/>
    <hyperlink ref="E102" r:id="rId90" display="https://www.alphavantage.co/query?function=EARNINGS_ESTIMATES&amp;symbol=META"/>
    <hyperlink ref="E105" r:id="rId91" display="https://www.investing.com/news/transcripts/earnings-call-transcript-meta-beats-q3-2026-estimates-as-ai-push-lifts-shares-93CH-4964260"/>
    <hyperlink ref="E106" r:id="rId92" display="https://siliconangle.com/2026/10/21/meta-beats-on-revenue-and-splits-its-stock-two-for-one-with-non-voting-class-c-shares-raise-capital/"/>
    <hyperlink ref="E107" r:id="rId93" display="https://techcrunch.com/2026/09/25/meta-is-putting-its-muscle-behind-muse-as-the-ai-app-takes-off"/>
    <hyperlink ref="E108" r:id="rId94" display="https://ppc.land/metas-muse-gains-10-million-us-downloads-in-40-days-sensor-tower-finds/"/>
    <hyperlink ref="E109" r:id="rId95" display="https://commonthreadco.com/blogs/coachs-corner/meta-cpms-are-about-to-spike-heres-your-6-week-window-to-get-ahead"/>
    <hyperlink ref="E110" r:id="rId96" display="https://polymarket.com/event/which-company-has-best-ai-model-end-of-2026"/>
    <hyperlink ref="E111" r:id="rId97" display="https://ppc.land/metas-ads-with-creators-gain-97-to-a-15bn-annual-run-rate/"/>
    <hyperlink ref="E112" r:id="rId98" display="https://www.trefis.com/articles/616799/meta-up-37-was-it-the-muse-app-or-the-ad-machine/2026-09-28"/>
    <hyperlink ref="E113" r:id="rId99" display="https://techcrunch.com/2026/01/18/threads-edges-out-x-in-daily-mobile-users-new-data-shows"/>
    <hyperlink ref="E114" r:id="rId100" display="https://www.deepresearchglobal.com/p/meta-fundamental-analysis-report"/>
    <hyperlink ref="E115" r:id="rId101" display="https://www.shopifreaks.com/ftc-asks-d-c-circuit-appeals-court-to-revive-its-monopoly-case-against-meta-over-instagram-and-whatsapp-acquisitions/"/>
    <hyperlink ref="E116" r:id="rId102" display="https://digital-markets-act.ec.europa.eu/meta-commits-give-eu-users-choice-personalised-ads-under-digital-markets-act-2025-12-08_en"/>
    <hyperlink ref="E117" r:id="rId103" display="https://defirate.com/prediction-markets/best-ai-model-odds-this-year/"/>
    <hyperlink ref="E118" r:id="rId104" display="https://www.sec.gov/Archives/edgar/data/1326801/000132680124000010/meta-12312023xexhibit991.htm"/>
    <hyperlink ref="E119" r:id="rId105" display="https://www.sec.gov/Archives/edgar/data/1326801/000162828026066700/meta-09302026xexhibit991.htm"/>
    <hyperlink ref="E120" r:id="rId106" display="https://www.sec.gov/Archives/edgar/data/1326801/000162828026066773/meta-20260930.htm"/>
    <hyperlink ref="E121" r:id="rId107" display="https://www.sec.gov/Archives/edgar/data/1326801/000162828026003942/meta-20251231.htm"/>
    <hyperlink ref="E122" r:id="rId108" display="https://www.sec.gov/Archives/edgar/data/1326801/000162828026003832/meta-12312025xexhibit991.htm"/>
    <hyperlink ref="E123" r:id="rId109" display="https://www.sec.gov/Archives/edgar/data/1326801/000162828026028364/meta-03312026xexhibit991.htm"/>
    <hyperlink ref="E124" r:id="rId110" display="https://www.sec.gov/Archives/edgar/data/1326801/000162828026050596/meta-06302026xexhibit991.htm"/>
    <hyperlink ref="E125" r:id="rId111" display="https://www.sec.gov/Archives/edgar/data/1326801/000162828025047114/meta-09302025xexhibit991.htm"/>
    <hyperlink ref="E126" r:id="rId112" display="https://www.sec.gov/Archives/edgar/data/1326801/000132680125000014/meta-12312024xexhibit991.htm"/>
    <hyperlink ref="E127" r:id="rId113" display="https://www.sec.gov/Archives/edgar/data/1326801/000132680124000010/meta-12312023xexhibit991.htm"/>
    <hyperlink ref="E128" r:id="rId114" display="https://www.sec.gov/Archives/edgar/data/1326801/000132680123000100/meta09302023-exhibit991.htm"/>
    <hyperlink ref="E129" r:id="rId115" display="https://www.sec.gov/Archives/edgar/data/1326801/000132680122000105/meta09302022-exhibit991.htm"/>
    <hyperlink ref="E130" r:id="rId116" display="https://s21.q4cdn.com/399680738/files/content_files/META-Q3-2026-Earnings-Call-Transcript.pdf"/>
    <hyperlink ref="E131" r:id="rId117" display="https://www.alphavantage.co/query?function=EARNINGS_ESTIMATES&amp;symbol=META"/>
    <hyperlink ref="E132" r:id="rId118" display="https://www.alphavantage.co/query?function=TIME_SERIES_MONTHLY_ADJUSTED&amp;symbol=META"/>
    <hyperlink ref="E134" r:id="rId119" display="https://siliconangle.com/2026/10/21/meta-beats-on-revenue-and-splits-its-stock-two-for-one-with-non-voting-class-c-shares-raise-capital/"/>
    <hyperlink ref="E135" r:id="rId120" display="https://finance.yahoo.com/markets/article/one-line-from-metas-earnings-call-that-ensured-the-stock-will-likely-stay-dead-money-134542007.html"/>
    <hyperlink ref="E136" r:id="rId121" display="https://cryptobriefing.com/kalshi-traders-recession-odds-20-percent/"/>
    <hyperlink ref="E137" r:id="rId122" display="https://polyguana.com/events/what-price-will-meta-hit-in-april-2026"/>
    <hyperlink ref="E138" r:id="rId123" display="https://wisesheets.io/pe-ratio/META"/>
    <hyperlink ref="E139" r:id="rId124" display="https://www.webull.com/news/15667139777610752"/>
    <hyperlink ref="E140" r:id="rId125" display="https://www.thestar.com.my/tech/tech-news/2026/08/12/factbox-what039s-the-latest-in-the-trials-over-claims-social-media-is-hurting-children"/>
    <hyperlink ref="E141" r:id="rId126" display="https://www.insurancejournal.com/news/national/2026/05/22/871046.htm"/>
    <hyperlink ref="E142" r:id="rId127" display="https://www.seegerweiss.com/news/first-social-media-addiction-mdl-bellwether-trial-settlement/"/>
    <hyperlink ref="E143" r:id="rId128" display="https://storage02.forbrukerradet.no/media/2026/03/beuc-x-2026-021-analysis-of-meta-2026-changes-to-its-consent-for-ads-mechanism-against-eu-law.pdf"/>
    <hyperlink ref="E144" r:id="rId129" display="https://www.jurist.org/news/2025/04/european-commission-fines-apple-and-meta-e700m-for-breaching-digital-markets-act/"/>
    <hyperlink ref="E145" r:id="rId130" display="https://longyield.substack.com/p/the-class-c-dividend-what-metas-non"/>
    <hyperlink ref="E146" r:id="rId131" display="https://www.ig.com/uk/trading-strategies/google-stock-split-history--what-you-need-to-know-190905"/>
    <hyperlink ref="E147" r:id="rId132" display="https://www.zawya.com/en/capital-markets/wall-street-expects-metas-ai-agent-to-shape-into-a-new-revenue-engine-1114107"/>
    <hyperlink ref="E148" r:id="rId133" display="https://www.heygotrade.com/en/news/meta-meta-stock-news-october-15-2026/"/>
    <hyperlink ref="E150" r:id="rId134" display="https://cryptobriefing.com/meta-stock-best-month-ai-muse-launch/"/>
    <hyperlink ref="E152" r:id="rId135" display="https://www.sec.gov/Archives/edgar/data/1326801/000162828026066700/meta-09302026xexhibit991.htm"/>
    <hyperlink ref="E153" r:id="rId136" display="https://www.sec.gov/Archives/edgar/data/1326801/000162828026066773/meta-20260930.htm"/>
    <hyperlink ref="E154" r:id="rId137" display="https://s21.q4cdn.com/399680738/files/content_files/META-Q3-2026-Earnings-Call-Transcript.pdf"/>
    <hyperlink ref="E155" r:id="rId138" display="https://s21.q4cdn.com/399680738/files/doc_financials/2026/q2/META-Q2-2026-Earnings-Call-Transcript.pdf"/>
    <hyperlink ref="E156" r:id="rId139" display="https://www.sec.gov/Archives/edgar/data/1326801/000162828026066700/meta-20261019.htm"/>
    <hyperlink ref="E157" r:id="rId140" display="https://www.sec.gov/Archives/edgar/data/1326801/000162828026003832/meta-12312025xexhibit991.htm"/>
    <hyperlink ref="E158" r:id="rId141" display="https://www.sec.gov/Archives/edgar/data/1326801/000162828026003942/meta-20251231.htm"/>
    <hyperlink ref="E159" r:id="rId142" display="https://www.sec.gov/Archives/edgar/data/1326801/000162828026028364/meta-03312026xexhibit991.htm"/>
    <hyperlink ref="E160" r:id="rId143" display="https://www.sec.gov/Archives/edgar/data/1326801/000162828026050596/meta-06302026xexhibit991.htm"/>
    <hyperlink ref="E161" r:id="rId144" display="https://www.sec.gov/Archives/edgar/data/1326801/000162828025047114/meta-09302025xexhibit991.htm"/>
    <hyperlink ref="E162" r:id="rId145" display="https://www.sec.gov/Archives/edgar/data/1326801/000162828025036719/meta-06302025xexhibit991.htm"/>
    <hyperlink ref="E163" r:id="rId146" display="https://www.sec.gov/Archives/edgar/data/1326801/000132680125000050/meta-03312025xexhibit991.htm"/>
    <hyperlink ref="E164" r:id="rId147" display="https://www.sec.gov/Archives/edgar/data/1326801/000132680125000014/meta-12312024xexhibit991.htm"/>
    <hyperlink ref="E165" r:id="rId148" display="https://www.sec.gov/Archives/edgar/data/1326801/000132680124000077/meta-09302024xexhibit991.htm"/>
    <hyperlink ref="E166" r:id="rId149" display="https://www.sec.gov/Archives/edgar/data/1326801/000132680124000065/meta-06302024xexhibit991.htm"/>
    <hyperlink ref="E167" r:id="rId150" display="https://www.sec.gov/Archives/edgar/data/1326801/000132680124000010/meta-12312023xexhibit991.htm"/>
    <hyperlink ref="E168" r:id="rId151" display="https://www.sec.gov/Archives/edgar/data/1326801/000132680123000100/meta09302023-exhibit991.htm"/>
    <hyperlink ref="E169" r:id="rId152" display="https://www.sec.gov/Archives/edgar/data/1326801/000132680122000105/meta09302022-exhibit991.htm"/>
    <hyperlink ref="E170" r:id="rId153" display="https://api.nasdaq.com/api/analyst/META/earnings-forecast"/>
    <hyperlink ref="E173" r:id="rId154" display="https://data.sec.gov/api/xbrl/companyfacts/CIK0001326801.json"/>
    <hyperlink ref="E174" r:id="rId155" display="https://news.bloombergtax.com/litigation/meta-to-pay-historic-25-billion-in-new-mexico-deception-case"/>
    <hyperlink ref="E175" r:id="rId156" display="https://ppc.land/meta-faces-15-yearly-interest-on-25bn-new-mexico-penalty/"/>
    <hyperlink ref="E176" r:id="rId157" display="https://ppc.land/warc-forecasts-social-media-ad-spend-gains-21-3-to-394-6bn-in-2026/"/>
    <hyperlink ref="E177" r:id="rId158" display="https://www.sec.gov/Archives/edgar/data/1326801/000119312526432549/d382225dfwp.htm"/>
    <hyperlink ref="E178" r:id="rId159" display="https://www.sec.gov/Archives/edgar/data/1326801/000119312526431036/d116268dfwp.htm"/>
    <hyperlink ref="E179" r:id="rId160" display="https://www.sec.gov/Archives/edgar/data/1326801/000119312526431040/d94886d424b5.htm"/>
    <hyperlink ref="E180" r:id="rId161" display="https://www.sec.gov/Archives/edgar/data/1326801/000119312526431043/d133631d424b5.htm"/>
    <hyperlink ref="E181" r:id="rId162" display="https://finance.yahoo.com/video/wells-fargo-cuts-meta-price-002001458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2026-10-30T22:16:19Z</dcterms:created>
  <dc:creator>openpyxl</dc:creator>
  <dc:description/>
  <dc:language>en-US</dc:language>
  <cp:lastModifiedBy/>
  <dcterms:modified xsi:type="dcterms:W3CDTF">2026-10-30T22:16:19Z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