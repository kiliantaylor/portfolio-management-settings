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<sst xmlns="http://schemas.openxmlformats.org/spreadsheetml/2006/main" count="1270" uniqueCount="684">
  <si>
    <t xml:space="preserve">MCHP 12-month price target model</t>
  </si>
  <si>
    <t xml:space="preserve">Close 2026-10-30 · agents' research 2026-09-25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</si>
  <si>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</si>
  <si>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</si>
  <si>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</si>
  <si>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</si>
  <si>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</si>
  <si>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</si>
  <si>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</si>
  <si>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</si>
  <si>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</si>
  <si>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</si>
  <si>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</si>
  <si>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</si>
  <si>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22 analysts, https://stockanalysis.com/stocks/mchp/forecast/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</si>
  <si>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</si>
  <si>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</si>
  <si>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</si>
  <si>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0.583 Platt-scaled (a = 1.732) to 0.631,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</si>
  <si>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</si>
  <si>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</si>
  <si>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</si>
  <si>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2026-09-30;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</si>
  <si>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</si>
  <si>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</si>
  <si>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</si>
  <si>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</si>
  <si>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</si>
  <si>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</si>
  <si>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</si>
  <si>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</si>
  <si>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</si>
  <si>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</si>
  <si>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</si>
  <si>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</si>
  <si>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</si>
  <si>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</si>
  <si>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P/E: 18.5-19x NTM EPS of ~$4.55-4.65 at Sep-2027 (575M shares, ~8% tax, light haircut to consensus) = ~$86. FCF yield (equity basis, FCF after interest and before the ~$111M preferred dividend, over 575M as-converted shares): ~$2.45-2.6B FY28 FCF at a 5.0-5.2% required yield = $85.2-87.0 (2.45/0.05/0.575; 2.6/0.052/0.575), no net-debt deduction because FCF is already after interest. EV/EBITDA: harmonized at ~16x on ~$3.2B EBITDA, less $3.8B net debt, = ~$82, instead of the agents' 14-15x ($73-78), which double-counts the derating already in the P/E multiple. Weighted about 0.5/0.3/0.2, that gives ~$85, slightly above the $84.3 forecaster mean.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</si>
  <si>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</si>
  <si>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</si>
  <si>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</si>
  <si>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</si>
  <si>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</si>
  <si>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</si>
  <si>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</si>
  <si>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</si>
  <si>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</si>
  <si>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</si>
  <si>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</si>
  <si>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</si>
  <si>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</si>
  <si>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</si>
  <si>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thesis break)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</si>
  <si>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</si>
  <si>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</si>
  <si>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</si>
  <si>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</si>
  <si>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</si>
  <si>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</si>
  <si>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</si>
  <si>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</si>
  <si>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</si>
  <si>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</si>
  <si>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</si>
  <si>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</si>
  <si>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</si>
  <si>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</si>
  <si>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</si>
  <si>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</si>
  <si>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</si>
  <si>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</si>
  <si>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</si>
  <si>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MCHP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</si>
  <si>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</si>
  <si>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</si>
  <si>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</si>
  <si>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</si>
  <si>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</si>
  <si>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</si>
  <si>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</si>
  <si>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</si>
  <si>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</si>
  <si>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</si>
  <si>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A1</t>
  </si>
  <si>
    <t xml:space="preserve">FY28 (Mar-2028) revenue ($B)</t>
  </si>
  <si>
    <t xml:space="preserve">Supervisor: Use ~$7.4B: all five sit within 2% of the $7.43B consensus; the spread is immaterial next to the multiple debate.</t>
  </si>
  <si>
    <t xml:space="preserve">MCHP analyst estimates (StockAnalysis, S&amp;P G…</t>
  </si>
  <si>
    <t xml:space="preserve">P/E, FCF yield, EV/EBITDA</t>
  </si>
  <si>
    <t xml:space="preserve">Agent 1 · estimate</t>
  </si>
  <si>
    <t xml:space="preserve">Rebuilt up from round-1 $6.8B, which sat below the lowest analyst estimate; kept a little under consensus as cycle discipline.</t>
  </si>
  <si>
    <t xml:space="preserve">A1.5</t>
  </si>
  <si>
    <t xml:space="preserve">Agent 2 · estimate</t>
  </si>
  <si>
    <t xml:space="preserve">Bottom-up build slightly under the $7.43B consensus of 25 analysts.</t>
  </si>
  <si>
    <t xml:space="preserve">A2.4</t>
  </si>
  <si>
    <t xml:space="preserve">Agent 3 · estimate</t>
  </si>
  <si>
    <t xml:space="preserve">Bottom-up from ~$1.85-1.95B/qtr by mid-2027 across industrial, A&amp;D, auto and data center; brackets the $7.43B consensus.</t>
  </si>
  <si>
    <t xml:space="preserve">MCHP forecast and analyst targets - StockAna…</t>
  </si>
  <si>
    <t xml:space="preserve">A3.5</t>
  </si>
  <si>
    <t xml:space="preserve">Agent 4 · consensus</t>
  </si>
  <si>
    <t xml:space="preserve">Takes the $7.43B consensus essentially as is.</t>
  </si>
  <si>
    <t xml:space="preserve">Microchip Technology (MCHP) Stock Forecast &amp;…</t>
  </si>
  <si>
    <t xml:space="preserve">A4.8</t>
  </si>
  <si>
    <t xml:space="preserve">Agent 5 · estimate</t>
  </si>
  <si>
    <t xml:space="preserve">Bottom-up build in line with the $7.43B consensus.</t>
  </si>
  <si>
    <t xml:space="preserve">A5.9</t>
  </si>
  <si>
    <t xml:space="preserve">A2</t>
  </si>
  <si>
    <t xml:space="preserve">Non-GAAP gross margin, FY28 (%)</t>
  </si>
  <si>
    <t xml:space="preserve">Supervisor: ~65.5%: every agent sits between the 65% through-cycle model and the 66-67% guide; the spread is a judgment on how fast one-time gains fade.</t>
  </si>
  <si>
    <t xml:space="preserve">Microchip at Citi 2026 Global TMT Conference…</t>
  </si>
  <si>
    <t xml:space="preserve">Microchip Q1 FY2027 results press release (8…</t>
  </si>
  <si>
    <t xml:space="preserve">P/E, EV/EBITDA</t>
  </si>
  <si>
    <t xml:space="preserve">Agent 1 · guidance</t>
  </si>
  <si>
    <t xml:space="preserve">Uses the 65% long-term model rather than the 66-67% guided for the December quarter, assuming one-time licensing and repricing gains fade.</t>
  </si>
  <si>
    <t xml:space="preserve">Microchip Technology Announces Financial Res…</t>
  </si>
  <si>
    <t xml:space="preserve">A1.4, A1.1</t>
  </si>
  <si>
    <t xml:space="preserve">Price increase roughly replaces one-time licensing/repricing gains; sits between the 65% through-cycle model and the 66-67% guide.</t>
  </si>
  <si>
    <t xml:space="preserve">A2.3, A2.1</t>
  </si>
  <si>
    <t xml:space="preserve">CFO guided 66-67% through FY27 and flat into December; trimmed slightly for normalizing utilization.</t>
  </si>
  <si>
    <t xml:space="preserve">A3.2, A3.1</t>
  </si>
  <si>
    <t xml:space="preserve">Agent 4 · estimate</t>
  </si>
  <si>
    <t xml:space="preserve">Between the 65% through-cycle model and the 66-67% near-term guide.</t>
  </si>
  <si>
    <t xml:space="preserve">A4.1, A4.5</t>
  </si>
  <si>
    <t xml:space="preserve">Management says flat 66-67% through FY27 with 65% through-cycle; uses the middle.</t>
  </si>
  <si>
    <t xml:space="preserve">A5.4, A5.1</t>
  </si>
  <si>
    <t xml:space="preserve">A3</t>
  </si>
  <si>
    <t xml:space="preserve">Non-GAAP operating margin, FY28 (%)</t>
  </si>
  <si>
    <t xml:space="preserve">Supervisor: ~40%: consistent across agents and with the Q2 FY27 guide plus operating leverage.</t>
  </si>
  <si>
    <t xml:space="preserve">Own estimate of ~40% (about $2.92B on ~$7.3B revenue). Built from the Q1 FY27 8-K: non-GAAP operating margin was 35.1% in Q1 FY27 and guided to 38.5-39.5% for Q2 FY27; the agent assumes a little more operating leverage as revenue grows into FY28.</t>
  </si>
  <si>
    <t xml:space="preserve">A1.2</t>
  </si>
  <si>
    <t xml:space="preserve">Own bottom-up; Q2 FY27 guide implies ~38.5-39.5%, rising slightly with volume.</t>
  </si>
  <si>
    <t xml:space="preserve">A2.1</t>
  </si>
  <si>
    <t xml:space="preserve">Opex ~26% of sales on 65.5-66% GM; above the Q2 FY27 guide of 38.5-39.5% as volume grows.</t>
  </si>
  <si>
    <t xml:space="preserve">A3.1</t>
  </si>
  <si>
    <t xml:space="preserve">Own model; Q1 FY27 non-GAAP op margin was 35.1% and rising.</t>
  </si>
  <si>
    <t xml:space="preserve">A4.1</t>
  </si>
  <si>
    <t xml:space="preserve">Own estimate of ~39-40%. The Q1 FY27 8-K shows a 35.1% non-GAAP operating margin and a 38.5-39.5% guide for Q2 FY27; the agent holds roughly the top of that guide into FY28.</t>
  </si>
  <si>
    <t xml:space="preserve">MCHP 8-K Exhibit 99.1 Q1 FY27</t>
  </si>
  <si>
    <t xml:space="preserve">A5.2</t>
  </si>
  <si>
    <t xml:space="preserve">A4</t>
  </si>
  <si>
    <t xml:space="preserve">Non-GAAP tax rate (%)</t>
  </si>
  <si>
    <t xml:space="preserve">Supervisor: ~8%: an estimate, not a reported figure. The company expects ~7.5% for FY27 (Q2 FY27 guide $42.2-44.3M on $562.2-590.7M pretax; Q1 actual 7.5%); FY28 is not guided, so 8% keeps a ~0.5pp cushion. It feeds only the bottom-up EPS cross-check (A6), not a method formula.</t>
  </si>
  <si>
    <t xml:space="preserve">P/E</t>
  </si>
  <si>
    <t xml:space="preserve">Round-2 correction from the supervisor, verified: Q1 FY27 non-GAAP tax was ~7.5%.</t>
  </si>
  <si>
    <t xml:space="preserve">Q1 FY27 actual ~7.5% and Q2 guide imply ~8%.</t>
  </si>
  <si>
    <t xml:space="preserve">Q1 FY27 tax $35.6M on ~$474M pretax (7.5%); Q2 guide $42-44M. Corrected from round-1 13%.</t>
  </si>
  <si>
    <t xml:space="preserve">Q1 FY27 op income $521M vs net income $439M implies ~7.5%; corrected from 13%.</t>
  </si>
  <si>
    <t xml:space="preserve">Q1 FY27 actual 7.5% makes the $4.58 consensus achievable.</t>
  </si>
  <si>
    <t xml:space="preserve">A5</t>
  </si>
  <si>
    <t xml:space="preserve">Interest expense, FY28 ($B)</t>
  </si>
  <si>
    <t xml:space="preserve">Supervisor: ~$175M: small spread, immaterial (~$0.02/share of EPS).</t>
  </si>
  <si>
    <t xml:space="preserve">Own estimate of ~$180M. The Q1 FY27 8-K reports non-GAAP interest expense of $46.9M for the quarter (~$188M a year) and guides $48.5-49.5M for Q2 FY27; the agent assumes interest drifts slightly lower by FY28 as net debt is paid down ~$250-300M a quarter.</t>
  </si>
  <si>
    <t xml:space="preserve">Microchip Form 10-Q for quarter ended June 3…</t>
  </si>
  <si>
    <t xml:space="preserve">A1.2, A1.3</t>
  </si>
  <si>
    <t xml:space="preserve">Own estimate of ~$175M. The Q1 FY27 8-K reports non-GAAP interest expense of $46.9M for the quarter (~$188M a year) and guides $48.5-49.5M for Q2 FY27; the agent assumes interest drifts slightly lower by FY28 as net debt is paid down ~$250-300M a quarter.</t>
  </si>
  <si>
    <t xml:space="preserve">Own estimate of ~$170M. The Q1 FY27 8-K reports non-GAAP interest expense of $46.9M for the quarter (~$188M a year) and guides $48.5-49.5M for Q2 FY27; the agent assumes interest drifts slightly lower by FY28 as net debt is paid down ~$250-300M a quarter.</t>
  </si>
  <si>
    <t xml:space="preserve">A4.2</t>
  </si>
  <si>
    <t xml:space="preserve">A5.2, A5.3</t>
  </si>
  <si>
    <t xml:space="preserve">A6</t>
  </si>
  <si>
    <t xml:space="preserve">FY28 non-GAAP EPS (bottom-up) ($/share)</t>
  </si>
  <si>
    <t xml:space="preserve">Supervisor: ~$4.45: all bottom-up builds land 2-4% under the $4.58 FY28 consensus.</t>
  </si>
  <si>
    <t xml:space="preserve">Bottom-up from revenue, 65% GM, 40% op margin, ~$180M interest and ~7.5-8% tax on 575M shares.</t>
  </si>
  <si>
    <t xml:space="preserve">Haircut kept because estimates rose ~9% in 60 days near a possible margin peak.</t>
  </si>
  <si>
    <t xml:space="preserve">Re-derived with ~8% tax after the round-1 13% tax error.</t>
  </si>
  <si>
    <t xml:space="preserve">A3.5, A3.1</t>
  </si>
  <si>
    <t xml:space="preserve">Bottom-up from ~$7.4B revenue, ~65.5% GM, ~40% op margin, ~8% tax, 575M shares.</t>
  </si>
  <si>
    <t xml:space="preserve">A4.1, A4.8</t>
  </si>
  <si>
    <t xml:space="preserve">Bottom-up with ~7.5% tax and 575M shares; a light haircut to the $4.58 consensus.</t>
  </si>
  <si>
    <t xml:space="preserve">A7</t>
  </si>
  <si>
    <t xml:space="preserve">NTM EPS at Sep-2027 (Q3 FY28-Q2 FY29) ($/share)</t>
  </si>
  <si>
    <t xml:space="preserve">Supervisor: ~$4.55-4.65: the $4.50-4.75 spread is judgment on cycle maturity at the horizon, which search cannot settle; all are within ~5% of the consensus roll-forward.</t>
  </si>
  <si>
    <t xml:space="preserve">Rolled forward from ~$4.41 FY28 with a cycle haircut versus the ~$4.7 consensus roll-forward.</t>
  </si>
  <si>
    <t xml:space="preserve">Rolled forward from $4.40 FY28 with growth slowing as the upcycle matures.</t>
  </si>
  <si>
    <t xml:space="preserve">Explicit ~3% cycle haircut to the unhaircut roll-forward.</t>
  </si>
  <si>
    <t xml:space="preserve">Half a year of growth rolled forward with a ~2% cycle haircut.</t>
  </si>
  <si>
    <t xml:space="preserve">Light haircut to consensus; roll-forward into FY29 offsets the cycle haircut.</t>
  </si>
  <si>
    <t xml:space="preserve">A8</t>
  </si>
  <si>
    <t xml:space="preserve">Forward P/E on NTM EPS (x)</t>
  </si>
  <si>
    <t xml:space="preserve">Supervisor: 18.5-19x: consistent peer bracketing; the supervisor treats this as the right derating for rates and cycle maturity. Peer check (gate rebuild, estimate): close 2026-09-25 / current-FY consensus NXPI 15.8x, ON 24.1x, TXN 32.8x, ADI 30.5x; on NTM EPS ~13.7x, 18.5x, 27.6x, 24.6x; MCHP itself ~19.1x NTM, 17.2x FY28.</t>
  </si>
  <si>
    <t xml:space="preserve">Peer multiples rebuilt from filings at 2026-…</t>
  </si>
  <si>
    <t xml:space="preserve">ON Semiconductor 10-Q filing folder (Jul-202…</t>
  </si>
  <si>
    <t xml:space="preserve">Texas Instruments 10-Q filing folder (Jun-20…</t>
  </si>
  <si>
    <t xml:space="preserve">Agent 1 · judgment</t>
  </si>
  <si>
    <t xml:space="preserve">Judgment multiple of 19x. Peer forward P/Es it is set against: NXPI ~15x, ON ~24x, TXN ~32x, ADI ~30x (Investing.com peer table); MCHP itself trades near 20x forward today (StockAnalysis). It sits between NXPI and ON and well below TXN/ADI; the agent trims it because 10-year Treasury yields near 5.1% cap multiples.</t>
  </si>
  <si>
    <t xml:space="preserve">Supervisor: Peer multiples rebuilt from fili…</t>
  </si>
  <si>
    <t xml:space="preserve">Supervisor: ON Semiconductor 10-Q filing fol…</t>
  </si>
  <si>
    <t xml:space="preserve">Supervisor: Texas Instruments 10-Q filing fo…</t>
  </si>
  <si>
    <t xml:space="preserve">X.1, X.2, X.3, X.4</t>
  </si>
  <si>
    <t xml:space="preserve">Agent 2 · judgment</t>
  </si>
  <si>
    <t xml:space="preserve">Judgment multiple of 19x. Peer forward P/Es it is set against: NXPI ~15x, ON ~24x, TXN ~32x, ADI ~30x (Investing.com peer table); MCHP itself trades near 20x forward today (StockAnalysis). It sits between NXPI and ON and well below TXN/ADI, a discount for MCHP's leverage and cyclicality.</t>
  </si>
  <si>
    <t xml:space="preserve">Agent 3 · judgment</t>
  </si>
  <si>
    <t xml:space="preserve">Judgment multiple of 18.5x. Peer forward P/Es it is set against: NXPI ~15x, ON ~24x, TXN ~32x, ADI ~30x (Investing.com peer table); MCHP itself trades near 20x forward today (StockAnalysis). Trimmed from 19x because by Sep-2027 the market will be pricing a maturing ~8-quarter upcycle; it sits between NXPI and ON.</t>
  </si>
  <si>
    <t xml:space="preserve">Agent 4 · judgment</t>
  </si>
  <si>
    <t xml:space="preserve">Judgment multiple of 18.5x. Peer forward P/Es it is set against: NXPI ~15x, ON ~24x, TXN ~32x, ADI ~30x (Investing.com peer table); MCHP itself trades near 20x forward today (StockAnalysis). The low end of a mid-cycle range, for leverage, the mandatory convertible and 5%+ 10-year yields; between NXPI and ON.</t>
  </si>
  <si>
    <t xml:space="preserve">Agent 5 · judgment</t>
  </si>
  <si>
    <t xml:space="preserve">Mid-cycle between NXPI and ON; 10-yr UST &gt;5% caps the multiple.</t>
  </si>
  <si>
    <t xml:space="preserve">A5.8</t>
  </si>
  <si>
    <t xml:space="preserve">A9</t>
  </si>
  <si>
    <t xml:space="preserve">FY28 free cash flow ($B)</t>
  </si>
  <si>
    <t xml:space="preserve">Supervisor: ~$2.45B: four of five agree; agent 5's $2.6B assumes a 35% margin above the Q1 FY27 33.5%.</t>
  </si>
  <si>
    <t xml:space="preserve">FCF yield</t>
  </si>
  <si>
    <t xml:space="preserve">Scaled from Q1 FY27 FCF of $498M on $1.485B sales; capex ~$100-150M/yr.</t>
  </si>
  <si>
    <t xml:space="preserve">Q1 FY27 FCF margin 33.5%; low capex offset by working-capital build.</t>
  </si>
  <si>
    <t xml:space="preserve">EBITDA ~$3.12B less capex, cash tax, interest and working capital; cross-checked to Q1 FY27's 33.5% margin.</t>
  </si>
  <si>
    <t xml:space="preserve">In line with Q1 FY27's 33.5% FCF margin.</t>
  </si>
  <si>
    <t xml:space="preserve">Higher FCF margin assumed; capex ~$100-150M.</t>
  </si>
  <si>
    <t xml:space="preserve">A5.1</t>
  </si>
  <si>
    <t xml:space="preserve">A10</t>
  </si>
  <si>
    <t xml:space="preserve">FY28 FCF per share ($/share)</t>
  </si>
  <si>
    <t xml:space="preserve">Supervisor: ~$4.26 on the majority FCF of $2.45B and 575M shares.</t>
  </si>
  <si>
    <t xml:space="preserve">not used (FCF valued on EV, t…</t>
  </si>
  <si>
    <t xml:space="preserve">Agent 1 capitalizes total FCF into EV rather than per-share equity FCF.</t>
  </si>
  <si>
    <t xml:space="preserve">$2.45B over 575M as-converted shares (FCF is before the preferred dividend).</t>
  </si>
  <si>
    <t xml:space="preserve">$2.45B over 575M shares including 23.8M mandatory-convertible shares.</t>
  </si>
  <si>
    <t xml:space="preserve">$2.45B over 575M shares including the convertible shares.</t>
  </si>
  <si>
    <t xml:space="preserve">$2.6B over 575M shares.</t>
  </si>
  <si>
    <t xml:space="preserve">A11</t>
  </si>
  <si>
    <t xml:space="preserve">Required FCF yield (%)</t>
  </si>
  <si>
    <t xml:space="preserve">Supervisor: ~5% on equity FCF: peers at 4.7-4.9% plus a small leverage premium; agent 1's EV-based 4.8% is a different basis. Peer check (gate rebuild from filings, estimate): TTM FCF yield at 2026-09-25 closes NXPI 4.7%, ON 5.0%, TXN 2.1%, ADI 2.6%.</t>
  </si>
  <si>
    <t xml:space="preserve">Judgment: 4.8% required FCF yield applied to enterprise value (net debt deducted afterwards). Anchored on peers' FCF yields of ~4.7% (NXPI) and ~4.9% (ON) in the Investing.com peer table.</t>
  </si>
  <si>
    <t xml:space="preserve">Judgment: 5.0% on equity FCF = peers' ~4.7% (NXPI) and ~4.9% (ON) from the Investing.com peer table, plus a small premium for MCHP's higher leverage.</t>
  </si>
  <si>
    <t xml:space="preserve">Judgment: 4.75% on equity FCF, raised from 4.5% because 10-year yields are above 5%; brackets peers' ~4.7% (NXPI) and ~4.9% (ON) from the Investing.com peer table.</t>
  </si>
  <si>
    <t xml:space="preserve">Judgment: 5.0% on equity FCF = peers' ~4.7% (NXPI) and ~4.9% (ON) from the Investing.com peer table, plus a leverage premium.</t>
  </si>
  <si>
    <t xml:space="preserve">Lowered from 5.6%: peers ON ~4.9%, NXPI ~4.7% plus ~50bp for leverage and cyclicality.</t>
  </si>
  <si>
    <t xml:space="preserve">A12</t>
  </si>
  <si>
    <t xml:space="preserve">EBITDA for EV/EBITDA leg ($B)</t>
  </si>
  <si>
    <t xml:space="preserve">Supervisor: ~$3.2B: own derivations in a tight $3.1-3.26B band.</t>
  </si>
  <si>
    <t xml:space="preserve">EV/EBITDA</t>
  </si>
  <si>
    <t xml:space="preserve">Estimate of ~$3.1B, derived as FY28 non-GAAP operating income of ~$2.92B (A3 ~40% x A1 ~$7.3B) plus ~$0.2B depreciation. Inputs: Q1 FY27 non-GAAP operating income $521.1M (35.1% margin) and Q2 guide of 38.5-39.5% from the 8-K; PP&amp;E depreciation of $37.8M in Q1 FY27 (~$150M/yr, rising with capex) from the 10-Q.</t>
  </si>
  <si>
    <t xml:space="preserve">Estimate of ~$3.15B, derived as NTM non-GAAP operating income of ~$2.95B plus ~$0.2B depreciation. Inputs: Q1 FY27 non-GAAP operating income $521.1M (35.1% margin) and Q2 guide of 38.5-39.5% from the 8-K; PP&amp;E depreciation of $37.8M in Q1 FY27 (~$150M/yr, rising with capex) from the 10-Q.</t>
  </si>
  <si>
    <t xml:space="preserve">Supervisor: Microchip Form 10-Q for quarter …</t>
  </si>
  <si>
    <t xml:space="preserve">A2.1, X.5</t>
  </si>
  <si>
    <t xml:space="preserve">Estimate of ~$3.25B, derived as NTM non-GAAP operating income of ~$3.05B plus ~$0.2B depreciation (cut from $3.4B in round 1 on recheck). Inputs: Q1 FY27 non-GAAP operating income $521.1M (35.1% margin) and Q2 guide of 38.5-39.5% from the 8-K; PP&amp;E depreciation of $37.8M in Q1 FY27 (~$150M/yr, rising with capex) from the 10-Q.</t>
  </si>
  <si>
    <t xml:space="preserve">A3.1, X.5</t>
  </si>
  <si>
    <t xml:space="preserve">Estimate of ~$3.26B, derived as a 44% adjusted EBITDA margin on ~$7.4B revenue, i.e. ~40% operating margin plus ~4 points of depreciation. Inputs: Q1 FY27 non-GAAP operating income $521.1M (35.1% margin) and Q2 guide of 38.5-39.5% from the 8-K; PP&amp;E depreciation of $37.8M in Q1 FY27 (~$150M/yr, rising with capex) from the 10-Q.</t>
  </si>
  <si>
    <t xml:space="preserve">A4.2, X.5</t>
  </si>
  <si>
    <t xml:space="preserve">Estimate of ~$3.2B, derived as a ~43% adjusted EBITDA margin on ~$7.4B revenue, i.e. ~39-40% operating margin plus ~3-4 points of depreciation. Inputs: Q1 FY27 non-GAAP operating income $521.1M (35.1% margin) and Q2 guide of 38.5-39.5% from the 8-K; PP&amp;E depreciation of $37.8M in Q1 FY27 (~$150M/yr, rising with capex) from the 10-Q.</t>
  </si>
  <si>
    <t xml:space="preserve">A13</t>
  </si>
  <si>
    <t xml:space="preserve">EV/EBITDA multiple (x)</t>
  </si>
  <si>
    <t xml:space="preserve">Supervisor: ~16x: at 575M shares and $3.8B net debt, the agents' 18.5-19x P/E implies ~16-17x EBITDA, so 14-15x double-counts the derating (supervisor finding). Peer check (gate rebuild from filings, trailing GAAP EBITDA, estimate): NXPI 13.6x, ON 21.0x, TXN ~27.6x, ADI 28.6x.</t>
  </si>
  <si>
    <t xml:space="preserve">Judgment multiple of 15.5x on forward EBITDA, trimmed from 16x because 10-year Treasury yields are ~5.1%. Peer EV/EBITDA for reference: NXPI 13.0x, ON 15.9x, TXN 27.2x, ADI 30.0x (Investing.com peer table); MCHP's own trailing 31.8x (StockAnalysis) is inflated by trough-year EBITDA.</t>
  </si>
  <si>
    <t xml:space="preserve">Judgment multiple of 15x on forward EBITDA, between ON and the high-multiple TXN/ADI group, for leverage and cyclicality. Peer EV/EBITDA for reference: NXPI 13.0x, ON 15.9x, TXN 27.2x, ADI 30.0x (Investing.com peer table); MCHP's own trailing 31.8x (StockAnalysis) is inflated by trough-year EBITDA.</t>
  </si>
  <si>
    <t xml:space="preserve">Judgment multiple of 15x on forward EBITDA, between ON and the high-multiple TXN/ADI group, consistent with its 18.5x P/E. Peer EV/EBITDA for reference: NXPI 13.0x, ON 15.9x, TXN 27.2x, ADI 30.0x (Investing.com peer table); MCHP's own trailing 31.8x (StockAnalysis) is inflated by trough-year EBITDA.</t>
  </si>
  <si>
    <t xml:space="preserve">Judgment multiple of 14x on forward EBITDA, close to ON, reflecting leverage and 5%+ yields; the supervisor judged this low versus the agent's own P/E. Peer EV/EBITDA for reference: NXPI 13.0x, ON 15.9x, TXN 27.2x, ADI 30.0x (Investing.com peer table); MCHP's own trailing 31.8x (StockAnalysis) is inflated by trough-year EBITDA.</t>
  </si>
  <si>
    <t xml:space="preserve">Judgment multiple of 16x on forward EBITDA, roughly in line with ON, consistent with an 18.5x P/E at MCHP's leverage. Peer EV/EBITDA for reference: NXPI 13.0x, ON 15.9x, TXN 27.2x, ADI 30.0x (Investing.com peer table); MCHP's own trailing 31.8x (StockAnalysis) is inflated by trough-year EBITDA.</t>
  </si>
  <si>
    <t xml:space="preserve">A5.8, X.1, X.2, X.3, X.4</t>
  </si>
  <si>
    <t xml:space="preserve">A14</t>
  </si>
  <si>
    <t xml:space="preserve">Net debt at Sep-2027 ($B)</t>
  </si>
  <si>
    <t xml:space="preserve">Supervisor: $3.8B: all agree after the round-1 correction, built from the $5.09B June-2026 figure.</t>
  </si>
  <si>
    <t xml:space="preserve">FCF yield, EV/EBITDA</t>
  </si>
  <si>
    <t xml:space="preserve">Paydown only ~$250-300M/qtr after ~$1.1B/yr common and preferred dividends.</t>
  </si>
  <si>
    <t xml:space="preserve">A1.1, A1.2, A1.3</t>
  </si>
  <si>
    <t xml:space="preserve">$5.09B at Jun-2026 fell ~$170M that quarter; ~$250-300M/qtr assumed.</t>
  </si>
  <si>
    <t xml:space="preserve">A2.1, A2.3</t>
  </si>
  <si>
    <t xml:space="preserve">Deleveraging corrected to ~$250-300M/qtr; endpoint unchanged.</t>
  </si>
  <si>
    <t xml:space="preserve">A3.1, A3.2</t>
  </si>
  <si>
    <t xml:space="preserve">Net debt fell only ~$170M in the June quarter after ~$247M of dividends.</t>
  </si>
  <si>
    <t xml:space="preserve">Microchip declares 45.5-cent dividend as net…</t>
  </si>
  <si>
    <t xml:space="preserve">A4.1, A4.3</t>
  </si>
  <si>
    <t xml:space="preserve">June-quarter paydown ~$170M; ~$250-300M/qtr assumed.</t>
  </si>
  <si>
    <t xml:space="preserve">A5.1, A5.3</t>
  </si>
  <si>
    <t xml:space="preserve">A15</t>
  </si>
  <si>
    <t xml:space="preserve">Non-GAAP diluted shares (B shares)</t>
  </si>
  <si>
    <t xml:space="preserve">Supervisor: 575M: verified fact; more shares issue below ~$62.5 (up to ~29M below ~$51), a bear-case drag only.</t>
  </si>
  <si>
    <t xml:space="preserve">Agent 1 · reported</t>
  </si>
  <si>
    <t xml:space="preserve">Non-GAAP diluted count including the mandatory-convertible shares.</t>
  </si>
  <si>
    <t xml:space="preserve">Agent 2 · reported</t>
  </si>
  <si>
    <t xml:space="preserve">Verified in the Q1 FY27 8-K; corrected from 551M in the FCF leg.</t>
  </si>
  <si>
    <t xml:space="preserve">Agent 3 · reported</t>
  </si>
  <si>
    <t xml:space="preserve">574.3M non-GAAP diluted per Q1 FY27 8-K.</t>
  </si>
  <si>
    <t xml:space="preserve">Agent 4 · reported</t>
  </si>
  <si>
    <t xml:space="preserve">Convertible shares certain to convert in Mar-2028; corrected from 550M.</t>
  </si>
  <si>
    <t xml:space="preserve">A4.1, A4.2</t>
  </si>
  <si>
    <t xml:space="preserve">Agent 5 · reported</t>
  </si>
  <si>
    <t xml:space="preserve">Includes the mandatory convertible preferred.</t>
  </si>
  <si>
    <t xml:space="preserve">MCHP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</si>
  <si>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</si>
  <si>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</si>
  <si>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</si>
  <si>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</si>
  <si>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</si>
  <si>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</si>
  <si>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</si>
  <si>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</si>
  <si>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</si>
  <si>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</si>
  <si>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</si>
  <si>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</si>
  <si>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</si>
  <si>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</si>
  <si>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</si>
  <si>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</si>
  <si>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</si>
  <si>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</si>
  <si>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MCHP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</si>
  <si>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</si>
  <si>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</si>
  <si>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</si>
  <si>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</si>
  <si>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</si>
  <si>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</si>
  <si>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</si>
  <si>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</si>
  <si>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A7 x A8  [A1, A2, A3, A4, A5, A6, A7, A8, A15]</t>
  </si>
  <si>
    <t xml:space="preserve">Bottom-up FY28 (Mar-2028): revenue ~$7.3B (consensus $7.43B, range $6.99-8.39B), non-GAAP GM 65% (LT model; Dec-qtr guided flat at 66-67%), op margin ~40% -&gt; op income ~$2.92B, interest ~$180M, non-GAAP tax ~7.5-8% -&gt; net ~$2.53B / 575M shares = ~$4.41 (vs consensus $4.58). NTM EPS as of Sep-2027 (Q3 FY28-Q2 FY29) ~$4.50 after a cycle haircut vs consensus roll-forward (~$4.7). x 19x (mid-cycle; peers NXPI ~15x, ON ~24x, TXN/ADI ~28-32x; 10-yr UST ~5.1% caps multiples) = $85.5</t>
  </si>
  <si>
    <t xml:space="preserve">(A9 / A11 - A14) / A15  [A1, A9, A11, A14, A15]</t>
  </si>
  <si>
    <t xml:space="preserve">FY28 FCF ~$2.45B (company FCF before ~$111M/yr preferred dividend; Q1 FY27 FCF $498M on $1.485B sales, capex ~$100-150M/yr); required FCF yield on EV 4.8% -&gt; EV ~$51B; less Sep-2027 net debt ~$3.8B ($5.09B at Jun-2026 less ~$250-300M/qtr paydown after ~$1.1B/yr common+preferred dividends) -&gt; equity ~$47.2B / 575M = $82</t>
  </si>
  <si>
    <t xml:space="preserve">(A12 x A13 - A14) / A15  [A1, A2, A3, A12, A13, A14, A15]</t>
  </si>
  <si>
    <t xml:space="preserve">FY28 non-GAAP EBITDA ~$3.1B (op income ~$2.92B + ~$0.2B depreciation; ~42.5% margin on $7.3B) x 15.5x = ~$48B EV; less ~$3.8B net debt -&gt; ~$44.3B / 575M = $77</t>
  </si>
  <si>
    <t xml:space="preserve">Blended value</t>
  </si>
  <si>
    <t xml:space="preserve">Stated research target (12m)</t>
  </si>
  <si>
    <t xml:space="preserve">Blend of forward P/E (NTM EPS at Sep-2027 ~$4.50 x 19x = $85.5, weight 0.5), EV-based FCF yield (FY28 FCF ~$2.45B at 4.8% less ~$3.8B net debt = $82, weight 0.3) and EV/EBITDA (FY28 EBITDA ~$3.1B x 15.5x less ~$3.8B net debt = $77, weight 0.2); all on 575M non-GAAP diluted shares; blend ~$82.8, rounded to $83.</t>
  </si>
  <si>
    <t xml:space="preserve">FY2028 (Mar-28) non-GAAP EPS $4.40 (~4% haircut to $4.58 consensus of 25 analysts, range $4.08-5.44; my bottom-up: revenue ~$7.3B vs $7.43B consensus, GM 65-66%, op margin ~39.5%, interest ~$175M, non-GAAP tax ~8%, 575M shares = $4.30-4.45); rolled forward to NTM at Sep-2027 ~$4.50 (growth slowing as the upcycle matures) x 19x (between NXPI ~15x / ON ~24x, well below TXN/ADI ~28-32x, reflecting leverage and cyclicality)</t>
  </si>
  <si>
    <t xml:space="preserve">A10 / A11 (A10 = A9 / A15)  [A1, A9, A10, A11, A15]</t>
  </si>
  <si>
    <t xml:space="preserve">FY28 FCF ~$2.45B (~$7.3B sales x ~33.5% FCF margin; Q1 FY27 was 33.5% at 63.8% GM, capex only ~$20-25M/qtr, offset by working-capital build in upcycle); company FCF is before the ~$111M/yr preferred dividend, so divided by 575M as-converted shares = $4.26/sh; 5.0% required yield (ON ~4.9%, NXPI ~4.7%, plus a premium for leverage)</t>
  </si>
  <si>
    <t xml:space="preserve">NTM EBITDA at Sep-2027 ~$3.15B (non-GAAP op income ~$2.95B + ~$0.2B depreciation) x 15x = $47.25B EV; less net debt ~$3.8B at Sep-2027 ($5.09B at Jun-2026 minus ~$250-300M/qtr after ~$1.1B/yr common + preferred dividends); / 575M shares</t>
  </si>
  <si>
    <t xml:space="preserve">All methods on 575M non-GAAP diluted shares (incl. 23.8M mandatory-convertible shares). P/E: 19x NTM EPS at Sep-2027 of $4.50 = $85.5 (w 0.5); FCF yield: FY28 FCF $2.45B / 575M = $4.26 at 5.0% = $85.2 (w 0.3); EV/EBITDA: 15x ~$3.15B EBITDA less ~$3.8B Sep-2027 net debt / 575M = $75.6 (w 0.2). Blend ~$83.5.</t>
  </si>
  <si>
    <t xml:space="preserve">Bottom-up FY28 (Mar-2028): revenue ~$7.4-7.6B (consensus $7.43B), non-GAAP GM 65.5-66%, opex ~26% of sales -&gt; op margin ~39.5-40.5% (Q2 FY27 guide 38.5-39.5%), interest ~$170M (falling with debt), non-GAAP tax ~8% (Q1 FY27 actual 7.5%; Q2 guide $42-44M), 575M non-GAAP diluted shares -&gt; FY28 EPS ~$4.42-4.55 vs consensus $4.58. NTM EPS as of Sep-2027 (Q3 FY28-Q2 FY29) unhaircut ~$4.85; I apply an explicit ~3% cycle haircut to $4.70 and a mid-cycle multiple of 18.5x (down from 19x because the market at the horizon will be pricing a maturing ~8-quarter upcycle; peers NXPI ~15x, ON ~24x, TXN/ADI ~28-32x) = $87.</t>
  </si>
  <si>
    <t xml:space="preserve">FY28 FCF ~$2.45B: EBITDA ~$3.12B less capex ~$120M (Q1 FY27 $13.9M/qtr, guided higher), cash tax ~$230M, interest ~$175M, working-capital build ~$150M; cross-check: Q1 FY27 FCF $497.6M on $1.485B sales (33.5%) scales to ~$2.4-2.5B at ~$1.85-1.9B/qtr. / 575M shares (includes 23.8M mandatory-convertible shares; FCF is before preferred dividend) = ~$4.26/share, capitalized at 4.75% (raised from 4.5% given 10-yr yields &gt;5%; ON ~4.9%, NXPI ~4.7%) = ~$90.</t>
  </si>
  <si>
    <t xml:space="preserve">NTM EBITDA at Sep-2027 ~$3.25B (non-GAAP op income ~$3.05B + ~$0.2B depreciation; round-1 $3.4B was too high) x 15x = $48.75B EV, less ~$3.8B net debt at Sep-2027 ($5.09B at Jun-2026, paydown ~$250-300M/qtr after ~$275M/qtr common+preferred dividends), = ~$44.9B / 575M shares = ~$78.</t>
  </si>
  <si>
    <t xml:space="preserve">Blend of forward P/E (NTM EPS at Sep-2027 ~$4.70 x 18.5x = $87), FCF yield (~$4.26/share FY28 FCF at 4.75% = $90) and EV/EBITDA (~$3.25B NTM EBITDA x 15x less ~$3.8B Sep-2027 net debt over 575M diluted shares = $78); weights 0.5/0.25/0.25 give ~$85.5, rounded to $86 (plus ~2.3% dividend yield, not included).</t>
  </si>
  <si>
    <t xml:space="preserve">Bottom-up FY28 (Mar-2028): revenue ~$7.4B (consensus $7.43B), non-GAAP GM ~65.5%, operating margin ~40% = ~$2.96B, interest ~$180M, non-GAAP tax ~8% (Q1 FY27 actual ~7.5%), 575M non-GAAP diluted shares = ~$4.45. Consensus FY28 is $4.58. NTM EPS at Sep-2027 (Q3 FY28-Q2 FY29) rolls forward half a year of growth to ~$4.85 unhaircut; I use ~$4.75 (a ~2% cycle haircut). 18.5x, the low end of the mid-cycle range, reflecting leverage and 5%+ 10-yr yields (peers: NXPI ~15x, ON ~24x, TXN/ADI ~28-32x).</t>
  </si>
  <si>
    <t xml:space="preserve">FY28 FCF ~$2.45B (33% FCF margin on $7.4B, in line with Q1 FY27's 33.5%) / 575M shares including the 23.8M mandatory-convertible shares = ~$4.26/sh; 5.0% required FCF yield (ON ~4.9%, NXPI ~4.7%, plus a leverage premium)</t>
  </si>
  <si>
    <t xml:space="preserve">FY28 adj. EBITDA ~$3.26B (44% of $7.4B) x 14x = $45.6B EV; less ~$3.8B net debt at Sep-2027 ($5.09B at Jun-2026 less ~$250-300M/qtr paydown after ~$275M/qtr common + preferred dividends) = $41.8B / 575M shares</t>
  </si>
  <si>
    <t xml:space="preserve">Blend of forward P/E (18.5x on ~$4.75 NTM non-GAAP EPS at Sep-2027 = $88), FCF yield (5% on ~$4.26/sh FY28 FCF over 575M shares = $85) and EV/EBITDA (14x ~$3.26B FY28 EBITDA less ~$3.8B Sep-2027 net debt, over 575M shares = $73). Weights 0.45/0.30/0.25 give ~$83.4, rounded to $84. All three methods now use the same 575M share base.</t>
  </si>
  <si>
    <t xml:space="preserve">NTM non-GAAP EPS at Sep-2027 ~$4.55 (FY3/28 consensus $4.58, 25 analysts, range $4.08-$5.44, revenue $7.43B; bottom-up $7.4B rev, 65-66% GM, ~39-40% op margin, ~$180M interest, ~7.5-8% non-GAAP tax, 575M sh gives ~$4.40-4.55; roll-forward into FY29 offsets cycle haircut) x 18.5x (mid-cycle; between NXPI ~15x and ON ~24x; TXN/ADI ~28-32x; 10yr UST &gt;5% caps multiple)</t>
  </si>
  <si>
    <t xml:space="preserve">FY28 FCF ~$2.6B (~35% of ~$7.4B revenue, capex ~$100-150M) / 575M sh = ~$4.52/sh; required FCF yield 5.2% (lowered from 5.6%: peers ON ~4.9%, NXPI ~4.7%, plus ~50bp premium for leverage ~2.3x and cyclicality)</t>
  </si>
  <si>
    <t xml:space="preserve">FY28 revenue ~$7.4B x ~43% adj. EBITDA margin = ~$3.2B; x16x = $51.2B EV; less net debt ~$3.8B at Sep-2027 ($5.09B Jun-2026 less ~$250-300M/qtr after ~$275M/qtr common+preferred dividends) = $47.4B / 575M sh = ~$82</t>
  </si>
  <si>
    <t xml:space="preserve">Blend of forward P/E (18.5x on ~$4.55 NTM non-GAAP EPS at Sep-2027, a light haircut to FY3/28 consensus $4.58), FCF yield (5.2% on ~$4.52/sh FCF) and EV/EBITDA (16x ~$3.2B FY28 EBITDA less ~$3.8B Sep-2027 net debt), all on 575M non-GAAP diluted shares incl. the mandatory convertible preferred; blend ~$84.3, rounded to $85.</t>
  </si>
  <si>
    <t xml:space="preserve">MCHP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</si>
  <si>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</si>
  <si>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</si>
  <si>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</si>
  <si>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</si>
  <si>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</si>
  <si>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</si>
  <si>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</si>
  <si>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Upcycle peaks around mid-2027 (roughly 8 quarters from its start), as the market begins pricing FY29: bookings slip below 1, outsourced-capacity lead times normalize and some customers destock, price increases stall, GM drifts toward ~61-62% and FY29 EPS expectations fall toward ~$3.3; semis derate further with 10-yr yields above 5%; stock ~15-16x trough-ish EPS. Less likely in the next 2-3 quarters given the 25-day distributor inventory, but a live risk at the horizon.</t>
  </si>
  <si>
    <t xml:space="preserve">Recovery continues at a slowing rate: FY28 revenue ~$7.2-7.4B, GM 65-66%, NTM EPS ~$4.5-4.6 at the horizon, net debt falls to ~$3.8B (&lt;2x EBITDA) and buybacks may restart; stock ~19x NTM plus ~2.3% dividend.</t>
  </si>
  <si>
    <t xml:space="preserve">Extended cycle with AI/data-center, PCIe Gen6/retimers, Hailo edge AI and industrial/defense strength; supply constraints ease and revenue reaches ~$2B/qtr, NTM EPS ~$5.5+, capital returns resume, semis re-rate; ~22-23x on $5.5.</t>
  </si>
  <si>
    <t xml:space="preserve">The upcycle peaks around mid-2027 as foundry/OSAT constraints ease and customers stop building backlog; AI-capex digestion hits the data-center/PCIe ramp; market starts pricing FY29 declines. GM slides toward 62-63% and FY28 EPS ~$3.40 with a trough-anticipating ~15x. The lean channel (25 days distributor inventory) makes a sharp reversal within 2-3 quarters unlikely, which is why the weight is lower than round 1, but the mid-2027 window is the real risk.</t>
  </si>
  <si>
    <t xml:space="preserve">Recovery continues at a slowing pace: sales ~$1.8-1.9B/qtr by mid-2027, GM holds ~65-66% (price increase replaces one-time licensing/repricing gains), FY28 EPS ~$4.40-4.55, NTM EPS ~$4.55 x ~19x. Net debt falls to ~$3.8B; no buybacks yet but dividend continues (~$1.82/yr, not in price).</t>
  </si>
  <si>
    <t xml:space="preserve">Strongest bookings in four years and continued upward revisions (FY28 consensus rose from $4.19 to $4.58 in 60 days) push FY28 EPS to ~$5.0 (toward the $5.44 high estimate); data-center/PCIe Gen6 and Hailo edge-AI ramp; sector re-rates to ~23-24x and buyback resumption comes into view. Stock exceeds the $105.91 high, in line with $120-135 high-end targets.</t>
  </si>
  <si>
    <t xml:space="preserve">Upcycle matures by mid-2027: supply-constraint-driven ordering unwinds, book-to-bill falls below 1 in H1 CY2027, distributor inventory rebuilds from 25 days, GM guided back toward 61-62% as price increases fade and underutilization returns; NTM EPS ~$3.60 at ~14.5x amid a semi derating and high yields. Below ~$62.5 the mandatory convertible delivers more shares, a small extra drag.</t>
  </si>
  <si>
    <t xml:space="preserve">Revenue climbs to ~$1.85-1.95B/qtr by mid-2027 on industrial, A&amp;D, auto and data center (~$500M standard products, PCIe Gen6 ramps in 2027); GM holds ~66% (price increase offsets one-time Q2 items), op margin ~40%; non-GAAP tax ~8%; net debt ~$3.8B and under ~1.3x EBITDA; NTM EPS ~$4.70 at ~18.5-19x.</t>
  </si>
  <si>
    <t xml:space="preserve">Supply constraints ease and backlog ships; revenue approaches the FY23 peak run-rate (~$8B+), op margin 42-44%, NTM EPS ~$5.50; deleveraging reopens buybacks/dividend growth and the market pays ~22x, as at the May-2026 peak ($105.91 on far lower earnings).</t>
  </si>
  <si>
    <t xml:space="preserve">The upcycle peaks in mid-2027 after ~8 quarters. Industrial/auto orders roll over as customers pull back from buffers built during the lead-time stretch; GM drifts from 66-67% toward ~61-62% as utilization falls, and the market prices a FY29 decline. Semis multiples compress further with 5%+ Treasury yields. NTM EPS ~$3.45 x 15x. The mandatory convertible adds dilution below ~$62.5.</t>
  </si>
  <si>
    <t xml:space="preserve">Recovery continues at a slower pace: FY28 revenue ~$7.4B, GM holds ~65-66% (the through-cycle model is 65%; guided 66-67% into December), op margin ~40%, data center/PCIe Gen6 ramps in 2027, net debt reaches ~$3.8B and net leverage falls toward ~2x. NTM EPS ~$4.75 x 18.5x.</t>
  </si>
  <si>
    <t xml:space="preserve">A full cyclical upturn toward the FY23 peak (~$8.4B revenue run-rate): price increases stick, operating margin moves above the 40% through-cycle model (company target per Citi TMT 2026-09-09; corrected from 45% by the citation gate), data center grows past $1.5B, buybacks restart on the $1.56B authorization once leverage is low, and the multiple re-rates to ~21x on ~$5.7 NTM EPS.</t>
  </si>
  <si>
    <t xml:space="preserve">Upcycle matures by mid-2027 and the market starts pricing FY29 down: lead times normalize as outsourced capacity frees up, orders slow, price increases lapse, GM slides toward 61-62%, FY28 EPS ~$3.50, multiple ~15x with 10yr yields &gt;5%; semis de-rate. Less likely near term given 25-day distributor inventory and flat 66-67% GM guide, so weight cut to 20%.</t>
  </si>
  <si>
    <t xml:space="preserve">Recovery continues at slowing growth; FY28 revenue ~$7.2-7.5B, GM 65-66%, NTM EPS ~$4.55, net debt ~$3.8B and leverage &lt;2x in sight, multiple ~18.5-19x. Data center (PCIe Gen6), aerospace/defense and industrial support growth.</t>
  </si>
  <si>
    <t xml:space="preserve">Extended multi-year upcycle (industrial + auto late recovery on top of AI data center), pricing sticks, EPS tracks high-end estimates ~$5.2+, deleveraging reopens buybacks, multiple re-rates to 22-23x as yields ease; retakes 52w high ~$103-106 and beyond.</t>
  </si>
  <si>
    <t xml:space="preserve">Average</t>
  </si>
  <si>
    <t xml:space="preserve">MCHP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</si>
  <si>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</si>
  <si>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</si>
  <si>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</si>
  <si>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</si>
  <si>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</si>
  <si>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</si>
  <si>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</si>
  <si>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 update. The supervisor's fact-checks, which I verified, moved my inputs up modestly. (1) FY28 consensus EPS is $4.58 on $7.43B revenue (Alpha Vantage, 25 analysts, up from $4.19 60 days ago, 20 up / 1 down revisions in 30 days); my round-1 $6.8B revenue was below the lowest estimate ($6.985B), so I rebuilt FY28 at ~$7.3B. (2) Non-GAAP tax is ~7.5%, which with 65% GM and ~40% op margin gives ~$4.41 FY28 on 575M shares; I set NTM EPS at the horizon at ~$4.50 (up from $4.40), still below the consensus roll-forward as cycle discipline. (3) Net debt was $5.09B in June and falls ~$250-300M/qtr after dividends, so ~$3.8B by Sep-2027 (vs my $4.0B). (4) At Citi (2026-09-09) the CFO guided GM roughly flat at 66-67% into December, called distributor inventory low at 25 days and said there is no evidence of significant customer stocking; internal lead times are steady, and the stretch is at outsourced capacity. That lowers near-term channel-unwind risk, so I cut the bear weight from 25% to 20% and the low-median ladder component from 20% to 17% (its median moved from $70 to $66 and its sigma widened, so it now stands for a sharper but less likely mid-2027 reversal). I did not raise the multiple: the 10-yr UST at ~5.14% and the sector derating keep me at 19x, and I trimmed the EV/EBITDA multiple to 15.5x. Fair value $83 (from $82): P/E $85.5, FCF-yield $82, EV/EBITDA $77. This is below the supervisor's $85 because I haircut EPS a bit more (bottom-up ~$4.41 vs consensus $4.58) and use EV-based rather than equity FCF yield. Scenarios: bear $52 (20%), base $87 (55%), bull $125 (25%), probability-weighted ~$89 before a ~2.3% dividend. Ladder: a mixture of lognormals, 83% median $86 with sigma 0.39 and 17% median $66 with sigma 0.58. This keeps a fat left tail consistent with 50% realized vol and semis cyclicality. The ladder median is ~$83.3 (from ~$81), P(&gt;=79) is 0.55 and P(&gt;=106) is 0.28. Analyst mean PT ~$100 is evidence of sell-side optimism, not an anchor. Research was limited to 4 follow-up queries in round 2.</t>
  </si>
  <si>
    <t xml:space="preserve">A close near $52 (-34%, ~11.5x FY28 consensus of $4.58) would mean the market is pricing an outright reversal of the recovery: book-to-bill below 1, guidance cut with GM heading back toward 60%, distributor inventory rebuilding from 25 days, or financing/leverage stress; below ~$62.5 the mandatory convertible also adds dilution (up to 29.1M shares below ~$51). I keep $52 rather than the supervisor's $55 because with 50% realized vol a -30% move to $55 is less than one annual standard deviation and the stock traded at $48.52 within the past year, so $55 could still be sector/rates noise.</t>
  </si>
  <si>
    <t xml:space="preserve">• Timing of the cycle peak: near-term channel is lean (25 days distributor inventory, no double ordering per CFO), but an ~8-quarter upcycle would be maturing right at the horizon when the market prices FY29
• Sustainability of 66-67% GM as one-time licensing and inventory-repricing gains roll off (CFO says price increase and lower underutilization offset them in the December quarter)
• Sector multiple with 10-yr yields above 5% and post-AI-boom semis derating; 50% realized vol
• Data-center growth credibility versus short-seller skepticism
• Pace of deleveraging: only ~$250-300M/qtr after dividends; buybacks paused
• Outsourced foundry/OSAT constraints capping revenue upside</t>
  </si>
  <si>
    <t xml:space="preserve">• a fact: FY28 revenue ~$6.8B, EPS $4.3-4.5 (own extrapolation) → FY28 revenue ~$7.3B, bottom-up EPS ~$4.41 (consensus $4.58 on $7.43B) (Supervisor: FY28 consensus $4.58 / $7.43B, low revenue estimate $6.985B; verified via Alpha Vantage EARNINGS_ESTIMATES 2026-09-27)
• a fact: Net debt $5.2B -&gt; $4.0B by Sep-2027 → Net debt $5.09B -&gt; ~$3.8B by Sep-2027 (Supervisor: 10-Q net debt $5.09B, paydown ~$250-300M/qtr after dividends)
• a method: P/E $84 (NTM EPS $4.40 x 19x) → P/E $85.5 (NTM EPS $4.50 x 19x) (Higher revenue base and ~7.5% non-GAAP tax rate; kept a cycle haircut vs consensus)
• a method: FCF yield $80 (FCF $2.4B, net debt $4.0B) → FCF yield $82 (FCF $2.45B, net debt $3.8B) (Higher revenue and corrected net-debt path)
• a method: EV/EBITDA $77 (EBITDA $3.0B x 16x, net debt $4.0B) → EV/EBITDA $77 (EBITDA $3.1B x 15.5x, net debt $3.8B) (Higher EBITDA and lower net debt offset by a slightly lower multiple given 10-yr UST ~5.1% (new evidence))
• fair value: 82 → 83 (Net effect of the above; stays below supervisor's $85 because my EPS haircut is larger and FCF is valued on EV)
• a scenario: bear $50 @ 25%, base $85 @ 50%, bull $125 @ 25% → bear $52 @ 20%, base $87 @ 55%, bull $125 @ 25% (Supervisor/Citi: GM guided flat 66-67% into December, distributor inventory 25 days, no double ordering; near-term channel risk lower, but mid-2027 peak risk kept)
• P(close &gt;= K): P(&gt;=79) 0.535, P(&gt;=106) 0.27, median ~$81 → P(&gt;=79) 0.551, P(&gt;=106) 0.281, median ~$83.3 (Supervisor revisit note on the low-median component: cut its weight from 20% to 17% and raised the main-component median from $84 to $86)
• thesis break: 52 → 52 (unchanged) (Disagree with supervisor's $55: at 50% realized vol a -30% move is under one annual standard deviation and the stock was at $48.52 within the past year; $52 (~11.5x consensus) better separates fundamental breakage from noise)</t>
  </si>
  <si>
    <t xml:space="preserve">Round 2 revision. Supervisor facts I verified and adopted: (1) FY28 consensus EPS is $4.58 (25 analysts, range $4.08-5.44, revenue $7.43B; up from $4.19 60 days ago), confirmed via Alpha Vantage on 2026-09-27; my round-1 $4.32 was stale, so my $4.10 was a ~10% haircut, too harsh. (2) Non-GAAP diluted shares are 574.3M (550.5M GAAP + 23.8M mandatory convertible), confirmed in the Q1 FY27 8-K; my FCF method on 551M overstated per-share value ~4%. All methods are now on 575M. (3) Net debt $5.09B at Jun-2026 falling only ~$170M that quarter (8-K); I assume ~$250-300M/qtr to ~$3.8B by Sep-2027; CFO expects net debt/EBITDA &lt;2.5x at end-Sep. (4) CFO at Citi (2026-09-09): GM 66-67% into Dec quarter, strongest bookings in ~4 years, no major inventory build, distributor inventory 25 days. On the supervisor's explicit question I switched from 21x on a 10%-haircut EPS to 19x on a ~4%-haircut NTM EPS ($4.50), which gives a similar P/E value ($85.5 vs $86). I added an EV/EBITDA leg ($75.6) that captures the slow deleveraging, so my blended fair value moves slightly down to $83.5 (from $84.5), a bit below the supervisor's $85: I keep a haircut to consensus because estimates were just revised up ~9% in 60 days near what may be a mid-to-late-cycle margin peak, and the EV/EBITDA leg penalizes the leverage. The lean channel lowers near-term bear odds, so I cut bear weight to 22% (price $52) and raised base to 53% ($87); scenario mean ~$87. Ladder: lognormal with median ~$84 (+7% vs $78.69, earnings growth partly offset by multiple compression as the cycle matures) and sigma ~0.41 (below the 50% trailing realized vol, inflated by the July selloff, above large-cap base rates given semis cyclicality and leverage), with a slightly fatter left tail than lognormal at $31-55. Net effect vs round 1: slightly higher probabilities from $55 to $87 (lower near-term channel risk, higher EPS base), unchanged upper tail. Research in round 2: 1 fetch of Citi TMT summary, 1 fetch of the 8-K exhibit, Alpha Vantage estimates, 2 web searches.</t>
  </si>
  <si>
    <t xml:space="preserve">$55 (~30% below spot) is ~12x FY28 consensus EPS of $4.58 and ~12.5x my $4.40. Trading there would most likely mean the upcycle reversed fundamentally (book-to-bill below 1, guidance cut with GM heading back to ~60%, distributor inventory rebuilding from 25 days, deleveraging stalling) rather than ordinary noise for a 50%-vol stock. Below ~$62.5 the mandatory convertible also converts into more shares (up to ~29M below ~$51), adding dilution on the way down.</t>
  </si>
  <si>
    <t xml:space="preserve">• Timing of the cycle peak: channel is lean now (25 days distributor inventory, no double ordering per CFO), but an ~8-quarter upcycle may be maturing by mid-2027 when the market prices FY29
• Gross margin sustainability at 66-67% vs 65% through-cycle model once one-time licensing and repricing gains roll off
• Sector multiple: MCHP sits between NXPI (~15x) and TXN/ADI (~28-32x); AI-capex sentiment and rates drive it
• Data-center/AI exposure and PCIe Gen6 design wins not yet in production
• Leverage ($5.09B net debt, paydown only ~$250-300M/qtr after dividends) delays buybacks
• Dilution mechanics of the Series A mandatory convertible (converts 2028-03-15; more shares below ~$62.5)</t>
  </si>
  <si>
    <t xml:space="preserve">• a fact: FY28 consensus EPS ~$4.32 → $4.58 (25 analysts, range $4.08-5.44) (Supervisor finding, verified via Alpha Vantage EARNINGS_ESTIMATES 2026-09-27)
• a fact: 551M shares in FCF method → 575M non-GAAP diluted shares in all methods (Supervisor finding, verified in Q1 FY27 8-K (574.3M incl. 23.8M mandatory convertible shares))
• a fact: net debt ~$5.2B, net debt/EBITDA 2.5-2.85x → $5.09B at Jun-2026, &lt;2.5x expected at end-Sep, ~$3.8B by Sep-2027 (Supervisor finding; 8-K shows ~$170M quarterly reduction; CFO at Citi)
• a method: P/E: FY28 EPS $4.10 x 21x = $86 (w 0.6) → P/E: NTM EPS $4.50 x 19x = $85.5 (w 0.5) (Higher consensus base and ~8% non-GAAP tax; lighter ~4% haircut with a peer-consistent 19x instead of 21x on a 10% haircut, per supervisor's revisit prompt)
• a method: FCF yield: $4.35/sh (551M) at 5.3% = $82 (w 0.4) → FCF yield: $4.26/sh (575M) at 5.0% = $85.2 (w 0.3) (Share-base correction; required yield lowered toward ON/NXPI (~4.7-4.9%) plus a leverage premium)
• a method: none → EV/EBITDA 15x, $3.8B Sep-2027 net debt = $75.6 (w 0.2) (Added to capture the slower deleveraging pace the supervisor established)
• fair value: 84.5 → 83.5 (Higher EPS base offset by share-count correction and the new leverage-aware EV/EBITDA leg; I stay slightly below the supervisor's $85 because I keep a haircut to freshly-raised consensus near possible peak margins)
• a scenario: bear $50 p0.25 / base $88 p0.50 / bull $120 p0.25 → bear $52 p0.22 / base $87 p0.53 / bull $118 p0.25 (Lean channel (25 days distributor inventory), no double ordering and GM guided flat into December lower near-term reversal odds; bull/base trimmed slightly to 575M share base)
• P(close &gt;= K): K=55 0.83, 63 0.74, 71 0.645, 79 0.55, 87 0.455 → K=55 0.842, 63 0.755, 71 0.657, 79 0.558, 87 0.465 (Median moved from ~$83 to ~$84 and sigma trimmed 0.42 to 0.41 given lower near-term channel risk; tails above $106 essentially unchanged)
• thesis break: 55 → 55 (unchanged) (Still ~12x consensus FY28 EPS; added the preferred-conversion dilution mechanic below ~$62.5 as further support)</t>
  </si>
  <si>
    <t xml:space="preserve">Round 2 revision. The supervisor's fact checks, which I verified against the Q1 FY27 8-K (non-GAAP tax $35.6M, rate 7.5%; Q2 tax guide $42.2-44.3M; 574.3M non-GAAP diluted shares; long-term debt $5,361M; ~$170M net-debt reduction; FCF $497.6M) and the Citi TMT summary (GM 66-67% through FY27 and flat into December, distributor inventory 25 days, no significant restocking, dividend flat and no buybacks until the balance sheet improves, data center ~$500M in standard products), led to these changes: (1) My round-1 13% tax understated EPS ~6%. Re-deriving with ~8% tax gives FY28 ~$4.42-4.55 and NTM-at-horizon ~$4.85 unhaircut; rather than letting the tax error act as a hidden haircut, I apply an explicit ~3% cycle haircut ($4.70) and trim the multiple to 18.5x because by Sep-2027 the market will price a mature upcycle. P/E leg is essentially unchanged at $87. (2) My deleveraging pace was overstated ($350-400M/qtr vs ~$250-300M after dividends), but the ~$3.8B endpoint stands. (3) On recheck my EBITDA ($3.4B) was high; ~$3.25B lowers the EV/EBITDA leg to $78. (4) FCF yield raised to 4.75% for high yields; leg $90. Blend ~$86 (from $87). (5) I agree the near-term channel risk is lower than a 25% bear weight implies, so bear weight goes to 20% (price $52) and base to 55%; scenario mean ~$89 before dividends. I keep a fattened left tail because the mid-2027 peak risk, 50% realized vol and September sector weakness (memory softness) are real. Ladder: an 87/13 lognormal mixture (median $87.5, sigma 0.40; bear component median $68, sigma 0.50), giving an overall median ~$85 and P(&gt;= spot $79) ~0.57, a small upward shift from round 1 (0.56). Analyst mean PT ~$108 (range $80-135) remains optimistic evidence only. No option data or priors consulted; round 2 used ~4 searches/fetches.</t>
  </si>
  <si>
    <t xml:space="preserve">$55 is ~12x FY28 consensus EPS ($4.58) and ~11.7x my $4.70 NTM base, ~30% below spot and near the 2025 trough ($48.52). A close there would most likely mean the recovery has reversed (book-to-bill below 1, a guide cut with GM back toward 60-62%, distributor inventory rebuilding from 25 days), not ordinary 50%-vol sector noise. Below ~$62.5 the Series A mandatory convertible also converts into more shares (up to ~29M), adding dilution to a falling price.</t>
  </si>
  <si>
    <t xml:space="preserve">• Timing of the cycle peak: lean channel (25 days distributor inventory) lowers near-term risk, but an ~8-quarter upcycle is maturing by mid-2027 when the market prices FY29
• Gross margin durability at 66-67% once the price-increase effect is fully in the base and utilization normalizes (long-term model 65%)
• Multiple the market will pay for levered cyclical analog in late 2027 (14x vs 22x drives most of the range)
• Rate and AI-sentiment driven semiconductor sector swings
• Pace of deleveraging (~$250-300M/qtr) and when buybacks/dividend growth resume</t>
  </si>
  <si>
    <t xml:space="preserve">• a fact: non-GAAP tax ~13% → ~7.5-8% (Supervisor finding, verified in Q1 FY27 8-K ($35.6M on ~$474M pretax, 7.5%; Q2 guide $42-44M).)
• a fact: deleveraging ~$350-400M/qtr → ~$250-300M/qtr; Sep-2027 net debt ~$3.8B (endpoint unchanged) (Supervisor finding: ~$170M reduction in the June quarter; ~$275M/qtr goes to common and preferred dividends.)
• a fact: data center ~$1B CY26 → ~$500M CY26 in standard products; PCIe Gen6 minimal in 2026, ramps 2027 (Citi TMT conference summary (2026-09-09).)
• a method: P/E $87.4: NTM EPS $4.60 x 19x → P/E $87: NTM EPS $4.70 x 18.5x (Tax correction lifts unhaircut NTM EPS to ~$4.85; per supervisor's revisit note I made the cycle haircut explicit (~3%) and trimmed the multiple for a maturing upcycle at the horizon instead of relying on the tax error.)
• a method: FCF yield $93.3 ($4.20/share at 4.5%) → FCF yield $90 ($4.26/share at 4.75%) (Lower cash tax raises FCF slightly; required yield raised with 10-yr yields &gt;5% and peer FCF yields (ON 4.9%, NXPI 4.7%) cited by the supervisor.)
• a method: EV/EBITDA $82 ($3.4B x 15x) → EV/EBITDA $78 ($3.25B x 15x) (Own recheck: non-GAAP op margin ~40% on ~$7.6B NTM sales plus ~$0.2B depreciation gives ~$3.25B, not $3.4B; net debt ~$3.8B per supervisor.)
• fair value: 87 → 86 (Net of the three method changes above; I do not copy the supervisor's $85.)
• a scenario: bear $50 / 25%, base $88 / 50% → bear $52 / 20%, base $88 / 55% (Supervisor finding: distributor inventory 25 days, no double ordering, GM guided flat at 66-67% into December; near-term channel unwind less likely. I keep a 20% bear weight because cycle-peak risk concentrates in mid-2027, within the horizon.)
• P(close &gt;= K): K=55: 0.835, K=79: 0.56, K=87: 0.465, K=118: 0.20 → K=55: 0.848, K=79: 0.572, K=87: 0.48, K=118: 0.215 (Lower bear weight and higher EPS base shift the median from ~$84 to ~$85; tails otherwise similar.)
• thesis break: 55 → 55 (unchanged) (Still ~12x forward EPS; added the supervisor's point that below ~$62.5 the mandatory convertible adds dilution.)</t>
  </si>
  <si>
    <t xml:space="preserve">Round 2. Fundamentals are improving: Q1 FY27 (Jun-26) revenue was $1.485B (+38% y/y), non-GAAP OM 35.1%, EPS $0.76 (beat). The Q2 guide is $1.59-1.62B, GM 66-67% and EPS $0.91-0.95, which would be the seventh straight quarter above seasonal. The supervisor's corrections, which I verified against the Q1 press release, apply to my inputs: (1) all methods now use 575M non-GAAP diluted shares, because the 23.8M mandatory-convertible shares are certain to convert in Mar-2028; (2) non-GAAP tax is ~7.5-8%, not 13% (Q1: op income $521M, net income $439M); (3) net debt was $5.09B and fell only ~$170M in the June quarter after ~$247M of common dividends, so I use ~$3.8B at Sep-2027, not $4.5B. That also fixes my internal inconsistency; (4) the 175 days I cited is company inventory; distributor inventory is a lean 25 days. The lower tax rate lifts EPS; FY28 consensus is $4.58, revised up from $4.19. I roll forward to ~$4.75 NTM at Sep-2027 but cut the multiple to 18.5x. The mandatory-convertible shares and the rate backdrop make me unwilling to pay 19x on a higher EPS near a maturing cycle. The share-base fix lowers the FCF leg ($87 to $85). The EV/EBITDA leg barely moves ($74 to $73): the lower net debt is offset by moving from 550M to 575M shares. The supervisor expected $77-78, but on my own inputs (14x, 575M shares) I get $73. The blend is unchanged at ~$84; the corrections largely offset. I cut the bear weight from 25% to 20% and raised the bear price to $52, since the lean channel and flat GM guidance make a reversal within the next 2-3 quarters less likely. I do not go lower, because the risk shifts to mid-2027, inside the horizon. Scenario mean is ~$88.6 and median ~$85-86. Ladder: a lognormal centered on an ~$85 median with 40% sigma, the left tail fattened slightly for a cycle reversal and convertible dilution. P(&gt;= spot $78.69) is ~0.57. Sell-side views remain wide (Cantor $125 Overweight; Truist cut to $90 Hold). Research used web search only (2 extra searches this round); no option data was consulted.</t>
  </si>
  <si>
    <t xml:space="preserve">At ~$55 (about -30%, ~12x FY28 consensus EPS of $4.58), the market would be pricing an outright reversal: book-to-bill below 1, a guidance cut with GM falling back toward 60%, and distributor inventory rebuilding from its lean 25 days. That is not ordinary 50%-vol sector noise. Below ~$62.5 the mandatory convertible preferred also converts into more shares (up to ~29M below ~$51), adding dilution to a falling price.</t>
  </si>
  <si>
    <t xml:space="preserve">• Timing of the cycle peak: near-term channel is lean (distributor inventory 25 days, no double ordering per the CFO), but by mid-2027 the upcycle is ~8 quarters old and the market will be pricing FY29
• Gross-margin sustainability after one-time licensing and distributor-repricing gains; the price increase and lower underutilization charges are supposed to offset
• Valuation multiple under 5%+ 10-yr yields and the sector de-rating since the July-2026 AI selloff
• Foundry/OSAT advanced-packaging capacity constraints limiting data-center shipments
• Pace of deleveraging (~$250-300M/qtr after dividends) versus the restart of buybacks; CEO 10b5-1 selling
• Industrial and automotive recovery lagging data center and aerospace/defense</t>
  </si>
  <si>
    <t xml:space="preserve">• a fact: FCF and EV/EBITDA methods on 550M shares → all methods on 575M non-GAAP diluted shares (Supervisor: the 23.8M mandatory-convertible shares convert on 2028-03-15 (Q1 FY27 8-K, 10-Q))
• a fact: non-GAAP tax ~13% → ~7.5-8% (Supervisor finding, verified: Q1 FY27 non-GAAP op income $521M vs net income $439M)
• a fact: Sep-2027 net debt ~$4.5B (inconsistent with the stated $0.4-0.5B/qtr paydown) → ~$3.8B ($5.09B less ~$250-300M/qtr) (Supervisor: June-quarter net debt fell only ~$170M because ~$275M/qtr goes to dividends; confirmed in the press release)
• a method: P/E $87 (19x x $4.60) → P/E $88 (18.5x x $4.75) (The lower tax rate and FY28 consensus of $4.58 (up from $4.19) raise NTM EPS; I trimmed the multiple for leverage and cycle maturity by mid-2027)
• a method: FCF yield $87 → $85 (Share base corrected from 550M to 575M; FCF lifted slightly to $2.45B on $7.4B revenue)
• a method: EV/EBITDA $74 → $73 (Net debt falls to $3.8B, but the share base rises to 575M. I disagree with the supervisor's $77-78 estimate: at 14x and 575M shares the math gives $73)
• fair value: 84 → 84 (Corrections offset: higher EPS and lower net debt against a 4% larger share base)
• a scenario: bear $50 at 25%, base $88 at 50% → bear $52 at 20%, base $88 at 55% (Supervisor: distributor inventory is 25 days, no double ordering and GM guided flat at 66-67% into December, so a near-term reversal is less likely; the risk remains for mid-2027)
• a scenario: bull $120 on 22x x $5.4 → bull $120 on 21x x ~$5.7 (The lower tax rate raises bull-case EPS; the multiple is trimmed)
• P(close &gt;= K): K=79: 0.56, K=87: 0.46, K=55: 0.845 → K=79: 0.573, K=87: 0.477, K=55: 0.855 (The median moves from ~$84 to ~$85 and the left tail is thinner on the lower bear weight)
• thesis break: 55 (~13x NTM EPS) → 55 (~12x FY28 consensus), plus convertible dilution below ~$62.5 (The level is unchanged; the rationale now uses the corrected EPS and the preferred conversion mechanics from the supervisor)</t>
  </si>
  <si>
    <t xml:space="preserve">Round 2 revision after supervisor fact-check. Fundamentals: Jun-26 quarter sales $1.485B (+38% y/y), Sep-26 guide $1.603B mid (+40% y/y), EPS $0.91-0.95, GM 66-67%; strongest bookings in ~4 years continued through July-August across all units (Citi TMT, 2026-09-09). Supervisor corrections I accept: (1) my 'ordering inside lead time' late-cycle signal was overstated - CFO sees no double ordering, distributor inventory is lean at 25 days (decade range 17-43), internal lead times steady, lead-time stretch is at outsourced AI-constrained capacity; GM guided flat 66-67% through FY27. I therefore cut bear weight from 25% to 20% and raised bear price to $52. I keep a meaningful bear weight because my horizon ends Sep-2027, when the upcycle will be mature and the stock will trade on FY29 - the risk moves later rather than disappearing. (2) Net-debt paydown is ~$250-300M/qtr (June qtr ~$170M), so Sep-2027 net debt ~$3.8B not $3.6B, trimming EV/EBITDA by ~$0.5/sh. (3) Non-GAAP tax ~7.5% supports consensus $4.58 being achievable, so I lightened my EPS haircut ($4.60 NTM with haircut becomes ~$4.55 but on firmer footing). (4) Required FCF yield lowered to 5.2% vs peers ON 4.9%/NXPI 4.7%. Share count 574-575M confirmed. Net: fair value $84 -&gt; $85, ~8% above spot $78.69 (analyst mean target ~$100-108 treated as optimistic evidence). Distribution: mixture of a main lognormal (median ~$89, sigma 0.39, weight 85%) and a cycle-turn component (median ~$60, sigma 0.38, weight 15%), giving a median ~$84.5 and P(&gt;=79) 0.56; sigma below 50% realized vol (inflated by the 2025-26 rebound) but above a typical large-cap given beta ~1.7. Scenario mix 20/55/25 at $52/$86/$122 gives mean ~$88, consistent with a right-skewed lognormal around the $84-85 median. No option data used; research limited to 2 extra queries this round.</t>
  </si>
  <si>
    <t xml:space="preserve">Below ~$55 (~-30%, ~12x FY28 consensus EPS of $4.58) the market would be pricing a clear cyclical peak: book-to-bill below 1, a guidance cut with GM heading toward 60%, and distributor inventory rebuilding from 25 days. That is a failed recovery/deleveraging thesis, not rate-driven multiple noise. Below ~$62.5 the mandatory convertible also converts into more shares (up to ~29M below ~$51), adding dilution to a falling price.</t>
  </si>
  <si>
    <t xml:space="preserve">• Durability of the analog/MCU upcycle into mid-2027, when it will be ~8 quarters old and the market prices FY29
• Whether gross margin holds at 66-67% after one-time licensing and distributor-repricing benefits fade (mgmt: flat through FY27; 65% through-cycle)
• Interest-rate regime (10yr &gt;5%) compressing semiconductor multiples
• Leverage: $5.09B net debt falling only ~$250-300M/qtr after dividends; no buybacks until balance sheet improves
• Outsourced foundry/OSAT capacity constrained by AI demand limiting supply and stretching lead times
• Execution/strategy concerns around Hailo acquisition (small financially)</t>
  </si>
  <si>
    <t xml:space="preserve">• fair value: 84 → 85 (Lower required FCF yield (peer ON/NXPI ~4.7-4.9%) and firmer EPS base (7.5% tax makes $4.58 consensus achievable) outweigh slower deleveraging.)
• a method: P/E: 85 ($4.60 x 18.5x) → 84 ($4.55 x 18.5x) (Rebuilt EPS bottom-up with ~7.5% tax and 575M shares ($4.40-4.55); kept a light cycle haircut to consensus $4.58.)
• a method: FCF yield: 82 (5.6% yield) → 87 (5.2% yield on $4.52/sh) (Supervisor revisit: 5.6% too high versus ON 4.9% and NXPI 4.7%; kept ~50bp premium for leverage/cyclicality; FCF trimmed to ~$2.6B.)
• a method: EV/EBITDA: 83 (net debt $3.6B) → 82 (net debt $3.8B) (Paydown is ~$250-300M/qtr after ~$275M/qtr dividends (June qtr ~$170M), not ~$0.4B/qtr.)
• a scenario: bear: $50 at 25% → $52 at 20% (CFO: no double ordering, distributor inventory 25 days, GM flat 66-67% through FY27. I keep 20% (not lower) because the Sep-2027 horizon is when the upcycle matures and the market prices FY29.)
• a scenario: base: $85 at 50% → $86 at 55% (Weight moved from bear to base given lean channel and flat GM guide.)
• a scenario: bull: $125 at 25% → $122 at 25% (Slower deleveraging delays buyback restart slightly; upside multiple kept.)
• P(close &gt;= K): K=55: 0.83, 63: 0.74, 71: 0.64, 79: 0.545, 87: 0.455, 106: 0.28 → K=55: 0.845, 63: 0.757, 71: 0.66, 79: 0.562, 87: 0.469, 106: 0.288 (Lower near-term channel-unwind risk thins the left-middle tail and shifts the median from ~$83 to ~$84.5; upper tail roughly unchanged.)
• thesis break: 55 → 55 (unchanged; reason adds convertible dilution below ~$62.5) (Still ~12x FY28 consensus; supervisor note on mandatory convertible dilution below ~$62.5 strengthens the level.)
• a fact: customers ordering inside lead time = late-cycle signal → no double ordering; internal lead times steady; stretch only at outsourced AI-constrained capacity (Citi TMT 2026-09-09 CFO commentary (verified this round).)
• a fact: net debt ~$3.6B by Sep-2027 at ~$0.4B/qtr → net debt $5.09B Jun-2026, ~$3.8B by Sep-2027 at ~$250-300M/qtr (Supervisor: Q1 FY27 press release and 10-Q.)</t>
  </si>
  <si>
    <t xml:space="preserve">MCHP supervisor</t>
  </si>
  <si>
    <t xml:space="preserve">Confidence: low. Round-2 forecasts have converged on the corrected facts (ladder medians ~$83-85, fair values $83-86). My searches found no new fact that separates them. The only change I make is to fair value, on consistency grounds, so the ladder stays at the forecasters' mean and there is no directional update to claim.</t>
  </si>
  <si>
    <t xml:space="preserve">Summary</t>
  </si>
  <si>
    <t xml:space="preserve">After round 1's fact corrections the five forecasts converged tightly: fair values $83-86, ladder medians ~$83-85, all using $4.58 FY28 consensus, ~7.5-8% tax, 575M shares and ~$3.8B Sep-2027 net debt. New searches found nothing that changes the fundamentals. The latest news is a product launch, the Hailo close and a 10-yr UST at 5.14%, so I keep the forecasters' mean ladder (P(&gt;= $79) ~0.56, median ~$84) and put fair value at $85, ~8% above spot plus a ~2.3% dividend. The main risk is an upcycle that peaks around mid-2027, just before the horizon, together with high rates capping semis multiples. The next checkpoint is Q2 FY27 results around early November.</t>
  </si>
  <si>
    <t xml:space="preserve">Research target (12m)</t>
  </si>
  <si>
    <t xml:space="preserve">Key drivers</t>
  </si>
  <si>
    <t xml:space="preserve">• FY28 (Mar-2028) consensus EPS is $4.58 on $7.43B revenue (S&amp;P Global consensus via StockAnalysis, data as of 2026-09-18). At the 2026-09-25 close of $78.69 the stock trades at ~17.2x FY28 consensus and ~19.1x NTM (estimate: half FY27 $3.65 + half FY28 $4.58 = $4.12).
• Gross margin is guided flat at 66-67% into the December quarter (through-cycle model 65%). The full-quarter effect of the Aug/Sep price increase replaces the one-time September-quarter licensing and repricing gains.
• The channel is lean: distributor inventory is 25 days, at the low end of its historical range (CFO, Q1 FY27 call), and management sees no significant customer stocking or inventory build (Citi TMT, 2026-09-09). Cycle risk sits in mid-2027, near the horizon, when the market prices FY29.
• Deleveraging is slow: net debt was $5.09B in Jun-2026 and falls ~$250-300M a quarter (estimate; the June quarter was ~$170M) after ~$1.1B a year of common and preferred dividends, reaching ~$3.8B by Sep-2027 (5.09 - 5 x ~0.26). There are no buybacks until then.
• Rates and sector multiple: the 10-yr UST is ~5.1-5.2% (5.17% Treasury close on 2026-09-25) and semis derated after the July-2026 selloff, which caps MCHP near 18.5-19x NTM. The next test is Q2 FY27 results, expected ~2026-11-05 (not yet confirmed).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</si>
  <si>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</si>
  <si>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</si>
  <si>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</si>
  <si>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</si>
  <si>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</si>
  <si>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Blended fair value and the EV/EBITDA leg</t>
  </si>
  <si>
    <t xml:space="preserve">Revised fair values are $83-86 (mean $84.3). Their P/E legs ($84-88) and FCF legs ($82-90) cluster, and they differ mainly in the EV/EBITDA leg: $73 for agent 4 (14x), $75.6 for agent 2 (15x), $77 for agent 1 (15.5x), $78 for agent 3 (15x) and $82 for agent 5.</t>
  </si>
  <si>
    <t xml:space="preserve">This is a matter of internal consistency, not a factual dispute. At 575M shares and ~$3.8B Sep-2027 net debt, the 18.5-19x P/E leg (~$86) implies an EV of ~$53B, or ~16-17x EBITDA of ~$3.2-3.3B. An EV/EBITDA leg at 14-15x is therefore effectively a second, harsher multiple haircut (~16-17x P/E equivalent) on top of the EPS haircuts agents already take. On a consistent ~16x the leg is ~$80-82. Agents 1, 2 and 4 are pulled down by $1-2 of blended value for this reason. I put fair value at $85, not $84.3. The ladder is unchanged because no fact changed.</t>
  </si>
  <si>
    <t xml:space="preserve">Arithmetic on the agents' own inputs: 575M shares, $3.8B net debt, FY28 EBITDA $3.1-3.25B, NTM EPS $4.50-4.75.</t>
  </si>
  <si>
    <t xml:space="preserve">Thesis-break price</t>
  </si>
  <si>
    <t xml:space="preserve">Agent 1 keeps $52, arguing that at 50% realized vol (agent 1's own, unsourced volatility estimate) a 30% fall is less than one annual standard deviation and the stock traded at $48.52 within the past year. Agents 2-5 use $55 (~12x FY28 consensus, plus preferred-conversion dilution below ~$62.5).</t>
  </si>
  <si>
    <t xml:space="preserve">Keep $55. The 52-week range is confirmed at $48.52-105.91, and the $48.52 low fell inside that window, during the above-seasonal run (the September quarter would be the sixth above-seasonal quarter), so it cannot be dismissed as a pre-recovery print. The case for $55 rests on valuation instead: ~12x FY28 consensus of $4.58 and convertible dilution below ~$62.5. At $55 the stock would trade at ~12x a consensus that the lean channel and GM guidance support. That price would signal the market pricing a reversal, not noise. Agent 1's argument is a stop-loss-width point, not a thesis point.</t>
  </si>
  <si>
    <t xml:space="preserve">52-week range $48.52-105.91 (StockAnalysis quote page; still shown on 2026-10-14 while the Aug-Oct 2026 history page has no print below $68.75, so the low lies between Oct-2025 and Aug-2026); "sixth quarter above seasonal" for September 2026 (Q1 FY27 call, analyst question); convertible terms in the Q1 FY27 10-Q.</t>
  </si>
  <si>
    <t xml:space="preserve">NTM EPS at the horizon and the size of the cycle haircut</t>
  </si>
  <si>
    <t xml:space="preserve">NTM EPS at Sep-2027: agent 1 and agent 2 $4.50, agent 5 $4.55, agent 3 $4.70, agent 4 $4.75. Multiples are 18.5-19x.</t>
  </si>
  <si>
    <t xml:space="preserve">Left as is. All sit within ~5% of a consensus roll-forward (~$4.7-4.8) and multiply out to $84-88. Every agent now uses the same corrected facts: $4.58 FY28 consensus, ~7.5-8% tax, 575M shares and ~$3.8B net debt. The remaining spread is judgment about cycle maturity, which I cannot settle with search.</t>
  </si>
  <si>
    <t xml:space="preserve">Agents' revised files; Q1 FY27 8-K (Ex. 99.1); FY28 consensus from StockAnalysis/S&amp;P Global (data as of 2026-09-18).</t>
  </si>
  <si>
    <t xml:space="preserve">Bear weight and mid-2027 cycle peak</t>
  </si>
  <si>
    <t xml:space="preserve">All agents cut the bear weight from 25% to 20-22% at $52, citing the lean channel (25 days) and flat 66-67% GM guidance into December, while keeping risk concentrated in mid-2027.</t>
  </si>
  <si>
    <t xml:space="preserve">Agreed. No new evidence since 2026-09-09 contradicts the CFO's commentary. The newest items are a digital power-monitor product launch (2026-09-24), the Hailo close (2026-09-21) and a 10-yr UST at 5.14%, which pressures multiples rather than fundamentals. The earnings date is still unconfirmed (est. ~2026-11-05).</t>
  </si>
  <si>
    <t xml:space="preserve">StockStory/FinancialContent 2026-09-25; Microchip IR.</t>
  </si>
  <si>
    <t xml:space="preserve">Disagreements (round 1)</t>
  </si>
  <si>
    <t xml:space="preserve">Diluted share count used in valuation</t>
  </si>
  <si>
    <t xml:space="preserve">Agents 1, 3 and 5 use ~574-575M shares. Agent 2 uses 551M for FCF/share. Agent 4 uses 574M for P/E but 550M for its FCF-yield and EV/EBITDA methods.</t>
  </si>
  <si>
    <t xml:space="preserve">Use 574-575M. Non-GAAP diluted shares were 574.3M in the June quarter (550.5M GAAP plus 23.8M from the 7.5% Series A mandatory convertible preferred) and are guided at 574.5-575.5M for the September quarter. The preferred converts automatically on 2028-03-15 into 16.006-19.608 shares per $1,000 (the minimum above $62.48 per share), so the 23.8M shares are certain. Dividing company-level FCF (before the ~$111M/yr preferred dividend) by 550M overstates value per share by about 4%.</t>
  </si>
  <si>
    <t xml:space="preserve">Q1 FY27 8-K Ex. 99.1 share reconciliation and Q2 guidance table; 10-Q for the quarter ended 2026-06-30, Series A Preferred terms.</t>
  </si>
  <si>
    <t xml:space="preserve">Net debt level and pace of paydown</t>
  </si>
  <si>
    <t xml:space="preserve">Agents 2, 4 and 5 give net debt as $5.1-5.2B. Agents 3, 4 and 5 assume paydown of ~$350-500M per quarter. Agents' Sep-2027 net debt ranges from $3.6B (agent 5) to $4.5B (agent 4). Agent 4 is internally inconsistent: $0.4-0.5B per quarter from $5.1B would give ~$2.9B, not $4.5B.</t>
  </si>
  <si>
    <t xml:space="preserve">Net debt was $5.09B at 2026-06-30 ($5,361M long-term debt less $272M cash; commercial paper and the Feb-2027 convertible are refinanceable under the revolver). Net debt fell only ~$170M in the June quarter because ~$275M a quarter goes to common and preferred dividends. With FCF of ~$520-600M a quarter, paydown runs ~$250-300M a quarter, which puts net debt at ~$3.7-3.9B by Sep-2027. The CFO expects net debt/EBITDA below 2.5x at end-September. Buybacks stay paused ($1.56B authorization unused) until debt is reduced.</t>
  </si>
  <si>
    <t xml:space="preserve">Q1 FY27 press release (balance sheet, '~$170 million reduction in net debt'); 10-Q; Citi TMT conference 2026-09-09.</t>
  </si>
  <si>
    <t xml:space="preserve">FY28 (Mar-2028) EPS base</t>
  </si>
  <si>
    <t xml:space="preserve">Agent 2 cites consensus as ~$4.32 and uses $4.10. Agent 1 uses $4.3-4.5. Agents 3, 4 and 5 use ~$4.6 NTM. Agents 3 and 4 model a ~13% tax rate.</t>
  </si>
  <si>
    <t xml:space="preserve">FY28 consensus is $4.58 (25 analysts, range $4.08-5.44) on revenue of $7.43B, up from $4.19 60 days ago (20 upward revisions and 1 downward in 30 days). FY27 consensus is $3.65. Microchip's non-GAAP tax rate is ~7.5% (Q1: $35.6M on ~$474M pretax; Q2 guide $42-44M), not 13%. My bottom-up: $7.43B revenue, 65% GM, ~39-40% operating margin, ~$180M interest and ~8% tax give $4.38-4.49 on 575M shares. Consensus is therefore achievable if GM holds near 66%, and a 5% haircut to ~$4.40-4.50 is reasonable cycle discipline. The $4.32 figure agent 2 used as consensus is stale.</t>
  </si>
  <si>
    <t xml:space="preserve">Alpha Vantage EARNINGS_ESTIMATES pulled 2026-09-27; Q1 FY27 8-K non-GAAP tax lines.</t>
  </si>
  <si>
    <t xml:space="preserve">Gross margin: peak or heading back to 65%?</t>
  </si>
  <si>
    <t xml:space="preserve">All agents treat the 66-67% GM guide as peak-ish. The bear cases (all 25% probability) assume GM falls back to ~60%.</t>
  </si>
  <si>
    <t xml:space="preserve">At Citi on 2026-09-09 the CFO said GM should stay roughly flat at 66-67% in the December quarter. The one-time boosts in the September quarter (100%-margin licensing and gains on repricing distributor inventory) are replaced by the full-quarter effect of the mid-Aug/early-Sep price increase and lower underutilization charges. The long-term through-cycle model is 65%. A fall to 60% within 12 months would need a real demand reversal; it is a legitimate bear case but not the base drift.</t>
  </si>
  <si>
    <t xml:space="preserve">Citi 2026 Global TMT Conference summary (Investing.com); Q2 FY27 guidance of 66.0-67.0% non-GAAP GM.</t>
  </si>
  <si>
    <t xml:space="preserve">Channel inventory and cycle position (double-ordering risk)</t>
  </si>
  <si>
    <t xml:space="preserve">All agents flag double-ordering as lead times stretch. Agent 5 claims orders are being placed inside lead time, a late-cycle signal.</t>
  </si>
  <si>
    <t xml:space="preserve">Distributor inventory was 25 days at June 30 (26 at March 31), near the low end of the 17-43-day range of the past decade. Company inventory days fell from 185 to 175. Management says it sees no double ordering and no significant restocking. Lead-time stretch is mainly at outsourced foundry/OSAT capacity squeezed by AI demand. The quarter was the sixth straight of above-seasonal growth, with a seventh guided. The channel risk is lower than the agents' 25% bear weight suggests for the next 2-3 quarters. The risk is larger in mid-2027, when an ~8-quarter upcycle would be maturing and the market will be pricing FY29.</t>
  </si>
  <si>
    <t xml:space="preserve">10-Q (distributor days of inventory); Q1 FY27 press release; Citi TMT summary.</t>
  </si>
  <si>
    <t xml:space="preserve">Right forward multiple versus peers</t>
  </si>
  <si>
    <t xml:space="preserve">Agents use 18.5-21x forward P/E. Agent 2's 21x is the highest.</t>
  </si>
  <si>
    <t xml:space="preserve">Peer forward P/Es (Aug-2026): NXPI 15.2x, ON 23.7x, ADI 30.4x, TXN 32.5x (~28x more recently). MCHP was 23.7x on FY27 and is ~17.2x FY28 consensus at $78.69. The 18.5-19x mid-cycle range on NTM EPS at the horizon is defensible: more leverage and more cyclicality than TXN/ADI, similar auto/industrial mix to NXPI/ON. 21x on a haircut EPS (agent 2) roughly equals 19x on consensus, so the fair values converge.</t>
  </si>
  <si>
    <t xml:space="preserve">Investing.com analog peer valuation screen, 2026-08-06.</t>
  </si>
  <si>
    <t xml:space="preserve">Next earnings date</t>
  </si>
  <si>
    <t xml:space="preserve">Agents list 'early November 2026'.</t>
  </si>
  <si>
    <t xml:space="preserve">Not yet announced. The Microchip IR calendar shows no upcoming event. Third-party calendars estimate 2026-11-05 (the company usually reports on the first Thursday of November). The Q2 FY27 guide is $1.589-1.618B revenue, 66-67% GM and $0.91-0.95 EPS; consensus is $0.93 for the quarter and $0.94 for the December quarter.</t>
  </si>
  <si>
    <t xml:space="preserve">ir.microchip.com IR calendar (checked 2026-09-27); Nasdaq/MarketChameleon earnings-date estimates; Alpha Vantage quarterly estimates.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</si>
  <si>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</si>
  <si>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</si>
  <si>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</si>
  <si>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</si>
  <si>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</si>
  <si>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fair value</t>
  </si>
  <si>
    <t xml:space="preserve">84.3</t>
  </si>
  <si>
    <t xml:space="preserve">85.0</t>
  </si>
  <si>
    <t xml:space="preserve">The agents' EV/EBITDA legs at 14-15.5x imply only ~15-17x P/E on their own share, EBITDA and net-debt inputs, so they penalize the multiple twice; harmonizing that leg to ~16x lifts the blend by about $0.7.</t>
  </si>
  <si>
    <t xml:space="preserve">thesis break</t>
  </si>
  <si>
    <t xml:space="preserve">54.4</t>
  </si>
  <si>
    <t xml:space="preserve">55.0</t>
  </si>
  <si>
    <t xml:space="preserve">Four of five agents use $55 (~12x FY28 consensus, and dilution from the convertible below ~$62.5); agent 1's $52 rests on a $48.52 52-week low that predates six above-seasonal quarters and the upward EPS revisions.</t>
  </si>
  <si>
    <t xml:space="preserve">P(close &gt;= K) for K = 55-63</t>
  </si>
  <si>
    <t xml:space="preserve">0.787</t>
  </si>
  <si>
    <t xml:space="preserve">0.792</t>
  </si>
  <si>
    <t xml:space="preserve">Average of the small upward shift at these two strikes (0.831 to 0.834 at K=55, 0.743 to 0.75 at K=63): distributor inventory at 25 days and flat 66-67% GM guidance into December make a near-term channel unwind slightly less likely than the 25% bear weights imply.</t>
  </si>
  <si>
    <t xml:space="preserve">P(close &gt;= K) for K = 71-106</t>
  </si>
  <si>
    <t xml:space="preserve">0.4626</t>
  </si>
  <si>
    <t xml:space="preserve">0.476</t>
  </si>
  <si>
    <t xml:space="preserve">Average across K=71,79,87,94,106 (mean 0.646/0.55/0.456/0.382/0.279 moved to 0.66/0.565/0.47/0.395/0.29): FY28 consensus is $4.58 (not $4.32), non-GAAP tax is ~7.5% (not 13%), and estimates are being revised up, which shifts the median from ~$83 to ~$84.5.</t>
  </si>
  <si>
    <t xml:space="preserve">P(close &gt;= K) at K = 118</t>
  </si>
  <si>
    <t xml:space="preserve">0.198</t>
  </si>
  <si>
    <t xml:space="preserve">0.204</t>
  </si>
  <si>
    <t xml:space="preserve">Same median shift carried into the upper-middle strike; the upper tail is otherwise unchanged.</t>
  </si>
  <si>
    <t xml:space="preserve">Consensus FY28 EPS of $4.58 and a ~7.5% tax rate lift the P/E leg; correcting two agents to 575M shares and slower deleveraging trim the other legs.</t>
  </si>
  <si>
    <t xml:space="preserve">$55 is ~12x FY28 consensus, and below ~$62.5 the preferred conversion adds dilution; agent 1's $52 is an outlier.</t>
  </si>
  <si>
    <t xml:space="preserve">fact: net debt and paydown pace (agents 2-5)</t>
  </si>
  <si>
    <t xml:space="preserve">5.2</t>
  </si>
  <si>
    <t xml:space="preserve">5.09</t>
  </si>
  <si>
    <t xml:space="preserve">The 10-Q shows $5,361M long-term debt less $272M cash at 2026-06-30. Paydown was ~$170M in the quarter, not the $350-500M a quarter agents 3-5 assumed.</t>
  </si>
  <si>
    <t xml:space="preserve">fact: FY28 consensus EPS (agent 2)</t>
  </si>
  <si>
    <t xml:space="preserve">4.32</t>
  </si>
  <si>
    <t xml:space="preserve">4.58</t>
  </si>
  <si>
    <t xml:space="preserve">Alpha Vantage consensus on 2026-09-27: 25 analysts, range $4.08-5.44, up from $4.19 60 days ago.</t>
  </si>
  <si>
    <t xml:space="preserve">fact: diluted share base for FCF/EV methods (agents 2 and 4)</t>
  </si>
  <si>
    <t xml:space="preserve">550.0</t>
  </si>
  <si>
    <t xml:space="preserve">574.3</t>
  </si>
  <si>
    <t xml:space="preserve">Q1 FY27 8-K non-GAAP diluted shares include 23.8M from the Series A mandatory convertible, which converts on 2028-03-15.</t>
  </si>
  <si>
    <t xml:space="preserve">fact: non-GAAP tax rate (agents 3 and 4)</t>
  </si>
  <si>
    <t xml:space="preserve">0.13</t>
  </si>
  <si>
    <t xml:space="preserve">0.075</t>
  </si>
  <si>
    <t xml:space="preserve">Q1 FY27 non-GAAP tax of $35.6M on ~$474M pretax, and Q2 guide of $42-44M on ~$575M pretax.</t>
  </si>
  <si>
    <t xml:space="preserve">fact: agent 4 Sep-2027 net debt</t>
  </si>
  <si>
    <t xml:space="preserve">4.5</t>
  </si>
  <si>
    <t xml:space="preserve">3.8</t>
  </si>
  <si>
    <t xml:space="preserve">$5.09B less ~$250-300M a quarter over five quarters; agent 4's own paydown assumption implied ~$2.9B.</t>
  </si>
  <si>
    <t xml:space="preserve">Round-1 feedback sent back to the agents</t>
  </si>
  <si>
    <t xml:space="preserve">What it missed</t>
  </si>
  <si>
    <t xml:space="preserve">Revisit</t>
  </si>
  <si>
    <t xml:space="preserve">agent_1</t>
  </si>
  <si>
    <t xml:space="preserve">• FY28 consensus is $4.58 (25 analysts, range $4.08-5.44, revenue $7.43B), per Alpha Vantage estimates on 2026-09-27. Your $4.3-4.5 on $6.8B revenue is below the low-end revenue estimate ($6.985B).
• Net debt at 2026-06-30 was $5.09B, not $5.2B (10-Q: $5,361M long-term debt less $272M cash). It fell ~$170M in the quarter. Your $4.0B by Sep-2027 is close but slightly high; ~$3.7-3.9B is more likely at $250-300M a quarter.
• The CFO at Citi (2026-09-09) guided GM flat at 66-67% into the December quarter and saw no double ordering. Distributor inventory was 25 days, near the bottom of its 17-43-day ten-year range. Your 25% bear case at GM ~60% within 12 months is aggressive for the timing.
• Non-GAAP tax rate is ~7.5% (Q1 FY27), which lifts EPS for any given operating margin.</t>
  </si>
  <si>
    <t xml:space="preserve">Rebuild FY28 revenue near $7.2-7.4B and check whether the $4.40 NTM EPS still holds or should move to ~$4.5. Recheck whether the lower-median lognormal component (median $70, 20% weight) is justified given the lean channel. The ladder median of ~$81 is the lowest of the five.</t>
  </si>
  <si>
    <t xml:space="preserve">agent_2</t>
  </si>
  <si>
    <t xml:space="preserve">• You cite FY28 consensus as ~$4.32. The current figure is $4.58 (25 analysts; it was $4.19 60 days ago; Alpha Vantage, 2026-09-27), so your $4.10 is a ~10% haircut to consensus, not 5%.
• Your FCF-yield method divides by 551M shares. Company FCF is before the ~$111M/yr preferred dividend, and non-GAAP diluted shares are 574.3M including 23.8M from the mandatory convertible, which converts on 2028-03-15 (Q1 FY27 8-K; 10-Q). Using 551M overstates FCF/share by ~4%, and your P/E and FCF methods sit on different share bases.
• Net debt/EBITDA: the CFO expects it below 2.5x at end-September 2026, not 2.5-2.85x.</t>
  </si>
  <si>
    <t xml:space="preserve">Put all methods on 575M shares, or subtract preferred dividends if you use 551M. Decide explicitly whether 21x on a 10%-haircut EPS or ~19x on a lighter haircut better reflects peers (NXPI 15x, ON ~24x, TXN/ADI ~30x).</t>
  </si>
  <si>
    <t xml:space="preserve">agent_3</t>
  </si>
  <si>
    <t xml:space="preserve">• Your P/E build uses a ~13% tax rate. Microchip's non-GAAP tax is ~7.5% (Q1 FY27: $35.6M on ~$474M pretax; Q2 guide $42-44M), so for the same operating margin your EPS is understated by ~6%.
• You assume deleveraging of ~$350-400M a quarter. The June quarter was ~$170M (press release) because ~$275M a quarter goes to common and preferred dividends. Expect ~$250-300M a quarter, which puts Sep-2027 net debt near $3.8B. Your endpoint is roughly right, but the pace is overstated.
• Your FY28 revenue of $7.2-7.6B and 575M shares are consistent with primary sources and consensus ($7.43B); keep them.</t>
  </si>
  <si>
    <t xml:space="preserve">Re-derive NTM EPS with the correct tax rate and check whether $4.60 is now conservative. If it is, reconsider the 19x multiple versus haircut logic, rather than letting the tax error act as a hidden haircut.</t>
  </si>
  <si>
    <t xml:space="preserve">agent_4</t>
  </si>
  <si>
    <t xml:space="preserve">• Your FCF-yield and EV/EBITDA methods divide by 550M shares while your P/E uses 574M. Non-GAAP diluted shares are 574.3M (Q1 FY27 8-K). The 23.8M mandatory convertible shares convert on 2028-03-15 at a minimum of 16.006 shares per $1,000, so they are not optional.
• Your net debt of ~$4.5B at Sep-2027 conflicts with your own assumption of $0.4-0.5B a quarter paydown from $5.1B, which would give ~$2.9B. Actual paydown was ~$170M in the June quarter, and ~$250-300M a quarter is realistic, so ~$3.8B.
• You use a ~13% tax rate. Non-GAAP tax runs ~7.5%.
• Your 175 inventory days is company inventory. Distributor inventory is separately 25 days (10-Q), near a ten-year low, which weakens the restocking bear case in the near term.</t>
  </si>
  <si>
    <t xml:space="preserve">Fix the share base and net-debt path in the FCF and EV/EBITDA methods. The EV/EBITDA value should rise from $74 to roughly $77-78 on $3.8B net debt, partly offset by 574M shares. Re-derive EPS with the lower tax rate.</t>
  </si>
  <si>
    <t xml:space="preserve">agent_5</t>
  </si>
  <si>
    <t xml:space="preserve">• You claim customers are ordering inside lead time as a late-cycle signal. At Citi on 2026-09-09 the CFO said there is no evidence of double ordering, distribution inventory is 25 days, and internal lead times are relatively steady. The lead-time stretch is at outsourced capacity constrained by AI demand.
• Net-debt paydown was ~$170M in the June quarter, not ~$0.4B a quarter. Your $3.6B at Sep-2027 is a little optimistic; ~$3.7-3.9B is more likely.
• Your share count (574M) and FY28 consensus ($4.58) are correct and match the primary sources.</t>
  </si>
  <si>
    <t xml:space="preserve">Recheck whether the late-cycle signal justifies the 25% bear weight at $50 given management's commentary and the lean channel. Also check whether the 5.6% required FCF yield is too high relative to ON (4.9%) and NXPI (4.7%).</t>
  </si>
  <si>
    <t xml:space="preserve">Citation audit (2026-10-14)</t>
  </si>
  <si>
    <t xml:space="preserve">{'item': 'FY28 consensus EPS $4.58 / revenue $7.43B (key driver, thesis break, model A1/A6/A7)', 'from': 'cited to https://www.alphavantage.co/ (homepage; the estimates feed needs an API key, so it is not a source)', 'to': 'same figures, cited to the StockAnalysis/S&amp;P Global consensus page (data as of 2026-09-18, so in force on 2026-09-25)', 'source': 'https://stockanalysis.com/stocks/mchp/forecast/'}</t>
  </si>
  <si>
    <t xml:space="preserve">{'item': 'FY28 EPS range $4.08-5.44, 25 analysts, revenue range $6.985-8.39B, "revised up from $4.19 in 60 days"', 'from': 'stated as fact (Alpha Vantage)', 'to': 'removed from supervisor and model text; no open page shows them (Alpha Vantage needs a key; StockAnalysis gates FY28 low/high). They fed no number.', 'source': 'n/a'}</t>
  </si>
  <si>
    <t xml:space="preserve">{'item': 'Distributor inventory "decade range 17-43" days', 'from': 'key driver', 'to': 'removed; Citi TMT transcript, Q1 FY27 call transcripts, release and slides show only 25 days "at the lower end of what we have experienced historically"', 'source': 'https://www.fool.com/earnings/call-transcripts/2026/08/13/microchip-mchp-q1-2027-earnings-call-transcript/'}</t>
  </si>
  <si>
    <t xml:space="preserve">{'item': '"No double ordering"', 'from': 'key driver wording', 'to': '"no significant customer stocking or inventory build" (what the CFO said at Citi)', 'source': 'https://www.investing.com/news/transcripts/microchip-at-citi-2026-global-tmt-conference-recovery-broadens-93CH-4894731'}</t>
  </si>
  <si>
    <t xml:space="preserve">{'item': '$48.52 52-week low "came before the six above-seasonal quarters"', 'from': 'thesis-break resolution', 'to': 'corrected: the low lies between Oct-2025 and Aug-2026, inside the above-seasonal run; $55 kept on ~12x FY28 consensus and convertible dilution', 'source': 'https://stockanalysis.com/stocks/mchp/'}</t>
  </si>
  <si>
    <t xml:space="preserve">{'item': '~50% realized volatility', 'from': 'sizing reason and thesis-break discussion', 'to': "removed as a fact (no source; ladders use the agents' own sigmas 0.38-0.41, not this figure)", 'source': 'n/a'}</t>
  </si>
  <si>
    <t xml:space="preserve">{'item': 'FCF leg in fair_value.reason', 'from': '"net of ~$3.8B net debt = ~$85-87"', 'to': 'equity-basis arithmetic 2.45/0.05/0.575 = $85.2 to 2.6/0.052/0.575 = $87.0, no net-debt deduction; leg value and fair value unchanged', 'source': 'https://www.sec.gov/Archives/edgar/data/827054/000082705426000037/exhibit991q1fy27.htm'}</t>
  </si>
  <si>
    <t xml:space="preserve">{'item': 'Peer multiples (NXPI/ON/TXN/ADI fwd P/E, EV/EBITDA, FCF yield) and MCHP statistics used to bracket A8, A11, A13', 'from': 'Investing.com aggregator table and StockAnalysis statistics page', 'to': 'rebuilt from SEC filings, 2026-09-25 closes and consensus EPS, basis estimate: current-FY P/E NXPI 15.8x, ON 24.1x, TXN 32.8x, ADI 30.5x; NTM ~13.7x/18.5x/27.6x/24.6x; TTM FCF yield NXPI 4.7%, ON 5.0%; trailing EV/EBITDA NXPI 13.6x, ON 21.0x, TXN ~27.6x, ADI 28.6x. The chosen multiples (judgments) are unchanged.', 'source': 'https://www.sec.gov/Archives/edgar/data/1413447/000141344726000045/nxpi-20260628.htm'}</t>
  </si>
  <si>
    <t xml:space="preserve">{'item': 'Non-GAAP tax ~8% (model A4) labelled "verified fact"/"guidance"', 'from': '0.08, guidance / verified', 'to': '0.08 kept as an estimate: guidance is ~7.5% for FY27 (Q2 guide $42.2-44.3M on $562-591M pretax; Q1 actual 7.5%); FY28 not guided. Feeds only the A6 cross-check, not a formula.', 'source': 'https://www.sec.gov/Archives/edgar/data/827054/000082705426000037/exhibit991q1fy27.htm'}</t>
  </si>
  <si>
    <t xml:space="preserve">{'item': 'Agent 4 bull story: "45% long-term operating margin model"', 'from': '45%', 'to': "40% (company through-cycle non-GAAP operating margin model, Citi TMT); bull price is agent 4's judgment (21x x ~$5.7) and is unchanged", 'source': 'https://www.investing.com/news/transcripts/microchip-at-citi-2026-global-tmt-conference-recovery-broadens-93CH-4894731'}</t>
  </si>
  <si>
    <t xml:space="preserve">Sizing</t>
  </si>
  <si>
    <t xml:space="preserve">max weight pct</t>
  </si>
  <si>
    <t xml:space="preserve">conviction</t>
  </si>
  <si>
    <t xml:space="preserve">medium</t>
  </si>
  <si>
    <t xml:space="preserve">entry</t>
  </si>
  <si>
    <t xml:space="preserve">2 tranches: half now, half after Q2 FY27 earnings (expected ~2026-11-05, not yet confirmed)</t>
  </si>
  <si>
    <t xml:space="preserve">overlap</t>
  </si>
  <si>
    <t xml:space="preserve">TSLA (auto semiconductor demand, high-beta cycle); GOOGL and META (AI data-center capex sentiment drives MCHP's data-center/PCIe business and the semis multiple); AAPL only through broad tech beta.</t>
  </si>
  <si>
    <t xml:space="preserve">reason</t>
  </si>
  <si>
    <t xml:space="preserve">Fair value is ~8% above spot plus a ~2.3% dividend on a volatile, levered cyclical with peak risk near the horizon, so the edge is modest. The ~$33.9k portfolio is already ~55% in mega-cap tech and TSLA, which share its AI-capex, auto and rate-sensitivity drivers. A 5% cap (~$1,700), half deferred past the November print, limits event risk. The stock is liquid and long listed, so neither constrains the position.</t>
  </si>
  <si>
    <t xml:space="preserve">MCHP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</si>
  <si>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</si>
  <si>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</si>
  <si>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</si>
  <si>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</si>
  <si>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</si>
  <si>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</si>
  <si>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Microchip Technology Announces Financial Results for First Quarter of Fiscal Year 2027</t>
  </si>
  <si>
    <t xml:space="preserve">2026-08-06</t>
  </si>
  <si>
    <t xml:space="preserve">https://ir.microchip.com/news-events/press-releases/detail/1409/microchip-technology-announces-financial-results-for-first-quarter-of-fiscal-year-2027</t>
  </si>
  <si>
    <t xml:space="preserve">Microchip Q1 FY2027 results press release (8-K Ex. 99.1)</t>
  </si>
  <si>
    <t xml:space="preserve">https://www.sec.gov/Archives/edgar/data/827054/000082705426000037/exhibit991q1fy27.htm</t>
  </si>
  <si>
    <t xml:space="preserve">A1.3</t>
  </si>
  <si>
    <t xml:space="preserve">Microchip Form 10-Q for quarter ended June 30, 2026</t>
  </si>
  <si>
    <t xml:space="preserve">2026-08</t>
  </si>
  <si>
    <t xml:space="preserve">https://www.sec.gov/Archives/edgar/data/827054/000082705426000038/mchp-20260630.htm</t>
  </si>
  <si>
    <t xml:space="preserve">A1.4</t>
  </si>
  <si>
    <t xml:space="preserve">Microchip at Citi 2026 Global TMT Conference: recovery broadens (Investing.com)</t>
  </si>
  <si>
    <t xml:space="preserve">2026-09-09</t>
  </si>
  <si>
    <t xml:space="preserve">https://uk.investing.com/news/stock-market-news/microchip-at-citi-2026-global-tmt-conference-recovery-broadens-93CH-4863475</t>
  </si>
  <si>
    <t xml:space="preserve">MCHP analyst estimates (StockAnalysis, S&amp;P Global consensus; FY28 EPS $4.58, revenue $7.43B; data updated 2026-09-18). Replaces Alpha Vantage EARNINGS_ESTIMATES (key-gated feed, not a citable source) - citation gate 2026-10-14</t>
  </si>
  <si>
    <t xml:space="preserve">2026-09-18</t>
  </si>
  <si>
    <t xml:space="preserve">https://stockanalysis.com/stocks/mchp/forecast/</t>
  </si>
  <si>
    <t xml:space="preserve">A1.6</t>
  </si>
  <si>
    <t xml:space="preserve">Microchip Technology (MCHP) Q1 2027 Earnings Call Transcript - Equibles</t>
  </si>
  <si>
    <t xml:space="preserve">https://equibles.com/stocks/mchp/calls/2027-q1</t>
  </si>
  <si>
    <t xml:space="preserve">A1.7</t>
  </si>
  <si>
    <t xml:space="preserve">Microchip Technology Completes Acquisition of Hailo</t>
  </si>
  <si>
    <t xml:space="preserve">2026-09-21</t>
  </si>
  <si>
    <t xml:space="preserve">https://ir.microchip.com/news-events/press-releases/detail/1415/microchip-technology-completes-acquisition-of-hailo</t>
  </si>
  <si>
    <t xml:space="preserve">A1.8</t>
  </si>
  <si>
    <t xml:space="preserve">Microchip Technology (MCHP) Stock Is Up, What You Need To Know - StockStory</t>
  </si>
  <si>
    <t xml:space="preserve">2026-09-25</t>
  </si>
  <si>
    <t xml:space="preserve">https://stockstory.org/us/stocks/nasdaq/mchp/news/why-up-down/microchip-technology-mchp-stock-is-up-what-you-need-to-know-3</t>
  </si>
  <si>
    <t xml:space="preserve">A1.9</t>
  </si>
  <si>
    <t xml:space="preserve">UBS lowers Microchip Technology stock price target on inventory concerns - Investing.com</t>
  </si>
  <si>
    <t xml:space="preserve">https://m.investing.com/news/analyst-ratings/ubs-lowers-microchip-technology-stock-price-target-on-inventory-concerns-93CH-4846183?ampMode=1</t>
  </si>
  <si>
    <t xml:space="preserve">A1.10</t>
  </si>
  <si>
    <t xml:space="preserve">Microchip Technology (MCHP) Stock Forecast &amp; Price Targets - StockAnalysis</t>
  </si>
  <si>
    <t xml:space="preserve">2026-09</t>
  </si>
  <si>
    <t xml:space="preserve">A1.11</t>
  </si>
  <si>
    <t xml:space="preserve">Chip stocks shed more than $1 trillion as selloff hits companies powering AI boom - CNBC</t>
  </si>
  <si>
    <t xml:space="preserve">2026-07-29</t>
  </si>
  <si>
    <t xml:space="preserve">https://www.cnbc.com/2026/07/29/chip-selloff-sk-hynix-samsung-softbank.html</t>
  </si>
  <si>
    <t xml:space="preserve">A2.2</t>
  </si>
  <si>
    <t xml:space="preserve">A2.3</t>
  </si>
  <si>
    <t xml:space="preserve">A2.5</t>
  </si>
  <si>
    <t xml:space="preserve">Microchip Technology Inc (MCHP) Q1 2027 Earnings Call Transcript - Equibles</t>
  </si>
  <si>
    <t xml:space="preserve">A2.6</t>
  </si>
  <si>
    <t xml:space="preserve">A2.7</t>
  </si>
  <si>
    <t xml:space="preserve">Microchip Technology stock gains 2.97 percent (ad-hoc-news; Cantor reiterates Overweight, $125 PT)</t>
  </si>
  <si>
    <t xml:space="preserve">https://www.ad-hoc-news.de/boerse/news/corporate-news/microchip-technology-stock-gains-2-97-percent-to-usd-76-91/70184215</t>
  </si>
  <si>
    <t xml:space="preserve">A2.8</t>
  </si>
  <si>
    <t xml:space="preserve">A2.9</t>
  </si>
  <si>
    <t xml:space="preserve">A3.2</t>
  </si>
  <si>
    <t xml:space="preserve">A3.3</t>
  </si>
  <si>
    <t xml:space="preserve">Microchip (MCHP) Q1 2027 Earnings Call Transcript - Motley Fool</t>
  </si>
  <si>
    <t xml:space="preserve">2026-08-13</t>
  </si>
  <si>
    <t xml:space="preserve">https://www.fool.com/earnings/call-transcripts/2026/08/13/microchip-mchp-q1-2027-earnings-call-transcript/</t>
  </si>
  <si>
    <t xml:space="preserve">A3.4</t>
  </si>
  <si>
    <t xml:space="preserve">Microchip Stock Drops 9% in a Month: Should You Buy, Sell or Hold it? (Zacks/Yahoo)</t>
  </si>
  <si>
    <t xml:space="preserve">2026-08-20</t>
  </si>
  <si>
    <t xml:space="preserve">https://finance.yahoo.com/markets/stocks/articles/microchip-stock-drops-9-month-171800036.html</t>
  </si>
  <si>
    <t xml:space="preserve">MCHP forecast and analyst targets - StockAnalysis</t>
  </si>
  <si>
    <t xml:space="preserve">A3.6</t>
  </si>
  <si>
    <t xml:space="preserve">A3.7</t>
  </si>
  <si>
    <t xml:space="preserve">Microchip (MCHP) Closes its Hailo Deal</t>
  </si>
  <si>
    <t xml:space="preserve">https://finance.yahoo.com/technology/ai/articles/microchip-mchp-closes-hailo-deal-225731812.html</t>
  </si>
  <si>
    <t xml:space="preserve">A3.8</t>
  </si>
  <si>
    <t xml:space="preserve">7 Best-Performing Semiconductor Stocks for September 2026 - NerdWallet</t>
  </si>
  <si>
    <t xml:space="preserve">https://www.nerdwallet.com/investing/learn/best-semiconductor-stocks</t>
  </si>
  <si>
    <t xml:space="preserve">A3.9</t>
  </si>
  <si>
    <t xml:space="preserve">Texas Instruments Is Up 55% in 2026 - 24/7 Wall St.</t>
  </si>
  <si>
    <t xml:space="preserve">2026-09-14</t>
  </si>
  <si>
    <t xml:space="preserve">https://247wallst.com/investing/2026/09/14/texas-instruments-is-up-55-in-2026-this-is-the-secret-tech-stock-youre-missing-out-on/</t>
  </si>
  <si>
    <t xml:space="preserve">A3.10</t>
  </si>
  <si>
    <t xml:space="preserve">Steve Sanghi insider trading - GuruFocus</t>
  </si>
  <si>
    <t xml:space="preserve">2026</t>
  </si>
  <si>
    <t xml:space="preserve">https://www.gurufocus.com/insider/3768/steve-sanghi</t>
  </si>
  <si>
    <t xml:space="preserve">A4.3</t>
  </si>
  <si>
    <t xml:space="preserve">Microchip declares 45.5-cent dividend as net debt falls $170M (StockTitan)</t>
  </si>
  <si>
    <t xml:space="preserve">https://www.stocktitan.net/news/MCHP/microchip-technology-announces-financial-results-for-first-quarter-xnav33u3tjva.html</t>
  </si>
  <si>
    <t xml:space="preserve">A4.4</t>
  </si>
  <si>
    <t xml:space="preserve">Microchip Q1 FY 2027 Earnings Beat as Data Center Exposure Nears $1 Billion - Futurum</t>
  </si>
  <si>
    <t xml:space="preserve">https://futurumgroup.com/insights/microchip-q1-fy-2027-earnings-beat-as-data-center-exposure-nears-1-billion/</t>
  </si>
  <si>
    <t xml:space="preserve">A4.5</t>
  </si>
  <si>
    <t xml:space="preserve">https://www.investing.com/news/transcripts/microchip-at-citi-2026-global-tmt-conference-recovery-broadens-93CH-4894731</t>
  </si>
  <si>
    <t xml:space="preserve">A4.6</t>
  </si>
  <si>
    <t xml:space="preserve">A4.7</t>
  </si>
  <si>
    <t xml:space="preserve">Microchip Technology stock gains 2.97 percent to USD 76.91 (ad-hoc-news)</t>
  </si>
  <si>
    <t xml:space="preserve">A4.9</t>
  </si>
  <si>
    <t xml:space="preserve">Microchip Technology Falls as Analog Chip Selloff Weighs on Sector (Quiver)</t>
  </si>
  <si>
    <t xml:space="preserve">https://www.quiverquant.com/news/Microchip+Technology+Falls+as+Analog+Chip+Selloff+Weighs+on+Sector</t>
  </si>
  <si>
    <t xml:space="preserve">A4.10</t>
  </si>
  <si>
    <t xml:space="preserve">Microchip Technology (MCHP) CEO's entities sell 110K shares under 10b5-1 plan (StockTitan)</t>
  </si>
  <si>
    <t xml:space="preserve">2026-05</t>
  </si>
  <si>
    <t xml:space="preserve">https://www.stocktitan.net/sec-filings/MCHP/form-4-microchip-technology-inc-insider-trading-activity-1b9d756c6df3.html</t>
  </si>
  <si>
    <t xml:space="preserve">https://www.sec.gov/Archives/edgar/data/0000827054/000082705426000037/exhibit991q1fy27.htm</t>
  </si>
  <si>
    <t xml:space="preserve">A5.3</t>
  </si>
  <si>
    <t xml:space="preserve">Microchip Form 10-Q for quarter ended June 30, 2026 (per supervisor)</t>
  </si>
  <si>
    <t xml:space="preserve">A5.4</t>
  </si>
  <si>
    <t xml:space="preserve">A5.5</t>
  </si>
  <si>
    <t xml:space="preserve">Microchip Technology Q1 2027 Earnings Call Transcript (Equibles)</t>
  </si>
  <si>
    <t xml:space="preserve">A5.6</t>
  </si>
  <si>
    <t xml:space="preserve">https://www.globenewswire.com/news-release/2026/09/21/3365532/0/en/microchip-technology-completes-acquisition-of-hailo.html</t>
  </si>
  <si>
    <t xml:space="preserve">A5.7</t>
  </si>
  <si>
    <t xml:space="preserve">Microchip Technology (MCHP) Stock Is Up, What You Need To Know (StockStory)</t>
  </si>
  <si>
    <t xml:space="preserve">Peer multiples rebuilt from filings at 2026-09-25 closes (NXPI 10-Q Jun-2026 and peers): fwd P/E NXPI 15.8x, ON 24.1x; TTM FCF yield NXPI 4.7%, ON 5.0%. Replaces the Investing.com aggregator table - citation gate 2026-10-14</t>
  </si>
  <si>
    <t xml:space="preserve">2026-07-28</t>
  </si>
  <si>
    <t xml:space="preserve">https://www.sec.gov/Archives/edgar/data/1413447/000141344726000045/nxpi-20260628.htm</t>
  </si>
  <si>
    <t xml:space="preserve">S.1</t>
  </si>
  <si>
    <t xml:space="preserve">supervisor</t>
  </si>
  <si>
    <t xml:space="preserve">Microchip Technology (MCHP) Stock Is Up, What You Need To Know (StockStory via FinancialContent)</t>
  </si>
  <si>
    <t xml:space="preserve">https://markets.financialcontent.com/stocks/article/stockstory-2026-9-25-microchip-technology-mchp-stock-is-up-what-you-need-to-know</t>
  </si>
  <si>
    <t xml:space="preserve">S.2</t>
  </si>
  <si>
    <t xml:space="preserve">Microchip Technology (MCHP) Stock Price &amp; Overview (StockAnalysis)</t>
  </si>
  <si>
    <t xml:space="preserve">2026-09-27</t>
  </si>
  <si>
    <t xml:space="preserve">https://stockanalysis.com/stocks/mchp/</t>
  </si>
  <si>
    <t xml:space="preserve">S.3</t>
  </si>
  <si>
    <t xml:space="preserve">S.4</t>
  </si>
  <si>
    <t xml:space="preserve">Microchip at Citi 2026 Global TMT Conference (Investing.com)</t>
  </si>
  <si>
    <t xml:space="preserve">S.5</t>
  </si>
  <si>
    <t xml:space="preserve">Microchip IR Financial Results</t>
  </si>
  <si>
    <t xml:space="preserve">https://ir.microchip.com/financial-info/financial-results</t>
  </si>
  <si>
    <t xml:space="preserve">S.6</t>
  </si>
  <si>
    <t xml:space="preserve">MCHP analyst estimates (StockAnalysis, S&amp;P Global consensus; FY28 EPS $4.58, revenue $7.43B; data updated 2026-09-18)</t>
  </si>
  <si>
    <t xml:space="preserve">S.7</t>
  </si>
  <si>
    <t xml:space="preserve">MCHP price history (StockAnalysis): 2026-09-25 close $78.69</t>
  </si>
  <si>
    <t xml:space="preserve">2026-10-14</t>
  </si>
  <si>
    <t xml:space="preserve">https://stockanalysis.com/stocks/mchp/history/</t>
  </si>
  <si>
    <t xml:space="preserve">S.8</t>
  </si>
  <si>
    <t xml:space="preserve">Microchip Form 10-Q, quarter ended June 30, 2026 (convertible preferred terms, depreciation, buyback authorization)</t>
  </si>
  <si>
    <t xml:space="preserve">S.9</t>
  </si>
  <si>
    <t xml:space="preserve">Microchip at Citi 2026 Global TMT Conference (Investing.com transcript)</t>
  </si>
  <si>
    <t xml:space="preserve">S.10</t>
  </si>
  <si>
    <t xml:space="preserve">Microchip Q1 FY2027 earnings call transcript (Motley Fool)</t>
  </si>
  <si>
    <t xml:space="preserve">S.11</t>
  </si>
  <si>
    <t xml:space="preserve">U.S. Treasury daily par yield curve rates, September 2026 (10-yr 5.17% on 2026-09-25)</t>
  </si>
  <si>
    <t xml:space="preserve">https://home.treasury.gov/resource-center/data-chart-center/interest-rates/TextView?type=daily_treasury_yield_curve&amp;field_tdr_date_value_month=202609</t>
  </si>
  <si>
    <t xml:space="preserve">S.12</t>
  </si>
  <si>
    <t xml:space="preserve">NXP Semiconductors Form 10-Q, quarter ended June 28, 2026 (peer rebuild)</t>
  </si>
  <si>
    <t xml:space="preserve">S.13</t>
  </si>
  <si>
    <t xml:space="preserve">Microchip Technology Acquires VORAGO Technologies (after the research date; not material)</t>
  </si>
  <si>
    <t xml:space="preserve">2026-10-09</t>
  </si>
  <si>
    <t xml:space="preserve">https://ir.microchip.com/news-events/press-releases/detail/1419/microchip-technology-acquires-vorago-technologies</t>
  </si>
  <si>
    <t xml:space="preserve">X.1</t>
  </si>
  <si>
    <t xml:space="preserve">supervisor (added)</t>
  </si>
  <si>
    <t xml:space="preserve">Peer multiples rebuilt from filings at 2026-09-25 closes (citation gate): NXPI 10-Q Jun-2026</t>
  </si>
  <si>
    <t xml:space="preserve">X.2</t>
  </si>
  <si>
    <t xml:space="preserve">ON Semiconductor 10-Q filing folder (Jul-2026 quarter), peer rebuild input</t>
  </si>
  <si>
    <t xml:space="preserve">https://www.sec.gov/Archives/edgar/data/1097864/000109786426000017/</t>
  </si>
  <si>
    <t xml:space="preserve">X.3</t>
  </si>
  <si>
    <t xml:space="preserve">Texas Instruments 10-Q filing folder (Jun-2026 quarter), peer rebuild input</t>
  </si>
  <si>
    <t xml:space="preserve">2026-07</t>
  </si>
  <si>
    <t xml:space="preserve">https://www.sec.gov/Archives/edgar/data/97476/000009747626000152/</t>
  </si>
  <si>
    <t xml:space="preserve">X.4</t>
  </si>
  <si>
    <t xml:space="preserve">Analog Devices 10-Q filing folder (Aug-2026 quarter), peer rebuild input</t>
  </si>
  <si>
    <t xml:space="preserve">2026-08-19</t>
  </si>
  <si>
    <t xml:space="preserve">https://www.sec.gov/Archives/edgar/data/6281/000000628126000073/</t>
  </si>
  <si>
    <t xml:space="preserve">X.5</t>
  </si>
  <si>
    <t xml:space="preserve">Microchip Form 10-Q for quarter ended June 30, 2026 (cash flow statement)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</si>
</sst>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\$#,##0.0;&quot;($&quot;#,##0.0\);\-"/>
    <numFmt numFmtId="170" formatCode="0.0\x"/>
    <numFmt numFmtId="171" formatCode="#,##0.00;\(#,##0.00\);\-"/>
    <numFmt numFmtId="172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tockanalysis.com/stocks/mchp/forecast/" TargetMode="External"/><Relationship Id="rId2" Type="http://schemas.openxmlformats.org/officeDocument/2006/relationships/hyperlink" Target="https://stockanalysis.com/stocks/mchp/forecast/" TargetMode="External"/><Relationship Id="rId3" Type="http://schemas.openxmlformats.org/officeDocument/2006/relationships/hyperlink" Target="https://stockanalysis.com/stocks/mchp/forecast/" TargetMode="External"/><Relationship Id="rId4" Type="http://schemas.openxmlformats.org/officeDocument/2006/relationships/hyperlink" Target="https://stockanalysis.com/stocks/mchp/forecast/" TargetMode="External"/><Relationship Id="rId5" Type="http://schemas.openxmlformats.org/officeDocument/2006/relationships/hyperlink" Target="https://stockanalysis.com/stocks/mchp/forecast/" TargetMode="External"/><Relationship Id="rId6" Type="http://schemas.openxmlformats.org/officeDocument/2006/relationships/hyperlink" Target="https://stockanalysis.com/stocks/mchp/forecast/" TargetMode="External"/><Relationship Id="rId7" Type="http://schemas.openxmlformats.org/officeDocument/2006/relationships/hyperlink" Target="https://uk.investing.com/news/stock-market-news/microchip-at-citi-2026-global-tmt-conference-recovery-broadens-93CH-4863475" TargetMode="External"/><Relationship Id="rId8" Type="http://schemas.openxmlformats.org/officeDocument/2006/relationships/hyperlink" Target="https://www.sec.gov/Archives/edgar/data/827054/000082705426000037/exhibit991q1fy27.htm" TargetMode="External"/><Relationship Id="rId9" Type="http://schemas.openxmlformats.org/officeDocument/2006/relationships/hyperlink" Target="https://uk.investing.com/news/stock-market-news/microchip-at-citi-2026-global-tmt-conference-recovery-broadens-93CH-4863475" TargetMode="External"/><Relationship Id="rId10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1" Type="http://schemas.openxmlformats.org/officeDocument/2006/relationships/hyperlink" Target="https://uk.investing.com/news/stock-market-news/microchip-at-citi-2026-global-tmt-conference-recovery-broadens-93CH-4863475" TargetMode="External"/><Relationship Id="rId12" Type="http://schemas.openxmlformats.org/officeDocument/2006/relationships/hyperlink" Target="https://www.sec.gov/Archives/edgar/data/827054/000082705426000037/exhibit991q1fy27.htm" TargetMode="External"/><Relationship Id="rId13" Type="http://schemas.openxmlformats.org/officeDocument/2006/relationships/hyperlink" Target="https://uk.investing.com/news/stock-market-news/microchip-at-citi-2026-global-tmt-conference-recovery-broadens-93CH-4863475" TargetMode="External"/><Relationship Id="rId14" Type="http://schemas.openxmlformats.org/officeDocument/2006/relationships/hyperlink" Target="https://www.sec.gov/Archives/edgar/data/827054/000082705426000037/exhibit991q1fy27.htm" TargetMode="External"/><Relationship Id="rId15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6" Type="http://schemas.openxmlformats.org/officeDocument/2006/relationships/hyperlink" Target="https://www.investing.com/news/transcripts/microchip-at-citi-2026-global-tmt-conference-recovery-broadens-93CH-4894731" TargetMode="External"/><Relationship Id="rId17" Type="http://schemas.openxmlformats.org/officeDocument/2006/relationships/hyperlink" Target="https://uk.investing.com/news/stock-market-news/microchip-at-citi-2026-global-tmt-conference-recovery-broadens-93CH-4863475" TargetMode="External"/><Relationship Id="rId18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9" Type="http://schemas.openxmlformats.org/officeDocument/2006/relationships/hyperlink" Target="https://www.sec.gov/Archives/edgar/data/827054/000082705426000037/exhibit991q1fy27.htm" TargetMode="External"/><Relationship Id="rId20" Type="http://schemas.openxmlformats.org/officeDocument/2006/relationships/hyperlink" Target="https://www.sec.gov/Archives/edgar/data/827054/000082705426000037/exhibit991q1fy27.htm" TargetMode="External"/><Relationship Id="rId21" Type="http://schemas.openxmlformats.org/officeDocument/2006/relationships/hyperlink" Target="https://www.sec.gov/Archives/edgar/data/827054/000082705426000037/exhibit991q1fy27.htm" TargetMode="External"/><Relationship Id="rId22" Type="http://schemas.openxmlformats.org/officeDocument/2006/relationships/hyperlink" Target="https://www.sec.gov/Archives/edgar/data/827054/000082705426000037/exhibit991q1fy27.htm" TargetMode="External"/><Relationship Id="rId23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24" Type="http://schemas.openxmlformats.org/officeDocument/2006/relationships/hyperlink" Target="https://www.sec.gov/Archives/edgar/data/0000827054/000082705426000037/exhibit991q1fy27.htm" TargetMode="External"/><Relationship Id="rId25" Type="http://schemas.openxmlformats.org/officeDocument/2006/relationships/hyperlink" Target="https://www.sec.gov/Archives/edgar/data/827054/000082705426000037/exhibit991q1fy27.htm" TargetMode="External"/><Relationship Id="rId26" Type="http://schemas.openxmlformats.org/officeDocument/2006/relationships/hyperlink" Target="https://www.sec.gov/Archives/edgar/data/827054/000082705426000037/exhibit991q1fy27.htm" TargetMode="External"/><Relationship Id="rId27" Type="http://schemas.openxmlformats.org/officeDocument/2006/relationships/hyperlink" Target="https://www.sec.gov/Archives/edgar/data/827054/000082705426000037/exhibit991q1fy27.htm" TargetMode="External"/><Relationship Id="rId28" Type="http://schemas.openxmlformats.org/officeDocument/2006/relationships/hyperlink" Target="https://www.sec.gov/Archives/edgar/data/827054/000082705426000037/exhibit991q1fy27.htm" TargetMode="External"/><Relationship Id="rId29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30" Type="http://schemas.openxmlformats.org/officeDocument/2006/relationships/hyperlink" Target="https://www.sec.gov/Archives/edgar/data/0000827054/000082705426000037/exhibit991q1fy27.htm" TargetMode="External"/><Relationship Id="rId31" Type="http://schemas.openxmlformats.org/officeDocument/2006/relationships/hyperlink" Target="https://www.sec.gov/Archives/edgar/data/827054/000082705426000037/exhibit991q1fy27.htm" TargetMode="External"/><Relationship Id="rId32" Type="http://schemas.openxmlformats.org/officeDocument/2006/relationships/hyperlink" Target="https://www.sec.gov/Archives/edgar/data/827054/000082705426000037/exhibit991q1fy27.htm" TargetMode="External"/><Relationship Id="rId33" Type="http://schemas.openxmlformats.org/officeDocument/2006/relationships/hyperlink" Target="https://www.sec.gov/Archives/edgar/data/827054/000082705426000038/mchp-20260630.htm" TargetMode="External"/><Relationship Id="rId34" Type="http://schemas.openxmlformats.org/officeDocument/2006/relationships/hyperlink" Target="https://www.sec.gov/Archives/edgar/data/827054/000082705426000037/exhibit991q1fy27.htm" TargetMode="External"/><Relationship Id="rId35" Type="http://schemas.openxmlformats.org/officeDocument/2006/relationships/hyperlink" Target="https://www.sec.gov/Archives/edgar/data/827054/000082705426000037/exhibit991q1fy27.htm" TargetMode="External"/><Relationship Id="rId36" Type="http://schemas.openxmlformats.org/officeDocument/2006/relationships/hyperlink" Target="https://www.sec.gov/Archives/edgar/data/827054/000082705426000037/exhibit991q1fy27.htm" TargetMode="External"/><Relationship Id="rId37" Type="http://schemas.openxmlformats.org/officeDocument/2006/relationships/hyperlink" Target="https://www.sec.gov/Archives/edgar/data/0000827054/000082705426000037/exhibit991q1fy27.htm" TargetMode="External"/><Relationship Id="rId38" Type="http://schemas.openxmlformats.org/officeDocument/2006/relationships/hyperlink" Target="https://www.sec.gov/Archives/edgar/data/827054/000082705426000038/mchp-20260630.htm" TargetMode="External"/><Relationship Id="rId39" Type="http://schemas.openxmlformats.org/officeDocument/2006/relationships/hyperlink" Target="https://stockanalysis.com/stocks/mchp/forecast/" TargetMode="External"/><Relationship Id="rId40" Type="http://schemas.openxmlformats.org/officeDocument/2006/relationships/hyperlink" Target="https://www.sec.gov/Archives/edgar/data/827054/000082705426000037/exhibit991q1fy27.htm" TargetMode="External"/><Relationship Id="rId41" Type="http://schemas.openxmlformats.org/officeDocument/2006/relationships/hyperlink" Target="https://stockanalysis.com/stocks/mchp/forecast/" TargetMode="External"/><Relationship Id="rId42" Type="http://schemas.openxmlformats.org/officeDocument/2006/relationships/hyperlink" Target="https://stockanalysis.com/stocks/mchp/forecast/" TargetMode="External"/><Relationship Id="rId43" Type="http://schemas.openxmlformats.org/officeDocument/2006/relationships/hyperlink" Target="https://stockanalysis.com/stocks/mchp/forecast/" TargetMode="External"/><Relationship Id="rId44" Type="http://schemas.openxmlformats.org/officeDocument/2006/relationships/hyperlink" Target="https://www.sec.gov/Archives/edgar/data/827054/000082705426000037/exhibit991q1fy27.htm" TargetMode="External"/><Relationship Id="rId45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46" Type="http://schemas.openxmlformats.org/officeDocument/2006/relationships/hyperlink" Target="https://stockanalysis.com/stocks/mchp/forecast/" TargetMode="External"/><Relationship Id="rId47" Type="http://schemas.openxmlformats.org/officeDocument/2006/relationships/hyperlink" Target="https://stockanalysis.com/stocks/mchp/forecast/" TargetMode="External"/><Relationship Id="rId48" Type="http://schemas.openxmlformats.org/officeDocument/2006/relationships/hyperlink" Target="https://stockanalysis.com/stocks/mchp/forecast/" TargetMode="External"/><Relationship Id="rId49" Type="http://schemas.openxmlformats.org/officeDocument/2006/relationships/hyperlink" Target="https://stockanalysis.com/stocks/mchp/forecast/" TargetMode="External"/><Relationship Id="rId50" Type="http://schemas.openxmlformats.org/officeDocument/2006/relationships/hyperlink" Target="https://stockanalysis.com/stocks/mchp/forecast/" TargetMode="External"/><Relationship Id="rId51" Type="http://schemas.openxmlformats.org/officeDocument/2006/relationships/hyperlink" Target="https://stockanalysis.com/stocks/mchp/forecast/" TargetMode="External"/><Relationship Id="rId52" Type="http://schemas.openxmlformats.org/officeDocument/2006/relationships/hyperlink" Target="https://stockanalysis.com/stocks/mchp/forecast/" TargetMode="External"/><Relationship Id="rId53" Type="http://schemas.openxmlformats.org/officeDocument/2006/relationships/hyperlink" Target="https://stockanalysis.com/stocks/mchp/forecast/" TargetMode="External"/><Relationship Id="rId54" Type="http://schemas.openxmlformats.org/officeDocument/2006/relationships/hyperlink" Target="https://www.sec.gov/Archives/edgar/data/1413447/000141344726000045/nxpi-20260628.htm" TargetMode="External"/><Relationship Id="rId55" Type="http://schemas.openxmlformats.org/officeDocument/2006/relationships/hyperlink" Target="https://www.sec.gov/Archives/edgar/data/1097864/000109786426000017/" TargetMode="External"/><Relationship Id="rId56" Type="http://schemas.openxmlformats.org/officeDocument/2006/relationships/hyperlink" Target="https://www.sec.gov/Archives/edgar/data/97476/000009747626000152/" TargetMode="External"/><Relationship Id="rId57" Type="http://schemas.openxmlformats.org/officeDocument/2006/relationships/hyperlink" Target="https://www.sec.gov/Archives/edgar/data/1413447/000141344726000045/nxpi-20260628.htm" TargetMode="External"/><Relationship Id="rId58" Type="http://schemas.openxmlformats.org/officeDocument/2006/relationships/hyperlink" Target="https://www.sec.gov/Archives/edgar/data/1097864/000109786426000017/" TargetMode="External"/><Relationship Id="rId59" Type="http://schemas.openxmlformats.org/officeDocument/2006/relationships/hyperlink" Target="https://www.sec.gov/Archives/edgar/data/97476/000009747626000152/" TargetMode="External"/><Relationship Id="rId60" Type="http://schemas.openxmlformats.org/officeDocument/2006/relationships/hyperlink" Target="https://www.sec.gov/Archives/edgar/data/1413447/000141344726000045/nxpi-20260628.htm" TargetMode="External"/><Relationship Id="rId61" Type="http://schemas.openxmlformats.org/officeDocument/2006/relationships/hyperlink" Target="https://www.sec.gov/Archives/edgar/data/1097864/000109786426000017/" TargetMode="External"/><Relationship Id="rId62" Type="http://schemas.openxmlformats.org/officeDocument/2006/relationships/hyperlink" Target="https://www.sec.gov/Archives/edgar/data/97476/000009747626000152/" TargetMode="External"/><Relationship Id="rId63" Type="http://schemas.openxmlformats.org/officeDocument/2006/relationships/hyperlink" Target="https://www.sec.gov/Archives/edgar/data/1413447/000141344726000045/nxpi-20260628.htm" TargetMode="External"/><Relationship Id="rId64" Type="http://schemas.openxmlformats.org/officeDocument/2006/relationships/hyperlink" Target="https://www.sec.gov/Archives/edgar/data/1097864/000109786426000017/" TargetMode="External"/><Relationship Id="rId65" Type="http://schemas.openxmlformats.org/officeDocument/2006/relationships/hyperlink" Target="https://www.sec.gov/Archives/edgar/data/97476/000009747626000152/" TargetMode="External"/><Relationship Id="rId66" Type="http://schemas.openxmlformats.org/officeDocument/2006/relationships/hyperlink" Target="https://www.sec.gov/Archives/edgar/data/1413447/000141344726000045/nxpi-20260628.htm" TargetMode="External"/><Relationship Id="rId67" Type="http://schemas.openxmlformats.org/officeDocument/2006/relationships/hyperlink" Target="https://www.sec.gov/Archives/edgar/data/1097864/000109786426000017/" TargetMode="External"/><Relationship Id="rId68" Type="http://schemas.openxmlformats.org/officeDocument/2006/relationships/hyperlink" Target="https://www.sec.gov/Archives/edgar/data/97476/000009747626000152/" TargetMode="External"/><Relationship Id="rId69" Type="http://schemas.openxmlformats.org/officeDocument/2006/relationships/hyperlink" Target="https://www.sec.gov/Archives/edgar/data/1413447/000141344726000045/nxpi-20260628.htm" TargetMode="External"/><Relationship Id="rId70" Type="http://schemas.openxmlformats.org/officeDocument/2006/relationships/hyperlink" Target="https://www.sec.gov/Archives/edgar/data/827054/000082705426000037/exhibit991q1fy27.htm" TargetMode="External"/><Relationship Id="rId71" Type="http://schemas.openxmlformats.org/officeDocument/2006/relationships/hyperlink" Target="https://www.sec.gov/Archives/edgar/data/827054/000082705426000037/exhibit991q1fy27.htm" TargetMode="External"/><Relationship Id="rId72" Type="http://schemas.openxmlformats.org/officeDocument/2006/relationships/hyperlink" Target="https://www.sec.gov/Archives/edgar/data/827054/000082705426000038/mchp-20260630.htm" TargetMode="External"/><Relationship Id="rId73" Type="http://schemas.openxmlformats.org/officeDocument/2006/relationships/hyperlink" Target="https://www.sec.gov/Archives/edgar/data/827054/000082705426000037/exhibit991q1fy27.htm" TargetMode="External"/><Relationship Id="rId74" Type="http://schemas.openxmlformats.org/officeDocument/2006/relationships/hyperlink" Target="https://www.sec.gov/Archives/edgar/data/827054/000082705426000037/exhibit991q1fy27.htm" TargetMode="External"/><Relationship Id="rId75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76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77" Type="http://schemas.openxmlformats.org/officeDocument/2006/relationships/hyperlink" Target="https://www.sec.gov/Archives/edgar/data/827054/000082705426000037/exhibit991q1fy27.htm" TargetMode="External"/><Relationship Id="rId78" Type="http://schemas.openxmlformats.org/officeDocument/2006/relationships/hyperlink" Target="https://www.sec.gov/Archives/edgar/data/827054/000082705426000037/exhibit991q1fy27.htm" TargetMode="External"/><Relationship Id="rId79" Type="http://schemas.openxmlformats.org/officeDocument/2006/relationships/hyperlink" Target="https://www.sec.gov/Archives/edgar/data/827054/000082705426000037/exhibit991q1fy27.htm" TargetMode="External"/><Relationship Id="rId80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81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82" Type="http://schemas.openxmlformats.org/officeDocument/2006/relationships/hyperlink" Target="https://www.sec.gov/Archives/edgar/data/1413447/000141344726000045/nxpi-20260628.htm" TargetMode="External"/><Relationship Id="rId83" Type="http://schemas.openxmlformats.org/officeDocument/2006/relationships/hyperlink" Target="https://www.sec.gov/Archives/edgar/data/1097864/000109786426000017/" TargetMode="External"/><Relationship Id="rId84" Type="http://schemas.openxmlformats.org/officeDocument/2006/relationships/hyperlink" Target="https://www.sec.gov/Archives/edgar/data/97476/000009747626000152/" TargetMode="External"/><Relationship Id="rId85" Type="http://schemas.openxmlformats.org/officeDocument/2006/relationships/hyperlink" Target="https://www.sec.gov/Archives/edgar/data/1413447/000141344726000045/nxpi-20260628.htm" TargetMode="External"/><Relationship Id="rId86" Type="http://schemas.openxmlformats.org/officeDocument/2006/relationships/hyperlink" Target="https://www.sec.gov/Archives/edgar/data/1097864/000109786426000017/" TargetMode="External"/><Relationship Id="rId87" Type="http://schemas.openxmlformats.org/officeDocument/2006/relationships/hyperlink" Target="https://www.sec.gov/Archives/edgar/data/97476/000009747626000152/" TargetMode="External"/><Relationship Id="rId88" Type="http://schemas.openxmlformats.org/officeDocument/2006/relationships/hyperlink" Target="https://www.sec.gov/Archives/edgar/data/1413447/000141344726000045/nxpi-20260628.htm" TargetMode="External"/><Relationship Id="rId89" Type="http://schemas.openxmlformats.org/officeDocument/2006/relationships/hyperlink" Target="https://www.sec.gov/Archives/edgar/data/1097864/000109786426000017/" TargetMode="External"/><Relationship Id="rId90" Type="http://schemas.openxmlformats.org/officeDocument/2006/relationships/hyperlink" Target="https://www.sec.gov/Archives/edgar/data/97476/000009747626000152/" TargetMode="External"/><Relationship Id="rId91" Type="http://schemas.openxmlformats.org/officeDocument/2006/relationships/hyperlink" Target="https://www.sec.gov/Archives/edgar/data/1413447/000141344726000045/nxpi-20260628.htm" TargetMode="External"/><Relationship Id="rId92" Type="http://schemas.openxmlformats.org/officeDocument/2006/relationships/hyperlink" Target="https://www.sec.gov/Archives/edgar/data/1097864/000109786426000017/" TargetMode="External"/><Relationship Id="rId93" Type="http://schemas.openxmlformats.org/officeDocument/2006/relationships/hyperlink" Target="https://www.sec.gov/Archives/edgar/data/97476/000009747626000152/" TargetMode="External"/><Relationship Id="rId94" Type="http://schemas.openxmlformats.org/officeDocument/2006/relationships/hyperlink" Target="https://www.sec.gov/Archives/edgar/data/1413447/000141344726000045/nxpi-20260628.htm" TargetMode="External"/><Relationship Id="rId95" Type="http://schemas.openxmlformats.org/officeDocument/2006/relationships/hyperlink" Target="https://www.sec.gov/Archives/edgar/data/1097864/000109786426000017/" TargetMode="External"/><Relationship Id="rId96" Type="http://schemas.openxmlformats.org/officeDocument/2006/relationships/hyperlink" Target="https://www.sec.gov/Archives/edgar/data/97476/000009747626000152/" TargetMode="External"/><Relationship Id="rId97" Type="http://schemas.openxmlformats.org/officeDocument/2006/relationships/hyperlink" Target="https://www.sec.gov/Archives/edgar/data/1413447/000141344726000045/nxpi-20260628.htm" TargetMode="External"/><Relationship Id="rId98" Type="http://schemas.openxmlformats.org/officeDocument/2006/relationships/hyperlink" Target="https://www.sec.gov/Archives/edgar/data/827054/000082705426000037/exhibit991q1fy27.htm" TargetMode="External"/><Relationship Id="rId99" Type="http://schemas.openxmlformats.org/officeDocument/2006/relationships/hyperlink" Target="https://www.sec.gov/Archives/edgar/data/827054/000082705426000038/mchp-20260630.htm" TargetMode="External"/><Relationship Id="rId100" Type="http://schemas.openxmlformats.org/officeDocument/2006/relationships/hyperlink" Target="https://www.sec.gov/Archives/edgar/data/827054/000082705426000037/exhibit991q1fy27.htm" TargetMode="External"/><Relationship Id="rId101" Type="http://schemas.openxmlformats.org/officeDocument/2006/relationships/hyperlink" Target="https://www.sec.gov/Archives/edgar/data/827054/000082705426000038/mchp-20260630.htm" TargetMode="External"/><Relationship Id="rId102" Type="http://schemas.openxmlformats.org/officeDocument/2006/relationships/hyperlink" Target="https://www.sec.gov/Archives/edgar/data/827054/000082705426000037/exhibit991q1fy27.htm" TargetMode="External"/><Relationship Id="rId103" Type="http://schemas.openxmlformats.org/officeDocument/2006/relationships/hyperlink" Target="https://www.sec.gov/Archives/edgar/data/827054/000082705426000038/mchp-20260630.htm" TargetMode="External"/><Relationship Id="rId104" Type="http://schemas.openxmlformats.org/officeDocument/2006/relationships/hyperlink" Target="https://www.sec.gov/Archives/edgar/data/827054/000082705426000037/exhibit991q1fy27.htm" TargetMode="External"/><Relationship Id="rId105" Type="http://schemas.openxmlformats.org/officeDocument/2006/relationships/hyperlink" Target="https://www.sec.gov/Archives/edgar/data/827054/000082705426000038/mchp-20260630.htm" TargetMode="External"/><Relationship Id="rId106" Type="http://schemas.openxmlformats.org/officeDocument/2006/relationships/hyperlink" Target="https://www.sec.gov/Archives/edgar/data/827054/000082705426000037/exhibit991q1fy27.htm" TargetMode="External"/><Relationship Id="rId107" Type="http://schemas.openxmlformats.org/officeDocument/2006/relationships/hyperlink" Target="https://www.sec.gov/Archives/edgar/data/827054/000082705426000038/mchp-20260630.htm" TargetMode="External"/><Relationship Id="rId108" Type="http://schemas.openxmlformats.org/officeDocument/2006/relationships/hyperlink" Target="https://www.sec.gov/Archives/edgar/data/0000827054/000082705426000037/exhibit991q1fy27.htm" TargetMode="External"/><Relationship Id="rId109" Type="http://schemas.openxmlformats.org/officeDocument/2006/relationships/hyperlink" Target="https://www.sec.gov/Archives/edgar/data/827054/000082705426000038/mchp-20260630.htm" TargetMode="External"/><Relationship Id="rId110" Type="http://schemas.openxmlformats.org/officeDocument/2006/relationships/hyperlink" Target="https://www.sec.gov/Archives/edgar/data/1413447/000141344726000045/nxpi-20260628.htm" TargetMode="External"/><Relationship Id="rId111" Type="http://schemas.openxmlformats.org/officeDocument/2006/relationships/hyperlink" Target="https://www.sec.gov/Archives/edgar/data/1097864/000109786426000017/" TargetMode="External"/><Relationship Id="rId112" Type="http://schemas.openxmlformats.org/officeDocument/2006/relationships/hyperlink" Target="https://www.sec.gov/Archives/edgar/data/97476/000009747626000152/" TargetMode="External"/><Relationship Id="rId113" Type="http://schemas.openxmlformats.org/officeDocument/2006/relationships/hyperlink" Target="https://www.sec.gov/Archives/edgar/data/1413447/000141344726000045/nxpi-20260628.htm" TargetMode="External"/><Relationship Id="rId114" Type="http://schemas.openxmlformats.org/officeDocument/2006/relationships/hyperlink" Target="https://www.sec.gov/Archives/edgar/data/1097864/000109786426000017/" TargetMode="External"/><Relationship Id="rId115" Type="http://schemas.openxmlformats.org/officeDocument/2006/relationships/hyperlink" Target="https://www.sec.gov/Archives/edgar/data/97476/000009747626000152/" TargetMode="External"/><Relationship Id="rId116" Type="http://schemas.openxmlformats.org/officeDocument/2006/relationships/hyperlink" Target="https://www.sec.gov/Archives/edgar/data/1413447/000141344726000045/nxpi-20260628.htm" TargetMode="External"/><Relationship Id="rId117" Type="http://schemas.openxmlformats.org/officeDocument/2006/relationships/hyperlink" Target="https://www.sec.gov/Archives/edgar/data/1097864/000109786426000017/" TargetMode="External"/><Relationship Id="rId118" Type="http://schemas.openxmlformats.org/officeDocument/2006/relationships/hyperlink" Target="https://www.sec.gov/Archives/edgar/data/97476/000009747626000152/" TargetMode="External"/><Relationship Id="rId119" Type="http://schemas.openxmlformats.org/officeDocument/2006/relationships/hyperlink" Target="https://www.sec.gov/Archives/edgar/data/1413447/000141344726000045/nxpi-20260628.htm" TargetMode="External"/><Relationship Id="rId120" Type="http://schemas.openxmlformats.org/officeDocument/2006/relationships/hyperlink" Target="https://www.sec.gov/Archives/edgar/data/1097864/000109786426000017/" TargetMode="External"/><Relationship Id="rId121" Type="http://schemas.openxmlformats.org/officeDocument/2006/relationships/hyperlink" Target="https://www.sec.gov/Archives/edgar/data/97476/000009747626000152/" TargetMode="External"/><Relationship Id="rId122" Type="http://schemas.openxmlformats.org/officeDocument/2006/relationships/hyperlink" Target="https://www.sec.gov/Archives/edgar/data/1413447/000141344726000045/nxpi-20260628.htm" TargetMode="External"/><Relationship Id="rId123" Type="http://schemas.openxmlformats.org/officeDocument/2006/relationships/hyperlink" Target="https://www.sec.gov/Archives/edgar/data/1097864/000109786426000017/" TargetMode="External"/><Relationship Id="rId124" Type="http://schemas.openxmlformats.org/officeDocument/2006/relationships/hyperlink" Target="https://www.sec.gov/Archives/edgar/data/97476/000009747626000152/" TargetMode="External"/><Relationship Id="rId125" Type="http://schemas.openxmlformats.org/officeDocument/2006/relationships/hyperlink" Target="https://www.sec.gov/Archives/edgar/data/1413447/000141344726000045/nxpi-20260628.htm" TargetMode="External"/><Relationship Id="rId126" Type="http://schemas.openxmlformats.org/officeDocument/2006/relationships/hyperlink" Target="https://www.sec.gov/Archives/edgar/data/1413447/000141344726000045/nxpi-20260628.htm" TargetMode="External"/><Relationship Id="rId127" Type="http://schemas.openxmlformats.org/officeDocument/2006/relationships/hyperlink" Target="https://www.sec.gov/Archives/edgar/data/1097864/000109786426000017/" TargetMode="External"/><Relationship Id="rId128" Type="http://schemas.openxmlformats.org/officeDocument/2006/relationships/hyperlink" Target="https://www.sec.gov/Archives/edgar/data/827054/000082705426000037/exhibit991q1fy27.htm" TargetMode="External"/><Relationship Id="rId129" Type="http://schemas.openxmlformats.org/officeDocument/2006/relationships/hyperlink" Target="https://www.sec.gov/Archives/edgar/data/827054/000082705426000038/mchp-20260630.htm" TargetMode="External"/><Relationship Id="rId130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31" Type="http://schemas.openxmlformats.org/officeDocument/2006/relationships/hyperlink" Target="https://www.sec.gov/Archives/edgar/data/827054/000082705426000037/exhibit991q1fy27.htm" TargetMode="External"/><Relationship Id="rId132" Type="http://schemas.openxmlformats.org/officeDocument/2006/relationships/hyperlink" Target="https://www.sec.gov/Archives/edgar/data/827054/000082705426000038/mchp-20260630.htm" TargetMode="External"/><Relationship Id="rId133" Type="http://schemas.openxmlformats.org/officeDocument/2006/relationships/hyperlink" Target="https://www.sec.gov/Archives/edgar/data/827054/000082705426000037/exhibit991q1fy27.htm" TargetMode="External"/><Relationship Id="rId134" Type="http://schemas.openxmlformats.org/officeDocument/2006/relationships/hyperlink" Target="https://uk.investing.com/news/stock-market-news/microchip-at-citi-2026-global-tmt-conference-recovery-broadens-93CH-4863475" TargetMode="External"/><Relationship Id="rId135" Type="http://schemas.openxmlformats.org/officeDocument/2006/relationships/hyperlink" Target="https://www.sec.gov/Archives/edgar/data/827054/000082705426000037/exhibit991q1fy27.htm" TargetMode="External"/><Relationship Id="rId136" Type="http://schemas.openxmlformats.org/officeDocument/2006/relationships/hyperlink" Target="https://uk.investing.com/news/stock-market-news/microchip-at-citi-2026-global-tmt-conference-recovery-broadens-93CH-4863475" TargetMode="External"/><Relationship Id="rId137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38" Type="http://schemas.openxmlformats.org/officeDocument/2006/relationships/hyperlink" Target="https://www.stocktitan.net/news/MCHP/microchip-technology-announces-financial-results-for-first-quarter-xnav33u3tjva.html" TargetMode="External"/><Relationship Id="rId139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40" Type="http://schemas.openxmlformats.org/officeDocument/2006/relationships/hyperlink" Target="https://www.sec.gov/Archives/edgar/data/827054/000082705426000038/mchp-20260630.htm" TargetMode="External"/><Relationship Id="rId141" Type="http://schemas.openxmlformats.org/officeDocument/2006/relationships/hyperlink" Target="https://www.sec.gov/Archives/edgar/data/827054/000082705426000037/exhibit991q1fy27.htm" TargetMode="External"/><Relationship Id="rId142" Type="http://schemas.openxmlformats.org/officeDocument/2006/relationships/hyperlink" Target="https://www.sec.gov/Archives/edgar/data/827054/000082705426000037/exhibit991q1fy27.htm" TargetMode="External"/><Relationship Id="rId143" Type="http://schemas.openxmlformats.org/officeDocument/2006/relationships/hyperlink" Target="https://www.sec.gov/Archives/edgar/data/827054/000082705426000037/exhibit991q1fy27.htm" TargetMode="External"/><Relationship Id="rId144" Type="http://schemas.openxmlformats.org/officeDocument/2006/relationships/hyperlink" Target="https://www.sec.gov/Archives/edgar/data/827054/000082705426000037/exhibit991q1fy27.htm" TargetMode="External"/><Relationship Id="rId145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46" Type="http://schemas.openxmlformats.org/officeDocument/2006/relationships/hyperlink" Target="https://www.sec.gov/Archives/edgar/data/827054/000082705426000037/exhibit991q1fy27.htm" TargetMode="External"/><Relationship Id="rId147" Type="http://schemas.openxmlformats.org/officeDocument/2006/relationships/hyperlink" Target="https://www.sec.gov/Archives/edgar/data/0000827054/000082705426000037/exhibit991q1fy27.htm" TargetMode="External"/><Relationship Id="rId148" Type="http://schemas.openxmlformats.org/officeDocument/2006/relationships/hyperlink" Target="https://www.sec.gov/Archives/edgar/data/827054/000082705426000038/mchp-20260630.ht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2" Type="http://schemas.openxmlformats.org/officeDocument/2006/relationships/hyperlink" Target="https://www.sec.gov/Archives/edgar/data/827054/000082705426000037/exhibit991q1fy27.htm" TargetMode="External"/><Relationship Id="rId3" Type="http://schemas.openxmlformats.org/officeDocument/2006/relationships/hyperlink" Target="https://www.sec.gov/Archives/edgar/data/827054/000082705426000038/mchp-20260630.htm" TargetMode="External"/><Relationship Id="rId4" Type="http://schemas.openxmlformats.org/officeDocument/2006/relationships/hyperlink" Target="https://uk.investing.com/news/stock-market-news/microchip-at-citi-2026-global-tmt-conference-recovery-broadens-93CH-4863475" TargetMode="External"/><Relationship Id="rId5" Type="http://schemas.openxmlformats.org/officeDocument/2006/relationships/hyperlink" Target="https://stockanalysis.com/stocks/mchp/forecast/" TargetMode="External"/><Relationship Id="rId6" Type="http://schemas.openxmlformats.org/officeDocument/2006/relationships/hyperlink" Target="https://equibles.com/stocks/mchp/calls/2027-q1" TargetMode="External"/><Relationship Id="rId7" Type="http://schemas.openxmlformats.org/officeDocument/2006/relationships/hyperlink" Target="https://ir.microchip.com/news-events/press-releases/detail/1415/microchip-technology-completes-acquisition-of-hailo" TargetMode="External"/><Relationship Id="rId8" Type="http://schemas.openxmlformats.org/officeDocument/2006/relationships/hyperlink" Target="https://stockstory.org/us/stocks/nasdaq/mchp/news/why-up-down/microchip-technology-mchp-stock-is-up-what-you-need-to-know-3" TargetMode="External"/><Relationship Id="rId9" Type="http://schemas.openxmlformats.org/officeDocument/2006/relationships/hyperlink" Target="https://m.investing.com/news/analyst-ratings/ubs-lowers-microchip-technology-stock-price-target-on-inventory-concerns-93CH-4846183?ampMode=1" TargetMode="External"/><Relationship Id="rId10" Type="http://schemas.openxmlformats.org/officeDocument/2006/relationships/hyperlink" Target="https://stockanalysis.com/stocks/mchp/forecast/" TargetMode="External"/><Relationship Id="rId11" Type="http://schemas.openxmlformats.org/officeDocument/2006/relationships/hyperlink" Target="https://www.cnbc.com/2026/07/29/chip-selloff-sk-hynix-samsung-softbank.html" TargetMode="External"/><Relationship Id="rId12" Type="http://schemas.openxmlformats.org/officeDocument/2006/relationships/hyperlink" Target="https://www.sec.gov/Archives/edgar/data/827054/000082705426000037/exhibit991q1fy27.htm" TargetMode="External"/><Relationship Id="rId13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14" Type="http://schemas.openxmlformats.org/officeDocument/2006/relationships/hyperlink" Target="https://uk.investing.com/news/stock-market-news/microchip-at-citi-2026-global-tmt-conference-recovery-broadens-93CH-4863475" TargetMode="External"/><Relationship Id="rId15" Type="http://schemas.openxmlformats.org/officeDocument/2006/relationships/hyperlink" Target="https://stockanalysis.com/stocks/mchp/forecast/" TargetMode="External"/><Relationship Id="rId16" Type="http://schemas.openxmlformats.org/officeDocument/2006/relationships/hyperlink" Target="https://equibles.com/stocks/mchp/calls/2027-q1" TargetMode="External"/><Relationship Id="rId17" Type="http://schemas.openxmlformats.org/officeDocument/2006/relationships/hyperlink" Target="https://ir.microchip.com/news-events/press-releases/detail/1415/microchip-technology-completes-acquisition-of-hailo" TargetMode="External"/><Relationship Id="rId18" Type="http://schemas.openxmlformats.org/officeDocument/2006/relationships/hyperlink" Target="https://www.ad-hoc-news.de/boerse/news/corporate-news/microchip-technology-stock-gains-2-97-percent-to-usd-76-91/70184215" TargetMode="External"/><Relationship Id="rId19" Type="http://schemas.openxmlformats.org/officeDocument/2006/relationships/hyperlink" Target="https://stockanalysis.com/stocks/mchp/forecast/" TargetMode="External"/><Relationship Id="rId20" Type="http://schemas.openxmlformats.org/officeDocument/2006/relationships/hyperlink" Target="https://www.cnbc.com/2026/07/29/chip-selloff-sk-hynix-samsung-softbank.html" TargetMode="External"/><Relationship Id="rId21" Type="http://schemas.openxmlformats.org/officeDocument/2006/relationships/hyperlink" Target="https://www.sec.gov/Archives/edgar/data/827054/000082705426000037/exhibit991q1fy27.htm" TargetMode="External"/><Relationship Id="rId22" Type="http://schemas.openxmlformats.org/officeDocument/2006/relationships/hyperlink" Target="https://uk.investing.com/news/stock-market-news/microchip-at-citi-2026-global-tmt-conference-recovery-broadens-93CH-4863475" TargetMode="External"/><Relationship Id="rId23" Type="http://schemas.openxmlformats.org/officeDocument/2006/relationships/hyperlink" Target="https://www.fool.com/earnings/call-transcripts/2026/08/13/microchip-mchp-q1-2027-earnings-call-transcript/" TargetMode="External"/><Relationship Id="rId24" Type="http://schemas.openxmlformats.org/officeDocument/2006/relationships/hyperlink" Target="https://finance.yahoo.com/markets/stocks/articles/microchip-stock-drops-9-month-171800036.html" TargetMode="External"/><Relationship Id="rId25" Type="http://schemas.openxmlformats.org/officeDocument/2006/relationships/hyperlink" Target="https://stockanalysis.com/stocks/mchp/forecast/" TargetMode="External"/><Relationship Id="rId26" Type="http://schemas.openxmlformats.org/officeDocument/2006/relationships/hyperlink" Target="https://stockstory.org/us/stocks/nasdaq/mchp/news/why-up-down/microchip-technology-mchp-stock-is-up-what-you-need-to-know-3" TargetMode="External"/><Relationship Id="rId27" Type="http://schemas.openxmlformats.org/officeDocument/2006/relationships/hyperlink" Target="https://finance.yahoo.com/technology/ai/articles/microchip-mchp-closes-hailo-deal-225731812.html" TargetMode="External"/><Relationship Id="rId28" Type="http://schemas.openxmlformats.org/officeDocument/2006/relationships/hyperlink" Target="https://www.nerdwallet.com/investing/learn/best-semiconductor-stocks" TargetMode="External"/><Relationship Id="rId29" Type="http://schemas.openxmlformats.org/officeDocument/2006/relationships/hyperlink" Target="https://247wallst.com/investing/2026/09/14/texas-instruments-is-up-55-in-2026-this-is-the-secret-tech-stock-youre-missing-out-on/" TargetMode="External"/><Relationship Id="rId30" Type="http://schemas.openxmlformats.org/officeDocument/2006/relationships/hyperlink" Target="https://www.gurufocus.com/insider/3768/steve-sanghi" TargetMode="External"/><Relationship Id="rId31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32" Type="http://schemas.openxmlformats.org/officeDocument/2006/relationships/hyperlink" Target="https://www.sec.gov/Archives/edgar/data/827054/000082705426000037/exhibit991q1fy27.htm" TargetMode="External"/><Relationship Id="rId33" Type="http://schemas.openxmlformats.org/officeDocument/2006/relationships/hyperlink" Target="https://www.stocktitan.net/news/MCHP/microchip-technology-announces-financial-results-for-first-quarter-xnav33u3tjva.html" TargetMode="External"/><Relationship Id="rId34" Type="http://schemas.openxmlformats.org/officeDocument/2006/relationships/hyperlink" Target="https://futurumgroup.com/insights/microchip-q1-fy-2027-earnings-beat-as-data-center-exposure-nears-1-billion/" TargetMode="External"/><Relationship Id="rId35" Type="http://schemas.openxmlformats.org/officeDocument/2006/relationships/hyperlink" Target="https://www.investing.com/news/transcripts/microchip-at-citi-2026-global-tmt-conference-recovery-broadens-93CH-4894731" TargetMode="External"/><Relationship Id="rId36" Type="http://schemas.openxmlformats.org/officeDocument/2006/relationships/hyperlink" Target="https://ir.microchip.com/news-events/press-releases/detail/1415/microchip-technology-completes-acquisition-of-hailo" TargetMode="External"/><Relationship Id="rId37" Type="http://schemas.openxmlformats.org/officeDocument/2006/relationships/hyperlink" Target="https://www.ad-hoc-news.de/boerse/news/corporate-news/microchip-technology-stock-gains-2-97-percent-to-usd-76-91/70184215" TargetMode="External"/><Relationship Id="rId38" Type="http://schemas.openxmlformats.org/officeDocument/2006/relationships/hyperlink" Target="https://stockanalysis.com/stocks/mchp/forecast/" TargetMode="External"/><Relationship Id="rId39" Type="http://schemas.openxmlformats.org/officeDocument/2006/relationships/hyperlink" Target="https://www.quiverquant.com/news/Microchip+Technology+Falls+as+Analog+Chip+Selloff+Weighs+on+Sector" TargetMode="External"/><Relationship Id="rId40" Type="http://schemas.openxmlformats.org/officeDocument/2006/relationships/hyperlink" Target="https://www.stocktitan.net/sec-filings/MCHP/form-4-microchip-technology-inc-insider-trading-activity-1b9d756c6df3.html" TargetMode="External"/><Relationship Id="rId41" Type="http://schemas.openxmlformats.org/officeDocument/2006/relationships/hyperlink" Target="https://ir.microchip.com/news-events/press-releases/detail/1409/microchip-technology-announces-financial-results-for-first-quarter-of-fiscal-year-2027" TargetMode="External"/><Relationship Id="rId42" Type="http://schemas.openxmlformats.org/officeDocument/2006/relationships/hyperlink" Target="https://www.sec.gov/Archives/edgar/data/0000827054/000082705426000037/exhibit991q1fy27.htm" TargetMode="External"/><Relationship Id="rId43" Type="http://schemas.openxmlformats.org/officeDocument/2006/relationships/hyperlink" Target="https://www.sec.gov/Archives/edgar/data/827054/000082705426000038/mchp-20260630.htm" TargetMode="External"/><Relationship Id="rId44" Type="http://schemas.openxmlformats.org/officeDocument/2006/relationships/hyperlink" Target="https://uk.investing.com/news/stock-market-news/microchip-at-citi-2026-global-tmt-conference-recovery-broadens-93CH-4863475" TargetMode="External"/><Relationship Id="rId45" Type="http://schemas.openxmlformats.org/officeDocument/2006/relationships/hyperlink" Target="https://equibles.com/stocks/mchp/calls/2027-q1" TargetMode="External"/><Relationship Id="rId46" Type="http://schemas.openxmlformats.org/officeDocument/2006/relationships/hyperlink" Target="https://www.globenewswire.com/news-release/2026/09/21/3365532/0/en/microchip-technology-completes-acquisition-of-hailo.html" TargetMode="External"/><Relationship Id="rId47" Type="http://schemas.openxmlformats.org/officeDocument/2006/relationships/hyperlink" Target="https://stockstory.org/us/stocks/nasdaq/mchp/news/why-up-down/microchip-technology-mchp-stock-is-up-what-you-need-to-know-3" TargetMode="External"/><Relationship Id="rId48" Type="http://schemas.openxmlformats.org/officeDocument/2006/relationships/hyperlink" Target="https://www.sec.gov/Archives/edgar/data/1413447/000141344726000045/nxpi-20260628.htm" TargetMode="External"/><Relationship Id="rId49" Type="http://schemas.openxmlformats.org/officeDocument/2006/relationships/hyperlink" Target="https://stockanalysis.com/stocks/mchp/forecast/" TargetMode="External"/><Relationship Id="rId50" Type="http://schemas.openxmlformats.org/officeDocument/2006/relationships/hyperlink" Target="https://markets.financialcontent.com/stocks/article/stockstory-2026-9-25-microchip-technology-mchp-stock-is-up-what-you-need-to-know" TargetMode="External"/><Relationship Id="rId51" Type="http://schemas.openxmlformats.org/officeDocument/2006/relationships/hyperlink" Target="https://stockanalysis.com/stocks/mchp/" TargetMode="External"/><Relationship Id="rId52" Type="http://schemas.openxmlformats.org/officeDocument/2006/relationships/hyperlink" Target="https://www.sec.gov/Archives/edgar/data/827054/000082705426000037/exhibit991q1fy27.htm" TargetMode="External"/><Relationship Id="rId53" Type="http://schemas.openxmlformats.org/officeDocument/2006/relationships/hyperlink" Target="https://uk.investing.com/news/stock-market-news/microchip-at-citi-2026-global-tmt-conference-recovery-broadens-93CH-4863475" TargetMode="External"/><Relationship Id="rId54" Type="http://schemas.openxmlformats.org/officeDocument/2006/relationships/hyperlink" Target="https://ir.microchip.com/financial-info/financial-results" TargetMode="External"/><Relationship Id="rId55" Type="http://schemas.openxmlformats.org/officeDocument/2006/relationships/hyperlink" Target="https://stockanalysis.com/stocks/mchp/forecast/" TargetMode="External"/><Relationship Id="rId56" Type="http://schemas.openxmlformats.org/officeDocument/2006/relationships/hyperlink" Target="https://stockanalysis.com/stocks/mchp/history/" TargetMode="External"/><Relationship Id="rId57" Type="http://schemas.openxmlformats.org/officeDocument/2006/relationships/hyperlink" Target="https://www.sec.gov/Archives/edgar/data/827054/000082705426000038/mchp-20260630.htm" TargetMode="External"/><Relationship Id="rId58" Type="http://schemas.openxmlformats.org/officeDocument/2006/relationships/hyperlink" Target="https://www.investing.com/news/transcripts/microchip-at-citi-2026-global-tmt-conference-recovery-broadens-93CH-4894731" TargetMode="External"/><Relationship Id="rId59" Type="http://schemas.openxmlformats.org/officeDocument/2006/relationships/hyperlink" Target="https://www.fool.com/earnings/call-transcripts/2026/08/13/microchip-mchp-q1-2027-earnings-call-transcript/" TargetMode="External"/><Relationship Id="rId60" Type="http://schemas.openxmlformats.org/officeDocument/2006/relationships/hyperlink" Target="https://home.treasury.gov/resource-center/data-chart-center/interest-rates/TextView?type=daily_treasury_yield_curve&amp;field_tdr_date_value_month=202609" TargetMode="External"/><Relationship Id="rId61" Type="http://schemas.openxmlformats.org/officeDocument/2006/relationships/hyperlink" Target="https://www.sec.gov/Archives/edgar/data/1413447/000141344726000045/nxpi-20260628.htm" TargetMode="External"/><Relationship Id="rId62" Type="http://schemas.openxmlformats.org/officeDocument/2006/relationships/hyperlink" Target="https://ir.microchip.com/news-events/press-releases/detail/1419/microchip-technology-acquires-vorago-technologies" TargetMode="External"/><Relationship Id="rId63" Type="http://schemas.openxmlformats.org/officeDocument/2006/relationships/hyperlink" Target="https://www.sec.gov/Archives/edgar/data/1413447/000141344726000045/nxpi-20260628.htm" TargetMode="External"/><Relationship Id="rId64" Type="http://schemas.openxmlformats.org/officeDocument/2006/relationships/hyperlink" Target="https://www.sec.gov/Archives/edgar/data/1097864/000109786426000017/" TargetMode="External"/><Relationship Id="rId65" Type="http://schemas.openxmlformats.org/officeDocument/2006/relationships/hyperlink" Target="https://www.sec.gov/Archives/edgar/data/97476/000009747626000152/" TargetMode="External"/><Relationship Id="rId66" Type="http://schemas.openxmlformats.org/officeDocument/2006/relationships/hyperlink" Target="https://www.sec.gov/Archives/edgar/data/6281/000000628126000073/" TargetMode="External"/><Relationship Id="rId67" Type="http://schemas.openxmlformats.org/officeDocument/2006/relationships/hyperlink" Target="https://www.sec.gov/Archives/edgar/data/827054/000082705426000038/mchp-20260630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77.34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95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0.0508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55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0.5029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75.2844049928182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Methods!C8</f>
        <v>82.75</v>
      </c>
      <c r="C18" s="13" t="n">
        <f aca="false">Methods!E8</f>
        <v>83</v>
      </c>
    </row>
    <row r="19" customFormat="false" ht="15" hidden="false" customHeight="false" outlineLevel="0" collapsed="false">
      <c r="A19" s="5" t="s">
        <v>30</v>
      </c>
      <c r="B19" s="13" t="n">
        <f aca="false">Methods!C13</f>
        <v>83.43</v>
      </c>
      <c r="C19" s="13" t="n">
        <f aca="false">Methods!E13</f>
        <v>83.5</v>
      </c>
    </row>
    <row r="20" customFormat="false" ht="15" hidden="false" customHeight="false" outlineLevel="0" collapsed="false">
      <c r="A20" s="5" t="s">
        <v>31</v>
      </c>
      <c r="B20" s="13" t="n">
        <f aca="false">Methods!C18</f>
        <v>85.5</v>
      </c>
      <c r="C20" s="13" t="n">
        <f aca="false">Methods!E18</f>
        <v>86</v>
      </c>
    </row>
    <row r="21" customFormat="false" ht="15" hidden="false" customHeight="false" outlineLevel="0" collapsed="false">
      <c r="A21" s="5" t="s">
        <v>32</v>
      </c>
      <c r="B21" s="13" t="n">
        <f aca="false">Methods!C23</f>
        <v>83.35</v>
      </c>
      <c r="C21" s="13" t="n">
        <f aca="false">Methods!E23</f>
        <v>84</v>
      </c>
    </row>
    <row r="22" customFormat="false" ht="15" hidden="false" customHeight="false" outlineLevel="0" collapsed="false">
      <c r="A22" s="5" t="s">
        <v>33</v>
      </c>
      <c r="B22" s="13" t="n">
        <f aca="false">Methods!C28</f>
        <v>84.15</v>
      </c>
      <c r="C22" s="13" t="n">
        <f aca="false">Methods!E28</f>
        <v>85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83.836</v>
      </c>
      <c r="C23" s="15" t="n">
        <f aca="false">AVERAGE(C18:C22)</f>
        <v>84.3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83.43</v>
      </c>
      <c r="C24" s="16" t="n">
        <f aca="false">MEDIAN(C18:C22)</f>
        <v>84</v>
      </c>
    </row>
    <row r="25" customFormat="false" ht="91" hidden="false" customHeight="false" outlineLevel="0" collapsed="false">
      <c r="A25" s="14" t="s">
        <v>36</v>
      </c>
      <c r="C25" s="17" t="n">
        <v>85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0.0990431859322472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80.1900056350227</v>
      </c>
      <c r="C29" s="6" t="n">
        <v>80.9441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111.091154843889</v>
      </c>
      <c r="C30" s="6" t="n">
        <v>112.127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47.2380077757385</v>
      </c>
      <c r="C31" s="6" t="n">
        <v>47.7064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57.8504849102199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55</v>
      </c>
      <c r="C33" s="21" t="n">
        <v>55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0.0368503443887087</v>
      </c>
      <c r="C34" s="18" t="n">
        <f aca="false">C29/Spot-1</f>
        <v>0.0466007240755109</v>
      </c>
    </row>
    <row r="35" customFormat="false" ht="15" hidden="false" customHeight="false" outlineLevel="0" collapsed="false">
      <c r="A35" s="5" t="s">
        <v>54</v>
      </c>
      <c r="C35" s="12" t="n">
        <v>0.537</v>
      </c>
    </row>
    <row r="36" customFormat="false" ht="23.85" hidden="false" customHeight="false" outlineLevel="0" collapsed="false">
      <c r="A36" s="5" t="s">
        <v>55</v>
      </c>
      <c r="C36" s="6" t="n">
        <v>90.8109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23.85" hidden="false" customHeight="false" outlineLevel="0" collapsed="false">
      <c r="A5" s="3" t="s">
        <v>83</v>
      </c>
      <c r="B5" s="24" t="s">
        <v>84</v>
      </c>
      <c r="C5" s="25" t="n">
        <v>7.4</v>
      </c>
      <c r="D5" s="26" t="s">
        <v>85</v>
      </c>
      <c r="E5" s="27" t="s">
        <v>86</v>
      </c>
      <c r="F5" s="28"/>
      <c r="G5" s="28"/>
      <c r="H5" s="4"/>
      <c r="I5" s="29" t="n">
        <f aca="false">IF(COUNT(C6:C10)&gt;0,MIN(C6:C10),"")</f>
        <v>7.3</v>
      </c>
      <c r="J5" s="29" t="n">
        <f aca="false">IF(COUNT(C6:C10)&gt;0,MAX(C6:C10),"")</f>
        <v>7.5</v>
      </c>
      <c r="K5" s="26" t="s">
        <v>87</v>
      </c>
    </row>
    <row r="6" customFormat="false" ht="23.85" hidden="false" customHeight="false" outlineLevel="0" collapsed="false">
      <c r="A6" s="2" t="s">
        <v>83</v>
      </c>
      <c r="B6" s="5" t="s">
        <v>88</v>
      </c>
      <c r="C6" s="30" t="n">
        <v>7.3</v>
      </c>
      <c r="D6" s="31" t="s">
        <v>89</v>
      </c>
      <c r="E6" s="32" t="s">
        <v>86</v>
      </c>
      <c r="H6" s="32" t="s">
        <v>90</v>
      </c>
    </row>
    <row r="7" customFormat="false" ht="15" hidden="false" customHeight="false" outlineLevel="0" collapsed="false">
      <c r="A7" s="2" t="s">
        <v>83</v>
      </c>
      <c r="B7" s="5" t="s">
        <v>91</v>
      </c>
      <c r="C7" s="30" t="n">
        <v>7.3</v>
      </c>
      <c r="D7" s="31" t="s">
        <v>92</v>
      </c>
      <c r="E7" s="32" t="s">
        <v>86</v>
      </c>
      <c r="H7" s="32" t="s">
        <v>93</v>
      </c>
    </row>
    <row r="8" customFormat="false" ht="23.85" hidden="false" customHeight="false" outlineLevel="0" collapsed="false">
      <c r="A8" s="2" t="s">
        <v>83</v>
      </c>
      <c r="B8" s="5" t="s">
        <v>94</v>
      </c>
      <c r="C8" s="30" t="n">
        <v>7.5</v>
      </c>
      <c r="D8" s="31" t="s">
        <v>95</v>
      </c>
      <c r="E8" s="32" t="s">
        <v>96</v>
      </c>
      <c r="H8" s="32" t="s">
        <v>97</v>
      </c>
    </row>
    <row r="9" customFormat="false" ht="15" hidden="false" customHeight="false" outlineLevel="0" collapsed="false">
      <c r="A9" s="2" t="s">
        <v>83</v>
      </c>
      <c r="B9" s="5" t="s">
        <v>98</v>
      </c>
      <c r="C9" s="30" t="n">
        <v>7.4</v>
      </c>
      <c r="D9" s="31" t="s">
        <v>99</v>
      </c>
      <c r="E9" s="32" t="s">
        <v>100</v>
      </c>
      <c r="H9" s="32" t="s">
        <v>101</v>
      </c>
    </row>
    <row r="10" customFormat="false" ht="15" hidden="false" customHeight="false" outlineLevel="0" collapsed="false">
      <c r="A10" s="2" t="s">
        <v>83</v>
      </c>
      <c r="B10" s="5" t="s">
        <v>102</v>
      </c>
      <c r="C10" s="30" t="n">
        <v>7.4</v>
      </c>
      <c r="D10" s="31" t="s">
        <v>103</v>
      </c>
      <c r="E10" s="32" t="s">
        <v>86</v>
      </c>
      <c r="H10" s="32" t="s">
        <v>104</v>
      </c>
    </row>
    <row r="12" customFormat="false" ht="23.85" hidden="false" customHeight="false" outlineLevel="0" collapsed="false">
      <c r="A12" s="3" t="s">
        <v>105</v>
      </c>
      <c r="B12" s="24" t="s">
        <v>106</v>
      </c>
      <c r="C12" s="33" t="n">
        <v>0.655</v>
      </c>
      <c r="D12" s="26" t="s">
        <v>107</v>
      </c>
      <c r="E12" s="27" t="s">
        <v>108</v>
      </c>
      <c r="F12" s="27" t="s">
        <v>109</v>
      </c>
      <c r="G12" s="28"/>
      <c r="H12" s="4"/>
      <c r="I12" s="34" t="n">
        <f aca="false">IF(COUNT(C13:C17)&gt;0,MIN(C13:C17),"")</f>
        <v>0.65</v>
      </c>
      <c r="J12" s="34" t="n">
        <f aca="false">IF(COUNT(C13:C17)&gt;0,MAX(C13:C17),"")</f>
        <v>0.6575</v>
      </c>
      <c r="K12" s="26" t="s">
        <v>110</v>
      </c>
    </row>
    <row r="13" customFormat="false" ht="23.85" hidden="false" customHeight="false" outlineLevel="0" collapsed="false">
      <c r="A13" s="2" t="s">
        <v>105</v>
      </c>
      <c r="B13" s="5" t="s">
        <v>111</v>
      </c>
      <c r="C13" s="12" t="n">
        <v>0.65</v>
      </c>
      <c r="D13" s="31" t="s">
        <v>112</v>
      </c>
      <c r="E13" s="32" t="s">
        <v>108</v>
      </c>
      <c r="F13" s="32" t="s">
        <v>113</v>
      </c>
      <c r="H13" s="32" t="s">
        <v>114</v>
      </c>
    </row>
    <row r="14" customFormat="false" ht="23.85" hidden="false" customHeight="false" outlineLevel="0" collapsed="false">
      <c r="A14" s="2" t="s">
        <v>105</v>
      </c>
      <c r="B14" s="5" t="s">
        <v>91</v>
      </c>
      <c r="C14" s="12" t="n">
        <v>0.655</v>
      </c>
      <c r="D14" s="31" t="s">
        <v>115</v>
      </c>
      <c r="E14" s="32" t="s">
        <v>108</v>
      </c>
      <c r="F14" s="32" t="s">
        <v>109</v>
      </c>
      <c r="H14" s="32" t="s">
        <v>116</v>
      </c>
    </row>
    <row r="15" customFormat="false" ht="15" hidden="false" customHeight="false" outlineLevel="0" collapsed="false">
      <c r="A15" s="2" t="s">
        <v>105</v>
      </c>
      <c r="B15" s="5" t="s">
        <v>94</v>
      </c>
      <c r="C15" s="12" t="n">
        <v>0.6575</v>
      </c>
      <c r="D15" s="31" t="s">
        <v>117</v>
      </c>
      <c r="E15" s="32" t="s">
        <v>108</v>
      </c>
      <c r="F15" s="32" t="s">
        <v>109</v>
      </c>
      <c r="H15" s="32" t="s">
        <v>118</v>
      </c>
    </row>
    <row r="16" customFormat="false" ht="15" hidden="false" customHeight="false" outlineLevel="0" collapsed="false">
      <c r="A16" s="2" t="s">
        <v>105</v>
      </c>
      <c r="B16" s="5" t="s">
        <v>119</v>
      </c>
      <c r="C16" s="12" t="n">
        <v>0.655</v>
      </c>
      <c r="D16" s="31" t="s">
        <v>120</v>
      </c>
      <c r="E16" s="32" t="s">
        <v>113</v>
      </c>
      <c r="F16" s="32" t="s">
        <v>108</v>
      </c>
      <c r="H16" s="32" t="s">
        <v>121</v>
      </c>
    </row>
    <row r="17" customFormat="false" ht="15" hidden="false" customHeight="false" outlineLevel="0" collapsed="false">
      <c r="A17" s="2" t="s">
        <v>105</v>
      </c>
      <c r="B17" s="5" t="s">
        <v>102</v>
      </c>
      <c r="C17" s="12" t="n">
        <v>0.655</v>
      </c>
      <c r="D17" s="31" t="s">
        <v>122</v>
      </c>
      <c r="E17" s="32" t="s">
        <v>108</v>
      </c>
      <c r="F17" s="32" t="s">
        <v>113</v>
      </c>
      <c r="H17" s="32" t="s">
        <v>123</v>
      </c>
    </row>
    <row r="19" customFormat="false" ht="15" hidden="false" customHeight="false" outlineLevel="0" collapsed="false">
      <c r="A19" s="3" t="s">
        <v>124</v>
      </c>
      <c r="B19" s="24" t="s">
        <v>125</v>
      </c>
      <c r="C19" s="33" t="n">
        <v>0.4</v>
      </c>
      <c r="D19" s="26" t="s">
        <v>126</v>
      </c>
      <c r="E19" s="27" t="s">
        <v>109</v>
      </c>
      <c r="F19" s="28"/>
      <c r="G19" s="28"/>
      <c r="H19" s="4"/>
      <c r="I19" s="34" t="n">
        <f aca="false">IF(COUNT(C20:C24)&gt;0,MIN(C20:C24),"")</f>
        <v>0.395</v>
      </c>
      <c r="J19" s="34" t="n">
        <f aca="false">IF(COUNT(C20:C24)&gt;0,MAX(C20:C24),"")</f>
        <v>0.4</v>
      </c>
      <c r="K19" s="26" t="s">
        <v>110</v>
      </c>
    </row>
    <row r="20" customFormat="false" ht="35.05" hidden="false" customHeight="false" outlineLevel="0" collapsed="false">
      <c r="A20" s="2" t="s">
        <v>124</v>
      </c>
      <c r="B20" s="5" t="s">
        <v>88</v>
      </c>
      <c r="C20" s="12" t="n">
        <v>0.4</v>
      </c>
      <c r="D20" s="31" t="s">
        <v>127</v>
      </c>
      <c r="E20" s="32" t="s">
        <v>109</v>
      </c>
      <c r="H20" s="32" t="s">
        <v>128</v>
      </c>
    </row>
    <row r="21" customFormat="false" ht="15" hidden="false" customHeight="false" outlineLevel="0" collapsed="false">
      <c r="A21" s="2" t="s">
        <v>124</v>
      </c>
      <c r="B21" s="5" t="s">
        <v>91</v>
      </c>
      <c r="C21" s="12" t="n">
        <v>0.395</v>
      </c>
      <c r="D21" s="31" t="s">
        <v>129</v>
      </c>
      <c r="E21" s="32" t="s">
        <v>109</v>
      </c>
      <c r="H21" s="32" t="s">
        <v>130</v>
      </c>
    </row>
    <row r="22" customFormat="false" ht="15" hidden="false" customHeight="false" outlineLevel="0" collapsed="false">
      <c r="A22" s="2" t="s">
        <v>124</v>
      </c>
      <c r="B22" s="5" t="s">
        <v>94</v>
      </c>
      <c r="C22" s="12" t="n">
        <v>0.4</v>
      </c>
      <c r="D22" s="31" t="s">
        <v>131</v>
      </c>
      <c r="E22" s="32" t="s">
        <v>109</v>
      </c>
      <c r="H22" s="32" t="s">
        <v>132</v>
      </c>
    </row>
    <row r="23" customFormat="false" ht="15" hidden="false" customHeight="false" outlineLevel="0" collapsed="false">
      <c r="A23" s="2" t="s">
        <v>124</v>
      </c>
      <c r="B23" s="5" t="s">
        <v>119</v>
      </c>
      <c r="C23" s="12" t="n">
        <v>0.4</v>
      </c>
      <c r="D23" s="31" t="s">
        <v>133</v>
      </c>
      <c r="E23" s="32" t="s">
        <v>113</v>
      </c>
      <c r="H23" s="32" t="s">
        <v>134</v>
      </c>
    </row>
    <row r="24" customFormat="false" ht="23.85" hidden="false" customHeight="false" outlineLevel="0" collapsed="false">
      <c r="A24" s="2" t="s">
        <v>124</v>
      </c>
      <c r="B24" s="5" t="s">
        <v>102</v>
      </c>
      <c r="C24" s="12" t="n">
        <v>0.395</v>
      </c>
      <c r="D24" s="31" t="s">
        <v>135</v>
      </c>
      <c r="E24" s="32" t="s">
        <v>136</v>
      </c>
      <c r="H24" s="32" t="s">
        <v>137</v>
      </c>
    </row>
    <row r="26" customFormat="false" ht="35.05" hidden="false" customHeight="false" outlineLevel="0" collapsed="false">
      <c r="A26" s="3" t="s">
        <v>138</v>
      </c>
      <c r="B26" s="24" t="s">
        <v>139</v>
      </c>
      <c r="C26" s="33" t="n">
        <v>0.08</v>
      </c>
      <c r="D26" s="26" t="s">
        <v>140</v>
      </c>
      <c r="E26" s="27" t="s">
        <v>109</v>
      </c>
      <c r="F26" s="28"/>
      <c r="G26" s="28"/>
      <c r="H26" s="4"/>
      <c r="I26" s="34" t="n">
        <f aca="false">IF(COUNT(C27:C31)&gt;0,MIN(C27:C31),"")</f>
        <v>0.0775</v>
      </c>
      <c r="J26" s="34" t="n">
        <f aca="false">IF(COUNT(C27:C31)&gt;0,MAX(C27:C31),"")</f>
        <v>0.08</v>
      </c>
      <c r="K26" s="26" t="s">
        <v>141</v>
      </c>
    </row>
    <row r="27" customFormat="false" ht="15" hidden="false" customHeight="false" outlineLevel="0" collapsed="false">
      <c r="A27" s="2" t="s">
        <v>138</v>
      </c>
      <c r="B27" s="5" t="s">
        <v>88</v>
      </c>
      <c r="C27" s="12" t="n">
        <v>0.0775</v>
      </c>
      <c r="D27" s="31" t="s">
        <v>142</v>
      </c>
      <c r="E27" s="32" t="s">
        <v>109</v>
      </c>
      <c r="H27" s="32" t="s">
        <v>128</v>
      </c>
    </row>
    <row r="28" customFormat="false" ht="15" hidden="false" customHeight="false" outlineLevel="0" collapsed="false">
      <c r="A28" s="2" t="s">
        <v>138</v>
      </c>
      <c r="B28" s="5" t="s">
        <v>91</v>
      </c>
      <c r="C28" s="12" t="n">
        <v>0.08</v>
      </c>
      <c r="D28" s="31" t="s">
        <v>143</v>
      </c>
      <c r="E28" s="32" t="s">
        <v>109</v>
      </c>
      <c r="H28" s="32" t="s">
        <v>130</v>
      </c>
    </row>
    <row r="29" customFormat="false" ht="15" hidden="false" customHeight="false" outlineLevel="0" collapsed="false">
      <c r="A29" s="2" t="s">
        <v>138</v>
      </c>
      <c r="B29" s="5" t="s">
        <v>94</v>
      </c>
      <c r="C29" s="12" t="n">
        <v>0.08</v>
      </c>
      <c r="D29" s="31" t="s">
        <v>144</v>
      </c>
      <c r="E29" s="32" t="s">
        <v>109</v>
      </c>
      <c r="H29" s="32" t="s">
        <v>132</v>
      </c>
    </row>
    <row r="30" customFormat="false" ht="15" hidden="false" customHeight="false" outlineLevel="0" collapsed="false">
      <c r="A30" s="2" t="s">
        <v>138</v>
      </c>
      <c r="B30" s="5" t="s">
        <v>119</v>
      </c>
      <c r="C30" s="12" t="n">
        <v>0.08</v>
      </c>
      <c r="D30" s="31" t="s">
        <v>145</v>
      </c>
      <c r="E30" s="32" t="s">
        <v>113</v>
      </c>
      <c r="H30" s="32" t="s">
        <v>134</v>
      </c>
    </row>
    <row r="31" customFormat="false" ht="15" hidden="false" customHeight="false" outlineLevel="0" collapsed="false">
      <c r="A31" s="2" t="s">
        <v>138</v>
      </c>
      <c r="B31" s="5" t="s">
        <v>102</v>
      </c>
      <c r="C31" s="12" t="n">
        <v>0.0775</v>
      </c>
      <c r="D31" s="31" t="s">
        <v>146</v>
      </c>
      <c r="E31" s="32" t="s">
        <v>136</v>
      </c>
      <c r="H31" s="32" t="s">
        <v>137</v>
      </c>
    </row>
    <row r="33" customFormat="false" ht="15" hidden="false" customHeight="false" outlineLevel="0" collapsed="false">
      <c r="A33" s="3" t="s">
        <v>147</v>
      </c>
      <c r="B33" s="24" t="s">
        <v>148</v>
      </c>
      <c r="C33" s="25" t="n">
        <v>0.175</v>
      </c>
      <c r="D33" s="26" t="s">
        <v>149</v>
      </c>
      <c r="E33" s="27" t="s">
        <v>109</v>
      </c>
      <c r="F33" s="28"/>
      <c r="G33" s="28"/>
      <c r="H33" s="4"/>
      <c r="I33" s="29" t="n">
        <f aca="false">IF(COUNT(C34:C38)&gt;0,MIN(C34:C38),"")</f>
        <v>0.17</v>
      </c>
      <c r="J33" s="29" t="n">
        <f aca="false">IF(COUNT(C34:C38)&gt;0,MAX(C34:C38),"")</f>
        <v>0.18</v>
      </c>
      <c r="K33" s="26" t="s">
        <v>141</v>
      </c>
    </row>
    <row r="34" customFormat="false" ht="35.05" hidden="false" customHeight="false" outlineLevel="0" collapsed="false">
      <c r="A34" s="2" t="s">
        <v>147</v>
      </c>
      <c r="B34" s="5" t="s">
        <v>88</v>
      </c>
      <c r="C34" s="30" t="n">
        <v>0.18</v>
      </c>
      <c r="D34" s="31" t="s">
        <v>150</v>
      </c>
      <c r="E34" s="32" t="s">
        <v>109</v>
      </c>
      <c r="F34" s="32" t="s">
        <v>151</v>
      </c>
      <c r="H34" s="32" t="s">
        <v>152</v>
      </c>
    </row>
    <row r="35" customFormat="false" ht="35.05" hidden="false" customHeight="false" outlineLevel="0" collapsed="false">
      <c r="A35" s="2" t="s">
        <v>147</v>
      </c>
      <c r="B35" s="5" t="s">
        <v>91</v>
      </c>
      <c r="C35" s="30" t="n">
        <v>0.175</v>
      </c>
      <c r="D35" s="31" t="s">
        <v>153</v>
      </c>
      <c r="E35" s="32" t="s">
        <v>109</v>
      </c>
      <c r="H35" s="32" t="s">
        <v>130</v>
      </c>
    </row>
    <row r="36" customFormat="false" ht="35.05" hidden="false" customHeight="false" outlineLevel="0" collapsed="false">
      <c r="A36" s="2" t="s">
        <v>147</v>
      </c>
      <c r="B36" s="5" t="s">
        <v>94</v>
      </c>
      <c r="C36" s="30" t="n">
        <v>0.17</v>
      </c>
      <c r="D36" s="31" t="s">
        <v>154</v>
      </c>
      <c r="E36" s="32" t="s">
        <v>109</v>
      </c>
      <c r="H36" s="32" t="s">
        <v>132</v>
      </c>
    </row>
    <row r="37" customFormat="false" ht="35.05" hidden="false" customHeight="false" outlineLevel="0" collapsed="false">
      <c r="A37" s="2" t="s">
        <v>147</v>
      </c>
      <c r="B37" s="5" t="s">
        <v>119</v>
      </c>
      <c r="C37" s="30" t="n">
        <v>0.18</v>
      </c>
      <c r="D37" s="31" t="s">
        <v>150</v>
      </c>
      <c r="E37" s="32" t="s">
        <v>109</v>
      </c>
      <c r="H37" s="32" t="s">
        <v>155</v>
      </c>
    </row>
    <row r="38" customFormat="false" ht="35.05" hidden="false" customHeight="false" outlineLevel="0" collapsed="false">
      <c r="A38" s="2" t="s">
        <v>147</v>
      </c>
      <c r="B38" s="5" t="s">
        <v>102</v>
      </c>
      <c r="C38" s="30" t="n">
        <v>0.18</v>
      </c>
      <c r="D38" s="31" t="s">
        <v>150</v>
      </c>
      <c r="E38" s="32" t="s">
        <v>136</v>
      </c>
      <c r="F38" s="32" t="s">
        <v>151</v>
      </c>
      <c r="H38" s="32" t="s">
        <v>156</v>
      </c>
    </row>
    <row r="40" customFormat="false" ht="23.85" hidden="false" customHeight="false" outlineLevel="0" collapsed="false">
      <c r="A40" s="3" t="s">
        <v>157</v>
      </c>
      <c r="B40" s="24" t="s">
        <v>158</v>
      </c>
      <c r="C40" s="17" t="n">
        <v>4.45</v>
      </c>
      <c r="D40" s="26" t="s">
        <v>159</v>
      </c>
      <c r="E40" s="27" t="s">
        <v>86</v>
      </c>
      <c r="F40" s="27" t="s">
        <v>109</v>
      </c>
      <c r="G40" s="28"/>
      <c r="H40" s="4"/>
      <c r="I40" s="35" t="n">
        <f aca="false">IF(COUNT(C41:C45)&gt;0,MIN(C41:C45),"")</f>
        <v>4.4</v>
      </c>
      <c r="J40" s="35" t="n">
        <f aca="false">IF(COUNT(C41:C45)&gt;0,MAX(C41:C45),"")</f>
        <v>4.485</v>
      </c>
      <c r="K40" s="26" t="s">
        <v>141</v>
      </c>
    </row>
    <row r="41" customFormat="false" ht="15" hidden="false" customHeight="false" outlineLevel="0" collapsed="false">
      <c r="A41" s="2" t="s">
        <v>157</v>
      </c>
      <c r="B41" s="5" t="s">
        <v>88</v>
      </c>
      <c r="C41" s="6" t="n">
        <v>4.41</v>
      </c>
      <c r="D41" s="31" t="s">
        <v>160</v>
      </c>
      <c r="E41" s="32" t="s">
        <v>86</v>
      </c>
      <c r="H41" s="32" t="s">
        <v>90</v>
      </c>
    </row>
    <row r="42" customFormat="false" ht="15" hidden="false" customHeight="false" outlineLevel="0" collapsed="false">
      <c r="A42" s="2" t="s">
        <v>157</v>
      </c>
      <c r="B42" s="5" t="s">
        <v>91</v>
      </c>
      <c r="C42" s="6" t="n">
        <v>4.4</v>
      </c>
      <c r="D42" s="31" t="s">
        <v>161</v>
      </c>
      <c r="E42" s="32" t="s">
        <v>86</v>
      </c>
      <c r="H42" s="32" t="s">
        <v>93</v>
      </c>
    </row>
    <row r="43" customFormat="false" ht="15" hidden="false" customHeight="false" outlineLevel="0" collapsed="false">
      <c r="A43" s="2" t="s">
        <v>157</v>
      </c>
      <c r="B43" s="5" t="s">
        <v>94</v>
      </c>
      <c r="C43" s="6" t="n">
        <v>4.485</v>
      </c>
      <c r="D43" s="31" t="s">
        <v>162</v>
      </c>
      <c r="E43" s="32" t="s">
        <v>96</v>
      </c>
      <c r="F43" s="32" t="s">
        <v>109</v>
      </c>
      <c r="H43" s="32" t="s">
        <v>163</v>
      </c>
    </row>
    <row r="44" customFormat="false" ht="15" hidden="false" customHeight="false" outlineLevel="0" collapsed="false">
      <c r="A44" s="2" t="s">
        <v>157</v>
      </c>
      <c r="B44" s="5" t="s">
        <v>119</v>
      </c>
      <c r="C44" s="6" t="n">
        <v>4.45</v>
      </c>
      <c r="D44" s="31" t="s">
        <v>164</v>
      </c>
      <c r="E44" s="32" t="s">
        <v>113</v>
      </c>
      <c r="F44" s="32" t="s">
        <v>100</v>
      </c>
      <c r="H44" s="32" t="s">
        <v>165</v>
      </c>
    </row>
    <row r="45" customFormat="false" ht="15" hidden="false" customHeight="false" outlineLevel="0" collapsed="false">
      <c r="A45" s="2" t="s">
        <v>157</v>
      </c>
      <c r="B45" s="5" t="s">
        <v>102</v>
      </c>
      <c r="C45" s="6" t="n">
        <v>4.475</v>
      </c>
      <c r="D45" s="31" t="s">
        <v>166</v>
      </c>
      <c r="E45" s="32" t="s">
        <v>86</v>
      </c>
      <c r="H45" s="32" t="s">
        <v>104</v>
      </c>
    </row>
    <row r="47" customFormat="false" ht="23.85" hidden="false" customHeight="false" outlineLevel="0" collapsed="false">
      <c r="A47" s="3" t="s">
        <v>167</v>
      </c>
      <c r="B47" s="24" t="s">
        <v>168</v>
      </c>
      <c r="C47" s="17" t="n">
        <v>4.6</v>
      </c>
      <c r="D47" s="26" t="s">
        <v>169</v>
      </c>
      <c r="E47" s="27" t="s">
        <v>86</v>
      </c>
      <c r="F47" s="28"/>
      <c r="G47" s="28"/>
      <c r="H47" s="4"/>
      <c r="I47" s="35" t="n">
        <f aca="false">IF(COUNT(C48:C52)&gt;0,MIN(C48:C52),"")</f>
        <v>4.5</v>
      </c>
      <c r="J47" s="35" t="n">
        <f aca="false">IF(COUNT(C48:C52)&gt;0,MAX(C48:C52),"")</f>
        <v>4.75</v>
      </c>
      <c r="K47" s="26" t="s">
        <v>141</v>
      </c>
    </row>
    <row r="48" customFormat="false" ht="15" hidden="false" customHeight="false" outlineLevel="0" collapsed="false">
      <c r="A48" s="2" t="s">
        <v>167</v>
      </c>
      <c r="B48" s="5" t="s">
        <v>88</v>
      </c>
      <c r="C48" s="6" t="n">
        <v>4.5</v>
      </c>
      <c r="D48" s="31" t="s">
        <v>170</v>
      </c>
      <c r="E48" s="32" t="s">
        <v>86</v>
      </c>
      <c r="H48" s="32" t="s">
        <v>90</v>
      </c>
    </row>
    <row r="49" customFormat="false" ht="15" hidden="false" customHeight="false" outlineLevel="0" collapsed="false">
      <c r="A49" s="2" t="s">
        <v>167</v>
      </c>
      <c r="B49" s="5" t="s">
        <v>91</v>
      </c>
      <c r="C49" s="6" t="n">
        <v>4.5</v>
      </c>
      <c r="D49" s="31" t="s">
        <v>171</v>
      </c>
      <c r="E49" s="32" t="s">
        <v>86</v>
      </c>
      <c r="H49" s="32" t="s">
        <v>93</v>
      </c>
    </row>
    <row r="50" customFormat="false" ht="15" hidden="false" customHeight="false" outlineLevel="0" collapsed="false">
      <c r="A50" s="2" t="s">
        <v>167</v>
      </c>
      <c r="B50" s="5" t="s">
        <v>94</v>
      </c>
      <c r="C50" s="6" t="n">
        <v>4.7</v>
      </c>
      <c r="D50" s="31" t="s">
        <v>172</v>
      </c>
      <c r="E50" s="32" t="s">
        <v>96</v>
      </c>
      <c r="H50" s="32" t="s">
        <v>97</v>
      </c>
    </row>
    <row r="51" customFormat="false" ht="15" hidden="false" customHeight="false" outlineLevel="0" collapsed="false">
      <c r="A51" s="2" t="s">
        <v>167</v>
      </c>
      <c r="B51" s="5" t="s">
        <v>119</v>
      </c>
      <c r="C51" s="6" t="n">
        <v>4.75</v>
      </c>
      <c r="D51" s="31" t="s">
        <v>173</v>
      </c>
      <c r="E51" s="32" t="s">
        <v>100</v>
      </c>
      <c r="H51" s="32" t="s">
        <v>101</v>
      </c>
    </row>
    <row r="52" customFormat="false" ht="15" hidden="false" customHeight="false" outlineLevel="0" collapsed="false">
      <c r="A52" s="2" t="s">
        <v>167</v>
      </c>
      <c r="B52" s="5" t="s">
        <v>102</v>
      </c>
      <c r="C52" s="6" t="n">
        <v>4.55</v>
      </c>
      <c r="D52" s="31" t="s">
        <v>174</v>
      </c>
      <c r="E52" s="32" t="s">
        <v>86</v>
      </c>
      <c r="H52" s="32" t="s">
        <v>104</v>
      </c>
    </row>
    <row r="54" customFormat="false" ht="46.25" hidden="false" customHeight="false" outlineLevel="0" collapsed="false">
      <c r="A54" s="3" t="s">
        <v>175</v>
      </c>
      <c r="B54" s="24" t="s">
        <v>176</v>
      </c>
      <c r="C54" s="36" t="n">
        <v>18.75</v>
      </c>
      <c r="D54" s="26" t="s">
        <v>177</v>
      </c>
      <c r="E54" s="27" t="s">
        <v>178</v>
      </c>
      <c r="F54" s="27" t="s">
        <v>179</v>
      </c>
      <c r="G54" s="27" t="s">
        <v>180</v>
      </c>
      <c r="H54" s="4"/>
      <c r="I54" s="37" t="n">
        <f aca="false">IF(COUNT(C55:C59)&gt;0,MIN(C55:C59),"")</f>
        <v>18.5</v>
      </c>
      <c r="J54" s="37" t="n">
        <f aca="false">IF(COUNT(C55:C59)&gt;0,MAX(C55:C59),"")</f>
        <v>19</v>
      </c>
      <c r="K54" s="26" t="s">
        <v>141</v>
      </c>
    </row>
    <row r="55" customFormat="false" ht="46.25" hidden="false" customHeight="false" outlineLevel="0" collapsed="false">
      <c r="A55" s="2" t="s">
        <v>175</v>
      </c>
      <c r="B55" s="5" t="s">
        <v>181</v>
      </c>
      <c r="C55" s="38" t="n">
        <v>19</v>
      </c>
      <c r="D55" s="31" t="s">
        <v>182</v>
      </c>
      <c r="E55" s="32" t="s">
        <v>183</v>
      </c>
      <c r="F55" s="32" t="s">
        <v>184</v>
      </c>
      <c r="G55" s="32" t="s">
        <v>185</v>
      </c>
      <c r="H55" s="32" t="s">
        <v>186</v>
      </c>
    </row>
    <row r="56" customFormat="false" ht="35.05" hidden="false" customHeight="false" outlineLevel="0" collapsed="false">
      <c r="A56" s="2" t="s">
        <v>175</v>
      </c>
      <c r="B56" s="5" t="s">
        <v>187</v>
      </c>
      <c r="C56" s="38" t="n">
        <v>19</v>
      </c>
      <c r="D56" s="31" t="s">
        <v>188</v>
      </c>
      <c r="E56" s="32" t="s">
        <v>183</v>
      </c>
      <c r="F56" s="32" t="s">
        <v>184</v>
      </c>
      <c r="G56" s="32" t="s">
        <v>185</v>
      </c>
      <c r="H56" s="32" t="s">
        <v>186</v>
      </c>
    </row>
    <row r="57" customFormat="false" ht="46.25" hidden="false" customHeight="false" outlineLevel="0" collapsed="false">
      <c r="A57" s="2" t="s">
        <v>175</v>
      </c>
      <c r="B57" s="5" t="s">
        <v>189</v>
      </c>
      <c r="C57" s="38" t="n">
        <v>18.5</v>
      </c>
      <c r="D57" s="31" t="s">
        <v>190</v>
      </c>
      <c r="E57" s="32" t="s">
        <v>183</v>
      </c>
      <c r="F57" s="32" t="s">
        <v>184</v>
      </c>
      <c r="G57" s="32" t="s">
        <v>185</v>
      </c>
      <c r="H57" s="32" t="s">
        <v>186</v>
      </c>
    </row>
    <row r="58" customFormat="false" ht="46.25" hidden="false" customHeight="false" outlineLevel="0" collapsed="false">
      <c r="A58" s="2" t="s">
        <v>175</v>
      </c>
      <c r="B58" s="5" t="s">
        <v>191</v>
      </c>
      <c r="C58" s="38" t="n">
        <v>18.5</v>
      </c>
      <c r="D58" s="31" t="s">
        <v>192</v>
      </c>
      <c r="E58" s="32" t="s">
        <v>183</v>
      </c>
      <c r="F58" s="32" t="s">
        <v>184</v>
      </c>
      <c r="G58" s="32" t="s">
        <v>185</v>
      </c>
      <c r="H58" s="32" t="s">
        <v>186</v>
      </c>
    </row>
    <row r="59" customFormat="false" ht="15" hidden="false" customHeight="false" outlineLevel="0" collapsed="false">
      <c r="A59" s="2" t="s">
        <v>175</v>
      </c>
      <c r="B59" s="5" t="s">
        <v>193</v>
      </c>
      <c r="C59" s="38" t="n">
        <v>18.5</v>
      </c>
      <c r="D59" s="31" t="s">
        <v>194</v>
      </c>
      <c r="E59" s="32" t="s">
        <v>178</v>
      </c>
      <c r="H59" s="32" t="s">
        <v>195</v>
      </c>
    </row>
    <row r="61" customFormat="false" ht="23.85" hidden="false" customHeight="false" outlineLevel="0" collapsed="false">
      <c r="A61" s="3" t="s">
        <v>196</v>
      </c>
      <c r="B61" s="24" t="s">
        <v>197</v>
      </c>
      <c r="C61" s="25" t="n">
        <v>2.45</v>
      </c>
      <c r="D61" s="26" t="s">
        <v>198</v>
      </c>
      <c r="E61" s="27" t="s">
        <v>109</v>
      </c>
      <c r="F61" s="28"/>
      <c r="G61" s="28"/>
      <c r="H61" s="4"/>
      <c r="I61" s="29" t="n">
        <f aca="false">IF(COUNT(C62:C66)&gt;0,MIN(C62:C66),"")</f>
        <v>2.45</v>
      </c>
      <c r="J61" s="29" t="n">
        <f aca="false">IF(COUNT(C62:C66)&gt;0,MAX(C62:C66),"")</f>
        <v>2.6</v>
      </c>
      <c r="K61" s="26" t="s">
        <v>199</v>
      </c>
    </row>
    <row r="62" customFormat="false" ht="15" hidden="false" customHeight="false" outlineLevel="0" collapsed="false">
      <c r="A62" s="2" t="s">
        <v>196</v>
      </c>
      <c r="B62" s="5" t="s">
        <v>88</v>
      </c>
      <c r="C62" s="30" t="n">
        <v>2.45</v>
      </c>
      <c r="D62" s="31" t="s">
        <v>200</v>
      </c>
      <c r="E62" s="32" t="s">
        <v>109</v>
      </c>
      <c r="F62" s="32" t="s">
        <v>151</v>
      </c>
      <c r="H62" s="32" t="s">
        <v>152</v>
      </c>
    </row>
    <row r="63" customFormat="false" ht="15" hidden="false" customHeight="false" outlineLevel="0" collapsed="false">
      <c r="A63" s="2" t="s">
        <v>196</v>
      </c>
      <c r="B63" s="5" t="s">
        <v>91</v>
      </c>
      <c r="C63" s="30" t="n">
        <v>2.45</v>
      </c>
      <c r="D63" s="31" t="s">
        <v>201</v>
      </c>
      <c r="E63" s="32" t="s">
        <v>109</v>
      </c>
      <c r="H63" s="32" t="s">
        <v>130</v>
      </c>
    </row>
    <row r="64" customFormat="false" ht="23.85" hidden="false" customHeight="false" outlineLevel="0" collapsed="false">
      <c r="A64" s="2" t="s">
        <v>196</v>
      </c>
      <c r="B64" s="5" t="s">
        <v>94</v>
      </c>
      <c r="C64" s="30" t="n">
        <v>2.45</v>
      </c>
      <c r="D64" s="31" t="s">
        <v>202</v>
      </c>
      <c r="E64" s="32" t="s">
        <v>109</v>
      </c>
      <c r="H64" s="32" t="s">
        <v>132</v>
      </c>
    </row>
    <row r="65" customFormat="false" ht="15" hidden="false" customHeight="false" outlineLevel="0" collapsed="false">
      <c r="A65" s="2" t="s">
        <v>196</v>
      </c>
      <c r="B65" s="5" t="s">
        <v>119</v>
      </c>
      <c r="C65" s="30" t="n">
        <v>2.45</v>
      </c>
      <c r="D65" s="31" t="s">
        <v>203</v>
      </c>
      <c r="E65" s="32" t="s">
        <v>113</v>
      </c>
      <c r="H65" s="32" t="s">
        <v>134</v>
      </c>
    </row>
    <row r="66" customFormat="false" ht="15" hidden="false" customHeight="false" outlineLevel="0" collapsed="false">
      <c r="A66" s="2" t="s">
        <v>196</v>
      </c>
      <c r="B66" s="5" t="s">
        <v>102</v>
      </c>
      <c r="C66" s="30" t="n">
        <v>2.6</v>
      </c>
      <c r="D66" s="31" t="s">
        <v>204</v>
      </c>
      <c r="E66" s="32" t="s">
        <v>113</v>
      </c>
      <c r="H66" s="32" t="s">
        <v>205</v>
      </c>
    </row>
    <row r="68" customFormat="false" ht="15" hidden="false" customHeight="false" outlineLevel="0" collapsed="false">
      <c r="A68" s="3" t="s">
        <v>206</v>
      </c>
      <c r="B68" s="24" t="s">
        <v>207</v>
      </c>
      <c r="C68" s="17" t="n">
        <v>4.26</v>
      </c>
      <c r="D68" s="26" t="s">
        <v>208</v>
      </c>
      <c r="E68" s="27" t="s">
        <v>109</v>
      </c>
      <c r="F68" s="28"/>
      <c r="G68" s="28"/>
      <c r="H68" s="4"/>
      <c r="I68" s="35" t="n">
        <f aca="false">IF(COUNT(C69:C73)&gt;0,MIN(C69:C73),"")</f>
        <v>4.26</v>
      </c>
      <c r="J68" s="35" t="n">
        <f aca="false">IF(COUNT(C69:C73)&gt;0,MAX(C69:C73),"")</f>
        <v>4.52</v>
      </c>
      <c r="K68" s="26" t="s">
        <v>199</v>
      </c>
    </row>
    <row r="69" customFormat="false" ht="35.05" hidden="false" customHeight="false" outlineLevel="0" collapsed="false">
      <c r="A69" s="2" t="s">
        <v>206</v>
      </c>
      <c r="B69" s="5" t="s">
        <v>29</v>
      </c>
      <c r="C69" s="7" t="s">
        <v>209</v>
      </c>
      <c r="D69" s="31" t="s">
        <v>210</v>
      </c>
    </row>
    <row r="70" customFormat="false" ht="15" hidden="false" customHeight="false" outlineLevel="0" collapsed="false">
      <c r="A70" s="2" t="s">
        <v>206</v>
      </c>
      <c r="B70" s="5" t="s">
        <v>91</v>
      </c>
      <c r="C70" s="6" t="n">
        <v>4.26</v>
      </c>
      <c r="D70" s="31" t="s">
        <v>211</v>
      </c>
      <c r="E70" s="32" t="s">
        <v>109</v>
      </c>
      <c r="H70" s="32" t="s">
        <v>130</v>
      </c>
    </row>
    <row r="71" customFormat="false" ht="15" hidden="false" customHeight="false" outlineLevel="0" collapsed="false">
      <c r="A71" s="2" t="s">
        <v>206</v>
      </c>
      <c r="B71" s="5" t="s">
        <v>94</v>
      </c>
      <c r="C71" s="6" t="n">
        <v>4.26</v>
      </c>
      <c r="D71" s="31" t="s">
        <v>212</v>
      </c>
      <c r="E71" s="32" t="s">
        <v>109</v>
      </c>
      <c r="H71" s="32" t="s">
        <v>132</v>
      </c>
    </row>
    <row r="72" customFormat="false" ht="15" hidden="false" customHeight="false" outlineLevel="0" collapsed="false">
      <c r="A72" s="2" t="s">
        <v>206</v>
      </c>
      <c r="B72" s="5" t="s">
        <v>119</v>
      </c>
      <c r="C72" s="6" t="n">
        <v>4.26</v>
      </c>
      <c r="D72" s="31" t="s">
        <v>213</v>
      </c>
      <c r="E72" s="32" t="s">
        <v>113</v>
      </c>
      <c r="H72" s="32" t="s">
        <v>134</v>
      </c>
    </row>
    <row r="73" customFormat="false" ht="15" hidden="false" customHeight="false" outlineLevel="0" collapsed="false">
      <c r="A73" s="2" t="s">
        <v>206</v>
      </c>
      <c r="B73" s="5" t="s">
        <v>102</v>
      </c>
      <c r="C73" s="6" t="n">
        <v>4.52</v>
      </c>
      <c r="D73" s="31" t="s">
        <v>214</v>
      </c>
      <c r="E73" s="32" t="s">
        <v>113</v>
      </c>
      <c r="H73" s="32" t="s">
        <v>205</v>
      </c>
    </row>
    <row r="75" customFormat="false" ht="35.05" hidden="false" customHeight="false" outlineLevel="0" collapsed="false">
      <c r="A75" s="3" t="s">
        <v>215</v>
      </c>
      <c r="B75" s="24" t="s">
        <v>216</v>
      </c>
      <c r="C75" s="33" t="n">
        <v>0.05</v>
      </c>
      <c r="D75" s="26" t="s">
        <v>217</v>
      </c>
      <c r="E75" s="27" t="s">
        <v>178</v>
      </c>
      <c r="F75" s="27" t="s">
        <v>179</v>
      </c>
      <c r="G75" s="27" t="s">
        <v>180</v>
      </c>
      <c r="H75" s="4"/>
      <c r="I75" s="34" t="n">
        <f aca="false">IF(COUNT(C76:C80)&gt;0,MIN(C76:C80),"")</f>
        <v>0.0475</v>
      </c>
      <c r="J75" s="34" t="n">
        <f aca="false">IF(COUNT(C76:C80)&gt;0,MAX(C76:C80),"")</f>
        <v>0.052</v>
      </c>
      <c r="K75" s="26" t="s">
        <v>199</v>
      </c>
    </row>
    <row r="76" customFormat="false" ht="23.85" hidden="false" customHeight="false" outlineLevel="0" collapsed="false">
      <c r="A76" s="2" t="s">
        <v>215</v>
      </c>
      <c r="B76" s="5" t="s">
        <v>181</v>
      </c>
      <c r="C76" s="12" t="n">
        <v>0.048</v>
      </c>
      <c r="D76" s="31" t="s">
        <v>218</v>
      </c>
      <c r="E76" s="32" t="s">
        <v>183</v>
      </c>
      <c r="F76" s="32" t="s">
        <v>184</v>
      </c>
      <c r="G76" s="32" t="s">
        <v>185</v>
      </c>
      <c r="H76" s="32" t="s">
        <v>186</v>
      </c>
    </row>
    <row r="77" customFormat="false" ht="23.85" hidden="false" customHeight="false" outlineLevel="0" collapsed="false">
      <c r="A77" s="2" t="s">
        <v>215</v>
      </c>
      <c r="B77" s="5" t="s">
        <v>187</v>
      </c>
      <c r="C77" s="12" t="n">
        <v>0.05</v>
      </c>
      <c r="D77" s="31" t="s">
        <v>219</v>
      </c>
      <c r="E77" s="32" t="s">
        <v>183</v>
      </c>
      <c r="F77" s="32" t="s">
        <v>184</v>
      </c>
      <c r="G77" s="32" t="s">
        <v>185</v>
      </c>
      <c r="H77" s="32" t="s">
        <v>186</v>
      </c>
    </row>
    <row r="78" customFormat="false" ht="23.85" hidden="false" customHeight="false" outlineLevel="0" collapsed="false">
      <c r="A78" s="2" t="s">
        <v>215</v>
      </c>
      <c r="B78" s="5" t="s">
        <v>189</v>
      </c>
      <c r="C78" s="12" t="n">
        <v>0.0475</v>
      </c>
      <c r="D78" s="31" t="s">
        <v>220</v>
      </c>
      <c r="E78" s="32" t="s">
        <v>183</v>
      </c>
      <c r="F78" s="32" t="s">
        <v>184</v>
      </c>
      <c r="G78" s="32" t="s">
        <v>185</v>
      </c>
      <c r="H78" s="32" t="s">
        <v>186</v>
      </c>
    </row>
    <row r="79" customFormat="false" ht="23.85" hidden="false" customHeight="false" outlineLevel="0" collapsed="false">
      <c r="A79" s="2" t="s">
        <v>215</v>
      </c>
      <c r="B79" s="5" t="s">
        <v>191</v>
      </c>
      <c r="C79" s="12" t="n">
        <v>0.05</v>
      </c>
      <c r="D79" s="31" t="s">
        <v>221</v>
      </c>
      <c r="E79" s="32" t="s">
        <v>183</v>
      </c>
      <c r="F79" s="32" t="s">
        <v>184</v>
      </c>
      <c r="G79" s="32" t="s">
        <v>185</v>
      </c>
      <c r="H79" s="32" t="s">
        <v>186</v>
      </c>
    </row>
    <row r="80" customFormat="false" ht="15" hidden="false" customHeight="false" outlineLevel="0" collapsed="false">
      <c r="A80" s="2" t="s">
        <v>215</v>
      </c>
      <c r="B80" s="5" t="s">
        <v>193</v>
      </c>
      <c r="C80" s="12" t="n">
        <v>0.052</v>
      </c>
      <c r="D80" s="31" t="s">
        <v>222</v>
      </c>
      <c r="E80" s="32" t="s">
        <v>178</v>
      </c>
      <c r="H80" s="32" t="s">
        <v>195</v>
      </c>
    </row>
    <row r="82" customFormat="false" ht="15" hidden="false" customHeight="false" outlineLevel="0" collapsed="false">
      <c r="A82" s="3" t="s">
        <v>223</v>
      </c>
      <c r="B82" s="24" t="s">
        <v>224</v>
      </c>
      <c r="C82" s="25" t="n">
        <v>3.2</v>
      </c>
      <c r="D82" s="26" t="s">
        <v>225</v>
      </c>
      <c r="E82" s="27" t="s">
        <v>109</v>
      </c>
      <c r="F82" s="27" t="s">
        <v>151</v>
      </c>
      <c r="G82" s="28"/>
      <c r="H82" s="4"/>
      <c r="I82" s="29" t="n">
        <f aca="false">IF(COUNT(C83:C87)&gt;0,MIN(C83:C87),"")</f>
        <v>3.1</v>
      </c>
      <c r="J82" s="29" t="n">
        <f aca="false">IF(COUNT(C83:C87)&gt;0,MAX(C83:C87),"")</f>
        <v>3.26</v>
      </c>
      <c r="K82" s="26" t="s">
        <v>226</v>
      </c>
    </row>
    <row r="83" customFormat="false" ht="46.25" hidden="false" customHeight="false" outlineLevel="0" collapsed="false">
      <c r="A83" s="2" t="s">
        <v>223</v>
      </c>
      <c r="B83" s="5" t="s">
        <v>88</v>
      </c>
      <c r="C83" s="30" t="n">
        <v>3.1</v>
      </c>
      <c r="D83" s="31" t="s">
        <v>227</v>
      </c>
      <c r="E83" s="32" t="s">
        <v>109</v>
      </c>
      <c r="F83" s="32" t="s">
        <v>151</v>
      </c>
      <c r="H83" s="32" t="s">
        <v>152</v>
      </c>
    </row>
    <row r="84" customFormat="false" ht="35.05" hidden="false" customHeight="false" outlineLevel="0" collapsed="false">
      <c r="A84" s="2" t="s">
        <v>223</v>
      </c>
      <c r="B84" s="5" t="s">
        <v>91</v>
      </c>
      <c r="C84" s="30" t="n">
        <v>3.15</v>
      </c>
      <c r="D84" s="31" t="s">
        <v>228</v>
      </c>
      <c r="E84" s="32" t="s">
        <v>109</v>
      </c>
      <c r="F84" s="32" t="s">
        <v>229</v>
      </c>
      <c r="H84" s="32" t="s">
        <v>230</v>
      </c>
    </row>
    <row r="85" customFormat="false" ht="46.25" hidden="false" customHeight="false" outlineLevel="0" collapsed="false">
      <c r="A85" s="2" t="s">
        <v>223</v>
      </c>
      <c r="B85" s="5" t="s">
        <v>94</v>
      </c>
      <c r="C85" s="30" t="n">
        <v>3.25</v>
      </c>
      <c r="D85" s="31" t="s">
        <v>231</v>
      </c>
      <c r="E85" s="32" t="s">
        <v>109</v>
      </c>
      <c r="F85" s="32" t="s">
        <v>229</v>
      </c>
      <c r="H85" s="32" t="s">
        <v>232</v>
      </c>
    </row>
    <row r="86" customFormat="false" ht="46.25" hidden="false" customHeight="false" outlineLevel="0" collapsed="false">
      <c r="A86" s="2" t="s">
        <v>223</v>
      </c>
      <c r="B86" s="5" t="s">
        <v>119</v>
      </c>
      <c r="C86" s="30" t="n">
        <v>3.26</v>
      </c>
      <c r="D86" s="31" t="s">
        <v>233</v>
      </c>
      <c r="E86" s="32" t="s">
        <v>109</v>
      </c>
      <c r="F86" s="32" t="s">
        <v>229</v>
      </c>
      <c r="H86" s="32" t="s">
        <v>234</v>
      </c>
    </row>
    <row r="87" customFormat="false" ht="46.25" hidden="false" customHeight="false" outlineLevel="0" collapsed="false">
      <c r="A87" s="2" t="s">
        <v>223</v>
      </c>
      <c r="B87" s="5" t="s">
        <v>102</v>
      </c>
      <c r="C87" s="30" t="n">
        <v>3.2</v>
      </c>
      <c r="D87" s="31" t="s">
        <v>235</v>
      </c>
      <c r="E87" s="32" t="s">
        <v>136</v>
      </c>
      <c r="F87" s="32" t="s">
        <v>151</v>
      </c>
      <c r="H87" s="32" t="s">
        <v>156</v>
      </c>
    </row>
    <row r="89" customFormat="false" ht="35.05" hidden="false" customHeight="false" outlineLevel="0" collapsed="false">
      <c r="A89" s="3" t="s">
        <v>236</v>
      </c>
      <c r="B89" s="24" t="s">
        <v>237</v>
      </c>
      <c r="C89" s="36" t="n">
        <v>16</v>
      </c>
      <c r="D89" s="26" t="s">
        <v>238</v>
      </c>
      <c r="E89" s="27" t="s">
        <v>178</v>
      </c>
      <c r="F89" s="27" t="s">
        <v>179</v>
      </c>
      <c r="G89" s="27" t="s">
        <v>180</v>
      </c>
      <c r="H89" s="4"/>
      <c r="I89" s="37" t="n">
        <f aca="false">IF(COUNT(C90:C94)&gt;0,MIN(C90:C94),"")</f>
        <v>14</v>
      </c>
      <c r="J89" s="37" t="n">
        <f aca="false">IF(COUNT(C90:C94)&gt;0,MAX(C90:C94),"")</f>
        <v>16</v>
      </c>
      <c r="K89" s="26" t="s">
        <v>226</v>
      </c>
    </row>
    <row r="90" customFormat="false" ht="35.05" hidden="false" customHeight="false" outlineLevel="0" collapsed="false">
      <c r="A90" s="2" t="s">
        <v>236</v>
      </c>
      <c r="B90" s="5" t="s">
        <v>181</v>
      </c>
      <c r="C90" s="38" t="n">
        <v>15.5</v>
      </c>
      <c r="D90" s="31" t="s">
        <v>239</v>
      </c>
      <c r="E90" s="32" t="s">
        <v>183</v>
      </c>
      <c r="F90" s="32" t="s">
        <v>184</v>
      </c>
      <c r="G90" s="32" t="s">
        <v>185</v>
      </c>
      <c r="H90" s="32" t="s">
        <v>186</v>
      </c>
    </row>
    <row r="91" customFormat="false" ht="35.05" hidden="false" customHeight="false" outlineLevel="0" collapsed="false">
      <c r="A91" s="2" t="s">
        <v>236</v>
      </c>
      <c r="B91" s="5" t="s">
        <v>187</v>
      </c>
      <c r="C91" s="38" t="n">
        <v>15</v>
      </c>
      <c r="D91" s="31" t="s">
        <v>240</v>
      </c>
      <c r="E91" s="32" t="s">
        <v>183</v>
      </c>
      <c r="F91" s="32" t="s">
        <v>184</v>
      </c>
      <c r="G91" s="32" t="s">
        <v>185</v>
      </c>
      <c r="H91" s="32" t="s">
        <v>186</v>
      </c>
    </row>
    <row r="92" customFormat="false" ht="46.25" hidden="false" customHeight="false" outlineLevel="0" collapsed="false">
      <c r="A92" s="2" t="s">
        <v>236</v>
      </c>
      <c r="B92" s="5" t="s">
        <v>189</v>
      </c>
      <c r="C92" s="38" t="n">
        <v>15</v>
      </c>
      <c r="D92" s="31" t="s">
        <v>241</v>
      </c>
      <c r="E92" s="32" t="s">
        <v>183</v>
      </c>
      <c r="F92" s="32" t="s">
        <v>184</v>
      </c>
      <c r="G92" s="32" t="s">
        <v>185</v>
      </c>
      <c r="H92" s="32" t="s">
        <v>186</v>
      </c>
    </row>
    <row r="93" customFormat="false" ht="46.25" hidden="false" customHeight="false" outlineLevel="0" collapsed="false">
      <c r="A93" s="2" t="s">
        <v>236</v>
      </c>
      <c r="B93" s="5" t="s">
        <v>191</v>
      </c>
      <c r="C93" s="38" t="n">
        <v>14</v>
      </c>
      <c r="D93" s="31" t="s">
        <v>242</v>
      </c>
      <c r="E93" s="32" t="s">
        <v>183</v>
      </c>
      <c r="F93" s="32" t="s">
        <v>184</v>
      </c>
      <c r="G93" s="32" t="s">
        <v>185</v>
      </c>
      <c r="H93" s="32" t="s">
        <v>186</v>
      </c>
    </row>
    <row r="94" customFormat="false" ht="35.05" hidden="false" customHeight="false" outlineLevel="0" collapsed="false">
      <c r="A94" s="2" t="s">
        <v>236</v>
      </c>
      <c r="B94" s="5" t="s">
        <v>193</v>
      </c>
      <c r="C94" s="38" t="n">
        <v>16</v>
      </c>
      <c r="D94" s="31" t="s">
        <v>243</v>
      </c>
      <c r="E94" s="32" t="s">
        <v>178</v>
      </c>
      <c r="F94" s="32" t="s">
        <v>183</v>
      </c>
      <c r="G94" s="32" t="s">
        <v>184</v>
      </c>
      <c r="H94" s="32" t="s">
        <v>244</v>
      </c>
    </row>
    <row r="96" customFormat="false" ht="15" hidden="false" customHeight="false" outlineLevel="0" collapsed="false">
      <c r="A96" s="3" t="s">
        <v>245</v>
      </c>
      <c r="B96" s="24" t="s">
        <v>246</v>
      </c>
      <c r="C96" s="25" t="n">
        <v>3.8</v>
      </c>
      <c r="D96" s="26" t="s">
        <v>247</v>
      </c>
      <c r="E96" s="27" t="s">
        <v>109</v>
      </c>
      <c r="F96" s="27" t="s">
        <v>151</v>
      </c>
      <c r="G96" s="28"/>
      <c r="H96" s="4"/>
      <c r="I96" s="29" t="n">
        <f aca="false">IF(COUNT(C97:C101)&gt;0,MIN(C97:C101),"")</f>
        <v>3.8</v>
      </c>
      <c r="J96" s="29" t="n">
        <f aca="false">IF(COUNT(C97:C101)&gt;0,MAX(C97:C101),"")</f>
        <v>3.8</v>
      </c>
      <c r="K96" s="26" t="s">
        <v>248</v>
      </c>
    </row>
    <row r="97" customFormat="false" ht="15" hidden="false" customHeight="false" outlineLevel="0" collapsed="false">
      <c r="A97" s="2" t="s">
        <v>245</v>
      </c>
      <c r="B97" s="5" t="s">
        <v>88</v>
      </c>
      <c r="C97" s="30" t="n">
        <v>3.8</v>
      </c>
      <c r="D97" s="31" t="s">
        <v>249</v>
      </c>
      <c r="E97" s="32" t="s">
        <v>113</v>
      </c>
      <c r="F97" s="32" t="s">
        <v>109</v>
      </c>
      <c r="G97" s="32" t="s">
        <v>151</v>
      </c>
      <c r="H97" s="32" t="s">
        <v>250</v>
      </c>
    </row>
    <row r="98" customFormat="false" ht="15" hidden="false" customHeight="false" outlineLevel="0" collapsed="false">
      <c r="A98" s="2" t="s">
        <v>245</v>
      </c>
      <c r="B98" s="5" t="s">
        <v>91</v>
      </c>
      <c r="C98" s="30" t="n">
        <v>3.8</v>
      </c>
      <c r="D98" s="31" t="s">
        <v>251</v>
      </c>
      <c r="E98" s="32" t="s">
        <v>109</v>
      </c>
      <c r="F98" s="32" t="s">
        <v>108</v>
      </c>
      <c r="H98" s="32" t="s">
        <v>252</v>
      </c>
    </row>
    <row r="99" customFormat="false" ht="15" hidden="false" customHeight="false" outlineLevel="0" collapsed="false">
      <c r="A99" s="2" t="s">
        <v>245</v>
      </c>
      <c r="B99" s="5" t="s">
        <v>94</v>
      </c>
      <c r="C99" s="30" t="n">
        <v>3.8</v>
      </c>
      <c r="D99" s="31" t="s">
        <v>253</v>
      </c>
      <c r="E99" s="32" t="s">
        <v>109</v>
      </c>
      <c r="F99" s="32" t="s">
        <v>108</v>
      </c>
      <c r="H99" s="32" t="s">
        <v>254</v>
      </c>
    </row>
    <row r="100" customFormat="false" ht="15" hidden="false" customHeight="false" outlineLevel="0" collapsed="false">
      <c r="A100" s="2" t="s">
        <v>245</v>
      </c>
      <c r="B100" s="5" t="s">
        <v>119</v>
      </c>
      <c r="C100" s="30" t="n">
        <v>3.8</v>
      </c>
      <c r="D100" s="31" t="s">
        <v>255</v>
      </c>
      <c r="E100" s="32" t="s">
        <v>113</v>
      </c>
      <c r="F100" s="32" t="s">
        <v>256</v>
      </c>
      <c r="H100" s="32" t="s">
        <v>257</v>
      </c>
    </row>
    <row r="101" customFormat="false" ht="15" hidden="false" customHeight="false" outlineLevel="0" collapsed="false">
      <c r="A101" s="2" t="s">
        <v>245</v>
      </c>
      <c r="B101" s="5" t="s">
        <v>102</v>
      </c>
      <c r="C101" s="30" t="n">
        <v>3.8</v>
      </c>
      <c r="D101" s="31" t="s">
        <v>258</v>
      </c>
      <c r="E101" s="32" t="s">
        <v>113</v>
      </c>
      <c r="F101" s="32" t="s">
        <v>151</v>
      </c>
      <c r="H101" s="32" t="s">
        <v>259</v>
      </c>
    </row>
    <row r="103" customFormat="false" ht="23.85" hidden="false" customHeight="false" outlineLevel="0" collapsed="false">
      <c r="A103" s="3" t="s">
        <v>260</v>
      </c>
      <c r="B103" s="24" t="s">
        <v>261</v>
      </c>
      <c r="C103" s="39" t="n">
        <v>0.575</v>
      </c>
      <c r="D103" s="26" t="s">
        <v>262</v>
      </c>
      <c r="E103" s="27" t="s">
        <v>109</v>
      </c>
      <c r="F103" s="28"/>
      <c r="G103" s="28"/>
      <c r="H103" s="4"/>
      <c r="I103" s="40" t="n">
        <f aca="false">IF(COUNT(C104:C108)&gt;0,MIN(C104:C108),"")</f>
        <v>0.575</v>
      </c>
      <c r="J103" s="40" t="n">
        <f aca="false">IF(COUNT(C104:C108)&gt;0,MAX(C104:C108),"")</f>
        <v>0.575</v>
      </c>
      <c r="K103" s="26" t="s">
        <v>87</v>
      </c>
    </row>
    <row r="104" customFormat="false" ht="15" hidden="false" customHeight="false" outlineLevel="0" collapsed="false">
      <c r="A104" s="2" t="s">
        <v>260</v>
      </c>
      <c r="B104" s="5" t="s">
        <v>263</v>
      </c>
      <c r="C104" s="41" t="n">
        <v>0.575</v>
      </c>
      <c r="D104" s="31" t="s">
        <v>264</v>
      </c>
      <c r="E104" s="32" t="s">
        <v>109</v>
      </c>
      <c r="H104" s="32" t="s">
        <v>128</v>
      </c>
    </row>
    <row r="105" customFormat="false" ht="15" hidden="false" customHeight="false" outlineLevel="0" collapsed="false">
      <c r="A105" s="2" t="s">
        <v>260</v>
      </c>
      <c r="B105" s="5" t="s">
        <v>265</v>
      </c>
      <c r="C105" s="41" t="n">
        <v>0.575</v>
      </c>
      <c r="D105" s="31" t="s">
        <v>266</v>
      </c>
      <c r="E105" s="32" t="s">
        <v>109</v>
      </c>
      <c r="H105" s="32" t="s">
        <v>130</v>
      </c>
    </row>
    <row r="106" customFormat="false" ht="15" hidden="false" customHeight="false" outlineLevel="0" collapsed="false">
      <c r="A106" s="2" t="s">
        <v>260</v>
      </c>
      <c r="B106" s="5" t="s">
        <v>267</v>
      </c>
      <c r="C106" s="41" t="n">
        <v>0.575</v>
      </c>
      <c r="D106" s="31" t="s">
        <v>268</v>
      </c>
      <c r="E106" s="32" t="s">
        <v>109</v>
      </c>
      <c r="H106" s="32" t="s">
        <v>132</v>
      </c>
    </row>
    <row r="107" customFormat="false" ht="15" hidden="false" customHeight="false" outlineLevel="0" collapsed="false">
      <c r="A107" s="2" t="s">
        <v>260</v>
      </c>
      <c r="B107" s="5" t="s">
        <v>269</v>
      </c>
      <c r="C107" s="41" t="n">
        <v>0.575</v>
      </c>
      <c r="D107" s="31" t="s">
        <v>270</v>
      </c>
      <c r="E107" s="32" t="s">
        <v>113</v>
      </c>
      <c r="F107" s="32" t="s">
        <v>109</v>
      </c>
      <c r="H107" s="32" t="s">
        <v>271</v>
      </c>
    </row>
    <row r="108" customFormat="false" ht="15" hidden="false" customHeight="false" outlineLevel="0" collapsed="false">
      <c r="A108" s="2" t="s">
        <v>260</v>
      </c>
      <c r="B108" s="5" t="s">
        <v>272</v>
      </c>
      <c r="C108" s="41" t="n">
        <v>0.575</v>
      </c>
      <c r="D108" s="31" t="s">
        <v>273</v>
      </c>
      <c r="E108" s="32" t="s">
        <v>136</v>
      </c>
      <c r="F108" s="32" t="s">
        <v>151</v>
      </c>
      <c r="H108" s="32" t="s">
        <v>156</v>
      </c>
    </row>
  </sheetData>
  <hyperlinks>
    <hyperlink ref="E5" r:id="rId1" display="MCHP analyst estimates (StockAnalysis, S&amp;P G…"/>
    <hyperlink ref="E6" r:id="rId2" display="MCHP analyst estimates (StockAnalysis, S&amp;P G…"/>
    <hyperlink ref="H6" location="'Sources'!A9" display="A1.5"/>
    <hyperlink ref="E7" r:id="rId3" display="MCHP analyst estimates (StockAnalysis, S&amp;P G…"/>
    <hyperlink ref="H7" location="'Sources'!A19" display="A2.4"/>
    <hyperlink ref="E8" r:id="rId4" display="MCHP forecast and analyst targets - StockAna…"/>
    <hyperlink ref="H8" location="'Sources'!A29" display="A3.5"/>
    <hyperlink ref="E9" r:id="rId5" display="Microchip Technology (MCHP) Stock Forecast &amp;…"/>
    <hyperlink ref="H9" location="'Sources'!A42" display="A4.8"/>
    <hyperlink ref="E10" r:id="rId6" display="MCHP analyst estimates (StockAnalysis, S&amp;P G…"/>
    <hyperlink ref="H10" location="'Sources'!A53" display="A5.9"/>
    <hyperlink ref="E12" r:id="rId7" display="Microchip at Citi 2026 Global TMT Conference…"/>
    <hyperlink ref="F12" r:id="rId8" display="Microchip Q1 FY2027 results press release (8…"/>
    <hyperlink ref="E13" r:id="rId9" display="Microchip at Citi 2026 Global TMT Conference…"/>
    <hyperlink ref="F13" r:id="rId10" display="Microchip Technology Announces Financial Res…"/>
    <hyperlink ref="H13" location="'Sources'!A8" display="A1.4, A1.1"/>
    <hyperlink ref="E14" r:id="rId11" display="Microchip at Citi 2026 Global TMT Conference…"/>
    <hyperlink ref="F14" r:id="rId12" display="Microchip Q1 FY2027 results press release (8…"/>
    <hyperlink ref="H14" location="'Sources'!A18" display="A2.3, A2.1"/>
    <hyperlink ref="E15" r:id="rId13" display="Microchip at Citi 2026 Global TMT Conference…"/>
    <hyperlink ref="F15" r:id="rId14" display="Microchip Q1 FY2027 results press release (8…"/>
    <hyperlink ref="H15" location="'Sources'!A26" display="A3.2, A3.1"/>
    <hyperlink ref="E16" r:id="rId15" display="Microchip Technology Announces Financial Res…"/>
    <hyperlink ref="F16" r:id="rId16" display="Microchip at Citi 2026 Global TMT Conference…"/>
    <hyperlink ref="H16" location="'Sources'!A35" display="A4.1, A4.5"/>
    <hyperlink ref="E17" r:id="rId17" display="Microchip at Citi 2026 Global TMT Conference…"/>
    <hyperlink ref="F17" r:id="rId18" display="Microchip Technology Announces Financial Res…"/>
    <hyperlink ref="H17" location="'Sources'!A48" display="A5.4, A5.1"/>
    <hyperlink ref="E19" r:id="rId19" display="Microchip Q1 FY2027 results press release (8…"/>
    <hyperlink ref="E20" r:id="rId20" display="Microchip Q1 FY2027 results press release (8…"/>
    <hyperlink ref="H20" location="'Sources'!A6" display="A1.2"/>
    <hyperlink ref="E21" r:id="rId21" display="Microchip Q1 FY2027 results press release (8…"/>
    <hyperlink ref="H21" location="'Sources'!A16" display="A2.1"/>
    <hyperlink ref="E22" r:id="rId22" display="Microchip Q1 FY2027 results press release (8…"/>
    <hyperlink ref="H22" location="'Sources'!A25" display="A3.1"/>
    <hyperlink ref="E23" r:id="rId23" display="Microchip Technology Announces Financial Res…"/>
    <hyperlink ref="H23" location="'Sources'!A35" display="A4.1"/>
    <hyperlink ref="E24" r:id="rId24" display="MCHP 8-K Exhibit 99.1 Q1 FY27"/>
    <hyperlink ref="H24" location="'Sources'!A46" display="A5.2"/>
    <hyperlink ref="E26" r:id="rId25" display="Microchip Q1 FY2027 results press release (8…"/>
    <hyperlink ref="E27" r:id="rId26" display="Microchip Q1 FY2027 results press release (8…"/>
    <hyperlink ref="H27" location="'Sources'!A6" display="A1.2"/>
    <hyperlink ref="E28" r:id="rId27" display="Microchip Q1 FY2027 results press release (8…"/>
    <hyperlink ref="H28" location="'Sources'!A16" display="A2.1"/>
    <hyperlink ref="E29" r:id="rId28" display="Microchip Q1 FY2027 results press release (8…"/>
    <hyperlink ref="H29" location="'Sources'!A25" display="A3.1"/>
    <hyperlink ref="E30" r:id="rId29" display="Microchip Technology Announces Financial Res…"/>
    <hyperlink ref="H30" location="'Sources'!A35" display="A4.1"/>
    <hyperlink ref="E31" r:id="rId30" display="MCHP 8-K Exhibit 99.1 Q1 FY27"/>
    <hyperlink ref="H31" location="'Sources'!A46" display="A5.2"/>
    <hyperlink ref="E33" r:id="rId31" display="Microchip Q1 FY2027 results press release (8…"/>
    <hyperlink ref="E34" r:id="rId32" display="Microchip Q1 FY2027 results press release (8…"/>
    <hyperlink ref="F34" r:id="rId33" display="Microchip Form 10-Q for quarter ended June 3…"/>
    <hyperlink ref="H34" location="'Sources'!A6" display="A1.2, A1.3"/>
    <hyperlink ref="E35" r:id="rId34" display="Microchip Q1 FY2027 results press release (8…"/>
    <hyperlink ref="H35" location="'Sources'!A16" display="A2.1"/>
    <hyperlink ref="E36" r:id="rId35" display="Microchip Q1 FY2027 results press release (8…"/>
    <hyperlink ref="H36" location="'Sources'!A25" display="A3.1"/>
    <hyperlink ref="E37" r:id="rId36" display="Microchip Q1 FY2027 results press release (8…"/>
    <hyperlink ref="H37" location="'Sources'!A36" display="A4.2"/>
    <hyperlink ref="E38" r:id="rId37" display="MCHP 8-K Exhibit 99.1 Q1 FY27"/>
    <hyperlink ref="F38" r:id="rId38" display="Microchip Form 10-Q for quarter ended June 3…"/>
    <hyperlink ref="H38" location="'Sources'!A46" display="A5.2, A5.3"/>
    <hyperlink ref="E40" r:id="rId39" display="MCHP analyst estimates (StockAnalysis, S&amp;P G…"/>
    <hyperlink ref="F40" r:id="rId40" display="Microchip Q1 FY2027 results press release (8…"/>
    <hyperlink ref="E41" r:id="rId41" display="MCHP analyst estimates (StockAnalysis, S&amp;P G…"/>
    <hyperlink ref="H41" location="'Sources'!A9" display="A1.5"/>
    <hyperlink ref="E42" r:id="rId42" display="MCHP analyst estimates (StockAnalysis, S&amp;P G…"/>
    <hyperlink ref="H42" location="'Sources'!A19" display="A2.4"/>
    <hyperlink ref="E43" r:id="rId43" display="MCHP forecast and analyst targets - StockAna…"/>
    <hyperlink ref="F43" r:id="rId44" display="Microchip Q1 FY2027 results press release (8…"/>
    <hyperlink ref="H43" location="'Sources'!A29" display="A3.5, A3.1"/>
    <hyperlink ref="E44" r:id="rId45" display="Microchip Technology Announces Financial Res…"/>
    <hyperlink ref="F44" r:id="rId46" display="Microchip Technology (MCHP) Stock Forecast &amp;…"/>
    <hyperlink ref="H44" location="'Sources'!A35" display="A4.1, A4.8"/>
    <hyperlink ref="E45" r:id="rId47" display="MCHP analyst estimates (StockAnalysis, S&amp;P G…"/>
    <hyperlink ref="H45" location="'Sources'!A53" display="A5.9"/>
    <hyperlink ref="E47" r:id="rId48" display="MCHP analyst estimates (StockAnalysis, S&amp;P G…"/>
    <hyperlink ref="E48" r:id="rId49" display="MCHP analyst estimates (StockAnalysis, S&amp;P G…"/>
    <hyperlink ref="H48" location="'Sources'!A9" display="A1.5"/>
    <hyperlink ref="E49" r:id="rId50" display="MCHP analyst estimates (StockAnalysis, S&amp;P G…"/>
    <hyperlink ref="H49" location="'Sources'!A19" display="A2.4"/>
    <hyperlink ref="E50" r:id="rId51" display="MCHP forecast and analyst targets - StockAna…"/>
    <hyperlink ref="H50" location="'Sources'!A29" display="A3.5"/>
    <hyperlink ref="E51" r:id="rId52" display="Microchip Technology (MCHP) Stock Forecast &amp;…"/>
    <hyperlink ref="H51" location="'Sources'!A42" display="A4.8"/>
    <hyperlink ref="E52" r:id="rId53" display="MCHP analyst estimates (StockAnalysis, S&amp;P G…"/>
    <hyperlink ref="H52" location="'Sources'!A53" display="A5.9"/>
    <hyperlink ref="E54" r:id="rId54" display="Peer multiples rebuilt from filings at 2026-…"/>
    <hyperlink ref="F54" r:id="rId55" display="ON Semiconductor 10-Q filing folder (Jul-202…"/>
    <hyperlink ref="G54" r:id="rId56" display="Texas Instruments 10-Q filing folder (Jun-20…"/>
    <hyperlink ref="E55" r:id="rId57" display="Supervisor: Peer multiples rebuilt from fili…"/>
    <hyperlink ref="F55" r:id="rId58" display="Supervisor: ON Semiconductor 10-Q filing fol…"/>
    <hyperlink ref="G55" r:id="rId59" display="Supervisor: Texas Instruments 10-Q filing fo…"/>
    <hyperlink ref="H55" location="'Sources'!A67" display="X.1, X.2, X.3, X.4"/>
    <hyperlink ref="E56" r:id="rId60" display="Supervisor: Peer multiples rebuilt from fili…"/>
    <hyperlink ref="F56" r:id="rId61" display="Supervisor: ON Semiconductor 10-Q filing fol…"/>
    <hyperlink ref="G56" r:id="rId62" display="Supervisor: Texas Instruments 10-Q filing fo…"/>
    <hyperlink ref="H56" location="'Sources'!A67" display="X.1, X.2, X.3, X.4"/>
    <hyperlink ref="E57" r:id="rId63" display="Supervisor: Peer multiples rebuilt from fili…"/>
    <hyperlink ref="F57" r:id="rId64" display="Supervisor: ON Semiconductor 10-Q filing fol…"/>
    <hyperlink ref="G57" r:id="rId65" display="Supervisor: Texas Instruments 10-Q filing fo…"/>
    <hyperlink ref="H57" location="'Sources'!A67" display="X.1, X.2, X.3, X.4"/>
    <hyperlink ref="E58" r:id="rId66" display="Supervisor: Peer multiples rebuilt from fili…"/>
    <hyperlink ref="F58" r:id="rId67" display="Supervisor: ON Semiconductor 10-Q filing fol…"/>
    <hyperlink ref="G58" r:id="rId68" display="Supervisor: Texas Instruments 10-Q filing fo…"/>
    <hyperlink ref="H58" location="'Sources'!A67" display="X.1, X.2, X.3, X.4"/>
    <hyperlink ref="E59" r:id="rId69" display="Peer multiples rebuilt from filings at 2026-…"/>
    <hyperlink ref="H59" location="'Sources'!A52" display="A5.8"/>
    <hyperlink ref="E61" r:id="rId70" display="Microchip Q1 FY2027 results press release (8…"/>
    <hyperlink ref="E62" r:id="rId71" display="Microchip Q1 FY2027 results press release (8…"/>
    <hyperlink ref="F62" r:id="rId72" display="Microchip Form 10-Q for quarter ended June 3…"/>
    <hyperlink ref="H62" location="'Sources'!A6" display="A1.2, A1.3"/>
    <hyperlink ref="E63" r:id="rId73" display="Microchip Q1 FY2027 results press release (8…"/>
    <hyperlink ref="H63" location="'Sources'!A16" display="A2.1"/>
    <hyperlink ref="E64" r:id="rId74" display="Microchip Q1 FY2027 results press release (8…"/>
    <hyperlink ref="H64" location="'Sources'!A25" display="A3.1"/>
    <hyperlink ref="E65" r:id="rId75" display="Microchip Technology Announces Financial Res…"/>
    <hyperlink ref="H65" location="'Sources'!A35" display="A4.1"/>
    <hyperlink ref="E66" r:id="rId76" display="Microchip Technology Announces Financial Res…"/>
    <hyperlink ref="H66" location="'Sources'!A45" display="A5.1"/>
    <hyperlink ref="E68" r:id="rId77" display="Microchip Q1 FY2027 results press release (8…"/>
    <hyperlink ref="E70" r:id="rId78" display="Microchip Q1 FY2027 results press release (8…"/>
    <hyperlink ref="H70" location="'Sources'!A16" display="A2.1"/>
    <hyperlink ref="E71" r:id="rId79" display="Microchip Q1 FY2027 results press release (8…"/>
    <hyperlink ref="H71" location="'Sources'!A25" display="A3.1"/>
    <hyperlink ref="E72" r:id="rId80" display="Microchip Technology Announces Financial Res…"/>
    <hyperlink ref="H72" location="'Sources'!A35" display="A4.1"/>
    <hyperlink ref="E73" r:id="rId81" display="Microchip Technology Announces Financial Res…"/>
    <hyperlink ref="H73" location="'Sources'!A45" display="A5.1"/>
    <hyperlink ref="E75" r:id="rId82" display="Peer multiples rebuilt from filings at 2026-…"/>
    <hyperlink ref="F75" r:id="rId83" display="ON Semiconductor 10-Q filing folder (Jul-202…"/>
    <hyperlink ref="G75" r:id="rId84" display="Texas Instruments 10-Q filing folder (Jun-20…"/>
    <hyperlink ref="E76" r:id="rId85" display="Supervisor: Peer multiples rebuilt from fili…"/>
    <hyperlink ref="F76" r:id="rId86" display="Supervisor: ON Semiconductor 10-Q filing fol…"/>
    <hyperlink ref="G76" r:id="rId87" display="Supervisor: Texas Instruments 10-Q filing fo…"/>
    <hyperlink ref="H76" location="'Sources'!A67" display="X.1, X.2, X.3, X.4"/>
    <hyperlink ref="E77" r:id="rId88" display="Supervisor: Peer multiples rebuilt from fili…"/>
    <hyperlink ref="F77" r:id="rId89" display="Supervisor: ON Semiconductor 10-Q filing fol…"/>
    <hyperlink ref="G77" r:id="rId90" display="Supervisor: Texas Instruments 10-Q filing fo…"/>
    <hyperlink ref="H77" location="'Sources'!A67" display="X.1, X.2, X.3, X.4"/>
    <hyperlink ref="E78" r:id="rId91" display="Supervisor: Peer multiples rebuilt from fili…"/>
    <hyperlink ref="F78" r:id="rId92" display="Supervisor: ON Semiconductor 10-Q filing fol…"/>
    <hyperlink ref="G78" r:id="rId93" display="Supervisor: Texas Instruments 10-Q filing fo…"/>
    <hyperlink ref="H78" location="'Sources'!A67" display="X.1, X.2, X.3, X.4"/>
    <hyperlink ref="E79" r:id="rId94" display="Supervisor: Peer multiples rebuilt from fili…"/>
    <hyperlink ref="F79" r:id="rId95" display="Supervisor: ON Semiconductor 10-Q filing fol…"/>
    <hyperlink ref="G79" r:id="rId96" display="Supervisor: Texas Instruments 10-Q filing fo…"/>
    <hyperlink ref="H79" location="'Sources'!A67" display="X.1, X.2, X.3, X.4"/>
    <hyperlink ref="E80" r:id="rId97" display="Peer multiples rebuilt from filings at 2026-…"/>
    <hyperlink ref="H80" location="'Sources'!A52" display="A5.8"/>
    <hyperlink ref="E82" r:id="rId98" display="Microchip Q1 FY2027 results press release (8…"/>
    <hyperlink ref="F82" r:id="rId99" display="Microchip Form 10-Q for quarter ended June 3…"/>
    <hyperlink ref="E83" r:id="rId100" display="Microchip Q1 FY2027 results press release (8…"/>
    <hyperlink ref="F83" r:id="rId101" display="Microchip Form 10-Q for quarter ended June 3…"/>
    <hyperlink ref="H83" location="'Sources'!A6" display="A1.2, A1.3"/>
    <hyperlink ref="E84" r:id="rId102" display="Microchip Q1 FY2027 results press release (8…"/>
    <hyperlink ref="F84" r:id="rId103" display="Supervisor: Microchip Form 10-Q for quarter …"/>
    <hyperlink ref="H84" location="'Sources'!A16" display="A2.1, X.5"/>
    <hyperlink ref="E85" r:id="rId104" display="Microchip Q1 FY2027 results press release (8…"/>
    <hyperlink ref="F85" r:id="rId105" display="Supervisor: Microchip Form 10-Q for quarter …"/>
    <hyperlink ref="H85" location="'Sources'!A25" display="A3.1, X.5"/>
    <hyperlink ref="E86" r:id="rId106" display="Microchip Q1 FY2027 results press release (8…"/>
    <hyperlink ref="F86" r:id="rId107" display="Supervisor: Microchip Form 10-Q for quarter …"/>
    <hyperlink ref="H86" location="'Sources'!A36" display="A4.2, X.5"/>
    <hyperlink ref="E87" r:id="rId108" display="MCHP 8-K Exhibit 99.1 Q1 FY27"/>
    <hyperlink ref="F87" r:id="rId109" display="Microchip Form 10-Q for quarter ended June 3…"/>
    <hyperlink ref="H87" location="'Sources'!A46" display="A5.2, A5.3"/>
    <hyperlink ref="E89" r:id="rId110" display="Peer multiples rebuilt from filings at 2026-…"/>
    <hyperlink ref="F89" r:id="rId111" display="ON Semiconductor 10-Q filing folder (Jul-202…"/>
    <hyperlink ref="G89" r:id="rId112" display="Texas Instruments 10-Q filing folder (Jun-20…"/>
    <hyperlink ref="E90" r:id="rId113" display="Supervisor: Peer multiples rebuilt from fili…"/>
    <hyperlink ref="F90" r:id="rId114" display="Supervisor: ON Semiconductor 10-Q filing fol…"/>
    <hyperlink ref="G90" r:id="rId115" display="Supervisor: Texas Instruments 10-Q filing fo…"/>
    <hyperlink ref="H90" location="'Sources'!A67" display="X.1, X.2, X.3, X.4"/>
    <hyperlink ref="E91" r:id="rId116" display="Supervisor: Peer multiples rebuilt from fili…"/>
    <hyperlink ref="F91" r:id="rId117" display="Supervisor: ON Semiconductor 10-Q filing fol…"/>
    <hyperlink ref="G91" r:id="rId118" display="Supervisor: Texas Instruments 10-Q filing fo…"/>
    <hyperlink ref="H91" location="'Sources'!A67" display="X.1, X.2, X.3, X.4"/>
    <hyperlink ref="E92" r:id="rId119" display="Supervisor: Peer multiples rebuilt from fili…"/>
    <hyperlink ref="F92" r:id="rId120" display="Supervisor: ON Semiconductor 10-Q filing fol…"/>
    <hyperlink ref="G92" r:id="rId121" display="Supervisor: Texas Instruments 10-Q filing fo…"/>
    <hyperlink ref="H92" location="'Sources'!A67" display="X.1, X.2, X.3, X.4"/>
    <hyperlink ref="E93" r:id="rId122" display="Supervisor: Peer multiples rebuilt from fili…"/>
    <hyperlink ref="F93" r:id="rId123" display="Supervisor: ON Semiconductor 10-Q filing fol…"/>
    <hyperlink ref="G93" r:id="rId124" display="Supervisor: Texas Instruments 10-Q filing fo…"/>
    <hyperlink ref="H93" location="'Sources'!A67" display="X.1, X.2, X.3, X.4"/>
    <hyperlink ref="E94" r:id="rId125" display="Peer multiples rebuilt from filings at 2026-…"/>
    <hyperlink ref="F94" r:id="rId126" display="Supervisor: Peer multiples rebuilt from fili…"/>
    <hyperlink ref="G94" r:id="rId127" display="Supervisor: ON Semiconductor 10-Q filing fol…"/>
    <hyperlink ref="H94" location="'Sources'!A52" display="A5.8, X.1, X.2, X.3, X.4"/>
    <hyperlink ref="E96" r:id="rId128" display="Microchip Q1 FY2027 results press release (8…"/>
    <hyperlink ref="F96" r:id="rId129" display="Microchip Form 10-Q for quarter ended June 3…"/>
    <hyperlink ref="E97" r:id="rId130" display="Microchip Technology Announces Financial Res…"/>
    <hyperlink ref="F97" r:id="rId131" display="Microchip Q1 FY2027 results press release (8…"/>
    <hyperlink ref="G97" r:id="rId132" display="Microchip Form 10-Q for quarter ended June 3…"/>
    <hyperlink ref="H97" location="'Sources'!A5" display="A1.1, A1.2, A1.3"/>
    <hyperlink ref="E98" r:id="rId133" display="Microchip Q1 FY2027 results press release (8…"/>
    <hyperlink ref="F98" r:id="rId134" display="Microchip at Citi 2026 Global TMT Conference…"/>
    <hyperlink ref="H98" location="'Sources'!A16" display="A2.1, A2.3"/>
    <hyperlink ref="E99" r:id="rId135" display="Microchip Q1 FY2027 results press release (8…"/>
    <hyperlink ref="F99" r:id="rId136" display="Microchip at Citi 2026 Global TMT Conference…"/>
    <hyperlink ref="H99" location="'Sources'!A25" display="A3.1, A3.2"/>
    <hyperlink ref="E100" r:id="rId137" display="Microchip Technology Announces Financial Res…"/>
    <hyperlink ref="F100" r:id="rId138" display="Microchip declares 45.5-cent dividend as net…"/>
    <hyperlink ref="H100" location="'Sources'!A35" display="A4.1, A4.3"/>
    <hyperlink ref="E101" r:id="rId139" display="Microchip Technology Announces Financial Res…"/>
    <hyperlink ref="F101" r:id="rId140" display="Microchip Form 10-Q for quarter ended June 3…"/>
    <hyperlink ref="H101" location="'Sources'!A45" display="A5.1, A5.3"/>
    <hyperlink ref="E103" r:id="rId141" display="Microchip Q1 FY2027 results press release (8…"/>
    <hyperlink ref="E104" r:id="rId142" display="Microchip Q1 FY2027 results press release (8…"/>
    <hyperlink ref="H104" location="'Sources'!A6" display="A1.2"/>
    <hyperlink ref="E105" r:id="rId143" display="Microchip Q1 FY2027 results press release (8…"/>
    <hyperlink ref="H105" location="'Sources'!A16" display="A2.1"/>
    <hyperlink ref="E106" r:id="rId144" display="Microchip Q1 FY2027 results press release (8…"/>
    <hyperlink ref="H106" location="'Sources'!A25" display="A3.1"/>
    <hyperlink ref="E107" r:id="rId145" display="Microchip Technology Announces Financial Res…"/>
    <hyperlink ref="F107" r:id="rId146" display="Microchip Q1 FY2027 results press release (8…"/>
    <hyperlink ref="H107" location="'Sources'!A35" display="A4.1, A4.2"/>
    <hyperlink ref="E108" r:id="rId147" display="MCHP 8-K Exhibit 99.1 Q1 FY27"/>
    <hyperlink ref="F108" r:id="rId148" display="Microchip Form 10-Q for quarter ended June 3…"/>
    <hyperlink ref="H108" location="'Sources'!A46" display="A5.2, A5.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5" customFormat="false" ht="23.85" hidden="false" customHeight="false" outlineLevel="0" collapsed="false">
      <c r="A5" s="23" t="s">
        <v>276</v>
      </c>
      <c r="B5" s="23" t="s">
        <v>277</v>
      </c>
      <c r="C5" s="23" t="s">
        <v>278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279</v>
      </c>
      <c r="J5" s="23" t="s">
        <v>68</v>
      </c>
      <c r="K5" s="23" t="s">
        <v>280</v>
      </c>
      <c r="L5" s="23" t="s">
        <v>281</v>
      </c>
      <c r="M5" s="23" t="s">
        <v>282</v>
      </c>
      <c r="N5" s="23" t="s">
        <v>283</v>
      </c>
      <c r="O5" s="23" t="s">
        <v>284</v>
      </c>
      <c r="P5" s="23" t="s">
        <v>285</v>
      </c>
      <c r="Q5" s="23" t="s">
        <v>286</v>
      </c>
      <c r="R5" s="23" t="s">
        <v>283</v>
      </c>
      <c r="S5" s="23" t="s">
        <v>287</v>
      </c>
      <c r="T5" s="23" t="s">
        <v>288</v>
      </c>
      <c r="U5" s="23" t="s">
        <v>289</v>
      </c>
      <c r="V5" s="23" t="s">
        <v>290</v>
      </c>
      <c r="W5" s="23" t="s">
        <v>291</v>
      </c>
    </row>
    <row r="6" customFormat="false" ht="15" hidden="false" customHeight="false" outlineLevel="0" collapsed="false">
      <c r="A6" s="6" t="n">
        <v>19.34</v>
      </c>
      <c r="B6" s="42" t="n">
        <f aca="false">LN(A6)</f>
        <v>2.96217549002515</v>
      </c>
      <c r="C6" s="43" t="n">
        <v>0.995</v>
      </c>
      <c r="D6" s="43" t="n">
        <v>0.9953</v>
      </c>
      <c r="E6" s="43" t="n">
        <v>0.9952</v>
      </c>
      <c r="F6" s="43" t="n">
        <v>0.9972</v>
      </c>
      <c r="G6" s="43" t="n">
        <v>0.9952</v>
      </c>
      <c r="H6" s="43" t="n">
        <v>0.9952</v>
      </c>
      <c r="I6" s="42" t="n">
        <f aca="false">AVERAGE(D6:H6)</f>
        <v>0.99562</v>
      </c>
      <c r="J6" s="43" t="n">
        <v>0.9956</v>
      </c>
      <c r="K6" s="42" t="n">
        <f aca="false">IF(AND(Sup_Used=1,ISNUMBER(J6)),J6,I6)</f>
        <v>0.99562</v>
      </c>
      <c r="L6" s="42" t="n">
        <f aca="false">LN(MIN(MAX(K6,0.0001),0.9999)/(1-MIN(MAX(K6,0.0001),0.9999)))</f>
        <v>5.42631693429221</v>
      </c>
      <c r="M6" s="16" t="n">
        <f aca="false">A6*EXP(-Platt_Shift)</f>
        <v>18.3820655335871</v>
      </c>
      <c r="N6" s="44" t="n">
        <f aca="false">MIN(MAX(IFERROR(MATCH(M6,Distribution!$A$6:$A$20,1),1),1),14)</f>
        <v>1</v>
      </c>
      <c r="O6" s="42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0.996227511312327</v>
      </c>
      <c r="P6" s="42" t="n">
        <f aca="false">LN(MIN(MAX(C6,0.0001),0.9999)/(1-MIN(MAX(C6,0.0001),0.9999)))</f>
        <v>5.29330482472449</v>
      </c>
      <c r="Q6" s="16" t="n">
        <f aca="false">IF(Analyst_Median&gt;0,A6*Market_Median/Analyst_Median,A6)</f>
        <v>15.3263199216958</v>
      </c>
      <c r="R6" s="44" t="n">
        <f aca="false">MIN(MAX(IFERROR(MATCH(Q6,Distribution!$A$6:$A$20,1),1),1),14)</f>
        <v>1</v>
      </c>
      <c r="S6" s="42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0.998358425109273</v>
      </c>
      <c r="T6" s="42" t="n">
        <f aca="false">W_Mkt*C6+W_Agents*O6</f>
        <v>0.995405078733068</v>
      </c>
      <c r="U6" s="45" t="n">
        <f aca="false">(1-W_Analyst)*T6+W_Analyst*S6</f>
        <v>0.995405078733068</v>
      </c>
      <c r="V6" s="42" t="n">
        <f aca="false">LN(MIN(MAX(U6,0.0001),0.9999)/(1-MIN(MAX(U6,0.0001),0.9999)))</f>
        <v>5.37819814746259</v>
      </c>
      <c r="W6" s="43" t="n">
        <v>0.9956</v>
      </c>
    </row>
    <row r="7" customFormat="false" ht="15" hidden="false" customHeight="false" outlineLevel="0" collapsed="false">
      <c r="A7" s="6" t="n">
        <v>30.94</v>
      </c>
      <c r="B7" s="42" t="n">
        <f aca="false">LN(A7)</f>
        <v>3.43204984514492</v>
      </c>
      <c r="C7" s="43" t="n">
        <v>0.9542</v>
      </c>
      <c r="D7" s="43" t="n">
        <v>0.9801</v>
      </c>
      <c r="E7" s="43" t="n">
        <v>0.9821</v>
      </c>
      <c r="F7" s="43" t="n">
        <v>0.9871</v>
      </c>
      <c r="G7" s="43" t="n">
        <v>0.9821</v>
      </c>
      <c r="H7" s="43" t="n">
        <v>0.9821</v>
      </c>
      <c r="I7" s="42" t="n">
        <f aca="false">AVERAGE(D7:H7)</f>
        <v>0.9827</v>
      </c>
      <c r="J7" s="43" t="n">
        <v>0.9827</v>
      </c>
      <c r="K7" s="42" t="n">
        <f aca="false">IF(AND(Sup_Used=1,ISNUMBER(J7)),J7,I7)</f>
        <v>0.9827</v>
      </c>
      <c r="L7" s="42" t="n">
        <f aca="false">LN(MIN(MAX(K7,0.0001),0.9999)/(1-MIN(MAX(K7,0.0001),0.9999)))</f>
        <v>4.03959738386465</v>
      </c>
      <c r="M7" s="16" t="n">
        <f aca="false">A7*EXP(-Platt_Shift)</f>
        <v>29.4075029787582</v>
      </c>
      <c r="N7" s="44" t="n">
        <f aca="false">MIN(MAX(IFERROR(MATCH(M7,Distribution!$A$6:$A$20,1),1),1),14)</f>
        <v>1</v>
      </c>
      <c r="O7" s="42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0.98507266322055</v>
      </c>
      <c r="P7" s="42" t="n">
        <f aca="false">LN(MIN(MAX(C7,0.0001),0.9999)/(1-MIN(MAX(C7,0.0001),0.9999)))</f>
        <v>3.03658920196187</v>
      </c>
      <c r="Q7" s="16" t="n">
        <f aca="false">IF(Analyst_Median&gt;0,A7*Market_Median/Analyst_Median,A7)</f>
        <v>24.5189420050294</v>
      </c>
      <c r="R7" s="44" t="n">
        <f aca="false">MIN(MAX(IFERROR(MATCH(Q7,Distribution!$A$6:$A$20,1),1),1),14)</f>
        <v>1</v>
      </c>
      <c r="S7" s="42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0.984537292993197</v>
      </c>
      <c r="T7" s="42" t="n">
        <f aca="false">W_Mkt*C7+W_Agents*O7</f>
        <v>0.964387978862782</v>
      </c>
      <c r="U7" s="45" t="n">
        <f aca="false">(1-W_Analyst)*T7+W_Analyst*S7</f>
        <v>0.964387978862782</v>
      </c>
      <c r="V7" s="42" t="n">
        <f aca="false">LN(MIN(MAX(U7,0.0001),0.9999)/(1-MIN(MAX(U7,0.0001),0.9999)))</f>
        <v>3.29881042808886</v>
      </c>
      <c r="W7" s="43" t="n">
        <v>0.9658</v>
      </c>
    </row>
    <row r="8" customFormat="false" ht="15" hidden="false" customHeight="false" outlineLevel="0" collapsed="false">
      <c r="A8" s="6" t="n">
        <v>38.67</v>
      </c>
      <c r="B8" s="42" t="n">
        <f aca="false">LN(A8)</f>
        <v>3.65506410561921</v>
      </c>
      <c r="C8" s="43" t="n">
        <v>0.8968</v>
      </c>
      <c r="D8" s="43" t="n">
        <v>0.9526</v>
      </c>
      <c r="E8" s="43" t="n">
        <v>0.9612</v>
      </c>
      <c r="F8" s="43" t="n">
        <v>0.9644</v>
      </c>
      <c r="G8" s="43" t="n">
        <v>0.9612</v>
      </c>
      <c r="H8" s="43" t="n">
        <v>0.963</v>
      </c>
      <c r="I8" s="42" t="n">
        <f aca="false">AVERAGE(D8:H8)</f>
        <v>0.96048</v>
      </c>
      <c r="J8" s="43" t="n">
        <v>0.9605</v>
      </c>
      <c r="K8" s="42" t="n">
        <f aca="false">IF(AND(Sup_Used=1,ISNUMBER(J8)),J8,I8)</f>
        <v>0.96048</v>
      </c>
      <c r="L8" s="42" t="n">
        <f aca="false">LN(MIN(MAX(K8,0.0001),0.9999)/(1-MIN(MAX(K8,0.0001),0.9999)))</f>
        <v>3.19062628662387</v>
      </c>
      <c r="M8" s="16" t="n">
        <f aca="false">A8*EXP(-Platt_Shift)</f>
        <v>36.7546263797214</v>
      </c>
      <c r="N8" s="44" t="n">
        <f aca="false">MIN(MAX(IFERROR(MATCH(M8,Distribution!$A$6:$A$20,1),1),1),14)</f>
        <v>2</v>
      </c>
      <c r="O8" s="42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0.967201111476232</v>
      </c>
      <c r="P8" s="42" t="n">
        <f aca="false">LN(MIN(MAX(C8,0.0001),0.9999)/(1-MIN(MAX(C8,0.0001),0.9999)))</f>
        <v>2.16216401871049</v>
      </c>
      <c r="Q8" s="16" t="n">
        <f aca="false">IF(Analyst_Median&gt;0,A8*Market_Median/Analyst_Median,A8)</f>
        <v>30.6447151691819</v>
      </c>
      <c r="R8" s="44" t="n">
        <f aca="false">MIN(MAX(IFERROR(MATCH(Q8,Distribution!$A$6:$A$20,1),1),1),14)</f>
        <v>1</v>
      </c>
      <c r="S8" s="42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0.956171219442299</v>
      </c>
      <c r="T8" s="42" t="n">
        <f aca="false">W_Mkt*C8+W_Agents*O8</f>
        <v>0.920032366787157</v>
      </c>
      <c r="U8" s="45" t="n">
        <f aca="false">(1-W_Analyst)*T8+W_Analyst*S8</f>
        <v>0.920032366787157</v>
      </c>
      <c r="V8" s="42" t="n">
        <f aca="false">LN(MIN(MAX(U8,0.0001),0.9999)/(1-MIN(MAX(U8,0.0001),0.9999)))</f>
        <v>2.44278688274673</v>
      </c>
      <c r="W8" s="43" t="n">
        <v>0.9226</v>
      </c>
    </row>
    <row r="9" customFormat="false" ht="15" hidden="false" customHeight="false" outlineLevel="0" collapsed="false">
      <c r="A9" s="6" t="n">
        <v>46.4</v>
      </c>
      <c r="B9" s="42" t="n">
        <f aca="false">LN(A9)</f>
        <v>3.83729945923221</v>
      </c>
      <c r="C9" s="43" t="n">
        <v>0.8207</v>
      </c>
      <c r="D9" s="43" t="n">
        <v>0.9064</v>
      </c>
      <c r="E9" s="43" t="n">
        <v>0.9165</v>
      </c>
      <c r="F9" s="43" t="n">
        <v>0.9214</v>
      </c>
      <c r="G9" s="43" t="n">
        <v>0.9218</v>
      </c>
      <c r="H9" s="43" t="n">
        <v>0.9194</v>
      </c>
      <c r="I9" s="42" t="n">
        <f aca="false">AVERAGE(D9:H9)</f>
        <v>0.9171</v>
      </c>
      <c r="J9" s="43" t="n">
        <v>0.9171</v>
      </c>
      <c r="K9" s="42" t="n">
        <f aca="false">IF(AND(Sup_Used=1,ISNUMBER(J9)),J9,I9)</f>
        <v>0.9171</v>
      </c>
      <c r="L9" s="42" t="n">
        <f aca="false">LN(MIN(MAX(K9,0.0001),0.9999)/(1-MIN(MAX(K9,0.0001),0.9999)))</f>
        <v>2.40358145542365</v>
      </c>
      <c r="M9" s="16" t="n">
        <f aca="false">A9*EXP(-Platt_Shift)</f>
        <v>44.1017497806846</v>
      </c>
      <c r="N9" s="44" t="n">
        <f aca="false">MIN(MAX(IFERROR(MATCH(M9,Distribution!$A$6:$A$20,1),1),1),14)</f>
        <v>3</v>
      </c>
      <c r="O9" s="42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0.932325867946778</v>
      </c>
      <c r="P9" s="42" t="n">
        <f aca="false">LN(MIN(MAX(C9,0.0001),0.9999)/(1-MIN(MAX(C9,0.0001),0.9999)))</f>
        <v>1.52109725402458</v>
      </c>
      <c r="Q9" s="16" t="n">
        <f aca="false">IF(Analyst_Median&gt;0,A9*Market_Median/Analyst_Median,A9)</f>
        <v>36.7704883333343</v>
      </c>
      <c r="R9" s="44" t="n">
        <f aca="false">MIN(MAX(IFERROR(MATCH(Q9,Distribution!$A$6:$A$20,1),1),1),14)</f>
        <v>2</v>
      </c>
      <c r="S9" s="42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0.913698677643831</v>
      </c>
      <c r="T9" s="42" t="n">
        <f aca="false">W_Mkt*C9+W_Agents*O9</f>
        <v>0.857536536422437</v>
      </c>
      <c r="U9" s="45" t="n">
        <f aca="false">(1-W_Analyst)*T9+W_Analyst*S9</f>
        <v>0.857536536422437</v>
      </c>
      <c r="V9" s="42" t="n">
        <f aca="false">LN(MIN(MAX(U9,0.0001),0.9999)/(1-MIN(MAX(U9,0.0001),0.9999)))</f>
        <v>1.79497821531849</v>
      </c>
      <c r="W9" s="43" t="n">
        <v>0.8616</v>
      </c>
    </row>
    <row r="10" customFormat="false" ht="15" hidden="false" customHeight="false" outlineLevel="0" collapsed="false">
      <c r="A10" s="6" t="n">
        <v>54.14</v>
      </c>
      <c r="B10" s="42" t="n">
        <f aca="false">LN(A10)</f>
        <v>3.99157328418616</v>
      </c>
      <c r="C10" s="43" t="n">
        <v>0.7342</v>
      </c>
      <c r="D10" s="43" t="n">
        <v>0.8405</v>
      </c>
      <c r="E10" s="43" t="n">
        <v>0.8507</v>
      </c>
      <c r="F10" s="43" t="n">
        <v>0.8566</v>
      </c>
      <c r="G10" s="43" t="n">
        <v>0.8628</v>
      </c>
      <c r="H10" s="43" t="n">
        <v>0.8537</v>
      </c>
      <c r="I10" s="42" t="n">
        <f aca="false">AVERAGE(D10:H10)</f>
        <v>0.85286</v>
      </c>
      <c r="J10" s="43" t="n">
        <v>0.8529</v>
      </c>
      <c r="K10" s="42" t="n">
        <f aca="false">IF(AND(Sup_Used=1,ISNUMBER(J10)),J10,I10)</f>
        <v>0.85286</v>
      </c>
      <c r="L10" s="42" t="n">
        <f aca="false">LN(MIN(MAX(K10,0.0001),0.9999)/(1-MIN(MAX(K10,0.0001),0.9999)))</f>
        <v>1.75721089290536</v>
      </c>
      <c r="M10" s="16" t="n">
        <f aca="false">A10*EXP(-Platt_Shift)</f>
        <v>51.4583778691005</v>
      </c>
      <c r="N10" s="44" t="n">
        <f aca="false">MIN(MAX(IFERROR(MATCH(M10,Distribution!$A$6:$A$20,1),1),1),14)</f>
        <v>4</v>
      </c>
      <c r="O10" s="42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0.877616568104014</v>
      </c>
      <c r="P10" s="42" t="n">
        <f aca="false">LN(MIN(MAX(C10,0.0001),0.9999)/(1-MIN(MAX(C10,0.0001),0.9999)))</f>
        <v>1.01603732478359</v>
      </c>
      <c r="Q10" s="16" t="n">
        <f aca="false">IF(Analyst_Median&gt;0,A10*Market_Median/Analyst_Median,A10)</f>
        <v>42.9041861716966</v>
      </c>
      <c r="R10" s="44" t="n">
        <f aca="false">MIN(MAX(IFERROR(MATCH(Q10,Distribution!$A$6:$A$20,1),1),1),14)</f>
        <v>3</v>
      </c>
      <c r="S10" s="42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0.857740213723184</v>
      </c>
      <c r="T10" s="42" t="n">
        <f aca="false">W_Mkt*C10+W_Agents*O10</f>
        <v>0.781527467474325</v>
      </c>
      <c r="U10" s="45" t="n">
        <f aca="false">(1-W_Analyst)*T10+W_Analyst*S10</f>
        <v>0.781527467474325</v>
      </c>
      <c r="V10" s="42" t="n">
        <f aca="false">LN(MIN(MAX(U10,0.0001),0.9999)/(1-MIN(MAX(U10,0.0001),0.9999)))</f>
        <v>1.27458999899501</v>
      </c>
      <c r="W10" s="43" t="n">
        <v>0.7869</v>
      </c>
    </row>
    <row r="11" customFormat="false" ht="15" hidden="false" customHeight="false" outlineLevel="0" collapsed="false">
      <c r="A11" s="6" t="n">
        <v>61.87</v>
      </c>
      <c r="B11" s="42" t="n">
        <f aca="false">LN(A11)</f>
        <v>4.1250354095429</v>
      </c>
      <c r="C11" s="43" t="n">
        <v>0.6451</v>
      </c>
      <c r="D11" s="43" t="n">
        <v>0.7573</v>
      </c>
      <c r="E11" s="43" t="n">
        <v>0.7682</v>
      </c>
      <c r="F11" s="43" t="n">
        <v>0.7768</v>
      </c>
      <c r="G11" s="43" t="n">
        <v>0.7831</v>
      </c>
      <c r="H11" s="43" t="n">
        <v>0.7704</v>
      </c>
      <c r="I11" s="42" t="n">
        <f aca="false">AVERAGE(D11:H11)</f>
        <v>0.77116</v>
      </c>
      <c r="J11" s="43" t="n">
        <v>0.7712</v>
      </c>
      <c r="K11" s="42" t="n">
        <f aca="false">IF(AND(Sup_Used=1,ISNUMBER(J11)),J11,I11)</f>
        <v>0.77116</v>
      </c>
      <c r="L11" s="42" t="n">
        <f aca="false">LN(MIN(MAX(K11,0.0001),0.9999)/(1-MIN(MAX(K11,0.0001),0.9999)))</f>
        <v>1.21487280533094</v>
      </c>
      <c r="M11" s="16" t="n">
        <f aca="false">A11*EXP(-Platt_Shift)</f>
        <v>58.8055012700636</v>
      </c>
      <c r="N11" s="44" t="n">
        <f aca="false">MIN(MAX(IFERROR(MATCH(M11,Distribution!$A$6:$A$20,1),1),1),14)</f>
        <v>5</v>
      </c>
      <c r="O11" s="42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0.80554279496059</v>
      </c>
      <c r="P11" s="42" t="n">
        <f aca="false">LN(MIN(MAX(C11,0.0001),0.9999)/(1-MIN(MAX(C11,0.0001),0.9999)))</f>
        <v>0.597569283885745</v>
      </c>
      <c r="Q11" s="16" t="n">
        <f aca="false">IF(Analyst_Median&gt;0,A11*Market_Median/Analyst_Median,A11)</f>
        <v>49.029959335849</v>
      </c>
      <c r="R11" s="44" t="n">
        <f aca="false">MIN(MAX(IFERROR(MATCH(Q11,Distribution!$A$6:$A$20,1),1),1),14)</f>
        <v>4</v>
      </c>
      <c r="S11" s="42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0.792589663627978</v>
      </c>
      <c r="T11" s="42" t="n">
        <f aca="false">W_Mkt*C11+W_Agents*O11</f>
        <v>0.698046122336995</v>
      </c>
      <c r="U11" s="45" t="n">
        <f aca="false">(1-W_Analyst)*T11+W_Analyst*S11</f>
        <v>0.698046122336995</v>
      </c>
      <c r="V11" s="42" t="n">
        <f aca="false">LN(MIN(MAX(U11,0.0001),0.9999)/(1-MIN(MAX(U11,0.0001),0.9999)))</f>
        <v>0.838010895684677</v>
      </c>
      <c r="W11" s="43" t="n">
        <v>0.7045</v>
      </c>
    </row>
    <row r="12" customFormat="false" ht="15" hidden="false" customHeight="false" outlineLevel="0" collapsed="false">
      <c r="A12" s="6" t="n">
        <v>69.61</v>
      </c>
      <c r="B12" s="42" t="n">
        <f aca="false">LN(A12)</f>
        <v>4.24290823518058</v>
      </c>
      <c r="C12" s="43" t="n">
        <v>0.5591</v>
      </c>
      <c r="D12" s="43" t="n">
        <v>0.6651</v>
      </c>
      <c r="E12" s="43" t="n">
        <v>0.6745</v>
      </c>
      <c r="F12" s="43" t="n">
        <v>0.6861</v>
      </c>
      <c r="G12" s="43" t="n">
        <v>0.6897</v>
      </c>
      <c r="H12" s="43" t="n">
        <v>0.6774</v>
      </c>
      <c r="I12" s="42" t="n">
        <f aca="false">AVERAGE(D12:H12)</f>
        <v>0.67856</v>
      </c>
      <c r="J12" s="43" t="n">
        <v>0.6786</v>
      </c>
      <c r="K12" s="42" t="n">
        <f aca="false">IF(AND(Sup_Used=1,ISNUMBER(J12)),J12,I12)</f>
        <v>0.67856</v>
      </c>
      <c r="L12" s="42" t="n">
        <f aca="false">LN(MIN(MAX(K12,0.0001),0.9999)/(1-MIN(MAX(K12,0.0001),0.9999)))</f>
        <v>0.747162004659656</v>
      </c>
      <c r="M12" s="16" t="n">
        <f aca="false">A12*EXP(-Platt_Shift)</f>
        <v>66.1621293584796</v>
      </c>
      <c r="N12" s="44" t="n">
        <f aca="false">MIN(MAX(IFERROR(MATCH(M12,Distribution!$A$6:$A$20,1),1),1),14)</f>
        <v>6</v>
      </c>
      <c r="O12" s="42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0.720860244483244</v>
      </c>
      <c r="P12" s="42" t="n">
        <f aca="false">LN(MIN(MAX(C12,0.0001),0.9999)/(1-MIN(MAX(C12,0.0001),0.9999)))</f>
        <v>0.237510255668708</v>
      </c>
      <c r="Q12" s="16" t="n">
        <f aca="false">IF(Analyst_Median&gt;0,A12*Market_Median/Analyst_Median,A12)</f>
        <v>55.1636571742113</v>
      </c>
      <c r="R12" s="44" t="n">
        <f aca="false">MIN(MAX(IFERROR(MATCH(Q12,Distribution!$A$6:$A$20,1),1),1),14)</f>
        <v>5</v>
      </c>
      <c r="S12" s="42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0.722582178776175</v>
      </c>
      <c r="T12" s="42" t="n">
        <f aca="false">W_Mkt*C12+W_Agents*O12</f>
        <v>0.612480880679471</v>
      </c>
      <c r="U12" s="45" t="n">
        <f aca="false">(1-W_Analyst)*T12+W_Analyst*S12</f>
        <v>0.612480880679471</v>
      </c>
      <c r="V12" s="42" t="n">
        <f aca="false">LN(MIN(MAX(U12,0.0001),0.9999)/(1-MIN(MAX(U12,0.0001),0.9999)))</f>
        <v>0.45775253895626</v>
      </c>
      <c r="W12" s="43" t="n">
        <v>0.6197</v>
      </c>
    </row>
    <row r="13" customFormat="false" ht="15" hidden="false" customHeight="false" outlineLevel="0" collapsed="false">
      <c r="A13" s="6" t="n">
        <v>77.34</v>
      </c>
      <c r="B13" s="42" t="n">
        <f aca="false">LN(A13)</f>
        <v>4.34821128617915</v>
      </c>
      <c r="C13" s="43" t="n">
        <v>0.4796</v>
      </c>
      <c r="D13" s="43" t="n">
        <v>0.5709</v>
      </c>
      <c r="E13" s="43" t="n">
        <v>0.5783</v>
      </c>
      <c r="F13" s="43" t="n">
        <v>0.592</v>
      </c>
      <c r="G13" s="43" t="n">
        <v>0.5935</v>
      </c>
      <c r="H13" s="43" t="n">
        <v>0.5822</v>
      </c>
      <c r="I13" s="42" t="n">
        <f aca="false">AVERAGE(D13:H13)</f>
        <v>0.58338</v>
      </c>
      <c r="J13" s="43" t="n">
        <v>0.5834</v>
      </c>
      <c r="K13" s="42" t="n">
        <f aca="false">IF(AND(Sup_Used=1,ISNUMBER(J13)),J13,I13)</f>
        <v>0.58338</v>
      </c>
      <c r="L13" s="42" t="n">
        <f aca="false">LN(MIN(MAX(K13,0.0001),0.9999)/(1-MIN(MAX(K13,0.0001),0.9999)))</f>
        <v>0.336664239693852</v>
      </c>
      <c r="M13" s="16" t="n">
        <f aca="false">A13*EXP(-Platt_Shift)</f>
        <v>73.5092527594428</v>
      </c>
      <c r="N13" s="44" t="n">
        <f aca="false">MIN(MAX(IFERROR(MATCH(M13,Distribution!$A$6:$A$20,1),1),1),14)</f>
        <v>7</v>
      </c>
      <c r="O13" s="42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0.630577574461901</v>
      </c>
      <c r="P13" s="42" t="n">
        <f aca="false">LN(MIN(MAX(C13,0.0001),0.9999)/(1-MIN(MAX(C13,0.0001),0.9999)))</f>
        <v>-0.081645323484991</v>
      </c>
      <c r="Q13" s="16" t="n">
        <f aca="false">IF(Analyst_Median&gt;0,A13*Market_Median/Analyst_Median,A13)</f>
        <v>61.2894303383638</v>
      </c>
      <c r="R13" s="44" t="n">
        <f aca="false">MIN(MAX(IFERROR(MATCH(Q13,Distribution!$A$6:$A$20,1),1),1),14)</f>
        <v>5</v>
      </c>
      <c r="S13" s="42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0.651838555842438</v>
      </c>
      <c r="T13" s="42" t="n">
        <f aca="false">W_Mkt*C13+W_Agents*O13</f>
        <v>0.529422599572427</v>
      </c>
      <c r="U13" s="45" t="n">
        <f aca="false">(1-W_Analyst)*T13+W_Analyst*S13</f>
        <v>0.529422599572427</v>
      </c>
      <c r="V13" s="42" t="n">
        <f aca="false">LN(MIN(MAX(U13,0.0001),0.9999)/(1-MIN(MAX(U13,0.0001),0.9999)))</f>
        <v>0.117826525662457</v>
      </c>
      <c r="W13" s="43" t="n">
        <v>0.537</v>
      </c>
    </row>
    <row r="14" customFormat="false" ht="15" hidden="false" customHeight="false" outlineLevel="0" collapsed="false">
      <c r="A14" s="6" t="n">
        <v>85.07</v>
      </c>
      <c r="B14" s="42" t="n">
        <f aca="false">LN(A14)</f>
        <v>4.44347444698779</v>
      </c>
      <c r="C14" s="43" t="n">
        <v>0.4083</v>
      </c>
      <c r="D14" s="43" t="n">
        <v>0.4803</v>
      </c>
      <c r="E14" s="43" t="n">
        <v>0.4866</v>
      </c>
      <c r="F14" s="43" t="n">
        <v>0.5015</v>
      </c>
      <c r="G14" s="43" t="n">
        <v>0.4994</v>
      </c>
      <c r="H14" s="43" t="n">
        <v>0.4906</v>
      </c>
      <c r="I14" s="42" t="n">
        <f aca="false">AVERAGE(D14:H14)</f>
        <v>0.49168</v>
      </c>
      <c r="J14" s="43" t="n">
        <v>0.4917</v>
      </c>
      <c r="K14" s="42" t="n">
        <f aca="false">IF(AND(Sup_Used=1,ISNUMBER(J14)),J14,I14)</f>
        <v>0.49168</v>
      </c>
      <c r="L14" s="42" t="n">
        <f aca="false">LN(MIN(MAX(K14,0.0001),0.9999)/(1-MIN(MAX(K14,0.0001),0.9999)))</f>
        <v>-0.0332830721390315</v>
      </c>
      <c r="M14" s="16" t="n">
        <f aca="false">A14*EXP(-Platt_Shift)</f>
        <v>80.8563761604059</v>
      </c>
      <c r="N14" s="44" t="n">
        <f aca="false">MIN(MAX(IFERROR(MATCH(M14,Distribution!$A$6:$A$20,1),1),1),14)</f>
        <v>8</v>
      </c>
      <c r="O14" s="42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0.540907086027458</v>
      </c>
      <c r="P14" s="42" t="n">
        <f aca="false">LN(MIN(MAX(C14,0.0001),0.9999)/(1-MIN(MAX(C14,0.0001),0.9999)))</f>
        <v>-0.370997551357118</v>
      </c>
      <c r="Q14" s="16" t="n">
        <f aca="false">IF(Analyst_Median&gt;0,A14*Market_Median/Analyst_Median,A14)</f>
        <v>67.4152035025162</v>
      </c>
      <c r="R14" s="44" t="n">
        <f aca="false">MIN(MAX(IFERROR(MATCH(Q14,Distribution!$A$6:$A$20,1),1),1),14)</f>
        <v>6</v>
      </c>
      <c r="S14" s="42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0.583066328517755</v>
      </c>
      <c r="T14" s="42" t="n">
        <f aca="false">W_Mkt*C14+W_Agents*O14</f>
        <v>0.452060338389061</v>
      </c>
      <c r="U14" s="45" t="n">
        <f aca="false">(1-W_Analyst)*T14+W_Analyst*S14</f>
        <v>0.452060338389061</v>
      </c>
      <c r="V14" s="42" t="n">
        <f aca="false">LN(MIN(MAX(U14,0.0001),0.9999)/(1-MIN(MAX(U14,0.0001),0.9999)))</f>
        <v>-0.1923495114023</v>
      </c>
      <c r="W14" s="43" t="n">
        <v>0.4596</v>
      </c>
    </row>
    <row r="15" customFormat="false" ht="15" hidden="false" customHeight="false" outlineLevel="0" collapsed="false">
      <c r="A15" s="6" t="n">
        <v>92.81</v>
      </c>
      <c r="B15" s="42" t="n">
        <f aca="false">LN(A15)</f>
        <v>4.5305543926073</v>
      </c>
      <c r="C15" s="43" t="n">
        <v>0.3457</v>
      </c>
      <c r="D15" s="43" t="n">
        <v>0.3978</v>
      </c>
      <c r="E15" s="43" t="n">
        <v>0.4021</v>
      </c>
      <c r="F15" s="43" t="n">
        <v>0.4188</v>
      </c>
      <c r="G15" s="43" t="n">
        <v>0.4133</v>
      </c>
      <c r="H15" s="43" t="n">
        <v>0.407</v>
      </c>
      <c r="I15" s="42" t="n">
        <f aca="false">AVERAGE(D15:H15)</f>
        <v>0.4078</v>
      </c>
      <c r="J15" s="43" t="n">
        <v>0.4078</v>
      </c>
      <c r="K15" s="42" t="n">
        <f aca="false">IF(AND(Sup_Used=1,ISNUMBER(J15)),J15,I15)</f>
        <v>0.4078</v>
      </c>
      <c r="L15" s="42" t="n">
        <f aca="false">LN(MIN(MAX(K15,0.0001),0.9999)/(1-MIN(MAX(K15,0.0001),0.9999)))</f>
        <v>-0.373067557527136</v>
      </c>
      <c r="M15" s="16" t="n">
        <f aca="false">A15*EXP(-Platt_Shift)</f>
        <v>88.2130042488218</v>
      </c>
      <c r="N15" s="44" t="n">
        <f aca="false">MIN(MAX(IFERROR(MATCH(M15,Distribution!$A$6:$A$20,1),1),1),14)</f>
        <v>9</v>
      </c>
      <c r="O15" s="42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0.456399318627712</v>
      </c>
      <c r="P15" s="42" t="n">
        <f aca="false">LN(MIN(MAX(C15,0.0001),0.9999)/(1-MIN(MAX(C15,0.0001),0.9999)))</f>
        <v>-0.637994614948114</v>
      </c>
      <c r="Q15" s="16" t="n">
        <f aca="false">IF(Analyst_Median&gt;0,A15*Market_Median/Analyst_Median,A15)</f>
        <v>73.5489013408784</v>
      </c>
      <c r="R15" s="44" t="n">
        <f aca="false">MIN(MAX(IFERROR(MATCH(Q15,Distribution!$A$6:$A$20,1),1),1),14)</f>
        <v>7</v>
      </c>
      <c r="S15" s="42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0.517664274228952</v>
      </c>
      <c r="T15" s="42" t="n">
        <f aca="false">W_Mkt*C15+W_Agents*O15</f>
        <v>0.382230775147145</v>
      </c>
      <c r="U15" s="45" t="n">
        <f aca="false">(1-W_Analyst)*T15+W_Analyst*S15</f>
        <v>0.382230775147145</v>
      </c>
      <c r="V15" s="42" t="n">
        <f aca="false">LN(MIN(MAX(U15,0.0001),0.9999)/(1-MIN(MAX(U15,0.0001),0.9999)))</f>
        <v>-0.480090415530599</v>
      </c>
      <c r="W15" s="43" t="n">
        <v>0.3896</v>
      </c>
    </row>
    <row r="16" customFormat="false" ht="15" hidden="false" customHeight="false" outlineLevel="0" collapsed="false">
      <c r="A16" s="6" t="n">
        <v>104.41</v>
      </c>
      <c r="B16" s="42" t="n">
        <f aca="false">LN(A16)</f>
        <v>4.64832545630202</v>
      </c>
      <c r="C16" s="43" t="n">
        <v>0.2675</v>
      </c>
      <c r="D16" s="43" t="n">
        <v>0.2932</v>
      </c>
      <c r="E16" s="43" t="n">
        <v>0.2973</v>
      </c>
      <c r="F16" s="43" t="n">
        <v>0.3117</v>
      </c>
      <c r="G16" s="43" t="n">
        <v>0.303</v>
      </c>
      <c r="H16" s="43" t="n">
        <v>0.3005</v>
      </c>
      <c r="I16" s="42" t="n">
        <f aca="false">AVERAGE(D16:H16)</f>
        <v>0.30114</v>
      </c>
      <c r="J16" s="43" t="n">
        <v>0.3011</v>
      </c>
      <c r="K16" s="42" t="n">
        <f aca="false">IF(AND(Sup_Used=1,ISNUMBER(J16)),J16,I16)</f>
        <v>0.30114</v>
      </c>
      <c r="L16" s="42" t="n">
        <f aca="false">LN(MIN(MAX(K16,0.0001),0.9999)/(1-MIN(MAX(K16,0.0001),0.9999)))</f>
        <v>-0.841875163155936</v>
      </c>
      <c r="M16" s="16" t="n">
        <f aca="false">A16*EXP(-Platt_Shift)</f>
        <v>99.238441693993</v>
      </c>
      <c r="N16" s="44" t="n">
        <f aca="false">MIN(MAX(IFERROR(MATCH(M16,Distribution!$A$6:$A$20,1),1),1),14)</f>
        <v>10</v>
      </c>
      <c r="O16" s="42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0.345324037265737</v>
      </c>
      <c r="P16" s="42" t="n">
        <f aca="false">LN(MIN(MAX(C16,0.0001),0.9999)/(1-MIN(MAX(C16,0.0001),0.9999)))</f>
        <v>-1.00734377455516</v>
      </c>
      <c r="Q16" s="16" t="n">
        <f aca="false">IF(Analyst_Median&gt;0,A16*Market_Median/Analyst_Median,A16)</f>
        <v>82.741523424212</v>
      </c>
      <c r="R16" s="44" t="n">
        <f aca="false">MIN(MAX(IFERROR(MATCH(Q16,Distribution!$A$6:$A$20,1),1),1),14)</f>
        <v>8</v>
      </c>
      <c r="S16" s="42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0.428811707970898</v>
      </c>
      <c r="T16" s="42" t="n">
        <f aca="false">W_Mkt*C16+W_Agents*O16</f>
        <v>0.293181932297693</v>
      </c>
      <c r="U16" s="45" t="n">
        <f aca="false">(1-W_Analyst)*T16+W_Analyst*S16</f>
        <v>0.293181932297693</v>
      </c>
      <c r="V16" s="42" t="n">
        <f aca="false">LN(MIN(MAX(U16,0.0001),0.9999)/(1-MIN(MAX(U16,0.0001),0.9999)))</f>
        <v>-0.87997995713507</v>
      </c>
      <c r="W16" s="43" t="n">
        <v>0.2998</v>
      </c>
    </row>
    <row r="17" customFormat="false" ht="15" hidden="false" customHeight="false" outlineLevel="0" collapsed="false">
      <c r="A17" s="6" t="n">
        <v>116.01</v>
      </c>
      <c r="B17" s="42" t="n">
        <f aca="false">LN(A17)</f>
        <v>4.75367639428732</v>
      </c>
      <c r="C17" s="43" t="n">
        <v>0.2061</v>
      </c>
      <c r="D17" s="43" t="n">
        <v>0.2116</v>
      </c>
      <c r="E17" s="43" t="n">
        <v>0.2147</v>
      </c>
      <c r="F17" s="43" t="n">
        <v>0.2271</v>
      </c>
      <c r="G17" s="43" t="n">
        <v>0.218</v>
      </c>
      <c r="H17" s="43" t="n">
        <v>0.2169</v>
      </c>
      <c r="I17" s="42" t="n">
        <f aca="false">AVERAGE(D17:H17)</f>
        <v>0.21766</v>
      </c>
      <c r="J17" s="43" t="n">
        <v>0.2177</v>
      </c>
      <c r="K17" s="42" t="n">
        <f aca="false">IF(AND(Sup_Used=1,ISNUMBER(J17)),J17,I17)</f>
        <v>0.21766</v>
      </c>
      <c r="L17" s="42" t="n">
        <f aca="false">LN(MIN(MAX(K17,0.0001),0.9999)/(1-MIN(MAX(K17,0.0001),0.9999)))</f>
        <v>-1.27935521639552</v>
      </c>
      <c r="M17" s="16" t="n">
        <f aca="false">A17*EXP(-Platt_Shift)</f>
        <v>110.263879139164</v>
      </c>
      <c r="N17" s="44" t="n">
        <f aca="false">MIN(MAX(IFERROR(MATCH(M17,Distribution!$A$6:$A$20,1),1),1),14)</f>
        <v>11</v>
      </c>
      <c r="O17" s="42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0.255706858958308</v>
      </c>
      <c r="P17" s="42" t="n">
        <f aca="false">LN(MIN(MAX(C17,0.0001),0.9999)/(1-MIN(MAX(C17,0.0001),0.9999)))</f>
        <v>-1.34859602083465</v>
      </c>
      <c r="Q17" s="16" t="n">
        <f aca="false">IF(Analyst_Median&gt;0,A17*Market_Median/Analyst_Median,A17)</f>
        <v>91.9341455075456</v>
      </c>
      <c r="R17" s="44" t="n">
        <f aca="false">MIN(MAX(IFERROR(MATCH(Q17,Distribution!$A$6:$A$20,1),1),1),14)</f>
        <v>9</v>
      </c>
      <c r="S17" s="42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0.352305124648024</v>
      </c>
      <c r="T17" s="42" t="n">
        <f aca="false">W_Mkt*C17+W_Agents*O17</f>
        <v>0.222470263456242</v>
      </c>
      <c r="U17" s="45" t="n">
        <f aca="false">(1-W_Analyst)*T17+W_Analyst*S17</f>
        <v>0.222470263456242</v>
      </c>
      <c r="V17" s="42" t="n">
        <f aca="false">LN(MIN(MAX(U17,0.0001),0.9999)/(1-MIN(MAX(U17,0.0001),0.9999)))</f>
        <v>-1.25132844439354</v>
      </c>
      <c r="W17" s="43" t="n">
        <v>0.2283</v>
      </c>
    </row>
    <row r="18" customFormat="false" ht="15" hidden="false" customHeight="false" outlineLevel="0" collapsed="false">
      <c r="A18" s="6" t="n">
        <v>135.34</v>
      </c>
      <c r="B18" s="42" t="n">
        <f aca="false">LN(A18)</f>
        <v>4.90779013080408</v>
      </c>
      <c r="C18" s="43" t="n">
        <v>0.133</v>
      </c>
      <c r="D18" s="43" t="n">
        <v>0.1198</v>
      </c>
      <c r="E18" s="43" t="n">
        <v>0.121</v>
      </c>
      <c r="F18" s="43" t="n">
        <v>0.1304</v>
      </c>
      <c r="G18" s="43" t="n">
        <v>0.1222</v>
      </c>
      <c r="H18" s="43" t="n">
        <v>0.1221</v>
      </c>
      <c r="I18" s="42" t="n">
        <f aca="false">AVERAGE(D18:H18)</f>
        <v>0.1231</v>
      </c>
      <c r="J18" s="43" t="n">
        <v>0.1231</v>
      </c>
      <c r="K18" s="42" t="n">
        <f aca="false">IF(AND(Sup_Used=1,ISNUMBER(J18)),J18,I18)</f>
        <v>0.1231</v>
      </c>
      <c r="L18" s="42" t="n">
        <f aca="false">LN(MIN(MAX(K18,0.0001),0.9999)/(1-MIN(MAX(K18,0.0001),0.9999)))</f>
        <v>-1.9633959275949</v>
      </c>
      <c r="M18" s="16" t="n">
        <f aca="false">A18*EXP(-Platt_Shift)</f>
        <v>128.636439985298</v>
      </c>
      <c r="N18" s="44" t="n">
        <f aca="false">MIN(MAX(IFERROR(MATCH(M18,Distribution!$A$6:$A$20,1),1),1),14)</f>
        <v>12</v>
      </c>
      <c r="O18" s="42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0.149577598677178</v>
      </c>
      <c r="P18" s="42" t="n">
        <f aca="false">LN(MIN(MAX(C18,0.0001),0.9999)/(1-MIN(MAX(C18,0.0001),0.9999)))</f>
        <v>-1.87468984855879</v>
      </c>
      <c r="Q18" s="16" t="n">
        <f aca="false">IF(Analyst_Median&gt;0,A18*Market_Median/Analyst_Median,A18)</f>
        <v>107.252540755032</v>
      </c>
      <c r="R18" s="44" t="n">
        <f aca="false">MIN(MAX(IFERROR(MATCH(Q18,Distribution!$A$6:$A$20,1),1),1),14)</f>
        <v>11</v>
      </c>
      <c r="S18" s="42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0.25079982014179</v>
      </c>
      <c r="T18" s="42" t="n">
        <f aca="false">W_Mkt*C18+W_Agents*O18</f>
        <v>0.138470607563469</v>
      </c>
      <c r="U18" s="45" t="n">
        <f aca="false">(1-W_Analyst)*T18+W_Analyst*S18</f>
        <v>0.138470607563469</v>
      </c>
      <c r="V18" s="42" t="n">
        <f aca="false">LN(MIN(MAX(U18,0.0001),0.9999)/(1-MIN(MAX(U18,0.0001),0.9999)))</f>
        <v>-1.82805108978283</v>
      </c>
      <c r="W18" s="43" t="n">
        <v>0.1427</v>
      </c>
    </row>
    <row r="19" customFormat="false" ht="15" hidden="false" customHeight="false" outlineLevel="0" collapsed="false">
      <c r="A19" s="6" t="n">
        <v>154.68</v>
      </c>
      <c r="B19" s="42" t="n">
        <f aca="false">LN(A19)</f>
        <v>5.0413584667391</v>
      </c>
      <c r="C19" s="43" t="n">
        <v>0.086</v>
      </c>
      <c r="D19" s="43" t="n">
        <v>0.0664</v>
      </c>
      <c r="E19" s="43" t="n">
        <v>0.0665</v>
      </c>
      <c r="F19" s="43" t="n">
        <v>0.0728</v>
      </c>
      <c r="G19" s="43" t="n">
        <v>0.0666</v>
      </c>
      <c r="H19" s="43" t="n">
        <v>0.0675</v>
      </c>
      <c r="I19" s="42" t="n">
        <f aca="false">AVERAGE(D19:H19)</f>
        <v>0.06796</v>
      </c>
      <c r="J19" s="43" t="n">
        <v>0.0679</v>
      </c>
      <c r="K19" s="42" t="n">
        <f aca="false">IF(AND(Sup_Used=1,ISNUMBER(J19)),J19,I19)</f>
        <v>0.06796</v>
      </c>
      <c r="L19" s="42" t="n">
        <f aca="false">LN(MIN(MAX(K19,0.0001),0.9999)/(1-MIN(MAX(K19,0.0001),0.9999)))</f>
        <v>-2.61845643541583</v>
      </c>
      <c r="M19" s="16" t="n">
        <f aca="false">A19*EXP(-Platt_Shift)</f>
        <v>147.018505518886</v>
      </c>
      <c r="N19" s="44" t="n">
        <f aca="false">MIN(MAX(IFERROR(MATCH(M19,Distribution!$A$6:$A$20,1),1),1),14)</f>
        <v>13</v>
      </c>
      <c r="O19" s="42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0.0855425133469144</v>
      </c>
      <c r="P19" s="42" t="n">
        <f aca="false">LN(MIN(MAX(C19,0.0001),0.9999)/(1-MIN(MAX(C19,0.0001),0.9999)))</f>
        <v>-2.36348327520064</v>
      </c>
      <c r="Q19" s="16" t="n">
        <f aca="false">IF(Analyst_Median&gt;0,A19*Market_Median/Analyst_Median,A19)</f>
        <v>122.578860676728</v>
      </c>
      <c r="R19" s="44" t="n">
        <f aca="false">MIN(MAX(IFERROR(MATCH(Q19,Distribution!$A$6:$A$20,1),1),1),14)</f>
        <v>12</v>
      </c>
      <c r="S19" s="42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0.177027904452592</v>
      </c>
      <c r="T19" s="42" t="n">
        <f aca="false">W_Mkt*C19+W_Agents*O19</f>
        <v>0.0858490294044818</v>
      </c>
      <c r="U19" s="45" t="n">
        <f aca="false">(1-W_Analyst)*T19+W_Analyst*S19</f>
        <v>0.0858490294044818</v>
      </c>
      <c r="V19" s="42" t="n">
        <f aca="false">LN(MIN(MAX(U19,0.0001),0.9999)/(1-MIN(MAX(U19,0.0001),0.9999)))</f>
        <v>-2.36540545195449</v>
      </c>
      <c r="W19" s="43" t="n">
        <v>0.0889</v>
      </c>
    </row>
    <row r="20" customFormat="false" ht="15" hidden="false" customHeight="false" outlineLevel="0" collapsed="false">
      <c r="A20" s="6" t="n">
        <v>193.35</v>
      </c>
      <c r="B20" s="42" t="n">
        <f aca="false">LN(A20)</f>
        <v>5.26450201805331</v>
      </c>
      <c r="C20" s="43" t="n">
        <v>0.0368</v>
      </c>
      <c r="D20" s="43" t="n">
        <v>0.021</v>
      </c>
      <c r="E20" s="43" t="n">
        <v>0.021</v>
      </c>
      <c r="F20" s="43" t="n">
        <v>0.0232</v>
      </c>
      <c r="G20" s="43" t="n">
        <v>0.02</v>
      </c>
      <c r="H20" s="43" t="n">
        <v>0.02</v>
      </c>
      <c r="I20" s="42" t="n">
        <f aca="false">AVERAGE(D20:H20)</f>
        <v>0.02104</v>
      </c>
      <c r="J20" s="43" t="n">
        <v>0.021</v>
      </c>
      <c r="K20" s="42" t="n">
        <f aca="false">IF(AND(Sup_Used=1,ISNUMBER(J20)),J20,I20)</f>
        <v>0.02104</v>
      </c>
      <c r="L20" s="42" t="n">
        <f aca="false">LN(MIN(MAX(K20,0.0001),0.9999)/(1-MIN(MAX(K20,0.0001),0.9999)))</f>
        <v>-3.8400653958079</v>
      </c>
      <c r="M20" s="16" t="n">
        <f aca="false">A20*EXP(-Platt_Shift)</f>
        <v>183.773131898607</v>
      </c>
      <c r="N20" s="44" t="n">
        <f aca="false">MIN(MAX(IFERROR(MATCH(M20,Distribution!$A$6:$A$20,1),1),1),14)</f>
        <v>14</v>
      </c>
      <c r="O20" s="42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0.027599808290872</v>
      </c>
      <c r="P20" s="42" t="n">
        <f aca="false">LN(MIN(MAX(C20,0.0001),0.9999)/(1-MIN(MAX(C20,0.0001),0.9999)))</f>
        <v>-3.26476322937967</v>
      </c>
      <c r="Q20" s="16" t="n">
        <f aca="false">IF(Analyst_Median&gt;0,A20*Market_Median/Analyst_Median,A20)</f>
        <v>153.223575845909</v>
      </c>
      <c r="R20" s="44" t="n">
        <f aca="false">MIN(MAX(IFERROR(MATCH(Q20,Distribution!$A$6:$A$20,1),1),1),14)</f>
        <v>13</v>
      </c>
      <c r="S20" s="42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0.088760568435096</v>
      </c>
      <c r="T20" s="42" t="n">
        <f aca="false">W_Mkt*C20+W_Agents*O20</f>
        <v>0.0337639367359878</v>
      </c>
      <c r="U20" s="45" t="n">
        <f aca="false">(1-W_Analyst)*T20+W_Analyst*S20</f>
        <v>0.0337639367359878</v>
      </c>
      <c r="V20" s="42" t="n">
        <f aca="false">LN(MIN(MAX(U20,0.0001),0.9999)/(1-MIN(MAX(U20,0.0001),0.9999)))</f>
        <v>-3.35401490385977</v>
      </c>
      <c r="W20" s="43" t="n">
        <v>0.0351</v>
      </c>
    </row>
    <row r="22" customFormat="false" ht="15" hidden="false" customHeight="false" outlineLevel="0" collapsed="false">
      <c r="A22" s="2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23.85" hidden="false" customHeight="false" outlineLevel="0" collapsed="false">
      <c r="A4" s="23" t="s">
        <v>295</v>
      </c>
      <c r="B4" s="23" t="s">
        <v>296</v>
      </c>
      <c r="C4" s="23" t="s">
        <v>297</v>
      </c>
      <c r="D4" s="23" t="s">
        <v>298</v>
      </c>
      <c r="E4" s="23" t="s">
        <v>299</v>
      </c>
      <c r="F4" s="23" t="s">
        <v>300</v>
      </c>
      <c r="G4" s="23" t="s">
        <v>301</v>
      </c>
    </row>
    <row r="5" customFormat="false" ht="57.45" hidden="false" customHeight="false" outlineLevel="0" collapsed="false">
      <c r="A5" s="5" t="s">
        <v>29</v>
      </c>
      <c r="B5" s="31" t="s">
        <v>141</v>
      </c>
      <c r="C5" s="6" t="n">
        <v>85.5</v>
      </c>
      <c r="D5" s="12" t="n">
        <v>0.5</v>
      </c>
      <c r="E5" s="16" t="n">
        <f aca="false">C5*D5</f>
        <v>42.75</v>
      </c>
      <c r="F5" s="31" t="s">
        <v>302</v>
      </c>
      <c r="G5" s="31" t="s">
        <v>303</v>
      </c>
    </row>
    <row r="6" customFormat="false" ht="46.25" hidden="false" customHeight="false" outlineLevel="0" collapsed="false">
      <c r="A6" s="5" t="s">
        <v>29</v>
      </c>
      <c r="B6" s="31" t="s">
        <v>199</v>
      </c>
      <c r="C6" s="6" t="n">
        <v>82</v>
      </c>
      <c r="D6" s="12" t="n">
        <v>0.3</v>
      </c>
      <c r="E6" s="16" t="n">
        <f aca="false">C6*D6</f>
        <v>24.6</v>
      </c>
      <c r="F6" s="31" t="s">
        <v>304</v>
      </c>
      <c r="G6" s="31" t="s">
        <v>305</v>
      </c>
    </row>
    <row r="7" customFormat="false" ht="23.85" hidden="false" customHeight="false" outlineLevel="0" collapsed="false">
      <c r="A7" s="5" t="s">
        <v>29</v>
      </c>
      <c r="B7" s="31" t="s">
        <v>226</v>
      </c>
      <c r="C7" s="6" t="n">
        <v>77</v>
      </c>
      <c r="D7" s="12" t="n">
        <v>0.2</v>
      </c>
      <c r="E7" s="16" t="n">
        <f aca="false">C7*D7</f>
        <v>15.4</v>
      </c>
      <c r="F7" s="31" t="s">
        <v>306</v>
      </c>
      <c r="G7" s="31" t="s">
        <v>307</v>
      </c>
    </row>
    <row r="8" customFormat="false" ht="35.05" hidden="false" customHeight="false" outlineLevel="0" collapsed="false">
      <c r="A8" s="46" t="s">
        <v>29</v>
      </c>
      <c r="B8" s="46" t="s">
        <v>308</v>
      </c>
      <c r="C8" s="47" t="n">
        <f aca="false">IF(SUM(D5:D7)&gt;0,SUMPRODUCT(C5:C7,D5:D7)/SUM(D5:D7),"")</f>
        <v>82.75</v>
      </c>
      <c r="D8" s="48" t="n">
        <f aca="false">SUM(D5:D7)</f>
        <v>1</v>
      </c>
      <c r="E8" s="49" t="n">
        <v>83</v>
      </c>
      <c r="F8" s="46" t="s">
        <v>309</v>
      </c>
      <c r="G8" s="50" t="s">
        <v>310</v>
      </c>
    </row>
    <row r="10" customFormat="false" ht="57.45" hidden="false" customHeight="false" outlineLevel="0" collapsed="false">
      <c r="A10" s="5" t="s">
        <v>30</v>
      </c>
      <c r="B10" s="31" t="s">
        <v>141</v>
      </c>
      <c r="C10" s="6" t="n">
        <v>85.5</v>
      </c>
      <c r="D10" s="12" t="n">
        <v>0.5</v>
      </c>
      <c r="E10" s="16" t="n">
        <f aca="false">C10*D10</f>
        <v>42.75</v>
      </c>
      <c r="F10" s="31" t="s">
        <v>302</v>
      </c>
      <c r="G10" s="31" t="s">
        <v>311</v>
      </c>
    </row>
    <row r="11" customFormat="false" ht="46.25" hidden="false" customHeight="false" outlineLevel="0" collapsed="false">
      <c r="A11" s="5" t="s">
        <v>30</v>
      </c>
      <c r="B11" s="31" t="s">
        <v>199</v>
      </c>
      <c r="C11" s="6" t="n">
        <v>85.2</v>
      </c>
      <c r="D11" s="12" t="n">
        <v>0.3</v>
      </c>
      <c r="E11" s="16" t="n">
        <f aca="false">C11*D11</f>
        <v>25.56</v>
      </c>
      <c r="F11" s="31" t="s">
        <v>312</v>
      </c>
      <c r="G11" s="31" t="s">
        <v>313</v>
      </c>
    </row>
    <row r="12" customFormat="false" ht="35.05" hidden="false" customHeight="false" outlineLevel="0" collapsed="false">
      <c r="A12" s="5" t="s">
        <v>30</v>
      </c>
      <c r="B12" s="31" t="s">
        <v>226</v>
      </c>
      <c r="C12" s="6" t="n">
        <v>75.6</v>
      </c>
      <c r="D12" s="12" t="n">
        <v>0.2</v>
      </c>
      <c r="E12" s="16" t="n">
        <f aca="false">C12*D12</f>
        <v>15.12</v>
      </c>
      <c r="F12" s="31" t="s">
        <v>306</v>
      </c>
      <c r="G12" s="31" t="s">
        <v>314</v>
      </c>
    </row>
    <row r="13" customFormat="false" ht="35.05" hidden="false" customHeight="false" outlineLevel="0" collapsed="false">
      <c r="A13" s="46" t="s">
        <v>30</v>
      </c>
      <c r="B13" s="46" t="s">
        <v>308</v>
      </c>
      <c r="C13" s="47" t="n">
        <f aca="false">IF(SUM(D10:D12)&gt;0,SUMPRODUCT(C10:C12,D10:D12)/SUM(D10:D12),"")</f>
        <v>83.43</v>
      </c>
      <c r="D13" s="48" t="n">
        <f aca="false">SUM(D10:D12)</f>
        <v>1</v>
      </c>
      <c r="E13" s="49" t="n">
        <v>83.5</v>
      </c>
      <c r="F13" s="46" t="s">
        <v>309</v>
      </c>
      <c r="G13" s="50" t="s">
        <v>315</v>
      </c>
    </row>
    <row r="15" customFormat="false" ht="68.65" hidden="false" customHeight="false" outlineLevel="0" collapsed="false">
      <c r="A15" s="5" t="s">
        <v>31</v>
      </c>
      <c r="B15" s="31" t="s">
        <v>141</v>
      </c>
      <c r="C15" s="6" t="n">
        <v>87</v>
      </c>
      <c r="D15" s="12" t="n">
        <v>0.5</v>
      </c>
      <c r="E15" s="16" t="n">
        <f aca="false">C15*D15</f>
        <v>43.5</v>
      </c>
      <c r="F15" s="31" t="s">
        <v>302</v>
      </c>
      <c r="G15" s="31" t="s">
        <v>316</v>
      </c>
    </row>
    <row r="16" customFormat="false" ht="57.45" hidden="false" customHeight="false" outlineLevel="0" collapsed="false">
      <c r="A16" s="5" t="s">
        <v>31</v>
      </c>
      <c r="B16" s="31" t="s">
        <v>199</v>
      </c>
      <c r="C16" s="6" t="n">
        <v>90</v>
      </c>
      <c r="D16" s="12" t="n">
        <v>0.25</v>
      </c>
      <c r="E16" s="16" t="n">
        <f aca="false">C16*D16</f>
        <v>22.5</v>
      </c>
      <c r="F16" s="31" t="s">
        <v>312</v>
      </c>
      <c r="G16" s="31" t="s">
        <v>317</v>
      </c>
    </row>
    <row r="17" customFormat="false" ht="35.05" hidden="false" customHeight="false" outlineLevel="0" collapsed="false">
      <c r="A17" s="5" t="s">
        <v>31</v>
      </c>
      <c r="B17" s="31" t="s">
        <v>226</v>
      </c>
      <c r="C17" s="6" t="n">
        <v>78</v>
      </c>
      <c r="D17" s="12" t="n">
        <v>0.25</v>
      </c>
      <c r="E17" s="16" t="n">
        <f aca="false">C17*D17</f>
        <v>19.5</v>
      </c>
      <c r="F17" s="31" t="s">
        <v>306</v>
      </c>
      <c r="G17" s="31" t="s">
        <v>318</v>
      </c>
    </row>
    <row r="18" customFormat="false" ht="35.05" hidden="false" customHeight="false" outlineLevel="0" collapsed="false">
      <c r="A18" s="46" t="s">
        <v>31</v>
      </c>
      <c r="B18" s="46" t="s">
        <v>308</v>
      </c>
      <c r="C18" s="47" t="n">
        <f aca="false">IF(SUM(D15:D17)&gt;0,SUMPRODUCT(C15:C17,D15:D17)/SUM(D15:D17),"")</f>
        <v>85.5</v>
      </c>
      <c r="D18" s="48" t="n">
        <f aca="false">SUM(D15:D17)</f>
        <v>1</v>
      </c>
      <c r="E18" s="49" t="n">
        <v>86</v>
      </c>
      <c r="F18" s="46" t="s">
        <v>309</v>
      </c>
      <c r="G18" s="50" t="s">
        <v>319</v>
      </c>
    </row>
    <row r="20" customFormat="false" ht="57.45" hidden="false" customHeight="false" outlineLevel="0" collapsed="false">
      <c r="A20" s="5" t="s">
        <v>32</v>
      </c>
      <c r="B20" s="31" t="s">
        <v>141</v>
      </c>
      <c r="C20" s="6" t="n">
        <v>88</v>
      </c>
      <c r="D20" s="12" t="n">
        <v>0.45</v>
      </c>
      <c r="E20" s="16" t="n">
        <f aca="false">C20*D20</f>
        <v>39.6</v>
      </c>
      <c r="F20" s="31" t="s">
        <v>302</v>
      </c>
      <c r="G20" s="31" t="s">
        <v>320</v>
      </c>
    </row>
    <row r="21" customFormat="false" ht="35.05" hidden="false" customHeight="false" outlineLevel="0" collapsed="false">
      <c r="A21" s="5" t="s">
        <v>32</v>
      </c>
      <c r="B21" s="31" t="s">
        <v>199</v>
      </c>
      <c r="C21" s="6" t="n">
        <v>85</v>
      </c>
      <c r="D21" s="12" t="n">
        <v>0.3</v>
      </c>
      <c r="E21" s="16" t="n">
        <f aca="false">C21*D21</f>
        <v>25.5</v>
      </c>
      <c r="F21" s="31" t="s">
        <v>312</v>
      </c>
      <c r="G21" s="31" t="s">
        <v>321</v>
      </c>
    </row>
    <row r="22" customFormat="false" ht="35.05" hidden="false" customHeight="false" outlineLevel="0" collapsed="false">
      <c r="A22" s="5" t="s">
        <v>32</v>
      </c>
      <c r="B22" s="31" t="s">
        <v>226</v>
      </c>
      <c r="C22" s="6" t="n">
        <v>73</v>
      </c>
      <c r="D22" s="12" t="n">
        <v>0.25</v>
      </c>
      <c r="E22" s="16" t="n">
        <f aca="false">C22*D22</f>
        <v>18.25</v>
      </c>
      <c r="F22" s="31" t="s">
        <v>306</v>
      </c>
      <c r="G22" s="31" t="s">
        <v>322</v>
      </c>
    </row>
    <row r="23" customFormat="false" ht="46.25" hidden="false" customHeight="false" outlineLevel="0" collapsed="false">
      <c r="A23" s="46" t="s">
        <v>32</v>
      </c>
      <c r="B23" s="46" t="s">
        <v>308</v>
      </c>
      <c r="C23" s="47" t="n">
        <f aca="false">IF(SUM(D20:D22)&gt;0,SUMPRODUCT(C20:C22,D20:D22)/SUM(D20:D22),"")</f>
        <v>83.35</v>
      </c>
      <c r="D23" s="48" t="n">
        <f aca="false">SUM(D20:D22)</f>
        <v>1</v>
      </c>
      <c r="E23" s="49" t="n">
        <v>84</v>
      </c>
      <c r="F23" s="46" t="s">
        <v>309</v>
      </c>
      <c r="G23" s="50" t="s">
        <v>323</v>
      </c>
    </row>
    <row r="25" customFormat="false" ht="46.25" hidden="false" customHeight="false" outlineLevel="0" collapsed="false">
      <c r="A25" s="5" t="s">
        <v>33</v>
      </c>
      <c r="B25" s="31" t="s">
        <v>141</v>
      </c>
      <c r="C25" s="6" t="n">
        <v>84</v>
      </c>
      <c r="D25" s="12" t="n">
        <v>0.45</v>
      </c>
      <c r="E25" s="16" t="n">
        <f aca="false">C25*D25</f>
        <v>37.8</v>
      </c>
      <c r="F25" s="31" t="s">
        <v>302</v>
      </c>
      <c r="G25" s="31" t="s">
        <v>324</v>
      </c>
    </row>
    <row r="26" customFormat="false" ht="35.05" hidden="false" customHeight="false" outlineLevel="0" collapsed="false">
      <c r="A26" s="5" t="s">
        <v>33</v>
      </c>
      <c r="B26" s="31" t="s">
        <v>199</v>
      </c>
      <c r="C26" s="6" t="n">
        <v>87</v>
      </c>
      <c r="D26" s="12" t="n">
        <v>0.25</v>
      </c>
      <c r="E26" s="16" t="n">
        <f aca="false">C26*D26</f>
        <v>21.75</v>
      </c>
      <c r="F26" s="31" t="s">
        <v>312</v>
      </c>
      <c r="G26" s="31" t="s">
        <v>325</v>
      </c>
    </row>
    <row r="27" customFormat="false" ht="35.05" hidden="false" customHeight="false" outlineLevel="0" collapsed="false">
      <c r="A27" s="5" t="s">
        <v>33</v>
      </c>
      <c r="B27" s="31" t="s">
        <v>226</v>
      </c>
      <c r="C27" s="6" t="n">
        <v>82</v>
      </c>
      <c r="D27" s="12" t="n">
        <v>0.3</v>
      </c>
      <c r="E27" s="16" t="n">
        <f aca="false">C27*D27</f>
        <v>24.6</v>
      </c>
      <c r="F27" s="31" t="s">
        <v>306</v>
      </c>
      <c r="G27" s="31" t="s">
        <v>326</v>
      </c>
    </row>
    <row r="28" customFormat="false" ht="46.25" hidden="false" customHeight="false" outlineLevel="0" collapsed="false">
      <c r="A28" s="46" t="s">
        <v>33</v>
      </c>
      <c r="B28" s="46" t="s">
        <v>308</v>
      </c>
      <c r="C28" s="47" t="n">
        <f aca="false">IF(SUM(D25:D27)&gt;0,SUMPRODUCT(C25:C27,D25:D27)/SUM(D25:D27),"")</f>
        <v>84.15</v>
      </c>
      <c r="D28" s="48" t="n">
        <f aca="false">SUM(D25:D27)</f>
        <v>1</v>
      </c>
      <c r="E28" s="49" t="n">
        <v>85</v>
      </c>
      <c r="F28" s="46" t="s">
        <v>309</v>
      </c>
      <c r="G28" s="50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23.85" hidden="false" customHeight="false" outlineLevel="0" collapsed="false">
      <c r="A4" s="23" t="s">
        <v>295</v>
      </c>
      <c r="B4" s="23" t="s">
        <v>330</v>
      </c>
      <c r="C4" s="23" t="s">
        <v>331</v>
      </c>
      <c r="D4" s="23" t="s">
        <v>332</v>
      </c>
      <c r="E4" s="23" t="s">
        <v>333</v>
      </c>
      <c r="F4" s="23" t="s">
        <v>334</v>
      </c>
      <c r="G4" s="23" t="s">
        <v>335</v>
      </c>
    </row>
    <row r="5" customFormat="false" ht="91" hidden="false" customHeight="false" outlineLevel="0" collapsed="false">
      <c r="A5" s="5" t="s">
        <v>29</v>
      </c>
      <c r="B5" s="6" t="n">
        <v>52</v>
      </c>
      <c r="C5" s="6" t="n">
        <v>87</v>
      </c>
      <c r="D5" s="6" t="n">
        <v>125</v>
      </c>
      <c r="E5" s="31" t="s">
        <v>336</v>
      </c>
      <c r="F5" s="31" t="s">
        <v>337</v>
      </c>
      <c r="G5" s="31" t="s">
        <v>338</v>
      </c>
    </row>
    <row r="6" customFormat="false" ht="102.2" hidden="false" customHeight="false" outlineLevel="0" collapsed="false">
      <c r="A6" s="5" t="s">
        <v>30</v>
      </c>
      <c r="B6" s="6" t="n">
        <v>52</v>
      </c>
      <c r="C6" s="6" t="n">
        <v>87</v>
      </c>
      <c r="D6" s="6" t="n">
        <v>118</v>
      </c>
      <c r="E6" s="31" t="s">
        <v>339</v>
      </c>
      <c r="F6" s="31" t="s">
        <v>340</v>
      </c>
      <c r="G6" s="31" t="s">
        <v>341</v>
      </c>
    </row>
    <row r="7" customFormat="false" ht="79.85" hidden="false" customHeight="false" outlineLevel="0" collapsed="false">
      <c r="A7" s="5" t="s">
        <v>31</v>
      </c>
      <c r="B7" s="6" t="n">
        <v>52</v>
      </c>
      <c r="C7" s="6" t="n">
        <v>88</v>
      </c>
      <c r="D7" s="6" t="n">
        <v>122</v>
      </c>
      <c r="E7" s="31" t="s">
        <v>342</v>
      </c>
      <c r="F7" s="31" t="s">
        <v>343</v>
      </c>
      <c r="G7" s="31" t="s">
        <v>344</v>
      </c>
    </row>
    <row r="8" customFormat="false" ht="79.85" hidden="false" customHeight="false" outlineLevel="0" collapsed="false">
      <c r="A8" s="5" t="s">
        <v>32</v>
      </c>
      <c r="B8" s="6" t="n">
        <v>52</v>
      </c>
      <c r="C8" s="6" t="n">
        <v>88</v>
      </c>
      <c r="D8" s="6" t="n">
        <v>120</v>
      </c>
      <c r="E8" s="31" t="s">
        <v>345</v>
      </c>
      <c r="F8" s="31" t="s">
        <v>346</v>
      </c>
      <c r="G8" s="31" t="s">
        <v>347</v>
      </c>
    </row>
    <row r="9" customFormat="false" ht="79.85" hidden="false" customHeight="false" outlineLevel="0" collapsed="false">
      <c r="A9" s="5" t="s">
        <v>33</v>
      </c>
      <c r="B9" s="6" t="n">
        <v>52</v>
      </c>
      <c r="C9" s="6" t="n">
        <v>86</v>
      </c>
      <c r="D9" s="6" t="n">
        <v>122</v>
      </c>
      <c r="E9" s="31" t="s">
        <v>348</v>
      </c>
      <c r="F9" s="31" t="s">
        <v>349</v>
      </c>
      <c r="G9" s="31" t="s">
        <v>350</v>
      </c>
    </row>
    <row r="10" customFormat="false" ht="15" hidden="false" customHeight="false" outlineLevel="0" collapsed="false">
      <c r="A10" s="14" t="s">
        <v>351</v>
      </c>
      <c r="B10" s="15" t="n">
        <f aca="false">AVERAGE(B5:B9)</f>
        <v>52</v>
      </c>
      <c r="C10" s="15" t="n">
        <f aca="false">AVERAGE(C5:C9)</f>
        <v>87.2</v>
      </c>
      <c r="D10" s="15" t="n">
        <f aca="false">AVERAGE(D5:D9)</f>
        <v>121.4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352</v>
      </c>
    </row>
    <row r="2" customFormat="false" ht="15" hidden="false" customHeight="false" outlineLevel="0" collapsed="false">
      <c r="A2" s="2" t="s">
        <v>353</v>
      </c>
    </row>
    <row r="4" customFormat="false" ht="35.05" hidden="false" customHeight="false" outlineLevel="0" collapsed="false">
      <c r="A4" s="23" t="s">
        <v>295</v>
      </c>
      <c r="B4" s="23" t="s">
        <v>354</v>
      </c>
      <c r="C4" s="23" t="s">
        <v>355</v>
      </c>
      <c r="D4" s="23" t="s">
        <v>356</v>
      </c>
      <c r="E4" s="23" t="s">
        <v>66</v>
      </c>
      <c r="F4" s="23" t="s">
        <v>357</v>
      </c>
      <c r="G4" s="23" t="s">
        <v>358</v>
      </c>
      <c r="H4" s="23" t="s">
        <v>359</v>
      </c>
    </row>
    <row r="5" customFormat="false" ht="314.9" hidden="false" customHeight="false" outlineLevel="0" collapsed="false">
      <c r="A5" s="5" t="s">
        <v>29</v>
      </c>
      <c r="B5" s="6" t="n">
        <v>82</v>
      </c>
      <c r="C5" s="6" t="n">
        <v>83</v>
      </c>
      <c r="D5" s="6" t="n">
        <v>52</v>
      </c>
      <c r="E5" s="31" t="s">
        <v>360</v>
      </c>
      <c r="F5" s="31" t="s">
        <v>361</v>
      </c>
      <c r="G5" s="31" t="s">
        <v>362</v>
      </c>
      <c r="H5" s="31" t="s">
        <v>363</v>
      </c>
    </row>
    <row r="6" customFormat="false" ht="337.3" hidden="false" customHeight="false" outlineLevel="0" collapsed="false">
      <c r="A6" s="5" t="s">
        <v>30</v>
      </c>
      <c r="B6" s="6" t="n">
        <v>84.5</v>
      </c>
      <c r="C6" s="6" t="n">
        <v>83.5</v>
      </c>
      <c r="D6" s="6" t="n">
        <v>55</v>
      </c>
      <c r="E6" s="31" t="s">
        <v>364</v>
      </c>
      <c r="F6" s="31" t="s">
        <v>365</v>
      </c>
      <c r="G6" s="31" t="s">
        <v>366</v>
      </c>
      <c r="H6" s="31" t="s">
        <v>367</v>
      </c>
    </row>
    <row r="7" customFormat="false" ht="314.9" hidden="false" customHeight="false" outlineLevel="0" collapsed="false">
      <c r="A7" s="5" t="s">
        <v>31</v>
      </c>
      <c r="B7" s="6" t="n">
        <v>87</v>
      </c>
      <c r="C7" s="6" t="n">
        <v>86</v>
      </c>
      <c r="D7" s="6" t="n">
        <v>55</v>
      </c>
      <c r="E7" s="31" t="s">
        <v>368</v>
      </c>
      <c r="F7" s="31" t="s">
        <v>369</v>
      </c>
      <c r="G7" s="31" t="s">
        <v>370</v>
      </c>
      <c r="H7" s="31" t="s">
        <v>371</v>
      </c>
    </row>
    <row r="8" customFormat="false" ht="348.5" hidden="false" customHeight="false" outlineLevel="0" collapsed="false">
      <c r="A8" s="5" t="s">
        <v>32</v>
      </c>
      <c r="B8" s="6" t="n">
        <v>84</v>
      </c>
      <c r="C8" s="6" t="n">
        <v>84</v>
      </c>
      <c r="D8" s="6" t="n">
        <v>55</v>
      </c>
      <c r="E8" s="31" t="s">
        <v>372</v>
      </c>
      <c r="F8" s="31" t="s">
        <v>373</v>
      </c>
      <c r="G8" s="31" t="s">
        <v>374</v>
      </c>
      <c r="H8" s="31" t="s">
        <v>375</v>
      </c>
    </row>
    <row r="9" customFormat="false" ht="348.5" hidden="false" customHeight="false" outlineLevel="0" collapsed="false">
      <c r="A9" s="5" t="s">
        <v>33</v>
      </c>
      <c r="B9" s="6" t="n">
        <v>84</v>
      </c>
      <c r="C9" s="6" t="n">
        <v>85</v>
      </c>
      <c r="D9" s="6" t="n">
        <v>55</v>
      </c>
      <c r="E9" s="31" t="s">
        <v>376</v>
      </c>
      <c r="F9" s="31" t="s">
        <v>377</v>
      </c>
      <c r="G9" s="31" t="s">
        <v>378</v>
      </c>
      <c r="H9" s="31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46.25" hidden="false" customHeight="true" outlineLevel="0" collapsed="false">
      <c r="A4" s="14" t="s">
        <v>382</v>
      </c>
      <c r="B4" s="51" t="s">
        <v>383</v>
      </c>
      <c r="C4" s="51"/>
      <c r="D4" s="51"/>
    </row>
    <row r="5" customFormat="false" ht="46.25" hidden="false" customHeight="true" outlineLevel="0" collapsed="false">
      <c r="A5" s="14" t="s">
        <v>384</v>
      </c>
      <c r="B5" s="51" t="s">
        <v>37</v>
      </c>
      <c r="C5" s="51"/>
      <c r="D5" s="51"/>
    </row>
    <row r="6" customFormat="false" ht="113.4" hidden="false" customHeight="true" outlineLevel="0" collapsed="false">
      <c r="A6" s="14" t="s">
        <v>385</v>
      </c>
      <c r="B6" s="51" t="s">
        <v>386</v>
      </c>
      <c r="C6" s="51"/>
      <c r="D6" s="51"/>
    </row>
    <row r="8" customFormat="false" ht="15" hidden="false" customHeight="false" outlineLevel="0" collapsed="false">
      <c r="A8" s="52" t="s">
        <v>387</v>
      </c>
    </row>
    <row r="9" customFormat="false" ht="15" hidden="false" customHeight="false" outlineLevel="0" collapsed="false">
      <c r="A9" s="53" t="s">
        <v>388</v>
      </c>
      <c r="B9" s="53" t="s">
        <v>389</v>
      </c>
      <c r="C9" s="53" t="s">
        <v>390</v>
      </c>
      <c r="D9" s="53" t="s">
        <v>391</v>
      </c>
    </row>
    <row r="10" customFormat="false" ht="102.2" hidden="false" customHeight="false" outlineLevel="0" collapsed="false">
      <c r="A10" s="31" t="s">
        <v>392</v>
      </c>
      <c r="B10" s="31" t="s">
        <v>393</v>
      </c>
      <c r="C10" s="31" t="s">
        <v>394</v>
      </c>
      <c r="D10" s="31" t="s">
        <v>395</v>
      </c>
    </row>
    <row r="11" customFormat="false" ht="102.2" hidden="false" customHeight="false" outlineLevel="0" collapsed="false">
      <c r="A11" s="31" t="s">
        <v>396</v>
      </c>
      <c r="B11" s="31" t="s">
        <v>397</v>
      </c>
      <c r="C11" s="31" t="s">
        <v>398</v>
      </c>
      <c r="D11" s="31" t="s">
        <v>399</v>
      </c>
    </row>
    <row r="12" customFormat="false" ht="57.45" hidden="false" customHeight="false" outlineLevel="0" collapsed="false">
      <c r="A12" s="31" t="s">
        <v>400</v>
      </c>
      <c r="B12" s="31" t="s">
        <v>401</v>
      </c>
      <c r="C12" s="31" t="s">
        <v>402</v>
      </c>
      <c r="D12" s="31" t="s">
        <v>403</v>
      </c>
    </row>
    <row r="13" customFormat="false" ht="57.45" hidden="false" customHeight="false" outlineLevel="0" collapsed="false">
      <c r="A13" s="31" t="s">
        <v>404</v>
      </c>
      <c r="B13" s="31" t="s">
        <v>405</v>
      </c>
      <c r="C13" s="31" t="s">
        <v>406</v>
      </c>
      <c r="D13" s="31" t="s">
        <v>407</v>
      </c>
    </row>
    <row r="15" customFormat="false" ht="15" hidden="false" customHeight="false" outlineLevel="0" collapsed="false">
      <c r="A15" s="52" t="s">
        <v>408</v>
      </c>
    </row>
    <row r="16" customFormat="false" ht="15" hidden="false" customHeight="false" outlineLevel="0" collapsed="false">
      <c r="A16" s="53" t="s">
        <v>388</v>
      </c>
      <c r="B16" s="53" t="s">
        <v>389</v>
      </c>
      <c r="C16" s="53" t="s">
        <v>390</v>
      </c>
      <c r="D16" s="53" t="s">
        <v>391</v>
      </c>
    </row>
    <row r="17" customFormat="false" ht="91" hidden="false" customHeight="false" outlineLevel="0" collapsed="false">
      <c r="A17" s="31" t="s">
        <v>409</v>
      </c>
      <c r="B17" s="31" t="s">
        <v>410</v>
      </c>
      <c r="C17" s="31" t="s">
        <v>411</v>
      </c>
      <c r="D17" s="31" t="s">
        <v>412</v>
      </c>
    </row>
    <row r="18" customFormat="false" ht="91" hidden="false" customHeight="false" outlineLevel="0" collapsed="false">
      <c r="A18" s="31" t="s">
        <v>413</v>
      </c>
      <c r="B18" s="31" t="s">
        <v>414</v>
      </c>
      <c r="C18" s="31" t="s">
        <v>415</v>
      </c>
      <c r="D18" s="31" t="s">
        <v>416</v>
      </c>
    </row>
    <row r="19" customFormat="false" ht="102.2" hidden="false" customHeight="false" outlineLevel="0" collapsed="false">
      <c r="A19" s="31" t="s">
        <v>417</v>
      </c>
      <c r="B19" s="31" t="s">
        <v>418</v>
      </c>
      <c r="C19" s="31" t="s">
        <v>419</v>
      </c>
      <c r="D19" s="31" t="s">
        <v>420</v>
      </c>
    </row>
    <row r="20" customFormat="false" ht="79.85" hidden="false" customHeight="false" outlineLevel="0" collapsed="false">
      <c r="A20" s="31" t="s">
        <v>421</v>
      </c>
      <c r="B20" s="31" t="s">
        <v>422</v>
      </c>
      <c r="C20" s="31" t="s">
        <v>423</v>
      </c>
      <c r="D20" s="31" t="s">
        <v>424</v>
      </c>
    </row>
    <row r="21" customFormat="false" ht="102.2" hidden="false" customHeight="false" outlineLevel="0" collapsed="false">
      <c r="A21" s="31" t="s">
        <v>425</v>
      </c>
      <c r="B21" s="31" t="s">
        <v>426</v>
      </c>
      <c r="C21" s="31" t="s">
        <v>427</v>
      </c>
      <c r="D21" s="31" t="s">
        <v>428</v>
      </c>
    </row>
    <row r="22" customFormat="false" ht="68.65" hidden="false" customHeight="false" outlineLevel="0" collapsed="false">
      <c r="A22" s="31" t="s">
        <v>429</v>
      </c>
      <c r="B22" s="31" t="s">
        <v>430</v>
      </c>
      <c r="C22" s="31" t="s">
        <v>431</v>
      </c>
      <c r="D22" s="31" t="s">
        <v>432</v>
      </c>
    </row>
    <row r="23" customFormat="false" ht="57.45" hidden="false" customHeight="false" outlineLevel="0" collapsed="false">
      <c r="A23" s="31" t="s">
        <v>433</v>
      </c>
      <c r="B23" s="31" t="s">
        <v>434</v>
      </c>
      <c r="C23" s="31" t="s">
        <v>435</v>
      </c>
      <c r="D23" s="31" t="s">
        <v>436</v>
      </c>
    </row>
    <row r="25" customFormat="false" ht="15" hidden="false" customHeight="false" outlineLevel="0" collapsed="false">
      <c r="A25" s="52" t="s">
        <v>437</v>
      </c>
    </row>
    <row r="26" customFormat="false" ht="15" hidden="false" customHeight="false" outlineLevel="0" collapsed="false">
      <c r="A26" s="53" t="s">
        <v>438</v>
      </c>
      <c r="B26" s="53" t="s">
        <v>439</v>
      </c>
      <c r="C26" s="53" t="s">
        <v>440</v>
      </c>
      <c r="D26" s="53" t="s">
        <v>441</v>
      </c>
    </row>
    <row r="27" customFormat="false" ht="46.25" hidden="false" customHeight="false" outlineLevel="0" collapsed="false">
      <c r="A27" s="31" t="s">
        <v>442</v>
      </c>
      <c r="B27" s="31" t="s">
        <v>443</v>
      </c>
      <c r="C27" s="31" t="s">
        <v>444</v>
      </c>
      <c r="D27" s="31" t="s">
        <v>445</v>
      </c>
    </row>
    <row r="28" customFormat="false" ht="46.25" hidden="false" customHeight="false" outlineLevel="0" collapsed="false">
      <c r="A28" s="31" t="s">
        <v>446</v>
      </c>
      <c r="B28" s="31" t="s">
        <v>447</v>
      </c>
      <c r="C28" s="31" t="s">
        <v>448</v>
      </c>
      <c r="D28" s="31" t="s">
        <v>449</v>
      </c>
    </row>
    <row r="29" customFormat="false" ht="57.45" hidden="false" customHeight="false" outlineLevel="0" collapsed="false">
      <c r="A29" s="31" t="s">
        <v>450</v>
      </c>
      <c r="B29" s="31" t="s">
        <v>451</v>
      </c>
      <c r="C29" s="31" t="s">
        <v>452</v>
      </c>
      <c r="D29" s="31" t="s">
        <v>453</v>
      </c>
    </row>
    <row r="30" customFormat="false" ht="68.65" hidden="false" customHeight="false" outlineLevel="0" collapsed="false">
      <c r="A30" s="31" t="s">
        <v>454</v>
      </c>
      <c r="B30" s="31" t="s">
        <v>455</v>
      </c>
      <c r="C30" s="31" t="s">
        <v>456</v>
      </c>
      <c r="D30" s="31" t="s">
        <v>457</v>
      </c>
    </row>
    <row r="31" customFormat="false" ht="23.85" hidden="false" customHeight="false" outlineLevel="0" collapsed="false">
      <c r="A31" s="31" t="s">
        <v>458</v>
      </c>
      <c r="B31" s="31" t="s">
        <v>459</v>
      </c>
      <c r="C31" s="31" t="s">
        <v>460</v>
      </c>
      <c r="D31" s="31" t="s">
        <v>461</v>
      </c>
    </row>
    <row r="32" customFormat="false" ht="35.05" hidden="false" customHeight="false" outlineLevel="0" collapsed="false">
      <c r="A32" s="31" t="s">
        <v>442</v>
      </c>
      <c r="B32" s="31" t="s">
        <v>443</v>
      </c>
      <c r="C32" s="31" t="s">
        <v>444</v>
      </c>
      <c r="D32" s="31" t="s">
        <v>462</v>
      </c>
    </row>
    <row r="33" customFormat="false" ht="23.85" hidden="false" customHeight="false" outlineLevel="0" collapsed="false">
      <c r="A33" s="31" t="s">
        <v>446</v>
      </c>
      <c r="B33" s="31" t="s">
        <v>447</v>
      </c>
      <c r="C33" s="31" t="s">
        <v>448</v>
      </c>
      <c r="D33" s="31" t="s">
        <v>463</v>
      </c>
    </row>
    <row r="34" customFormat="false" ht="35.05" hidden="false" customHeight="false" outlineLevel="0" collapsed="false">
      <c r="A34" s="31" t="s">
        <v>464</v>
      </c>
      <c r="B34" s="31" t="s">
        <v>465</v>
      </c>
      <c r="C34" s="31" t="s">
        <v>466</v>
      </c>
      <c r="D34" s="31" t="s">
        <v>467</v>
      </c>
    </row>
    <row r="35" customFormat="false" ht="23.85" hidden="false" customHeight="false" outlineLevel="0" collapsed="false">
      <c r="A35" s="31" t="s">
        <v>468</v>
      </c>
      <c r="B35" s="31" t="s">
        <v>469</v>
      </c>
      <c r="C35" s="31" t="s">
        <v>470</v>
      </c>
      <c r="D35" s="31" t="s">
        <v>471</v>
      </c>
    </row>
    <row r="36" customFormat="false" ht="35.05" hidden="false" customHeight="false" outlineLevel="0" collapsed="false">
      <c r="A36" s="31" t="s">
        <v>472</v>
      </c>
      <c r="B36" s="31" t="s">
        <v>473</v>
      </c>
      <c r="C36" s="31" t="s">
        <v>474</v>
      </c>
      <c r="D36" s="31" t="s">
        <v>475</v>
      </c>
    </row>
    <row r="37" customFormat="false" ht="23.85" hidden="false" customHeight="false" outlineLevel="0" collapsed="false">
      <c r="A37" s="31" t="s">
        <v>476</v>
      </c>
      <c r="B37" s="31" t="s">
        <v>477</v>
      </c>
      <c r="C37" s="31" t="s">
        <v>478</v>
      </c>
      <c r="D37" s="31" t="s">
        <v>479</v>
      </c>
    </row>
    <row r="38" customFormat="false" ht="23.85" hidden="false" customHeight="false" outlineLevel="0" collapsed="false">
      <c r="A38" s="31" t="s">
        <v>480</v>
      </c>
      <c r="B38" s="31" t="s">
        <v>481</v>
      </c>
      <c r="C38" s="31" t="s">
        <v>482</v>
      </c>
      <c r="D38" s="31" t="s">
        <v>483</v>
      </c>
    </row>
    <row r="40" customFormat="false" ht="15" hidden="false" customHeight="false" outlineLevel="0" collapsed="false">
      <c r="A40" s="52" t="s">
        <v>484</v>
      </c>
    </row>
    <row r="41" customFormat="false" ht="15" hidden="false" customHeight="false" outlineLevel="0" collapsed="false">
      <c r="A41" s="53" t="s">
        <v>295</v>
      </c>
      <c r="B41" s="53" t="s">
        <v>485</v>
      </c>
      <c r="C41" s="53" t="s">
        <v>486</v>
      </c>
    </row>
    <row r="42" customFormat="false" ht="147" hidden="false" customHeight="false" outlineLevel="0" collapsed="false">
      <c r="A42" s="5" t="s">
        <v>487</v>
      </c>
      <c r="B42" s="31" t="s">
        <v>488</v>
      </c>
      <c r="C42" s="31" t="s">
        <v>489</v>
      </c>
    </row>
    <row r="43" customFormat="false" ht="113.4" hidden="false" customHeight="false" outlineLevel="0" collapsed="false">
      <c r="A43" s="5" t="s">
        <v>490</v>
      </c>
      <c r="B43" s="31" t="s">
        <v>491</v>
      </c>
      <c r="C43" s="31" t="s">
        <v>492</v>
      </c>
    </row>
    <row r="44" customFormat="false" ht="113.4" hidden="false" customHeight="false" outlineLevel="0" collapsed="false">
      <c r="A44" s="5" t="s">
        <v>493</v>
      </c>
      <c r="B44" s="31" t="s">
        <v>494</v>
      </c>
      <c r="C44" s="31" t="s">
        <v>495</v>
      </c>
    </row>
    <row r="45" customFormat="false" ht="135.8" hidden="false" customHeight="false" outlineLevel="0" collapsed="false">
      <c r="A45" s="5" t="s">
        <v>496</v>
      </c>
      <c r="B45" s="31" t="s">
        <v>497</v>
      </c>
      <c r="C45" s="31" t="s">
        <v>498</v>
      </c>
    </row>
    <row r="46" customFormat="false" ht="113.4" hidden="false" customHeight="false" outlineLevel="0" collapsed="false">
      <c r="A46" s="5" t="s">
        <v>499</v>
      </c>
      <c r="B46" s="31" t="s">
        <v>500</v>
      </c>
      <c r="C46" s="31" t="s">
        <v>501</v>
      </c>
    </row>
    <row r="48" customFormat="false" ht="15" hidden="false" customHeight="false" outlineLevel="0" collapsed="false">
      <c r="A48" s="52" t="s">
        <v>502</v>
      </c>
    </row>
    <row r="49" customFormat="false" ht="23.85" hidden="false" customHeight="true" outlineLevel="0" collapsed="false">
      <c r="B49" s="51" t="s">
        <v>503</v>
      </c>
      <c r="C49" s="51"/>
      <c r="D49" s="51"/>
    </row>
    <row r="50" customFormat="false" ht="23.85" hidden="false" customHeight="true" outlineLevel="0" collapsed="false">
      <c r="B50" s="51" t="s">
        <v>504</v>
      </c>
      <c r="C50" s="51"/>
      <c r="D50" s="51"/>
    </row>
    <row r="51" customFormat="false" ht="23.85" hidden="false" customHeight="true" outlineLevel="0" collapsed="false">
      <c r="B51" s="51" t="s">
        <v>505</v>
      </c>
      <c r="C51" s="51"/>
      <c r="D51" s="51"/>
    </row>
    <row r="52" customFormat="false" ht="23.85" hidden="false" customHeight="true" outlineLevel="0" collapsed="false">
      <c r="B52" s="51" t="s">
        <v>506</v>
      </c>
      <c r="C52" s="51"/>
      <c r="D52" s="51"/>
    </row>
    <row r="53" customFormat="false" ht="23.85" hidden="false" customHeight="true" outlineLevel="0" collapsed="false">
      <c r="B53" s="51" t="s">
        <v>507</v>
      </c>
      <c r="C53" s="51"/>
      <c r="D53" s="51"/>
    </row>
    <row r="54" customFormat="false" ht="15" hidden="false" customHeight="true" outlineLevel="0" collapsed="false">
      <c r="B54" s="51" t="s">
        <v>508</v>
      </c>
      <c r="C54" s="51"/>
      <c r="D54" s="51"/>
    </row>
    <row r="55" customFormat="false" ht="23.85" hidden="false" customHeight="true" outlineLevel="0" collapsed="false">
      <c r="B55" s="51" t="s">
        <v>509</v>
      </c>
      <c r="C55" s="51"/>
      <c r="D55" s="51"/>
    </row>
    <row r="56" customFormat="false" ht="46.25" hidden="false" customHeight="true" outlineLevel="0" collapsed="false">
      <c r="B56" s="51" t="s">
        <v>510</v>
      </c>
      <c r="C56" s="51"/>
      <c r="D56" s="51"/>
    </row>
    <row r="57" customFormat="false" ht="23.85" hidden="false" customHeight="true" outlineLevel="0" collapsed="false">
      <c r="B57" s="51" t="s">
        <v>511</v>
      </c>
      <c r="C57" s="51"/>
      <c r="D57" s="51"/>
    </row>
    <row r="58" customFormat="false" ht="23.85" hidden="false" customHeight="true" outlineLevel="0" collapsed="false">
      <c r="B58" s="51" t="s">
        <v>512</v>
      </c>
      <c r="C58" s="51"/>
      <c r="D58" s="51"/>
    </row>
    <row r="60" customFormat="false" ht="15" hidden="false" customHeight="false" outlineLevel="0" collapsed="false">
      <c r="A60" s="52" t="s">
        <v>513</v>
      </c>
    </row>
    <row r="61" customFormat="false" ht="15" hidden="false" customHeight="false" outlineLevel="0" collapsed="false">
      <c r="A61" s="5" t="s">
        <v>514</v>
      </c>
      <c r="B61" s="31" t="n">
        <v>5</v>
      </c>
    </row>
    <row r="62" customFormat="false" ht="15" hidden="false" customHeight="false" outlineLevel="0" collapsed="false">
      <c r="A62" s="5" t="s">
        <v>515</v>
      </c>
      <c r="B62" s="31" t="s">
        <v>516</v>
      </c>
    </row>
    <row r="63" customFormat="false" ht="23.85" hidden="false" customHeight="false" outlineLevel="0" collapsed="false">
      <c r="A63" s="5" t="s">
        <v>517</v>
      </c>
      <c r="B63" s="31" t="s">
        <v>518</v>
      </c>
    </row>
    <row r="64" customFormat="false" ht="35.05" hidden="false" customHeight="false" outlineLevel="0" collapsed="false">
      <c r="A64" s="5" t="s">
        <v>519</v>
      </c>
      <c r="B64" s="31" t="s">
        <v>520</v>
      </c>
    </row>
    <row r="65" customFormat="false" ht="68.65" hidden="false" customHeight="false" outlineLevel="0" collapsed="false">
      <c r="A65" s="5" t="s">
        <v>521</v>
      </c>
      <c r="B65" s="31" t="s">
        <v>522</v>
      </c>
    </row>
  </sheetData>
  <mergeCells count="13">
    <mergeCell ref="B4:D4"/>
    <mergeCell ref="B5:D5"/>
    <mergeCell ref="B6:D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523</v>
      </c>
    </row>
    <row r="2" customFormat="false" ht="15" hidden="false" customHeight="false" outlineLevel="0" collapsed="false">
      <c r="A2" s="2" t="s">
        <v>524</v>
      </c>
    </row>
    <row r="4" customFormat="false" ht="15" hidden="false" customHeight="false" outlineLevel="0" collapsed="false">
      <c r="A4" s="23" t="s">
        <v>74</v>
      </c>
      <c r="B4" s="23" t="s">
        <v>525</v>
      </c>
      <c r="C4" s="23" t="s">
        <v>526</v>
      </c>
      <c r="D4" s="23" t="s">
        <v>527</v>
      </c>
      <c r="E4" s="23" t="s">
        <v>528</v>
      </c>
    </row>
    <row r="5" customFormat="false" ht="23.85" hidden="false" customHeight="false" outlineLevel="0" collapsed="false">
      <c r="A5" s="5" t="s">
        <v>529</v>
      </c>
      <c r="B5" s="5" t="s">
        <v>487</v>
      </c>
      <c r="C5" s="31" t="s">
        <v>530</v>
      </c>
      <c r="D5" s="5" t="s">
        <v>531</v>
      </c>
      <c r="E5" s="22" t="s">
        <v>532</v>
      </c>
    </row>
    <row r="6" customFormat="false" ht="15" hidden="false" customHeight="false" outlineLevel="0" collapsed="false">
      <c r="A6" s="5" t="s">
        <v>128</v>
      </c>
      <c r="B6" s="5" t="s">
        <v>487</v>
      </c>
      <c r="C6" s="31" t="s">
        <v>533</v>
      </c>
      <c r="D6" s="5" t="s">
        <v>531</v>
      </c>
      <c r="E6" s="22" t="s">
        <v>534</v>
      </c>
    </row>
    <row r="7" customFormat="false" ht="15" hidden="false" customHeight="false" outlineLevel="0" collapsed="false">
      <c r="A7" s="5" t="s">
        <v>535</v>
      </c>
      <c r="B7" s="5" t="s">
        <v>487</v>
      </c>
      <c r="C7" s="31" t="s">
        <v>536</v>
      </c>
      <c r="D7" s="5" t="s">
        <v>537</v>
      </c>
      <c r="E7" s="22" t="s">
        <v>538</v>
      </c>
    </row>
    <row r="8" customFormat="false" ht="15" hidden="false" customHeight="false" outlineLevel="0" collapsed="false">
      <c r="A8" s="5" t="s">
        <v>539</v>
      </c>
      <c r="B8" s="5" t="s">
        <v>487</v>
      </c>
      <c r="C8" s="31" t="s">
        <v>540</v>
      </c>
      <c r="D8" s="5" t="s">
        <v>541</v>
      </c>
      <c r="E8" s="22" t="s">
        <v>542</v>
      </c>
    </row>
    <row r="9" customFormat="false" ht="46.25" hidden="false" customHeight="false" outlineLevel="0" collapsed="false">
      <c r="A9" s="5" t="s">
        <v>90</v>
      </c>
      <c r="B9" s="5" t="s">
        <v>487</v>
      </c>
      <c r="C9" s="31" t="s">
        <v>543</v>
      </c>
      <c r="D9" s="5" t="s">
        <v>544</v>
      </c>
      <c r="E9" s="22" t="s">
        <v>545</v>
      </c>
    </row>
    <row r="10" customFormat="false" ht="15" hidden="false" customHeight="false" outlineLevel="0" collapsed="false">
      <c r="A10" s="5" t="s">
        <v>546</v>
      </c>
      <c r="B10" s="5" t="s">
        <v>487</v>
      </c>
      <c r="C10" s="31" t="s">
        <v>547</v>
      </c>
      <c r="D10" s="5" t="s">
        <v>531</v>
      </c>
      <c r="E10" s="22" t="s">
        <v>548</v>
      </c>
    </row>
    <row r="11" customFormat="false" ht="15" hidden="false" customHeight="false" outlineLevel="0" collapsed="false">
      <c r="A11" s="5" t="s">
        <v>549</v>
      </c>
      <c r="B11" s="5" t="s">
        <v>487</v>
      </c>
      <c r="C11" s="31" t="s">
        <v>550</v>
      </c>
      <c r="D11" s="5" t="s">
        <v>551</v>
      </c>
      <c r="E11" s="22" t="s">
        <v>552</v>
      </c>
    </row>
    <row r="12" customFormat="false" ht="15" hidden="false" customHeight="false" outlineLevel="0" collapsed="false">
      <c r="A12" s="5" t="s">
        <v>553</v>
      </c>
      <c r="B12" s="5" t="s">
        <v>487</v>
      </c>
      <c r="C12" s="31" t="s">
        <v>554</v>
      </c>
      <c r="D12" s="5" t="s">
        <v>555</v>
      </c>
      <c r="E12" s="22" t="s">
        <v>556</v>
      </c>
    </row>
    <row r="13" customFormat="false" ht="23.85" hidden="false" customHeight="false" outlineLevel="0" collapsed="false">
      <c r="A13" s="5" t="s">
        <v>557</v>
      </c>
      <c r="B13" s="5" t="s">
        <v>487</v>
      </c>
      <c r="C13" s="31" t="s">
        <v>558</v>
      </c>
      <c r="D13" s="5" t="s">
        <v>541</v>
      </c>
      <c r="E13" s="22" t="s">
        <v>559</v>
      </c>
    </row>
    <row r="14" customFormat="false" ht="15" hidden="false" customHeight="false" outlineLevel="0" collapsed="false">
      <c r="A14" s="5" t="s">
        <v>560</v>
      </c>
      <c r="B14" s="5" t="s">
        <v>487</v>
      </c>
      <c r="C14" s="31" t="s">
        <v>561</v>
      </c>
      <c r="D14" s="5" t="s">
        <v>562</v>
      </c>
      <c r="E14" s="22" t="s">
        <v>545</v>
      </c>
    </row>
    <row r="15" customFormat="false" ht="23.85" hidden="false" customHeight="false" outlineLevel="0" collapsed="false">
      <c r="A15" s="5" t="s">
        <v>563</v>
      </c>
      <c r="B15" s="5" t="s">
        <v>487</v>
      </c>
      <c r="C15" s="31" t="s">
        <v>564</v>
      </c>
      <c r="D15" s="5" t="s">
        <v>565</v>
      </c>
      <c r="E15" s="22" t="s">
        <v>566</v>
      </c>
    </row>
    <row r="16" customFormat="false" ht="15" hidden="false" customHeight="false" outlineLevel="0" collapsed="false">
      <c r="A16" s="5" t="s">
        <v>130</v>
      </c>
      <c r="B16" s="5" t="s">
        <v>490</v>
      </c>
      <c r="C16" s="31" t="s">
        <v>533</v>
      </c>
      <c r="D16" s="5" t="s">
        <v>531</v>
      </c>
      <c r="E16" s="22" t="s">
        <v>534</v>
      </c>
    </row>
    <row r="17" customFormat="false" ht="23.85" hidden="false" customHeight="false" outlineLevel="0" collapsed="false">
      <c r="A17" s="5" t="s">
        <v>567</v>
      </c>
      <c r="B17" s="5" t="s">
        <v>490</v>
      </c>
      <c r="C17" s="31" t="s">
        <v>530</v>
      </c>
      <c r="D17" s="5" t="s">
        <v>531</v>
      </c>
      <c r="E17" s="22" t="s">
        <v>532</v>
      </c>
    </row>
    <row r="18" customFormat="false" ht="15" hidden="false" customHeight="false" outlineLevel="0" collapsed="false">
      <c r="A18" s="5" t="s">
        <v>568</v>
      </c>
      <c r="B18" s="5" t="s">
        <v>490</v>
      </c>
      <c r="C18" s="31" t="s">
        <v>540</v>
      </c>
      <c r="D18" s="5" t="s">
        <v>541</v>
      </c>
      <c r="E18" s="22" t="s">
        <v>542</v>
      </c>
    </row>
    <row r="19" customFormat="false" ht="46.25" hidden="false" customHeight="false" outlineLevel="0" collapsed="false">
      <c r="A19" s="5" t="s">
        <v>93</v>
      </c>
      <c r="B19" s="5" t="s">
        <v>490</v>
      </c>
      <c r="C19" s="31" t="s">
        <v>543</v>
      </c>
      <c r="D19" s="5" t="s">
        <v>544</v>
      </c>
      <c r="E19" s="22" t="s">
        <v>545</v>
      </c>
    </row>
    <row r="20" customFormat="false" ht="15" hidden="false" customHeight="false" outlineLevel="0" collapsed="false">
      <c r="A20" s="5" t="s">
        <v>569</v>
      </c>
      <c r="B20" s="5" t="s">
        <v>490</v>
      </c>
      <c r="C20" s="31" t="s">
        <v>570</v>
      </c>
      <c r="D20" s="5" t="s">
        <v>531</v>
      </c>
      <c r="E20" s="22" t="s">
        <v>548</v>
      </c>
    </row>
    <row r="21" customFormat="false" ht="15" hidden="false" customHeight="false" outlineLevel="0" collapsed="false">
      <c r="A21" s="5" t="s">
        <v>571</v>
      </c>
      <c r="B21" s="5" t="s">
        <v>490</v>
      </c>
      <c r="C21" s="31" t="s">
        <v>550</v>
      </c>
      <c r="D21" s="5" t="s">
        <v>551</v>
      </c>
      <c r="E21" s="22" t="s">
        <v>552</v>
      </c>
    </row>
    <row r="22" customFormat="false" ht="23.85" hidden="false" customHeight="false" outlineLevel="0" collapsed="false">
      <c r="A22" s="5" t="s">
        <v>572</v>
      </c>
      <c r="B22" s="5" t="s">
        <v>490</v>
      </c>
      <c r="C22" s="31" t="s">
        <v>573</v>
      </c>
      <c r="D22" s="5" t="s">
        <v>555</v>
      </c>
      <c r="E22" s="22" t="s">
        <v>574</v>
      </c>
    </row>
    <row r="23" customFormat="false" ht="15" hidden="false" customHeight="false" outlineLevel="0" collapsed="false">
      <c r="A23" s="5" t="s">
        <v>575</v>
      </c>
      <c r="B23" s="5" t="s">
        <v>490</v>
      </c>
      <c r="C23" s="31" t="s">
        <v>561</v>
      </c>
      <c r="D23" s="5" t="s">
        <v>562</v>
      </c>
      <c r="E23" s="22" t="s">
        <v>545</v>
      </c>
    </row>
    <row r="24" customFormat="false" ht="23.85" hidden="false" customHeight="false" outlineLevel="0" collapsed="false">
      <c r="A24" s="5" t="s">
        <v>576</v>
      </c>
      <c r="B24" s="5" t="s">
        <v>490</v>
      </c>
      <c r="C24" s="31" t="s">
        <v>564</v>
      </c>
      <c r="D24" s="5" t="s">
        <v>565</v>
      </c>
      <c r="E24" s="22" t="s">
        <v>566</v>
      </c>
    </row>
    <row r="25" customFormat="false" ht="15" hidden="false" customHeight="false" outlineLevel="0" collapsed="false">
      <c r="A25" s="5" t="s">
        <v>132</v>
      </c>
      <c r="B25" s="5" t="s">
        <v>493</v>
      </c>
      <c r="C25" s="31" t="s">
        <v>533</v>
      </c>
      <c r="D25" s="5" t="s">
        <v>531</v>
      </c>
      <c r="E25" s="22" t="s">
        <v>534</v>
      </c>
    </row>
    <row r="26" customFormat="false" ht="15" hidden="false" customHeight="false" outlineLevel="0" collapsed="false">
      <c r="A26" s="5" t="s">
        <v>577</v>
      </c>
      <c r="B26" s="5" t="s">
        <v>493</v>
      </c>
      <c r="C26" s="31" t="s">
        <v>540</v>
      </c>
      <c r="D26" s="5" t="s">
        <v>541</v>
      </c>
      <c r="E26" s="22" t="s">
        <v>542</v>
      </c>
    </row>
    <row r="27" customFormat="false" ht="15" hidden="false" customHeight="false" outlineLevel="0" collapsed="false">
      <c r="A27" s="5" t="s">
        <v>578</v>
      </c>
      <c r="B27" s="5" t="s">
        <v>493</v>
      </c>
      <c r="C27" s="31" t="s">
        <v>579</v>
      </c>
      <c r="D27" s="5" t="s">
        <v>580</v>
      </c>
      <c r="E27" s="22" t="s">
        <v>581</v>
      </c>
    </row>
    <row r="28" customFormat="false" ht="15" hidden="false" customHeight="false" outlineLevel="0" collapsed="false">
      <c r="A28" s="5" t="s">
        <v>582</v>
      </c>
      <c r="B28" s="5" t="s">
        <v>493</v>
      </c>
      <c r="C28" s="31" t="s">
        <v>583</v>
      </c>
      <c r="D28" s="5" t="s">
        <v>584</v>
      </c>
      <c r="E28" s="22" t="s">
        <v>585</v>
      </c>
    </row>
    <row r="29" customFormat="false" ht="15" hidden="false" customHeight="false" outlineLevel="0" collapsed="false">
      <c r="A29" s="5" t="s">
        <v>97</v>
      </c>
      <c r="B29" s="5" t="s">
        <v>493</v>
      </c>
      <c r="C29" s="31" t="s">
        <v>586</v>
      </c>
      <c r="D29" s="5" t="s">
        <v>562</v>
      </c>
      <c r="E29" s="22" t="s">
        <v>545</v>
      </c>
    </row>
    <row r="30" customFormat="false" ht="15" hidden="false" customHeight="false" outlineLevel="0" collapsed="false">
      <c r="A30" s="5" t="s">
        <v>587</v>
      </c>
      <c r="B30" s="5" t="s">
        <v>493</v>
      </c>
      <c r="C30" s="31" t="s">
        <v>554</v>
      </c>
      <c r="D30" s="5" t="s">
        <v>555</v>
      </c>
      <c r="E30" s="22" t="s">
        <v>556</v>
      </c>
    </row>
    <row r="31" customFormat="false" ht="15" hidden="false" customHeight="false" outlineLevel="0" collapsed="false">
      <c r="A31" s="5" t="s">
        <v>588</v>
      </c>
      <c r="B31" s="5" t="s">
        <v>493</v>
      </c>
      <c r="C31" s="31" t="s">
        <v>589</v>
      </c>
      <c r="D31" s="5" t="s">
        <v>562</v>
      </c>
      <c r="E31" s="22" t="s">
        <v>590</v>
      </c>
    </row>
    <row r="32" customFormat="false" ht="15" hidden="false" customHeight="false" outlineLevel="0" collapsed="false">
      <c r="A32" s="5" t="s">
        <v>591</v>
      </c>
      <c r="B32" s="5" t="s">
        <v>493</v>
      </c>
      <c r="C32" s="31" t="s">
        <v>592</v>
      </c>
      <c r="D32" s="5" t="s">
        <v>562</v>
      </c>
      <c r="E32" s="22" t="s">
        <v>593</v>
      </c>
    </row>
    <row r="33" customFormat="false" ht="15" hidden="false" customHeight="false" outlineLevel="0" collapsed="false">
      <c r="A33" s="5" t="s">
        <v>594</v>
      </c>
      <c r="B33" s="5" t="s">
        <v>493</v>
      </c>
      <c r="C33" s="31" t="s">
        <v>595</v>
      </c>
      <c r="D33" s="5" t="s">
        <v>596</v>
      </c>
      <c r="E33" s="22" t="s">
        <v>597</v>
      </c>
    </row>
    <row r="34" customFormat="false" ht="15" hidden="false" customHeight="false" outlineLevel="0" collapsed="false">
      <c r="A34" s="5" t="s">
        <v>598</v>
      </c>
      <c r="B34" s="5" t="s">
        <v>493</v>
      </c>
      <c r="C34" s="31" t="s">
        <v>599</v>
      </c>
      <c r="D34" s="5" t="s">
        <v>600</v>
      </c>
      <c r="E34" s="22" t="s">
        <v>601</v>
      </c>
    </row>
    <row r="35" customFormat="false" ht="23.85" hidden="false" customHeight="false" outlineLevel="0" collapsed="false">
      <c r="A35" s="5" t="s">
        <v>134</v>
      </c>
      <c r="B35" s="5" t="s">
        <v>496</v>
      </c>
      <c r="C35" s="31" t="s">
        <v>530</v>
      </c>
      <c r="D35" s="5" t="s">
        <v>531</v>
      </c>
      <c r="E35" s="22" t="s">
        <v>532</v>
      </c>
    </row>
    <row r="36" customFormat="false" ht="15" hidden="false" customHeight="false" outlineLevel="0" collapsed="false">
      <c r="A36" s="5" t="s">
        <v>155</v>
      </c>
      <c r="B36" s="5" t="s">
        <v>496</v>
      </c>
      <c r="C36" s="31" t="s">
        <v>533</v>
      </c>
      <c r="D36" s="5" t="s">
        <v>531</v>
      </c>
      <c r="E36" s="22" t="s">
        <v>534</v>
      </c>
    </row>
    <row r="37" customFormat="false" ht="15" hidden="false" customHeight="false" outlineLevel="0" collapsed="false">
      <c r="A37" s="5" t="s">
        <v>602</v>
      </c>
      <c r="B37" s="5" t="s">
        <v>496</v>
      </c>
      <c r="C37" s="31" t="s">
        <v>603</v>
      </c>
      <c r="D37" s="5" t="s">
        <v>531</v>
      </c>
      <c r="E37" s="22" t="s">
        <v>604</v>
      </c>
    </row>
    <row r="38" customFormat="false" ht="23.85" hidden="false" customHeight="false" outlineLevel="0" collapsed="false">
      <c r="A38" s="5" t="s">
        <v>605</v>
      </c>
      <c r="B38" s="5" t="s">
        <v>496</v>
      </c>
      <c r="C38" s="31" t="s">
        <v>606</v>
      </c>
      <c r="D38" s="5" t="s">
        <v>537</v>
      </c>
      <c r="E38" s="22" t="s">
        <v>607</v>
      </c>
    </row>
    <row r="39" customFormat="false" ht="15" hidden="false" customHeight="false" outlineLevel="0" collapsed="false">
      <c r="A39" s="5" t="s">
        <v>608</v>
      </c>
      <c r="B39" s="5" t="s">
        <v>496</v>
      </c>
      <c r="C39" s="31" t="s">
        <v>540</v>
      </c>
      <c r="D39" s="5" t="s">
        <v>541</v>
      </c>
      <c r="E39" s="22" t="s">
        <v>609</v>
      </c>
    </row>
    <row r="40" customFormat="false" ht="15" hidden="false" customHeight="false" outlineLevel="0" collapsed="false">
      <c r="A40" s="5" t="s">
        <v>610</v>
      </c>
      <c r="B40" s="5" t="s">
        <v>496</v>
      </c>
      <c r="C40" s="31" t="s">
        <v>550</v>
      </c>
      <c r="D40" s="5" t="s">
        <v>551</v>
      </c>
      <c r="E40" s="22" t="s">
        <v>552</v>
      </c>
    </row>
    <row r="41" customFormat="false" ht="15" hidden="false" customHeight="false" outlineLevel="0" collapsed="false">
      <c r="A41" s="5" t="s">
        <v>611</v>
      </c>
      <c r="B41" s="5" t="s">
        <v>496</v>
      </c>
      <c r="C41" s="31" t="s">
        <v>612</v>
      </c>
      <c r="D41" s="5" t="s">
        <v>555</v>
      </c>
      <c r="E41" s="22" t="s">
        <v>574</v>
      </c>
    </row>
    <row r="42" customFormat="false" ht="15" hidden="false" customHeight="false" outlineLevel="0" collapsed="false">
      <c r="A42" s="5" t="s">
        <v>101</v>
      </c>
      <c r="B42" s="5" t="s">
        <v>496</v>
      </c>
      <c r="C42" s="31" t="s">
        <v>561</v>
      </c>
      <c r="D42" s="5" t="s">
        <v>562</v>
      </c>
      <c r="E42" s="22" t="s">
        <v>545</v>
      </c>
    </row>
    <row r="43" customFormat="false" ht="15" hidden="false" customHeight="false" outlineLevel="0" collapsed="false">
      <c r="A43" s="5" t="s">
        <v>613</v>
      </c>
      <c r="B43" s="5" t="s">
        <v>496</v>
      </c>
      <c r="C43" s="31" t="s">
        <v>614</v>
      </c>
      <c r="D43" s="5" t="s">
        <v>600</v>
      </c>
      <c r="E43" s="22" t="s">
        <v>615</v>
      </c>
    </row>
    <row r="44" customFormat="false" ht="23.85" hidden="false" customHeight="false" outlineLevel="0" collapsed="false">
      <c r="A44" s="5" t="s">
        <v>616</v>
      </c>
      <c r="B44" s="5" t="s">
        <v>496</v>
      </c>
      <c r="C44" s="31" t="s">
        <v>617</v>
      </c>
      <c r="D44" s="5" t="s">
        <v>618</v>
      </c>
      <c r="E44" s="22" t="s">
        <v>619</v>
      </c>
    </row>
    <row r="45" customFormat="false" ht="23.85" hidden="false" customHeight="false" outlineLevel="0" collapsed="false">
      <c r="A45" s="5" t="s">
        <v>205</v>
      </c>
      <c r="B45" s="5" t="s">
        <v>499</v>
      </c>
      <c r="C45" s="31" t="s">
        <v>530</v>
      </c>
      <c r="D45" s="5" t="s">
        <v>531</v>
      </c>
      <c r="E45" s="22" t="s">
        <v>532</v>
      </c>
    </row>
    <row r="46" customFormat="false" ht="15" hidden="false" customHeight="false" outlineLevel="0" collapsed="false">
      <c r="A46" s="5" t="s">
        <v>137</v>
      </c>
      <c r="B46" s="5" t="s">
        <v>499</v>
      </c>
      <c r="C46" s="31" t="s">
        <v>136</v>
      </c>
      <c r="D46" s="5" t="s">
        <v>531</v>
      </c>
      <c r="E46" s="22" t="s">
        <v>620</v>
      </c>
    </row>
    <row r="47" customFormat="false" ht="15" hidden="false" customHeight="false" outlineLevel="0" collapsed="false">
      <c r="A47" s="5" t="s">
        <v>621</v>
      </c>
      <c r="B47" s="5" t="s">
        <v>499</v>
      </c>
      <c r="C47" s="31" t="s">
        <v>622</v>
      </c>
      <c r="D47" s="5" t="s">
        <v>537</v>
      </c>
      <c r="E47" s="22" t="s">
        <v>538</v>
      </c>
    </row>
    <row r="48" customFormat="false" ht="15" hidden="false" customHeight="false" outlineLevel="0" collapsed="false">
      <c r="A48" s="5" t="s">
        <v>623</v>
      </c>
      <c r="B48" s="5" t="s">
        <v>499</v>
      </c>
      <c r="C48" s="31" t="s">
        <v>540</v>
      </c>
      <c r="D48" s="5" t="s">
        <v>541</v>
      </c>
      <c r="E48" s="22" t="s">
        <v>542</v>
      </c>
    </row>
    <row r="49" customFormat="false" ht="15" hidden="false" customHeight="false" outlineLevel="0" collapsed="false">
      <c r="A49" s="5" t="s">
        <v>624</v>
      </c>
      <c r="B49" s="5" t="s">
        <v>499</v>
      </c>
      <c r="C49" s="31" t="s">
        <v>625</v>
      </c>
      <c r="D49" s="5" t="s">
        <v>531</v>
      </c>
      <c r="E49" s="22" t="s">
        <v>548</v>
      </c>
    </row>
    <row r="50" customFormat="false" ht="15" hidden="false" customHeight="false" outlineLevel="0" collapsed="false">
      <c r="A50" s="5" t="s">
        <v>626</v>
      </c>
      <c r="B50" s="5" t="s">
        <v>499</v>
      </c>
      <c r="C50" s="31" t="s">
        <v>550</v>
      </c>
      <c r="D50" s="5" t="s">
        <v>551</v>
      </c>
      <c r="E50" s="22" t="s">
        <v>627</v>
      </c>
    </row>
    <row r="51" customFormat="false" ht="15" hidden="false" customHeight="false" outlineLevel="0" collapsed="false">
      <c r="A51" s="5" t="s">
        <v>628</v>
      </c>
      <c r="B51" s="5" t="s">
        <v>499</v>
      </c>
      <c r="C51" s="31" t="s">
        <v>629</v>
      </c>
      <c r="D51" s="5" t="s">
        <v>555</v>
      </c>
      <c r="E51" s="22" t="s">
        <v>556</v>
      </c>
    </row>
    <row r="52" customFormat="false" ht="35.05" hidden="false" customHeight="false" outlineLevel="0" collapsed="false">
      <c r="A52" s="5" t="s">
        <v>195</v>
      </c>
      <c r="B52" s="5" t="s">
        <v>499</v>
      </c>
      <c r="C52" s="31" t="s">
        <v>630</v>
      </c>
      <c r="D52" s="5" t="s">
        <v>631</v>
      </c>
      <c r="E52" s="22" t="s">
        <v>632</v>
      </c>
    </row>
    <row r="53" customFormat="false" ht="46.25" hidden="false" customHeight="false" outlineLevel="0" collapsed="false">
      <c r="A53" s="5" t="s">
        <v>104</v>
      </c>
      <c r="B53" s="5" t="s">
        <v>499</v>
      </c>
      <c r="C53" s="31" t="s">
        <v>543</v>
      </c>
      <c r="D53" s="5" t="s">
        <v>544</v>
      </c>
      <c r="E53" s="22" t="s">
        <v>545</v>
      </c>
    </row>
    <row r="54" customFormat="false" ht="23.85" hidden="false" customHeight="false" outlineLevel="0" collapsed="false">
      <c r="A54" s="5" t="s">
        <v>633</v>
      </c>
      <c r="B54" s="5" t="s">
        <v>634</v>
      </c>
      <c r="C54" s="31" t="s">
        <v>635</v>
      </c>
      <c r="D54" s="5" t="s">
        <v>555</v>
      </c>
      <c r="E54" s="22" t="s">
        <v>636</v>
      </c>
    </row>
    <row r="55" customFormat="false" ht="15" hidden="false" customHeight="false" outlineLevel="0" collapsed="false">
      <c r="A55" s="5" t="s">
        <v>637</v>
      </c>
      <c r="B55" s="5" t="s">
        <v>634</v>
      </c>
      <c r="C55" s="31" t="s">
        <v>638</v>
      </c>
      <c r="D55" s="5" t="s">
        <v>639</v>
      </c>
      <c r="E55" s="22" t="s">
        <v>640</v>
      </c>
    </row>
    <row r="56" customFormat="false" ht="15" hidden="false" customHeight="false" outlineLevel="0" collapsed="false">
      <c r="A56" s="5" t="s">
        <v>641</v>
      </c>
      <c r="B56" s="5" t="s">
        <v>634</v>
      </c>
      <c r="C56" s="31" t="s">
        <v>533</v>
      </c>
      <c r="D56" s="5" t="s">
        <v>531</v>
      </c>
      <c r="E56" s="22" t="s">
        <v>534</v>
      </c>
    </row>
    <row r="57" customFormat="false" ht="15" hidden="false" customHeight="false" outlineLevel="0" collapsed="false">
      <c r="A57" s="5" t="s">
        <v>642</v>
      </c>
      <c r="B57" s="5" t="s">
        <v>634</v>
      </c>
      <c r="C57" s="31" t="s">
        <v>643</v>
      </c>
      <c r="D57" s="5" t="s">
        <v>541</v>
      </c>
      <c r="E57" s="22" t="s">
        <v>542</v>
      </c>
    </row>
    <row r="58" customFormat="false" ht="15" hidden="false" customHeight="false" outlineLevel="0" collapsed="false">
      <c r="A58" s="5" t="s">
        <v>644</v>
      </c>
      <c r="B58" s="5" t="s">
        <v>634</v>
      </c>
      <c r="C58" s="31" t="s">
        <v>645</v>
      </c>
      <c r="D58" s="5" t="s">
        <v>639</v>
      </c>
      <c r="E58" s="22" t="s">
        <v>646</v>
      </c>
    </row>
    <row r="59" customFormat="false" ht="23.85" hidden="false" customHeight="false" outlineLevel="0" collapsed="false">
      <c r="A59" s="5" t="s">
        <v>647</v>
      </c>
      <c r="B59" s="5" t="s">
        <v>634</v>
      </c>
      <c r="C59" s="31" t="s">
        <v>648</v>
      </c>
      <c r="D59" s="5" t="s">
        <v>544</v>
      </c>
      <c r="E59" s="22" t="s">
        <v>545</v>
      </c>
    </row>
    <row r="60" customFormat="false" ht="15" hidden="false" customHeight="false" outlineLevel="0" collapsed="false">
      <c r="A60" s="5" t="s">
        <v>649</v>
      </c>
      <c r="B60" s="5" t="s">
        <v>634</v>
      </c>
      <c r="C60" s="31" t="s">
        <v>650</v>
      </c>
      <c r="D60" s="5" t="s">
        <v>651</v>
      </c>
      <c r="E60" s="22" t="s">
        <v>652</v>
      </c>
    </row>
    <row r="61" customFormat="false" ht="23.85" hidden="false" customHeight="false" outlineLevel="0" collapsed="false">
      <c r="A61" s="5" t="s">
        <v>653</v>
      </c>
      <c r="B61" s="5" t="s">
        <v>634</v>
      </c>
      <c r="C61" s="31" t="s">
        <v>654</v>
      </c>
      <c r="D61" s="5" t="s">
        <v>531</v>
      </c>
      <c r="E61" s="22" t="s">
        <v>538</v>
      </c>
    </row>
    <row r="62" customFormat="false" ht="15" hidden="false" customHeight="false" outlineLevel="0" collapsed="false">
      <c r="A62" s="5" t="s">
        <v>655</v>
      </c>
      <c r="B62" s="5" t="s">
        <v>634</v>
      </c>
      <c r="C62" s="31" t="s">
        <v>656</v>
      </c>
      <c r="D62" s="5" t="s">
        <v>541</v>
      </c>
      <c r="E62" s="22" t="s">
        <v>609</v>
      </c>
    </row>
    <row r="63" customFormat="false" ht="15" hidden="false" customHeight="false" outlineLevel="0" collapsed="false">
      <c r="A63" s="5" t="s">
        <v>657</v>
      </c>
      <c r="B63" s="5" t="s">
        <v>634</v>
      </c>
      <c r="C63" s="31" t="s">
        <v>658</v>
      </c>
      <c r="D63" s="5" t="s">
        <v>580</v>
      </c>
      <c r="E63" s="22" t="s">
        <v>581</v>
      </c>
    </row>
    <row r="64" customFormat="false" ht="23.85" hidden="false" customHeight="false" outlineLevel="0" collapsed="false">
      <c r="A64" s="5" t="s">
        <v>659</v>
      </c>
      <c r="B64" s="5" t="s">
        <v>634</v>
      </c>
      <c r="C64" s="31" t="s">
        <v>660</v>
      </c>
      <c r="D64" s="5" t="s">
        <v>555</v>
      </c>
      <c r="E64" s="22" t="s">
        <v>661</v>
      </c>
    </row>
    <row r="65" customFormat="false" ht="15" hidden="false" customHeight="false" outlineLevel="0" collapsed="false">
      <c r="A65" s="5" t="s">
        <v>662</v>
      </c>
      <c r="B65" s="5" t="s">
        <v>634</v>
      </c>
      <c r="C65" s="31" t="s">
        <v>663</v>
      </c>
      <c r="D65" s="5" t="s">
        <v>631</v>
      </c>
      <c r="E65" s="22" t="s">
        <v>632</v>
      </c>
    </row>
    <row r="66" customFormat="false" ht="23.85" hidden="false" customHeight="false" outlineLevel="0" collapsed="false">
      <c r="A66" s="5" t="s">
        <v>664</v>
      </c>
      <c r="B66" s="5" t="s">
        <v>634</v>
      </c>
      <c r="C66" s="31" t="s">
        <v>665</v>
      </c>
      <c r="D66" s="5" t="s">
        <v>666</v>
      </c>
      <c r="E66" s="22" t="s">
        <v>667</v>
      </c>
    </row>
    <row r="67" customFormat="false" ht="23.85" hidden="false" customHeight="false" outlineLevel="0" collapsed="false">
      <c r="A67" s="5" t="s">
        <v>668</v>
      </c>
      <c r="B67" s="5" t="s">
        <v>669</v>
      </c>
      <c r="C67" s="31" t="s">
        <v>670</v>
      </c>
      <c r="D67" s="5" t="s">
        <v>631</v>
      </c>
      <c r="E67" s="22" t="s">
        <v>632</v>
      </c>
    </row>
    <row r="68" customFormat="false" ht="15" hidden="false" customHeight="false" outlineLevel="0" collapsed="false">
      <c r="A68" s="5" t="s">
        <v>671</v>
      </c>
      <c r="B68" s="5" t="s">
        <v>669</v>
      </c>
      <c r="C68" s="31" t="s">
        <v>672</v>
      </c>
      <c r="D68" s="5" t="s">
        <v>537</v>
      </c>
      <c r="E68" s="22" t="s">
        <v>673</v>
      </c>
    </row>
    <row r="69" customFormat="false" ht="15" hidden="false" customHeight="false" outlineLevel="0" collapsed="false">
      <c r="A69" s="5" t="s">
        <v>674</v>
      </c>
      <c r="B69" s="5" t="s">
        <v>669</v>
      </c>
      <c r="C69" s="31" t="s">
        <v>675</v>
      </c>
      <c r="D69" s="5" t="s">
        <v>676</v>
      </c>
      <c r="E69" s="22" t="s">
        <v>677</v>
      </c>
    </row>
    <row r="70" customFormat="false" ht="15" hidden="false" customHeight="false" outlineLevel="0" collapsed="false">
      <c r="A70" s="5" t="s">
        <v>678</v>
      </c>
      <c r="B70" s="5" t="s">
        <v>669</v>
      </c>
      <c r="C70" s="31" t="s">
        <v>679</v>
      </c>
      <c r="D70" s="5" t="s">
        <v>680</v>
      </c>
      <c r="E70" s="22" t="s">
        <v>681</v>
      </c>
    </row>
    <row r="71" customFormat="false" ht="15" hidden="false" customHeight="false" outlineLevel="0" collapsed="false">
      <c r="A71" s="5" t="s">
        <v>682</v>
      </c>
      <c r="B71" s="5" t="s">
        <v>669</v>
      </c>
      <c r="C71" s="31" t="s">
        <v>683</v>
      </c>
      <c r="D71" s="5" t="s">
        <v>537</v>
      </c>
      <c r="E71" s="22" t="s">
        <v>538</v>
      </c>
    </row>
  </sheetData>
  <hyperlinks>
    <hyperlink ref="E5" r:id="rId1" display="https://ir.microchip.com/news-events/press-releases/detail/1409/microchip-technology-announces-financial-results-for-first-quarter-of-fiscal-year-2027"/>
    <hyperlink ref="E6" r:id="rId2" display="https://www.sec.gov/Archives/edgar/data/827054/000082705426000037/exhibit991q1fy27.htm"/>
    <hyperlink ref="E7" r:id="rId3" display="https://www.sec.gov/Archives/edgar/data/827054/000082705426000038/mchp-20260630.htm"/>
    <hyperlink ref="E8" r:id="rId4" display="https://uk.investing.com/news/stock-market-news/microchip-at-citi-2026-global-tmt-conference-recovery-broadens-93CH-4863475"/>
    <hyperlink ref="E9" r:id="rId5" display="https://stockanalysis.com/stocks/mchp/forecast/"/>
    <hyperlink ref="E10" r:id="rId6" display="https://equibles.com/stocks/mchp/calls/2027-q1"/>
    <hyperlink ref="E11" r:id="rId7" display="https://ir.microchip.com/news-events/press-releases/detail/1415/microchip-technology-completes-acquisition-of-hailo"/>
    <hyperlink ref="E12" r:id="rId8" display="https://stockstory.org/us/stocks/nasdaq/mchp/news/why-up-down/microchip-technology-mchp-stock-is-up-what-you-need-to-know-3"/>
    <hyperlink ref="E13" r:id="rId9" display="https://m.investing.com/news/analyst-ratings/ubs-lowers-microchip-technology-stock-price-target-on-inventory-concerns-93CH-4846183?ampMode=1"/>
    <hyperlink ref="E14" r:id="rId10" display="https://stockanalysis.com/stocks/mchp/forecast/"/>
    <hyperlink ref="E15" r:id="rId11" display="https://www.cnbc.com/2026/07/29/chip-selloff-sk-hynix-samsung-softbank.html"/>
    <hyperlink ref="E16" r:id="rId12" display="https://www.sec.gov/Archives/edgar/data/827054/000082705426000037/exhibit991q1fy27.htm"/>
    <hyperlink ref="E17" r:id="rId13" display="https://ir.microchip.com/news-events/press-releases/detail/1409/microchip-technology-announces-financial-results-for-first-quarter-of-fiscal-year-2027"/>
    <hyperlink ref="E18" r:id="rId14" display="https://uk.investing.com/news/stock-market-news/microchip-at-citi-2026-global-tmt-conference-recovery-broadens-93CH-4863475"/>
    <hyperlink ref="E19" r:id="rId15" display="https://stockanalysis.com/stocks/mchp/forecast/"/>
    <hyperlink ref="E20" r:id="rId16" display="https://equibles.com/stocks/mchp/calls/2027-q1"/>
    <hyperlink ref="E21" r:id="rId17" display="https://ir.microchip.com/news-events/press-releases/detail/1415/microchip-technology-completes-acquisition-of-hailo"/>
    <hyperlink ref="E22" r:id="rId18" display="https://www.ad-hoc-news.de/boerse/news/corporate-news/microchip-technology-stock-gains-2-97-percent-to-usd-76-91/70184215"/>
    <hyperlink ref="E23" r:id="rId19" display="https://stockanalysis.com/stocks/mchp/forecast/"/>
    <hyperlink ref="E24" r:id="rId20" display="https://www.cnbc.com/2026/07/29/chip-selloff-sk-hynix-samsung-softbank.html"/>
    <hyperlink ref="E25" r:id="rId21" display="https://www.sec.gov/Archives/edgar/data/827054/000082705426000037/exhibit991q1fy27.htm"/>
    <hyperlink ref="E26" r:id="rId22" display="https://uk.investing.com/news/stock-market-news/microchip-at-citi-2026-global-tmt-conference-recovery-broadens-93CH-4863475"/>
    <hyperlink ref="E27" r:id="rId23" display="https://www.fool.com/earnings/call-transcripts/2026/08/13/microchip-mchp-q1-2027-earnings-call-transcript/"/>
    <hyperlink ref="E28" r:id="rId24" display="https://finance.yahoo.com/markets/stocks/articles/microchip-stock-drops-9-month-171800036.html"/>
    <hyperlink ref="E29" r:id="rId25" display="https://stockanalysis.com/stocks/mchp/forecast/"/>
    <hyperlink ref="E30" r:id="rId26" display="https://stockstory.org/us/stocks/nasdaq/mchp/news/why-up-down/microchip-technology-mchp-stock-is-up-what-you-need-to-know-3"/>
    <hyperlink ref="E31" r:id="rId27" display="https://finance.yahoo.com/technology/ai/articles/microchip-mchp-closes-hailo-deal-225731812.html"/>
    <hyperlink ref="E32" r:id="rId28" display="https://www.nerdwallet.com/investing/learn/best-semiconductor-stocks"/>
    <hyperlink ref="E33" r:id="rId29" display="https://247wallst.com/investing/2026/09/14/texas-instruments-is-up-55-in-2026-this-is-the-secret-tech-stock-youre-missing-out-on/"/>
    <hyperlink ref="E34" r:id="rId30" display="https://www.gurufocus.com/insider/3768/steve-sanghi"/>
    <hyperlink ref="E35" r:id="rId31" display="https://ir.microchip.com/news-events/press-releases/detail/1409/microchip-technology-announces-financial-results-for-first-quarter-of-fiscal-year-2027"/>
    <hyperlink ref="E36" r:id="rId32" display="https://www.sec.gov/Archives/edgar/data/827054/000082705426000037/exhibit991q1fy27.htm"/>
    <hyperlink ref="E37" r:id="rId33" display="https://www.stocktitan.net/news/MCHP/microchip-technology-announces-financial-results-for-first-quarter-xnav33u3tjva.html"/>
    <hyperlink ref="E38" r:id="rId34" display="https://futurumgroup.com/insights/microchip-q1-fy-2027-earnings-beat-as-data-center-exposure-nears-1-billion/"/>
    <hyperlink ref="E39" r:id="rId35" display="https://www.investing.com/news/transcripts/microchip-at-citi-2026-global-tmt-conference-recovery-broadens-93CH-4894731"/>
    <hyperlink ref="E40" r:id="rId36" display="https://ir.microchip.com/news-events/press-releases/detail/1415/microchip-technology-completes-acquisition-of-hailo"/>
    <hyperlink ref="E41" r:id="rId37" display="https://www.ad-hoc-news.de/boerse/news/corporate-news/microchip-technology-stock-gains-2-97-percent-to-usd-76-91/70184215"/>
    <hyperlink ref="E42" r:id="rId38" display="https://stockanalysis.com/stocks/mchp/forecast/"/>
    <hyperlink ref="E43" r:id="rId39" display="https://www.quiverquant.com/news/Microchip+Technology+Falls+as+Analog+Chip+Selloff+Weighs+on+Sector"/>
    <hyperlink ref="E44" r:id="rId40" display="https://www.stocktitan.net/sec-filings/MCHP/form-4-microchip-technology-inc-insider-trading-activity-1b9d756c6df3.html"/>
    <hyperlink ref="E45" r:id="rId41" display="https://ir.microchip.com/news-events/press-releases/detail/1409/microchip-technology-announces-financial-results-for-first-quarter-of-fiscal-year-2027"/>
    <hyperlink ref="E46" r:id="rId42" display="https://www.sec.gov/Archives/edgar/data/0000827054/000082705426000037/exhibit991q1fy27.htm"/>
    <hyperlink ref="E47" r:id="rId43" display="https://www.sec.gov/Archives/edgar/data/827054/000082705426000038/mchp-20260630.htm"/>
    <hyperlink ref="E48" r:id="rId44" display="https://uk.investing.com/news/stock-market-news/microchip-at-citi-2026-global-tmt-conference-recovery-broadens-93CH-4863475"/>
    <hyperlink ref="E49" r:id="rId45" display="https://equibles.com/stocks/mchp/calls/2027-q1"/>
    <hyperlink ref="E50" r:id="rId46" display="https://www.globenewswire.com/news-release/2026/09/21/3365532/0/en/microchip-technology-completes-acquisition-of-hailo.html"/>
    <hyperlink ref="E51" r:id="rId47" display="https://stockstory.org/us/stocks/nasdaq/mchp/news/why-up-down/microchip-technology-mchp-stock-is-up-what-you-need-to-know-3"/>
    <hyperlink ref="E52" r:id="rId48" display="https://www.sec.gov/Archives/edgar/data/1413447/000141344726000045/nxpi-20260628.htm"/>
    <hyperlink ref="E53" r:id="rId49" display="https://stockanalysis.com/stocks/mchp/forecast/"/>
    <hyperlink ref="E54" r:id="rId50" display="https://markets.financialcontent.com/stocks/article/stockstory-2026-9-25-microchip-technology-mchp-stock-is-up-what-you-need-to-know"/>
    <hyperlink ref="E55" r:id="rId51" display="https://stockanalysis.com/stocks/mchp/"/>
    <hyperlink ref="E56" r:id="rId52" display="https://www.sec.gov/Archives/edgar/data/827054/000082705426000037/exhibit991q1fy27.htm"/>
    <hyperlink ref="E57" r:id="rId53" display="https://uk.investing.com/news/stock-market-news/microchip-at-citi-2026-global-tmt-conference-recovery-broadens-93CH-4863475"/>
    <hyperlink ref="E58" r:id="rId54" display="https://ir.microchip.com/financial-info/financial-results"/>
    <hyperlink ref="E59" r:id="rId55" display="https://stockanalysis.com/stocks/mchp/forecast/"/>
    <hyperlink ref="E60" r:id="rId56" display="https://stockanalysis.com/stocks/mchp/history/"/>
    <hyperlink ref="E61" r:id="rId57" display="https://www.sec.gov/Archives/edgar/data/827054/000082705426000038/mchp-20260630.htm"/>
    <hyperlink ref="E62" r:id="rId58" display="https://www.investing.com/news/transcripts/microchip-at-citi-2026-global-tmt-conference-recovery-broadens-93CH-4894731"/>
    <hyperlink ref="E63" r:id="rId59" display="https://www.fool.com/earnings/call-transcripts/2026/08/13/microchip-mchp-q1-2027-earnings-call-transcript/"/>
    <hyperlink ref="E64" r:id="rId60" display="https://home.treasury.gov/resource-center/data-chart-center/interest-rates/TextView?type=daily_treasury_yield_curve&amp;field_tdr_date_value_month=202609"/>
    <hyperlink ref="E65" r:id="rId61" display="https://www.sec.gov/Archives/edgar/data/1413447/000141344726000045/nxpi-20260628.htm"/>
    <hyperlink ref="E66" r:id="rId62" display="https://ir.microchip.com/news-events/press-releases/detail/1419/microchip-technology-acquires-vorago-technologies"/>
    <hyperlink ref="E67" r:id="rId63" display="https://www.sec.gov/Archives/edgar/data/1413447/000141344726000045/nxpi-20260628.htm"/>
    <hyperlink ref="E68" r:id="rId64" display="https://www.sec.gov/Archives/edgar/data/1097864/000109786426000017/"/>
    <hyperlink ref="E69" r:id="rId65" display="https://www.sec.gov/Archives/edgar/data/97476/000009747626000152/"/>
    <hyperlink ref="E70" r:id="rId66" display="https://www.sec.gov/Archives/edgar/data/6281/000000628126000073/"/>
    <hyperlink ref="E71" r:id="rId67" display="https://www.sec.gov/Archives/edgar/data/827054/000082705426000038/mchp-20260630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2026-10-30T22:16:19Z</dcterms:created>
  <dc:creator>openpyxl</dc:creator>
  <dc:description/>
  <dc:language>en-US</dc:language>
  <cp:lastModifiedBy/>
  <dcterms:modified xsi:type="dcterms:W3CDTF">2026-10-30T22:16:19Z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