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<sst xmlns="http://schemas.openxmlformats.org/spreadsheetml/2006/main" count="1091" uniqueCount="733">
  <si>
    <t xml:space="preserve">AMAT 12-month price target model</t>
  </si>
  <si>
    <t xml:space="preserve">Close 2026-10-30 · agents' research 2026-10-23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</si>
  <si>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</si>
  <si>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</si>
  <si>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</si>
  <si>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</si>
  <si>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</si>
  <si>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</si>
  <si>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</si>
  <si>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</si>
  <si>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</si>
  <si>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</si>
  <si>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</si>
  <si>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</si>
  <si>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37 analysts, https://stockanalysis.com/stocks/amat/forecast/ as of 2026-10-30</t>
  </si>
  <si>
    <t xml:space="preserve">Use supervisor ladder (1 = yes)</t>
  </si>
  <si>
    <t xml:space="preserve">Supervisor confidence: medium; its ladder replaces the agents' mean only when high</t>
  </si>
  <si>
    <t xml:space="preserve">Platt log shift of the agents' curve</t>
  </si>
  <si>
    <t xml:space="preserve">combine.py: P(close &gt;= spot) 0.584 Platt-scaled (a = 1.732) to 0.584,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</si>
  <si>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</si>
  <si>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</si>
  <si>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</si>
  <si>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2026-10-30;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</si>
  <si>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</si>
  <si>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</si>
  <si>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</si>
  <si>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</si>
  <si>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</si>
  <si>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</si>
  <si>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</si>
  <si>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</si>
  <si>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</si>
  <si>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 4</t>
  </si>
  <si>
    <t xml:space="preserve">Agent 5</t>
  </si>
  <si>
    <t xml:space="preserve">Agents' average</t>
  </si>
  <si>
    <t xml:space="preserve">Agents' median</t>
  </si>
  <si>
    <t xml:space="preserve">Supervisor's reconciled research target (12m)</t>
  </si>
  <si>
    <t xml:space="preserve">EXIT k=0.8 RE-SET 2026-10-26 (Kilian card 12:16Z: exit = peer median x (own / median)^0.8): P/E 22.62x -&gt; 21.13x. Research target (12m) $473.91 -&gt; $443.36 (engine: multiple: P/E (ntm) $443.36 x 1.0; scenarios bear $258.69 / base $453.61 / bull $697.45, median $453.44). Multiples and values quoted in the older text below are superseded by these. Model update 2026-10-23 (update): peer set refresh (Kilian 2026-10-26 06:07Z): the P/E multiple moves from 22.5x (agents' band, no peer table) to the 10-peer WFE median 22.62x; drivers, net cash and scenarios unchanged. NTM EPS at Sep-2027 ~$22.8 (FY28 consensus $23.85 less ~4.5%; SEMI's Sept upgrade to $220B 2028 WFE removes the case for the 8-10% haircuts used by agents 1, 3 and 4) x 22.5x = ~$512.5, plus $10.0/share net cash (10-Q, July 26, 2026: cash and investments $14,501M less debt $6,544M = $7,957M on 793.6M shares) = ~$523. Excluding the $2.42B of equity investments ($7.0/share) it would be ~$519.5. Agent mean is $511.4 (range $505-515); the agents used ~$8/share net cash, a partial discount of the equity stakes (citation_audit.json agent_leg_issues).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</si>
  <si>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</si>
  <si>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</si>
  <si>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</si>
  <si>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</si>
  <si>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</si>
  <si>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</si>
  <si>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</si>
  <si>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</si>
  <si>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</si>
  <si>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</si>
  <si>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</si>
  <si>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</si>
  <si>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</si>
  <si>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</si>
  <si>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noise floor (2 x 1M IV))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</si>
  <si>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</si>
  <si>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</si>
  <si>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</si>
  <si>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</si>
  <si>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</si>
  <si>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</si>
  <si>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</si>
  <si>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</si>
  <si>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</si>
  <si>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</si>
  <si>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</si>
  <si>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</si>
  <si>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</si>
  <si>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</si>
  <si>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</si>
  <si>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</si>
  <si>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</si>
  <si>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</si>
  <si>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</si>
  <si>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AMAT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</si>
  <si>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</si>
  <si>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</si>
  <si>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</si>
  <si>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</si>
  <si>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</si>
  <si>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</si>
  <si>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</si>
  <si>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</si>
  <si>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</si>
  <si>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</si>
  <si>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The supervisor has not aggregated this round yet (model_assumptions.json); see Methods and Reasoning.</t>
  </si>
  <si>
    <t xml:space="preserve">AMAT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</si>
  <si>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</si>
  <si>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</si>
  <si>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</si>
  <si>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</si>
  <si>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</si>
  <si>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</si>
  <si>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</si>
  <si>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</si>
  <si>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</si>
  <si>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</si>
  <si>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</si>
  <si>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</si>
  <si>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</si>
  <si>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</si>
  <si>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</si>
  <si>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</si>
  <si>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</si>
  <si>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</si>
  <si>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AMAT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</si>
  <si>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</si>
  <si>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</si>
  <si>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</si>
  <si>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</si>
  <si>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</si>
  <si>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</si>
  <si>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</si>
  <si>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</si>
  <si>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P/E</t>
  </si>
  <si>
    <t xml:space="preserve">FY28 EPS est $22.0 (consensus $23.85 less 8%) x 23x = $506 + ~$8/sh net cash</t>
  </si>
  <si>
    <t xml:space="preserve">FY28 consensus EPS $23.85 x 21x = $501 + ~$8/sh net cash</t>
  </si>
  <si>
    <t xml:space="preserve">FCF yield</t>
  </si>
  <si>
    <t xml:space="preserve">FY28 FCF ~$12.0B (~$53B rev x ~22.5% margin) / 790M = $15.2/sh at a 3.0% yield = $507 + ~$8/sh net cash</t>
  </si>
  <si>
    <t xml:space="preserve">Blended value</t>
  </si>
  <si>
    <t xml:space="preserve">Stated research target (12m)</t>
  </si>
  <si>
    <t xml:space="preserve">Blend of three methods, all anchored to consensus-based FY28 EPS/FCF (the NTM view at Sep-2027) plus ~$8/share net cash. (1) My FY28 EPS of $22.0 (an explicit 8% haircut to the $23.85 consensus) x 23x + $8 = $514. (2) Consensus FY28 EPS of $23.85 x 21x + $8 = $509. (3) FY28 FCF of ~$15.2/share at a 3.0% yield + $8 = $515. Blended: ~$513, about equal to spot.</t>
  </si>
  <si>
    <t xml:space="preserve">FY2028E (NTM at Sep-2027) EPS $23.5 x 22x = $517 + net cash ~$8/sh</t>
  </si>
  <si>
    <t xml:space="preserve">FY2027E EPS $19.5 x 25x = $488 + net cash ~$8/sh</t>
  </si>
  <si>
    <t xml:space="preserve">Blend of forward P/E on FY2028E (NTM at horizon) EPS $23.5 x 22x plus ~$8/sh net cash (= $525, weight 0.6) and FY2027E EPS $19.5 x 25x plus net cash (= $496, weight 0.4) = ~$513, rounded to $515. EPS is now anchored on consensus (FY27 $18.43, FY28 $23.85) and SEMI's corrected WFE path (+21.8% 2027, +14.1% 2028); the multiple is still below today's ~27.7x on FY27 because late-cycle semicap de-rates ahead of decelerating growth.</t>
  </si>
  <si>
    <t xml:space="preserve">NTM EPS at Sep 2027 (≈FY28) $21.5 x 23.5x = $505, plus net cash ≈ $8/share</t>
  </si>
  <si>
    <t xml:space="preserve">NTM net income $17.0B ($21.5 x 790M) x 72% FCF conversion = $12.2B; at a 3.0% FCF yield = $408B / 790M shares</t>
  </si>
  <si>
    <t xml:space="preserve">Blend of forward P/E (Sep-2027 NTM EPS $21.5, a 10% skeptic haircut to the $23.85 FY28 consensus, x 23.5x + $8/sh net cash = $513, weight 0.6) and FCF yield (NTM net income $17.0B x 72% conversion = $12.2B at a 3.0% late-cycle yield = $516/sh, weight 0.4). The main change from round 1 is anchoring on consensus FY28 EPS; I keep the skepticism in an explicit haircut and a de-rated multiple.</t>
  </si>
  <si>
    <t xml:space="preserve">Sep-2027 NTM EPS (~FY28) $22.0 x 23x = $506 + net cash $8/sh</t>
  </si>
  <si>
    <t xml:space="preserve">NTM FCF at Sep-2027 ≈ $22.0 x 790M sh = $17.4B NI x 72% = $12.5B = $15.8/sh at 3.2% yield = $494 + $8/sh net cash</t>
  </si>
  <si>
    <t xml:space="preserve">Blend of P/E (NTM EPS at Sep-2027 $22.0 = consensus FY28 $23.85 less ~8% late-cycle haircut, x 23x = $506, plus ~$8/sh net cash = $514; weight 0.6) and FCF yield (NTM FCF/share $15.8 = $22.0 EPS x 790M sh x 72% conversion, at 3.2% yield = $494, plus $8/sh net cash = $502; weight 0.4) = ~$510.</t>
  </si>
  <si>
    <t xml:space="preserve">NTM EPS at Sep-2027 $22.5 x 22x = $495, + $8/share net cash</t>
  </si>
  <si>
    <t xml:space="preserve">FY28 consensus EPS $23.85 (no haircut) x 21x = $501, + $8 net cash</t>
  </si>
  <si>
    <t xml:space="preserve">FY28E FCF ~$13.2B / 790M diluted shares = $16.7/share at a 3.4% yield = $491, + $8 net cash</t>
  </si>
  <si>
    <t xml:space="preserve">Blend of three methods. (1) NTM EPS at Sep-2027 of $22.5 (FY28 consensus $23.85 less a ~6% late-cycle haircut) x 22x plus $8/share net cash = $503. (2) Unhaircut FY28 consensus $23.85 x 21x (roughly AMAT's ~20-22x long-run average P/E, applied to forward EPS as a cycle-aware multiple) plus $8 net cash = $509. (3) FY28 FCF of ~$16.7/share at a 3.4% yield plus $8 net cash = $499. Weighted 45/35/20 this gives ~$505, roughly spot.</t>
  </si>
  <si>
    <t xml:space="preserve">AMAT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</si>
  <si>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</si>
  <si>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</si>
  <si>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</si>
  <si>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</si>
  <si>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</si>
  <si>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</si>
  <si>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</si>
  <si>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In mid/late 2027 memory or AI-capex digestion starts, or customers flag a 2028 pause as the doubled output capacity lands. China weakens further: the BIS Affiliates Rule returns after the 2027-01-10 truce deadline (the company's own ~$600M/yr estimate) or controls broaden. NTM EPS is cut toward ~$17-18 and the multiple goes to ~18-19x. Semicap has historically fallen 50%+ in real downturns (2008, 2022).</t>
  </si>
  <si>
    <t xml:space="preserve">FY27 lands near the $18.4 consensus. The Street carries FY28 at ~$22-24 as SEMI's WFE path (+21.8% 2027, +14.1% 2028) plays out. The multiple on NTM compresses from ~28x on FY27 today to ~23x on FY28, plus net cash, for a modest gain from $512.</t>
  </si>
  <si>
    <t xml:space="preserve">AI buildout visibility extends into 2028-30. FY28 tracks at or above the $23.85 consensus (toward $26-27, the MS-type path), gross margin moves into the low 50s, FCF conversion normalises to ~85%, and the stock holds ~30x and breaks the $723 closing high.</t>
  </si>
  <si>
    <t xml:space="preserve">AI-capex durability doubts become real: hyperscaler/AI-lab funding stress (the Aug 19 trigger) leads to 2028 capex cuts; memory pricing at ~86% gross margins (Micron) rolls over in 2027 and memory makers slow tool orders; China (28% of revenue) is hit when the BIS Affiliates Rule returns after its suspension lapses (nominally 2026-11-09, reportedly extended to 2027-01-10) or by domestic substitution. Market prices a 2028 WFE decline: ~$20-21 NTM EPS at ~15x.</t>
  </si>
  <si>
    <t xml:space="preserve">WFE grows ~22% in 2027 as SEMI's July forecast has it (DRAM, leading-edge foundry/logic and advanced packaging carrying most of the growth, all AMAT strengths); AMAT prints ~$19-20 FY27 EPS and the market pays ~22-23x a ~$23.5 FY28 NTM EPS as growth decelerates to ~14% in 2028.</t>
  </si>
  <si>
    <t xml:space="preserve">TSMC 2027 capex well above its 2026 $60-64B, Micron FY27 capex above $45B, Korean memory fabs accelerate; WFE 2027 +25-30% (sell-side range), estimates drift to $26+ FY28 EPS and the stock exceeds the June closing high ($723) at ~28-30x.</t>
  </si>
  <si>
    <t xml:space="preserve">2027 proves to be the WFE peak. Micron, TSMC and Samsung signal a 2028 capex pause, the AI-capex pullback theme returns (as in the Sept 14 sell-off), and the BIS Affiliates Rule comes back after the reported Jan 10, 2027 truce deadline, hitting China (28% of revenue, down from 35%) service and parts sales. FY28 EPS is cut to ~$17 (-29% vs the $23.85 consensus), and the multiple de-rates to ~17.5x: 17.5 x 17 + 8 ≈ $305. Precedent: AMAT fell 53% in 2022, and it fell 43% close-to-close from its June 2026 high to the September low with no fundamental shock.</t>
  </si>
  <si>
    <t xml:space="preserve">FY27 is delivered roughly at consensus (~$18.4) and SEMI's +14% 2028 WFE path holds. FY28 expectations settle near $22.5, a little below today's $23.85. The market caps the multiple near 23.5x NTM because it is pricing a late cycle: 23.5 x 22.5 + 8 ≈ $537.</t>
  </si>
  <si>
    <t xml:space="preserve">The AI fab build keeps accelerating (sell-side 2027 WFE +28-33%, above SEMI's +21.8%). DRAM/HBM capex (Micron FY27 capex stepping up every quarter) and advanced packaging beat, and FY28-29 EPS moves to ~$26. The stock re-rates to ~32x, near its June-high multiple: 32 x 26 + 8 ≈ $840, above the $739.67 intraday high.</t>
  </si>
  <si>
    <t xml:space="preserve">2027 WFE air pocket: memory makers enforce capex discipline after Micron/SK hynix price moderation, hyperscaler AI capex pauses on ROI doubts, TSMC 2027 capex disappoints; the BIS Affiliates Rule returns after the 2027-01-10 truce deadline and hits China (28% of revenue) service/parts. NTM EPS falls to ~$18-19 and the multiple compresses to ~16-17x.</t>
  </si>
  <si>
    <t xml:space="preserve">SEMI path holds (WFE +21.8% 2027, +14% 2028); AMAT delivers FY27 EPS ~$18.4 and the Street carries FY28 near $22-24; the multiple de-rates to ~23-24x on NTM as growth decelerates; net cash ~$8/sh. Stock modestly above today.</t>
  </si>
  <si>
    <t xml:space="preserve">TSMC 2027 capex at the high end, HBM4/advanced packaging and GAA/backside power drive share gains; FY28 EPS ~$25-26 and the market pays ~31-32x again, as at the June $723 closing high, with the truce extended and China stable.</t>
  </si>
  <si>
    <t xml:space="preserve">The cycle turns earlier than SEMI expects. AI or HBM capex digestion, memory spending cuts, or the BIS Affiliates Rule returning after the ~Jan 10 2027 deadline cut FY28 estimates 20-25% to ~$18. The multiple falls to ~16-17x. This matches the 2018 (-30%+) and 2022 (~-50%) semi-cap drawdowns.</t>
  </si>
  <si>
    <t xml:space="preserve">WFE grows ~20% in 2027 as SEMI forecasts. FY27 EPS lands ~$18.5 and the FY28 path holds around $22-24. The forward multiple compresses from ~26x to ~22-23x as the market prices a late cycle. EPS growth roughly offsets de-rating, so the stock ends near fair value, slightly above spot.</t>
  </si>
  <si>
    <t xml:space="preserve">The upcycle extends into 2028-29: SEMI's upgrade to $220B 2028 WFE proves conservative, advanced packaging and GAA/HBM intensity lift share and gross margin, FY28 EPS moves to $27+ and the multiple holds ~28-30x. The stock retakes the $723 closing high and exceeds it.</t>
  </si>
  <si>
    <t xml:space="preserve">Average</t>
  </si>
  <si>
    <t xml:space="preserve">AMAT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</si>
  <si>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</si>
  <si>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</si>
  <si>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</si>
  <si>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</si>
  <si>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</si>
  <si>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</si>
  <si>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</si>
  <si>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Round 2 revision. The supervisor showed that my FY28 EPS input ($21.0) sat 12% below consensus without an explicit justification. I verified MarketScreener directly: FY27 is $18.43 EPS on $46.17B, and FY28 is $23.85 on $55.52B with $13.97B FCF. I now anchor on consensus and apply an explicit, smaller haircut to $22.0. The reason: consensus FY28 revenue of +20% outruns SEMI's July-2026 forecast of +14.1% WFE in 2028, and I accept the supervisor's correction that SEMI has 2027 at +21.8%. I also corrected net cash from ~$4 to ~$8/share (I had wrongly excluded ~$2.8B of LT fixed income) and shares to ~790M (buybacks slowed to $400M in FQ3). I disagree with the supervisor's implied 24x-on-corrected-EPS arithmetic ($545-580) and move to 23x instead of keeping 24x: the horizon multiple applies to FY28, which is visibly later in the cycle. The fair value rises from $494 to $513, about at spot. Scenarios: bear $330 (27%), base $550 (47%, up from $530), bull $820 (26%). Their lognormal mixture gives a median ~$525 and a mean ~$560, with left-tail mass kept for a semicap downturn and the Jan-10-2027 China policy binary. P(&gt;=512) rises from 0.525 to 0.56. That is slightly above the supervisor's 0.535 because my base case includes net cash and a modest drift, but still close to a coin flip, because the outcome is mostly a multiple call. I also fixed facts: the closing high is $723.00 (intraday $739.67) and the September closing low is $415.38. Research was limited to two confirmatory checks (MarketScreener consensus, Micron capex guidance). The Micron FQ4 results were not yet available.</t>
  </si>
  <si>
    <t xml:space="preserve">$335 is ~18x FY27 consensus ($18.43), ~15x my $22 FY28 EPS, and ~19% below the $415.38 September closing low (9/16), which came on sentiment alone. A close there would most likely mean the market is pricing an actual 2027-28 WFE downturn: customer capex cuts at the TSMC/Micron/Samsung prints, an AMAT guide-down in Nov or Feb, or the BIS Affiliates Rule returning after the 2027-01-10 deadline with broader China restrictions. The ordinary 60%-vol swings seen in this cycle have not reached that level.</t>
  </si>
  <si>
    <t xml:space="preserve">• How long the upcycle lasts: SEMI has WFE +21.8% in 2027 and +14.1% in 2028. Consensus FY28 EPS (+29%) is more aggressive than that path, and AMAT is doubling output capacity by 2028, which is a late-cycle overbuild risk.
• Multiple: 27.8x FY27 consensus today. The horizon value depends on whether the NTM multiple settles near 21-24x or falls to 18x.
• Cash conversion: 9M FCF was only 51% of non-GAAP NI because of the AR build and facilities capex, versus 83% in FQ3 alone.
• China (28% of revenue) and the dated Affiliates Rule deadline of 2027-01-10 (reported, based on a secondary summary).
• A structurally low non-GAAP tax rate (11% in FQ3) depends on Singapore incentives and global minimum tax rules.</t>
  </si>
  <si>
    <t xml:space="preserve">• a fact: FY28 EPS $21.0 (12% below consensus, not flagged) → Consensus $23.85 cited; my estimate $22.0 with an explicit 8% haircut (Supervisor feedback on FY28 consensus; verified on MarketScreener (FY28 $23.85 / $55.52B). The haircut is justified by SEMI's 2028 WFE +14.1% vs consensus revenue +20%.)
• a fact: Net cash ~$4/share → ~$8/share (Supervisor: I had excluded ~$2.8B of LT fixed income; 10-Q cash+investments $14.50B less debt $6.54B, with strategic equity partly discounted.)
• a fact: Shares ~785M; buyback ~$440M/qtr → ~790M; $400M in FQ3, $1.14B over 9M (Supervisor's reading of the 10-Q repurchase note)
• a fact: High $722-740; September low ~$424 → Closing high $723.00 (intraday $739.67); September closing low $415.38 on 9/16 (Supervisor's Twelve Data OHLC check)
• a method: P/E: FY28 $21.0 x 24x + $4 = $508 → P/E: FY28 $22.0 x 23x + $8 = $514 (Corrected EPS base and net cash. I disagree with keeping 24x on the higher EPS (supervisor's $545-580), because the horizon multiple applies to a later-cycle year.)
• a method: P/E: FY27 $18.48 x 26x = $480 → P/E: FY28 consensus $23.85 x 21x + $8 = $509 (A 12-month-out value should use the NTM (FY28) base; this leg uses unhaircut consensus with a lower multiple as a cross-check.)
• a method: FCF yield: FY27 $12.5/sh at 2.6% = $480 → FCF yield: FY28 $15.2/sh at 3.0% + $8 = $515 (Moved to the FY28 base (consensus FY28 FCF $13.97B, haircut to ~$12.0B), plus net cash)
• fair value: 494 → 513 (EPS base and net cash corrections from the supervisor, partly offset by a lower (23x) multiple)
• a scenario: bear $320 / 28%, base $530 / 47%, bull $790 / 25% → bear $330 / 27%, base $550 / 47%, bull $820 / 26% (Higher consensus EPS path and current SEMI WFE path. The bear keeps a fat tail for the added Jan-10-2027 Affiliates Rule binary.)
• P(close &gt;= K): K=512: 0.525; K=768: 0.16; K=358: 0.80 → K=512: 0.56; K=768: 0.185; K=358: 0.815 (Re-derived from the revised scenario mixture (median ~$525), after the fair value moved to about spot)
• thesis break: 340 → 335 (Recomputed against the corrected $415.38 September closing low (~19% below) and ~15x my $22 FY28 EPS)
• a fact: China: ~$600M FY26 hit only → Added the dated BIS Affiliates Rule deadline of 2027-01-10 as a catalyst and bear driver (Supervisor finding (Federal Register suspension; Steptoe 2026-09-28 report of extension))
• P(close &gt;= K): 1-month ladder centred on $512 → Essentially unchanged; added Micron (9/30) and Samsung (~10/7) to the window's events (Supervisor's event calendar; Micron's FY27 capex direction is already guided, so no directional tilt)</t>
  </si>
  <si>
    <t xml:space="preserve">Round 2 revision. The supervisor showed that my SEMI growth figures were mis-transcribed; I re-fetched SEMI's July 14, 2026 mid-year release (Yahoo syndication) and confirmed WFE $143.9B in 2026 (+23.1%), ~$175B in 2027 (+21.8%) and ~$200B in 2028 (+14.1%), with DRAM equipment rising to $56.9B and foundry/logic to $104.7B by 2028. That is a stronger 2027 and a slightly stronger 2028 than I had, which removes part of my reason for a 21x multiple (in Sep-2027 the market should still see double-digit WFE growth ahead), so I raise the forward multiple to 22x. I now anchor EPS on consensus (FY27 $18.43, FY28 $23.85 per MarketScreener) with a small 1.5% haircut, and move my FY27 estimate to $19.5 (explicitly above consensus on the WFE path). Net cash drops from ~$10 to ~$8/share after partly discounting $2.42B of strategic equity stakes. Fair value moves from $510 to ~$515, essentially spot. Other industry evidence is unchanged: Lam's 'extraordinary' 2027 setup with 8-10 new fabs and DRAM leading; TSMC 2026 capex $60-64B; Micron FY27 capex above mid-$40B (FQ4 print tonight, not yet out); memory makers sold out for 2027. I drop the UBS $85-90B TSMC 2027 capex figure as a number (Substack-only, discounted by the supervisor) and keep it as context. I add the BIS Affiliates Rule as a dated China risk: the Federal Register suspension runs to 2026-11-09 and a Sep-28 report says it is extended to 2027-01-10 (single secondary source, so treated as reported). Net: median raised from ~$530 to ~$542 (estimate momentum plus the corrected WFE path), lognormal spread ~46% (below the 60% trailing realized, which was inflated by the +150% run and 30% drawdown), left tail fattened modestly for a memory/AI-capex bust and the China policy binary. Scenario mean ~$557. I do not adopt the supervisor's 6% FY28 haircut because the corrected SEMI path supports consensus; I agree with its ~$8 net cash and the fact corrections. Research limited to three follow-up queries for speed.</t>
  </si>
  <si>
    <t xml:space="preserve">A close near $340 (~34% below spot, ~18x FY27 consensus $18.4 and ~14-15x a ~$23.5 FY28 NTM EPS) would sit ~18% below the $415.38 September closing low that came on sentiment alone. At that level the market would be pricing an actual 2027-28 WFE downturn: customer capex cuts at the TSMC/Micron/Samsung prints, an AMAT guide-down in Nov or Feb, or the BIS Affiliates Rule returning alongside broader China restrictions, not ordinary 60%-vol swings.</t>
  </si>
  <si>
    <t xml:space="preserve">• Durability of AI capex funding (AI-lab revenue vs large off-balance-sheet commitments) that drove the Aug-Sept semicap derating
• Memory cycle: Micron at ~86% gross margins signals peak pricing; a 2027 price rollover would cut DRAM tool demand (26-29% of AMAT systems revenue)
• China exposure (28% of revenue, 35% a year ago) and the BIS Affiliates Rule suspension deadline (nominally 2026-11-09, reportedly extended to 2027-01-10)
• Multiple: market de-rating late-cycle semicap (MS 26x -&gt; 22x) regardless of rising estimates
• Cash conversion: 9M FCF only ~51% of non-GAAP net income on the AR build and facilities capex</t>
  </si>
  <si>
    <t xml:space="preserve">• a fact: SEMI WFE +18.1% 2027 / +13.6% 2028 → WFE $143.9B 2026 (+23.1%), ~$175B 2027 (+21.8%), ~$200B 2028 (+14.1%) (Supervisor finding that my figures were a garbled snippet; verified by re-fetching the Yahoo syndication of SEMI's 2026-07-14 release.)
• a method: FY28 EPS $24 x 21x + $10 net cash = $514 → FY28 EPS $23.5 x 22x + $8 net cash = $525 (EPS now anchored on MarketScreener consensus $23.85 (small haircut) per supervisor; multiple raised to 22x because the corrected SEMI path still shows +14% WFE growth in 2028; net cash cut for strategic equity stakes per the 10-Q.)
• a method: FY27 EPS $19.7 (labeled consensus) x 25x + $10 = $503 → FY27 EPS $19.5 (estimate, above $18.43 consensus) x 25x + $8 = $496 (Supervisor: consensus FY27 is $18.43-18.48 and MS $20.92 is a single note; relabeled as my estimate and net cash corrected.)
• a fact: Net cash ~$10/share → ~$8/share (Supervisor: $2.42B of investments are strategic equity stakes; cash plus fixed income only is ~$7/share. I count half the stakes.)
• fair value: 510 → 515 (Net of the stronger SEMI path and 22x multiple (up) and the lower net cash (down).)
• a scenario: bear $300 p0.25 / base $540 p0.50 / bull $780 p0.25 → bear $310 p0.23 / base $550 p0.52 / bull $800 p0.25 (Corrected SEMI 2027 growth (+21.8%) supports the base; bear adds the Affiliates Rule binary but a slightly higher EPS floor; bull reframed on the $723 closing high.)
• P(close &gt;= K): P(&gt;=512) 0.53, P(&gt;=614) 0.375, P(&gt;=410) 0.71 → P(&gt;=512) 0.548, P(&gt;=614) 0.392, P(&gt;=410) 0.722 (Median raised ~$530 -&gt; ~$542 on the corrected WFE path and consensus-anchored EPS; spread and left-tail fattening kept.)
• thesis break: 330 → 340 (Re-based on ~14-15x corrected NTM EPS (~$23.5) and ~18% below the $415.38 September closing low identified by the supervisor.)
• a fact: BIS Affiliates Rule not listed → Suspension ends 2026-11-09 per Federal Register, reportedly extended to 2027-01-10; added as dated China catalyst and to the bear case (Supervisor finding; suspension date confirmed via Federal Register/Skadden search results; extension remains a single secondary report.)
• a fact: UBS TSMC 2027 capex $85-90B used as evidence → Context only (Supervisor source_review discounted it as Substack-only and unverified.)
• a fact: 52-week high $739.67 / drawdown ~31% → Closing high $723.00 (6/30), Sep closing low $415.38 (9/16), close-basis drawdown ~29% (Supervisor's Twelve Data OHLC check.)</t>
  </si>
  <si>
    <t xml:space="preserve">Round 2. The supervisor fact-checked three of my round-1 inputs, and I accept each correction. (a) FY28 consensus EPS is $23.85 on $55.5B revenue; I verified this on MarketScreener, which also shows FY27 $18.43. My round-1 $19.5 was 18% below consensus without saying so. (b) SEMI's current (July 2026) path is WFE +21.8% in 2027 and +14.1% in 2028, which does not support near-flat FY28 earnings. (c) My tax-rate and other-income points were wrong as EPS-quality flags: the year-ago 30.6% rate was CAMT-distorted, and the unrealized investment gains are excluded from non-GAAP EPS. I drop both. The valid remainders are the structurally low tax rate, as a policy risk, and FCF conversion, now measured against non-GAAP NI (51% for 9M, 83% for FQ3). I also correct the September closing low ($415.38) and the closing high ($723.00). I verified the Affiliates Rule date independently: the Federal Register suspension ends Nov 9, 2026, and the rule returns Nov 10 unless BIS acts. The Jan 10, 2027 extension comes only from the Steptoe summary, so I carry it as 'reported' and list both dates. Where I keep my own view: I haircut FY28 consensus by 10% rather than the supervisor's 6%. Year-2 consensus revenue growth (+20%) runs ahead of SEMI's +14% 2028 WFE path, and out-year numbers are where semicap cycles break. I also de-rate the multiple to 23.5x NTM. Result: P/E leg $513 and FCF-yield leg $516, blended $514, about spot and up from $505. Scenarios: $305/25%, $537/50%, $840/25% (mean ~$555, median ~$525). Ladder: a mixture of lognormals, 80% with median $540 and sigma 0.42 plus 20% with median $430 and sigma 0.60 to keep a fat left tail for a cycle turn or China shock. That gives P(&gt;=512) = 0.517, up from 0.49, with the tails still consistent with 60% realized vol. The skeptic case remains about the cycle peak and the multiple, not solvency (net cash ~$8/share, investment grade) or accounting. Research in round 2 was limited to 3 searches and 1 fetch.</t>
  </si>
  <si>
    <t xml:space="preserve">$340 is ~18x FY27 consensus ($18.4) and ~14x FY28 consensus ($23.85). That is a downturn multiple on out-year numbers, and it sits 18% below the $415.38 Sept 16 closing low, which came on sentiment alone. A close there would most likely mean a real 2027-28 WFE downturn is being priced: customer capex cuts at the Micron/TSMC/Samsung prints, an AMAT guide-down on Nov 12 or in February, or the Affiliates Rule returning after the reported Jan 10, 2027 deadline alongside broader China restrictions. Ordinary 60%-vol noise would not explain it.</t>
  </si>
  <si>
    <t xml:space="preserve">• Whether the FY28 consensus ($23.85, revenue +20%) survives. It is above SEMI's +14.1% 2028 WFE path, and out-year numbers are what get cut first at a semicap peak.
• Late-cycle multiple: ~27.7x FY27 today. The Sep-2027 price depends on whether the multiple on NTM EPS settles near 23x or near 18x.
• China (28% of revenue, 35% a year ago) and the BIS Affiliates Rule: the suspension ends Nov 9, 2026 and is reportedly extended to Jan 10, 2027; a suspended BIS denial order also remains from the $252.5M settlement.
• Cash conversion: 9M FCF was only 51% of non-GAAP NI (AR build, facilities capex) vs 83% in FQ3. Whether it normalises in FQ4 and FY27.
• Structurally low tax rate (non-GAAP ETR 11.0%) that depends on Singapore incentives and global minimum-tax rules. A policy change would cut EPS directly.
• AI-capex sentiment shocks (Sept 14 sell-off) and heavy insider selling near the June top (CEO ~$55.6M at $700-736).</t>
  </si>
  <si>
    <t xml:space="preserve">• a fact: FY28 (NTM at horizon) EPS $19.5, FY27 +5% → FY28 consensus $23.85; my NTM EPS $21.5 (explicit 10% haircut) (Supervisor FY28 EPS finding, verified on MarketScreener (source 18); SEMI July 2026 path +21.8%/+14.1% (source 20). I keep a larger haircut than the supervisor's 6% because FY28 consensus revenue growth (+20%) exceeds SEMI's +14% 2028 WFE.)
• a fact: 12.7% vs 30.6% tax rate and +$1.24B other income flatter EPS → Dropped as EPS-quality flags; kept low structural tax rate (non-GAAP ETR 11.0%) as a policy risk (Supervisor: prior-year rate CAMT-distorted, unrealized investment gains excluded from non-GAAP EPS (10-Q, 8-K Ex. 99.1).)
• a fact: 9M FCF conversion ~49% of GAAP NI → 51% of non-GAAP NI for 9M, 83% in FQ3; AR build explained by down-payment invoicing and less factoring (Supervisor's accounting disagreement resolution (10-Q MD&amp;A).)
• a fact: Net cash ≈ $10/share; September low ~$424; drawdown -31% → Net cash ≈ $8/share (strategic equity partly discounted); Sept closing low $415.38; closing high $723.00 (-29%) (Supervisor net-cash and price-path findings (10-Q; Twelve Data OHLC).)
• a method: P/E: $19.5 x 25x + $10 = $498 → P/E: $21.5 x 23.5x + $8 = $513 (Consensus-anchored EPS with an explicit haircut; multiple lowered because it now applies to a higher out-year base late in the cycle.)
• a method: FCF yield: FY27 NI $14.6B x 70% at 2.5% = $516 → FCF yield: NTM NI $17.0B x 72% at 3.0% = $516 (Base moved to NTM at the horizon; conversion re-measured on non-GAAP NI; higher required yield for year-2 late-cycle cash flow.)
• fair value: 505 → 514 (Corrected EPS base (supervisor finding), partly offset by lower multiple, higher FCF yield and $8 vs $10 net cash.)
• a scenario: bear $300 / base $530 / bull $820 → bear $305 / base $537 / bull $840 (probabilities unchanged 25/50/25) (Rebuilt on the $23.85 FY28 consensus; bear now explicitly includes the Affiliates Rule return after the reported Jan 10, 2027 deadline.)
• P(close &gt;= K): K=512: 0.49; K=410: 0.68; K=768: 0.175 → K=512: 0.517; K=410: 0.702; K=768: 0.194 (Mixture main-component median raised from $525 to $540 after the EPS/SEMI corrections; left-tail component kept (median $420 to $430, sigma 0.60) for cycle-turn and China-policy risk.)
• P(close &gt;= K): 1-month median ~$510, P(&gt;=512.01)=0.49 → 1-month median $512, P(&gt;=512.01)=0.50, sigma 17% (Added Micron (Sep 30), Samsung, ASML, TSMC, Lam dates from the supervisor's event list; no directional edge, so symmetric at spot.)
• thesis break: 340 (justified vs ~$424 low) → 340 (18x FY27, ~14x FY28 consensus, 18% below the $415.38 closing low) (Level unchanged; reasoning updated for the corrected low, FY28 consensus and the Affiliates Rule deadline.)</t>
  </si>
  <si>
    <t xml:space="preserve">Round 2. Anchor: last $512.01, 60% realized vol, -29% close-to-close from the $723.00 June closing high, +23% off the $415.38 Sep-16 close. Supervisor findings I accept: (1) my SEMI figures were correct, but FY28 = FY27 x 1.14 ignored operating leverage; MarketScreener consensus (re-fetched 2026-09-30) is FY27 $18.43 / FY28 $23.85 on revenue +20%, so I move NTM EPS to $22.0 (8% haircut, slightly larger than the supervisor's 6% because my alternative-lane evidence - Castellano's flat WFE share, memory-capex restraint chatter - argues for some caution); (2) I omitted net cash: now +$8/sh; (3) 80% FCF conversion was optimistic given 9M 51% conversion: cut to 72%, in line with consensus FCF/NI of 73-76%; (4) the BIS Affiliates Rule / US-China truce now runs to 2027-01-10 (confirmed by a second source, Fibre2Fashion/Feedstuffs reports of the truce extension) and is added as a dated negative catalyst and to the bear case; (5) BNP 'peak late 2026', UBS TSMC $90B (404K Substack) and the Burry short (TIKR) are now context only and do not drive the multiple. Retained alternative-lane signals: Revelio postings +41% in 2026 (hiring ramp, not bracing for a downturn), SK hynix leadership pushback on HBM slowdown talk (TrendForce). Micron's FQ4 print tonight had not been released at research time; its prior guide says FY27 capex above the FQ4 ~$10B/qtr rate in every quarter. Valuation: P/E $514 (0.6) and FCF yield $502 (0.4) blend to ~$510, about spot, versus $489 in round 1. Scenarios 310/545/820 at 25/50/25 (mean ~$555). Ladder: lognormal median ~$530 (up ~3% from round 1's ~$515) with sigma ~0.50, slightly fattened left tail for cycle-peak and China-policy risk; P(&gt;=512)=0.525. The 1-month ladder is unchanged (near symmetric) since nothing in the window is company-specific and the supervisor confirmed AMAT reports Nov 12. Research this round: 3 queries.</t>
  </si>
  <si>
    <t xml:space="preserve">Below ~$330 (~18x FY27 consensus $18.43, ~15x my $22 NTM EPS, and ~20% under the $415.38 Sep-16 closing low that came on sentiment alone) the market would be pricing a real 2027-28 WFE downturn: customer capex cuts at the TSMC/Micron/Samsung prints, an AMAT guide-down in Nov or Feb, or the BIS Affiliates Rule returning after the 2027-01-10 truce deadline together with broader China restrictions. I keep $330 rather than the supervisor's $335; the difference is within noise.</t>
  </si>
  <si>
    <t xml:space="preserve">• Whether 2027 WFE grows ~22% (SEMI July 2026) or stalls as memory makers enforce capex discipline
• Whether FY28 EPS reaches the ~$23.85 consensus (+29%) or lands nearer my $22 haircut path
• Multiple: ~28x FY27 today; de-rating to 23x vs re-expansion to 30x+ dominates the 12m outcome
• China (28% of revenue) and the BIS Affiliates Rule after the 2027-01-10 truce deadline
• Cash conversion: 9M FCF only 51% of non-GAAP NI; whether AR build reverses
• AMAT WFE share (~19-20%, flat per Castellano) vs gains in packaging/GAA</t>
  </si>
  <si>
    <t xml:space="preserve">• a fact: FY28 EPS $21.0 (FY27 x 1.14) → NTM EPS $22.0 (consensus FY28 $23.85 less 8%) (Supervisor: FY28 consensus $23.85 (MarketScreener, re-verified); my derivation ignored operating leverage. Kept an 8% haircut for alt-lane share/memory-capex caution.)
• a method: P/E $483 ($21.0 x 23x, no net cash) → P/E $514 ($22.0 x 23x + $8/sh net cash) (Corrected EPS base and supervisor finding that net cash was omitted.)
• a method: FCF yield $493 (FY27 $14.8/sh, 80% conversion, 3.0%) → FCF yield $502 (NTM $15.8/sh, 72% conversion, 3.2%, + $8 net cash) (Supervisor: 9M conversion only 51% (AR build, capex); consensus FCF/NI 73-76%; rolled to NTM basis at the horizon and added net cash.)
• fair value: 489 → 510 (Combined effect of the EPS, net cash and FCF conversion corrections.)
• a scenario: bear 300 / base 530 / bull 800 → bear 310 / base 545 / bull 820 (Higher EPS base lifts all cases; bear now also includes the BIS Affiliates Rule returning after 2027-01-10.)
• P(close &gt;= K): K=512: 0.503; K=410: 0.672; K=768: 0.21 → K=512: 0.525; K=410: 0.69; K=768: 0.224 (Median lifted ~3% (~$515 -&gt; ~$530) from corrected EPS/net cash; left tail kept fat for China-policy and cycle risk. I stay a touch below the supervisor at the low strikes because I keep a larger EPS haircut.)
• thesis break: 330 → 330 (reason updated) (Kept level (supervisor 335 is within noise); reason now cites the $415.38 Sep closing low and the 2027-01-10 Affiliates Rule deadline.)
• a fact: 52-week high $739.67, drawdown -31% → closing high $723.00, drawdown -29%; Sep closing low $415.38 (Supervisor Twelve Data OHLC check.)
• a fact: BNP peak-late-2026, UBS TSMC $90B, Burry short used to support de-rating → context only (Supervisor source_review discounted them as snippet/secondary; multiple justification now rests on SEMI growth deceleration.)
• P(close &gt;= K): 1-month ladder → unchanged (Supervisor confirmed AMAT reports Nov 12 outside the window; added Micron Sep 30 and Samsung Oct 7 to the event list but they are two-sided.)</t>
  </si>
  <si>
    <t xml:space="preserve">Round 2. The supervisor established that my decisive growth input was stale. I used SEMI's Dec-2025 forecast (+7-8% equipment growth in 2027), but the July 14 2026 mid-year release has WFE +23.1% in 2026, +21.8% in 2027 and +14.1% in 2028 to ~$200B. I verified this, and found SEMI raised 2028 WFE further to ~$220B at SEMICON Taiwan (Digitimes, 2026-09-01). My +8% FY28 growth assumption therefore goes. I now anchor on FY28 consensus EPS of $23.85, with a smaller ~6% late-cycle haircut to $22.5. I also dropped the Polymarket recession figure as a valuation driver, since it came from a blocked snippet and is macro context only. I replaced the mixed-basis 19x trailing median with a 21-22x forward multiple, which sits between the trailing average and the ~25x forward 5-year average quoted by data vendors. I also dropped the FY27 x 25x leg, because at Sep-2027 the market values FY28. Net cash is now $8/share. Fair value rises from $455 to ~$505, close to spot. Base rates still drive the shape. AMAT has 60% realized vol, fell 29% from its $723 closing high to a $415 low within three months, and semi-cap has drawn down ~30% in 2018 and ~50% in 2022; all of this justifies a fat left tail. The distribution is lognormal with median ~$520 (fair value ~$505 plus a modest nod to still-rising WFE and upward revisions) and sigma ~0.50, with the left tail thickened slightly for the Jan-2027 Affiliates Rule deadline and cycle-turn risk. That gives P(&gt;=512) = 0.515, vs 0.49 in round 1. Scenarios are $310/$530/$810 at 25/50/25. Research was limited to ~9 queries, and GuruFocus and MarketScreener fetches failed or returned the wrong page, so the FY28 consensus relies on the supervisor's MarketScreener read. No option data was used.</t>
  </si>
  <si>
    <t xml:space="preserve">Below ~$335 (~15x my $22.5 NTM EPS, and ~19% below the $415 September closing low), the market would be pricing a real WFE downturn and deep estimate cuts, not ordinary 60%-vol noise. For that to happen, SEMI's still-growing 2027-28 WFE path would have had to fail, through memory or AI capex cuts, the Affiliates Rule returning in January 2027 or a recession.</t>
  </si>
  <si>
    <t xml:space="preserve">• Whether FY28 consensus EPS (~$23.85) holds: SEMI's WFE path (+21.8% 2027, +14.1% 2028, 2028 raised to ~$220B in September) supports it, but two-year-forward semi-cap estimates are historically cut at turns
• Multiple at the horizon: ~26x forward today vs a ~20-22x long-run average
• China (28% of revenue) and the BIS Affiliates Rule deadline, ~2027-01-10
• Cash conversion: 51% of non-GAAP NI over 9M FY26 vs 83% in FQ3
• Macro: recession odds are elevated but are context only, not a direct driver</t>
  </si>
  <si>
    <t xml:space="preserve">• a fact: SEMI: equipment growth ~7-8% in 2027 ($145B-&gt;$156B) → WFE +21.8% 2027, +14.1% 2028 (~$200B, July 2026); 2028 raised to ~$220B (Sept 2026) (Supervisor disagreement 1 (stale Dec-2025 forecast); verified via SEMI release syndication and the Digitimes 2026-09-01 update)
• a method: P/E leg 1: FY28 EPS $20.0 x 22x = $440 → NTM EPS $22.5 x 22x + $8 net cash = $503 (FY28 consensus $23.85 (supervisor, MarketScreener); +8% growth input invalidated by current SEMI path)
• a method: P/E leg 2: FY27 $18.48 x 25x = $462 → FY28 consensus $23.85 x 21x + $8 = $509 (At Sep-2027 the market prices FY28, not FY27; supervisor note that the trailing-median multiple mixes bases, so I use a forward multiple near the long-run average)
• a method: FCF yield $420 (FY27 FCF $10.5B) → $499 (FY28 FCF ~$13.2B, 70% conversion, 790M shares, 3.4% yield, + $8 net cash) (Consensus FY28 revenue $55.5B; supervisor's 51%/83% conversion facts and ~790M share count)
• fair value: 455 → 505 (The corrected EPS base and SEMI path; net cash explicitly added at $8/share)
• P(close &gt;= K): K=512: 0.49; K=614: 0.35; K=358: 0.745 → K=512: 0.515; K=614: 0.37; K=358: 0.765 (Median moved from ~$505 to ~$520 after the growth-input correction; sigma trimmed to ~0.50 with the left tail kept fat for cycle and Affiliates Rule risk)
• a scenario: bear 300 / base 510 / bull 780 → bear 310 / base 530 / bull 810 (The higher FY28 EPS base and SEMI's 2028 upgrade lift base and bull; bear stays anchored on the 2018/2022 drawdown base rates)
• thesis break: 330 → 335 (Re-expressed as ~15x corrected NTM EPS and ~19% below the verified $415.38 September closing low)
• a fact: Polymarket 35% recession used as a bear driver → context only (The supervisor's source_review discounted it (blocked-page snippet, not AMAT-specific))
• a fact: Affiliates Rule and Micron missing from catalysts; 52-week high $739.67 → Added the ~2027-01-10 Affiliates Rule deadline and Micron 2026-09-30; closing high $723.00, Sept closing low $415.38 (Supervisor feedback, China and 1-month-window disagreements; confirmed via the Steptoe/Skadden search results)</t>
  </si>
  <si>
    <t xml:space="preserve">AMAT supervisor</t>
  </si>
  <si>
    <t xml:space="preserve">Confidence: medium. The round-2 forecasters converged on the round-1 fact-checks, so the mean already carries them. My one new fact is SEMI's Sept 1 upgrade of 2028 WFE to $220B (a named SEMI director, reported by Digitimes). It undercuts the specific reason three agents gave for 8-10% EPS haircuts, which justifies a small ~1.5% upward shift. But consensus likely already reflects it, and the Sept-2027 multiple, which no search can settle, dominates. The agents' convergence is also partly herding on one supervisor's inputs.</t>
  </si>
  <si>
    <t xml:space="preserve">Summary</t>
  </si>
  <si>
    <t xml:space="preserve">EXIT k=0.8 RE-SET 2026-10-26 (Kilian card 12:16Z: exit = peer median x (own / median)^0.8): P/E 22.62x -&gt; 21.13x. Research target (12m) $473.91 -&gt; $443.36 (engine: multiple: P/E (ntm) $443.36 x 1.0; scenarios bear $258.69 / base $453.61 / bull $697.45, median $453.44). Multiples and values quoted in the older text below are superseded by these. In round 2 the five forecasters took up the round-1 corrections and converged: fair values $505-515 (mean $511), P(&gt;=512) 0.515-0.56. The remaining spread is the size of the FY28 EPS haircut. Three agents justified 8-10% with SEMI's July 2028 WFE figure, which SEMI raised from ~$200B to $220B on Sept 1, so I nudge the centre up ~1.5% (fair value ~$523, P(&gt;=512) 0.545), with medium confidence because the Sep-2027 multiple dominates and the convergence is partly herding. Micron reports tonight (not out when checked); then the October customer capex prints, AMAT's FQ4 report in mid-November, the Nov 10 Affiliates Rule date (an extension is reported but unconfirmed) and the Jan-10-2027 truce deadline announced by Treasury.</t>
  </si>
  <si>
    <t xml:space="preserve">Research target (12m)</t>
  </si>
  <si>
    <t xml:space="preserve">Key drivers</t>
  </si>
  <si>
    <t xml:space="preserve">• Wafer fab equipment market, calendar year (SEMI): 116.9 -&gt; 143.9/175.3/220 (primary; quarterly, mean)
• AMAT Semiconductor Systems revenue / SEMI WFE (FY26 segment basis) (quarters: annualised quarter SS revenue x 4 / the year's WFE x 1000): 0.1839 -&gt; 0.1844/0.1828/0.1827 (estimate; quarterly, mean)
• Applied Global Services revenue (installed-base services, spares, upgrades; FY26 segment basis): 5,686 -&gt; 6,805/7,622/8,232 (estimate; quarterly, sum)
• Non-GAAP gross margin: 0.4876 -&gt; 0.5/0.506/0.508 (estimate; quarterly, mean)
• Non-GAAP operating expenses (RD&amp;E + marketing &amp; selling + G&amp;A): 5,273 -&gt; 5,844/6,452/6,968 (estimate; quarterly, sum)
• Corporate and Other revenue (Display and other; segment-note reconciling revenue): 1,185 -&gt; 1,185/1,185/1,185 (estimate; quarterly, sum)</t>
  </si>
  <si>
    <t xml:space="preserve">Disagreements (final round)</t>
  </si>
  <si>
    <t xml:space="preserve">Topic</t>
  </si>
  <si>
    <t xml:space="preserve">Positions</t>
  </si>
  <si>
    <t xml:space="preserve">Resolution</t>
  </si>
  <si>
    <t xml:space="preserve">Evidence</t>
  </si>
  <si>
    <t xml:space="preserve">Size of the haircut to FY28 consensus EPS ($23.85)</t>
  </si>
  <si>
    <t xml:space="preserve">agent_2 -1.5% ($23.5), agent_5 -6% ($22.5), agent_1 and agent_4 -8% ($22.0), agent_3 -10% ($21.5). Agents 1, 3 and 4 justify the larger haircut the same way: consensus FY28 revenue is +20% while SEMI's July forecast has 2028 WFE only +14.1% (~$200B).</t>
  </si>
  <si>
    <t xml:space="preserve">That reason is out of date. At SEMICON Taiwan (Sept 1, 2026) SEMI's Clark Tseng raised the 2028 WFE forecast to $220B from ~$200B in July. On an unchanged ~$175B 2027 base, that is ~+25% for 2028, in line with or above consensus revenue +20%. The Sept-29 consensus probably already reflects this, so it is not upside to consensus. But it removes the stated case for an 8-10% haircut. A generic late-cycle haircut of ~4-5% (NTM EPS ~$22.8) is still reasonable. agent_5 was the only one to find and use the September upgrade.</t>
  </si>
  <si>
    <t xml:space="preserve">Digitimes 2026-09-01 (SEMI senior director Clark Tseng at SEMICON Taiwan: 2028 WFE raised to $220B from ~$200B); SEMI July 14 mid-year release (Yahoo Finance syndication: WFE +21.8% in 2027 and +14.1% in 2028 to ~$200B).</t>
  </si>
  <si>
    <t xml:space="preserve">Horizon multiple and fair value</t>
  </si>
  <si>
    <t xml:space="preserve">Fair values have converged to $505-515 (mean $511.4). Multiples: 21-23.5x on NTM EPS, with ~$8/share net cash in every model (a partial discount of the equity stakes; the 10-Q gives $10.0/share in full, $7.0 excluding them).</t>
  </si>
  <si>
    <t xml:space="preserve">There is no factual dispute left. The spread in fair value comes from the EPS haircut, not the multiple. With NTM EPS ~$22.8 x 22.5x + $10.0 net cash (10-Q), I get ~$523. Caveat: all five adopted the round-1 supervisor's net cash, consensus and multiple band, so their agreement is not five independent confirmations.</t>
  </si>
  <si>
    <t xml:space="preserve">Agents' round-2 fair_value.methods; MarketScreener consensus (via round 1). Q3 FY26 10-Q balance sheet (net cash $7,957M, 793.6M shares).</t>
  </si>
  <si>
    <t xml:space="preserve">BIS Affiliates Rule / US-China truce date</t>
  </si>
  <si>
    <t xml:space="preserve">All five now list 2027-01-10. agents 2 and 5 call the extension a single secondary report. agent_4 adds Fibre2Fashion.</t>
  </si>
  <si>
    <t xml:space="preserve">The truce extension to Jan 10, 2027 is confirmed by mainstream outlets: Treasury Secretary Bessent announced it on Sep 23 (NBC News, Yahoo Finance). Whether it also extends the Affiliates Rule suspension could not be confirmed from a primary source: the Steptoe update citing unnamed officials would not open, and the Federal Register has no BIS notice extending the suspension (searched 2026-10-15), so that claim is dropped. The suspension otherwise ends on Nov 10, 2026 (Yahoo Finance), after the 1-month window and inside the 12-month horizon. The Affiliates Rule binary is therefore Nov 10, 2026 unless the suspension is formally extended, possibly to Jan 10, 2027.</t>
  </si>
  <si>
    <t xml:space="preserve">NBC News / Yahoo: US and China agree to extend trade truce through Jan. 10 (Bessent); Yahoo: Affiliates Rule originally suspended until Nov. 10, 2026; Federal Register search for a BIS extension notice (none as of 2026-10-15).</t>
  </si>
  <si>
    <t xml:space="preserve">Micron FQ4 (1-month window)</t>
  </si>
  <si>
    <t xml:space="preserve">All agents treat Micron (Sep 30, after the close) as two-sided with no tilt.</t>
  </si>
  <si>
    <t xml:space="preserve">The results were not out when checked (10:20 ET, Sep 30). MarketBeat shows actuals N/A, with consensus EPS $31.72 and revenue $51.33B; the call is at 4:30 PM ET. One search-engine summary claimed an 'actual EPS $31.62'. That is premature and is discounted. No tilt applied. The FY27 capex guide in the release is the item that matters for AMAT.</t>
  </si>
  <si>
    <t xml:space="preserve">MarketBeat MU earnings page (fetched 2026-09-30); Micron IR release of the date.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</si>
  <si>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</si>
  <si>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</si>
  <si>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</si>
  <si>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</si>
  <si>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</si>
  <si>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exit multiple (k=0.8 rule, Kilian card 2026-10-26 12:16Z)</t>
  </si>
  <si>
    <t xml:space="preserve">P/E 22.62x</t>
  </si>
  <si>
    <t xml:space="preserve">P/E 21.13x</t>
  </si>
  <si>
    <t xml:space="preserve">Exit = peer median x (own NTM multiple on the peers' basis / median)^0.8; research target (12m) $473.91 -&gt; $443.36. See inputs_detail and comps_summary (own_multiple, exit_k).</t>
  </si>
  <si>
    <t xml:space="preserve">P(close &gt;= K) for K = 256-461</t>
  </si>
  <si>
    <t xml:space="preserve">[0.925, 0.8654, 0.7914, 0.7068, 0.6194]</t>
  </si>
  <si>
    <t xml:space="preserve">[0.928, 0.87, 0.799, 0.716, 0.631]</t>
  </si>
  <si>
    <t xml:space="preserve">A ~1.5% log-shift up: SEMI's Sept upgrade of 2028 WFE to $220B removes the stated basis for the 8-10% EPS haircuts that pulled three agents' centres down.</t>
  </si>
  <si>
    <t xml:space="preserve">P(close &gt;= K) for K = 512-1280</t>
  </si>
  <si>
    <t xml:space="preserve">[0.533, 0.4496, 0.3742, 0.2802, 0.208, 0.1248, 0.0742, 0.0268]</t>
  </si>
  <si>
    <t xml:space="preserve">[0.545, 0.463, 0.387, 0.292, 0.218, 0.133, 0.08, 0.03]</t>
  </si>
  <si>
    <t xml:space="preserve">The same ~1.5% shift; spread unchanged.</t>
  </si>
  <si>
    <t xml:space="preserve">Fair value</t>
  </si>
  <si>
    <t xml:space="preserve">511.4</t>
  </si>
  <si>
    <t xml:space="preserve">523.0</t>
  </si>
  <si>
    <t xml:space="preserve">NTM EPS ~$22.8 (4.5% haircut, vs agents' 1.5-10%) x 22.5x + $10.0 net cash (10-Q; $8 before the citation gate), given SEMI's $220B 2028 WFE upgrade.</t>
  </si>
  <si>
    <t xml:space="preserve">336.0</t>
  </si>
  <si>
    <t xml:space="preserve">335.0</t>
  </si>
  <si>
    <t xml:space="preserve">~15x a ~$22.8 NTM EPS and 19% below the $415.38 September closing low; within the agents' $330-340.</t>
  </si>
  <si>
    <t xml:space="preserve">Fact: SEMI 2028 WFE forecast used by agents 1-4</t>
  </si>
  <si>
    <t xml:space="preserve">200</t>
  </si>
  <si>
    <t xml:space="preserve">220</t>
  </si>
  <si>
    <t xml:space="preserve">SEMI (Clark Tseng) at SEMICON Taiwan, reported by Digitimes 2026-09-01.</t>
  </si>
  <si>
    <t xml:space="preserve">Fact: truce extension status</t>
  </si>
  <si>
    <t xml:space="preserve">single secondary report</t>
  </si>
  <si>
    <t xml:space="preserve">confirmed: Bessent announced the extension to 2027-01-10 on Sep 23; Affiliates Rule coverage unconfirmed (suspension otherwise ends 2026-11-10)</t>
  </si>
  <si>
    <t xml:space="preserve">NBC News / Yahoo Finance reports; Steptoe 2026-09-28 would not open and no Federal Register notice extends the suspension.</t>
  </si>
  <si>
    <t xml:space="preserve">Citation audit (2026-10-15)</t>
  </si>
  <si>
    <t xml:space="preserve">{'item': 'fair_value: net cash per share', 'from': '~$8 (labelled reported, no source)', 'to': '$10.0 ($7,957M / 793.6M shares; $7.0 excluding $2,421M equity investments)', 'source': 'https://www.sec.gov/Archives/edgar/data/6951/000162828026058235/amat-20260726.htm'}</t>
  </si>
  <si>
    <t xml:space="preserve">{'item': 'fair_value.value', 'from': 520.0, 'to': 523.0, 'source': 'arithmetic: 23.85 x 0.955 = 22.78 x 22.5 = 512.5 + 10.03 = 522.5'}</t>
  </si>
  <si>
    <t xml:space="preserve">{'item': 'key_drivers / disagreements: fair value ~$520 with $8 net cash', 'from': '~$520, $8/share', 'to': '~$523, $10.0/share', 'source': 'https://www.sec.gov/Archives/edgar/data/6951/000162828026058235/amat-20260726.htm'}</t>
  </si>
  <si>
    <t xml:space="preserve">{'item': 'sizing.reason: summer close-to-close decline', 'from': '29%', 'to': '42.5% (Jun 30 close $723.00 to Sep 16 close $415.38)', 'source': 'Twelve Data AMAT daily time series (connector), https://twelvedata.com'}</t>
  </si>
  <si>
    <t xml:space="preserve">{'item': 'AMAT FQ4 FY26 earnings date (one_month_reasoning, thesis_break_reason, key_drivers, sizing.entry, summary)', 'from': 'Nov 12, 2026', 'to': 'mid-November (FQ4 FY25 reported Nov 13, 2025); exact FY26 date removed: no primary source reachable (IR site 403)', 'source': 'https://www.sec.gov/Archives/edgar/data/6951/000162828025051998/amat-20251113.htm'}</t>
  </si>
  <si>
    <t xml:space="preserve">{'item': 'Affiliates Rule suspension covered by the truce extension (disagreements, key_drivers, one_month_reasoning, thesis_break_reason, summary)', 'from': 'reported (Steptoe, unnamed officials)', 'to': 'removed; suspension otherwise ends Nov 10, 2026; no Federal Register extension notice as of 2026-10-15', 'source': 'https://finance.yahoo.com/economy/policy/articles/us-china-extend-trade-war-145500229.html'}</t>
  </si>
  <si>
    <t xml:space="preserve">{'item': 'SEMI July forecast (WFE +21.8% 2027, +14.1% 2028, ~$200B) source', 'from': 'https://www.semi.org/en/semi-press-release/global-semiconductor-equipment-sales-forecast-to-reach-a-record-229-billion-dollars-in-2028-semi-reports', 'to': 'https://finance.yahoo.com/technology/articles/global-semiconductor-equipment-sales-forecast-140000150.html', 'source': 'https://finance.yahoo.com/technology/articles/global-semiconductor-equipment-sales-forecast-140000150.html'}</t>
  </si>
  <si>
    <t xml:space="preserve">{'item': 'sources: Steptoe Weekly Sanctions Update 2026-09-28', 'from': 'https://www.steptoe.com/en/news-publications/international-compliance-blog/weekly-sanctions-update-september-28-2026.html', 'to': 'removed (would not open; claim dropped)', 'source': ''}</t>
  </si>
  <si>
    <t xml:space="preserve">{'item': 'sources: 10-Q, 8-K Ex. 99.1, 8-K 2025-11-13 added for net cash, China share, FCF conversion and the earnings-date basis', 'from': 'not cited', 'to': 'cited', 'source': 'https://www.sec.gov/Archives/edgar/data/6951/000162828026058235/amat-20260726.htm'}</t>
  </si>
  <si>
    <t xml:space="preserve">Sizing</t>
  </si>
  <si>
    <t xml:space="preserve">max weight pct</t>
  </si>
  <si>
    <t xml:space="preserve">conviction</t>
  </si>
  <si>
    <t xml:space="preserve">low</t>
  </si>
  <si>
    <t xml:space="preserve">entry</t>
  </si>
  <si>
    <t xml:space="preserve">3 tranches over ~6 weeks: after Micron (Sep 30) and TSMC/ASML (mid-Oct), after Lam (Oct 21), and after AMAT FQ4 (mid-November)</t>
  </si>
  <si>
    <t xml:space="preserve">overlap</t>
  </si>
  <si>
    <t xml:space="preserve">None. The portfolio is all cash; this would be its only semicap/AI-capex exposure.</t>
  </si>
  <si>
    <t xml:space="preserve">reason</t>
  </si>
  <si>
    <t xml:space="preserve">Fair value (~$523) is within ~2% of the price, so the edge is thin. The stock has ~60% realised volatility and fell 42.5% close-to-close this summer (Jun 30 $723.00 to Sep 16 $415.38, Twelve Data daily closes) without a fundamental shock. Dated events (October capex prints, mid-November earnings, the Nov 10 Affiliates Rule date and the Jan 10 truce deadline) argue for staged entry and a cap of ~8% for a single high-beta cyclical; liquidity is not a constraint. The corrected (larger) drawdown supports the 8% cap rather than arguing for a higher one.</t>
  </si>
  <si>
    <t xml:space="preserve">AMAT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</si>
  <si>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</si>
  <si>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</si>
  <si>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</si>
  <si>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</si>
  <si>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</si>
  <si>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</si>
  <si>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agent_1</t>
  </si>
  <si>
    <t xml:space="preserve">Applied Materials Announces Third Quarter 2026 Results (8-K Ex. 99.1)</t>
  </si>
  <si>
    <t xml:space="preserve">2026-08-13</t>
  </si>
  <si>
    <t xml:space="preserve">https://www.sec.gov/Archives/edgar/data/0000006951/000162828026056699/exhibit991q32026earningsre.htm</t>
  </si>
  <si>
    <t xml:space="preserve">A1.2</t>
  </si>
  <si>
    <t xml:space="preserve">Applied Materials Form 10-Q for quarter ended July 26, 2026</t>
  </si>
  <si>
    <t xml:space="preserve">2026-08</t>
  </si>
  <si>
    <t xml:space="preserve">https://www.sec.gov/Archives/edgar/data/6951/000162828026058235/amat-20260726.htm</t>
  </si>
  <si>
    <t xml:space="preserve">A1.3</t>
  </si>
  <si>
    <t xml:space="preserve">Applied Materials Announces Second Quarter 2026 Results (8-K Ex. 99.1)</t>
  </si>
  <si>
    <t xml:space="preserve">2026-05-14</t>
  </si>
  <si>
    <t xml:space="preserve">https://www.sec.gov/Archives/edgar/data/0000006951/000162828026035071/exhibit991q22026earningsre.htm</t>
  </si>
  <si>
    <t xml:space="preserve">A1.4</t>
  </si>
  <si>
    <t xml:space="preserve">Applied Materials Announces First Quarter 2026 Results (8-K Ex. 99.1)</t>
  </si>
  <si>
    <t xml:space="preserve">2026-02</t>
  </si>
  <si>
    <t xml:space="preserve">https://www.sec.gov/Archives/edgar/data/6951/000162828026007661/exhibit991q12026earningsre.htm</t>
  </si>
  <si>
    <t xml:space="preserve">A1.5</t>
  </si>
  <si>
    <t xml:space="preserve">Earnings call transcript: Applied Materials Q3 FY2026</t>
  </si>
  <si>
    <t xml:space="preserve">https://www.investing.com/news/transcripts/earnings-call-transcript-applied-materials-beats-q3-2026-estimates-shares-fall-93CH-4859444</t>
  </si>
  <si>
    <t xml:space="preserve">A1.6</t>
  </si>
  <si>
    <t xml:space="preserve">Applied Materials at Goldman Sachs Communacopia + Technology conference (CEO remarks)</t>
  </si>
  <si>
    <t xml:space="preserve">2026-09-09</t>
  </si>
  <si>
    <t xml:space="preserve">https://in.investing.com/news/stock-market-news/applied-materials-at-goldman-sachs-conference-ai-demand-lifts-outlook-93CH-5587316</t>
  </si>
  <si>
    <t xml:space="preserve">A1.7</t>
  </si>
  <si>
    <t xml:space="preserve">Applied Materials to Participate in Upcoming Investor Conferences</t>
  </si>
  <si>
    <t xml:space="preserve">2026-08-14</t>
  </si>
  <si>
    <t xml:space="preserve">https://ir.appliedmaterials.com/news-releases/news-release-details/applied-materials-participate-upcoming-investor-conferences-15</t>
  </si>
  <si>
    <t xml:space="preserve">A1.8</t>
  </si>
  <si>
    <t xml:space="preserve">Applied Materials Stock Already Fell Without A Shock, So What Would A Real One Do? (Trefis)</t>
  </si>
  <si>
    <t xml:space="preserve">2026-09-15</t>
  </si>
  <si>
    <t xml:space="preserve">https://www.trefis.com/stock/amat/articles/615391/applied-materials-stock-already-fell-without-a-shock-so-what-would-a-real-one-do/2026-09-15</t>
  </si>
  <si>
    <t xml:space="preserve">A1.9</t>
  </si>
  <si>
    <t xml:space="preserve">Applied Materials consensus estimates and target price (MarketScreener)</t>
  </si>
  <si>
    <t xml:space="preserve">2026-09</t>
  </si>
  <si>
    <t xml:space="preserve">https://www.marketscreener.com/quote/stock/APPLIED-MATERIALS-INC-216012215/consensus/</t>
  </si>
  <si>
    <t xml:space="preserve">A1.10</t>
  </si>
  <si>
    <t xml:space="preserve">Morgan Stanley Lowers AMAT Price Target to $563, raises 2027 EPS to $20.92 (GuruFocus; single broker note, secondary access)</t>
  </si>
  <si>
    <t xml:space="preserve">2026-09-28</t>
  </si>
  <si>
    <t xml:space="preserve">https://www.gurufocus.com/news/9099895/morgan-stanley-lowers-amat-price-target-amid-mixed-outlook-despite-raised-2027-revenue-forecast</t>
  </si>
  <si>
    <t xml:space="preserve">A1.11</t>
  </si>
  <si>
    <t xml:space="preserve">Applied Materials (AMAT) earnings dates (MarketBeat)</t>
  </si>
  <si>
    <t xml:space="preserve">https://www.marketbeat.com/stocks/NASDAQ/AMAT/earnings/</t>
  </si>
  <si>
    <t xml:space="preserve">A1.12</t>
  </si>
  <si>
    <t xml:space="preserve">MarketScreener AMAT finances: consensus FY26-FY28 revenue, EPS, FCF, net debt</t>
  </si>
  <si>
    <t xml:space="preserve">2026-09-29</t>
  </si>
  <si>
    <t xml:space="preserve">https://www.marketscreener.com/quote/stock/APPLIED-MATERIALS-INC-4850/finances/</t>
  </si>
  <si>
    <t xml:space="preserve">A1.13</t>
  </si>
  <si>
    <t xml:space="preserve">SEMI mid-year total equipment forecast (WFE +21.8% 2027, +14.1% 2028; Yahoo syndication of SEMI release)</t>
  </si>
  <si>
    <t xml:space="preserve">2026-07-14</t>
  </si>
  <si>
    <t xml:space="preserve">https://finance.yahoo.com/technology/articles/global-semiconductor-equipment-sales-forecast-140000150.html</t>
  </si>
  <si>
    <t xml:space="preserve">A1.14</t>
  </si>
  <si>
    <t xml:space="preserve">Federal Register: One Year Suspension of Expansion of End-User Controls for Affiliates of Certain Listed Entities</t>
  </si>
  <si>
    <t xml:space="preserve">2025-11-12</t>
  </si>
  <si>
    <t xml:space="preserve">https://www.federalregister.gov/documents/2025/11/12/2025-19846/one-year-suspension-of-expansion-of-end-user-controls-for-affiliates-of-certain-listed-entities</t>
  </si>
  <si>
    <t xml:space="preserve">A1.15</t>
  </si>
  <si>
    <t xml:space="preserve">Steptoe Weekly Sanctions Update (truce and Affiliates Rule suspension reportedly extended to Jan 10, 2027; via supervisor's search summary)</t>
  </si>
  <si>
    <t xml:space="preserve">https://www.steptoe.com/en/news-publications/international-compliance-blog/weekly-sanctions-update-september-28-2026.html</t>
  </si>
  <si>
    <t xml:space="preserve">A1.16</t>
  </si>
  <si>
    <t xml:space="preserve">Micron Q3 FY2026 earnings call transcript (FY27 capex guidance above FQ4 ~$10B/quarter)</t>
  </si>
  <si>
    <t xml:space="preserve">2026-06-24</t>
  </si>
  <si>
    <t xml:space="preserve">https://www.investing.com/news/transcripts/earnings-call-transcript-micron-tops-q3-2026-estimates-shares-jump-146-93CH-4759504</t>
  </si>
  <si>
    <t xml:space="preserve">A2.1</t>
  </si>
  <si>
    <t xml:space="preserve">agent_2</t>
  </si>
  <si>
    <t xml:space="preserve">Applied Materials Announces Third Quarter 2026 Results (8-K Ex. 99.1 on sec.gov; the GlobeNewswire copy returned HTTP 403 to the citation gate 2026-10-15)</t>
  </si>
  <si>
    <t xml:space="preserve">A2.2</t>
  </si>
  <si>
    <t xml:space="preserve">Earnings call transcript: Applied Materials beats Q3 2026 estimates, shares fall</t>
  </si>
  <si>
    <t xml:space="preserve">A2.3</t>
  </si>
  <si>
    <t xml:space="preserve">SEMI mid-year equipment forecast: record $229.5B in 2028; WFE +21.8% 2027, +14.1% 2028 (Yahoo syndication of SEMI release)</t>
  </si>
  <si>
    <t xml:space="preserve">A2.4</t>
  </si>
  <si>
    <t xml:space="preserve">Morgan Stanley resets AMAT stock price target by $79 (TheStreet; via search snippet)</t>
  </si>
  <si>
    <t xml:space="preserve">https://www.thestreet.com/investing/stocks/amat-applied-materials-inc-stock-price-target-morgan-stanley-september-2026</t>
  </si>
  <si>
    <t xml:space="preserve">A2.5</t>
  </si>
  <si>
    <t xml:space="preserve">Better Semiconductor Equipment Stock: Applied Materials vs. Lam Research</t>
  </si>
  <si>
    <t xml:space="preserve">https://www.fool.com/investing/2026/09/29/better-semiconductor-equipment-stock-applied-mater/</t>
  </si>
  <si>
    <t xml:space="preserve">A2.6</t>
  </si>
  <si>
    <t xml:space="preserve">What Lam Research's Q4 Earnings Call Reveals About the 2027 Setup</t>
  </si>
  <si>
    <t xml:space="preserve">2026-07-30</t>
  </si>
  <si>
    <t xml:space="preserve">https://www.tikr.com/blog/what-lam-research-q4-earnings-call-reveals-about-the-2027-setup</t>
  </si>
  <si>
    <t xml:space="preserve">A2.7</t>
  </si>
  <si>
    <t xml:space="preserve">SEMI Projects Double-Digit Growth in Global 300mm Fab Equipment Spending for 2026 and 2027</t>
  </si>
  <si>
    <t xml:space="preserve">2026-04-01</t>
  </si>
  <si>
    <t xml:space="preserve">https://www.semi.org/en/semi-press-release/semi-projects-double-digit-growth-in-global-300mm-fab-equipment-spending-for-2026-and-2027</t>
  </si>
  <si>
    <t xml:space="preserve">A2.8</t>
  </si>
  <si>
    <t xml:space="preserve">TSMC Lifts 2026 Capex 15% to $60-64B (TrendForce)</t>
  </si>
  <si>
    <t xml:space="preserve">2026-07-16</t>
  </si>
  <si>
    <t xml:space="preserve">https://www.trendforce.com/news/2026/07/16/news-tsmc-lifts-2026-capex-15-to-60-64b-hikes-sales-outlook-to-over-40-despite-q3-margin-dip/</t>
  </si>
  <si>
    <t xml:space="preserve">A2.9</t>
  </si>
  <si>
    <t xml:space="preserve">TSMC Q3 Earnings Preview: UBS Raises Its 2027 Capex Forecast (context only; discounted as unverified)</t>
  </si>
  <si>
    <t xml:space="preserve">https://404kresearch.substack.com/p/tsmc-q3-earnings-preview-ubs-raises</t>
  </si>
  <si>
    <t xml:space="preserve">A2.10</t>
  </si>
  <si>
    <t xml:space="preserve">Micron Likely to Beat Q4 Earnings Estimates (reports Sep 30; FY27 capex above mid-$40B; Q4 capex ~$10B)</t>
  </si>
  <si>
    <t xml:space="preserve">https://finance.yahoo.com/markets/stocks/articles/micron-likely-beat-q4-earnings-112000154.html</t>
  </si>
  <si>
    <t xml:space="preserve">A2.11</t>
  </si>
  <si>
    <t xml:space="preserve">Samsung, SK Hynix, Micron sell out 2027 memory chip supply: report</t>
  </si>
  <si>
    <t xml:space="preserve">2026</t>
  </si>
  <si>
    <t xml:space="preserve">https://seekingalpha.com/news/4625688-samsung-sk-hynix-micron-sell-out-2027-memory-chip-supply-report</t>
  </si>
  <si>
    <t xml:space="preserve">A2.12</t>
  </si>
  <si>
    <t xml:space="preserve">TrendForce: Long-Term Agreements Cap Price Increases; Server DRAM Contract Prices</t>
  </si>
  <si>
    <t xml:space="preserve">2026-07-09</t>
  </si>
  <si>
    <t xml:space="preserve">https://www.trendforce.com/presscenter/news/20260709-13140.html</t>
  </si>
  <si>
    <t xml:space="preserve">A2.13</t>
  </si>
  <si>
    <t xml:space="preserve">SK Hynix to invest $38 billion building new memory chip plants</t>
  </si>
  <si>
    <t xml:space="preserve">2026-08-07</t>
  </si>
  <si>
    <t xml:space="preserve">https://www.cnbc.com/2026/08/07/sk-hynix-memory-chips-ai-prices.html</t>
  </si>
  <si>
    <t xml:space="preserve">A2.14</t>
  </si>
  <si>
    <t xml:space="preserve">Applied Materials Falls 4%, Lam Research and Teradyne Sink 5%: What's Prompting the Selloff in Chip Equipment Stocks</t>
  </si>
  <si>
    <t xml:space="preserve">2026-08-19</t>
  </si>
  <si>
    <t xml:space="preserve">https://247wallst.com/investing/2026/08/19/applied-materials-falls-4-lam-research-and-teradyne-sink-5-whats-prompting-the-selloff-in-chip-equipment-stocks/</t>
  </si>
  <si>
    <t xml:space="preserve">A2.15</t>
  </si>
  <si>
    <t xml:space="preserve">ASML and U.S. chip stocks sink on report of China's DUV breakthrough</t>
  </si>
  <si>
    <t xml:space="preserve">2026-07-27</t>
  </si>
  <si>
    <t xml:space="preserve">https://finance.yahoo.com/technology/articles/asml-u-chip-stocks-sink-135434031.html</t>
  </si>
  <si>
    <t xml:space="preserve">A2.16</t>
  </si>
  <si>
    <t xml:space="preserve">Lam Research Fell 9% Today. Why 2026 Upside May Be Limited</t>
  </si>
  <si>
    <t xml:space="preserve">https://www.tikr.com/blog/lam-research-fell-9-today-why-2026-upside-may-be-limited</t>
  </si>
  <si>
    <t xml:space="preserve">A2.17</t>
  </si>
  <si>
    <t xml:space="preserve">MarketScreener AMAT consensus estimates (FY27 EPS $18.43 / $46.2B; FY28 $23.85 / $55.5B), as cited by the round-1 supervisor</t>
  </si>
  <si>
    <t xml:space="preserve">A2.18</t>
  </si>
  <si>
    <t xml:space="preserve">Applied Materials Form 10-Q, quarter ended July 26, 2026 (balance sheet, investments, debt notes)</t>
  </si>
  <si>
    <t xml:space="preserve">A2.19</t>
  </si>
  <si>
    <t xml:space="preserve">A2.20</t>
  </si>
  <si>
    <t xml:space="preserve">Skadden: BIS Suspends Affiliates Rule for One Year as Part of the US-China Trade Deal</t>
  </si>
  <si>
    <t xml:space="preserve">2025-11</t>
  </si>
  <si>
    <t xml:space="preserve">https://www.skadden.com/insights/publications/2025/11/bis-suspends-affiliates-rule-for-one-year-as-part-of-the-us-china-trade-deal</t>
  </si>
  <si>
    <t xml:space="preserve">A2.21</t>
  </si>
  <si>
    <t xml:space="preserve">Steptoe Weekly Sanctions Update (truce and Affiliates Rule suspension reportedly extended to Jan 10, 2027; as cited by the round-1 supervisor)</t>
  </si>
  <si>
    <t xml:space="preserve">A3.1</t>
  </si>
  <si>
    <t xml:space="preserve">agent_3</t>
  </si>
  <si>
    <t xml:space="preserve">A3.2</t>
  </si>
  <si>
    <t xml:space="preserve">A3.3</t>
  </si>
  <si>
    <t xml:space="preserve">Applied Materials Sinks After Downgrade And Insider Selling</t>
  </si>
  <si>
    <t xml:space="preserve">2026-09-14</t>
  </si>
  <si>
    <t xml:space="preserve">https://www.tipranks.com/news/catalyst/applied-materials-sinks-after-downgrade-and-insider-selling</t>
  </si>
  <si>
    <t xml:space="preserve">A3.4</t>
  </si>
  <si>
    <t xml:space="preserve">Applied Materials stock price down 2.3% following analyst downgrade (Erste Group)</t>
  </si>
  <si>
    <t xml:space="preserve">2026-08-05</t>
  </si>
  <si>
    <t xml:space="preserve">https://www.marketbeat.com/instant-alerts/applied-materials-nasdaqamat-stock-price-down-23-following-analyst-downgrade-2026-08-05/</t>
  </si>
  <si>
    <t xml:space="preserve">A3.5</t>
  </si>
  <si>
    <t xml:space="preserve">BIS Announces $252.5 Million Settlement with Applied Materials</t>
  </si>
  <si>
    <t xml:space="preserve">2026-03</t>
  </si>
  <si>
    <t xml:space="preserve">https://www.arnoldporter.com/en/perspectives/advisories/2026/03/bis-announces-252-5-million-settlement-with-applied-materials-over-alleged</t>
  </si>
  <si>
    <t xml:space="preserve">A3.6</t>
  </si>
  <si>
    <t xml:space="preserve">Applied Materials Stock Already Fell Without A Shock, So What Would a Shock Do?</t>
  </si>
  <si>
    <t xml:space="preserve">https://finance.yahoo.com/markets/stocks/articles/applied-materials-stock-already-fell-194001969.html</t>
  </si>
  <si>
    <t xml:space="preserve">A3.7</t>
  </si>
  <si>
    <t xml:space="preserve">Applied Materials Shares Fall 5.8% as Semiconductor Stocks Decline</t>
  </si>
  <si>
    <t xml:space="preserve">https://finance.yahoo.com/markets/stocks/articles/applied-materials-shares-fall-5-120443049.html</t>
  </si>
  <si>
    <t xml:space="preserve">A3.8</t>
  </si>
  <si>
    <t xml:space="preserve">Applied Materials analyst estimates (FY27 EPS consensus $18.48)</t>
  </si>
  <si>
    <t xml:space="preserve">https://finance.yahoo.com/quote/AMAT/analysis/</t>
  </si>
  <si>
    <t xml:space="preserve">A3.9</t>
  </si>
  <si>
    <t xml:space="preserve">Morgan Stanley resets AMAT stock price target by $79 (to $563 from $642)</t>
  </si>
  <si>
    <t xml:space="preserve">A3.10</t>
  </si>
  <si>
    <t xml:space="preserve">Semicap stocks: Morgan Stanley raises WFE outlook and shifts ratings</t>
  </si>
  <si>
    <t xml:space="preserve">2026-05</t>
  </si>
  <si>
    <t xml:space="preserve">https://www.investing.com/news/stock-market-news/semicap-stocks-morgan-stanley-raises-wfe-outlook-and-shifts-ratings-4696580</t>
  </si>
  <si>
    <t xml:space="preserve">A3.11</t>
  </si>
  <si>
    <t xml:space="preserve">Applied Materials Is Priced For Perfection (Seeking Alpha)</t>
  </si>
  <si>
    <t xml:space="preserve">https://seekingalpha.com/article/4937721-applied-materials-is-priced-for-perfection</t>
  </si>
  <si>
    <t xml:space="preserve">A3.12</t>
  </si>
  <si>
    <t xml:space="preserve">Insider Sell: Gary Dickerson Sells 78,321 Shares of Applied Materials</t>
  </si>
  <si>
    <t xml:space="preserve">2026-06-30</t>
  </si>
  <si>
    <t xml:space="preserve">https://www.gurufocus.com/news/8942050/insider-sell-gary-dickerson-sells-78321-shares-of-applied-materials-inc-amat</t>
  </si>
  <si>
    <t xml:space="preserve">A3.13</t>
  </si>
  <si>
    <t xml:space="preserve">My Semiconductor WFE Equipment Forecast by Region: 2026-2028 (Castellano)</t>
  </si>
  <si>
    <t xml:space="preserve">2026-04-18</t>
  </si>
  <si>
    <t xml:space="preserve">https://drrobertcastellano.substack.com/p/my-semiconductor-wfe-equipment-forecast</t>
  </si>
  <si>
    <t xml:space="preserve">A3.14</t>
  </si>
  <si>
    <t xml:space="preserve">Lam Research Climbs 5% as Chip Equipment Names Outrun the Sector</t>
  </si>
  <si>
    <t xml:space="preserve">2026-09-18</t>
  </si>
  <si>
    <t xml:space="preserve">https://247wallst.com/investing/2026/09/18/lam-research-climbs-5-as-chip-equipment-names-outrun-the-sector-applied-materials-rises-4-kla-corp-gains-3/</t>
  </si>
  <si>
    <t xml:space="preserve">A3.15</t>
  </si>
  <si>
    <t xml:space="preserve">A3.16</t>
  </si>
  <si>
    <t xml:space="preserve">Applied Materials Stock Jumped Nearly 7% in a Chip-Equipment Rally; $5 Billion India Plan</t>
  </si>
  <si>
    <t xml:space="preserve">https://www.tikr.com/blog/applied-materials-stock-jumped-nearly-7-in-a-chip-equipment-rally-its-5-billion-india-plan-is-the-longer-story</t>
  </si>
  <si>
    <t xml:space="preserve">A3.17</t>
  </si>
  <si>
    <t xml:space="preserve">Bernstein raises WFE growth estimates, boosts price targets</t>
  </si>
  <si>
    <t xml:space="preserve">https://www.investing.com/news/stock-market-news/bernstein-raises-wfe-growth-estimates-boosts-price-targets-4851552</t>
  </si>
  <si>
    <t xml:space="preserve">A3.18</t>
  </si>
  <si>
    <t xml:space="preserve">MarketScreener AMAT consensus estimates (FY26 $13.18, FY27 $18.43 / $46.2B, FY28 $23.85 / $55.5B; avg target $638.94)</t>
  </si>
  <si>
    <t xml:space="preserve">2026-09-30</t>
  </si>
  <si>
    <t xml:space="preserve">A3.19</t>
  </si>
  <si>
    <t xml:space="preserve">Applied Materials Q3 FY2026 results, 8-K Ex. 99.1 (non-GAAP reconciliation: non-GAAP ETR 11.0%, unrealized investment gains excluded)</t>
  </si>
  <si>
    <t xml:space="preserve">https://www.sec.gov/Archives/edgar/data/6951/000162828026056699/exhibit991q32026earningsre.htm</t>
  </si>
  <si>
    <t xml:space="preserve">A3.20</t>
  </si>
  <si>
    <t xml:space="preserve">SEMI mid-year equipment forecast: WFE +21.8% 2027, +14.1% 2028 (Yahoo syndication)</t>
  </si>
  <si>
    <t xml:space="preserve">A3.21</t>
  </si>
  <si>
    <t xml:space="preserve">A3.22</t>
  </si>
  <si>
    <t xml:space="preserve">Squire Patton Boggs: BIS Issues One-Year Suspension of Affiliates Rule Expansion (rule returns Nov 10, 2026 unless BIS decides otherwise)</t>
  </si>
  <si>
    <t xml:space="preserve">https://www.squirepattonboggs.com/insights/publications/bis-issues-one-year-suspension-of-affiliates-rule-expansion/</t>
  </si>
  <si>
    <t xml:space="preserve">A3.23</t>
  </si>
  <si>
    <t xml:space="preserve">Steptoe Weekly Sanctions Update (truce / Affiliates Rule suspension reportedly extended to Jan 10, 2027; via supervisor, page 403)</t>
  </si>
  <si>
    <t xml:space="preserve">A3.24</t>
  </si>
  <si>
    <t xml:space="preserve">Micron Likely to Beat Q4 Earnings Estimates (reports Sep 30; FQ4 capex ~$10B, every FY27 quarter above it)</t>
  </si>
  <si>
    <t xml:space="preserve">A3.25</t>
  </si>
  <si>
    <t xml:space="preserve">Applied Materials Stock: Strong Fundamentals, Downgrading Ahead of Earnings (Seeking Alpha)</t>
  </si>
  <si>
    <t xml:space="preserve">https://seekingalpha.com/article/4929357-applied-materials-strong-fundamentals-downgrading-ahead-of-earnings</t>
  </si>
  <si>
    <t xml:space="preserve">A3.26</t>
  </si>
  <si>
    <t xml:space="preserve">Twelve Data AMAT daily OHLC (closing high $723.00 on 2026-06-30; Sept closing low $415.38 on 2026-09-16; via supervisor)</t>
  </si>
  <si>
    <t xml:space="preserve">https://twelvedata.com</t>
  </si>
  <si>
    <t xml:space="preserve">A4.1</t>
  </si>
  <si>
    <t xml:space="preserve">agent_4</t>
  </si>
  <si>
    <t xml:space="preserve">A4.2</t>
  </si>
  <si>
    <t xml:space="preserve">SEMI: Global Semiconductor Equipment Sales Forecast to Reach a Record $229B in 2028 (mid-year forecast)</t>
  </si>
  <si>
    <t xml:space="preserve">https://www.semiconductor-digest.com/global-semiconductor-equipment-sales-forecast-to-reach-a-record-229-billion-in-2028-semi-reports/</t>
  </si>
  <si>
    <t xml:space="preserve">A4.3</t>
  </si>
  <si>
    <t xml:space="preserve">StockAnalysis AMAT forecast (FY2027 EPS consensus $18.48, range $16.02-$21.77; targets)</t>
  </si>
  <si>
    <t xml:space="preserve">https://stockanalysis.com/stocks/amat/forecast/</t>
  </si>
  <si>
    <t xml:space="preserve">A4.4</t>
  </si>
  <si>
    <t xml:space="preserve">Revelio Labs: Applied Materials employees and job postings 2026</t>
  </si>
  <si>
    <t xml:space="preserve">https://www.reveliolabs.com/companies/applied-materials/employees</t>
  </si>
  <si>
    <t xml:space="preserve">A4.5</t>
  </si>
  <si>
    <t xml:space="preserve">404K Research Substack: SEMI-AI Semiconductor Equipment Weekly (Sep 25, 2026)</t>
  </si>
  <si>
    <t xml:space="preserve">2026-09-25</t>
  </si>
  <si>
    <t xml:space="preserve">https://404kresearch.substack.com/p/404k-semi-ai-semiconductor-equipment-9bd</t>
  </si>
  <si>
    <t xml:space="preserve">A4.6</t>
  </si>
  <si>
    <t xml:space="preserve">404K Research Substack: TSMC Q3 Earnings Preview - UBS raises 2027 capex forecast</t>
  </si>
  <si>
    <t xml:space="preserve">A4.7</t>
  </si>
  <si>
    <t xml:space="preserve">Robert Castellano Substack: Applied Materials' 2026 Narrative - A Structural Examination (WFE share ~19-20%, flat-to-down)</t>
  </si>
  <si>
    <t xml:space="preserve">2026-03-25</t>
  </si>
  <si>
    <t xml:space="preserve">https://drrobertcastellano.substack.com/p/applied-materials-2026-narrative</t>
  </si>
  <si>
    <t xml:space="preserve">A4.8</t>
  </si>
  <si>
    <t xml:space="preserve">TrendForce: SK hynix Chair dismisses HBM slowdown talk</t>
  </si>
  <si>
    <t xml:space="preserve">2026-07-13</t>
  </si>
  <si>
    <t xml:space="preserve">https://www.trendforce.com/news/2026/07/13/news-sk-hynix-chair-dismisses-hbm-slowdown-talk-reportedly-says-clients-want-memory-capacity-up-5-6x/</t>
  </si>
  <si>
    <t xml:space="preserve">A4.9</t>
  </si>
  <si>
    <t xml:space="preserve">TechPowerUp: SK Hynix slows down HBM4 ramp, shifts capacity to DDR5</t>
  </si>
  <si>
    <t xml:space="preserve">2026-07</t>
  </si>
  <si>
    <t xml:space="preserve">https://www.techpowerup.com/343802/sk-hynix-slows-down-hbm4-ramp-prepares-300-layer-nand-flash</t>
  </si>
  <si>
    <t xml:space="preserve">A4.10</t>
  </si>
  <si>
    <t xml:space="preserve">igor'sLAB: Samsung and SK hynix slowing DRAM expansion to avoid overcapacity</t>
  </si>
  <si>
    <t xml:space="preserve">https://www.igorslab.de/en/samsung-and-sk-hynix-are-slowing-down-their-dram-expansion-because-no-one-wants-to-voluntarily-contribute-to-the-next-round-of-overcapacity/</t>
  </si>
  <si>
    <t xml:space="preserve">A4.11</t>
  </si>
  <si>
    <t xml:space="preserve">TIKR: Applied Materials fell 7% in chip selloff as Michael Burry shorted it (short disclosed ~$729)</t>
  </si>
  <si>
    <t xml:space="preserve">https://www.tikr.com/blog/applied-materials-stock-fell-7-in-a-chip-selloff-as-michael-burry-shorted-it-heres-where-the-stock-could-go</t>
  </si>
  <si>
    <t xml:space="preserve">A4.12</t>
  </si>
  <si>
    <t xml:space="preserve">Seeking Alpha news: Semiconductor equipment stocks may peak in late 2026 based on past cycles - BNP (headline/snippet only; page 403)</t>
  </si>
  <si>
    <t xml:space="preserve">https://seekingalpha.com/news/4569432-semiconductor-equipment-stocks-may-peak-in-late-2026-based-on-past-cycles-bnp</t>
  </si>
  <si>
    <t xml:space="preserve">A4.13</t>
  </si>
  <si>
    <t xml:space="preserve">24/7 Wall St: Applied Materials just dropped 14% in a month</t>
  </si>
  <si>
    <t xml:space="preserve">2026-09-02</t>
  </si>
  <si>
    <t xml:space="preserve">https://247wallst.com/investing/2026/09/02/applied-materials-just-dropped-14-in-a-month-sell-now-or-buy-more/</t>
  </si>
  <si>
    <t xml:space="preserve">A4.14</t>
  </si>
  <si>
    <t xml:space="preserve">Investing.com: Why is Applied Materials stock sliding today (valuation reassessment, AI-ROI doubts)</t>
  </si>
  <si>
    <t xml:space="preserve">https://www.investing.com/news/stock-market-news/why-is-applied-materials-stock-sliding-today-93CH-4779576</t>
  </si>
  <si>
    <t xml:space="preserve">A4.15</t>
  </si>
  <si>
    <t xml:space="preserve">Moore Morris (Nomad Semi) Substack: State of the Semiconductor Cycle</t>
  </si>
  <si>
    <t xml:space="preserve">2025-04-21</t>
  </si>
  <si>
    <t xml:space="preserve">https://www.nomadsemi.com/p/state-of-the-semiconductor-cycle</t>
  </si>
  <si>
    <t xml:space="preserve">A4.16</t>
  </si>
  <si>
    <t xml:space="preserve">TipRanks: AMAT earnings dates (next est. 2026-11-12)</t>
  </si>
  <si>
    <t xml:space="preserve">https://www.tipranks.com/stocks/amat/earnings</t>
  </si>
  <si>
    <t xml:space="preserve">A4.17</t>
  </si>
  <si>
    <t xml:space="preserve">Lam Research next earnings Oct 21, 2026 (Investing.com earnings page)</t>
  </si>
  <si>
    <t xml:space="preserve">https://www.investing.com/equities/lam-research-corp-earnings</t>
  </si>
  <si>
    <t xml:space="preserve">A4.18</t>
  </si>
  <si>
    <t xml:space="preserve">FXLeaders: Applied Materials stock forecast - record results and AI chip demand</t>
  </si>
  <si>
    <t xml:space="preserve">https://www.fxleaders.com/news/2026/09/28/applied-materials-stock-forecast-record-results-and-ai-chip-demand/</t>
  </si>
  <si>
    <t xml:space="preserve">A4.19</t>
  </si>
  <si>
    <t xml:space="preserve">MarketScreener AMAT consensus estimates (FY26-FY28: FY27 EPS $18.43/rev $46.2B/FCF $10.6B; FY28 EPS $23.85/rev $55.5B/FCF $14.0B)</t>
  </si>
  <si>
    <t xml:space="preserve">A4.20</t>
  </si>
  <si>
    <t xml:space="preserve">Applied Materials Form 10-Q, quarter ended July 26, 2026 (balance sheet, investments, debt, buybacks, cash flow)</t>
  </si>
  <si>
    <t xml:space="preserve">A4.21</t>
  </si>
  <si>
    <t xml:space="preserve">Fibre2Fashion: US-China trade truce extended till January 10, 2027</t>
  </si>
  <si>
    <t xml:space="preserve">https://www.fibre2fashion.com/news/textile-news/us-china-trade-truce-extended-till-january-10-2027-313741-newsdetails.htm</t>
  </si>
  <si>
    <t xml:space="preserve">A4.22</t>
  </si>
  <si>
    <t xml:space="preserve">Skadden: BIS Suspends Affiliates Rule for One Year (through 2026-11-09)</t>
  </si>
  <si>
    <t xml:space="preserve">A4.23</t>
  </si>
  <si>
    <t xml:space="preserve">Yahoo/Zacks: Micron likely to beat Q4 earnings estimates (reports Sep 30; FY27 capex above FQ4 levels each quarter)</t>
  </si>
  <si>
    <t xml:space="preserve">A4.24</t>
  </si>
  <si>
    <t xml:space="preserve">Yahoo Finance AMAT analysis: FY27 EPS consensus range $16.02-21.77 (added by the citation gate for the range)</t>
  </si>
  <si>
    <t xml:space="preserve">2026-10-15</t>
  </si>
  <si>
    <t xml:space="preserve">A5.1</t>
  </si>
  <si>
    <t xml:space="preserve">agent_5</t>
  </si>
  <si>
    <t xml:space="preserve">Applied Materials Q3 FY2026 earnings release (8-K Ex. 99.1)</t>
  </si>
  <si>
    <t xml:space="preserve">A5.2</t>
  </si>
  <si>
    <t xml:space="preserve">Earnings call transcript: Applied Materials Q3 2026</t>
  </si>
  <si>
    <t xml:space="preserve">A5.3</t>
  </si>
  <si>
    <t xml:space="preserve">SEMI: Global semiconductor equipment sales forecast to reach a record $229B in 2028 (mid-year forecast)</t>
  </si>
  <si>
    <t xml:space="preserve">https://www.semi.org/en/semi-press-release/global-semiconductor-equipment-sales-forecast-to-reach-a-record-229-billion-dollars-in-2028-semi-reports</t>
  </si>
  <si>
    <t xml:space="preserve">A5.4</t>
  </si>
  <si>
    <t xml:space="preserve">Polymarket 35% US recession by end-2027 (search snippet; context only, not used in valuation)</t>
  </si>
  <si>
    <t xml:space="preserve">2026-09-24</t>
  </si>
  <si>
    <t xml:space="preserve">https://predictionnews.com/story/polymarket-prices-35-chance-of-u-s-recession-by-end-of-2027</t>
  </si>
  <si>
    <t xml:space="preserve">A5.5</t>
  </si>
  <si>
    <t xml:space="preserve">Yahoo Finance AMAT analysis: FY27 EPS consensus $18.48 (34 analysts)</t>
  </si>
  <si>
    <t xml:space="preserve">A5.6</t>
  </si>
  <si>
    <t xml:space="preserve">State of the Semiconductor Cycle (Nomad Semi Substack)</t>
  </si>
  <si>
    <t xml:space="preserve">A5.7</t>
  </si>
  <si>
    <t xml:space="preserve">Applied Materials stock fell 7% in a chip selloff (TIKR)</t>
  </si>
  <si>
    <t xml:space="preserve">A5.8</t>
  </si>
  <si>
    <t xml:space="preserve">GuruFocus AMAT PE Ratio (TTM) 10-year range and median</t>
  </si>
  <si>
    <t xml:space="preserve">https://www.gurufocus.com/term/pettm/AMAT</t>
  </si>
  <si>
    <t xml:space="preserve">A5.9</t>
  </si>
  <si>
    <t xml:space="preserve">GuruFocus AMAT Forward PE Ratio 25.92 (2026-09-27)</t>
  </si>
  <si>
    <t xml:space="preserve">2026-09-27</t>
  </si>
  <si>
    <t xml:space="preserve">https://www.gurufocus.com/term/forward-pe-ratio/AMAT</t>
  </si>
  <si>
    <t xml:space="preserve">A5.10</t>
  </si>
  <si>
    <t xml:space="preserve">Regions Asset Management: The Semiconductor Cycle</t>
  </si>
  <si>
    <t xml:space="preserve">n/a</t>
  </si>
  <si>
    <t xml:space="preserve">https://www.regions.com/-/media/pdfs/AssetManagement-The-Semiconductor-Cycle.pdf</t>
  </si>
  <si>
    <t xml:space="preserve">A5.11</t>
  </si>
  <si>
    <t xml:space="preserve">Steptoe Weekly Sanctions Update (Affiliates Rule suspension reportedly extended ~2 months)</t>
  </si>
  <si>
    <t xml:space="preserve">A5.12</t>
  </si>
  <si>
    <t xml:space="preserve">Skadden: BIS suspends Affiliates Rule for one year</t>
  </si>
  <si>
    <t xml:space="preserve">A5.13</t>
  </si>
  <si>
    <t xml:space="preserve">Yahoo/Zacks: Micron Q4 earnings preview (FQ4 guide, FY27 capex rising each quarter)</t>
  </si>
  <si>
    <t xml:space="preserve">A5.14</t>
  </si>
  <si>
    <t xml:space="preserve">MarketBeat AMAT earnings date (FQ4 Nov 12, 2026)</t>
  </si>
  <si>
    <t xml:space="preserve">A5.15</t>
  </si>
  <si>
    <t xml:space="preserve">MarketScreener AMAT consensus (FY27 EPS $18.43/$46.2B; FY28 $23.85/$55.5B), plus 10-Q balance-sheet facts, as fact-checked in the round-1 supervisor review [URL corrected by the citation gate 2026-10-15: MarketScreener id 4818 is Citigroup Inc.; Applied Materials is id 4850. The 4850 page shows FY27 EPS 18.43 / net sales 46,312M and FY28 EPS 23.85 / net sales 55,857M / net income 18,489M on 2026-10-15.]</t>
  </si>
  <si>
    <t xml:space="preserve">A5.16</t>
  </si>
  <si>
    <t xml:space="preserve">Digitimes: SEMI lifts 2028 wafer fab equipment forecast to US$220 billion</t>
  </si>
  <si>
    <t xml:space="preserve">2026-09-01</t>
  </si>
  <si>
    <t xml:space="preserve">https://www.digitimes.com/news/a20260901VL214/semicon-taiwan-wafer-fab-equipment-forecast-semi.html</t>
  </si>
  <si>
    <t xml:space="preserve">A5.17</t>
  </si>
  <si>
    <t xml:space="preserve">FullRatio AMAT PE ratio history (5y/10y averages)</t>
  </si>
  <si>
    <t xml:space="preserve">https://fullratio.com/stocks/nasdaq-amat/pe-ratio</t>
  </si>
  <si>
    <t xml:space="preserve">S.1</t>
  </si>
  <si>
    <t xml:space="preserve">supervisor</t>
  </si>
  <si>
    <t xml:space="preserve">S.2</t>
  </si>
  <si>
    <t xml:space="preserve">SEMI mid-year equipment forecast, Yahoo Finance syndication of the SEMI release (WFE +23.1% to $143.9B in 2026, +21.8% in 2027, +14.1% in 2028 to ~$200B); the semi.org page returned HTTP 403</t>
  </si>
  <si>
    <t xml:space="preserve">S.3</t>
  </si>
  <si>
    <t xml:space="preserve">NBC News: U.S. and China agree to extend trade truce through Jan. 10, Bessent says</t>
  </si>
  <si>
    <t xml:space="preserve">2026-09-23</t>
  </si>
  <si>
    <t xml:space="preserve">https://www.nbcnews.com/business/economy/us-china-extend-trade-truce-trump-rcna599525</t>
  </si>
  <si>
    <t xml:space="preserve">S.4</t>
  </si>
  <si>
    <t xml:space="preserve">Yahoo Finance: US, China to extend trade war truce by 2 months</t>
  </si>
  <si>
    <t xml:space="preserve">https://finance.yahoo.com/economy/policy/articles/us-china-extend-trade-war-145500229.html</t>
  </si>
  <si>
    <t xml:space="preserve">S.5</t>
  </si>
  <si>
    <t xml:space="preserve">MarketBeat: MU Q4 2026 earnings report 9/30/2026 (actuals pending)</t>
  </si>
  <si>
    <t xml:space="preserve">https://www.marketbeat.com/earnings/reports/2026-9-30-micron-technology-inc-stock/</t>
  </si>
  <si>
    <t xml:space="preserve">S.6</t>
  </si>
  <si>
    <t xml:space="preserve">Micron to report fiscal fourth quarter results on September 30, 2026</t>
  </si>
  <si>
    <t xml:space="preserve">2026-08-26</t>
  </si>
  <si>
    <t xml:space="preserve">https://www.globenewswire.com/news-release/2026/08/26/3351673/14450/en/micron-technology-to-report-fiscal-fourth-quarter-results-on-september-30-2026.html</t>
  </si>
  <si>
    <t xml:space="preserve">S.7</t>
  </si>
  <si>
    <t xml:space="preserve">Twelve Data AMAT quote (Sep 30 intraday ~$509.46; prev close $512.01); daily closes Jun 30 $723.00, Sep 16 $415.38 (Twelve Data time series)</t>
  </si>
  <si>
    <t xml:space="preserve">S.8</t>
  </si>
  <si>
    <t xml:space="preserve">MarketScreener AMAT finances, id 4850 (FY27 EPS $18.43, FY28 $23.85; net sales 46,312M / 55,857M on 2026-10-15)</t>
  </si>
  <si>
    <t xml:space="preserve">S.9</t>
  </si>
  <si>
    <t xml:space="preserve">Applied Materials Form 10-Q, quarter ended July 26, 2026 (balance sheet: cash 7,037, ST inv 2,196, LT inv 5,268, ST debt 1,299, LT debt 5,245; equity investments 2,421; 793,597,443 shares)</t>
  </si>
  <si>
    <t xml:space="preserve">2026-08-20</t>
  </si>
  <si>
    <t xml:space="preserve">S.10</t>
  </si>
  <si>
    <t xml:space="preserve">Applied Materials Q3 FY2026 results, 8-K Ex. 99.1 (China 28%; FCF; Q4 FY26 outlook)</t>
  </si>
  <si>
    <t xml:space="preserve">S.11</t>
  </si>
  <si>
    <t xml:space="preserve">Applied Materials 8-K, Item 2.02, Nov 13, 2025 (FQ4 FY25 results date, basis for 'mid-November')</t>
  </si>
  <si>
    <t xml:space="preserve">2025-11-13</t>
  </si>
  <si>
    <t xml:space="preserve">https://www.sec.gov/Archives/edgar/data/6951/000162828025051998/amat-20251113.htm</t>
  </si>
  <si>
    <t xml:space="preserve">S.12</t>
  </si>
  <si>
    <t xml:space="preserve">Nasdaq.com analyst earnings forecast (Zacks consensus EPS), LRCX: FY ending 2027-06-30 $9.48 (15 est.), FY ending 2028-06-30 $11.52 (10 est.); snapshot data/estimates/LRCX.json retrieved 2026-10-26</t>
  </si>
  <si>
    <t xml:space="preserve">2026-10-26</t>
  </si>
  <si>
    <t xml:space="preserve">https://api.nasdaq.com/api/analyst/LRCX/earnings-forecast</t>
  </si>
  <si>
    <t xml:space="preserve">S.13</t>
  </si>
  <si>
    <t xml:space="preserve">Yahoo Finance chart feed LRCX: close 2026-10-23 230.1 USD</t>
  </si>
  <si>
    <t xml:space="preserve">https://query1.finance.yahoo.com/v8/finance/chart/LRCX?range=1mo&amp;interval=1d</t>
  </si>
  <si>
    <t xml:space="preserve">S.14</t>
  </si>
  <si>
    <t xml:space="preserve">Nasdaq.com earnings surprise (Zacks actual EPS by quarter), LRCX</t>
  </si>
  <si>
    <t xml:space="preserve">https://api.nasdaq.com/api/company/LRCX/earnings-surprise</t>
  </si>
  <si>
    <t xml:space="preserve">S.15</t>
  </si>
  <si>
    <t xml:space="preserve">Lam Research Q1 FY27 results, 8-K Ex. 99.1 (2026-10-21): GAAP 2.19 / non-GAAP 2.20 diluted EPS and reconciliation</t>
  </si>
  <si>
    <t xml:space="preserve">https://www.sec.gov/Archives/edgar/data/707549/000070754926000052/lrcx_exhibitx991xq1x2027.htm</t>
  </si>
  <si>
    <t xml:space="preserve">S.16</t>
  </si>
  <si>
    <t xml:space="preserve">Nasdaq.com analyst earnings forecast (Zacks consensus EPS), KLAC: FY ending 2027-06-30 $5.43 (10 est.), FY ending 2028-06-30 $6.63 (8 est.); snapshot data/estimates/KLAC.json retrieved 2026-10-26</t>
  </si>
  <si>
    <t xml:space="preserve">https://api.nasdaq.com/api/analyst/KLAC/earnings-forecast</t>
  </si>
  <si>
    <t xml:space="preserve">S.17</t>
  </si>
  <si>
    <t xml:space="preserve">Yahoo Finance chart feed KLAC: close 2026-10-23 145.61 USD</t>
  </si>
  <si>
    <t xml:space="preserve">https://query1.finance.yahoo.com/v8/finance/chart/KLAC?range=1mo&amp;interval=1d</t>
  </si>
  <si>
    <t xml:space="preserve">S.18</t>
  </si>
  <si>
    <t xml:space="preserve">Nasdaq.com earnings surprise (Zacks actual EPS by quarter), KLAC</t>
  </si>
  <si>
    <t xml:space="preserve">https://api.nasdaq.com/api/company/KLAC/earnings-surprise</t>
  </si>
  <si>
    <t xml:space="preserve">S.19</t>
  </si>
  <si>
    <t xml:space="preserve">KLA Q4 FY26 results, 8-K Ex. 99.1 (2026-07-28): GAAP 1.04 / non-GAAP 1.05 diluted EPS and reconciliation</t>
  </si>
  <si>
    <t xml:space="preserve">https://www.sec.gov/Archives/edgar/data/319201/000031920126000024/exhibit991earningsrelease7.htm</t>
  </si>
  <si>
    <t xml:space="preserve">S.20</t>
  </si>
  <si>
    <t xml:space="preserve">Nasdaq.com analyst earnings forecast (Zacks consensus EPS), ASML: FY ending 2026-12-31 $46.03 (7 est.), FY ending 2027-12-31 $61.98 (7 est.); snapshot data/estimates/ASML.json retrieved 2026-10-26</t>
  </si>
  <si>
    <t xml:space="preserve">https://api.nasdaq.com/api/analyst/ASML/earnings-forecast</t>
  </si>
  <si>
    <t xml:space="preserve">S.21</t>
  </si>
  <si>
    <t xml:space="preserve">Yahoo Finance chart feed ASML: close 2026-10-23 1,571.8 USD</t>
  </si>
  <si>
    <t xml:space="preserve">https://query1.finance.yahoo.com/v8/finance/chart/ASML?range=1mo&amp;interval=1d</t>
  </si>
  <si>
    <t xml:space="preserve">S.22</t>
  </si>
  <si>
    <t xml:space="preserve">Nasdaq.com earnings surprise (Zacks actual EPS by quarter), ASML</t>
  </si>
  <si>
    <t xml:space="preserve">https://api.nasdaq.com/api/company/ASML/earnings-surprise</t>
  </si>
  <si>
    <t xml:space="preserve">S.23</t>
  </si>
  <si>
    <t xml:space="preserve">ASML Q3 2026 results press release, 6-K (2026-10-14): net income EUR 4,960M, basic EPS EUR 12.95, US GAAP</t>
  </si>
  <si>
    <t xml:space="preserve">https://www.sec.gov/Archives/edgar/data/937966/000162828026065813/pressreleasefinancialresul.htm</t>
  </si>
  <si>
    <t xml:space="preserve">S.24</t>
  </si>
  <si>
    <t xml:space="preserve">Nasdaq.com analyst earnings forecast (Zacks consensus EPS), ONTO: FY ending 2026-12-31 $8.04 (6 est.), FY ending 2027-12-31 $11.72 (7 est.); snapshot data/estimates/ONTO.json retrieved 2026-10-26</t>
  </si>
  <si>
    <t xml:space="preserve">https://api.nasdaq.com/api/analyst/ONTO/earnings-forecast</t>
  </si>
  <si>
    <t xml:space="preserve">S.25</t>
  </si>
  <si>
    <t xml:space="preserve">Yahoo Finance chart feed ONTO: close 2026-10-23 198.68 USD</t>
  </si>
  <si>
    <t xml:space="preserve">https://query1.finance.yahoo.com/v8/finance/chart/ONTO?range=1mo&amp;interval=1d</t>
  </si>
  <si>
    <t xml:space="preserve">S.26</t>
  </si>
  <si>
    <t xml:space="preserve">Nasdaq.com earnings surprise (Zacks actual EPS by quarter), ONTO</t>
  </si>
  <si>
    <t xml:space="preserve">https://api.nasdaq.com/api/company/ONTO/earnings-surprise</t>
  </si>
  <si>
    <t xml:space="preserve">S.27</t>
  </si>
  <si>
    <t xml:space="preserve">Onto Innovation Q2 2026 results, 8-K Ex. 99.1 (2026-08-06): GAAP 1.21 / non-GAAP 1.93 and reconciliation</t>
  </si>
  <si>
    <t xml:space="preserve">https://www.sec.gov/Archives/edgar/data/704532/000119312526337990/onto-ex99_1.htm</t>
  </si>
  <si>
    <t xml:space="preserve">S.28</t>
  </si>
  <si>
    <t xml:space="preserve">Nasdaq.com analyst earnings forecast (Zacks consensus EPS), NVMI: FY ending 2026-12-31 $9.89 (3 est.), FY ending 2027-12-31 $12.76 (3 est.); snapshot data/estimates/NVMI.json retrieved 2026-10-26</t>
  </si>
  <si>
    <t xml:space="preserve">https://api.nasdaq.com/api/analyst/NVMI/earnings-forecast</t>
  </si>
  <si>
    <t xml:space="preserve">S.29</t>
  </si>
  <si>
    <t xml:space="preserve">Yahoo Finance chart feed NVMI: close 2026-10-23 311.35 USD</t>
  </si>
  <si>
    <t xml:space="preserve">https://query1.finance.yahoo.com/v8/finance/chart/NVMI?range=1mo&amp;interval=1d</t>
  </si>
  <si>
    <t xml:space="preserve">S.30</t>
  </si>
  <si>
    <t xml:space="preserve">Nasdaq.com earnings surprise (Zacks actual EPS by quarter), NVMI</t>
  </si>
  <si>
    <t xml:space="preserve">https://api.nasdaq.com/api/company/NVMI/earnings-surprise</t>
  </si>
  <si>
    <t xml:space="preserve">S.31</t>
  </si>
  <si>
    <t xml:space="preserve">Nova Q2 2026 results, 6-K (2026-08-06): GAAP 2.20 / non-GAAP 2.51 diluted EPS (Q1 2.04 / 2.33) and reconciliation incl. stock comp 6,764 / 7,305</t>
  </si>
  <si>
    <t xml:space="preserve">https://www.sec.gov/Archives/edgar/data/1109345/000117891326003892/zk2635873.htm</t>
  </si>
  <si>
    <t xml:space="preserve">S.32</t>
  </si>
  <si>
    <t xml:space="preserve">MarketScreener Tokyo Electron finances page: EPS (JPY) FY ending 2027-03-31 344.9, FY ending 2028-03-31 491.9 (estimates); consensus section last close 9,458.0</t>
  </si>
  <si>
    <t xml:space="preserve">https://www.marketscreener.com/quote/stock/TOKYO-ELECTRON-LIMITED-6491071/finances/</t>
  </si>
  <si>
    <t xml:space="preserve">S.33</t>
  </si>
  <si>
    <t xml:space="preserve">Yahoo Finance chart feed 8035.T: close 2026-10-23 9,458.0 JPY</t>
  </si>
  <si>
    <t xml:space="preserve">https://query1.finance.yahoo.com/v8/finance/chart/8035.T?range=1mo&amp;interval=1d</t>
  </si>
  <si>
    <t xml:space="preserve">S.34</t>
  </si>
  <si>
    <t xml:space="preserve">envalith Tokyo Electron FY3/26 results (net income JPY 574,454M, EPS JPY 1,254.57; release 2026-04-30)</t>
  </si>
  <si>
    <t xml:space="preserve">https://envalith.com/en/companies/8035/segments</t>
  </si>
  <si>
    <t xml:space="preserve">S.35</t>
  </si>
  <si>
    <t xml:space="preserve">MarketScreener ASM International finances page: EPS (EUR) FY ending 2026-12-31 23.27, FY ending 2027-12-31 32.35 (estimates); consensus section last close 699.8</t>
  </si>
  <si>
    <t xml:space="preserve">https://www.marketscreener.com/quote/stock/ASM-INTERNATIONAL-N-V-6312/finances/</t>
  </si>
  <si>
    <t xml:space="preserve">S.36</t>
  </si>
  <si>
    <t xml:space="preserve">Yahoo Finance chart feed ASM.AS: close 2026-10-23 699.8 EUR</t>
  </si>
  <si>
    <t xml:space="preserve">https://query1.finance.yahoo.com/v8/finance/chart/ASM.AS?range=1mo&amp;interval=1d</t>
  </si>
  <si>
    <t xml:space="preserve">S.37</t>
  </si>
  <si>
    <t xml:space="preserve">ASM reports second quarter 2026 results (2026-07-28): net earnings 285.4 / adjusted 292.9; Q1 238.5 / 246.0 (EUR M); Annex 3 (attached PDF): adjustment items and ASM's estimates of their net impact, EUR 26.8M 2026, 21.7M 2027</t>
  </si>
  <si>
    <t xml:space="preserve">https://www.investegate.co.uk/announcement/gnw/asm-international-nv--0nx3/asm-reports-second-quarter-2026-results/9692080</t>
  </si>
  <si>
    <t xml:space="preserve">S.38</t>
  </si>
  <si>
    <t xml:space="preserve">ASM reports Q4 and full-year 2025 results: Q4 166.1 / 169.6, Q3 384.1 / 206.2 (EUR M; ASMPT reversal)</t>
  </si>
  <si>
    <t xml:space="preserve">https://www.investegate.co.uk/announcement/gnw/asm-international-nv--0nx3/asm-reports-q4-and-full-year-2025-results/9456685</t>
  </si>
  <si>
    <t xml:space="preserve">S.39</t>
  </si>
  <si>
    <t xml:space="preserve">MarketScreener Kokusai Electric finances page: EPS (JPY) FY ending 2027-03-31 250.2, FY ending 2028-03-31 372.5 (estimates); consensus section last close 6,822.0</t>
  </si>
  <si>
    <t xml:space="preserve">https://www.marketscreener.com/quote/stock/KOKUSAI-ELECTRIC-CORPORAT-159798680/finances/</t>
  </si>
  <si>
    <t xml:space="preserve">S.40</t>
  </si>
  <si>
    <t xml:space="preserve">Yahoo Finance chart feed 6525.T: close 2026-10-23 6,822.0 JPY</t>
  </si>
  <si>
    <t xml:space="preserve">https://query1.finance.yahoo.com/v8/finance/chart/6525.T?range=1mo&amp;interval=1d</t>
  </si>
  <si>
    <t xml:space="preserve">S.41</t>
  </si>
  <si>
    <t xml:space="preserve">Kokusai Electric, Financial Briefings Q1 FY3/2027 (2026-08-06), Reconciliation of Adjusted Items p.32</t>
  </si>
  <si>
    <t xml:space="preserve">https://www2.infomart.co.jp/web/jp/images/upload/3795/140120260806511537_23726915.pdf</t>
  </si>
  <si>
    <t xml:space="preserve">S.42</t>
  </si>
  <si>
    <t xml:space="preserve">Stockopedia: Kokusai Electric 2025/26 group results (IFRS), basic EPS JPY 129.00</t>
  </si>
  <si>
    <t xml:space="preserve">https://www.stockopedia.com/share-prices/kokusai-electric-TYO:6525/news/table-kokusai-electric-2025-26-group-results-ifrs-019e6a25-648d-7e18-9c35-7e98cd0e64a0/</t>
  </si>
  <si>
    <t xml:space="preserve">S.43</t>
  </si>
  <si>
    <t xml:space="preserve">MarketScreener SCREEN Holdings finances page: EPS (JPY) FY ending 2027-03-31 626.8, FY ending 2028-03-31 837.5 (estimates); consensus section last close 11,630.0</t>
  </si>
  <si>
    <t xml:space="preserve">https://www.marketscreener.com/quote/stock/SCREEN-HOLDINGS-CO-LTD-6491440/finances/</t>
  </si>
  <si>
    <t xml:space="preserve">S.44</t>
  </si>
  <si>
    <t xml:space="preserve">Yahoo Finance chart feed 7735.T: close 2026-10-23 11,630.0 JPY</t>
  </si>
  <si>
    <t xml:space="preserve">https://query1.finance.yahoo.com/v8/finance/chart/7735.T?range=1mo&amp;interval=1d</t>
  </si>
  <si>
    <t xml:space="preserve">S.45</t>
  </si>
  <si>
    <t xml:space="preserve">stockanalysis SCREEN Holdings income statement: FY3/26 net income 92,003M, basic EPS 486.62 on 189M shares</t>
  </si>
  <si>
    <t xml:space="preserve">https://stockanalysis.com/quote/tyo/7735/financials/income-statement/</t>
  </si>
  <si>
    <t xml:space="preserve">S.46</t>
  </si>
  <si>
    <t xml:space="preserve">MarketScreener Lasertec finances page: EPS (JPY) FY ending 2027-06-30 1118.0, FY ending 2028-06-30 1509.0 (estimates); consensus section last close 38,040.0</t>
  </si>
  <si>
    <t xml:space="preserve">https://www.marketscreener.com/quote/stock/LASERTEC-CORPORATION-11551536/finances/</t>
  </si>
  <si>
    <t xml:space="preserve">S.47</t>
  </si>
  <si>
    <t xml:space="preserve">Yahoo Finance chart feed 6920.T: close 2026-10-23 38,040.0 JPY</t>
  </si>
  <si>
    <t xml:space="preserve">https://query1.finance.yahoo.com/v8/finance/chart/6920.T?range=1mo&amp;interval=1d</t>
  </si>
  <si>
    <t xml:space="preserve">S.48</t>
  </si>
  <si>
    <t xml:space="preserve">Simply Wall St Lasertec: EPS 863.76 for the year to 2026-06-30</t>
  </si>
  <si>
    <t xml:space="preserve">https://simplywall.st/stocks/mx/semiconductors/bmv-6920-n/lasertec-shares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</si>
</sst>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0000006951/000162828026056699/exhibit991q32026earningsre.htm" TargetMode="External"/><Relationship Id="rId2" Type="http://schemas.openxmlformats.org/officeDocument/2006/relationships/hyperlink" Target="https://www.sec.gov/Archives/edgar/data/6951/000162828026058235/amat-20260726.htm" TargetMode="External"/><Relationship Id="rId3" Type="http://schemas.openxmlformats.org/officeDocument/2006/relationships/hyperlink" Target="https://www.sec.gov/Archives/edgar/data/0000006951/000162828026035071/exhibit991q22026earningsre.htm" TargetMode="External"/><Relationship Id="rId4" Type="http://schemas.openxmlformats.org/officeDocument/2006/relationships/hyperlink" Target="https://www.sec.gov/Archives/edgar/data/6951/000162828026007661/exhibit991q12026earningsre.htm" TargetMode="External"/><Relationship Id="rId5" Type="http://schemas.openxmlformats.org/officeDocument/2006/relationships/hyperlink" Target="https://www.investing.com/news/transcripts/earnings-call-transcript-applied-materials-beats-q3-2026-estimates-shares-fall-93CH-4859444" TargetMode="External"/><Relationship Id="rId6" Type="http://schemas.openxmlformats.org/officeDocument/2006/relationships/hyperlink" Target="https://in.investing.com/news/stock-market-news/applied-materials-at-goldman-sachs-conference-ai-demand-lifts-outlook-93CH-5587316" TargetMode="External"/><Relationship Id="rId7" Type="http://schemas.openxmlformats.org/officeDocument/2006/relationships/hyperlink" Target="https://ir.appliedmaterials.com/news-releases/news-release-details/applied-materials-participate-upcoming-investor-conferences-15" TargetMode="External"/><Relationship Id="rId8" Type="http://schemas.openxmlformats.org/officeDocument/2006/relationships/hyperlink" Target="https://www.trefis.com/stock/amat/articles/615391/applied-materials-stock-already-fell-without-a-shock-so-what-would-a-real-one-do/2026-09-15" TargetMode="External"/><Relationship Id="rId9" Type="http://schemas.openxmlformats.org/officeDocument/2006/relationships/hyperlink" Target="https://www.marketscreener.com/quote/stock/APPLIED-MATERIALS-INC-216012215/consensus/" TargetMode="External"/><Relationship Id="rId10" Type="http://schemas.openxmlformats.org/officeDocument/2006/relationships/hyperlink" Target="https://www.gurufocus.com/news/9099895/morgan-stanley-lowers-amat-price-target-amid-mixed-outlook-despite-raised-2027-revenue-forecast" TargetMode="External"/><Relationship Id="rId11" Type="http://schemas.openxmlformats.org/officeDocument/2006/relationships/hyperlink" Target="https://www.marketbeat.com/stocks/NASDAQ/AMAT/earnings/" TargetMode="External"/><Relationship Id="rId12" Type="http://schemas.openxmlformats.org/officeDocument/2006/relationships/hyperlink" Target="https://www.marketscreener.com/quote/stock/APPLIED-MATERIALS-INC-4850/finances/" TargetMode="External"/><Relationship Id="rId13" Type="http://schemas.openxmlformats.org/officeDocument/2006/relationships/hyperlink" Target="https://finance.yahoo.com/technology/articles/global-semiconductor-equipment-sales-forecast-140000150.html" TargetMode="External"/><Relationship Id="rId14" Type="http://schemas.openxmlformats.org/officeDocument/2006/relationships/hyperlink" Target="https://www.federalregister.gov/documents/2025/11/12/2025-19846/one-year-suspension-of-expansion-of-end-user-controls-for-affiliates-of-certain-listed-entities" TargetMode="External"/><Relationship Id="rId15" Type="http://schemas.openxmlformats.org/officeDocument/2006/relationships/hyperlink" Target="https://www.steptoe.com/en/news-publications/international-compliance-blog/weekly-sanctions-update-september-28-2026.html" TargetMode="External"/><Relationship Id="rId16" Type="http://schemas.openxmlformats.org/officeDocument/2006/relationships/hyperlink" Target="https://www.investing.com/news/transcripts/earnings-call-transcript-micron-tops-q3-2026-estimates-shares-jump-146-93CH-4759504" TargetMode="External"/><Relationship Id="rId17" Type="http://schemas.openxmlformats.org/officeDocument/2006/relationships/hyperlink" Target="https://www.sec.gov/Archives/edgar/data/0000006951/000162828026056699/exhibit991q32026earningsre.htm" TargetMode="External"/><Relationship Id="rId18" Type="http://schemas.openxmlformats.org/officeDocument/2006/relationships/hyperlink" Target="https://www.investing.com/news/transcripts/earnings-call-transcript-applied-materials-beats-q3-2026-estimates-shares-fall-93CH-4859444" TargetMode="External"/><Relationship Id="rId19" Type="http://schemas.openxmlformats.org/officeDocument/2006/relationships/hyperlink" Target="https://finance.yahoo.com/technology/articles/global-semiconductor-equipment-sales-forecast-140000150.html" TargetMode="External"/><Relationship Id="rId20" Type="http://schemas.openxmlformats.org/officeDocument/2006/relationships/hyperlink" Target="https://www.thestreet.com/investing/stocks/amat-applied-materials-inc-stock-price-target-morgan-stanley-september-2026" TargetMode="External"/><Relationship Id="rId21" Type="http://schemas.openxmlformats.org/officeDocument/2006/relationships/hyperlink" Target="https://www.fool.com/investing/2026/09/29/better-semiconductor-equipment-stock-applied-mater/" TargetMode="External"/><Relationship Id="rId22" Type="http://schemas.openxmlformats.org/officeDocument/2006/relationships/hyperlink" Target="https://www.tikr.com/blog/what-lam-research-q4-earnings-call-reveals-about-the-2027-setup" TargetMode="External"/><Relationship Id="rId23" Type="http://schemas.openxmlformats.org/officeDocument/2006/relationships/hyperlink" Target="https://www.semi.org/en/semi-press-release/semi-projects-double-digit-growth-in-global-300mm-fab-equipment-spending-for-2026-and-2027" TargetMode="External"/><Relationship Id="rId24" Type="http://schemas.openxmlformats.org/officeDocument/2006/relationships/hyperlink" Target="https://www.trendforce.com/news/2026/07/16/news-tsmc-lifts-2026-capex-15-to-60-64b-hikes-sales-outlook-to-over-40-despite-q3-margin-dip/" TargetMode="External"/><Relationship Id="rId25" Type="http://schemas.openxmlformats.org/officeDocument/2006/relationships/hyperlink" Target="https://404kresearch.substack.com/p/tsmc-q3-earnings-preview-ubs-raises" TargetMode="External"/><Relationship Id="rId26" Type="http://schemas.openxmlformats.org/officeDocument/2006/relationships/hyperlink" Target="https://finance.yahoo.com/markets/stocks/articles/micron-likely-beat-q4-earnings-112000154.html" TargetMode="External"/><Relationship Id="rId27" Type="http://schemas.openxmlformats.org/officeDocument/2006/relationships/hyperlink" Target="https://seekingalpha.com/news/4625688-samsung-sk-hynix-micron-sell-out-2027-memory-chip-supply-report" TargetMode="External"/><Relationship Id="rId28" Type="http://schemas.openxmlformats.org/officeDocument/2006/relationships/hyperlink" Target="https://www.trendforce.com/presscenter/news/20260709-13140.html" TargetMode="External"/><Relationship Id="rId29" Type="http://schemas.openxmlformats.org/officeDocument/2006/relationships/hyperlink" Target="https://www.cnbc.com/2026/08/07/sk-hynix-memory-chips-ai-prices.html" TargetMode="External"/><Relationship Id="rId30" Type="http://schemas.openxmlformats.org/officeDocument/2006/relationships/hyperlink" Target="https://247wallst.com/investing/2026/08/19/applied-materials-falls-4-lam-research-and-teradyne-sink-5-whats-prompting-the-selloff-in-chip-equipment-stocks/" TargetMode="External"/><Relationship Id="rId31" Type="http://schemas.openxmlformats.org/officeDocument/2006/relationships/hyperlink" Target="https://finance.yahoo.com/technology/articles/asml-u-chip-stocks-sink-135434031.html" TargetMode="External"/><Relationship Id="rId32" Type="http://schemas.openxmlformats.org/officeDocument/2006/relationships/hyperlink" Target="https://www.tikr.com/blog/lam-research-fell-9-today-why-2026-upside-may-be-limited" TargetMode="External"/><Relationship Id="rId33" Type="http://schemas.openxmlformats.org/officeDocument/2006/relationships/hyperlink" Target="https://www.marketscreener.com/quote/stock/APPLIED-MATERIALS-INC-4850/finances/" TargetMode="External"/><Relationship Id="rId34" Type="http://schemas.openxmlformats.org/officeDocument/2006/relationships/hyperlink" Target="https://www.sec.gov/Archives/edgar/data/6951/000162828026058235/amat-20260726.htm" TargetMode="External"/><Relationship Id="rId35" Type="http://schemas.openxmlformats.org/officeDocument/2006/relationships/hyperlink" Target="https://www.federalregister.gov/documents/2025/11/12/2025-19846/one-year-suspension-of-expansion-of-end-user-controls-for-affiliates-of-certain-listed-entities" TargetMode="External"/><Relationship Id="rId36" Type="http://schemas.openxmlformats.org/officeDocument/2006/relationships/hyperlink" Target="https://www.skadden.com/insights/publications/2025/11/bis-suspends-affiliates-rule-for-one-year-as-part-of-the-us-china-trade-deal" TargetMode="External"/><Relationship Id="rId37" Type="http://schemas.openxmlformats.org/officeDocument/2006/relationships/hyperlink" Target="https://www.steptoe.com/en/news-publications/international-compliance-blog/weekly-sanctions-update-september-28-2026.html" TargetMode="External"/><Relationship Id="rId38" Type="http://schemas.openxmlformats.org/officeDocument/2006/relationships/hyperlink" Target="https://www.investing.com/news/transcripts/earnings-call-transcript-applied-materials-beats-q3-2026-estimates-shares-fall-93CH-4859444" TargetMode="External"/><Relationship Id="rId39" Type="http://schemas.openxmlformats.org/officeDocument/2006/relationships/hyperlink" Target="https://www.sec.gov/Archives/edgar/data/6951/000162828026058235/amat-20260726.htm" TargetMode="External"/><Relationship Id="rId40" Type="http://schemas.openxmlformats.org/officeDocument/2006/relationships/hyperlink" Target="https://www.tipranks.com/news/catalyst/applied-materials-sinks-after-downgrade-and-insider-selling" TargetMode="External"/><Relationship Id="rId41" Type="http://schemas.openxmlformats.org/officeDocument/2006/relationships/hyperlink" Target="https://www.marketbeat.com/instant-alerts/applied-materials-nasdaqamat-stock-price-down-23-following-analyst-downgrade-2026-08-05/" TargetMode="External"/><Relationship Id="rId42" Type="http://schemas.openxmlformats.org/officeDocument/2006/relationships/hyperlink" Target="https://www.arnoldporter.com/en/perspectives/advisories/2026/03/bis-announces-252-5-million-settlement-with-applied-materials-over-alleged" TargetMode="External"/><Relationship Id="rId43" Type="http://schemas.openxmlformats.org/officeDocument/2006/relationships/hyperlink" Target="https://finance.yahoo.com/markets/stocks/articles/applied-materials-stock-already-fell-194001969.html" TargetMode="External"/><Relationship Id="rId44" Type="http://schemas.openxmlformats.org/officeDocument/2006/relationships/hyperlink" Target="https://finance.yahoo.com/markets/stocks/articles/applied-materials-shares-fall-5-120443049.html" TargetMode="External"/><Relationship Id="rId45" Type="http://schemas.openxmlformats.org/officeDocument/2006/relationships/hyperlink" Target="https://finance.yahoo.com/quote/AMAT/analysis/" TargetMode="External"/><Relationship Id="rId46" Type="http://schemas.openxmlformats.org/officeDocument/2006/relationships/hyperlink" Target="https://www.thestreet.com/investing/stocks/amat-applied-materials-inc-stock-price-target-morgan-stanley-september-2026" TargetMode="External"/><Relationship Id="rId47" Type="http://schemas.openxmlformats.org/officeDocument/2006/relationships/hyperlink" Target="https://www.investing.com/news/stock-market-news/semicap-stocks-morgan-stanley-raises-wfe-outlook-and-shifts-ratings-4696580" TargetMode="External"/><Relationship Id="rId48" Type="http://schemas.openxmlformats.org/officeDocument/2006/relationships/hyperlink" Target="https://seekingalpha.com/article/4937721-applied-materials-is-priced-for-perfection" TargetMode="External"/><Relationship Id="rId49" Type="http://schemas.openxmlformats.org/officeDocument/2006/relationships/hyperlink" Target="https://www.gurufocus.com/news/8942050/insider-sell-gary-dickerson-sells-78321-shares-of-applied-materials-inc-amat" TargetMode="External"/><Relationship Id="rId50" Type="http://schemas.openxmlformats.org/officeDocument/2006/relationships/hyperlink" Target="https://drrobertcastellano.substack.com/p/my-semiconductor-wfe-equipment-forecast" TargetMode="External"/><Relationship Id="rId51" Type="http://schemas.openxmlformats.org/officeDocument/2006/relationships/hyperlink" Target="https://247wallst.com/investing/2026/09/18/lam-research-climbs-5-as-chip-equipment-names-outrun-the-sector-applied-materials-rises-4-kla-corp-gains-3/" TargetMode="External"/><Relationship Id="rId52" Type="http://schemas.openxmlformats.org/officeDocument/2006/relationships/hyperlink" Target="https://www.fool.com/investing/2026/09/29/better-semiconductor-equipment-stock-applied-mater/" TargetMode="External"/><Relationship Id="rId53" Type="http://schemas.openxmlformats.org/officeDocument/2006/relationships/hyperlink" Target="https://www.tikr.com/blog/applied-materials-stock-jumped-nearly-7-in-a-chip-equipment-rally-its-5-billion-india-plan-is-the-longer-story" TargetMode="External"/><Relationship Id="rId54" Type="http://schemas.openxmlformats.org/officeDocument/2006/relationships/hyperlink" Target="https://www.investing.com/news/stock-market-news/bernstein-raises-wfe-growth-estimates-boosts-price-targets-4851552" TargetMode="External"/><Relationship Id="rId55" Type="http://schemas.openxmlformats.org/officeDocument/2006/relationships/hyperlink" Target="https://www.marketscreener.com/quote/stock/APPLIED-MATERIALS-INC-4850/finances/" TargetMode="External"/><Relationship Id="rId56" Type="http://schemas.openxmlformats.org/officeDocument/2006/relationships/hyperlink" Target="https://www.sec.gov/Archives/edgar/data/6951/000162828026056699/exhibit991q32026earningsre.htm" TargetMode="External"/><Relationship Id="rId57" Type="http://schemas.openxmlformats.org/officeDocument/2006/relationships/hyperlink" Target="https://finance.yahoo.com/technology/articles/global-semiconductor-equipment-sales-forecast-140000150.html" TargetMode="External"/><Relationship Id="rId58" Type="http://schemas.openxmlformats.org/officeDocument/2006/relationships/hyperlink" Target="https://www.federalregister.gov/documents/2025/11/12/2025-19846/one-year-suspension-of-expansion-of-end-user-controls-for-affiliates-of-certain-listed-entities" TargetMode="External"/><Relationship Id="rId59" Type="http://schemas.openxmlformats.org/officeDocument/2006/relationships/hyperlink" Target="https://www.squirepattonboggs.com/insights/publications/bis-issues-one-year-suspension-of-affiliates-rule-expansion/" TargetMode="External"/><Relationship Id="rId60" Type="http://schemas.openxmlformats.org/officeDocument/2006/relationships/hyperlink" Target="https://www.steptoe.com/en/news-publications/international-compliance-blog/weekly-sanctions-update-september-28-2026.html" TargetMode="External"/><Relationship Id="rId61" Type="http://schemas.openxmlformats.org/officeDocument/2006/relationships/hyperlink" Target="https://finance.yahoo.com/markets/stocks/articles/micron-likely-beat-q4-earnings-112000154.html" TargetMode="External"/><Relationship Id="rId62" Type="http://schemas.openxmlformats.org/officeDocument/2006/relationships/hyperlink" Target="https://seekingalpha.com/article/4929357-applied-materials-strong-fundamentals-downgrading-ahead-of-earnings" TargetMode="External"/><Relationship Id="rId63" Type="http://schemas.openxmlformats.org/officeDocument/2006/relationships/hyperlink" Target="https://twelvedata.com/" TargetMode="External"/><Relationship Id="rId64" Type="http://schemas.openxmlformats.org/officeDocument/2006/relationships/hyperlink" Target="https://www.sec.gov/Archives/edgar/data/0000006951/000162828026056699/exhibit991q32026earningsre.htm" TargetMode="External"/><Relationship Id="rId65" Type="http://schemas.openxmlformats.org/officeDocument/2006/relationships/hyperlink" Target="https://www.semiconductor-digest.com/global-semiconductor-equipment-sales-forecast-to-reach-a-record-229-billion-in-2028-semi-reports/" TargetMode="External"/><Relationship Id="rId66" Type="http://schemas.openxmlformats.org/officeDocument/2006/relationships/hyperlink" Target="https://stockanalysis.com/stocks/amat/forecast/" TargetMode="External"/><Relationship Id="rId67" Type="http://schemas.openxmlformats.org/officeDocument/2006/relationships/hyperlink" Target="https://www.reveliolabs.com/companies/applied-materials/employees" TargetMode="External"/><Relationship Id="rId68" Type="http://schemas.openxmlformats.org/officeDocument/2006/relationships/hyperlink" Target="https://404kresearch.substack.com/p/404k-semi-ai-semiconductor-equipment-9bd" TargetMode="External"/><Relationship Id="rId69" Type="http://schemas.openxmlformats.org/officeDocument/2006/relationships/hyperlink" Target="https://404kresearch.substack.com/p/tsmc-q3-earnings-preview-ubs-raises" TargetMode="External"/><Relationship Id="rId70" Type="http://schemas.openxmlformats.org/officeDocument/2006/relationships/hyperlink" Target="https://drrobertcastellano.substack.com/p/applied-materials-2026-narrative" TargetMode="External"/><Relationship Id="rId71" Type="http://schemas.openxmlformats.org/officeDocument/2006/relationships/hyperlink" Target="https://www.trendforce.com/news/2026/07/13/news-sk-hynix-chair-dismisses-hbm-slowdown-talk-reportedly-says-clients-want-memory-capacity-up-5-6x/" TargetMode="External"/><Relationship Id="rId72" Type="http://schemas.openxmlformats.org/officeDocument/2006/relationships/hyperlink" Target="https://www.techpowerup.com/343802/sk-hynix-slows-down-hbm4-ramp-prepares-300-layer-nand-flash" TargetMode="External"/><Relationship Id="rId73" Type="http://schemas.openxmlformats.org/officeDocument/2006/relationships/hyperlink" Target="https://www.igorslab.de/en/samsung-and-sk-hynix-are-slowing-down-their-dram-expansion-because-no-one-wants-to-voluntarily-contribute-to-the-next-round-of-overcapacity/" TargetMode="External"/><Relationship Id="rId74" Type="http://schemas.openxmlformats.org/officeDocument/2006/relationships/hyperlink" Target="https://www.tikr.com/blog/applied-materials-stock-fell-7-in-a-chip-selloff-as-michael-burry-shorted-it-heres-where-the-stock-could-go" TargetMode="External"/><Relationship Id="rId75" Type="http://schemas.openxmlformats.org/officeDocument/2006/relationships/hyperlink" Target="https://seekingalpha.com/news/4569432-semiconductor-equipment-stocks-may-peak-in-late-2026-based-on-past-cycles-bnp" TargetMode="External"/><Relationship Id="rId76" Type="http://schemas.openxmlformats.org/officeDocument/2006/relationships/hyperlink" Target="https://247wallst.com/investing/2026/09/02/applied-materials-just-dropped-14-in-a-month-sell-now-or-buy-more/" TargetMode="External"/><Relationship Id="rId77" Type="http://schemas.openxmlformats.org/officeDocument/2006/relationships/hyperlink" Target="https://www.investing.com/news/stock-market-news/why-is-applied-materials-stock-sliding-today-93CH-4779576" TargetMode="External"/><Relationship Id="rId78" Type="http://schemas.openxmlformats.org/officeDocument/2006/relationships/hyperlink" Target="https://www.nomadsemi.com/p/state-of-the-semiconductor-cycle" TargetMode="External"/><Relationship Id="rId79" Type="http://schemas.openxmlformats.org/officeDocument/2006/relationships/hyperlink" Target="https://www.tipranks.com/stocks/amat/earnings" TargetMode="External"/><Relationship Id="rId80" Type="http://schemas.openxmlformats.org/officeDocument/2006/relationships/hyperlink" Target="https://www.investing.com/equities/lam-research-corp-earnings" TargetMode="External"/><Relationship Id="rId81" Type="http://schemas.openxmlformats.org/officeDocument/2006/relationships/hyperlink" Target="https://www.fxleaders.com/news/2026/09/28/applied-materials-stock-forecast-record-results-and-ai-chip-demand/" TargetMode="External"/><Relationship Id="rId82" Type="http://schemas.openxmlformats.org/officeDocument/2006/relationships/hyperlink" Target="https://www.marketscreener.com/quote/stock/APPLIED-MATERIALS-INC-4850/finances/" TargetMode="External"/><Relationship Id="rId83" Type="http://schemas.openxmlformats.org/officeDocument/2006/relationships/hyperlink" Target="https://www.sec.gov/Archives/edgar/data/6951/000162828026058235/amat-20260726.htm" TargetMode="External"/><Relationship Id="rId84" Type="http://schemas.openxmlformats.org/officeDocument/2006/relationships/hyperlink" Target="https://www.fibre2fashion.com/news/textile-news/us-china-trade-truce-extended-till-january-10-2027-313741-newsdetails.htm" TargetMode="External"/><Relationship Id="rId85" Type="http://schemas.openxmlformats.org/officeDocument/2006/relationships/hyperlink" Target="https://www.skadden.com/insights/publications/2025/11/bis-suspends-affiliates-rule-for-one-year-as-part-of-the-us-china-trade-deal" TargetMode="External"/><Relationship Id="rId86" Type="http://schemas.openxmlformats.org/officeDocument/2006/relationships/hyperlink" Target="https://finance.yahoo.com/markets/stocks/articles/micron-likely-beat-q4-earnings-112000154.html" TargetMode="External"/><Relationship Id="rId87" Type="http://schemas.openxmlformats.org/officeDocument/2006/relationships/hyperlink" Target="https://finance.yahoo.com/quote/AMAT/analysis/" TargetMode="External"/><Relationship Id="rId88" Type="http://schemas.openxmlformats.org/officeDocument/2006/relationships/hyperlink" Target="https://www.sec.gov/Archives/edgar/data/0000006951/000162828026056699/exhibit991q32026earningsre.htm" TargetMode="External"/><Relationship Id="rId89" Type="http://schemas.openxmlformats.org/officeDocument/2006/relationships/hyperlink" Target="https://www.investing.com/news/transcripts/earnings-call-transcript-applied-materials-beats-q3-2026-estimates-shares-fall-93CH-4859444" TargetMode="External"/><Relationship Id="rId90" Type="http://schemas.openxmlformats.org/officeDocument/2006/relationships/hyperlink" Target="https://www.semi.org/en/semi-press-release/global-semiconductor-equipment-sales-forecast-to-reach-a-record-229-billion-dollars-in-2028-semi-reports" TargetMode="External"/><Relationship Id="rId91" Type="http://schemas.openxmlformats.org/officeDocument/2006/relationships/hyperlink" Target="https://predictionnews.com/story/polymarket-prices-35-chance-of-u-s-recession-by-end-of-2027" TargetMode="External"/><Relationship Id="rId92" Type="http://schemas.openxmlformats.org/officeDocument/2006/relationships/hyperlink" Target="https://finance.yahoo.com/quote/AMAT/analysis/" TargetMode="External"/><Relationship Id="rId93" Type="http://schemas.openxmlformats.org/officeDocument/2006/relationships/hyperlink" Target="https://www.nomadsemi.com/p/state-of-the-semiconductor-cycle" TargetMode="External"/><Relationship Id="rId94" Type="http://schemas.openxmlformats.org/officeDocument/2006/relationships/hyperlink" Target="https://www.tikr.com/blog/applied-materials-stock-fell-7-in-a-chip-selloff-as-michael-burry-shorted-it-heres-where-the-stock-could-go" TargetMode="External"/><Relationship Id="rId95" Type="http://schemas.openxmlformats.org/officeDocument/2006/relationships/hyperlink" Target="https://www.gurufocus.com/term/pettm/AMAT" TargetMode="External"/><Relationship Id="rId96" Type="http://schemas.openxmlformats.org/officeDocument/2006/relationships/hyperlink" Target="https://www.gurufocus.com/term/forward-pe-ratio/AMAT" TargetMode="External"/><Relationship Id="rId97" Type="http://schemas.openxmlformats.org/officeDocument/2006/relationships/hyperlink" Target="https://www.regions.com/-/media/pdfs/AssetManagement-The-Semiconductor-Cycle.pdf" TargetMode="External"/><Relationship Id="rId98" Type="http://schemas.openxmlformats.org/officeDocument/2006/relationships/hyperlink" Target="https://www.steptoe.com/en/news-publications/international-compliance-blog/weekly-sanctions-update-september-28-2026.html" TargetMode="External"/><Relationship Id="rId99" Type="http://schemas.openxmlformats.org/officeDocument/2006/relationships/hyperlink" Target="https://www.skadden.com/insights/publications/2025/11/bis-suspends-affiliates-rule-for-one-year-as-part-of-the-us-china-trade-deal" TargetMode="External"/><Relationship Id="rId100" Type="http://schemas.openxmlformats.org/officeDocument/2006/relationships/hyperlink" Target="https://finance.yahoo.com/markets/stocks/articles/micron-likely-beat-q4-earnings-112000154.html" TargetMode="External"/><Relationship Id="rId101" Type="http://schemas.openxmlformats.org/officeDocument/2006/relationships/hyperlink" Target="https://www.marketbeat.com/stocks/NASDAQ/AMAT/earnings/" TargetMode="External"/><Relationship Id="rId102" Type="http://schemas.openxmlformats.org/officeDocument/2006/relationships/hyperlink" Target="https://www.marketscreener.com/quote/stock/APPLIED-MATERIALS-INC-4850/finances/" TargetMode="External"/><Relationship Id="rId103" Type="http://schemas.openxmlformats.org/officeDocument/2006/relationships/hyperlink" Target="https://www.digitimes.com/news/a20260901VL214/semicon-taiwan-wafer-fab-equipment-forecast-semi.html" TargetMode="External"/><Relationship Id="rId104" Type="http://schemas.openxmlformats.org/officeDocument/2006/relationships/hyperlink" Target="https://fullratio.com/stocks/nasdaq-amat/pe-ratio" TargetMode="External"/><Relationship Id="rId105" Type="http://schemas.openxmlformats.org/officeDocument/2006/relationships/hyperlink" Target="https://www.digitimes.com/news/a20260901VL214/semicon-taiwan-wafer-fab-equipment-forecast-semi.html" TargetMode="External"/><Relationship Id="rId106" Type="http://schemas.openxmlformats.org/officeDocument/2006/relationships/hyperlink" Target="https://finance.yahoo.com/technology/articles/global-semiconductor-equipment-sales-forecast-140000150.html" TargetMode="External"/><Relationship Id="rId107" Type="http://schemas.openxmlformats.org/officeDocument/2006/relationships/hyperlink" Target="https://www.nbcnews.com/business/economy/us-china-extend-trade-truce-trump-rcna599525" TargetMode="External"/><Relationship Id="rId108" Type="http://schemas.openxmlformats.org/officeDocument/2006/relationships/hyperlink" Target="https://finance.yahoo.com/economy/policy/articles/us-china-extend-trade-war-145500229.html" TargetMode="External"/><Relationship Id="rId109" Type="http://schemas.openxmlformats.org/officeDocument/2006/relationships/hyperlink" Target="https://www.marketbeat.com/earnings/reports/2026-9-30-micron-technology-inc-stock/" TargetMode="External"/><Relationship Id="rId110" Type="http://schemas.openxmlformats.org/officeDocument/2006/relationships/hyperlink" Target="https://www.globenewswire.com/news-release/2026/08/26/3351673/14450/en/micron-technology-to-report-fiscal-fourth-quarter-results-on-september-30-2026.html" TargetMode="External"/><Relationship Id="rId111" Type="http://schemas.openxmlformats.org/officeDocument/2006/relationships/hyperlink" Target="https://twelvedata.com/" TargetMode="External"/><Relationship Id="rId112" Type="http://schemas.openxmlformats.org/officeDocument/2006/relationships/hyperlink" Target="https://www.marketscreener.com/quote/stock/APPLIED-MATERIALS-INC-4850/finances/" TargetMode="External"/><Relationship Id="rId113" Type="http://schemas.openxmlformats.org/officeDocument/2006/relationships/hyperlink" Target="https://www.sec.gov/Archives/edgar/data/6951/000162828026058235/amat-20260726.htm" TargetMode="External"/><Relationship Id="rId114" Type="http://schemas.openxmlformats.org/officeDocument/2006/relationships/hyperlink" Target="https://www.sec.gov/Archives/edgar/data/0000006951/000162828026056699/exhibit991q32026earningsre.htm" TargetMode="External"/><Relationship Id="rId115" Type="http://schemas.openxmlformats.org/officeDocument/2006/relationships/hyperlink" Target="https://www.sec.gov/Archives/edgar/data/6951/000162828025051998/amat-20251113.htm" TargetMode="External"/><Relationship Id="rId116" Type="http://schemas.openxmlformats.org/officeDocument/2006/relationships/hyperlink" Target="https://api.nasdaq.com/api/analyst/LRCX/earnings-forecast" TargetMode="External"/><Relationship Id="rId117" Type="http://schemas.openxmlformats.org/officeDocument/2006/relationships/hyperlink" Target="https://query1.finance.yahoo.com/v8/finance/chart/LRCX?range=1mo&amp;interval=1d" TargetMode="External"/><Relationship Id="rId118" Type="http://schemas.openxmlformats.org/officeDocument/2006/relationships/hyperlink" Target="https://api.nasdaq.com/api/company/LRCX/earnings-surprise" TargetMode="External"/><Relationship Id="rId119" Type="http://schemas.openxmlformats.org/officeDocument/2006/relationships/hyperlink" Target="https://www.sec.gov/Archives/edgar/data/707549/000070754926000052/lrcx_exhibitx991xq1x2027.htm" TargetMode="External"/><Relationship Id="rId120" Type="http://schemas.openxmlformats.org/officeDocument/2006/relationships/hyperlink" Target="https://api.nasdaq.com/api/analyst/KLAC/earnings-forecast" TargetMode="External"/><Relationship Id="rId121" Type="http://schemas.openxmlformats.org/officeDocument/2006/relationships/hyperlink" Target="https://query1.finance.yahoo.com/v8/finance/chart/KLAC?range=1mo&amp;interval=1d" TargetMode="External"/><Relationship Id="rId122" Type="http://schemas.openxmlformats.org/officeDocument/2006/relationships/hyperlink" Target="https://api.nasdaq.com/api/company/KLAC/earnings-surprise" TargetMode="External"/><Relationship Id="rId123" Type="http://schemas.openxmlformats.org/officeDocument/2006/relationships/hyperlink" Target="https://www.sec.gov/Archives/edgar/data/319201/000031920126000024/exhibit991earningsrelease7.htm" TargetMode="External"/><Relationship Id="rId124" Type="http://schemas.openxmlformats.org/officeDocument/2006/relationships/hyperlink" Target="https://api.nasdaq.com/api/analyst/ASML/earnings-forecast" TargetMode="External"/><Relationship Id="rId125" Type="http://schemas.openxmlformats.org/officeDocument/2006/relationships/hyperlink" Target="https://query1.finance.yahoo.com/v8/finance/chart/ASML?range=1mo&amp;interval=1d" TargetMode="External"/><Relationship Id="rId126" Type="http://schemas.openxmlformats.org/officeDocument/2006/relationships/hyperlink" Target="https://api.nasdaq.com/api/company/ASML/earnings-surprise" TargetMode="External"/><Relationship Id="rId127" Type="http://schemas.openxmlformats.org/officeDocument/2006/relationships/hyperlink" Target="https://www.sec.gov/Archives/edgar/data/937966/000162828026065813/pressreleasefinancialresul.htm" TargetMode="External"/><Relationship Id="rId128" Type="http://schemas.openxmlformats.org/officeDocument/2006/relationships/hyperlink" Target="https://api.nasdaq.com/api/analyst/ONTO/earnings-forecast" TargetMode="External"/><Relationship Id="rId129" Type="http://schemas.openxmlformats.org/officeDocument/2006/relationships/hyperlink" Target="https://query1.finance.yahoo.com/v8/finance/chart/ONTO?range=1mo&amp;interval=1d" TargetMode="External"/><Relationship Id="rId130" Type="http://schemas.openxmlformats.org/officeDocument/2006/relationships/hyperlink" Target="https://api.nasdaq.com/api/company/ONTO/earnings-surprise" TargetMode="External"/><Relationship Id="rId131" Type="http://schemas.openxmlformats.org/officeDocument/2006/relationships/hyperlink" Target="https://www.sec.gov/Archives/edgar/data/704532/000119312526337990/onto-ex99_1.htm" TargetMode="External"/><Relationship Id="rId132" Type="http://schemas.openxmlformats.org/officeDocument/2006/relationships/hyperlink" Target="https://api.nasdaq.com/api/analyst/NVMI/earnings-forecast" TargetMode="External"/><Relationship Id="rId133" Type="http://schemas.openxmlformats.org/officeDocument/2006/relationships/hyperlink" Target="https://query1.finance.yahoo.com/v8/finance/chart/NVMI?range=1mo&amp;interval=1d" TargetMode="External"/><Relationship Id="rId134" Type="http://schemas.openxmlformats.org/officeDocument/2006/relationships/hyperlink" Target="https://api.nasdaq.com/api/company/NVMI/earnings-surprise" TargetMode="External"/><Relationship Id="rId135" Type="http://schemas.openxmlformats.org/officeDocument/2006/relationships/hyperlink" Target="https://www.sec.gov/Archives/edgar/data/1109345/000117891326003892/zk2635873.htm" TargetMode="External"/><Relationship Id="rId136" Type="http://schemas.openxmlformats.org/officeDocument/2006/relationships/hyperlink" Target="https://www.marketscreener.com/quote/stock/TOKYO-ELECTRON-LIMITED-6491071/finances/" TargetMode="External"/><Relationship Id="rId137" Type="http://schemas.openxmlformats.org/officeDocument/2006/relationships/hyperlink" Target="https://query1.finance.yahoo.com/v8/finance/chart/8035.T?range=1mo&amp;interval=1d" TargetMode="External"/><Relationship Id="rId138" Type="http://schemas.openxmlformats.org/officeDocument/2006/relationships/hyperlink" Target="https://envalith.com/en/companies/8035/segments" TargetMode="External"/><Relationship Id="rId139" Type="http://schemas.openxmlformats.org/officeDocument/2006/relationships/hyperlink" Target="https://www.marketscreener.com/quote/stock/ASM-INTERNATIONAL-N-V-6312/finances/" TargetMode="External"/><Relationship Id="rId140" Type="http://schemas.openxmlformats.org/officeDocument/2006/relationships/hyperlink" Target="https://query1.finance.yahoo.com/v8/finance/chart/ASM.AS?range=1mo&amp;interval=1d" TargetMode="External"/><Relationship Id="rId141" Type="http://schemas.openxmlformats.org/officeDocument/2006/relationships/hyperlink" Target="https://www.investegate.co.uk/announcement/gnw/asm-international-nv--0nx3/asm-reports-second-quarter-2026-results/9692080" TargetMode="External"/><Relationship Id="rId142" Type="http://schemas.openxmlformats.org/officeDocument/2006/relationships/hyperlink" Target="https://www.investegate.co.uk/announcement/gnw/asm-international-nv--0nx3/asm-reports-q4-and-full-year-2025-results/9456685" TargetMode="External"/><Relationship Id="rId143" Type="http://schemas.openxmlformats.org/officeDocument/2006/relationships/hyperlink" Target="https://www.marketscreener.com/quote/stock/KOKUSAI-ELECTRIC-CORPORAT-159798680/finances/" TargetMode="External"/><Relationship Id="rId144" Type="http://schemas.openxmlformats.org/officeDocument/2006/relationships/hyperlink" Target="https://query1.finance.yahoo.com/v8/finance/chart/6525.T?range=1mo&amp;interval=1d" TargetMode="External"/><Relationship Id="rId145" Type="http://schemas.openxmlformats.org/officeDocument/2006/relationships/hyperlink" Target="https://www2.infomart.co.jp/web/jp/images/upload/3795/140120260806511537_23726915.pdf" TargetMode="External"/><Relationship Id="rId146" Type="http://schemas.openxmlformats.org/officeDocument/2006/relationships/hyperlink" Target="https://www.stockopedia.com/share-prices/kokusai-electric-TYO:6525/news/table-kokusai-electric-2025-26-group-results-ifrs-019e6a25-648d-7e18-9c35-7e98cd0e64a0/" TargetMode="External"/><Relationship Id="rId147" Type="http://schemas.openxmlformats.org/officeDocument/2006/relationships/hyperlink" Target="https://www.marketscreener.com/quote/stock/SCREEN-HOLDINGS-CO-LTD-6491440/finances/" TargetMode="External"/><Relationship Id="rId148" Type="http://schemas.openxmlformats.org/officeDocument/2006/relationships/hyperlink" Target="https://query1.finance.yahoo.com/v8/finance/chart/7735.T?range=1mo&amp;interval=1d" TargetMode="External"/><Relationship Id="rId149" Type="http://schemas.openxmlformats.org/officeDocument/2006/relationships/hyperlink" Target="https://stockanalysis.com/quote/tyo/7735/financials/income-statement/" TargetMode="External"/><Relationship Id="rId150" Type="http://schemas.openxmlformats.org/officeDocument/2006/relationships/hyperlink" Target="https://www.marketscreener.com/quote/stock/LASERTEC-CORPORATION-11551536/finances/" TargetMode="External"/><Relationship Id="rId151" Type="http://schemas.openxmlformats.org/officeDocument/2006/relationships/hyperlink" Target="https://query1.finance.yahoo.com/v8/finance/chart/6920.T?range=1mo&amp;interval=1d" TargetMode="External"/><Relationship Id="rId152" Type="http://schemas.openxmlformats.org/officeDocument/2006/relationships/hyperlink" Target="https://simplywall.st/stocks/mx/semiconductors/bmv-6920-n/lasertec-shar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390.09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640.16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335</v>
      </c>
      <c r="D12" s="7" t="s">
        <v>20</v>
      </c>
    </row>
    <row r="13" customFormat="false" ht="23.85" hidden="false" customHeight="false" outlineLevel="0" collapsed="false">
      <c r="A13" s="5" t="s">
        <v>21</v>
      </c>
      <c r="B13" s="12" t="n">
        <v>0.6088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P$6:$P$20,MIN(MAX(IFERROR(MATCH(0.5,Distribution!$C$6:$C$20,-1),1),1),14)))/(INDEX(Distribution!$P$6:$P$20,MIN(MAX(IFERROR(MATCH(0.5,Distribution!$C$6:$C$20,-1),1),1),14)+1)-INDEX(Distribution!$P$6:$P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381.006409144926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Methods!C8</f>
        <v>515.03</v>
      </c>
      <c r="C18" s="13" t="n">
        <f aca="false">Methods!E8</f>
        <v>515.03</v>
      </c>
    </row>
    <row r="19" customFormat="false" ht="15" hidden="false" customHeight="false" outlineLevel="0" collapsed="false">
      <c r="A19" s="5" t="s">
        <v>30</v>
      </c>
      <c r="B19" s="13" t="n">
        <f aca="false">Methods!C12</f>
        <v>515.43</v>
      </c>
      <c r="C19" s="13" t="n">
        <f aca="false">Methods!E12</f>
        <v>517.03</v>
      </c>
    </row>
    <row r="20" customFormat="false" ht="15" hidden="false" customHeight="false" outlineLevel="0" collapsed="false">
      <c r="A20" s="5" t="s">
        <v>31</v>
      </c>
      <c r="B20" s="13" t="n">
        <f aca="false">Methods!C16</f>
        <v>515.418</v>
      </c>
      <c r="C20" s="13" t="n">
        <f aca="false">Methods!E16</f>
        <v>515.22</v>
      </c>
    </row>
    <row r="21" customFormat="false" ht="15" hidden="false" customHeight="false" outlineLevel="0" collapsed="false">
      <c r="A21" s="5" t="s">
        <v>32</v>
      </c>
      <c r="B21" s="13" t="n">
        <f aca="false">Methods!C20</f>
        <v>511.23</v>
      </c>
      <c r="C21" s="13" t="n">
        <f aca="false">Methods!E20</f>
        <v>512.03</v>
      </c>
    </row>
    <row r="22" customFormat="false" ht="15" hidden="false" customHeight="false" outlineLevel="0" collapsed="false">
      <c r="A22" s="5" t="s">
        <v>33</v>
      </c>
      <c r="B22" s="13" t="n">
        <f aca="false">Methods!C25</f>
        <v>506.33</v>
      </c>
      <c r="C22" s="13" t="n">
        <f aca="false">Methods!E25</f>
        <v>507.03</v>
      </c>
    </row>
    <row r="23" customFormat="false" ht="15" hidden="false" customHeight="false" outlineLevel="0" collapsed="false">
      <c r="A23" s="14" t="s">
        <v>34</v>
      </c>
      <c r="B23" s="15" t="n">
        <f aca="false">AVERAGE(B18:B22)</f>
        <v>512.6876</v>
      </c>
      <c r="C23" s="15" t="n">
        <f aca="false">AVERAGE(C18:C22)</f>
        <v>513.268</v>
      </c>
    </row>
    <row r="24" customFormat="false" ht="15" hidden="false" customHeight="false" outlineLevel="0" collapsed="false">
      <c r="A24" s="5" t="s">
        <v>35</v>
      </c>
      <c r="B24" s="16" t="n">
        <f aca="false">MEDIAN(B18:B22)</f>
        <v>515.03</v>
      </c>
      <c r="C24" s="16" t="n">
        <f aca="false">MEDIAN(C18:C22)</f>
        <v>515.03</v>
      </c>
    </row>
    <row r="25" customFormat="false" ht="158.2" hidden="false" customHeight="false" outlineLevel="0" collapsed="false">
      <c r="A25" s="14" t="s">
        <v>36</v>
      </c>
      <c r="C25" s="17" t="n">
        <v>443.36</v>
      </c>
      <c r="D25" s="7" t="s">
        <v>37</v>
      </c>
    </row>
    <row r="26" customFormat="false" ht="15" hidden="false" customHeight="false" outlineLevel="0" collapsed="false">
      <c r="A26" s="5" t="s">
        <v>38</v>
      </c>
      <c r="C26" s="18" t="n">
        <f aca="false">C25/Spot-1</f>
        <v>0.136558230152016</v>
      </c>
    </row>
    <row r="28" customFormat="false" ht="15" hidden="false" customHeight="false" outlineLevel="0" collapsed="false">
      <c r="A28" s="3" t="s">
        <v>39</v>
      </c>
      <c r="B28" s="3" t="s">
        <v>40</v>
      </c>
      <c r="C28" s="3" t="s">
        <v>41</v>
      </c>
      <c r="D28" s="3" t="s">
        <v>42</v>
      </c>
    </row>
    <row r="29" customFormat="false" ht="15" hidden="false" customHeight="false" outlineLevel="0" collapsed="false">
      <c r="A29" s="5" t="s">
        <v>43</v>
      </c>
      <c r="B29" s="19" t="n">
        <f aca="false">EXP(INDEX(Distribution!$B$6:$B$20,MIN(MAX(IFERROR(MATCH(0.5,Distribution!$U$6:$U$20,-1),1),1),14))+(LN(MIN(MAX(0.5,0.0001),0.9999)/(1-MIN(MAX(0.5,0.0001),0.9999)))-INDEX(Distribution!$V$6:$V$20,MIN(MAX(IFERROR(MATCH(0.5,Distribution!$U$6:$U$20,-1),1),1),14)))/(INDEX(Distribution!$V$6:$V$20,MIN(MAX(IFERROR(MATCH(0.5,Distribution!$U$6:$U$20,-1),1),1),14)+1)-INDEX(Distribution!$V$6:$V$20,MIN(MAX(IFERROR(MATCH(0.5,Distribution!$U$6:$U$20,-1),1),1),14)))*(INDEX(Distribution!$B$6:$B$20,MIN(MAX(IFERROR(MATCH(0.5,Distribution!$U$6:$U$20,-1),1),1),14)+1)-INDEX(Distribution!$B$6:$B$20,MIN(MAX(IFERROR(MATCH(0.5,Distribution!$U$6:$U$20,-1),1),1),14))))</f>
        <v>429.329966959401</v>
      </c>
      <c r="C29" s="6" t="n">
        <v>405.6089</v>
      </c>
      <c r="D29" s="7" t="s">
        <v>44</v>
      </c>
    </row>
    <row r="30" customFormat="false" ht="15" hidden="false" customHeight="false" outlineLevel="0" collapsed="false">
      <c r="A30" s="5" t="s">
        <v>45</v>
      </c>
      <c r="B30" s="19" t="n">
        <f aca="false">EXP(INDEX(Distribution!$B$6:$B$20,MIN(MAX(IFERROR(MATCH(0.25,Distribution!$U$6:$U$20,-1),1),1),14))+(LN(MIN(MAX(0.25,0.0001),0.9999)/(1-MIN(MAX(0.25,0.0001),0.9999)))-INDEX(Distribution!$V$6:$V$20,MIN(MAX(IFERROR(MATCH(0.25,Distribution!$U$6:$U$20,-1),1),1),14)))/(INDEX(Distribution!$V$6:$V$20,MIN(MAX(IFERROR(MATCH(0.25,Distribution!$U$6:$U$20,-1),1),1),14)+1)-INDEX(Distribution!$V$6:$V$20,MIN(MAX(IFERROR(MATCH(0.25,Distribution!$U$6:$U$20,-1),1),1),14)))*(INDEX(Distribution!$B$6:$B$20,MIN(MAX(IFERROR(MATCH(0.25,Distribution!$U$6:$U$20,-1),1),1),14)+1)-INDEX(Distribution!$B$6:$B$20,MIN(MAX(IFERROR(MATCH(0.25,Distribution!$U$6:$U$20,-1),1),1),14))))</f>
        <v>615.328669779553</v>
      </c>
      <c r="C30" s="6" t="n">
        <v>438.1</v>
      </c>
      <c r="D30" s="7" t="s">
        <v>46</v>
      </c>
    </row>
    <row r="31" customFormat="false" ht="15" hidden="false" customHeight="false" outlineLevel="0" collapsed="false">
      <c r="A31" s="5" t="s">
        <v>47</v>
      </c>
      <c r="B31" s="19" t="n">
        <f aca="false">EXP(INDEX(Distribution!$B$6:$B$20,MIN(MAX(IFERROR(MATCH(0.85,Distribution!$U$6:$U$20,-1),1),1),14))+(LN(MIN(MAX(0.85,0.0001),0.9999)/(1-MIN(MAX(0.85,0.0001),0.9999)))-INDEX(Distribution!$V$6:$V$20,MIN(MAX(IFERROR(MATCH(0.85,Distribution!$U$6:$U$20,-1),1),1),14)))/(INDEX(Distribution!$V$6:$V$20,MIN(MAX(IFERROR(MATCH(0.85,Distribution!$U$6:$U$20,-1),1),1),14)+1)-INDEX(Distribution!$V$6:$V$20,MIN(MAX(IFERROR(MATCH(0.85,Distribution!$U$6:$U$20,-1),1),1),14)))*(INDEX(Distribution!$B$6:$B$20,MIN(MAX(IFERROR(MATCH(0.85,Distribution!$U$6:$U$20,-1),1),1),14)+1)-INDEX(Distribution!$B$6:$B$20,MIN(MAX(IFERROR(MATCH(0.85,Distribution!$U$6:$U$20,-1),1),1),14))))</f>
        <v>238.906231144745</v>
      </c>
      <c r="C31" s="6" t="n">
        <v>239.1178</v>
      </c>
      <c r="D31" s="7" t="s">
        <v>48</v>
      </c>
    </row>
    <row r="32" customFormat="false" ht="15" hidden="false" customHeight="false" outlineLevel="0" collapsed="false">
      <c r="A32" s="5" t="s">
        <v>49</v>
      </c>
      <c r="B32" s="16" t="n">
        <f aca="false">Spot*EXP(-2*IV30*SQRT(21/252))</f>
        <v>274.482261531969</v>
      </c>
      <c r="D32" s="7" t="s">
        <v>50</v>
      </c>
    </row>
    <row r="33" customFormat="false" ht="23.85" hidden="false" customHeight="false" outlineLevel="0" collapsed="false">
      <c r="A33" s="14" t="s">
        <v>51</v>
      </c>
      <c r="B33" s="20" t="n">
        <f aca="false">MIN(IF(AND(Thesis_Break&gt;0,Thesis_Break&lt;Spot),MAX(B31,Thesis_Break),B31),B32)</f>
        <v>274.482261531969</v>
      </c>
      <c r="C33" s="21" t="n">
        <v>274.4823</v>
      </c>
      <c r="D33" s="7" t="s">
        <v>52</v>
      </c>
    </row>
    <row r="34" customFormat="false" ht="15" hidden="false" customHeight="false" outlineLevel="0" collapsed="false">
      <c r="A34" s="5" t="s">
        <v>53</v>
      </c>
      <c r="B34" s="18" t="n">
        <f aca="false">B29/Spot-1</f>
        <v>0.100592086337516</v>
      </c>
      <c r="C34" s="18" t="n">
        <f aca="false">C29/Spot-1</f>
        <v>0.0397828706196006</v>
      </c>
    </row>
    <row r="35" customFormat="false" ht="15" hidden="false" customHeight="false" outlineLevel="0" collapsed="false">
      <c r="A35" s="5" t="s">
        <v>54</v>
      </c>
      <c r="C35" s="12" t="n">
        <v>0.5315</v>
      </c>
    </row>
    <row r="36" customFormat="false" ht="23.85" hidden="false" customHeight="false" outlineLevel="0" collapsed="false">
      <c r="A36" s="5" t="s">
        <v>55</v>
      </c>
      <c r="C36" s="6" t="n">
        <v>453.793</v>
      </c>
      <c r="D36" s="7" t="s">
        <v>56</v>
      </c>
    </row>
    <row r="38" customFormat="false" ht="15" hidden="false" customHeight="false" outlineLevel="0" collapsed="false">
      <c r="A38" s="3" t="s">
        <v>57</v>
      </c>
      <c r="B38" s="4"/>
      <c r="C38" s="4"/>
      <c r="D38" s="4"/>
    </row>
    <row r="39" customFormat="false" ht="15" hidden="false" customHeight="false" outlineLevel="0" collapsed="false">
      <c r="A39" s="22" t="s">
        <v>58</v>
      </c>
      <c r="D39" s="2" t="s">
        <v>59</v>
      </c>
    </row>
    <row r="40" customFormat="false" ht="15" hidden="false" customHeight="false" outlineLevel="0" collapsed="false">
      <c r="A40" s="22" t="s">
        <v>60</v>
      </c>
      <c r="D40" s="2" t="s">
        <v>61</v>
      </c>
    </row>
    <row r="41" customFormat="false" ht="15" hidden="false" customHeight="false" outlineLevel="0" collapsed="false">
      <c r="A41" s="22" t="s">
        <v>62</v>
      </c>
      <c r="D41" s="2" t="s">
        <v>63</v>
      </c>
    </row>
    <row r="42" customFormat="false" ht="15" hidden="false" customHeight="false" outlineLevel="0" collapsed="false">
      <c r="A42" s="22" t="s">
        <v>64</v>
      </c>
      <c r="D42" s="2" t="s">
        <v>65</v>
      </c>
    </row>
    <row r="43" customFormat="false" ht="15" hidden="false" customHeight="false" outlineLevel="0" collapsed="false">
      <c r="A43" s="22" t="s">
        <v>66</v>
      </c>
      <c r="D43" s="2" t="s">
        <v>67</v>
      </c>
    </row>
    <row r="44" customFormat="false" ht="15" hidden="false" customHeight="false" outlineLevel="0" collapsed="false">
      <c r="A44" s="22" t="s">
        <v>68</v>
      </c>
      <c r="D44" s="2" t="s">
        <v>69</v>
      </c>
    </row>
    <row r="45" customFormat="false" ht="15" hidden="false" customHeight="false" outlineLevel="0" collapsed="false">
      <c r="A45" s="22" t="s">
        <v>70</v>
      </c>
      <c r="D45" s="2" t="s">
        <v>71</v>
      </c>
    </row>
  </sheetData>
  <hyperlinks>
    <hyperlink ref="A39" location="'Assumptions'!A1" display="Assumptions"/>
    <hyperlink ref="A40" location="'Methods'!A1" display="Methods"/>
    <hyperlink ref="A41" location="'Scenarios'!A1" display="Scenarios"/>
    <hyperlink ref="A42" location="'Distribution'!A1" display="Distribution"/>
    <hyperlink ref="A43" location="'Reasoning'!A1" display="Reasoning"/>
    <hyperlink ref="A44" location="'Supervisor'!A1" display="Supervisor"/>
    <hyperlink ref="A45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23" t="s">
        <v>74</v>
      </c>
      <c r="B4" s="23" t="s">
        <v>75</v>
      </c>
      <c r="C4" s="23" t="s">
        <v>3</v>
      </c>
      <c r="D4" s="23" t="s">
        <v>66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</row>
    <row r="5" customFormat="false" ht="15" hidden="false" customHeight="false" outlineLevel="0" collapsed="false">
      <c r="A5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8" min="4" style="0" width="10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1" min="19" style="0" width="11"/>
    <col collapsed="false" customWidth="true" hidden="false" outlineLevel="0" max="22" min="22" style="0" width="9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5" customFormat="false" ht="23.85" hidden="false" customHeight="false" outlineLevel="0" collapsed="false">
      <c r="A5" s="23" t="s">
        <v>86</v>
      </c>
      <c r="B5" s="23" t="s">
        <v>87</v>
      </c>
      <c r="C5" s="23" t="s">
        <v>88</v>
      </c>
      <c r="D5" s="23" t="s">
        <v>29</v>
      </c>
      <c r="E5" s="23" t="s">
        <v>30</v>
      </c>
      <c r="F5" s="23" t="s">
        <v>31</v>
      </c>
      <c r="G5" s="23" t="s">
        <v>32</v>
      </c>
      <c r="H5" s="23" t="s">
        <v>33</v>
      </c>
      <c r="I5" s="23" t="s">
        <v>89</v>
      </c>
      <c r="J5" s="23" t="s">
        <v>68</v>
      </c>
      <c r="K5" s="23" t="s">
        <v>90</v>
      </c>
      <c r="L5" s="23" t="s">
        <v>91</v>
      </c>
      <c r="M5" s="23" t="s">
        <v>92</v>
      </c>
      <c r="N5" s="23" t="s">
        <v>93</v>
      </c>
      <c r="O5" s="23" t="s">
        <v>94</v>
      </c>
      <c r="P5" s="23" t="s">
        <v>95</v>
      </c>
      <c r="Q5" s="23" t="s">
        <v>96</v>
      </c>
      <c r="R5" s="23" t="s">
        <v>93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</row>
    <row r="6" customFormat="false" ht="15" hidden="false" customHeight="false" outlineLevel="0" collapsed="false">
      <c r="A6" s="6" t="n">
        <v>97.52</v>
      </c>
      <c r="B6" s="24" t="n">
        <f aca="false">LN(A6)</f>
        <v>4.58005748517302</v>
      </c>
      <c r="C6" s="25" t="n">
        <v>0.9939</v>
      </c>
      <c r="D6" s="25" t="n">
        <v>0.9986</v>
      </c>
      <c r="E6" s="25" t="n">
        <v>0.9976</v>
      </c>
      <c r="F6" s="25" t="n">
        <v>0.9982</v>
      </c>
      <c r="G6" s="25" t="n">
        <v>0.9956</v>
      </c>
      <c r="H6" s="25" t="n">
        <v>0.9959</v>
      </c>
      <c r="I6" s="24" t="n">
        <f aca="false">AVERAGE(D6:H6)</f>
        <v>0.99718</v>
      </c>
      <c r="J6" s="25" t="n">
        <v>0.9972</v>
      </c>
      <c r="K6" s="24" t="n">
        <f aca="false">IF(AND(Sup_Used=1,ISNUMBER(J6)),J6,I6)</f>
        <v>0.99718</v>
      </c>
      <c r="L6" s="24" t="n">
        <f aca="false">LN(MIN(MAX(K6,0.0001),0.9999)/(1-MIN(MAX(K6,0.0001),0.9999)))</f>
        <v>5.868194410341</v>
      </c>
      <c r="M6" s="16" t="n">
        <f aca="false">A6*EXP(-Platt_Shift)</f>
        <v>97.52</v>
      </c>
      <c r="N6" s="26" t="n">
        <f aca="false">MIN(MAX(IFERROR(MATCH(M6,Distribution!$A$6:$A$20,1),1),1),14)</f>
        <v>1</v>
      </c>
      <c r="O6" s="24" t="n">
        <f aca="false">1/(1+EXP(-(INDEX(Distribution!$L$6:$L$20,N6)+(LN(M6)-INDEX(Distribution!$B$6:$B$20,N6))/(INDEX(Distribution!$B$6:$B$20,N6+1)-INDEX(Distribution!$B$6:$B$20,N6))*(INDEX(Distribution!$L$6:$L$20,N6+1)-INDEX(Distribution!$L$6:$L$20,N6)))))</f>
        <v>0.99718</v>
      </c>
      <c r="P6" s="24" t="n">
        <f aca="false">LN(MIN(MAX(C6,0.0001),0.9999)/(1-MIN(MAX(C6,0.0001),0.9999)))</f>
        <v>5.0933478267947</v>
      </c>
      <c r="Q6" s="16" t="n">
        <f aca="false">IF(Analyst_Median&gt;0,A6*Market_Median/Analyst_Median,A6)</f>
        <v>58.0413412581435</v>
      </c>
      <c r="R6" s="26" t="n">
        <f aca="false">MIN(MAX(IFERROR(MATCH(Q6,Distribution!$A$6:$A$20,1),1),1),14)</f>
        <v>1</v>
      </c>
      <c r="S6" s="24" t="n">
        <f aca="false">1/(1+EXP(-(INDEX(Distribution!$P$6:$P$20,R6)+(LN(Q6)-INDEX(Distribution!$B$6:$B$20,R6))/(INDEX(Distribution!$B$6:$B$20,R6+1)-INDEX(Distribution!$B$6:$B$20,R6))*(INDEX(Distribution!$P$6:$P$20,R6+1)-INDEX(Distribution!$P$6:$P$20,R6)))))</f>
        <v>0.999433137951472</v>
      </c>
      <c r="T6" s="24" t="n">
        <f aca="false">W_Mkt*C6+W_Agents*O6</f>
        <v>0.9949824</v>
      </c>
      <c r="U6" s="27" t="n">
        <f aca="false">(1-W_Analyst)*T6+W_Analyst*S6</f>
        <v>0.9949824</v>
      </c>
      <c r="V6" s="24" t="n">
        <f aca="false">LN(MIN(MAX(U6,0.0001),0.9999)/(1-MIN(MAX(U6,0.0001),0.9999)))</f>
        <v>5.28977331682605</v>
      </c>
      <c r="W6" s="25" t="n">
        <v>0.9962</v>
      </c>
    </row>
    <row r="7" customFormat="false" ht="15" hidden="false" customHeight="false" outlineLevel="0" collapsed="false">
      <c r="A7" s="6" t="n">
        <v>156.04</v>
      </c>
      <c r="B7" s="24" t="n">
        <f aca="false">LN(A7)</f>
        <v>5.05011238463846</v>
      </c>
      <c r="C7" s="25" t="n">
        <v>0.9496</v>
      </c>
      <c r="D7" s="25" t="n">
        <v>0.9913</v>
      </c>
      <c r="E7" s="25" t="n">
        <v>0.9885</v>
      </c>
      <c r="F7" s="25" t="n">
        <v>0.9893</v>
      </c>
      <c r="G7" s="25" t="n">
        <v>0.982</v>
      </c>
      <c r="H7" s="25" t="n">
        <v>0.9811</v>
      </c>
      <c r="I7" s="24" t="n">
        <f aca="false">AVERAGE(D7:H7)</f>
        <v>0.98644</v>
      </c>
      <c r="J7" s="25" t="n">
        <v>0.9864</v>
      </c>
      <c r="K7" s="24" t="n">
        <f aca="false">IF(AND(Sup_Used=1,ISNUMBER(J7)),J7,I7)</f>
        <v>0.98644</v>
      </c>
      <c r="L7" s="24" t="n">
        <f aca="false">LN(MIN(MAX(K7,0.0001),0.9999)/(1-MIN(MAX(K7,0.0001),0.9999)))</f>
        <v>4.2869782200161</v>
      </c>
      <c r="M7" s="16" t="n">
        <f aca="false">A7*EXP(-Platt_Shift)</f>
        <v>156.04</v>
      </c>
      <c r="N7" s="26" t="n">
        <f aca="false">MIN(MAX(IFERROR(MATCH(M7,Distribution!$A$6:$A$20,1),1),1),14)</f>
        <v>2</v>
      </c>
      <c r="O7" s="24" t="n">
        <f aca="false">1/(1+EXP(-(INDEX(Distribution!$L$6:$L$20,N7)+(LN(M7)-INDEX(Distribution!$B$6:$B$20,N7))/(INDEX(Distribution!$B$6:$B$20,N7+1)-INDEX(Distribution!$B$6:$B$20,N7))*(INDEX(Distribution!$L$6:$L$20,N7+1)-INDEX(Distribution!$L$6:$L$20,N7)))))</f>
        <v>0.98644</v>
      </c>
      <c r="P7" s="24" t="n">
        <f aca="false">LN(MIN(MAX(C7,0.0001),0.9999)/(1-MIN(MAX(C7,0.0001),0.9999)))</f>
        <v>2.93604966821814</v>
      </c>
      <c r="Q7" s="16" t="n">
        <f aca="false">IF(Analyst_Median&gt;0,A7*Market_Median/Analyst_Median,A7)</f>
        <v>92.8709074027965</v>
      </c>
      <c r="R7" s="26" t="n">
        <f aca="false">MIN(MAX(IFERROR(MATCH(Q7,Distribution!$A$6:$A$20,1),1),1),14)</f>
        <v>1</v>
      </c>
      <c r="S7" s="24" t="n">
        <f aca="false">1/(1+EXP(-(INDEX(Distribution!$P$6:$P$20,R7)+(LN(Q7)-INDEX(Distribution!$B$6:$B$20,R7))/(INDEX(Distribution!$B$6:$B$20,R7+1)-INDEX(Distribution!$B$6:$B$20,R7))*(INDEX(Distribution!$P$6:$P$20,R7+1)-INDEX(Distribution!$P$6:$P$20,R7)))))</f>
        <v>0.995119083504102</v>
      </c>
      <c r="T7" s="24" t="n">
        <f aca="false">W_Mkt*C7+W_Agents*O7</f>
        <v>0.9617572</v>
      </c>
      <c r="U7" s="27" t="n">
        <f aca="false">(1-W_Analyst)*T7+W_Analyst*S7</f>
        <v>0.9617572</v>
      </c>
      <c r="V7" s="24" t="n">
        <f aca="false">LN(MIN(MAX(U7,0.0001),0.9999)/(1-MIN(MAX(U7,0.0001),0.9999)))</f>
        <v>3.22480672069745</v>
      </c>
      <c r="W7" s="25" t="n">
        <v>0.9667</v>
      </c>
    </row>
    <row r="8" customFormat="false" ht="15" hidden="false" customHeight="false" outlineLevel="0" collapsed="false">
      <c r="A8" s="6" t="n">
        <v>195.04</v>
      </c>
      <c r="B8" s="24" t="n">
        <f aca="false">LN(A8)</f>
        <v>5.27320466573296</v>
      </c>
      <c r="C8" s="25" t="n">
        <v>0.8908</v>
      </c>
      <c r="D8" s="25" t="n">
        <v>0.9794</v>
      </c>
      <c r="E8" s="25" t="n">
        <v>0.9762</v>
      </c>
      <c r="F8" s="25" t="n">
        <v>0.9751</v>
      </c>
      <c r="G8" s="25" t="n">
        <v>0.9654</v>
      </c>
      <c r="H8" s="25" t="n">
        <v>0.9615</v>
      </c>
      <c r="I8" s="24" t="n">
        <f aca="false">AVERAGE(D8:H8)</f>
        <v>0.97152</v>
      </c>
      <c r="J8" s="25" t="n">
        <v>0.9715</v>
      </c>
      <c r="K8" s="24" t="n">
        <f aca="false">IF(AND(Sup_Used=1,ISNUMBER(J8)),J8,I8)</f>
        <v>0.97152</v>
      </c>
      <c r="L8" s="24" t="n">
        <f aca="false">LN(MIN(MAX(K8,0.0001),0.9999)/(1-MIN(MAX(K8,0.0001),0.9999)))</f>
        <v>3.52965976878338</v>
      </c>
      <c r="M8" s="16" t="n">
        <f aca="false">A8*EXP(-Platt_Shift)</f>
        <v>195.04</v>
      </c>
      <c r="N8" s="26" t="n">
        <f aca="false">MIN(MAX(IFERROR(MATCH(M8,Distribution!$A$6:$A$20,1),1),1),14)</f>
        <v>3</v>
      </c>
      <c r="O8" s="24" t="n">
        <f aca="false">1/(1+EXP(-(INDEX(Distribution!$L$6:$L$20,N8)+(LN(M8)-INDEX(Distribution!$B$6:$B$20,N8))/(INDEX(Distribution!$B$6:$B$20,N8+1)-INDEX(Distribution!$B$6:$B$20,N8))*(INDEX(Distribution!$L$6:$L$20,N8+1)-INDEX(Distribution!$L$6:$L$20,N8)))))</f>
        <v>0.97152</v>
      </c>
      <c r="P8" s="24" t="n">
        <f aca="false">LN(MIN(MAX(C8,0.0001),0.9999)/(1-MIN(MAX(C8,0.0001),0.9999)))</f>
        <v>2.09893887207241</v>
      </c>
      <c r="Q8" s="16" t="n">
        <f aca="false">IF(Analyst_Median&gt;0,A8*Market_Median/Analyst_Median,A8)</f>
        <v>116.082682516287</v>
      </c>
      <c r="R8" s="26" t="n">
        <f aca="false">MIN(MAX(IFERROR(MATCH(Q8,Distribution!$A$6:$A$20,1),1),1),14)</f>
        <v>1</v>
      </c>
      <c r="S8" s="24" t="n">
        <f aca="false">1/(1+EXP(-(INDEX(Distribution!$P$6:$P$20,R8)+(LN(Q8)-INDEX(Distribution!$B$6:$B$20,R8))/(INDEX(Distribution!$B$6:$B$20,R8+1)-INDEX(Distribution!$B$6:$B$20,R8))*(INDEX(Distribution!$P$6:$P$20,R8+1)-INDEX(Distribution!$P$6:$P$20,R8)))))</f>
        <v>0.986529037313406</v>
      </c>
      <c r="T8" s="24" t="n">
        <f aca="false">W_Mkt*C8+W_Agents*O8</f>
        <v>0.9174376</v>
      </c>
      <c r="U8" s="27" t="n">
        <f aca="false">(1-W_Analyst)*T8+W_Analyst*S8</f>
        <v>0.9174376</v>
      </c>
      <c r="V8" s="24" t="n">
        <f aca="false">LN(MIN(MAX(U8,0.0001),0.9999)/(1-MIN(MAX(U8,0.0001),0.9999)))</f>
        <v>2.40803019563852</v>
      </c>
      <c r="W8" s="25" t="n">
        <v>0.922</v>
      </c>
    </row>
    <row r="9" customFormat="false" ht="15" hidden="false" customHeight="false" outlineLevel="0" collapsed="false">
      <c r="A9" s="6" t="n">
        <v>234.05</v>
      </c>
      <c r="B9" s="24" t="n">
        <f aca="false">LN(A9)</f>
        <v>5.45553476774608</v>
      </c>
      <c r="C9" s="25" t="n">
        <v>0.8147</v>
      </c>
      <c r="D9" s="25" t="n">
        <v>0.956</v>
      </c>
      <c r="E9" s="25" t="n">
        <v>0.954</v>
      </c>
      <c r="F9" s="25" t="n">
        <v>0.95</v>
      </c>
      <c r="G9" s="25" t="n">
        <v>0.9375</v>
      </c>
      <c r="H9" s="25" t="n">
        <v>0.9321</v>
      </c>
      <c r="I9" s="24" t="n">
        <f aca="false">AVERAGE(D9:H9)</f>
        <v>0.94592</v>
      </c>
      <c r="J9" s="25" t="n">
        <v>0.9469</v>
      </c>
      <c r="K9" s="24" t="n">
        <f aca="false">IF(AND(Sup_Used=1,ISNUMBER(J9)),J9,I9)</f>
        <v>0.94592</v>
      </c>
      <c r="L9" s="24" t="n">
        <f aca="false">LN(MIN(MAX(K9,0.0001),0.9999)/(1-MIN(MAX(K9,0.0001),0.9999)))</f>
        <v>2.86169356714502</v>
      </c>
      <c r="M9" s="16" t="n">
        <f aca="false">A9*EXP(-Platt_Shift)</f>
        <v>234.05</v>
      </c>
      <c r="N9" s="26" t="n">
        <f aca="false">MIN(MAX(IFERROR(MATCH(M9,Distribution!$A$6:$A$20,1),1),1),14)</f>
        <v>4</v>
      </c>
      <c r="O9" s="24" t="n">
        <f aca="false">1/(1+EXP(-(INDEX(Distribution!$L$6:$L$20,N9)+(LN(M9)-INDEX(Distribution!$B$6:$B$20,N9))/(INDEX(Distribution!$B$6:$B$20,N9+1)-INDEX(Distribution!$B$6:$B$20,N9))*(INDEX(Distribution!$L$6:$L$20,N9+1)-INDEX(Distribution!$L$6:$L$20,N9)))))</f>
        <v>0.94592</v>
      </c>
      <c r="P9" s="24" t="n">
        <f aca="false">LN(MIN(MAX(C9,0.0001),0.9999)/(1-MIN(MAX(C9,0.0001),0.9999)))</f>
        <v>1.48084381402528</v>
      </c>
      <c r="Q9" s="16" t="n">
        <f aca="false">IF(Analyst_Median&gt;0,A9*Market_Median/Analyst_Median,A9)</f>
        <v>139.300409366986</v>
      </c>
      <c r="R9" s="26" t="n">
        <f aca="false">MIN(MAX(IFERROR(MATCH(Q9,Distribution!$A$6:$A$20,1),1),1),14)</f>
        <v>1</v>
      </c>
      <c r="S9" s="24" t="n">
        <f aca="false">1/(1+EXP(-(INDEX(Distribution!$P$6:$P$20,R9)+(LN(Q9)-INDEX(Distribution!$B$6:$B$20,R9))/(INDEX(Distribution!$B$6:$B$20,R9+1)-INDEX(Distribution!$B$6:$B$20,R9))*(INDEX(Distribution!$P$6:$P$20,R9+1)-INDEX(Distribution!$P$6:$P$20,R9)))))</f>
        <v>0.969435051230372</v>
      </c>
      <c r="T9" s="24" t="n">
        <f aca="false">W_Mkt*C9+W_Agents*O9</f>
        <v>0.8580026</v>
      </c>
      <c r="U9" s="27" t="n">
        <f aca="false">(1-W_Analyst)*T9+W_Analyst*S9</f>
        <v>0.8580026</v>
      </c>
      <c r="V9" s="24" t="n">
        <f aca="false">LN(MIN(MAX(U9,0.0001),0.9999)/(1-MIN(MAX(U9,0.0001),0.9999)))</f>
        <v>1.79879838221192</v>
      </c>
      <c r="W9" s="25" t="n">
        <v>0.8591</v>
      </c>
    </row>
    <row r="10" customFormat="false" ht="15" hidden="false" customHeight="false" outlineLevel="0" collapsed="false">
      <c r="A10" s="6" t="n">
        <v>273.06</v>
      </c>
      <c r="B10" s="24" t="n">
        <f aca="false">LN(A10)</f>
        <v>5.60969155125661</v>
      </c>
      <c r="C10" s="25" t="n">
        <v>0.7298</v>
      </c>
      <c r="D10" s="25" t="n">
        <v>0.9199</v>
      </c>
      <c r="E10" s="25" t="n">
        <v>0.9199</v>
      </c>
      <c r="F10" s="25" t="n">
        <v>0.9126</v>
      </c>
      <c r="G10" s="25" t="n">
        <v>0.8971</v>
      </c>
      <c r="H10" s="25" t="n">
        <v>0.8914</v>
      </c>
      <c r="I10" s="24" t="n">
        <f aca="false">AVERAGE(D10:H10)</f>
        <v>0.90818</v>
      </c>
      <c r="J10" s="25" t="n">
        <v>0.9108</v>
      </c>
      <c r="K10" s="24" t="n">
        <f aca="false">IF(AND(Sup_Used=1,ISNUMBER(J10)),J10,I10)</f>
        <v>0.90818</v>
      </c>
      <c r="L10" s="24" t="n">
        <f aca="false">LN(MIN(MAX(K10,0.0001),0.9999)/(1-MIN(MAX(K10,0.0001),0.9999)))</f>
        <v>2.29161245801915</v>
      </c>
      <c r="M10" s="16" t="n">
        <f aca="false">A10*EXP(-Platt_Shift)</f>
        <v>273.06</v>
      </c>
      <c r="N10" s="26" t="n">
        <f aca="false">MIN(MAX(IFERROR(MATCH(M10,Distribution!$A$6:$A$20,1),1),1),14)</f>
        <v>5</v>
      </c>
      <c r="O10" s="24" t="n">
        <f aca="false">1/(1+EXP(-(INDEX(Distribution!$L$6:$L$20,N10)+(LN(M10)-INDEX(Distribution!$B$6:$B$20,N10))/(INDEX(Distribution!$B$6:$B$20,N10+1)-INDEX(Distribution!$B$6:$B$20,N10))*(INDEX(Distribution!$L$6:$L$20,N10+1)-INDEX(Distribution!$L$6:$L$20,N10)))))</f>
        <v>0.90818</v>
      </c>
      <c r="P10" s="24" t="n">
        <f aca="false">LN(MIN(MAX(C10,0.0001),0.9999)/(1-MIN(MAX(C10,0.0001),0.9999)))</f>
        <v>0.993608098476249</v>
      </c>
      <c r="Q10" s="16" t="n">
        <f aca="false">IF(Analyst_Median&gt;0,A10*Market_Median/Analyst_Median,A10)</f>
        <v>162.518136217685</v>
      </c>
      <c r="R10" s="26" t="n">
        <f aca="false">MIN(MAX(IFERROR(MATCH(Q10,Distribution!$A$6:$A$20,1),1),1),14)</f>
        <v>2</v>
      </c>
      <c r="S10" s="24" t="n">
        <f aca="false">1/(1+EXP(-(INDEX(Distribution!$P$6:$P$20,R10)+(LN(Q10)-INDEX(Distribution!$B$6:$B$20,R10))/(INDEX(Distribution!$B$6:$B$20,R10+1)-INDEX(Distribution!$B$6:$B$20,R10))*(INDEX(Distribution!$P$6:$P$20,R10+1)-INDEX(Distribution!$P$6:$P$20,R10)))))</f>
        <v>0.941773062527724</v>
      </c>
      <c r="T10" s="24" t="n">
        <f aca="false">W_Mkt*C10+W_Agents*O10</f>
        <v>0.7886654</v>
      </c>
      <c r="U10" s="27" t="n">
        <f aca="false">(1-W_Analyst)*T10+W_Analyst*S10</f>
        <v>0.7886654</v>
      </c>
      <c r="V10" s="24" t="n">
        <f aca="false">LN(MIN(MAX(U10,0.0001),0.9999)/(1-MIN(MAX(U10,0.0001),0.9999)))</f>
        <v>1.31689949034071</v>
      </c>
      <c r="W10" s="25" t="n">
        <v>0.7827</v>
      </c>
    </row>
    <row r="11" customFormat="false" ht="15" hidden="false" customHeight="false" outlineLevel="0" collapsed="false">
      <c r="A11" s="6" t="n">
        <v>312.07</v>
      </c>
      <c r="B11" s="24" t="n">
        <f aca="false">LN(A11)</f>
        <v>5.74322752161913</v>
      </c>
      <c r="C11" s="25" t="n">
        <v>0.6431</v>
      </c>
      <c r="D11" s="25" t="n">
        <v>0.8752</v>
      </c>
      <c r="E11" s="25" t="n">
        <v>0.8747</v>
      </c>
      <c r="F11" s="25" t="n">
        <v>0.8641</v>
      </c>
      <c r="G11" s="25" t="n">
        <v>0.8461</v>
      </c>
      <c r="H11" s="25" t="n">
        <v>0.8388</v>
      </c>
      <c r="I11" s="24" t="n">
        <f aca="false">AVERAGE(D11:H11)</f>
        <v>0.85978</v>
      </c>
      <c r="J11" s="25" t="n">
        <v>0.8636</v>
      </c>
      <c r="K11" s="24" t="n">
        <f aca="false">IF(AND(Sup_Used=1,ISNUMBER(J11)),J11,I11)</f>
        <v>0.85978</v>
      </c>
      <c r="L11" s="24" t="n">
        <f aca="false">LN(MIN(MAX(K11,0.0001),0.9999)/(1-MIN(MAX(K11,0.0001),0.9999)))</f>
        <v>1.81346392478927</v>
      </c>
      <c r="M11" s="16" t="n">
        <f aca="false">A11*EXP(-Platt_Shift)</f>
        <v>312.07</v>
      </c>
      <c r="N11" s="26" t="n">
        <f aca="false">MIN(MAX(IFERROR(MATCH(M11,Distribution!$A$6:$A$20,1),1),1),14)</f>
        <v>6</v>
      </c>
      <c r="O11" s="24" t="n">
        <f aca="false">1/(1+EXP(-(INDEX(Distribution!$L$6:$L$20,N11)+(LN(M11)-INDEX(Distribution!$B$6:$B$20,N11))/(INDEX(Distribution!$B$6:$B$20,N11+1)-INDEX(Distribution!$B$6:$B$20,N11))*(INDEX(Distribution!$L$6:$L$20,N11+1)-INDEX(Distribution!$L$6:$L$20,N11)))))</f>
        <v>0.85978</v>
      </c>
      <c r="P11" s="24" t="n">
        <f aca="false">LN(MIN(MAX(C11,0.0001),0.9999)/(1-MIN(MAX(C11,0.0001),0.9999)))</f>
        <v>0.588844602644703</v>
      </c>
      <c r="Q11" s="16" t="n">
        <f aca="false">IF(Analyst_Median&gt;0,A11*Market_Median/Analyst_Median,A11)</f>
        <v>185.735863068384</v>
      </c>
      <c r="R11" s="26" t="n">
        <f aca="false">MIN(MAX(IFERROR(MATCH(Q11,Distribution!$A$6:$A$20,1),1),1),14)</f>
        <v>2</v>
      </c>
      <c r="S11" s="24" t="n">
        <f aca="false">1/(1+EXP(-(INDEX(Distribution!$P$6:$P$20,R11)+(LN(Q11)-INDEX(Distribution!$B$6:$B$20,R11))/(INDEX(Distribution!$B$6:$B$20,R11+1)-INDEX(Distribution!$B$6:$B$20,R11))*(INDEX(Distribution!$P$6:$P$20,R11+1)-INDEX(Distribution!$P$6:$P$20,R11)))))</f>
        <v>0.907404539090413</v>
      </c>
      <c r="T11" s="24" t="n">
        <f aca="false">W_Mkt*C11+W_Agents*O11</f>
        <v>0.7146044</v>
      </c>
      <c r="U11" s="27" t="n">
        <f aca="false">(1-W_Analyst)*T11+W_Analyst*S11</f>
        <v>0.7146044</v>
      </c>
      <c r="V11" s="24" t="n">
        <f aca="false">LN(MIN(MAX(U11,0.0001),0.9999)/(1-MIN(MAX(U11,0.0001),0.9999)))</f>
        <v>0.917852814895907</v>
      </c>
      <c r="W11" s="25" t="n">
        <v>0.6989</v>
      </c>
    </row>
    <row r="12" customFormat="false" ht="15" hidden="false" customHeight="false" outlineLevel="0" collapsed="false">
      <c r="A12" s="6" t="n">
        <v>351.08</v>
      </c>
      <c r="B12" s="24" t="n">
        <f aca="false">LN(A12)</f>
        <v>5.86101411772392</v>
      </c>
      <c r="C12" s="25" t="n">
        <v>0.5598</v>
      </c>
      <c r="D12" s="25" t="n">
        <v>0.8264</v>
      </c>
      <c r="E12" s="25" t="n">
        <v>0.8206</v>
      </c>
      <c r="F12" s="25" t="n">
        <v>0.8054</v>
      </c>
      <c r="G12" s="25" t="n">
        <v>0.7889</v>
      </c>
      <c r="H12" s="25" t="n">
        <v>0.7784</v>
      </c>
      <c r="I12" s="24" t="n">
        <f aca="false">AVERAGE(D12:H12)</f>
        <v>0.80394</v>
      </c>
      <c r="J12" s="25" t="n">
        <v>0.8094</v>
      </c>
      <c r="K12" s="24" t="n">
        <f aca="false">IF(AND(Sup_Used=1,ISNUMBER(J12)),J12,I12)</f>
        <v>0.80394</v>
      </c>
      <c r="L12" s="24" t="n">
        <f aca="false">LN(MIN(MAX(K12,0.0001),0.9999)/(1-MIN(MAX(K12,0.0001),0.9999)))</f>
        <v>1.41110390469499</v>
      </c>
      <c r="M12" s="16" t="n">
        <f aca="false">A12*EXP(-Platt_Shift)</f>
        <v>351.08</v>
      </c>
      <c r="N12" s="26" t="n">
        <f aca="false">MIN(MAX(IFERROR(MATCH(M12,Distribution!$A$6:$A$20,1),1),1),14)</f>
        <v>7</v>
      </c>
      <c r="O12" s="24" t="n">
        <f aca="false">1/(1+EXP(-(INDEX(Distribution!$L$6:$L$20,N12)+(LN(M12)-INDEX(Distribution!$B$6:$B$20,N12))/(INDEX(Distribution!$B$6:$B$20,N12+1)-INDEX(Distribution!$B$6:$B$20,N12))*(INDEX(Distribution!$L$6:$L$20,N12+1)-INDEX(Distribution!$L$6:$L$20,N12)))))</f>
        <v>0.80394</v>
      </c>
      <c r="P12" s="24" t="n">
        <f aca="false">LN(MIN(MAX(C12,0.0001),0.9999)/(1-MIN(MAX(C12,0.0001),0.9999)))</f>
        <v>0.240350407988992</v>
      </c>
      <c r="Q12" s="16" t="n">
        <f aca="false">IF(Analyst_Median&gt;0,A12*Market_Median/Analyst_Median,A12)</f>
        <v>208.953589919084</v>
      </c>
      <c r="R12" s="26" t="n">
        <f aca="false">MIN(MAX(IFERROR(MATCH(Q12,Distribution!$A$6:$A$20,1),1),1),14)</f>
        <v>3</v>
      </c>
      <c r="S12" s="24" t="n">
        <f aca="false">1/(1+EXP(-(INDEX(Distribution!$P$6:$P$20,R12)+(LN(Q12)-INDEX(Distribution!$B$6:$B$20,R12))/(INDEX(Distribution!$B$6:$B$20,R12+1)-INDEX(Distribution!$B$6:$B$20,R12))*(INDEX(Distribution!$P$6:$P$20,R12+1)-INDEX(Distribution!$P$6:$P$20,R12)))))</f>
        <v>0.865918612867178</v>
      </c>
      <c r="T12" s="24" t="n">
        <f aca="false">W_Mkt*C12+W_Agents*O12</f>
        <v>0.6403662</v>
      </c>
      <c r="U12" s="27" t="n">
        <f aca="false">(1-W_Analyst)*T12+W_Analyst*S12</f>
        <v>0.6403662</v>
      </c>
      <c r="V12" s="24" t="n">
        <f aca="false">LN(MIN(MAX(U12,0.0001),0.9999)/(1-MIN(MAX(U12,0.0001),0.9999)))</f>
        <v>0.576953908710581</v>
      </c>
      <c r="W12" s="25" t="n">
        <v>0.6137</v>
      </c>
    </row>
    <row r="13" customFormat="false" ht="15" hidden="false" customHeight="false" outlineLevel="0" collapsed="false">
      <c r="A13" s="6" t="n">
        <v>390.09</v>
      </c>
      <c r="B13" s="24" t="n">
        <f aca="false">LN(A13)</f>
        <v>5.96637748173134</v>
      </c>
      <c r="C13" s="25" t="n">
        <v>0.4827</v>
      </c>
      <c r="D13" s="25" t="n">
        <v>0.7717</v>
      </c>
      <c r="E13" s="25" t="n">
        <v>0.7582</v>
      </c>
      <c r="F13" s="25" t="n">
        <v>0.7395</v>
      </c>
      <c r="G13" s="25" t="n">
        <v>0.7262</v>
      </c>
      <c r="H13" s="25" t="n">
        <v>0.7157</v>
      </c>
      <c r="I13" s="24" t="n">
        <f aca="false">AVERAGE(D13:H13)</f>
        <v>0.74226</v>
      </c>
      <c r="J13" s="25" t="n">
        <v>0.7487</v>
      </c>
      <c r="K13" s="24" t="n">
        <f aca="false">IF(AND(Sup_Used=1,ISNUMBER(J13)),J13,I13)</f>
        <v>0.74226</v>
      </c>
      <c r="L13" s="24" t="n">
        <f aca="false">LN(MIN(MAX(K13,0.0001),0.9999)/(1-MIN(MAX(K13,0.0001),0.9999)))</f>
        <v>1.05774826124255</v>
      </c>
      <c r="M13" s="16" t="n">
        <f aca="false">A13*EXP(-Platt_Shift)</f>
        <v>390.09</v>
      </c>
      <c r="N13" s="26" t="n">
        <f aca="false">MIN(MAX(IFERROR(MATCH(M13,Distribution!$A$6:$A$20,1),1),1),14)</f>
        <v>8</v>
      </c>
      <c r="O13" s="24" t="n">
        <f aca="false">1/(1+EXP(-(INDEX(Distribution!$L$6:$L$20,N13)+(LN(M13)-INDEX(Distribution!$B$6:$B$20,N13))/(INDEX(Distribution!$B$6:$B$20,N13+1)-INDEX(Distribution!$B$6:$B$20,N13))*(INDEX(Distribution!$L$6:$L$20,N13+1)-INDEX(Distribution!$L$6:$L$20,N13)))))</f>
        <v>0.74226</v>
      </c>
      <c r="P13" s="24" t="n">
        <f aca="false">LN(MIN(MAX(C13,0.0001),0.9999)/(1-MIN(MAX(C13,0.0001),0.9999)))</f>
        <v>-0.0692276343430221</v>
      </c>
      <c r="Q13" s="16" t="n">
        <f aca="false">IF(Analyst_Median&gt;0,A13*Market_Median/Analyst_Median,A13)</f>
        <v>232.171316769783</v>
      </c>
      <c r="R13" s="26" t="n">
        <f aca="false">MIN(MAX(IFERROR(MATCH(Q13,Distribution!$A$6:$A$20,1),1),1),14)</f>
        <v>3</v>
      </c>
      <c r="S13" s="24" t="n">
        <f aca="false">1/(1+EXP(-(INDEX(Distribution!$P$6:$P$20,R13)+(LN(Q13)-INDEX(Distribution!$B$6:$B$20,R13))/(INDEX(Distribution!$B$6:$B$20,R13+1)-INDEX(Distribution!$B$6:$B$20,R13))*(INDEX(Distribution!$P$6:$P$20,R13+1)-INDEX(Distribution!$P$6:$P$20,R13)))))</f>
        <v>0.818789017891582</v>
      </c>
      <c r="T13" s="24" t="n">
        <f aca="false">W_Mkt*C13+W_Agents*O13</f>
        <v>0.5683548</v>
      </c>
      <c r="U13" s="27" t="n">
        <f aca="false">(1-W_Analyst)*T13+W_Analyst*S13</f>
        <v>0.5683548</v>
      </c>
      <c r="V13" s="24" t="n">
        <f aca="false">LN(MIN(MAX(U13,0.0001),0.9999)/(1-MIN(MAX(U13,0.0001),0.9999)))</f>
        <v>0.275141917097954</v>
      </c>
      <c r="W13" s="25" t="n">
        <v>0.5315</v>
      </c>
    </row>
    <row r="14" customFormat="false" ht="15" hidden="false" customHeight="false" outlineLevel="0" collapsed="false">
      <c r="A14" s="6" t="n">
        <v>429.1</v>
      </c>
      <c r="B14" s="24" t="n">
        <f aca="false">LN(A14)</f>
        <v>6.06168999199748</v>
      </c>
      <c r="C14" s="25" t="n">
        <v>0.4135</v>
      </c>
      <c r="D14" s="25" t="n">
        <v>0.711</v>
      </c>
      <c r="E14" s="25" t="n">
        <v>0.6917</v>
      </c>
      <c r="F14" s="25" t="n">
        <v>0.669</v>
      </c>
      <c r="G14" s="25" t="n">
        <v>0.6612</v>
      </c>
      <c r="H14" s="25" t="n">
        <v>0.6511</v>
      </c>
      <c r="I14" s="24" t="n">
        <f aca="false">AVERAGE(D14:H14)</f>
        <v>0.6768</v>
      </c>
      <c r="J14" s="25" t="n">
        <v>0.6844</v>
      </c>
      <c r="K14" s="24" t="n">
        <f aca="false">IF(AND(Sup_Used=1,ISNUMBER(J14)),J14,I14)</f>
        <v>0.6768</v>
      </c>
      <c r="L14" s="24" t="n">
        <f aca="false">LN(MIN(MAX(K14,0.0001),0.9999)/(1-MIN(MAX(K14,0.0001),0.9999)))</f>
        <v>0.739104481645073</v>
      </c>
      <c r="M14" s="16" t="n">
        <f aca="false">A14*EXP(-Platt_Shift)</f>
        <v>429.1</v>
      </c>
      <c r="N14" s="26" t="n">
        <f aca="false">MIN(MAX(IFERROR(MATCH(M14,Distribution!$A$6:$A$20,1),1),1),14)</f>
        <v>9</v>
      </c>
      <c r="O14" s="24" t="n">
        <f aca="false">1/(1+EXP(-(INDEX(Distribution!$L$6:$L$20,N14)+(LN(M14)-INDEX(Distribution!$B$6:$B$20,N14))/(INDEX(Distribution!$B$6:$B$20,N14+1)-INDEX(Distribution!$B$6:$B$20,N14))*(INDEX(Distribution!$L$6:$L$20,N14+1)-INDEX(Distribution!$L$6:$L$20,N14)))))</f>
        <v>0.6768</v>
      </c>
      <c r="P14" s="24" t="n">
        <f aca="false">LN(MIN(MAX(C14,0.0001),0.9999)/(1-MIN(MAX(C14,0.0001),0.9999)))</f>
        <v>-0.349515153629784</v>
      </c>
      <c r="Q14" s="16" t="n">
        <f aca="false">IF(Analyst_Median&gt;0,A14*Market_Median/Analyst_Median,A14)</f>
        <v>255.389043620482</v>
      </c>
      <c r="R14" s="26" t="n">
        <f aca="false">MIN(MAX(IFERROR(MATCH(Q14,Distribution!$A$6:$A$20,1),1),1),14)</f>
        <v>4</v>
      </c>
      <c r="S14" s="24" t="n">
        <f aca="false">1/(1+EXP(-(INDEX(Distribution!$P$6:$P$20,R14)+(LN(Q14)-INDEX(Distribution!$B$6:$B$20,R14))/(INDEX(Distribution!$B$6:$B$20,R14+1)-INDEX(Distribution!$B$6:$B$20,R14))*(INDEX(Distribution!$P$6:$P$20,R14+1)-INDEX(Distribution!$P$6:$P$20,R14)))))</f>
        <v>0.769424895259675</v>
      </c>
      <c r="T14" s="24" t="n">
        <f aca="false">W_Mkt*C14+W_Agents*O14</f>
        <v>0.500389</v>
      </c>
      <c r="U14" s="27" t="n">
        <f aca="false">(1-W_Analyst)*T14+W_Analyst*S14</f>
        <v>0.500389</v>
      </c>
      <c r="V14" s="24" t="n">
        <f aca="false">LN(MIN(MAX(U14,0.0001),0.9999)/(1-MIN(MAX(U14,0.0001),0.9999)))</f>
        <v>0.00155600031394064</v>
      </c>
      <c r="W14" s="25" t="n">
        <v>0.4546</v>
      </c>
    </row>
    <row r="15" customFormat="false" ht="15" hidden="false" customHeight="false" outlineLevel="0" collapsed="false">
      <c r="A15" s="6" t="n">
        <v>468.11</v>
      </c>
      <c r="B15" s="24" t="n">
        <f aca="false">LN(A15)</f>
        <v>6.14870331103447</v>
      </c>
      <c r="C15" s="25" t="n">
        <v>0.3526</v>
      </c>
      <c r="D15" s="25" t="n">
        <v>0.6449</v>
      </c>
      <c r="E15" s="25" t="n">
        <v>0.6249</v>
      </c>
      <c r="F15" s="25" t="n">
        <v>0.597</v>
      </c>
      <c r="G15" s="25" t="n">
        <v>0.5966</v>
      </c>
      <c r="H15" s="25" t="n">
        <v>0.5866</v>
      </c>
      <c r="I15" s="24" t="n">
        <f aca="false">AVERAGE(D15:H15)</f>
        <v>0.61</v>
      </c>
      <c r="J15" s="25" t="n">
        <v>0.6188</v>
      </c>
      <c r="K15" s="24" t="n">
        <f aca="false">IF(AND(Sup_Used=1,ISNUMBER(J15)),J15,I15)</f>
        <v>0.61</v>
      </c>
      <c r="L15" s="24" t="n">
        <f aca="false">LN(MIN(MAX(K15,0.0001),0.9999)/(1-MIN(MAX(K15,0.0001),0.9999)))</f>
        <v>0.447312218043665</v>
      </c>
      <c r="M15" s="16" t="n">
        <f aca="false">A15*EXP(-Platt_Shift)</f>
        <v>468.11</v>
      </c>
      <c r="N15" s="26" t="n">
        <f aca="false">MIN(MAX(IFERROR(MATCH(M15,Distribution!$A$6:$A$20,1),1),1),14)</f>
        <v>10</v>
      </c>
      <c r="O15" s="24" t="n">
        <f aca="false">1/(1+EXP(-(INDEX(Distribution!$L$6:$L$20,N15)+(LN(M15)-INDEX(Distribution!$B$6:$B$20,N15))/(INDEX(Distribution!$B$6:$B$20,N15+1)-INDEX(Distribution!$B$6:$B$20,N15))*(INDEX(Distribution!$L$6:$L$20,N15+1)-INDEX(Distribution!$L$6:$L$20,N15)))))</f>
        <v>0.61</v>
      </c>
      <c r="P15" s="24" t="n">
        <f aca="false">LN(MIN(MAX(C15,0.0001),0.9999)/(1-MIN(MAX(C15,0.0001),0.9999)))</f>
        <v>-0.607630071528374</v>
      </c>
      <c r="Q15" s="16" t="n">
        <f aca="false">IF(Analyst_Median&gt;0,A15*Market_Median/Analyst_Median,A15)</f>
        <v>278.606770471181</v>
      </c>
      <c r="R15" s="26" t="n">
        <f aca="false">MIN(MAX(IFERROR(MATCH(Q15,Distribution!$A$6:$A$20,1),1),1),14)</f>
        <v>5</v>
      </c>
      <c r="S15" s="24" t="n">
        <f aca="false">1/(1+EXP(-(INDEX(Distribution!$P$6:$P$20,R15)+(LN(Q15)-INDEX(Distribution!$B$6:$B$20,R15))/(INDEX(Distribution!$B$6:$B$20,R15+1)-INDEX(Distribution!$B$6:$B$20,R15))*(INDEX(Distribution!$P$6:$P$20,R15+1)-INDEX(Distribution!$P$6:$P$20,R15)))))</f>
        <v>0.717613182125413</v>
      </c>
      <c r="T15" s="24" t="n">
        <f aca="false">W_Mkt*C15+W_Agents*O15</f>
        <v>0.437542</v>
      </c>
      <c r="U15" s="27" t="n">
        <f aca="false">(1-W_Analyst)*T15+W_Analyst*S15</f>
        <v>0.437542</v>
      </c>
      <c r="V15" s="24" t="n">
        <f aca="false">LN(MIN(MAX(U15,0.0001),0.9999)/(1-MIN(MAX(U15,0.0001),0.9999)))</f>
        <v>-0.25114376343425</v>
      </c>
      <c r="W15" s="25" t="n">
        <v>0.3828</v>
      </c>
    </row>
    <row r="16" customFormat="false" ht="15" hidden="false" customHeight="false" outlineLevel="0" collapsed="false">
      <c r="A16" s="6" t="n">
        <v>526.62</v>
      </c>
      <c r="B16" s="24" t="n">
        <f aca="false">LN(A16)</f>
        <v>6.26647922583208</v>
      </c>
      <c r="C16" s="25" t="n">
        <v>0.276</v>
      </c>
      <c r="D16" s="25" t="n">
        <v>0.5345</v>
      </c>
      <c r="E16" s="25" t="n">
        <v>0.5268</v>
      </c>
      <c r="F16" s="25" t="n">
        <v>0.4943</v>
      </c>
      <c r="G16" s="25" t="n">
        <v>0.5051</v>
      </c>
      <c r="H16" s="25" t="n">
        <v>0.4957</v>
      </c>
      <c r="I16" s="24" t="n">
        <f aca="false">AVERAGE(D16:H16)</f>
        <v>0.51128</v>
      </c>
      <c r="J16" s="25" t="n">
        <v>0.5207</v>
      </c>
      <c r="K16" s="24" t="n">
        <f aca="false">IF(AND(Sup_Used=1,ISNUMBER(J16)),J16,I16)</f>
        <v>0.51128</v>
      </c>
      <c r="L16" s="24" t="n">
        <f aca="false">LN(MIN(MAX(K16,0.0001),0.9999)/(1-MIN(MAX(K16,0.0001),0.9999)))</f>
        <v>0.0451276570005147</v>
      </c>
      <c r="M16" s="16" t="n">
        <f aca="false">A16*EXP(-Platt_Shift)</f>
        <v>526.62</v>
      </c>
      <c r="N16" s="26" t="n">
        <f aca="false">MIN(MAX(IFERROR(MATCH(M16,Distribution!$A$6:$A$20,1),1),1),14)</f>
        <v>11</v>
      </c>
      <c r="O16" s="24" t="n">
        <f aca="false">1/(1+EXP(-(INDEX(Distribution!$L$6:$L$20,N16)+(LN(M16)-INDEX(Distribution!$B$6:$B$20,N16))/(INDEX(Distribution!$B$6:$B$20,N16+1)-INDEX(Distribution!$B$6:$B$20,N16))*(INDEX(Distribution!$L$6:$L$20,N16+1)-INDEX(Distribution!$L$6:$L$20,N16)))))</f>
        <v>0.51128</v>
      </c>
      <c r="P16" s="24" t="n">
        <f aca="false">LN(MIN(MAX(C16,0.0001),0.9999)/(1-MIN(MAX(C16,0.0001),0.9999)))</f>
        <v>-0.964390526668566</v>
      </c>
      <c r="Q16" s="16" t="n">
        <f aca="false">IF(Analyst_Median&gt;0,A16*Market_Median/Analyst_Median,A16)</f>
        <v>313.430384878625</v>
      </c>
      <c r="R16" s="26" t="n">
        <f aca="false">MIN(MAX(IFERROR(MATCH(Q16,Distribution!$A$6:$A$20,1),1),1),14)</f>
        <v>6</v>
      </c>
      <c r="S16" s="24" t="n">
        <f aca="false">1/(1+EXP(-(INDEX(Distribution!$P$6:$P$20,R16)+(LN(Q16)-INDEX(Distribution!$B$6:$B$20,R16))/(INDEX(Distribution!$B$6:$B$20,R16+1)-INDEX(Distribution!$B$6:$B$20,R16))*(INDEX(Distribution!$P$6:$P$20,R16+1)-INDEX(Distribution!$P$6:$P$20,R16)))))</f>
        <v>0.640140732842</v>
      </c>
      <c r="T16" s="24" t="n">
        <f aca="false">W_Mkt*C16+W_Agents*O16</f>
        <v>0.3536424</v>
      </c>
      <c r="U16" s="27" t="n">
        <f aca="false">(1-W_Analyst)*T16+W_Analyst*S16</f>
        <v>0.3536424</v>
      </c>
      <c r="V16" s="24" t="n">
        <f aca="false">LN(MIN(MAX(U16,0.0001),0.9999)/(1-MIN(MAX(U16,0.0001),0.9999)))</f>
        <v>-0.603066677918914</v>
      </c>
      <c r="W16" s="25" t="n">
        <v>0.2902</v>
      </c>
    </row>
    <row r="17" customFormat="false" ht="15" hidden="false" customHeight="false" outlineLevel="0" collapsed="false">
      <c r="A17" s="6" t="n">
        <v>585.13</v>
      </c>
      <c r="B17" s="24" t="n">
        <f aca="false">LN(A17)</f>
        <v>6.37183404476638</v>
      </c>
      <c r="C17" s="25" t="n">
        <v>0.2152</v>
      </c>
      <c r="D17" s="25" t="n">
        <v>0.4233</v>
      </c>
      <c r="E17" s="25" t="n">
        <v>0.4357</v>
      </c>
      <c r="F17" s="25" t="n">
        <v>0.4021</v>
      </c>
      <c r="G17" s="25" t="n">
        <v>0.4204</v>
      </c>
      <c r="H17" s="25" t="n">
        <v>0.4114</v>
      </c>
      <c r="I17" s="24" t="n">
        <f aca="false">AVERAGE(D17:H17)</f>
        <v>0.41858</v>
      </c>
      <c r="J17" s="25" t="n">
        <v>0.4288</v>
      </c>
      <c r="K17" s="24" t="n">
        <f aca="false">IF(AND(Sup_Used=1,ISNUMBER(J17)),J17,I17)</f>
        <v>0.41858</v>
      </c>
      <c r="L17" s="24" t="n">
        <f aca="false">LN(MIN(MAX(K17,0.0001),0.9999)/(1-MIN(MAX(K17,0.0001),0.9999)))</f>
        <v>-0.328605356696089</v>
      </c>
      <c r="M17" s="16" t="n">
        <f aca="false">A17*EXP(-Platt_Shift)</f>
        <v>585.13</v>
      </c>
      <c r="N17" s="26" t="n">
        <f aca="false">MIN(MAX(IFERROR(MATCH(M17,Distribution!$A$6:$A$20,1),1),1),14)</f>
        <v>12</v>
      </c>
      <c r="O17" s="24" t="n">
        <f aca="false">1/(1+EXP(-(INDEX(Distribution!$L$6:$L$20,N17)+(LN(M17)-INDEX(Distribution!$B$6:$B$20,N17))/(INDEX(Distribution!$B$6:$B$20,N17+1)-INDEX(Distribution!$B$6:$B$20,N17))*(INDEX(Distribution!$L$6:$L$20,N17+1)-INDEX(Distribution!$L$6:$L$20,N17)))))</f>
        <v>0.41858</v>
      </c>
      <c r="P17" s="24" t="n">
        <f aca="false">LN(MIN(MAX(C17,0.0001),0.9999)/(1-MIN(MAX(C17,0.0001),0.9999)))</f>
        <v>-1.29386107996352</v>
      </c>
      <c r="Q17" s="16" t="n">
        <f aca="false">IF(Analyst_Median&gt;0,A17*Market_Median/Analyst_Median,A17)</f>
        <v>348.25399928607</v>
      </c>
      <c r="R17" s="26" t="n">
        <f aca="false">MIN(MAX(IFERROR(MATCH(Q17,Distribution!$A$6:$A$20,1),1),1),14)</f>
        <v>6</v>
      </c>
      <c r="S17" s="24" t="n">
        <f aca="false">1/(1+EXP(-(INDEX(Distribution!$P$6:$P$20,R17)+(LN(Q17)-INDEX(Distribution!$B$6:$B$20,R17))/(INDEX(Distribution!$B$6:$B$20,R17+1)-INDEX(Distribution!$B$6:$B$20,R17))*(INDEX(Distribution!$P$6:$P$20,R17+1)-INDEX(Distribution!$P$6:$P$20,R17)))))</f>
        <v>0.565683846762535</v>
      </c>
      <c r="T17" s="24" t="n">
        <f aca="false">W_Mkt*C17+W_Agents*O17</f>
        <v>0.2823154</v>
      </c>
      <c r="U17" s="27" t="n">
        <f aca="false">(1-W_Analyst)*T17+W_Analyst*S17</f>
        <v>0.2823154</v>
      </c>
      <c r="V17" s="24" t="n">
        <f aca="false">LN(MIN(MAX(U17,0.0001),0.9999)/(1-MIN(MAX(U17,0.0001),0.9999)))</f>
        <v>-0.933005311105654</v>
      </c>
      <c r="W17" s="25" t="n">
        <v>0.2177</v>
      </c>
    </row>
    <row r="18" customFormat="false" ht="15" hidden="false" customHeight="false" outlineLevel="0" collapsed="false">
      <c r="A18" s="6" t="n">
        <v>682.66</v>
      </c>
      <c r="B18" s="24" t="n">
        <f aca="false">LN(A18)</f>
        <v>6.52599693181861</v>
      </c>
      <c r="C18" s="25" t="n">
        <v>0.1419</v>
      </c>
      <c r="D18" s="25" t="n">
        <v>0.2743</v>
      </c>
      <c r="E18" s="25" t="n">
        <v>0.3092</v>
      </c>
      <c r="F18" s="25" t="n">
        <v>0.2768</v>
      </c>
      <c r="G18" s="25" t="n">
        <v>0.3044</v>
      </c>
      <c r="H18" s="25" t="n">
        <v>0.2962</v>
      </c>
      <c r="I18" s="24" t="n">
        <f aca="false">AVERAGE(D18:H18)</f>
        <v>0.29218</v>
      </c>
      <c r="J18" s="25" t="n">
        <v>0.3011</v>
      </c>
      <c r="K18" s="24" t="n">
        <f aca="false">IF(AND(Sup_Used=1,ISNUMBER(J18)),J18,I18)</f>
        <v>0.29218</v>
      </c>
      <c r="L18" s="24" t="n">
        <f aca="false">LN(MIN(MAX(K18,0.0001),0.9999)/(1-MIN(MAX(K18,0.0001),0.9999)))</f>
        <v>-0.884819773377438</v>
      </c>
      <c r="M18" s="16" t="n">
        <f aca="false">A18*EXP(-Platt_Shift)</f>
        <v>682.66</v>
      </c>
      <c r="N18" s="26" t="n">
        <f aca="false">MIN(MAX(IFERROR(MATCH(M18,Distribution!$A$6:$A$20,1),1),1),14)</f>
        <v>13</v>
      </c>
      <c r="O18" s="24" t="n">
        <f aca="false">1/(1+EXP(-(INDEX(Distribution!$L$6:$L$20,N18)+(LN(M18)-INDEX(Distribution!$B$6:$B$20,N18))/(INDEX(Distribution!$B$6:$B$20,N18+1)-INDEX(Distribution!$B$6:$B$20,N18))*(INDEX(Distribution!$L$6:$L$20,N18+1)-INDEX(Distribution!$L$6:$L$20,N18)))))</f>
        <v>0.29218</v>
      </c>
      <c r="P18" s="24" t="n">
        <f aca="false">LN(MIN(MAX(C18,0.0001),0.9999)/(1-MIN(MAX(C18,0.0001),0.9999)))</f>
        <v>-1.79959805864708</v>
      </c>
      <c r="Q18" s="16" t="n">
        <f aca="false">IF(Analyst_Median&gt;0,A18*Market_Median/Analyst_Median,A18)</f>
        <v>406.301292281422</v>
      </c>
      <c r="R18" s="26" t="n">
        <f aca="false">MIN(MAX(IFERROR(MATCH(Q18,Distribution!$A$6:$A$20,1),1),1),14)</f>
        <v>8</v>
      </c>
      <c r="S18" s="24" t="n">
        <f aca="false">1/(1+EXP(-(INDEX(Distribution!$P$6:$P$20,R18)+(LN(Q18)-INDEX(Distribution!$B$6:$B$20,R18))/(INDEX(Distribution!$B$6:$B$20,R18+1)-INDEX(Distribution!$B$6:$B$20,R18))*(INDEX(Distribution!$P$6:$P$20,R18+1)-INDEX(Distribution!$P$6:$P$20,R18)))))</f>
        <v>0.452898462598511</v>
      </c>
      <c r="T18" s="24" t="n">
        <f aca="false">W_Mkt*C18+W_Agents*O18</f>
        <v>0.1914924</v>
      </c>
      <c r="U18" s="27" t="n">
        <f aca="false">(1-W_Analyst)*T18+W_Analyst*S18</f>
        <v>0.1914924</v>
      </c>
      <c r="V18" s="24" t="n">
        <f aca="false">LN(MIN(MAX(U18,0.0001),0.9999)/(1-MIN(MAX(U18,0.0001),0.9999)))</f>
        <v>-1.44034195794758</v>
      </c>
      <c r="W18" s="25" t="n">
        <v>0.1339</v>
      </c>
    </row>
    <row r="19" customFormat="false" ht="15" hidden="false" customHeight="false" outlineLevel="0" collapsed="false">
      <c r="A19" s="6" t="n">
        <v>780.18</v>
      </c>
      <c r="B19" s="24" t="n">
        <f aca="false">LN(A19)</f>
        <v>6.65952466229128</v>
      </c>
      <c r="C19" s="25" t="n">
        <v>0.0939</v>
      </c>
      <c r="D19" s="25" t="n">
        <v>0.1772</v>
      </c>
      <c r="E19" s="25" t="n">
        <v>0.2143</v>
      </c>
      <c r="F19" s="25" t="n">
        <v>0.1859</v>
      </c>
      <c r="G19" s="25" t="n">
        <v>0.2172</v>
      </c>
      <c r="H19" s="25" t="n">
        <v>0.2084</v>
      </c>
      <c r="I19" s="24" t="n">
        <f aca="false">AVERAGE(D19:H19)</f>
        <v>0.2006</v>
      </c>
      <c r="J19" s="25" t="n">
        <v>0.2078</v>
      </c>
      <c r="K19" s="24" t="n">
        <f aca="false">IF(AND(Sup_Used=1,ISNUMBER(J19)),J19,I19)</f>
        <v>0.2006</v>
      </c>
      <c r="L19" s="24" t="n">
        <f aca="false">LN(MIN(MAX(K19,0.0001),0.9999)/(1-MIN(MAX(K19,0.0001),0.9999)))</f>
        <v>-1.38254857074939</v>
      </c>
      <c r="M19" s="16" t="n">
        <f aca="false">A19*EXP(-Platt_Shift)</f>
        <v>780.18</v>
      </c>
      <c r="N19" s="26" t="n">
        <f aca="false">MIN(MAX(IFERROR(MATCH(M19,Distribution!$A$6:$A$20,1),1),1),14)</f>
        <v>14</v>
      </c>
      <c r="O19" s="24" t="n">
        <f aca="false">1/(1+EXP(-(INDEX(Distribution!$L$6:$L$20,N19)+(LN(M19)-INDEX(Distribution!$B$6:$B$20,N19))/(INDEX(Distribution!$B$6:$B$20,N19+1)-INDEX(Distribution!$B$6:$B$20,N19))*(INDEX(Distribution!$L$6:$L$20,N19+1)-INDEX(Distribution!$L$6:$L$20,N19)))))</f>
        <v>0.2006</v>
      </c>
      <c r="P19" s="24" t="n">
        <f aca="false">LN(MIN(MAX(C19,0.0001),0.9999)/(1-MIN(MAX(C19,0.0001),0.9999)))</f>
        <v>-2.2669192890138</v>
      </c>
      <c r="Q19" s="16" t="n">
        <f aca="false">IF(Analyst_Median&gt;0,A19*Market_Median/Analyst_Median,A19)</f>
        <v>464.342633539565</v>
      </c>
      <c r="R19" s="26" t="n">
        <f aca="false">MIN(MAX(IFERROR(MATCH(Q19,Distribution!$A$6:$A$20,1),1),1),14)</f>
        <v>9</v>
      </c>
      <c r="S19" s="24" t="n">
        <f aca="false">1/(1+EXP(-(INDEX(Distribution!$P$6:$P$20,R19)+(LN(Q19)-INDEX(Distribution!$B$6:$B$20,R19))/(INDEX(Distribution!$B$6:$B$20,R19+1)-INDEX(Distribution!$B$6:$B$20,R19))*(INDEX(Distribution!$P$6:$P$20,R19+1)-INDEX(Distribution!$P$6:$P$20,R19)))))</f>
        <v>0.358090882107539</v>
      </c>
      <c r="T19" s="24" t="n">
        <f aca="false">W_Mkt*C19+W_Agents*O19</f>
        <v>0.129111</v>
      </c>
      <c r="U19" s="27" t="n">
        <f aca="false">(1-W_Analyst)*T19+W_Analyst*S19</f>
        <v>0.129111</v>
      </c>
      <c r="V19" s="24" t="n">
        <f aca="false">LN(MIN(MAX(U19,0.0001),0.9999)/(1-MIN(MAX(U19,0.0001),0.9999)))</f>
        <v>-1.90884202951685</v>
      </c>
      <c r="W19" s="25" t="n">
        <v>0.0831</v>
      </c>
    </row>
    <row r="20" customFormat="false" ht="15" hidden="false" customHeight="false" outlineLevel="0" collapsed="false">
      <c r="A20" s="6" t="n">
        <v>975.23</v>
      </c>
      <c r="B20" s="24" t="n">
        <f aca="false">LN(A20)</f>
        <v>6.88267334061432</v>
      </c>
      <c r="C20" s="25" t="n">
        <v>0.0421</v>
      </c>
      <c r="D20" s="25" t="n">
        <v>0.066</v>
      </c>
      <c r="E20" s="25" t="n">
        <v>0.099</v>
      </c>
      <c r="F20" s="25" t="n">
        <v>0.0816</v>
      </c>
      <c r="G20" s="25" t="n">
        <v>0.1087</v>
      </c>
      <c r="H20" s="25" t="n">
        <v>0.103</v>
      </c>
      <c r="I20" s="24" t="n">
        <f aca="false">AVERAGE(D20:H20)</f>
        <v>0.09166</v>
      </c>
      <c r="J20" s="25" t="n">
        <v>0.0967</v>
      </c>
      <c r="K20" s="24" t="n">
        <f aca="false">IF(AND(Sup_Used=1,ISNUMBER(J20)),J20,I20)</f>
        <v>0.09166</v>
      </c>
      <c r="L20" s="24" t="n">
        <f aca="false">LN(MIN(MAX(K20,0.0001),0.9999)/(1-MIN(MAX(K20,0.0001),0.9999)))</f>
        <v>-2.29353267877086</v>
      </c>
      <c r="M20" s="16" t="n">
        <f aca="false">A20*EXP(-Platt_Shift)</f>
        <v>975.23</v>
      </c>
      <c r="N20" s="26" t="n">
        <f aca="false">MIN(MAX(IFERROR(MATCH(M20,Distribution!$A$6:$A$20,1),1),1),14)</f>
        <v>14</v>
      </c>
      <c r="O20" s="24" t="n">
        <f aca="false">1/(1+EXP(-(INDEX(Distribution!$L$6:$L$20,N20)+(LN(M20)-INDEX(Distribution!$B$6:$B$20,N20))/(INDEX(Distribution!$B$6:$B$20,N20+1)-INDEX(Distribution!$B$6:$B$20,N20))*(INDEX(Distribution!$L$6:$L$20,N20+1)-INDEX(Distribution!$L$6:$L$20,N20)))))</f>
        <v>0.09166</v>
      </c>
      <c r="P20" s="24" t="n">
        <f aca="false">LN(MIN(MAX(C20,0.0001),0.9999)/(1-MIN(MAX(C20,0.0001),0.9999)))</f>
        <v>-3.12469564770051</v>
      </c>
      <c r="Q20" s="16" t="n">
        <f aca="false">IF(Analyst_Median&gt;0,A20*Market_Median/Analyst_Median,A20)</f>
        <v>580.431267793061</v>
      </c>
      <c r="R20" s="26" t="n">
        <f aca="false">MIN(MAX(IFERROR(MATCH(Q20,Distribution!$A$6:$A$20,1),1),1),14)</f>
        <v>11</v>
      </c>
      <c r="S20" s="24" t="n">
        <f aca="false">1/(1+EXP(-(INDEX(Distribution!$P$6:$P$20,R20)+(LN(Q20)-INDEX(Distribution!$B$6:$B$20,R20))/(INDEX(Distribution!$B$6:$B$20,R20+1)-INDEX(Distribution!$B$6:$B$20,R20))*(INDEX(Distribution!$P$6:$P$20,R20+1)-INDEX(Distribution!$P$6:$P$20,R20)))))</f>
        <v>0.219488921608726</v>
      </c>
      <c r="T20" s="24" t="n">
        <f aca="false">W_Mkt*C20+W_Agents*O20</f>
        <v>0.0584548</v>
      </c>
      <c r="U20" s="27" t="n">
        <f aca="false">(1-W_Analyst)*T20+W_Analyst*S20</f>
        <v>0.0584548</v>
      </c>
      <c r="V20" s="24" t="n">
        <f aca="false">LN(MIN(MAX(U20,0.0001),0.9999)/(1-MIN(MAX(U20,0.0001),0.9999)))</f>
        <v>-2.77926854942428</v>
      </c>
      <c r="W20" s="25" t="n">
        <v>0.0341</v>
      </c>
    </row>
    <row r="22" customFormat="false" ht="15" hidden="false" customHeight="false" outlineLevel="0" collapsed="false">
      <c r="A2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23.85" hidden="false" customHeight="false" outlineLevel="0" collapsed="false">
      <c r="A4" s="23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</row>
    <row r="5" customFormat="false" ht="15" hidden="false" customHeight="false" outlineLevel="0" collapsed="false">
      <c r="A5" s="5" t="s">
        <v>29</v>
      </c>
      <c r="B5" s="28" t="s">
        <v>112</v>
      </c>
      <c r="C5" s="6" t="n">
        <v>516.03</v>
      </c>
      <c r="D5" s="12" t="n">
        <v>0.5</v>
      </c>
      <c r="E5" s="16" t="n">
        <f aca="false">C5*D5</f>
        <v>258.015</v>
      </c>
      <c r="F5" s="28"/>
      <c r="G5" s="28" t="s">
        <v>113</v>
      </c>
    </row>
    <row r="6" customFormat="false" ht="15" hidden="false" customHeight="false" outlineLevel="0" collapsed="false">
      <c r="A6" s="5" t="s">
        <v>29</v>
      </c>
      <c r="B6" s="28" t="s">
        <v>112</v>
      </c>
      <c r="C6" s="6" t="n">
        <v>511.03</v>
      </c>
      <c r="D6" s="12" t="n">
        <v>0.25</v>
      </c>
      <c r="E6" s="16" t="n">
        <f aca="false">C6*D6</f>
        <v>127.7575</v>
      </c>
      <c r="F6" s="28"/>
      <c r="G6" s="28" t="s">
        <v>114</v>
      </c>
    </row>
    <row r="7" customFormat="false" ht="15" hidden="false" customHeight="false" outlineLevel="0" collapsed="false">
      <c r="A7" s="5" t="s">
        <v>29</v>
      </c>
      <c r="B7" s="28" t="s">
        <v>115</v>
      </c>
      <c r="C7" s="6" t="n">
        <v>517.03</v>
      </c>
      <c r="D7" s="12" t="n">
        <v>0.25</v>
      </c>
      <c r="E7" s="16" t="n">
        <f aca="false">C7*D7</f>
        <v>129.2575</v>
      </c>
      <c r="F7" s="28"/>
      <c r="G7" s="28" t="s">
        <v>116</v>
      </c>
    </row>
    <row r="8" customFormat="false" ht="46.25" hidden="false" customHeight="false" outlineLevel="0" collapsed="false">
      <c r="A8" s="29" t="s">
        <v>29</v>
      </c>
      <c r="B8" s="29" t="s">
        <v>117</v>
      </c>
      <c r="C8" s="30" t="n">
        <f aca="false">IF(SUM(D5:D7)&gt;0,SUMPRODUCT(C5:C7,D5:D7)/SUM(D5:D7),"")</f>
        <v>515.03</v>
      </c>
      <c r="D8" s="31" t="n">
        <f aca="false">SUM(D5:D7)</f>
        <v>1</v>
      </c>
      <c r="E8" s="32" t="n">
        <v>515.03</v>
      </c>
      <c r="F8" s="29" t="s">
        <v>118</v>
      </c>
      <c r="G8" s="33" t="s">
        <v>119</v>
      </c>
    </row>
    <row r="10" customFormat="false" ht="15" hidden="false" customHeight="false" outlineLevel="0" collapsed="false">
      <c r="A10" s="5" t="s">
        <v>30</v>
      </c>
      <c r="B10" s="28" t="s">
        <v>112</v>
      </c>
      <c r="C10" s="6" t="n">
        <v>527.03</v>
      </c>
      <c r="D10" s="12" t="n">
        <v>0.6</v>
      </c>
      <c r="E10" s="16" t="n">
        <f aca="false">C10*D10</f>
        <v>316.218</v>
      </c>
      <c r="F10" s="28"/>
      <c r="G10" s="28" t="s">
        <v>120</v>
      </c>
    </row>
    <row r="11" customFormat="false" ht="15" hidden="false" customHeight="false" outlineLevel="0" collapsed="false">
      <c r="A11" s="5" t="s">
        <v>30</v>
      </c>
      <c r="B11" s="28" t="s">
        <v>112</v>
      </c>
      <c r="C11" s="6" t="n">
        <v>498.03</v>
      </c>
      <c r="D11" s="12" t="n">
        <v>0.4</v>
      </c>
      <c r="E11" s="16" t="n">
        <f aca="false">C11*D11</f>
        <v>199.212</v>
      </c>
      <c r="F11" s="28"/>
      <c r="G11" s="28" t="s">
        <v>121</v>
      </c>
    </row>
    <row r="12" customFormat="false" ht="57.45" hidden="false" customHeight="false" outlineLevel="0" collapsed="false">
      <c r="A12" s="29" t="s">
        <v>30</v>
      </c>
      <c r="B12" s="29" t="s">
        <v>117</v>
      </c>
      <c r="C12" s="30" t="n">
        <f aca="false">IF(SUM(D10:D11)&gt;0,SUMPRODUCT(C10:C11,D10:D11)/SUM(D10:D11),"")</f>
        <v>515.43</v>
      </c>
      <c r="D12" s="31" t="n">
        <f aca="false">SUM(D10:D11)</f>
        <v>1</v>
      </c>
      <c r="E12" s="32" t="n">
        <v>517.03</v>
      </c>
      <c r="F12" s="29" t="s">
        <v>118</v>
      </c>
      <c r="G12" s="33" t="s">
        <v>122</v>
      </c>
    </row>
    <row r="14" customFormat="false" ht="15" hidden="false" customHeight="false" outlineLevel="0" collapsed="false">
      <c r="A14" s="5" t="s">
        <v>31</v>
      </c>
      <c r="B14" s="28" t="s">
        <v>112</v>
      </c>
      <c r="C14" s="6" t="n">
        <v>515.03</v>
      </c>
      <c r="D14" s="12" t="n">
        <v>0.6</v>
      </c>
      <c r="E14" s="16" t="n">
        <f aca="false">C14*D14</f>
        <v>309.018</v>
      </c>
      <c r="F14" s="28"/>
      <c r="G14" s="28" t="s">
        <v>123</v>
      </c>
    </row>
    <row r="15" customFormat="false" ht="23.85" hidden="false" customHeight="false" outlineLevel="0" collapsed="false">
      <c r="A15" s="5" t="s">
        <v>31</v>
      </c>
      <c r="B15" s="28" t="s">
        <v>115</v>
      </c>
      <c r="C15" s="6" t="n">
        <v>516</v>
      </c>
      <c r="D15" s="12" t="n">
        <v>0.4</v>
      </c>
      <c r="E15" s="16" t="n">
        <f aca="false">C15*D15</f>
        <v>206.4</v>
      </c>
      <c r="F15" s="28"/>
      <c r="G15" s="28" t="s">
        <v>124</v>
      </c>
    </row>
    <row r="16" customFormat="false" ht="46.25" hidden="false" customHeight="false" outlineLevel="0" collapsed="false">
      <c r="A16" s="29" t="s">
        <v>31</v>
      </c>
      <c r="B16" s="29" t="s">
        <v>117</v>
      </c>
      <c r="C16" s="30" t="n">
        <f aca="false">IF(SUM(D14:D15)&gt;0,SUMPRODUCT(C14:C15,D14:D15)/SUM(D14:D15),"")</f>
        <v>515.418</v>
      </c>
      <c r="D16" s="31" t="n">
        <f aca="false">SUM(D14:D15)</f>
        <v>1</v>
      </c>
      <c r="E16" s="32" t="n">
        <v>515.22</v>
      </c>
      <c r="F16" s="29" t="s">
        <v>118</v>
      </c>
      <c r="G16" s="33" t="s">
        <v>125</v>
      </c>
    </row>
    <row r="18" customFormat="false" ht="15" hidden="false" customHeight="false" outlineLevel="0" collapsed="false">
      <c r="A18" s="5" t="s">
        <v>32</v>
      </c>
      <c r="B18" s="28" t="s">
        <v>112</v>
      </c>
      <c r="C18" s="6" t="n">
        <v>516.03</v>
      </c>
      <c r="D18" s="12" t="n">
        <v>0.6</v>
      </c>
      <c r="E18" s="16" t="n">
        <f aca="false">C18*D18</f>
        <v>309.618</v>
      </c>
      <c r="F18" s="28"/>
      <c r="G18" s="28" t="s">
        <v>126</v>
      </c>
    </row>
    <row r="19" customFormat="false" ht="23.85" hidden="false" customHeight="false" outlineLevel="0" collapsed="false">
      <c r="A19" s="5" t="s">
        <v>32</v>
      </c>
      <c r="B19" s="28" t="s">
        <v>115</v>
      </c>
      <c r="C19" s="6" t="n">
        <v>504.03</v>
      </c>
      <c r="D19" s="12" t="n">
        <v>0.4</v>
      </c>
      <c r="E19" s="16" t="n">
        <f aca="false">C19*D19</f>
        <v>201.612</v>
      </c>
      <c r="F19" s="28"/>
      <c r="G19" s="28" t="s">
        <v>127</v>
      </c>
    </row>
    <row r="20" customFormat="false" ht="35.05" hidden="false" customHeight="false" outlineLevel="0" collapsed="false">
      <c r="A20" s="29" t="s">
        <v>32</v>
      </c>
      <c r="B20" s="29" t="s">
        <v>117</v>
      </c>
      <c r="C20" s="30" t="n">
        <f aca="false">IF(SUM(D18:D19)&gt;0,SUMPRODUCT(C18:C19,D18:D19)/SUM(D18:D19),"")</f>
        <v>511.23</v>
      </c>
      <c r="D20" s="31" t="n">
        <f aca="false">SUM(D18:D19)</f>
        <v>1</v>
      </c>
      <c r="E20" s="32" t="n">
        <v>512.03</v>
      </c>
      <c r="F20" s="29" t="s">
        <v>118</v>
      </c>
      <c r="G20" s="33" t="s">
        <v>128</v>
      </c>
    </row>
    <row r="22" customFormat="false" ht="15" hidden="false" customHeight="false" outlineLevel="0" collapsed="false">
      <c r="A22" s="5" t="s">
        <v>33</v>
      </c>
      <c r="B22" s="28" t="s">
        <v>112</v>
      </c>
      <c r="C22" s="6" t="n">
        <v>505.03</v>
      </c>
      <c r="D22" s="12" t="n">
        <v>0.45</v>
      </c>
      <c r="E22" s="16" t="n">
        <f aca="false">C22*D22</f>
        <v>227.2635</v>
      </c>
      <c r="F22" s="28"/>
      <c r="G22" s="28" t="s">
        <v>129</v>
      </c>
    </row>
    <row r="23" customFormat="false" ht="15" hidden="false" customHeight="false" outlineLevel="0" collapsed="false">
      <c r="A23" s="5" t="s">
        <v>33</v>
      </c>
      <c r="B23" s="28" t="s">
        <v>112</v>
      </c>
      <c r="C23" s="6" t="n">
        <v>511.03</v>
      </c>
      <c r="D23" s="12" t="n">
        <v>0.35</v>
      </c>
      <c r="E23" s="16" t="n">
        <f aca="false">C23*D23</f>
        <v>178.8605</v>
      </c>
      <c r="F23" s="28"/>
      <c r="G23" s="28" t="s">
        <v>130</v>
      </c>
    </row>
    <row r="24" customFormat="false" ht="15" hidden="false" customHeight="false" outlineLevel="0" collapsed="false">
      <c r="A24" s="5" t="s">
        <v>33</v>
      </c>
      <c r="B24" s="28" t="s">
        <v>115</v>
      </c>
      <c r="C24" s="6" t="n">
        <v>501.03</v>
      </c>
      <c r="D24" s="12" t="n">
        <v>0.2</v>
      </c>
      <c r="E24" s="16" t="n">
        <f aca="false">C24*D24</f>
        <v>100.206</v>
      </c>
      <c r="F24" s="28"/>
      <c r="G24" s="28" t="s">
        <v>131</v>
      </c>
    </row>
    <row r="25" customFormat="false" ht="57.45" hidden="false" customHeight="false" outlineLevel="0" collapsed="false">
      <c r="A25" s="29" t="s">
        <v>33</v>
      </c>
      <c r="B25" s="29" t="s">
        <v>117</v>
      </c>
      <c r="C25" s="30" t="n">
        <f aca="false">IF(SUM(D22:D24)&gt;0,SUMPRODUCT(C22:C24,D22:D24)/SUM(D22:D24),"")</f>
        <v>506.33</v>
      </c>
      <c r="D25" s="31" t="n">
        <f aca="false">SUM(D22:D24)</f>
        <v>1</v>
      </c>
      <c r="E25" s="32" t="n">
        <v>507.03</v>
      </c>
      <c r="F25" s="29" t="s">
        <v>118</v>
      </c>
      <c r="G25" s="3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23.85" hidden="false" customHeight="false" outlineLevel="0" collapsed="false">
      <c r="A4" s="23" t="s">
        <v>105</v>
      </c>
      <c r="B4" s="23" t="s">
        <v>135</v>
      </c>
      <c r="C4" s="23" t="s">
        <v>136</v>
      </c>
      <c r="D4" s="23" t="s">
        <v>137</v>
      </c>
      <c r="E4" s="23" t="s">
        <v>138</v>
      </c>
      <c r="F4" s="23" t="s">
        <v>139</v>
      </c>
      <c r="G4" s="23" t="s">
        <v>140</v>
      </c>
    </row>
    <row r="5" customFormat="false" ht="79.85" hidden="false" customHeight="false" outlineLevel="0" collapsed="false">
      <c r="A5" s="5" t="s">
        <v>29</v>
      </c>
      <c r="B5" s="6" t="n">
        <v>330</v>
      </c>
      <c r="C5" s="6" t="n">
        <v>550</v>
      </c>
      <c r="D5" s="6" t="n">
        <v>820</v>
      </c>
      <c r="E5" s="28" t="s">
        <v>141</v>
      </c>
      <c r="F5" s="28" t="s">
        <v>142</v>
      </c>
      <c r="G5" s="28" t="s">
        <v>143</v>
      </c>
    </row>
    <row r="6" customFormat="false" ht="91" hidden="false" customHeight="false" outlineLevel="0" collapsed="false">
      <c r="A6" s="5" t="s">
        <v>30</v>
      </c>
      <c r="B6" s="6" t="n">
        <v>310</v>
      </c>
      <c r="C6" s="6" t="n">
        <v>550</v>
      </c>
      <c r="D6" s="6" t="n">
        <v>800</v>
      </c>
      <c r="E6" s="28" t="s">
        <v>144</v>
      </c>
      <c r="F6" s="28" t="s">
        <v>145</v>
      </c>
      <c r="G6" s="28" t="s">
        <v>146</v>
      </c>
    </row>
    <row r="7" customFormat="false" ht="113.4" hidden="false" customHeight="false" outlineLevel="0" collapsed="false">
      <c r="A7" s="5" t="s">
        <v>31</v>
      </c>
      <c r="B7" s="6" t="n">
        <v>305</v>
      </c>
      <c r="C7" s="6" t="n">
        <v>537</v>
      </c>
      <c r="D7" s="6" t="n">
        <v>840</v>
      </c>
      <c r="E7" s="28" t="s">
        <v>147</v>
      </c>
      <c r="F7" s="28" t="s">
        <v>148</v>
      </c>
      <c r="G7" s="28" t="s">
        <v>149</v>
      </c>
    </row>
    <row r="8" customFormat="false" ht="79.85" hidden="false" customHeight="false" outlineLevel="0" collapsed="false">
      <c r="A8" s="5" t="s">
        <v>32</v>
      </c>
      <c r="B8" s="6" t="n">
        <v>310</v>
      </c>
      <c r="C8" s="6" t="n">
        <v>545</v>
      </c>
      <c r="D8" s="6" t="n">
        <v>820</v>
      </c>
      <c r="E8" s="28" t="s">
        <v>150</v>
      </c>
      <c r="F8" s="28" t="s">
        <v>151</v>
      </c>
      <c r="G8" s="28" t="s">
        <v>152</v>
      </c>
    </row>
    <row r="9" customFormat="false" ht="57.45" hidden="false" customHeight="false" outlineLevel="0" collapsed="false">
      <c r="A9" s="5" t="s">
        <v>33</v>
      </c>
      <c r="B9" s="6" t="n">
        <v>310</v>
      </c>
      <c r="C9" s="6" t="n">
        <v>530</v>
      </c>
      <c r="D9" s="6" t="n">
        <v>810</v>
      </c>
      <c r="E9" s="28" t="s">
        <v>153</v>
      </c>
      <c r="F9" s="28" t="s">
        <v>154</v>
      </c>
      <c r="G9" s="28" t="s">
        <v>155</v>
      </c>
    </row>
    <row r="10" customFormat="false" ht="15" hidden="false" customHeight="false" outlineLevel="0" collapsed="false">
      <c r="A10" s="14" t="s">
        <v>156</v>
      </c>
      <c r="B10" s="15" t="n">
        <f aca="false">AVERAGE(B5:B9)</f>
        <v>313</v>
      </c>
      <c r="C10" s="15" t="n">
        <f aca="false">AVERAGE(C5:C9)</f>
        <v>542.4</v>
      </c>
      <c r="D10" s="15" t="n">
        <f aca="false">AVERAGE(D5:D9)</f>
        <v>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35.05" hidden="false" customHeight="false" outlineLevel="0" collapsed="false">
      <c r="A4" s="23" t="s">
        <v>105</v>
      </c>
      <c r="B4" s="23" t="s">
        <v>159</v>
      </c>
      <c r="C4" s="23" t="s">
        <v>160</v>
      </c>
      <c r="D4" s="23" t="s">
        <v>161</v>
      </c>
      <c r="E4" s="23" t="s">
        <v>66</v>
      </c>
      <c r="F4" s="23" t="s">
        <v>162</v>
      </c>
      <c r="G4" s="23" t="s">
        <v>163</v>
      </c>
      <c r="H4" s="23" t="s">
        <v>164</v>
      </c>
    </row>
    <row r="5" customFormat="false" ht="415.65" hidden="false" customHeight="false" outlineLevel="0" collapsed="false">
      <c r="A5" s="5" t="s">
        <v>29</v>
      </c>
      <c r="B5" s="6"/>
      <c r="C5" s="6" t="n">
        <v>515.03</v>
      </c>
      <c r="D5" s="6" t="n">
        <v>335</v>
      </c>
      <c r="E5" s="28" t="s">
        <v>165</v>
      </c>
      <c r="F5" s="28" t="s">
        <v>166</v>
      </c>
      <c r="G5" s="28" t="s">
        <v>167</v>
      </c>
      <c r="H5" s="28" t="s">
        <v>168</v>
      </c>
    </row>
    <row r="6" customFormat="false" ht="404.45" hidden="false" customHeight="false" outlineLevel="0" collapsed="false">
      <c r="A6" s="5" t="s">
        <v>30</v>
      </c>
      <c r="B6" s="6"/>
      <c r="C6" s="6" t="n">
        <v>517.03</v>
      </c>
      <c r="D6" s="6" t="n">
        <v>340</v>
      </c>
      <c r="E6" s="28" t="s">
        <v>169</v>
      </c>
      <c r="F6" s="28" t="s">
        <v>170</v>
      </c>
      <c r="G6" s="28" t="s">
        <v>171</v>
      </c>
      <c r="H6" s="28" t="s">
        <v>172</v>
      </c>
    </row>
    <row r="7" customFormat="false" ht="415.65" hidden="false" customHeight="false" outlineLevel="0" collapsed="false">
      <c r="A7" s="5" t="s">
        <v>31</v>
      </c>
      <c r="B7" s="6"/>
      <c r="C7" s="6" t="n">
        <v>515.22</v>
      </c>
      <c r="D7" s="6" t="n">
        <v>340</v>
      </c>
      <c r="E7" s="28" t="s">
        <v>173</v>
      </c>
      <c r="F7" s="28" t="s">
        <v>174</v>
      </c>
      <c r="G7" s="28" t="s">
        <v>175</v>
      </c>
      <c r="H7" s="28" t="s">
        <v>176</v>
      </c>
    </row>
    <row r="8" customFormat="false" ht="337.3" hidden="false" customHeight="false" outlineLevel="0" collapsed="false">
      <c r="A8" s="5" t="s">
        <v>32</v>
      </c>
      <c r="B8" s="6"/>
      <c r="C8" s="6" t="n">
        <v>512.03</v>
      </c>
      <c r="D8" s="6" t="n">
        <v>330</v>
      </c>
      <c r="E8" s="28" t="s">
        <v>177</v>
      </c>
      <c r="F8" s="28" t="s">
        <v>178</v>
      </c>
      <c r="G8" s="28" t="s">
        <v>179</v>
      </c>
      <c r="H8" s="28" t="s">
        <v>180</v>
      </c>
    </row>
    <row r="9" customFormat="false" ht="348.5" hidden="false" customHeight="false" outlineLevel="0" collapsed="false">
      <c r="A9" s="5" t="s">
        <v>33</v>
      </c>
      <c r="B9" s="6"/>
      <c r="C9" s="6" t="n">
        <v>507.03</v>
      </c>
      <c r="D9" s="6" t="n">
        <v>335</v>
      </c>
      <c r="E9" s="28" t="s">
        <v>181</v>
      </c>
      <c r="F9" s="28" t="s">
        <v>182</v>
      </c>
      <c r="G9" s="28" t="s">
        <v>183</v>
      </c>
      <c r="H9" s="28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68.65" hidden="false" customHeight="true" outlineLevel="0" collapsed="false">
      <c r="A4" s="14" t="s">
        <v>187</v>
      </c>
      <c r="B4" s="34" t="s">
        <v>188</v>
      </c>
      <c r="C4" s="34"/>
      <c r="D4" s="34"/>
    </row>
    <row r="5" customFormat="false" ht="68.65" hidden="false" customHeight="true" outlineLevel="0" collapsed="false">
      <c r="A5" s="14" t="s">
        <v>189</v>
      </c>
      <c r="B5" s="34" t="s">
        <v>37</v>
      </c>
      <c r="C5" s="34"/>
      <c r="D5" s="34"/>
    </row>
    <row r="6" customFormat="false" ht="68.65" hidden="false" customHeight="true" outlineLevel="0" collapsed="false">
      <c r="A6" s="14" t="s">
        <v>190</v>
      </c>
      <c r="B6" s="34" t="s">
        <v>191</v>
      </c>
      <c r="C6" s="34"/>
      <c r="D6" s="34"/>
    </row>
    <row r="8" customFormat="false" ht="15" hidden="false" customHeight="false" outlineLevel="0" collapsed="false">
      <c r="A8" s="35" t="s">
        <v>192</v>
      </c>
    </row>
    <row r="9" customFormat="false" ht="15" hidden="false" customHeight="false" outlineLevel="0" collapsed="false">
      <c r="A9" s="36" t="s">
        <v>193</v>
      </c>
      <c r="B9" s="36" t="s">
        <v>194</v>
      </c>
      <c r="C9" s="36" t="s">
        <v>195</v>
      </c>
      <c r="D9" s="36" t="s">
        <v>196</v>
      </c>
    </row>
    <row r="10" customFormat="false" ht="91" hidden="false" customHeight="false" outlineLevel="0" collapsed="false">
      <c r="A10" s="28" t="s">
        <v>197</v>
      </c>
      <c r="B10" s="28" t="s">
        <v>198</v>
      </c>
      <c r="C10" s="28" t="s">
        <v>199</v>
      </c>
      <c r="D10" s="28" t="s">
        <v>200</v>
      </c>
    </row>
    <row r="11" customFormat="false" ht="57.45" hidden="false" customHeight="false" outlineLevel="0" collapsed="false">
      <c r="A11" s="28" t="s">
        <v>201</v>
      </c>
      <c r="B11" s="28" t="s">
        <v>202</v>
      </c>
      <c r="C11" s="28" t="s">
        <v>203</v>
      </c>
      <c r="D11" s="28" t="s">
        <v>204</v>
      </c>
    </row>
    <row r="12" customFormat="false" ht="113.4" hidden="false" customHeight="false" outlineLevel="0" collapsed="false">
      <c r="A12" s="28" t="s">
        <v>205</v>
      </c>
      <c r="B12" s="28" t="s">
        <v>206</v>
      </c>
      <c r="C12" s="28" t="s">
        <v>207</v>
      </c>
      <c r="D12" s="28" t="s">
        <v>208</v>
      </c>
    </row>
    <row r="13" customFormat="false" ht="57.45" hidden="false" customHeight="false" outlineLevel="0" collapsed="false">
      <c r="A13" s="28" t="s">
        <v>209</v>
      </c>
      <c r="B13" s="28" t="s">
        <v>210</v>
      </c>
      <c r="C13" s="28" t="s">
        <v>211</v>
      </c>
      <c r="D13" s="28" t="s">
        <v>212</v>
      </c>
    </row>
    <row r="15" customFormat="false" ht="15" hidden="false" customHeight="false" outlineLevel="0" collapsed="false">
      <c r="A15" s="35" t="s">
        <v>213</v>
      </c>
    </row>
    <row r="16" customFormat="false" ht="15" hidden="false" customHeight="false" outlineLevel="0" collapsed="false">
      <c r="A16" s="36" t="s">
        <v>214</v>
      </c>
      <c r="B16" s="36" t="s">
        <v>215</v>
      </c>
      <c r="C16" s="36" t="s">
        <v>216</v>
      </c>
      <c r="D16" s="36" t="s">
        <v>217</v>
      </c>
    </row>
    <row r="17" customFormat="false" ht="35.05" hidden="false" customHeight="false" outlineLevel="0" collapsed="false">
      <c r="A17" s="28" t="s">
        <v>218</v>
      </c>
      <c r="B17" s="28" t="s">
        <v>219</v>
      </c>
      <c r="C17" s="28" t="s">
        <v>220</v>
      </c>
      <c r="D17" s="28" t="s">
        <v>221</v>
      </c>
    </row>
    <row r="18" customFormat="false" ht="35.05" hidden="false" customHeight="false" outlineLevel="0" collapsed="false">
      <c r="A18" s="28" t="s">
        <v>222</v>
      </c>
      <c r="B18" s="28" t="s">
        <v>223</v>
      </c>
      <c r="C18" s="28" t="s">
        <v>224</v>
      </c>
      <c r="D18" s="28" t="s">
        <v>225</v>
      </c>
    </row>
    <row r="19" customFormat="false" ht="15" hidden="false" customHeight="false" outlineLevel="0" collapsed="false">
      <c r="A19" s="28" t="s">
        <v>226</v>
      </c>
      <c r="B19" s="28" t="s">
        <v>227</v>
      </c>
      <c r="C19" s="28" t="s">
        <v>228</v>
      </c>
      <c r="D19" s="28" t="s">
        <v>229</v>
      </c>
    </row>
    <row r="20" customFormat="false" ht="35.05" hidden="false" customHeight="false" outlineLevel="0" collapsed="false">
      <c r="A20" s="28" t="s">
        <v>230</v>
      </c>
      <c r="B20" s="28" t="s">
        <v>231</v>
      </c>
      <c r="C20" s="28" t="s">
        <v>232</v>
      </c>
      <c r="D20" s="28" t="s">
        <v>233</v>
      </c>
    </row>
    <row r="21" customFormat="false" ht="23.85" hidden="false" customHeight="false" outlineLevel="0" collapsed="false">
      <c r="A21" s="28" t="s">
        <v>161</v>
      </c>
      <c r="B21" s="28" t="s">
        <v>234</v>
      </c>
      <c r="C21" s="28" t="s">
        <v>235</v>
      </c>
      <c r="D21" s="28" t="s">
        <v>236</v>
      </c>
    </row>
    <row r="22" customFormat="false" ht="23.85" hidden="false" customHeight="false" outlineLevel="0" collapsed="false">
      <c r="A22" s="28" t="s">
        <v>237</v>
      </c>
      <c r="B22" s="28" t="s">
        <v>238</v>
      </c>
      <c r="C22" s="28" t="s">
        <v>239</v>
      </c>
      <c r="D22" s="28" t="s">
        <v>240</v>
      </c>
    </row>
    <row r="23" customFormat="false" ht="35.05" hidden="false" customHeight="false" outlineLevel="0" collapsed="false">
      <c r="A23" s="28" t="s">
        <v>241</v>
      </c>
      <c r="B23" s="28" t="s">
        <v>242</v>
      </c>
      <c r="C23" s="28" t="s">
        <v>243</v>
      </c>
      <c r="D23" s="28" t="s">
        <v>244</v>
      </c>
    </row>
    <row r="25" customFormat="false" ht="15" hidden="false" customHeight="false" outlineLevel="0" collapsed="false">
      <c r="A25" s="35" t="s">
        <v>245</v>
      </c>
    </row>
    <row r="26" customFormat="false" ht="23.85" hidden="false" customHeight="true" outlineLevel="0" collapsed="false">
      <c r="B26" s="34" t="s">
        <v>246</v>
      </c>
      <c r="C26" s="34"/>
      <c r="D26" s="34"/>
    </row>
    <row r="27" customFormat="false" ht="15" hidden="false" customHeight="true" outlineLevel="0" collapsed="false">
      <c r="B27" s="34" t="s">
        <v>247</v>
      </c>
      <c r="C27" s="34"/>
      <c r="D27" s="34"/>
    </row>
    <row r="28" customFormat="false" ht="23.85" hidden="false" customHeight="true" outlineLevel="0" collapsed="false">
      <c r="B28" s="34" t="s">
        <v>248</v>
      </c>
      <c r="C28" s="34"/>
      <c r="D28" s="34"/>
    </row>
    <row r="29" customFormat="false" ht="15" hidden="false" customHeight="true" outlineLevel="0" collapsed="false">
      <c r="B29" s="34" t="s">
        <v>249</v>
      </c>
      <c r="C29" s="34"/>
      <c r="D29" s="34"/>
    </row>
    <row r="30" customFormat="false" ht="23.85" hidden="false" customHeight="true" outlineLevel="0" collapsed="false">
      <c r="B30" s="34" t="s">
        <v>250</v>
      </c>
      <c r="C30" s="34"/>
      <c r="D30" s="34"/>
    </row>
    <row r="31" customFormat="false" ht="35.05" hidden="false" customHeight="true" outlineLevel="0" collapsed="false">
      <c r="B31" s="34" t="s">
        <v>251</v>
      </c>
      <c r="C31" s="34"/>
      <c r="D31" s="34"/>
    </row>
    <row r="32" customFormat="false" ht="35.05" hidden="false" customHeight="true" outlineLevel="0" collapsed="false">
      <c r="B32" s="34" t="s">
        <v>252</v>
      </c>
      <c r="C32" s="34"/>
      <c r="D32" s="34"/>
    </row>
    <row r="33" customFormat="false" ht="23.85" hidden="false" customHeight="true" outlineLevel="0" collapsed="false">
      <c r="B33" s="34" t="s">
        <v>253</v>
      </c>
      <c r="C33" s="34"/>
      <c r="D33" s="34"/>
    </row>
    <row r="34" customFormat="false" ht="23.85" hidden="false" customHeight="true" outlineLevel="0" collapsed="false">
      <c r="B34" s="34" t="s">
        <v>254</v>
      </c>
      <c r="C34" s="34"/>
      <c r="D34" s="34"/>
    </row>
    <row r="36" customFormat="false" ht="15" hidden="false" customHeight="false" outlineLevel="0" collapsed="false">
      <c r="A36" s="35" t="s">
        <v>255</v>
      </c>
    </row>
    <row r="37" customFormat="false" ht="15" hidden="false" customHeight="false" outlineLevel="0" collapsed="false">
      <c r="A37" s="5" t="s">
        <v>256</v>
      </c>
      <c r="B37" s="28" t="n">
        <v>8</v>
      </c>
    </row>
    <row r="38" customFormat="false" ht="15" hidden="false" customHeight="false" outlineLevel="0" collapsed="false">
      <c r="A38" s="5" t="s">
        <v>257</v>
      </c>
      <c r="B38" s="28" t="s">
        <v>258</v>
      </c>
    </row>
    <row r="39" customFormat="false" ht="23.85" hidden="false" customHeight="false" outlineLevel="0" collapsed="false">
      <c r="A39" s="5" t="s">
        <v>259</v>
      </c>
      <c r="B39" s="28" t="s">
        <v>260</v>
      </c>
    </row>
    <row r="40" customFormat="false" ht="23.85" hidden="false" customHeight="false" outlineLevel="0" collapsed="false">
      <c r="A40" s="5" t="s">
        <v>261</v>
      </c>
      <c r="B40" s="28" t="s">
        <v>262</v>
      </c>
    </row>
    <row r="41" customFormat="false" ht="91" hidden="false" customHeight="false" outlineLevel="0" collapsed="false">
      <c r="A41" s="5" t="s">
        <v>263</v>
      </c>
      <c r="B41" s="28" t="s">
        <v>264</v>
      </c>
    </row>
  </sheetData>
  <mergeCells count="12">
    <mergeCell ref="B4:D4"/>
    <mergeCell ref="B5:D5"/>
    <mergeCell ref="B6:D6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2" t="s">
        <v>266</v>
      </c>
    </row>
    <row r="4" customFormat="false" ht="15" hidden="false" customHeight="false" outlineLevel="0" collapsed="false">
      <c r="A4" s="23" t="s">
        <v>74</v>
      </c>
      <c r="B4" s="23" t="s">
        <v>267</v>
      </c>
      <c r="C4" s="23" t="s">
        <v>268</v>
      </c>
      <c r="D4" s="23" t="s">
        <v>269</v>
      </c>
      <c r="E4" s="23" t="s">
        <v>270</v>
      </c>
    </row>
    <row r="5" customFormat="false" ht="15" hidden="false" customHeight="false" outlineLevel="0" collapsed="false">
      <c r="A5" s="5" t="s">
        <v>271</v>
      </c>
      <c r="B5" s="5" t="s">
        <v>272</v>
      </c>
      <c r="C5" s="28" t="s">
        <v>273</v>
      </c>
      <c r="D5" s="5" t="s">
        <v>274</v>
      </c>
      <c r="E5" s="22" t="s">
        <v>275</v>
      </c>
    </row>
    <row r="6" customFormat="false" ht="15" hidden="false" customHeight="false" outlineLevel="0" collapsed="false">
      <c r="A6" s="5" t="s">
        <v>276</v>
      </c>
      <c r="B6" s="5" t="s">
        <v>272</v>
      </c>
      <c r="C6" s="28" t="s">
        <v>277</v>
      </c>
      <c r="D6" s="5" t="s">
        <v>278</v>
      </c>
      <c r="E6" s="22" t="s">
        <v>279</v>
      </c>
    </row>
    <row r="7" customFormat="false" ht="15" hidden="false" customHeight="false" outlineLevel="0" collapsed="false">
      <c r="A7" s="5" t="s">
        <v>280</v>
      </c>
      <c r="B7" s="5" t="s">
        <v>272</v>
      </c>
      <c r="C7" s="28" t="s">
        <v>281</v>
      </c>
      <c r="D7" s="5" t="s">
        <v>282</v>
      </c>
      <c r="E7" s="22" t="s">
        <v>283</v>
      </c>
    </row>
    <row r="8" customFormat="false" ht="15" hidden="false" customHeight="false" outlineLevel="0" collapsed="false">
      <c r="A8" s="5" t="s">
        <v>284</v>
      </c>
      <c r="B8" s="5" t="s">
        <v>272</v>
      </c>
      <c r="C8" s="28" t="s">
        <v>285</v>
      </c>
      <c r="D8" s="5" t="s">
        <v>286</v>
      </c>
      <c r="E8" s="22" t="s">
        <v>287</v>
      </c>
    </row>
    <row r="9" customFormat="false" ht="15" hidden="false" customHeight="false" outlineLevel="0" collapsed="false">
      <c r="A9" s="5" t="s">
        <v>288</v>
      </c>
      <c r="B9" s="5" t="s">
        <v>272</v>
      </c>
      <c r="C9" s="28" t="s">
        <v>289</v>
      </c>
      <c r="D9" s="5" t="s">
        <v>274</v>
      </c>
      <c r="E9" s="22" t="s">
        <v>290</v>
      </c>
    </row>
    <row r="10" customFormat="false" ht="23.85" hidden="false" customHeight="false" outlineLevel="0" collapsed="false">
      <c r="A10" s="5" t="s">
        <v>291</v>
      </c>
      <c r="B10" s="5" t="s">
        <v>272</v>
      </c>
      <c r="C10" s="28" t="s">
        <v>292</v>
      </c>
      <c r="D10" s="5" t="s">
        <v>293</v>
      </c>
      <c r="E10" s="22" t="s">
        <v>294</v>
      </c>
    </row>
    <row r="11" customFormat="false" ht="15" hidden="false" customHeight="false" outlineLevel="0" collapsed="false">
      <c r="A11" s="5" t="s">
        <v>295</v>
      </c>
      <c r="B11" s="5" t="s">
        <v>272</v>
      </c>
      <c r="C11" s="28" t="s">
        <v>296</v>
      </c>
      <c r="D11" s="5" t="s">
        <v>297</v>
      </c>
      <c r="E11" s="22" t="s">
        <v>298</v>
      </c>
    </row>
    <row r="12" customFormat="false" ht="23.85" hidden="false" customHeight="false" outlineLevel="0" collapsed="false">
      <c r="A12" s="5" t="s">
        <v>299</v>
      </c>
      <c r="B12" s="5" t="s">
        <v>272</v>
      </c>
      <c r="C12" s="28" t="s">
        <v>300</v>
      </c>
      <c r="D12" s="5" t="s">
        <v>301</v>
      </c>
      <c r="E12" s="22" t="s">
        <v>302</v>
      </c>
    </row>
    <row r="13" customFormat="false" ht="15" hidden="false" customHeight="false" outlineLevel="0" collapsed="false">
      <c r="A13" s="5" t="s">
        <v>303</v>
      </c>
      <c r="B13" s="5" t="s">
        <v>272</v>
      </c>
      <c r="C13" s="28" t="s">
        <v>304</v>
      </c>
      <c r="D13" s="5" t="s">
        <v>305</v>
      </c>
      <c r="E13" s="22" t="s">
        <v>306</v>
      </c>
    </row>
    <row r="14" customFormat="false" ht="23.85" hidden="false" customHeight="false" outlineLevel="0" collapsed="false">
      <c r="A14" s="5" t="s">
        <v>307</v>
      </c>
      <c r="B14" s="5" t="s">
        <v>272</v>
      </c>
      <c r="C14" s="28" t="s">
        <v>308</v>
      </c>
      <c r="D14" s="5" t="s">
        <v>309</v>
      </c>
      <c r="E14" s="22" t="s">
        <v>310</v>
      </c>
    </row>
    <row r="15" customFormat="false" ht="15" hidden="false" customHeight="false" outlineLevel="0" collapsed="false">
      <c r="A15" s="5" t="s">
        <v>311</v>
      </c>
      <c r="B15" s="5" t="s">
        <v>272</v>
      </c>
      <c r="C15" s="28" t="s">
        <v>312</v>
      </c>
      <c r="D15" s="5" t="s">
        <v>305</v>
      </c>
      <c r="E15" s="22" t="s">
        <v>313</v>
      </c>
    </row>
    <row r="16" customFormat="false" ht="15" hidden="false" customHeight="false" outlineLevel="0" collapsed="false">
      <c r="A16" s="5" t="s">
        <v>314</v>
      </c>
      <c r="B16" s="5" t="s">
        <v>272</v>
      </c>
      <c r="C16" s="28" t="s">
        <v>315</v>
      </c>
      <c r="D16" s="5" t="s">
        <v>316</v>
      </c>
      <c r="E16" s="22" t="s">
        <v>317</v>
      </c>
    </row>
    <row r="17" customFormat="false" ht="23.85" hidden="false" customHeight="false" outlineLevel="0" collapsed="false">
      <c r="A17" s="5" t="s">
        <v>318</v>
      </c>
      <c r="B17" s="5" t="s">
        <v>272</v>
      </c>
      <c r="C17" s="28" t="s">
        <v>319</v>
      </c>
      <c r="D17" s="5" t="s">
        <v>320</v>
      </c>
      <c r="E17" s="22" t="s">
        <v>321</v>
      </c>
    </row>
    <row r="18" customFormat="false" ht="23.85" hidden="false" customHeight="false" outlineLevel="0" collapsed="false">
      <c r="A18" s="5" t="s">
        <v>322</v>
      </c>
      <c r="B18" s="5" t="s">
        <v>272</v>
      </c>
      <c r="C18" s="28" t="s">
        <v>323</v>
      </c>
      <c r="D18" s="5" t="s">
        <v>324</v>
      </c>
      <c r="E18" s="22" t="s">
        <v>325</v>
      </c>
    </row>
    <row r="19" customFormat="false" ht="23.85" hidden="false" customHeight="false" outlineLevel="0" collapsed="false">
      <c r="A19" s="5" t="s">
        <v>326</v>
      </c>
      <c r="B19" s="5" t="s">
        <v>272</v>
      </c>
      <c r="C19" s="28" t="s">
        <v>327</v>
      </c>
      <c r="D19" s="5" t="s">
        <v>309</v>
      </c>
      <c r="E19" s="22" t="s">
        <v>328</v>
      </c>
    </row>
    <row r="20" customFormat="false" ht="23.85" hidden="false" customHeight="false" outlineLevel="0" collapsed="false">
      <c r="A20" s="5" t="s">
        <v>329</v>
      </c>
      <c r="B20" s="5" t="s">
        <v>272</v>
      </c>
      <c r="C20" s="28" t="s">
        <v>330</v>
      </c>
      <c r="D20" s="5" t="s">
        <v>331</v>
      </c>
      <c r="E20" s="22" t="s">
        <v>332</v>
      </c>
    </row>
    <row r="21" customFormat="false" ht="23.85" hidden="false" customHeight="false" outlineLevel="0" collapsed="false">
      <c r="A21" s="5" t="s">
        <v>333</v>
      </c>
      <c r="B21" s="5" t="s">
        <v>334</v>
      </c>
      <c r="C21" s="28" t="s">
        <v>335</v>
      </c>
      <c r="D21" s="5" t="s">
        <v>274</v>
      </c>
      <c r="E21" s="22" t="s">
        <v>275</v>
      </c>
    </row>
    <row r="22" customFormat="false" ht="15" hidden="false" customHeight="false" outlineLevel="0" collapsed="false">
      <c r="A22" s="5" t="s">
        <v>336</v>
      </c>
      <c r="B22" s="5" t="s">
        <v>334</v>
      </c>
      <c r="C22" s="28" t="s">
        <v>337</v>
      </c>
      <c r="D22" s="5" t="s">
        <v>274</v>
      </c>
      <c r="E22" s="22" t="s">
        <v>290</v>
      </c>
    </row>
    <row r="23" customFormat="false" ht="23.85" hidden="false" customHeight="false" outlineLevel="0" collapsed="false">
      <c r="A23" s="5" t="s">
        <v>338</v>
      </c>
      <c r="B23" s="5" t="s">
        <v>334</v>
      </c>
      <c r="C23" s="28" t="s">
        <v>339</v>
      </c>
      <c r="D23" s="5" t="s">
        <v>320</v>
      </c>
      <c r="E23" s="22" t="s">
        <v>321</v>
      </c>
    </row>
    <row r="24" customFormat="false" ht="15" hidden="false" customHeight="false" outlineLevel="0" collapsed="false">
      <c r="A24" s="5" t="s">
        <v>340</v>
      </c>
      <c r="B24" s="5" t="s">
        <v>334</v>
      </c>
      <c r="C24" s="28" t="s">
        <v>341</v>
      </c>
      <c r="D24" s="5" t="s">
        <v>309</v>
      </c>
      <c r="E24" s="22" t="s">
        <v>342</v>
      </c>
    </row>
    <row r="25" customFormat="false" ht="15" hidden="false" customHeight="false" outlineLevel="0" collapsed="false">
      <c r="A25" s="5" t="s">
        <v>343</v>
      </c>
      <c r="B25" s="5" t="s">
        <v>334</v>
      </c>
      <c r="C25" s="28" t="s">
        <v>344</v>
      </c>
      <c r="D25" s="5" t="s">
        <v>316</v>
      </c>
      <c r="E25" s="22" t="s">
        <v>345</v>
      </c>
    </row>
    <row r="26" customFormat="false" ht="15" hidden="false" customHeight="false" outlineLevel="0" collapsed="false">
      <c r="A26" s="5" t="s">
        <v>346</v>
      </c>
      <c r="B26" s="5" t="s">
        <v>334</v>
      </c>
      <c r="C26" s="28" t="s">
        <v>347</v>
      </c>
      <c r="D26" s="5" t="s">
        <v>348</v>
      </c>
      <c r="E26" s="22" t="s">
        <v>349</v>
      </c>
    </row>
    <row r="27" customFormat="false" ht="23.85" hidden="false" customHeight="false" outlineLevel="0" collapsed="false">
      <c r="A27" s="5" t="s">
        <v>350</v>
      </c>
      <c r="B27" s="5" t="s">
        <v>334</v>
      </c>
      <c r="C27" s="28" t="s">
        <v>351</v>
      </c>
      <c r="D27" s="5" t="s">
        <v>352</v>
      </c>
      <c r="E27" s="22" t="s">
        <v>353</v>
      </c>
    </row>
    <row r="28" customFormat="false" ht="15" hidden="false" customHeight="false" outlineLevel="0" collapsed="false">
      <c r="A28" s="5" t="s">
        <v>354</v>
      </c>
      <c r="B28" s="5" t="s">
        <v>334</v>
      </c>
      <c r="C28" s="28" t="s">
        <v>355</v>
      </c>
      <c r="D28" s="5" t="s">
        <v>356</v>
      </c>
      <c r="E28" s="22" t="s">
        <v>357</v>
      </c>
    </row>
    <row r="29" customFormat="false" ht="23.85" hidden="false" customHeight="false" outlineLevel="0" collapsed="false">
      <c r="A29" s="5" t="s">
        <v>358</v>
      </c>
      <c r="B29" s="5" t="s">
        <v>334</v>
      </c>
      <c r="C29" s="28" t="s">
        <v>359</v>
      </c>
      <c r="D29" s="5" t="s">
        <v>305</v>
      </c>
      <c r="E29" s="22" t="s">
        <v>360</v>
      </c>
    </row>
    <row r="30" customFormat="false" ht="23.85" hidden="false" customHeight="false" outlineLevel="0" collapsed="false">
      <c r="A30" s="5" t="s">
        <v>361</v>
      </c>
      <c r="B30" s="5" t="s">
        <v>334</v>
      </c>
      <c r="C30" s="28" t="s">
        <v>362</v>
      </c>
      <c r="D30" s="5" t="s">
        <v>305</v>
      </c>
      <c r="E30" s="22" t="s">
        <v>363</v>
      </c>
    </row>
    <row r="31" customFormat="false" ht="15" hidden="false" customHeight="false" outlineLevel="0" collapsed="false">
      <c r="A31" s="5" t="s">
        <v>364</v>
      </c>
      <c r="B31" s="5" t="s">
        <v>334</v>
      </c>
      <c r="C31" s="28" t="s">
        <v>365</v>
      </c>
      <c r="D31" s="5" t="s">
        <v>366</v>
      </c>
      <c r="E31" s="22" t="s">
        <v>367</v>
      </c>
    </row>
    <row r="32" customFormat="false" ht="23.85" hidden="false" customHeight="false" outlineLevel="0" collapsed="false">
      <c r="A32" s="5" t="s">
        <v>368</v>
      </c>
      <c r="B32" s="5" t="s">
        <v>334</v>
      </c>
      <c r="C32" s="28" t="s">
        <v>369</v>
      </c>
      <c r="D32" s="5" t="s">
        <v>370</v>
      </c>
      <c r="E32" s="22" t="s">
        <v>371</v>
      </c>
    </row>
    <row r="33" customFormat="false" ht="15" hidden="false" customHeight="false" outlineLevel="0" collapsed="false">
      <c r="A33" s="5" t="s">
        <v>372</v>
      </c>
      <c r="B33" s="5" t="s">
        <v>334</v>
      </c>
      <c r="C33" s="28" t="s">
        <v>373</v>
      </c>
      <c r="D33" s="5" t="s">
        <v>374</v>
      </c>
      <c r="E33" s="22" t="s">
        <v>375</v>
      </c>
    </row>
    <row r="34" customFormat="false" ht="23.85" hidden="false" customHeight="false" outlineLevel="0" collapsed="false">
      <c r="A34" s="5" t="s">
        <v>376</v>
      </c>
      <c r="B34" s="5" t="s">
        <v>334</v>
      </c>
      <c r="C34" s="28" t="s">
        <v>377</v>
      </c>
      <c r="D34" s="5" t="s">
        <v>378</v>
      </c>
      <c r="E34" s="22" t="s">
        <v>379</v>
      </c>
    </row>
    <row r="35" customFormat="false" ht="15" hidden="false" customHeight="false" outlineLevel="0" collapsed="false">
      <c r="A35" s="5" t="s">
        <v>380</v>
      </c>
      <c r="B35" s="5" t="s">
        <v>334</v>
      </c>
      <c r="C35" s="28" t="s">
        <v>381</v>
      </c>
      <c r="D35" s="5" t="s">
        <v>382</v>
      </c>
      <c r="E35" s="22" t="s">
        <v>383</v>
      </c>
    </row>
    <row r="36" customFormat="false" ht="15" hidden="false" customHeight="false" outlineLevel="0" collapsed="false">
      <c r="A36" s="5" t="s">
        <v>384</v>
      </c>
      <c r="B36" s="5" t="s">
        <v>334</v>
      </c>
      <c r="C36" s="28" t="s">
        <v>385</v>
      </c>
      <c r="D36" s="5" t="s">
        <v>305</v>
      </c>
      <c r="E36" s="22" t="s">
        <v>386</v>
      </c>
    </row>
    <row r="37" customFormat="false" ht="23.85" hidden="false" customHeight="false" outlineLevel="0" collapsed="false">
      <c r="A37" s="5" t="s">
        <v>387</v>
      </c>
      <c r="B37" s="5" t="s">
        <v>334</v>
      </c>
      <c r="C37" s="28" t="s">
        <v>388</v>
      </c>
      <c r="D37" s="5" t="s">
        <v>316</v>
      </c>
      <c r="E37" s="22" t="s">
        <v>317</v>
      </c>
    </row>
    <row r="38" customFormat="false" ht="23.85" hidden="false" customHeight="false" outlineLevel="0" collapsed="false">
      <c r="A38" s="5" t="s">
        <v>389</v>
      </c>
      <c r="B38" s="5" t="s">
        <v>334</v>
      </c>
      <c r="C38" s="28" t="s">
        <v>390</v>
      </c>
      <c r="D38" s="5" t="s">
        <v>278</v>
      </c>
      <c r="E38" s="22" t="s">
        <v>279</v>
      </c>
    </row>
    <row r="39" customFormat="false" ht="23.85" hidden="false" customHeight="false" outlineLevel="0" collapsed="false">
      <c r="A39" s="5" t="s">
        <v>391</v>
      </c>
      <c r="B39" s="5" t="s">
        <v>334</v>
      </c>
      <c r="C39" s="28" t="s">
        <v>323</v>
      </c>
      <c r="D39" s="5" t="s">
        <v>324</v>
      </c>
      <c r="E39" s="22" t="s">
        <v>325</v>
      </c>
    </row>
    <row r="40" customFormat="false" ht="23.85" hidden="false" customHeight="false" outlineLevel="0" collapsed="false">
      <c r="A40" s="5" t="s">
        <v>392</v>
      </c>
      <c r="B40" s="5" t="s">
        <v>334</v>
      </c>
      <c r="C40" s="28" t="s">
        <v>393</v>
      </c>
      <c r="D40" s="5" t="s">
        <v>394</v>
      </c>
      <c r="E40" s="22" t="s">
        <v>395</v>
      </c>
    </row>
    <row r="41" customFormat="false" ht="23.85" hidden="false" customHeight="false" outlineLevel="0" collapsed="false">
      <c r="A41" s="5" t="s">
        <v>396</v>
      </c>
      <c r="B41" s="5" t="s">
        <v>334</v>
      </c>
      <c r="C41" s="28" t="s">
        <v>397</v>
      </c>
      <c r="D41" s="5" t="s">
        <v>309</v>
      </c>
      <c r="E41" s="22" t="s">
        <v>328</v>
      </c>
    </row>
    <row r="42" customFormat="false" ht="15" hidden="false" customHeight="false" outlineLevel="0" collapsed="false">
      <c r="A42" s="5" t="s">
        <v>398</v>
      </c>
      <c r="B42" s="5" t="s">
        <v>399</v>
      </c>
      <c r="C42" s="28" t="s">
        <v>337</v>
      </c>
      <c r="D42" s="5" t="s">
        <v>274</v>
      </c>
      <c r="E42" s="22" t="s">
        <v>290</v>
      </c>
    </row>
    <row r="43" customFormat="false" ht="15" hidden="false" customHeight="false" outlineLevel="0" collapsed="false">
      <c r="A43" s="5" t="s">
        <v>400</v>
      </c>
      <c r="B43" s="5" t="s">
        <v>399</v>
      </c>
      <c r="C43" s="28" t="s">
        <v>277</v>
      </c>
      <c r="D43" s="5" t="s">
        <v>278</v>
      </c>
      <c r="E43" s="22" t="s">
        <v>279</v>
      </c>
    </row>
    <row r="44" customFormat="false" ht="15" hidden="false" customHeight="false" outlineLevel="0" collapsed="false">
      <c r="A44" s="5" t="s">
        <v>401</v>
      </c>
      <c r="B44" s="5" t="s">
        <v>399</v>
      </c>
      <c r="C44" s="28" t="s">
        <v>402</v>
      </c>
      <c r="D44" s="5" t="s">
        <v>403</v>
      </c>
      <c r="E44" s="22" t="s">
        <v>404</v>
      </c>
    </row>
    <row r="45" customFormat="false" ht="15" hidden="false" customHeight="false" outlineLevel="0" collapsed="false">
      <c r="A45" s="5" t="s">
        <v>405</v>
      </c>
      <c r="B45" s="5" t="s">
        <v>399</v>
      </c>
      <c r="C45" s="28" t="s">
        <v>406</v>
      </c>
      <c r="D45" s="5" t="s">
        <v>407</v>
      </c>
      <c r="E45" s="22" t="s">
        <v>408</v>
      </c>
    </row>
    <row r="46" customFormat="false" ht="15" hidden="false" customHeight="false" outlineLevel="0" collapsed="false">
      <c r="A46" s="5" t="s">
        <v>409</v>
      </c>
      <c r="B46" s="5" t="s">
        <v>399</v>
      </c>
      <c r="C46" s="28" t="s">
        <v>410</v>
      </c>
      <c r="D46" s="5" t="s">
        <v>411</v>
      </c>
      <c r="E46" s="22" t="s">
        <v>412</v>
      </c>
    </row>
    <row r="47" customFormat="false" ht="15" hidden="false" customHeight="false" outlineLevel="0" collapsed="false">
      <c r="A47" s="5" t="s">
        <v>413</v>
      </c>
      <c r="B47" s="5" t="s">
        <v>399</v>
      </c>
      <c r="C47" s="28" t="s">
        <v>414</v>
      </c>
      <c r="D47" s="5" t="s">
        <v>305</v>
      </c>
      <c r="E47" s="22" t="s">
        <v>415</v>
      </c>
    </row>
    <row r="48" customFormat="false" ht="15" hidden="false" customHeight="false" outlineLevel="0" collapsed="false">
      <c r="A48" s="5" t="s">
        <v>416</v>
      </c>
      <c r="B48" s="5" t="s">
        <v>399</v>
      </c>
      <c r="C48" s="28" t="s">
        <v>417</v>
      </c>
      <c r="D48" s="5" t="s">
        <v>403</v>
      </c>
      <c r="E48" s="22" t="s">
        <v>418</v>
      </c>
    </row>
    <row r="49" customFormat="false" ht="15" hidden="false" customHeight="false" outlineLevel="0" collapsed="false">
      <c r="A49" s="5" t="s">
        <v>419</v>
      </c>
      <c r="B49" s="5" t="s">
        <v>399</v>
      </c>
      <c r="C49" s="28" t="s">
        <v>420</v>
      </c>
      <c r="D49" s="5" t="s">
        <v>305</v>
      </c>
      <c r="E49" s="22" t="s">
        <v>421</v>
      </c>
    </row>
    <row r="50" customFormat="false" ht="15" hidden="false" customHeight="false" outlineLevel="0" collapsed="false">
      <c r="A50" s="5" t="s">
        <v>422</v>
      </c>
      <c r="B50" s="5" t="s">
        <v>399</v>
      </c>
      <c r="C50" s="28" t="s">
        <v>423</v>
      </c>
      <c r="D50" s="5" t="s">
        <v>309</v>
      </c>
      <c r="E50" s="22" t="s">
        <v>342</v>
      </c>
    </row>
    <row r="51" customFormat="false" ht="15" hidden="false" customHeight="false" outlineLevel="0" collapsed="false">
      <c r="A51" s="5" t="s">
        <v>424</v>
      </c>
      <c r="B51" s="5" t="s">
        <v>399</v>
      </c>
      <c r="C51" s="28" t="s">
        <v>425</v>
      </c>
      <c r="D51" s="5" t="s">
        <v>426</v>
      </c>
      <c r="E51" s="22" t="s">
        <v>427</v>
      </c>
    </row>
    <row r="52" customFormat="false" ht="15" hidden="false" customHeight="false" outlineLevel="0" collapsed="false">
      <c r="A52" s="5" t="s">
        <v>428</v>
      </c>
      <c r="B52" s="5" t="s">
        <v>399</v>
      </c>
      <c r="C52" s="28" t="s">
        <v>429</v>
      </c>
      <c r="D52" s="5" t="s">
        <v>278</v>
      </c>
      <c r="E52" s="22" t="s">
        <v>430</v>
      </c>
    </row>
    <row r="53" customFormat="false" ht="15" hidden="false" customHeight="false" outlineLevel="0" collapsed="false">
      <c r="A53" s="5" t="s">
        <v>431</v>
      </c>
      <c r="B53" s="5" t="s">
        <v>399</v>
      </c>
      <c r="C53" s="28" t="s">
        <v>432</v>
      </c>
      <c r="D53" s="5" t="s">
        <v>433</v>
      </c>
      <c r="E53" s="22" t="s">
        <v>434</v>
      </c>
    </row>
    <row r="54" customFormat="false" ht="15" hidden="false" customHeight="false" outlineLevel="0" collapsed="false">
      <c r="A54" s="5" t="s">
        <v>435</v>
      </c>
      <c r="B54" s="5" t="s">
        <v>399</v>
      </c>
      <c r="C54" s="28" t="s">
        <v>436</v>
      </c>
      <c r="D54" s="5" t="s">
        <v>437</v>
      </c>
      <c r="E54" s="22" t="s">
        <v>438</v>
      </c>
    </row>
    <row r="55" customFormat="false" ht="15" hidden="false" customHeight="false" outlineLevel="0" collapsed="false">
      <c r="A55" s="5" t="s">
        <v>439</v>
      </c>
      <c r="B55" s="5" t="s">
        <v>399</v>
      </c>
      <c r="C55" s="28" t="s">
        <v>440</v>
      </c>
      <c r="D55" s="5" t="s">
        <v>441</v>
      </c>
      <c r="E55" s="22" t="s">
        <v>442</v>
      </c>
    </row>
    <row r="56" customFormat="false" ht="15" hidden="false" customHeight="false" outlineLevel="0" collapsed="false">
      <c r="A56" s="5" t="s">
        <v>443</v>
      </c>
      <c r="B56" s="5" t="s">
        <v>399</v>
      </c>
      <c r="C56" s="28" t="s">
        <v>344</v>
      </c>
      <c r="D56" s="5" t="s">
        <v>316</v>
      </c>
      <c r="E56" s="22" t="s">
        <v>345</v>
      </c>
    </row>
    <row r="57" customFormat="false" ht="23.85" hidden="false" customHeight="false" outlineLevel="0" collapsed="false">
      <c r="A57" s="5" t="s">
        <v>444</v>
      </c>
      <c r="B57" s="5" t="s">
        <v>399</v>
      </c>
      <c r="C57" s="28" t="s">
        <v>445</v>
      </c>
      <c r="D57" s="5" t="s">
        <v>305</v>
      </c>
      <c r="E57" s="22" t="s">
        <v>446</v>
      </c>
    </row>
    <row r="58" customFormat="false" ht="15" hidden="false" customHeight="false" outlineLevel="0" collapsed="false">
      <c r="A58" s="5" t="s">
        <v>447</v>
      </c>
      <c r="B58" s="5" t="s">
        <v>399</v>
      </c>
      <c r="C58" s="28" t="s">
        <v>448</v>
      </c>
      <c r="D58" s="5" t="s">
        <v>278</v>
      </c>
      <c r="E58" s="22" t="s">
        <v>449</v>
      </c>
    </row>
    <row r="59" customFormat="false" ht="23.85" hidden="false" customHeight="false" outlineLevel="0" collapsed="false">
      <c r="A59" s="5" t="s">
        <v>450</v>
      </c>
      <c r="B59" s="5" t="s">
        <v>399</v>
      </c>
      <c r="C59" s="28" t="s">
        <v>451</v>
      </c>
      <c r="D59" s="5" t="s">
        <v>452</v>
      </c>
      <c r="E59" s="22" t="s">
        <v>317</v>
      </c>
    </row>
    <row r="60" customFormat="false" ht="23.85" hidden="false" customHeight="false" outlineLevel="0" collapsed="false">
      <c r="A60" s="5" t="s">
        <v>453</v>
      </c>
      <c r="B60" s="5" t="s">
        <v>399</v>
      </c>
      <c r="C60" s="28" t="s">
        <v>454</v>
      </c>
      <c r="D60" s="5" t="s">
        <v>274</v>
      </c>
      <c r="E60" s="22" t="s">
        <v>455</v>
      </c>
    </row>
    <row r="61" customFormat="false" ht="23.85" hidden="false" customHeight="false" outlineLevel="0" collapsed="false">
      <c r="A61" s="5" t="s">
        <v>456</v>
      </c>
      <c r="B61" s="5" t="s">
        <v>399</v>
      </c>
      <c r="C61" s="28" t="s">
        <v>457</v>
      </c>
      <c r="D61" s="5" t="s">
        <v>320</v>
      </c>
      <c r="E61" s="22" t="s">
        <v>321</v>
      </c>
    </row>
    <row r="62" customFormat="false" ht="23.85" hidden="false" customHeight="false" outlineLevel="0" collapsed="false">
      <c r="A62" s="5" t="s">
        <v>458</v>
      </c>
      <c r="B62" s="5" t="s">
        <v>399</v>
      </c>
      <c r="C62" s="28" t="s">
        <v>323</v>
      </c>
      <c r="D62" s="5" t="s">
        <v>324</v>
      </c>
      <c r="E62" s="22" t="s">
        <v>325</v>
      </c>
    </row>
    <row r="63" customFormat="false" ht="23.85" hidden="false" customHeight="false" outlineLevel="0" collapsed="false">
      <c r="A63" s="5" t="s">
        <v>459</v>
      </c>
      <c r="B63" s="5" t="s">
        <v>399</v>
      </c>
      <c r="C63" s="28" t="s">
        <v>460</v>
      </c>
      <c r="D63" s="5" t="s">
        <v>394</v>
      </c>
      <c r="E63" s="22" t="s">
        <v>461</v>
      </c>
    </row>
    <row r="64" customFormat="false" ht="23.85" hidden="false" customHeight="false" outlineLevel="0" collapsed="false">
      <c r="A64" s="5" t="s">
        <v>462</v>
      </c>
      <c r="B64" s="5" t="s">
        <v>399</v>
      </c>
      <c r="C64" s="28" t="s">
        <v>463</v>
      </c>
      <c r="D64" s="5" t="s">
        <v>309</v>
      </c>
      <c r="E64" s="22" t="s">
        <v>328</v>
      </c>
    </row>
    <row r="65" customFormat="false" ht="23.85" hidden="false" customHeight="false" outlineLevel="0" collapsed="false">
      <c r="A65" s="5" t="s">
        <v>464</v>
      </c>
      <c r="B65" s="5" t="s">
        <v>399</v>
      </c>
      <c r="C65" s="28" t="s">
        <v>465</v>
      </c>
      <c r="D65" s="5" t="s">
        <v>305</v>
      </c>
      <c r="E65" s="22" t="s">
        <v>363</v>
      </c>
    </row>
    <row r="66" customFormat="false" ht="23.85" hidden="false" customHeight="false" outlineLevel="0" collapsed="false">
      <c r="A66" s="5" t="s">
        <v>466</v>
      </c>
      <c r="B66" s="5" t="s">
        <v>399</v>
      </c>
      <c r="C66" s="28" t="s">
        <v>467</v>
      </c>
      <c r="D66" s="5" t="s">
        <v>366</v>
      </c>
      <c r="E66" s="22" t="s">
        <v>468</v>
      </c>
    </row>
    <row r="67" customFormat="false" ht="23.85" hidden="false" customHeight="false" outlineLevel="0" collapsed="false">
      <c r="A67" s="5" t="s">
        <v>469</v>
      </c>
      <c r="B67" s="5" t="s">
        <v>399</v>
      </c>
      <c r="C67" s="28" t="s">
        <v>470</v>
      </c>
      <c r="D67" s="5" t="s">
        <v>452</v>
      </c>
      <c r="E67" s="22" t="s">
        <v>471</v>
      </c>
    </row>
    <row r="68" customFormat="false" ht="23.85" hidden="false" customHeight="false" outlineLevel="0" collapsed="false">
      <c r="A68" s="5" t="s">
        <v>472</v>
      </c>
      <c r="B68" s="5" t="s">
        <v>473</v>
      </c>
      <c r="C68" s="28" t="s">
        <v>335</v>
      </c>
      <c r="D68" s="5" t="s">
        <v>274</v>
      </c>
      <c r="E68" s="22" t="s">
        <v>275</v>
      </c>
    </row>
    <row r="69" customFormat="false" ht="23.85" hidden="false" customHeight="false" outlineLevel="0" collapsed="false">
      <c r="A69" s="5" t="s">
        <v>474</v>
      </c>
      <c r="B69" s="5" t="s">
        <v>473</v>
      </c>
      <c r="C69" s="28" t="s">
        <v>475</v>
      </c>
      <c r="D69" s="5" t="s">
        <v>320</v>
      </c>
      <c r="E69" s="22" t="s">
        <v>476</v>
      </c>
    </row>
    <row r="70" customFormat="false" ht="23.85" hidden="false" customHeight="false" outlineLevel="0" collapsed="false">
      <c r="A70" s="5" t="s">
        <v>477</v>
      </c>
      <c r="B70" s="5" t="s">
        <v>473</v>
      </c>
      <c r="C70" s="28" t="s">
        <v>478</v>
      </c>
      <c r="D70" s="5" t="s">
        <v>305</v>
      </c>
      <c r="E70" s="22" t="s">
        <v>479</v>
      </c>
    </row>
    <row r="71" customFormat="false" ht="15" hidden="false" customHeight="false" outlineLevel="0" collapsed="false">
      <c r="A71" s="5" t="s">
        <v>480</v>
      </c>
      <c r="B71" s="5" t="s">
        <v>473</v>
      </c>
      <c r="C71" s="28" t="s">
        <v>481</v>
      </c>
      <c r="D71" s="5" t="s">
        <v>305</v>
      </c>
      <c r="E71" s="22" t="s">
        <v>482</v>
      </c>
    </row>
    <row r="72" customFormat="false" ht="15" hidden="false" customHeight="false" outlineLevel="0" collapsed="false">
      <c r="A72" s="5" t="s">
        <v>483</v>
      </c>
      <c r="B72" s="5" t="s">
        <v>473</v>
      </c>
      <c r="C72" s="28" t="s">
        <v>484</v>
      </c>
      <c r="D72" s="5" t="s">
        <v>485</v>
      </c>
      <c r="E72" s="22" t="s">
        <v>486</v>
      </c>
    </row>
    <row r="73" customFormat="false" ht="23.85" hidden="false" customHeight="false" outlineLevel="0" collapsed="false">
      <c r="A73" s="5" t="s">
        <v>487</v>
      </c>
      <c r="B73" s="5" t="s">
        <v>473</v>
      </c>
      <c r="C73" s="28" t="s">
        <v>488</v>
      </c>
      <c r="D73" s="5" t="s">
        <v>305</v>
      </c>
      <c r="E73" s="22" t="s">
        <v>360</v>
      </c>
    </row>
    <row r="74" customFormat="false" ht="23.85" hidden="false" customHeight="false" outlineLevel="0" collapsed="false">
      <c r="A74" s="5" t="s">
        <v>489</v>
      </c>
      <c r="B74" s="5" t="s">
        <v>473</v>
      </c>
      <c r="C74" s="28" t="s">
        <v>490</v>
      </c>
      <c r="D74" s="5" t="s">
        <v>491</v>
      </c>
      <c r="E74" s="22" t="s">
        <v>492</v>
      </c>
    </row>
    <row r="75" customFormat="false" ht="15" hidden="false" customHeight="false" outlineLevel="0" collapsed="false">
      <c r="A75" s="5" t="s">
        <v>493</v>
      </c>
      <c r="B75" s="5" t="s">
        <v>473</v>
      </c>
      <c r="C75" s="28" t="s">
        <v>494</v>
      </c>
      <c r="D75" s="5" t="s">
        <v>495</v>
      </c>
      <c r="E75" s="22" t="s">
        <v>496</v>
      </c>
    </row>
    <row r="76" customFormat="false" ht="15" hidden="false" customHeight="false" outlineLevel="0" collapsed="false">
      <c r="A76" s="5" t="s">
        <v>497</v>
      </c>
      <c r="B76" s="5" t="s">
        <v>473</v>
      </c>
      <c r="C76" s="28" t="s">
        <v>498</v>
      </c>
      <c r="D76" s="5" t="s">
        <v>499</v>
      </c>
      <c r="E76" s="22" t="s">
        <v>500</v>
      </c>
    </row>
    <row r="77" customFormat="false" ht="15" hidden="false" customHeight="false" outlineLevel="0" collapsed="false">
      <c r="A77" s="5" t="s">
        <v>501</v>
      </c>
      <c r="B77" s="5" t="s">
        <v>473</v>
      </c>
      <c r="C77" s="28" t="s">
        <v>502</v>
      </c>
      <c r="D77" s="5" t="s">
        <v>366</v>
      </c>
      <c r="E77" s="22" t="s">
        <v>503</v>
      </c>
    </row>
    <row r="78" customFormat="false" ht="23.85" hidden="false" customHeight="false" outlineLevel="0" collapsed="false">
      <c r="A78" s="5" t="s">
        <v>504</v>
      </c>
      <c r="B78" s="5" t="s">
        <v>473</v>
      </c>
      <c r="C78" s="28" t="s">
        <v>505</v>
      </c>
      <c r="D78" s="5" t="s">
        <v>499</v>
      </c>
      <c r="E78" s="22" t="s">
        <v>506</v>
      </c>
    </row>
    <row r="79" customFormat="false" ht="23.85" hidden="false" customHeight="false" outlineLevel="0" collapsed="false">
      <c r="A79" s="5" t="s">
        <v>507</v>
      </c>
      <c r="B79" s="5" t="s">
        <v>473</v>
      </c>
      <c r="C79" s="28" t="s">
        <v>508</v>
      </c>
      <c r="D79" s="5" t="s">
        <v>366</v>
      </c>
      <c r="E79" s="22" t="s">
        <v>509</v>
      </c>
    </row>
    <row r="80" customFormat="false" ht="15" hidden="false" customHeight="false" outlineLevel="0" collapsed="false">
      <c r="A80" s="5" t="s">
        <v>510</v>
      </c>
      <c r="B80" s="5" t="s">
        <v>473</v>
      </c>
      <c r="C80" s="28" t="s">
        <v>511</v>
      </c>
      <c r="D80" s="5" t="s">
        <v>512</v>
      </c>
      <c r="E80" s="22" t="s">
        <v>513</v>
      </c>
    </row>
    <row r="81" customFormat="false" ht="23.85" hidden="false" customHeight="false" outlineLevel="0" collapsed="false">
      <c r="A81" s="5" t="s">
        <v>514</v>
      </c>
      <c r="B81" s="5" t="s">
        <v>473</v>
      </c>
      <c r="C81" s="28" t="s">
        <v>515</v>
      </c>
      <c r="D81" s="5" t="s">
        <v>305</v>
      </c>
      <c r="E81" s="22" t="s">
        <v>516</v>
      </c>
    </row>
    <row r="82" customFormat="false" ht="15" hidden="false" customHeight="false" outlineLevel="0" collapsed="false">
      <c r="A82" s="5" t="s">
        <v>517</v>
      </c>
      <c r="B82" s="5" t="s">
        <v>473</v>
      </c>
      <c r="C82" s="28" t="s">
        <v>518</v>
      </c>
      <c r="D82" s="5" t="s">
        <v>519</v>
      </c>
      <c r="E82" s="22" t="s">
        <v>520</v>
      </c>
    </row>
    <row r="83" customFormat="false" ht="15" hidden="false" customHeight="false" outlineLevel="0" collapsed="false">
      <c r="A83" s="5" t="s">
        <v>521</v>
      </c>
      <c r="B83" s="5" t="s">
        <v>473</v>
      </c>
      <c r="C83" s="28" t="s">
        <v>522</v>
      </c>
      <c r="D83" s="5" t="s">
        <v>305</v>
      </c>
      <c r="E83" s="22" t="s">
        <v>523</v>
      </c>
    </row>
    <row r="84" customFormat="false" ht="15" hidden="false" customHeight="false" outlineLevel="0" collapsed="false">
      <c r="A84" s="5" t="s">
        <v>524</v>
      </c>
      <c r="B84" s="5" t="s">
        <v>473</v>
      </c>
      <c r="C84" s="28" t="s">
        <v>525</v>
      </c>
      <c r="D84" s="5" t="s">
        <v>305</v>
      </c>
      <c r="E84" s="22" t="s">
        <v>526</v>
      </c>
    </row>
    <row r="85" customFormat="false" ht="15" hidden="false" customHeight="false" outlineLevel="0" collapsed="false">
      <c r="A85" s="5" t="s">
        <v>527</v>
      </c>
      <c r="B85" s="5" t="s">
        <v>473</v>
      </c>
      <c r="C85" s="28" t="s">
        <v>528</v>
      </c>
      <c r="D85" s="5" t="s">
        <v>309</v>
      </c>
      <c r="E85" s="22" t="s">
        <v>529</v>
      </c>
    </row>
    <row r="86" customFormat="false" ht="23.85" hidden="false" customHeight="false" outlineLevel="0" collapsed="false">
      <c r="A86" s="5" t="s">
        <v>530</v>
      </c>
      <c r="B86" s="5" t="s">
        <v>473</v>
      </c>
      <c r="C86" s="28" t="s">
        <v>531</v>
      </c>
      <c r="D86" s="5" t="s">
        <v>452</v>
      </c>
      <c r="E86" s="22" t="s">
        <v>317</v>
      </c>
    </row>
    <row r="87" customFormat="false" ht="23.85" hidden="false" customHeight="false" outlineLevel="0" collapsed="false">
      <c r="A87" s="5" t="s">
        <v>532</v>
      </c>
      <c r="B87" s="5" t="s">
        <v>473</v>
      </c>
      <c r="C87" s="28" t="s">
        <v>533</v>
      </c>
      <c r="D87" s="5" t="s">
        <v>278</v>
      </c>
      <c r="E87" s="22" t="s">
        <v>279</v>
      </c>
    </row>
    <row r="88" customFormat="false" ht="15" hidden="false" customHeight="false" outlineLevel="0" collapsed="false">
      <c r="A88" s="5" t="s">
        <v>534</v>
      </c>
      <c r="B88" s="5" t="s">
        <v>473</v>
      </c>
      <c r="C88" s="28" t="s">
        <v>535</v>
      </c>
      <c r="D88" s="5" t="s">
        <v>305</v>
      </c>
      <c r="E88" s="22" t="s">
        <v>536</v>
      </c>
    </row>
    <row r="89" customFormat="false" ht="15" hidden="false" customHeight="false" outlineLevel="0" collapsed="false">
      <c r="A89" s="5" t="s">
        <v>537</v>
      </c>
      <c r="B89" s="5" t="s">
        <v>473</v>
      </c>
      <c r="C89" s="28" t="s">
        <v>538</v>
      </c>
      <c r="D89" s="5" t="s">
        <v>394</v>
      </c>
      <c r="E89" s="22" t="s">
        <v>395</v>
      </c>
    </row>
    <row r="90" customFormat="false" ht="23.85" hidden="false" customHeight="false" outlineLevel="0" collapsed="false">
      <c r="A90" s="5" t="s">
        <v>539</v>
      </c>
      <c r="B90" s="5" t="s">
        <v>473</v>
      </c>
      <c r="C90" s="28" t="s">
        <v>540</v>
      </c>
      <c r="D90" s="5" t="s">
        <v>305</v>
      </c>
      <c r="E90" s="22" t="s">
        <v>363</v>
      </c>
    </row>
    <row r="91" customFormat="false" ht="23.85" hidden="false" customHeight="false" outlineLevel="0" collapsed="false">
      <c r="A91" s="5" t="s">
        <v>541</v>
      </c>
      <c r="B91" s="5" t="s">
        <v>473</v>
      </c>
      <c r="C91" s="28" t="s">
        <v>542</v>
      </c>
      <c r="D91" s="5" t="s">
        <v>543</v>
      </c>
      <c r="E91" s="22" t="s">
        <v>421</v>
      </c>
    </row>
    <row r="92" customFormat="false" ht="15" hidden="false" customHeight="false" outlineLevel="0" collapsed="false">
      <c r="A92" s="5" t="s">
        <v>544</v>
      </c>
      <c r="B92" s="5" t="s">
        <v>545</v>
      </c>
      <c r="C92" s="28" t="s">
        <v>546</v>
      </c>
      <c r="D92" s="5" t="s">
        <v>274</v>
      </c>
      <c r="E92" s="22" t="s">
        <v>275</v>
      </c>
    </row>
    <row r="93" customFormat="false" ht="15" hidden="false" customHeight="false" outlineLevel="0" collapsed="false">
      <c r="A93" s="5" t="s">
        <v>547</v>
      </c>
      <c r="B93" s="5" t="s">
        <v>545</v>
      </c>
      <c r="C93" s="28" t="s">
        <v>548</v>
      </c>
      <c r="D93" s="5" t="s">
        <v>274</v>
      </c>
      <c r="E93" s="22" t="s">
        <v>290</v>
      </c>
    </row>
    <row r="94" customFormat="false" ht="23.85" hidden="false" customHeight="false" outlineLevel="0" collapsed="false">
      <c r="A94" s="5" t="s">
        <v>549</v>
      </c>
      <c r="B94" s="5" t="s">
        <v>545</v>
      </c>
      <c r="C94" s="28" t="s">
        <v>550</v>
      </c>
      <c r="D94" s="5" t="s">
        <v>320</v>
      </c>
      <c r="E94" s="22" t="s">
        <v>551</v>
      </c>
    </row>
    <row r="95" customFormat="false" ht="23.85" hidden="false" customHeight="false" outlineLevel="0" collapsed="false">
      <c r="A95" s="5" t="s">
        <v>552</v>
      </c>
      <c r="B95" s="5" t="s">
        <v>545</v>
      </c>
      <c r="C95" s="28" t="s">
        <v>553</v>
      </c>
      <c r="D95" s="5" t="s">
        <v>554</v>
      </c>
      <c r="E95" s="22" t="s">
        <v>555</v>
      </c>
    </row>
    <row r="96" customFormat="false" ht="15" hidden="false" customHeight="false" outlineLevel="0" collapsed="false">
      <c r="A96" s="5" t="s">
        <v>556</v>
      </c>
      <c r="B96" s="5" t="s">
        <v>545</v>
      </c>
      <c r="C96" s="28" t="s">
        <v>557</v>
      </c>
      <c r="D96" s="5" t="s">
        <v>305</v>
      </c>
      <c r="E96" s="22" t="s">
        <v>421</v>
      </c>
    </row>
    <row r="97" customFormat="false" ht="15" hidden="false" customHeight="false" outlineLevel="0" collapsed="false">
      <c r="A97" s="5" t="s">
        <v>558</v>
      </c>
      <c r="B97" s="5" t="s">
        <v>545</v>
      </c>
      <c r="C97" s="28" t="s">
        <v>559</v>
      </c>
      <c r="D97" s="5" t="s">
        <v>519</v>
      </c>
      <c r="E97" s="22" t="s">
        <v>520</v>
      </c>
    </row>
    <row r="98" customFormat="false" ht="15" hidden="false" customHeight="false" outlineLevel="0" collapsed="false">
      <c r="A98" s="5" t="s">
        <v>560</v>
      </c>
      <c r="B98" s="5" t="s">
        <v>545</v>
      </c>
      <c r="C98" s="28" t="s">
        <v>561</v>
      </c>
      <c r="D98" s="5" t="s">
        <v>499</v>
      </c>
      <c r="E98" s="22" t="s">
        <v>506</v>
      </c>
    </row>
    <row r="99" customFormat="false" ht="15" hidden="false" customHeight="false" outlineLevel="0" collapsed="false">
      <c r="A99" s="5" t="s">
        <v>562</v>
      </c>
      <c r="B99" s="5" t="s">
        <v>545</v>
      </c>
      <c r="C99" s="28" t="s">
        <v>563</v>
      </c>
      <c r="D99" s="5" t="s">
        <v>305</v>
      </c>
      <c r="E99" s="22" t="s">
        <v>564</v>
      </c>
    </row>
    <row r="100" customFormat="false" ht="15" hidden="false" customHeight="false" outlineLevel="0" collapsed="false">
      <c r="A100" s="5" t="s">
        <v>565</v>
      </c>
      <c r="B100" s="5" t="s">
        <v>545</v>
      </c>
      <c r="C100" s="28" t="s">
        <v>566</v>
      </c>
      <c r="D100" s="5" t="s">
        <v>567</v>
      </c>
      <c r="E100" s="22" t="s">
        <v>568</v>
      </c>
    </row>
    <row r="101" customFormat="false" ht="15" hidden="false" customHeight="false" outlineLevel="0" collapsed="false">
      <c r="A101" s="5" t="s">
        <v>569</v>
      </c>
      <c r="B101" s="5" t="s">
        <v>545</v>
      </c>
      <c r="C101" s="28" t="s">
        <v>570</v>
      </c>
      <c r="D101" s="5" t="s">
        <v>571</v>
      </c>
      <c r="E101" s="22" t="s">
        <v>572</v>
      </c>
    </row>
    <row r="102" customFormat="false" ht="23.85" hidden="false" customHeight="false" outlineLevel="0" collapsed="false">
      <c r="A102" s="5" t="s">
        <v>573</v>
      </c>
      <c r="B102" s="5" t="s">
        <v>545</v>
      </c>
      <c r="C102" s="28" t="s">
        <v>574</v>
      </c>
      <c r="D102" s="5" t="s">
        <v>309</v>
      </c>
      <c r="E102" s="22" t="s">
        <v>328</v>
      </c>
    </row>
    <row r="103" customFormat="false" ht="15" hidden="false" customHeight="false" outlineLevel="0" collapsed="false">
      <c r="A103" s="5" t="s">
        <v>575</v>
      </c>
      <c r="B103" s="5" t="s">
        <v>545</v>
      </c>
      <c r="C103" s="28" t="s">
        <v>576</v>
      </c>
      <c r="D103" s="5" t="s">
        <v>394</v>
      </c>
      <c r="E103" s="22" t="s">
        <v>395</v>
      </c>
    </row>
    <row r="104" customFormat="false" ht="23.85" hidden="false" customHeight="false" outlineLevel="0" collapsed="false">
      <c r="A104" s="5" t="s">
        <v>577</v>
      </c>
      <c r="B104" s="5" t="s">
        <v>545</v>
      </c>
      <c r="C104" s="28" t="s">
        <v>578</v>
      </c>
      <c r="D104" s="5" t="s">
        <v>305</v>
      </c>
      <c r="E104" s="22" t="s">
        <v>363</v>
      </c>
    </row>
    <row r="105" customFormat="false" ht="15" hidden="false" customHeight="false" outlineLevel="0" collapsed="false">
      <c r="A105" s="5" t="s">
        <v>579</v>
      </c>
      <c r="B105" s="5" t="s">
        <v>545</v>
      </c>
      <c r="C105" s="28" t="s">
        <v>580</v>
      </c>
      <c r="D105" s="5" t="s">
        <v>305</v>
      </c>
      <c r="E105" s="22" t="s">
        <v>313</v>
      </c>
    </row>
    <row r="106" customFormat="false" ht="68.65" hidden="false" customHeight="false" outlineLevel="0" collapsed="false">
      <c r="A106" s="5" t="s">
        <v>581</v>
      </c>
      <c r="B106" s="5" t="s">
        <v>545</v>
      </c>
      <c r="C106" s="28" t="s">
        <v>582</v>
      </c>
      <c r="D106" s="5" t="s">
        <v>316</v>
      </c>
      <c r="E106" s="22" t="s">
        <v>317</v>
      </c>
    </row>
    <row r="107" customFormat="false" ht="15" hidden="false" customHeight="false" outlineLevel="0" collapsed="false">
      <c r="A107" s="5" t="s">
        <v>583</v>
      </c>
      <c r="B107" s="5" t="s">
        <v>545</v>
      </c>
      <c r="C107" s="28" t="s">
        <v>584</v>
      </c>
      <c r="D107" s="5" t="s">
        <v>585</v>
      </c>
      <c r="E107" s="22" t="s">
        <v>586</v>
      </c>
    </row>
    <row r="108" customFormat="false" ht="15" hidden="false" customHeight="false" outlineLevel="0" collapsed="false">
      <c r="A108" s="5" t="s">
        <v>587</v>
      </c>
      <c r="B108" s="5" t="s">
        <v>545</v>
      </c>
      <c r="C108" s="28" t="s">
        <v>588</v>
      </c>
      <c r="D108" s="5" t="s">
        <v>305</v>
      </c>
      <c r="E108" s="22" t="s">
        <v>589</v>
      </c>
    </row>
    <row r="109" customFormat="false" ht="15" hidden="false" customHeight="false" outlineLevel="0" collapsed="false">
      <c r="A109" s="5" t="s">
        <v>590</v>
      </c>
      <c r="B109" s="5" t="s">
        <v>591</v>
      </c>
      <c r="C109" s="28" t="s">
        <v>584</v>
      </c>
      <c r="D109" s="5" t="s">
        <v>585</v>
      </c>
      <c r="E109" s="22" t="s">
        <v>586</v>
      </c>
    </row>
    <row r="110" customFormat="false" ht="35.05" hidden="false" customHeight="false" outlineLevel="0" collapsed="false">
      <c r="A110" s="5" t="s">
        <v>592</v>
      </c>
      <c r="B110" s="5" t="s">
        <v>591</v>
      </c>
      <c r="C110" s="28" t="s">
        <v>593</v>
      </c>
      <c r="D110" s="5" t="s">
        <v>320</v>
      </c>
      <c r="E110" s="22" t="s">
        <v>321</v>
      </c>
    </row>
    <row r="111" customFormat="false" ht="15" hidden="false" customHeight="false" outlineLevel="0" collapsed="false">
      <c r="A111" s="5" t="s">
        <v>594</v>
      </c>
      <c r="B111" s="5" t="s">
        <v>591</v>
      </c>
      <c r="C111" s="28" t="s">
        <v>595</v>
      </c>
      <c r="D111" s="5" t="s">
        <v>596</v>
      </c>
      <c r="E111" s="22" t="s">
        <v>597</v>
      </c>
    </row>
    <row r="112" customFormat="false" ht="15" hidden="false" customHeight="false" outlineLevel="0" collapsed="false">
      <c r="A112" s="5" t="s">
        <v>598</v>
      </c>
      <c r="B112" s="5" t="s">
        <v>591</v>
      </c>
      <c r="C112" s="28" t="s">
        <v>599</v>
      </c>
      <c r="D112" s="5" t="s">
        <v>305</v>
      </c>
      <c r="E112" s="22" t="s">
        <v>600</v>
      </c>
    </row>
    <row r="113" customFormat="false" ht="15" hidden="false" customHeight="false" outlineLevel="0" collapsed="false">
      <c r="A113" s="5" t="s">
        <v>601</v>
      </c>
      <c r="B113" s="5" t="s">
        <v>591</v>
      </c>
      <c r="C113" s="28" t="s">
        <v>602</v>
      </c>
      <c r="D113" s="5" t="s">
        <v>452</v>
      </c>
      <c r="E113" s="22" t="s">
        <v>603</v>
      </c>
    </row>
    <row r="114" customFormat="false" ht="15" hidden="false" customHeight="false" outlineLevel="0" collapsed="false">
      <c r="A114" s="5" t="s">
        <v>604</v>
      </c>
      <c r="B114" s="5" t="s">
        <v>591</v>
      </c>
      <c r="C114" s="28" t="s">
        <v>605</v>
      </c>
      <c r="D114" s="5" t="s">
        <v>606</v>
      </c>
      <c r="E114" s="22" t="s">
        <v>607</v>
      </c>
    </row>
    <row r="115" customFormat="false" ht="23.85" hidden="false" customHeight="false" outlineLevel="0" collapsed="false">
      <c r="A115" s="5" t="s">
        <v>608</v>
      </c>
      <c r="B115" s="5" t="s">
        <v>591</v>
      </c>
      <c r="C115" s="28" t="s">
        <v>609</v>
      </c>
      <c r="D115" s="5" t="s">
        <v>452</v>
      </c>
      <c r="E115" s="22" t="s">
        <v>471</v>
      </c>
    </row>
    <row r="116" customFormat="false" ht="23.85" hidden="false" customHeight="false" outlineLevel="0" collapsed="false">
      <c r="A116" s="5" t="s">
        <v>610</v>
      </c>
      <c r="B116" s="5" t="s">
        <v>591</v>
      </c>
      <c r="C116" s="28" t="s">
        <v>611</v>
      </c>
      <c r="D116" s="5" t="s">
        <v>316</v>
      </c>
      <c r="E116" s="22" t="s">
        <v>317</v>
      </c>
    </row>
    <row r="117" customFormat="false" ht="35.05" hidden="false" customHeight="false" outlineLevel="0" collapsed="false">
      <c r="A117" s="5" t="s">
        <v>612</v>
      </c>
      <c r="B117" s="5" t="s">
        <v>591</v>
      </c>
      <c r="C117" s="28" t="s">
        <v>613</v>
      </c>
      <c r="D117" s="5" t="s">
        <v>614</v>
      </c>
      <c r="E117" s="22" t="s">
        <v>279</v>
      </c>
    </row>
    <row r="118" customFormat="false" ht="23.85" hidden="false" customHeight="false" outlineLevel="0" collapsed="false">
      <c r="A118" s="5" t="s">
        <v>615</v>
      </c>
      <c r="B118" s="5" t="s">
        <v>591</v>
      </c>
      <c r="C118" s="28" t="s">
        <v>616</v>
      </c>
      <c r="D118" s="5" t="s">
        <v>274</v>
      </c>
      <c r="E118" s="22" t="s">
        <v>275</v>
      </c>
    </row>
    <row r="119" customFormat="false" ht="23.85" hidden="false" customHeight="false" outlineLevel="0" collapsed="false">
      <c r="A119" s="5" t="s">
        <v>617</v>
      </c>
      <c r="B119" s="5" t="s">
        <v>591</v>
      </c>
      <c r="C119" s="28" t="s">
        <v>618</v>
      </c>
      <c r="D119" s="5" t="s">
        <v>619</v>
      </c>
      <c r="E119" s="22" t="s">
        <v>620</v>
      </c>
    </row>
    <row r="120" customFormat="false" ht="35.05" hidden="false" customHeight="false" outlineLevel="0" collapsed="false">
      <c r="A120" s="5" t="s">
        <v>621</v>
      </c>
      <c r="B120" s="5" t="s">
        <v>591</v>
      </c>
      <c r="C120" s="28" t="s">
        <v>622</v>
      </c>
      <c r="D120" s="5" t="s">
        <v>623</v>
      </c>
      <c r="E120" s="22" t="s">
        <v>624</v>
      </c>
    </row>
    <row r="121" customFormat="false" ht="15" hidden="false" customHeight="false" outlineLevel="0" collapsed="false">
      <c r="A121" s="5" t="s">
        <v>625</v>
      </c>
      <c r="B121" s="5" t="s">
        <v>591</v>
      </c>
      <c r="C121" s="28" t="s">
        <v>626</v>
      </c>
      <c r="D121" s="5" t="s">
        <v>623</v>
      </c>
      <c r="E121" s="22" t="s">
        <v>627</v>
      </c>
    </row>
    <row r="122" customFormat="false" ht="15" hidden="false" customHeight="false" outlineLevel="0" collapsed="false">
      <c r="A122" s="5" t="s">
        <v>628</v>
      </c>
      <c r="B122" s="5" t="s">
        <v>591</v>
      </c>
      <c r="C122" s="28" t="s">
        <v>629</v>
      </c>
      <c r="D122" s="5" t="s">
        <v>623</v>
      </c>
      <c r="E122" s="22" t="s">
        <v>630</v>
      </c>
    </row>
    <row r="123" customFormat="false" ht="23.85" hidden="false" customHeight="false" outlineLevel="0" collapsed="false">
      <c r="A123" s="5" t="s">
        <v>631</v>
      </c>
      <c r="B123" s="5" t="s">
        <v>591</v>
      </c>
      <c r="C123" s="28" t="s">
        <v>632</v>
      </c>
      <c r="D123" s="5" t="s">
        <v>623</v>
      </c>
      <c r="E123" s="22" t="s">
        <v>633</v>
      </c>
    </row>
    <row r="124" customFormat="false" ht="35.05" hidden="false" customHeight="false" outlineLevel="0" collapsed="false">
      <c r="A124" s="5" t="s">
        <v>634</v>
      </c>
      <c r="B124" s="5" t="s">
        <v>591</v>
      </c>
      <c r="C124" s="28" t="s">
        <v>635</v>
      </c>
      <c r="D124" s="5" t="s">
        <v>623</v>
      </c>
      <c r="E124" s="22" t="s">
        <v>636</v>
      </c>
    </row>
    <row r="125" customFormat="false" ht="15" hidden="false" customHeight="false" outlineLevel="0" collapsed="false">
      <c r="A125" s="5" t="s">
        <v>637</v>
      </c>
      <c r="B125" s="5" t="s">
        <v>591</v>
      </c>
      <c r="C125" s="28" t="s">
        <v>638</v>
      </c>
      <c r="D125" s="5" t="s">
        <v>623</v>
      </c>
      <c r="E125" s="22" t="s">
        <v>639</v>
      </c>
    </row>
    <row r="126" customFormat="false" ht="15" hidden="false" customHeight="false" outlineLevel="0" collapsed="false">
      <c r="A126" s="5" t="s">
        <v>640</v>
      </c>
      <c r="B126" s="5" t="s">
        <v>591</v>
      </c>
      <c r="C126" s="28" t="s">
        <v>641</v>
      </c>
      <c r="D126" s="5" t="s">
        <v>623</v>
      </c>
      <c r="E126" s="22" t="s">
        <v>642</v>
      </c>
    </row>
    <row r="127" customFormat="false" ht="23.85" hidden="false" customHeight="false" outlineLevel="0" collapsed="false">
      <c r="A127" s="5" t="s">
        <v>643</v>
      </c>
      <c r="B127" s="5" t="s">
        <v>591</v>
      </c>
      <c r="C127" s="28" t="s">
        <v>644</v>
      </c>
      <c r="D127" s="5" t="s">
        <v>623</v>
      </c>
      <c r="E127" s="22" t="s">
        <v>645</v>
      </c>
    </row>
    <row r="128" customFormat="false" ht="35.05" hidden="false" customHeight="false" outlineLevel="0" collapsed="false">
      <c r="A128" s="5" t="s">
        <v>646</v>
      </c>
      <c r="B128" s="5" t="s">
        <v>591</v>
      </c>
      <c r="C128" s="28" t="s">
        <v>647</v>
      </c>
      <c r="D128" s="5" t="s">
        <v>623</v>
      </c>
      <c r="E128" s="22" t="s">
        <v>648</v>
      </c>
    </row>
    <row r="129" customFormat="false" ht="15" hidden="false" customHeight="false" outlineLevel="0" collapsed="false">
      <c r="A129" s="5" t="s">
        <v>649</v>
      </c>
      <c r="B129" s="5" t="s">
        <v>591</v>
      </c>
      <c r="C129" s="28" t="s">
        <v>650</v>
      </c>
      <c r="D129" s="5" t="s">
        <v>623</v>
      </c>
      <c r="E129" s="22" t="s">
        <v>651</v>
      </c>
    </row>
    <row r="130" customFormat="false" ht="15" hidden="false" customHeight="false" outlineLevel="0" collapsed="false">
      <c r="A130" s="5" t="s">
        <v>652</v>
      </c>
      <c r="B130" s="5" t="s">
        <v>591</v>
      </c>
      <c r="C130" s="28" t="s">
        <v>653</v>
      </c>
      <c r="D130" s="5" t="s">
        <v>623</v>
      </c>
      <c r="E130" s="22" t="s">
        <v>654</v>
      </c>
    </row>
    <row r="131" customFormat="false" ht="23.85" hidden="false" customHeight="false" outlineLevel="0" collapsed="false">
      <c r="A131" s="5" t="s">
        <v>655</v>
      </c>
      <c r="B131" s="5" t="s">
        <v>591</v>
      </c>
      <c r="C131" s="28" t="s">
        <v>656</v>
      </c>
      <c r="D131" s="5" t="s">
        <v>623</v>
      </c>
      <c r="E131" s="22" t="s">
        <v>657</v>
      </c>
    </row>
    <row r="132" customFormat="false" ht="35.05" hidden="false" customHeight="false" outlineLevel="0" collapsed="false">
      <c r="A132" s="5" t="s">
        <v>658</v>
      </c>
      <c r="B132" s="5" t="s">
        <v>591</v>
      </c>
      <c r="C132" s="28" t="s">
        <v>659</v>
      </c>
      <c r="D132" s="5" t="s">
        <v>623</v>
      </c>
      <c r="E132" s="22" t="s">
        <v>660</v>
      </c>
    </row>
    <row r="133" customFormat="false" ht="15" hidden="false" customHeight="false" outlineLevel="0" collapsed="false">
      <c r="A133" s="5" t="s">
        <v>661</v>
      </c>
      <c r="B133" s="5" t="s">
        <v>591</v>
      </c>
      <c r="C133" s="28" t="s">
        <v>662</v>
      </c>
      <c r="D133" s="5" t="s">
        <v>623</v>
      </c>
      <c r="E133" s="22" t="s">
        <v>663</v>
      </c>
    </row>
    <row r="134" customFormat="false" ht="15" hidden="false" customHeight="false" outlineLevel="0" collapsed="false">
      <c r="A134" s="5" t="s">
        <v>664</v>
      </c>
      <c r="B134" s="5" t="s">
        <v>591</v>
      </c>
      <c r="C134" s="28" t="s">
        <v>665</v>
      </c>
      <c r="D134" s="5" t="s">
        <v>623</v>
      </c>
      <c r="E134" s="22" t="s">
        <v>666</v>
      </c>
    </row>
    <row r="135" customFormat="false" ht="23.85" hidden="false" customHeight="false" outlineLevel="0" collapsed="false">
      <c r="A135" s="5" t="s">
        <v>667</v>
      </c>
      <c r="B135" s="5" t="s">
        <v>591</v>
      </c>
      <c r="C135" s="28" t="s">
        <v>668</v>
      </c>
      <c r="D135" s="5" t="s">
        <v>623</v>
      </c>
      <c r="E135" s="22" t="s">
        <v>669</v>
      </c>
    </row>
    <row r="136" customFormat="false" ht="35.05" hidden="false" customHeight="false" outlineLevel="0" collapsed="false">
      <c r="A136" s="5" t="s">
        <v>670</v>
      </c>
      <c r="B136" s="5" t="s">
        <v>591</v>
      </c>
      <c r="C136" s="28" t="s">
        <v>671</v>
      </c>
      <c r="D136" s="5" t="s">
        <v>623</v>
      </c>
      <c r="E136" s="22" t="s">
        <v>672</v>
      </c>
    </row>
    <row r="137" customFormat="false" ht="15" hidden="false" customHeight="false" outlineLevel="0" collapsed="false">
      <c r="A137" s="5" t="s">
        <v>673</v>
      </c>
      <c r="B137" s="5" t="s">
        <v>591</v>
      </c>
      <c r="C137" s="28" t="s">
        <v>674</v>
      </c>
      <c r="D137" s="5" t="s">
        <v>623</v>
      </c>
      <c r="E137" s="22" t="s">
        <v>675</v>
      </c>
    </row>
    <row r="138" customFormat="false" ht="15" hidden="false" customHeight="false" outlineLevel="0" collapsed="false">
      <c r="A138" s="5" t="s">
        <v>676</v>
      </c>
      <c r="B138" s="5" t="s">
        <v>591</v>
      </c>
      <c r="C138" s="28" t="s">
        <v>677</v>
      </c>
      <c r="D138" s="5" t="s">
        <v>623</v>
      </c>
      <c r="E138" s="22" t="s">
        <v>678</v>
      </c>
    </row>
    <row r="139" customFormat="false" ht="23.85" hidden="false" customHeight="false" outlineLevel="0" collapsed="false">
      <c r="A139" s="5" t="s">
        <v>679</v>
      </c>
      <c r="B139" s="5" t="s">
        <v>591</v>
      </c>
      <c r="C139" s="28" t="s">
        <v>680</v>
      </c>
      <c r="D139" s="5" t="s">
        <v>623</v>
      </c>
      <c r="E139" s="22" t="s">
        <v>681</v>
      </c>
    </row>
    <row r="140" customFormat="false" ht="23.85" hidden="false" customHeight="false" outlineLevel="0" collapsed="false">
      <c r="A140" s="5" t="s">
        <v>682</v>
      </c>
      <c r="B140" s="5" t="s">
        <v>591</v>
      </c>
      <c r="C140" s="28" t="s">
        <v>683</v>
      </c>
      <c r="D140" s="5" t="s">
        <v>623</v>
      </c>
      <c r="E140" s="22" t="s">
        <v>684</v>
      </c>
    </row>
    <row r="141" customFormat="false" ht="15" hidden="false" customHeight="false" outlineLevel="0" collapsed="false">
      <c r="A141" s="5" t="s">
        <v>685</v>
      </c>
      <c r="B141" s="5" t="s">
        <v>591</v>
      </c>
      <c r="C141" s="28" t="s">
        <v>686</v>
      </c>
      <c r="D141" s="5" t="s">
        <v>623</v>
      </c>
      <c r="E141" s="22" t="s">
        <v>687</v>
      </c>
    </row>
    <row r="142" customFormat="false" ht="23.85" hidden="false" customHeight="false" outlineLevel="0" collapsed="false">
      <c r="A142" s="5" t="s">
        <v>688</v>
      </c>
      <c r="B142" s="5" t="s">
        <v>591</v>
      </c>
      <c r="C142" s="28" t="s">
        <v>689</v>
      </c>
      <c r="D142" s="5" t="s">
        <v>623</v>
      </c>
      <c r="E142" s="22" t="s">
        <v>690</v>
      </c>
    </row>
    <row r="143" customFormat="false" ht="23.85" hidden="false" customHeight="false" outlineLevel="0" collapsed="false">
      <c r="A143" s="5" t="s">
        <v>691</v>
      </c>
      <c r="B143" s="5" t="s">
        <v>591</v>
      </c>
      <c r="C143" s="28" t="s">
        <v>692</v>
      </c>
      <c r="D143" s="5" t="s">
        <v>623</v>
      </c>
      <c r="E143" s="22" t="s">
        <v>693</v>
      </c>
    </row>
    <row r="144" customFormat="false" ht="15" hidden="false" customHeight="false" outlineLevel="0" collapsed="false">
      <c r="A144" s="5" t="s">
        <v>694</v>
      </c>
      <c r="B144" s="5" t="s">
        <v>591</v>
      </c>
      <c r="C144" s="28" t="s">
        <v>695</v>
      </c>
      <c r="D144" s="5" t="s">
        <v>623</v>
      </c>
      <c r="E144" s="22" t="s">
        <v>696</v>
      </c>
    </row>
    <row r="145" customFormat="false" ht="35.05" hidden="false" customHeight="false" outlineLevel="0" collapsed="false">
      <c r="A145" s="5" t="s">
        <v>697</v>
      </c>
      <c r="B145" s="5" t="s">
        <v>591</v>
      </c>
      <c r="C145" s="28" t="s">
        <v>698</v>
      </c>
      <c r="D145" s="5" t="s">
        <v>623</v>
      </c>
      <c r="E145" s="22" t="s">
        <v>699</v>
      </c>
    </row>
    <row r="146" customFormat="false" ht="23.85" hidden="false" customHeight="false" outlineLevel="0" collapsed="false">
      <c r="A146" s="5" t="s">
        <v>700</v>
      </c>
      <c r="B146" s="5" t="s">
        <v>591</v>
      </c>
      <c r="C146" s="28" t="s">
        <v>701</v>
      </c>
      <c r="D146" s="5" t="s">
        <v>623</v>
      </c>
      <c r="E146" s="22" t="s">
        <v>702</v>
      </c>
    </row>
    <row r="147" customFormat="false" ht="23.85" hidden="false" customHeight="false" outlineLevel="0" collapsed="false">
      <c r="A147" s="5" t="s">
        <v>703</v>
      </c>
      <c r="B147" s="5" t="s">
        <v>591</v>
      </c>
      <c r="C147" s="28" t="s">
        <v>704</v>
      </c>
      <c r="D147" s="5" t="s">
        <v>623</v>
      </c>
      <c r="E147" s="22" t="s">
        <v>705</v>
      </c>
    </row>
    <row r="148" customFormat="false" ht="15" hidden="false" customHeight="false" outlineLevel="0" collapsed="false">
      <c r="A148" s="5" t="s">
        <v>706</v>
      </c>
      <c r="B148" s="5" t="s">
        <v>591</v>
      </c>
      <c r="C148" s="28" t="s">
        <v>707</v>
      </c>
      <c r="D148" s="5" t="s">
        <v>623</v>
      </c>
      <c r="E148" s="22" t="s">
        <v>708</v>
      </c>
    </row>
    <row r="149" customFormat="false" ht="23.85" hidden="false" customHeight="false" outlineLevel="0" collapsed="false">
      <c r="A149" s="5" t="s">
        <v>709</v>
      </c>
      <c r="B149" s="5" t="s">
        <v>591</v>
      </c>
      <c r="C149" s="28" t="s">
        <v>710</v>
      </c>
      <c r="D149" s="5" t="s">
        <v>623</v>
      </c>
      <c r="E149" s="22" t="s">
        <v>711</v>
      </c>
    </row>
    <row r="150" customFormat="false" ht="15" hidden="false" customHeight="false" outlineLevel="0" collapsed="false">
      <c r="A150" s="5" t="s">
        <v>712</v>
      </c>
      <c r="B150" s="5" t="s">
        <v>591</v>
      </c>
      <c r="C150" s="28" t="s">
        <v>713</v>
      </c>
      <c r="D150" s="5" t="s">
        <v>623</v>
      </c>
      <c r="E150" s="22" t="s">
        <v>714</v>
      </c>
    </row>
    <row r="151" customFormat="false" ht="23.85" hidden="false" customHeight="false" outlineLevel="0" collapsed="false">
      <c r="A151" s="5" t="s">
        <v>715</v>
      </c>
      <c r="B151" s="5" t="s">
        <v>591</v>
      </c>
      <c r="C151" s="28" t="s">
        <v>716</v>
      </c>
      <c r="D151" s="5" t="s">
        <v>623</v>
      </c>
      <c r="E151" s="22" t="s">
        <v>717</v>
      </c>
    </row>
    <row r="152" customFormat="false" ht="15" hidden="false" customHeight="false" outlineLevel="0" collapsed="false">
      <c r="A152" s="5" t="s">
        <v>718</v>
      </c>
      <c r="B152" s="5" t="s">
        <v>591</v>
      </c>
      <c r="C152" s="28" t="s">
        <v>719</v>
      </c>
      <c r="D152" s="5" t="s">
        <v>623</v>
      </c>
      <c r="E152" s="22" t="s">
        <v>720</v>
      </c>
    </row>
    <row r="153" customFormat="false" ht="23.85" hidden="false" customHeight="false" outlineLevel="0" collapsed="false">
      <c r="A153" s="5" t="s">
        <v>721</v>
      </c>
      <c r="B153" s="5" t="s">
        <v>591</v>
      </c>
      <c r="C153" s="28" t="s">
        <v>722</v>
      </c>
      <c r="D153" s="5" t="s">
        <v>623</v>
      </c>
      <c r="E153" s="22" t="s">
        <v>723</v>
      </c>
    </row>
    <row r="154" customFormat="false" ht="23.85" hidden="false" customHeight="false" outlineLevel="0" collapsed="false">
      <c r="A154" s="5" t="s">
        <v>724</v>
      </c>
      <c r="B154" s="5" t="s">
        <v>591</v>
      </c>
      <c r="C154" s="28" t="s">
        <v>725</v>
      </c>
      <c r="D154" s="5" t="s">
        <v>623</v>
      </c>
      <c r="E154" s="22" t="s">
        <v>726</v>
      </c>
    </row>
    <row r="155" customFormat="false" ht="15" hidden="false" customHeight="false" outlineLevel="0" collapsed="false">
      <c r="A155" s="5" t="s">
        <v>727</v>
      </c>
      <c r="B155" s="5" t="s">
        <v>591</v>
      </c>
      <c r="C155" s="28" t="s">
        <v>728</v>
      </c>
      <c r="D155" s="5" t="s">
        <v>623</v>
      </c>
      <c r="E155" s="22" t="s">
        <v>729</v>
      </c>
    </row>
    <row r="156" customFormat="false" ht="15" hidden="false" customHeight="false" outlineLevel="0" collapsed="false">
      <c r="A156" s="5" t="s">
        <v>730</v>
      </c>
      <c r="B156" s="5" t="s">
        <v>591</v>
      </c>
      <c r="C156" s="28" t="s">
        <v>731</v>
      </c>
      <c r="D156" s="5" t="s">
        <v>623</v>
      </c>
      <c r="E156" s="22" t="s">
        <v>732</v>
      </c>
    </row>
  </sheetData>
  <hyperlinks>
    <hyperlink ref="E5" r:id="rId1" display="https://www.sec.gov/Archives/edgar/data/0000006951/000162828026056699/exhibit991q32026earningsre.htm"/>
    <hyperlink ref="E6" r:id="rId2" display="https://www.sec.gov/Archives/edgar/data/6951/000162828026058235/amat-20260726.htm"/>
    <hyperlink ref="E7" r:id="rId3" display="https://www.sec.gov/Archives/edgar/data/0000006951/000162828026035071/exhibit991q22026earningsre.htm"/>
    <hyperlink ref="E8" r:id="rId4" display="https://www.sec.gov/Archives/edgar/data/6951/000162828026007661/exhibit991q12026earningsre.htm"/>
    <hyperlink ref="E9" r:id="rId5" display="https://www.investing.com/news/transcripts/earnings-call-transcript-applied-materials-beats-q3-2026-estimates-shares-fall-93CH-4859444"/>
    <hyperlink ref="E10" r:id="rId6" display="https://in.investing.com/news/stock-market-news/applied-materials-at-goldman-sachs-conference-ai-demand-lifts-outlook-93CH-5587316"/>
    <hyperlink ref="E11" r:id="rId7" display="https://ir.appliedmaterials.com/news-releases/news-release-details/applied-materials-participate-upcoming-investor-conferences-15"/>
    <hyperlink ref="E12" r:id="rId8" display="https://www.trefis.com/stock/amat/articles/615391/applied-materials-stock-already-fell-without-a-shock-so-what-would-a-real-one-do/2026-09-15"/>
    <hyperlink ref="E13" r:id="rId9" display="https://www.marketscreener.com/quote/stock/APPLIED-MATERIALS-INC-216012215/consensus/"/>
    <hyperlink ref="E14" r:id="rId10" display="https://www.gurufocus.com/news/9099895/morgan-stanley-lowers-amat-price-target-amid-mixed-outlook-despite-raised-2027-revenue-forecast"/>
    <hyperlink ref="E15" r:id="rId11" display="https://www.marketbeat.com/stocks/NASDAQ/AMAT/earnings/"/>
    <hyperlink ref="E16" r:id="rId12" display="https://www.marketscreener.com/quote/stock/APPLIED-MATERIALS-INC-4850/finances/"/>
    <hyperlink ref="E17" r:id="rId13" display="https://finance.yahoo.com/technology/articles/global-semiconductor-equipment-sales-forecast-140000150.html"/>
    <hyperlink ref="E18" r:id="rId14" display="https://www.federalregister.gov/documents/2025/11/12/2025-19846/one-year-suspension-of-expansion-of-end-user-controls-for-affiliates-of-certain-listed-entities"/>
    <hyperlink ref="E19" r:id="rId15" display="https://www.steptoe.com/en/news-publications/international-compliance-blog/weekly-sanctions-update-september-28-2026.html"/>
    <hyperlink ref="E20" r:id="rId16" display="https://www.investing.com/news/transcripts/earnings-call-transcript-micron-tops-q3-2026-estimates-shares-jump-146-93CH-4759504"/>
    <hyperlink ref="E21" r:id="rId17" display="https://www.sec.gov/Archives/edgar/data/0000006951/000162828026056699/exhibit991q32026earningsre.htm"/>
    <hyperlink ref="E22" r:id="rId18" display="https://www.investing.com/news/transcripts/earnings-call-transcript-applied-materials-beats-q3-2026-estimates-shares-fall-93CH-4859444"/>
    <hyperlink ref="E23" r:id="rId19" display="https://finance.yahoo.com/technology/articles/global-semiconductor-equipment-sales-forecast-140000150.html"/>
    <hyperlink ref="E24" r:id="rId20" display="https://www.thestreet.com/investing/stocks/amat-applied-materials-inc-stock-price-target-morgan-stanley-september-2026"/>
    <hyperlink ref="E25" r:id="rId21" display="https://www.fool.com/investing/2026/09/29/better-semiconductor-equipment-stock-applied-mater/"/>
    <hyperlink ref="E26" r:id="rId22" display="https://www.tikr.com/blog/what-lam-research-q4-earnings-call-reveals-about-the-2027-setup"/>
    <hyperlink ref="E27" r:id="rId23" display="https://www.semi.org/en/semi-press-release/semi-projects-double-digit-growth-in-global-300mm-fab-equipment-spending-for-2026-and-2027"/>
    <hyperlink ref="E28" r:id="rId24" display="https://www.trendforce.com/news/2026/07/16/news-tsmc-lifts-2026-capex-15-to-60-64b-hikes-sales-outlook-to-over-40-despite-q3-margin-dip/"/>
    <hyperlink ref="E29" r:id="rId25" display="https://404kresearch.substack.com/p/tsmc-q3-earnings-preview-ubs-raises"/>
    <hyperlink ref="E30" r:id="rId26" display="https://finance.yahoo.com/markets/stocks/articles/micron-likely-beat-q4-earnings-112000154.html"/>
    <hyperlink ref="E31" r:id="rId27" display="https://seekingalpha.com/news/4625688-samsung-sk-hynix-micron-sell-out-2027-memory-chip-supply-report"/>
    <hyperlink ref="E32" r:id="rId28" display="https://www.trendforce.com/presscenter/news/20260709-13140.html"/>
    <hyperlink ref="E33" r:id="rId29" display="https://www.cnbc.com/2026/08/07/sk-hynix-memory-chips-ai-prices.html"/>
    <hyperlink ref="E34" r:id="rId30" display="https://247wallst.com/investing/2026/08/19/applied-materials-falls-4-lam-research-and-teradyne-sink-5-whats-prompting-the-selloff-in-chip-equipment-stocks/"/>
    <hyperlink ref="E35" r:id="rId31" display="https://finance.yahoo.com/technology/articles/asml-u-chip-stocks-sink-135434031.html"/>
    <hyperlink ref="E36" r:id="rId32" display="https://www.tikr.com/blog/lam-research-fell-9-today-why-2026-upside-may-be-limited"/>
    <hyperlink ref="E37" r:id="rId33" display="https://www.marketscreener.com/quote/stock/APPLIED-MATERIALS-INC-4850/finances/"/>
    <hyperlink ref="E38" r:id="rId34" display="https://www.sec.gov/Archives/edgar/data/6951/000162828026058235/amat-20260726.htm"/>
    <hyperlink ref="E39" r:id="rId35" display="https://www.federalregister.gov/documents/2025/11/12/2025-19846/one-year-suspension-of-expansion-of-end-user-controls-for-affiliates-of-certain-listed-entities"/>
    <hyperlink ref="E40" r:id="rId36" display="https://www.skadden.com/insights/publications/2025/11/bis-suspends-affiliates-rule-for-one-year-as-part-of-the-us-china-trade-deal"/>
    <hyperlink ref="E41" r:id="rId37" display="https://www.steptoe.com/en/news-publications/international-compliance-blog/weekly-sanctions-update-september-28-2026.html"/>
    <hyperlink ref="E42" r:id="rId38" display="https://www.investing.com/news/transcripts/earnings-call-transcript-applied-materials-beats-q3-2026-estimates-shares-fall-93CH-4859444"/>
    <hyperlink ref="E43" r:id="rId39" display="https://www.sec.gov/Archives/edgar/data/6951/000162828026058235/amat-20260726.htm"/>
    <hyperlink ref="E44" r:id="rId40" display="https://www.tipranks.com/news/catalyst/applied-materials-sinks-after-downgrade-and-insider-selling"/>
    <hyperlink ref="E45" r:id="rId41" display="https://www.marketbeat.com/instant-alerts/applied-materials-nasdaqamat-stock-price-down-23-following-analyst-downgrade-2026-08-05/"/>
    <hyperlink ref="E46" r:id="rId42" display="https://www.arnoldporter.com/en/perspectives/advisories/2026/03/bis-announces-252-5-million-settlement-with-applied-materials-over-alleged"/>
    <hyperlink ref="E47" r:id="rId43" display="https://finance.yahoo.com/markets/stocks/articles/applied-materials-stock-already-fell-194001969.html"/>
    <hyperlink ref="E48" r:id="rId44" display="https://finance.yahoo.com/markets/stocks/articles/applied-materials-shares-fall-5-120443049.html"/>
    <hyperlink ref="E49" r:id="rId45" display="https://finance.yahoo.com/quote/AMAT/analysis/"/>
    <hyperlink ref="E50" r:id="rId46" display="https://www.thestreet.com/investing/stocks/amat-applied-materials-inc-stock-price-target-morgan-stanley-september-2026"/>
    <hyperlink ref="E51" r:id="rId47" display="https://www.investing.com/news/stock-market-news/semicap-stocks-morgan-stanley-raises-wfe-outlook-and-shifts-ratings-4696580"/>
    <hyperlink ref="E52" r:id="rId48" display="https://seekingalpha.com/article/4937721-applied-materials-is-priced-for-perfection"/>
    <hyperlink ref="E53" r:id="rId49" display="https://www.gurufocus.com/news/8942050/insider-sell-gary-dickerson-sells-78321-shares-of-applied-materials-inc-amat"/>
    <hyperlink ref="E54" r:id="rId50" display="https://drrobertcastellano.substack.com/p/my-semiconductor-wfe-equipment-forecast"/>
    <hyperlink ref="E55" r:id="rId51" display="https://247wallst.com/investing/2026/09/18/lam-research-climbs-5-as-chip-equipment-names-outrun-the-sector-applied-materials-rises-4-kla-corp-gains-3/"/>
    <hyperlink ref="E56" r:id="rId52" display="https://www.fool.com/investing/2026/09/29/better-semiconductor-equipment-stock-applied-mater/"/>
    <hyperlink ref="E57" r:id="rId53" display="https://www.tikr.com/blog/applied-materials-stock-jumped-nearly-7-in-a-chip-equipment-rally-its-5-billion-india-plan-is-the-longer-story"/>
    <hyperlink ref="E58" r:id="rId54" display="https://www.investing.com/news/stock-market-news/bernstein-raises-wfe-growth-estimates-boosts-price-targets-4851552"/>
    <hyperlink ref="E59" r:id="rId55" display="https://www.marketscreener.com/quote/stock/APPLIED-MATERIALS-INC-4850/finances/"/>
    <hyperlink ref="E60" r:id="rId56" display="https://www.sec.gov/Archives/edgar/data/6951/000162828026056699/exhibit991q32026earningsre.htm"/>
    <hyperlink ref="E61" r:id="rId57" display="https://finance.yahoo.com/technology/articles/global-semiconductor-equipment-sales-forecast-140000150.html"/>
    <hyperlink ref="E62" r:id="rId58" display="https://www.federalregister.gov/documents/2025/11/12/2025-19846/one-year-suspension-of-expansion-of-end-user-controls-for-affiliates-of-certain-listed-entities"/>
    <hyperlink ref="E63" r:id="rId59" display="https://www.squirepattonboggs.com/insights/publications/bis-issues-one-year-suspension-of-affiliates-rule-expansion/"/>
    <hyperlink ref="E64" r:id="rId60" display="https://www.steptoe.com/en/news-publications/international-compliance-blog/weekly-sanctions-update-september-28-2026.html"/>
    <hyperlink ref="E65" r:id="rId61" display="https://finance.yahoo.com/markets/stocks/articles/micron-likely-beat-q4-earnings-112000154.html"/>
    <hyperlink ref="E66" r:id="rId62" display="https://seekingalpha.com/article/4929357-applied-materials-strong-fundamentals-downgrading-ahead-of-earnings"/>
    <hyperlink ref="E67" r:id="rId63" display="https://twelvedata.com"/>
    <hyperlink ref="E68" r:id="rId64" display="https://www.sec.gov/Archives/edgar/data/0000006951/000162828026056699/exhibit991q32026earningsre.htm"/>
    <hyperlink ref="E69" r:id="rId65" display="https://www.semiconductor-digest.com/global-semiconductor-equipment-sales-forecast-to-reach-a-record-229-billion-in-2028-semi-reports/"/>
    <hyperlink ref="E70" r:id="rId66" display="https://stockanalysis.com/stocks/amat/forecast/"/>
    <hyperlink ref="E71" r:id="rId67" display="https://www.reveliolabs.com/companies/applied-materials/employees"/>
    <hyperlink ref="E72" r:id="rId68" display="https://404kresearch.substack.com/p/404k-semi-ai-semiconductor-equipment-9bd"/>
    <hyperlink ref="E73" r:id="rId69" display="https://404kresearch.substack.com/p/tsmc-q3-earnings-preview-ubs-raises"/>
    <hyperlink ref="E74" r:id="rId70" display="https://drrobertcastellano.substack.com/p/applied-materials-2026-narrative"/>
    <hyperlink ref="E75" r:id="rId71" display="https://www.trendforce.com/news/2026/07/13/news-sk-hynix-chair-dismisses-hbm-slowdown-talk-reportedly-says-clients-want-memory-capacity-up-5-6x/"/>
    <hyperlink ref="E76" r:id="rId72" display="https://www.techpowerup.com/343802/sk-hynix-slows-down-hbm4-ramp-prepares-300-layer-nand-flash"/>
    <hyperlink ref="E77" r:id="rId73" display="https://www.igorslab.de/en/samsung-and-sk-hynix-are-slowing-down-their-dram-expansion-because-no-one-wants-to-voluntarily-contribute-to-the-next-round-of-overcapacity/"/>
    <hyperlink ref="E78" r:id="rId74" display="https://www.tikr.com/blog/applied-materials-stock-fell-7-in-a-chip-selloff-as-michael-burry-shorted-it-heres-where-the-stock-could-go"/>
    <hyperlink ref="E79" r:id="rId75" display="https://seekingalpha.com/news/4569432-semiconductor-equipment-stocks-may-peak-in-late-2026-based-on-past-cycles-bnp"/>
    <hyperlink ref="E80" r:id="rId76" display="https://247wallst.com/investing/2026/09/02/applied-materials-just-dropped-14-in-a-month-sell-now-or-buy-more/"/>
    <hyperlink ref="E81" r:id="rId77" display="https://www.investing.com/news/stock-market-news/why-is-applied-materials-stock-sliding-today-93CH-4779576"/>
    <hyperlink ref="E82" r:id="rId78" display="https://www.nomadsemi.com/p/state-of-the-semiconductor-cycle"/>
    <hyperlink ref="E83" r:id="rId79" display="https://www.tipranks.com/stocks/amat/earnings"/>
    <hyperlink ref="E84" r:id="rId80" display="https://www.investing.com/equities/lam-research-corp-earnings"/>
    <hyperlink ref="E85" r:id="rId81" display="https://www.fxleaders.com/news/2026/09/28/applied-materials-stock-forecast-record-results-and-ai-chip-demand/"/>
    <hyperlink ref="E86" r:id="rId82" display="https://www.marketscreener.com/quote/stock/APPLIED-MATERIALS-INC-4850/finances/"/>
    <hyperlink ref="E87" r:id="rId83" display="https://www.sec.gov/Archives/edgar/data/6951/000162828026058235/amat-20260726.htm"/>
    <hyperlink ref="E88" r:id="rId84" display="https://www.fibre2fashion.com/news/textile-news/us-china-trade-truce-extended-till-january-10-2027-313741-newsdetails.htm"/>
    <hyperlink ref="E89" r:id="rId85" display="https://www.skadden.com/insights/publications/2025/11/bis-suspends-affiliates-rule-for-one-year-as-part-of-the-us-china-trade-deal"/>
    <hyperlink ref="E90" r:id="rId86" display="https://finance.yahoo.com/markets/stocks/articles/micron-likely-beat-q4-earnings-112000154.html"/>
    <hyperlink ref="E91" r:id="rId87" display="https://finance.yahoo.com/quote/AMAT/analysis/"/>
    <hyperlink ref="E92" r:id="rId88" display="https://www.sec.gov/Archives/edgar/data/0000006951/000162828026056699/exhibit991q32026earningsre.htm"/>
    <hyperlink ref="E93" r:id="rId89" display="https://www.investing.com/news/transcripts/earnings-call-transcript-applied-materials-beats-q3-2026-estimates-shares-fall-93CH-4859444"/>
    <hyperlink ref="E94" r:id="rId90" display="https://www.semi.org/en/semi-press-release/global-semiconductor-equipment-sales-forecast-to-reach-a-record-229-billion-dollars-in-2028-semi-reports"/>
    <hyperlink ref="E95" r:id="rId91" display="https://predictionnews.com/story/polymarket-prices-35-chance-of-u-s-recession-by-end-of-2027"/>
    <hyperlink ref="E96" r:id="rId92" display="https://finance.yahoo.com/quote/AMAT/analysis/"/>
    <hyperlink ref="E97" r:id="rId93" display="https://www.nomadsemi.com/p/state-of-the-semiconductor-cycle"/>
    <hyperlink ref="E98" r:id="rId94" display="https://www.tikr.com/blog/applied-materials-stock-fell-7-in-a-chip-selloff-as-michael-burry-shorted-it-heres-where-the-stock-could-go"/>
    <hyperlink ref="E99" r:id="rId95" display="https://www.gurufocus.com/term/pettm/AMAT"/>
    <hyperlink ref="E100" r:id="rId96" display="https://www.gurufocus.com/term/forward-pe-ratio/AMAT"/>
    <hyperlink ref="E101" r:id="rId97" display="https://www.regions.com/-/media/pdfs/AssetManagement-The-Semiconductor-Cycle.pdf"/>
    <hyperlink ref="E102" r:id="rId98" display="https://www.steptoe.com/en/news-publications/international-compliance-blog/weekly-sanctions-update-september-28-2026.html"/>
    <hyperlink ref="E103" r:id="rId99" display="https://www.skadden.com/insights/publications/2025/11/bis-suspends-affiliates-rule-for-one-year-as-part-of-the-us-china-trade-deal"/>
    <hyperlink ref="E104" r:id="rId100" display="https://finance.yahoo.com/markets/stocks/articles/micron-likely-beat-q4-earnings-112000154.html"/>
    <hyperlink ref="E105" r:id="rId101" display="https://www.marketbeat.com/stocks/NASDAQ/AMAT/earnings/"/>
    <hyperlink ref="E106" r:id="rId102" display="https://www.marketscreener.com/quote/stock/APPLIED-MATERIALS-INC-4850/finances/"/>
    <hyperlink ref="E107" r:id="rId103" display="https://www.digitimes.com/news/a20260901VL214/semicon-taiwan-wafer-fab-equipment-forecast-semi.html"/>
    <hyperlink ref="E108" r:id="rId104" display="https://fullratio.com/stocks/nasdaq-amat/pe-ratio"/>
    <hyperlink ref="E109" r:id="rId105" display="https://www.digitimes.com/news/a20260901VL214/semicon-taiwan-wafer-fab-equipment-forecast-semi.html"/>
    <hyperlink ref="E110" r:id="rId106" display="https://finance.yahoo.com/technology/articles/global-semiconductor-equipment-sales-forecast-140000150.html"/>
    <hyperlink ref="E111" r:id="rId107" display="https://www.nbcnews.com/business/economy/us-china-extend-trade-truce-trump-rcna599525"/>
    <hyperlink ref="E112" r:id="rId108" display="https://finance.yahoo.com/economy/policy/articles/us-china-extend-trade-war-145500229.html"/>
    <hyperlink ref="E113" r:id="rId109" display="https://www.marketbeat.com/earnings/reports/2026-9-30-micron-technology-inc-stock/"/>
    <hyperlink ref="E114" r:id="rId110" display="https://www.globenewswire.com/news-release/2026/08/26/3351673/14450/en/micron-technology-to-report-fiscal-fourth-quarter-results-on-september-30-2026.html"/>
    <hyperlink ref="E115" r:id="rId111" display="https://twelvedata.com"/>
    <hyperlink ref="E116" r:id="rId112" display="https://www.marketscreener.com/quote/stock/APPLIED-MATERIALS-INC-4850/finances/"/>
    <hyperlink ref="E117" r:id="rId113" display="https://www.sec.gov/Archives/edgar/data/6951/000162828026058235/amat-20260726.htm"/>
    <hyperlink ref="E118" r:id="rId114" display="https://www.sec.gov/Archives/edgar/data/0000006951/000162828026056699/exhibit991q32026earningsre.htm"/>
    <hyperlink ref="E119" r:id="rId115" display="https://www.sec.gov/Archives/edgar/data/6951/000162828025051998/amat-20251113.htm"/>
    <hyperlink ref="E120" r:id="rId116" display="https://api.nasdaq.com/api/analyst/LRCX/earnings-forecast"/>
    <hyperlink ref="E121" r:id="rId117" display="https://query1.finance.yahoo.com/v8/finance/chart/LRCX?range=1mo&amp;interval=1d"/>
    <hyperlink ref="E122" r:id="rId118" display="https://api.nasdaq.com/api/company/LRCX/earnings-surprise"/>
    <hyperlink ref="E123" r:id="rId119" display="https://www.sec.gov/Archives/edgar/data/707549/000070754926000052/lrcx_exhibitx991xq1x2027.htm"/>
    <hyperlink ref="E124" r:id="rId120" display="https://api.nasdaq.com/api/analyst/KLAC/earnings-forecast"/>
    <hyperlink ref="E125" r:id="rId121" display="https://query1.finance.yahoo.com/v8/finance/chart/KLAC?range=1mo&amp;interval=1d"/>
    <hyperlink ref="E126" r:id="rId122" display="https://api.nasdaq.com/api/company/KLAC/earnings-surprise"/>
    <hyperlink ref="E127" r:id="rId123" display="https://www.sec.gov/Archives/edgar/data/319201/000031920126000024/exhibit991earningsrelease7.htm"/>
    <hyperlink ref="E128" r:id="rId124" display="https://api.nasdaq.com/api/analyst/ASML/earnings-forecast"/>
    <hyperlink ref="E129" r:id="rId125" display="https://query1.finance.yahoo.com/v8/finance/chart/ASML?range=1mo&amp;interval=1d"/>
    <hyperlink ref="E130" r:id="rId126" display="https://api.nasdaq.com/api/company/ASML/earnings-surprise"/>
    <hyperlink ref="E131" r:id="rId127" display="https://www.sec.gov/Archives/edgar/data/937966/000162828026065813/pressreleasefinancialresul.htm"/>
    <hyperlink ref="E132" r:id="rId128" display="https://api.nasdaq.com/api/analyst/ONTO/earnings-forecast"/>
    <hyperlink ref="E133" r:id="rId129" display="https://query1.finance.yahoo.com/v8/finance/chart/ONTO?range=1mo&amp;interval=1d"/>
    <hyperlink ref="E134" r:id="rId130" display="https://api.nasdaq.com/api/company/ONTO/earnings-surprise"/>
    <hyperlink ref="E135" r:id="rId131" display="https://www.sec.gov/Archives/edgar/data/704532/000119312526337990/onto-ex99_1.htm"/>
    <hyperlink ref="E136" r:id="rId132" display="https://api.nasdaq.com/api/analyst/NVMI/earnings-forecast"/>
    <hyperlink ref="E137" r:id="rId133" display="https://query1.finance.yahoo.com/v8/finance/chart/NVMI?range=1mo&amp;interval=1d"/>
    <hyperlink ref="E138" r:id="rId134" display="https://api.nasdaq.com/api/company/NVMI/earnings-surprise"/>
    <hyperlink ref="E139" r:id="rId135" display="https://www.sec.gov/Archives/edgar/data/1109345/000117891326003892/zk2635873.htm"/>
    <hyperlink ref="E140" r:id="rId136" display="https://www.marketscreener.com/quote/stock/TOKYO-ELECTRON-LIMITED-6491071/finances/"/>
    <hyperlink ref="E141" r:id="rId137" display="https://query1.finance.yahoo.com/v8/finance/chart/8035.T?range=1mo&amp;interval=1d"/>
    <hyperlink ref="E142" r:id="rId138" display="https://envalith.com/en/companies/8035/segments"/>
    <hyperlink ref="E143" r:id="rId139" display="https://www.marketscreener.com/quote/stock/ASM-INTERNATIONAL-N-V-6312/finances/"/>
    <hyperlink ref="E144" r:id="rId140" display="https://query1.finance.yahoo.com/v8/finance/chart/ASM.AS?range=1mo&amp;interval=1d"/>
    <hyperlink ref="E145" r:id="rId141" display="https://www.investegate.co.uk/announcement/gnw/asm-international-nv--0nx3/asm-reports-second-quarter-2026-results/9692080"/>
    <hyperlink ref="E146" r:id="rId142" display="https://www.investegate.co.uk/announcement/gnw/asm-international-nv--0nx3/asm-reports-q4-and-full-year-2025-results/9456685"/>
    <hyperlink ref="E147" r:id="rId143" display="https://www.marketscreener.com/quote/stock/KOKUSAI-ELECTRIC-CORPORAT-159798680/finances/"/>
    <hyperlink ref="E148" r:id="rId144" display="https://query1.finance.yahoo.com/v8/finance/chart/6525.T?range=1mo&amp;interval=1d"/>
    <hyperlink ref="E149" r:id="rId145" display="https://www2.infomart.co.jp/web/jp/images/upload/3795/140120260806511537_23726915.pdf"/>
    <hyperlink ref="E150" r:id="rId146" display="https://www.stockopedia.com/share-prices/kokusai-electric-TYO:6525/news/table-kokusai-electric-2025-26-group-results-ifrs-019e6a25-648d-7e18-9c35-7e98cd0e64a0/"/>
    <hyperlink ref="E151" r:id="rId147" display="https://www.marketscreener.com/quote/stock/SCREEN-HOLDINGS-CO-LTD-6491440/finances/"/>
    <hyperlink ref="E152" r:id="rId148" display="https://query1.finance.yahoo.com/v8/finance/chart/7735.T?range=1mo&amp;interval=1d"/>
    <hyperlink ref="E153" r:id="rId149" display="https://stockanalysis.com/quote/tyo/7735/financials/income-statement/"/>
    <hyperlink ref="E154" r:id="rId150" display="https://www.marketscreener.com/quote/stock/LASERTEC-CORPORATION-11551536/finances/"/>
    <hyperlink ref="E155" r:id="rId151" display="https://query1.finance.yahoo.com/v8/finance/chart/6920.T?range=1mo&amp;interval=1d"/>
    <hyperlink ref="E156" r:id="rId152" display="https://simplywall.st/stocks/mx/semiconductors/bmv-6920-n/lasertec-shar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2026-10-30T22:15:58Z</dcterms:created>
  <dc:creator>openpyxl</dc:creator>
  <dc:description/>
  <dc:language>en-US</dc:language>
  <cp:lastModifiedBy/>
  <dcterms:modified xsi:type="dcterms:W3CDTF">2026-10-30T22:15:58Z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