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Assumptions" sheetId="2" state="visible" r:id="rId4"/>
    <sheet name="Distribution" sheetId="3" state="visible" r:id="rId5"/>
    <sheet name="Methods" sheetId="4" state="visible" r:id="rId6"/>
    <sheet name="Scenarios" sheetId="5" state="visible" r:id="rId7"/>
    <sheet name="Reasoning" sheetId="6" state="visible" r:id="rId8"/>
    <sheet name="Supervisor" sheetId="7" state="visible" r:id="rId9"/>
    <sheet name="Sources" sheetId="8" state="visible" r:id="rId10"/>
  </sheets>
  <definedNames>
    <definedName function="false" hidden="false" name="Analyst_Median" vbProcedure="false">Summary!$B$9</definedName>
    <definedName function="false" hidden="false" name="IV30" vbProcedure="false">Summary!$B$13</definedName>
    <definedName function="false" hidden="false" name="Market_Median" vbProcedure="false">Summary!$B$15</definedName>
    <definedName function="false" hidden="false" name="Platt_Shift" vbProcedure="false">Summary!$B$11</definedName>
    <definedName function="false" hidden="false" name="Spot" vbProcedure="false">Summary!$B$5</definedName>
    <definedName function="false" hidden="false" name="Sup_Used" vbProcedure="false">Summary!$B$10</definedName>
    <definedName function="false" hidden="false" name="Thesis_Break" vbProcedure="false">Summary!$B$12</definedName>
    <definedName function="false" hidden="false" name="W_Agents" vbProcedure="false">Summary!$B$7</definedName>
    <definedName function="false" hidden="false" name="W_Analyst" vbProcedure="false">Summary!$B$8</definedName>
    <definedName function="false" hidden="false" name="W_Mkt" vbProcedure="false">Summary!$B$6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<sst xmlns="http://schemas.openxmlformats.org/spreadsheetml/2006/main" count="875" uniqueCount="566">
  <si>
    <t xml:space="preserve">BE 12-month price target model</t>
  </si>
  <si>
    <t xml:space="preserve">Close 2026-10-30 · agents' research 2026-10-23 · horizon 2027-10-30. Blue = input you can change, black = formula, green = link to another sheet. Yellow = key assumption.</t>
  </si>
  <si>
    <t xml:space="preserve">Inputs</t>
  </si>
  <si>
    <t xml:space="preserve">Value</t>
  </si>
  <si>
    <t xml:space="preserve">Where it comes from</t>
  </si>
  <si>
    <t xml:space="preserve">Last close</t>
  </si>
  <si>
    <t xml:space="preserve">Close on 2026-10-30</t>
  </si>
  <si>
    <t xml:space="preserve">Weight: options market</t>
  </si>
  <si>
    <t xml:space="preserve">AIA Forecaster default (market 67%); flips to 33% when the option chain is thin</t>
  </si>
  <si>
    <t xml:space="preserve">Weight: agents</t>
  </si>
  <si>
    <t xml:space="preserve">AIA Forecaster default (agents 33%)</t>
  </si>
  <si>
    <t xml:space="preserve">Weight: analyst consensus</t>
  </si>
  <si>
    <t xml:space="preserve">Taken pro rata from the two above; 0 when there are no targets or in a special situation</t>
  </si>
  <si>
    <t xml:space="preserve">Analysts' median target</t>
  </si>
  <si>
    <t xml:space="preserve">22 analysts, https://stockanalysis.com/stocks/be/forecast/ as of 2026-10-30</t>
  </si>
  <si>
    <t xml:space="preserve">Use supervisor ladder (1 = yes)</t>
  </si>
  <si>
    <t xml:space="preserve">Supervisor confidence: low; its ladder replaces the agents' mean only when high</t>
  </si>
  <si>
    <t xml:space="preserve">Platt log shift of the agents' curve</t>
  </si>
  <si>
    <t xml:space="preserve">combine.py: P(close &gt;= spot) 0.332 Platt-scaled (a = 1.732) to 0.332, then the whole agents' curve is shifted in log price by this amount</t>
  </si>
  <si>
    <t xml:space="preserve">Thesis-break price (supervisor)</t>
  </si>
  <si>
    <t xml:space="preserve">Supervisor's reconciled thesis break (agents' values on the Reasoning sheet)</t>
  </si>
  <si>
    <t xml:space="preserve">30-day implied vol</t>
  </si>
  <si>
    <t xml:space="preserve">Cboe model-free 30D IV as of None; sets the stop noise floor (2 one-month moves)</t>
  </si>
  <si>
    <t xml:space="preserve">Options-market median</t>
  </si>
  <si>
    <t xml:space="preserve">Median of the options-implied distribution (Distribution sheet); the analyst curve is this curve re-centred on the analysts' median</t>
  </si>
  <si>
    <t xml:space="preserve">Research target (12m) per share</t>
  </si>
  <si>
    <t xml:space="preserve">Method blend</t>
  </si>
  <si>
    <t xml:space="preserve">Stated</t>
  </si>
  <si>
    <t xml:space="preserve">Note</t>
  </si>
  <si>
    <t xml:space="preserve">Agent 1</t>
  </si>
  <si>
    <t xml:space="preserve">Agent 2</t>
  </si>
  <si>
    <t xml:space="preserve">Agent 3</t>
  </si>
  <si>
    <t xml:space="preserve">Agent 4</t>
  </si>
  <si>
    <t xml:space="preserve">Agent 5</t>
  </si>
  <si>
    <t xml:space="preserve">Agents' average</t>
  </si>
  <si>
    <t xml:space="preserve">Agents' median</t>
  </si>
  <si>
    <t xml:space="preserve">Supervisor's reconciled research target (12m)</t>
  </si>
  <si>
    <t xml:space="preserve">Model update 2026-10-23 (build), citation-gate fixes 2026-10-26: the driver-led set (GW shipped x $/kW, product GM, opex, factory GW) valued on 40x NTM GAAP P/E (0.6) with EV/EBITDA 26x (0.2) and EV/sales 5.5x (0.2) gives a research target (12m) of $185.84 (model_engine check), 20.8% under the base round's $234.60 (the mean of the five base agents' values $239/$240/$222/$227/$245), mainly because the multiple now sits on GAAP earnings and the DCF legs are gone. The $2.5B 0% 2030 converts are carried as debt at principal because the value sits below their $194.97 conversion price: net debt $16.2M (estimate: $2,500.0M notes + $2.95M Korean JV loan - $2,486.7M cash, 10-Q at 2026-09-30) on 312.4M diluted shares (estimate: 295.66M outstanding at Oct 19 + 15.61M options/awards + 1.09M 2029 Green Notes shares). Kilian decided capacity (3 GW during 2027) and the multiples (40x GAAP P/E, 5.5x EV/sales) on 2026-10-26; the $/kW path is the open judgment ($168.99 at the 36Kr-implied ~$3,040/kW). The Jupiter findings affect timing, not the 2028-weighted value.</t>
  </si>
  <si>
    <t xml:space="preserve">Research target (12m) vs last close</t>
  </si>
  <si>
    <t xml:space="preserve">Levels</t>
  </si>
  <si>
    <t xml:space="preserve">This model</t>
  </si>
  <si>
    <t xml:space="preserve">Published</t>
  </si>
  <si>
    <t xml:space="preserve">How</t>
  </si>
  <si>
    <t xml:space="preserve">NTM target (median)</t>
  </si>
  <si>
    <t xml:space="preserve">Price with a 50% chance of closing above it on the horizon date</t>
  </si>
  <si>
    <t xml:space="preserve">Take-profit (75th percentile)</t>
  </si>
  <si>
    <t xml:space="preserve">25% chance of closing above</t>
  </si>
  <si>
    <t xml:space="preserve">15th percentile</t>
  </si>
  <si>
    <t xml:space="preserve">85% chance of closing above</t>
  </si>
  <si>
    <t xml:space="preserve">Stop noise floor</t>
  </si>
  <si>
    <t xml:space="preserve">Two one-month implied moves below the last close; the stop is never tighter than this</t>
  </si>
  <si>
    <t xml:space="preserve">Stop-loss</t>
  </si>
  <si>
    <t xml:space="preserve">Higher of the 15th percentile and the thesis break, capped at the noise floor (published basis: noise floor (2 x 1M IV))</t>
  </si>
  <si>
    <t xml:space="preserve">Target vs last close</t>
  </si>
  <si>
    <t xml:space="preserve">P(close above last)</t>
  </si>
  <si>
    <t xml:space="preserve">Expected price (mean)</t>
  </si>
  <si>
    <t xml:space="preserve">Mean of the blended distribution (combine.py integrates the full curve); above the median when right-skewed</t>
  </si>
  <si>
    <t xml:space="preserve">Sheets</t>
  </si>
  <si>
    <t xml:space="preserve">Assumptions</t>
  </si>
  <si>
    <t xml:space="preserve">The supervisor's table of every driver: each agent's value, reasoning and linked sources</t>
  </si>
  <si>
    <t xml:space="preserve">Methods</t>
  </si>
  <si>
    <t xml:space="preserve">Each agent's valuation methods, values and weights</t>
  </si>
  <si>
    <t xml:space="preserve">Scenarios</t>
  </si>
  <si>
    <t xml:space="preserve">Downside (10th pct) / base / upside (90th pct) price per agent</t>
  </si>
  <si>
    <t xml:space="preserve">Distribution</t>
  </si>
  <si>
    <t xml:space="preserve">The probability ladder and the blend, as formulas</t>
  </si>
  <si>
    <t xml:space="preserve">Reasoning</t>
  </si>
  <si>
    <t xml:space="preserve">Each agent's written reasoning, thesis break and what changed from round 1</t>
  </si>
  <si>
    <t xml:space="preserve">Supervisor</t>
  </si>
  <si>
    <t xml:space="preserve">Disagreements, fact-checks and changes</t>
  </si>
  <si>
    <t xml:space="preserve">Sources</t>
  </si>
  <si>
    <t xml:space="preserve">Every cited source with its link</t>
  </si>
  <si>
    <t xml:space="preserve">BE key assumptions, aggregated by the supervisor</t>
  </si>
  <si>
    <t xml:space="preserve">Each driver of the valuation: the supervisor's reconciled value (grey rows), then what each agent assumed, why, and its sources. Blue values are the agents' own numbers; blank means the agent did not use that driver.</t>
  </si>
  <si>
    <t xml:space="preserve">ID</t>
  </si>
  <si>
    <t xml:space="preserve">Assumption / who</t>
  </si>
  <si>
    <t xml:space="preserve">Source 1</t>
  </si>
  <si>
    <t xml:space="preserve">Source 2</t>
  </si>
  <si>
    <t xml:space="preserve">Source 3</t>
  </si>
  <si>
    <t xml:space="preserve">All sources</t>
  </si>
  <si>
    <t xml:space="preserve">Agents low</t>
  </si>
  <si>
    <t xml:space="preserve">Agents high</t>
  </si>
  <si>
    <t xml:space="preserve">Used in</t>
  </si>
  <si>
    <t xml:space="preserve">The supervisor has not aggregated this round yet (model_assumptions.json); see Methods and Reasoning.</t>
  </si>
  <si>
    <t xml:space="preserve">BE probability of closing at or above each price on 2027-10-30</t>
  </si>
  <si>
    <t xml:space="preserve">Each column is P(close &gt;= K). Agents' curve is Platt-shifted, blended with the options market, then analysts at W_Analyst (0 since 2026-10-05). Interpolation is linear in logit(p) vs log(K), as in combine.py.</t>
  </si>
  <si>
    <t xml:space="preserve">Price K</t>
  </si>
  <si>
    <t xml:space="preserve">ln K</t>
  </si>
  <si>
    <t xml:space="preserve">Options market</t>
  </si>
  <si>
    <t xml:space="preserve">Agents' mean</t>
  </si>
  <si>
    <t xml:space="preserve">Agents' curve used</t>
  </si>
  <si>
    <t xml:space="preserve">logit(used)</t>
  </si>
  <si>
    <t xml:space="preserve">K shifted</t>
  </si>
  <si>
    <t xml:space="preserve">seg</t>
  </si>
  <si>
    <t xml:space="preserve">Agents Platt-shifted</t>
  </si>
  <si>
    <t xml:space="preserve">logit(market)</t>
  </si>
  <si>
    <t xml:space="preserve">K re-centred</t>
  </si>
  <si>
    <t xml:space="preserve">Analyst curve</t>
  </si>
  <si>
    <t xml:space="preserve">Blend ex analysts</t>
  </si>
  <si>
    <t xml:space="preserve">Final blend</t>
  </si>
  <si>
    <t xml:space="preserve">logit(final)</t>
  </si>
  <si>
    <t xml:space="preserve">Published (combine.py)</t>
  </si>
  <si>
    <t xml:space="preserve">Agents' curves are their final-round answers (Reasoning sheet shows round 1). Market and published columns come from combine.py; the model reproduces the final blend within rounding (combine.py also enforces a non-increasing curve).</t>
  </si>
  <si>
    <t xml:space="preserve">BE valuation methods by agent</t>
  </si>
  <si>
    <t xml:space="preserve">Each agent's methods, the value per share and the weight it gave each. Blended value = weight-averaged methods; stated value = what the agent reported (it may round or add a deduction).</t>
  </si>
  <si>
    <t xml:space="preserve">Agent</t>
  </si>
  <si>
    <t xml:space="preserve">Method</t>
  </si>
  <si>
    <t xml:space="preserve">Value / share</t>
  </si>
  <si>
    <t xml:space="preserve">Weight</t>
  </si>
  <si>
    <t xml:space="preserve">Value x weight</t>
  </si>
  <si>
    <t xml:space="preserve">Calculation (assumption IDs on the Assumptions sheet)</t>
  </si>
  <si>
    <t xml:space="preserve">Inputs and reasoning</t>
  </si>
  <si>
    <t xml:space="preserve">P/E</t>
  </si>
  <si>
    <t xml:space="preserve">Sep-2027 value priced on next-year earnings: 2028 non-GAAP EPS $7.00 is my extrapolation, not consensus (no FY28 consensus exists; FY27 consensus $4.93 on $6.79B revenue, 28 analysts, range $2.95-$7.01, grown ~40%) x 38x forward P/E (premium for 30-40%+ growth and AI-power scarcity, down from ~59x current forward-2027 multiple). Per-share EPS is already on a diluted basis incl. converts, so no separate cash adjustment.</t>
  </si>
  <si>
    <t xml:space="preserve">EV/sales</t>
  </si>
  <si>
    <t xml:space="preserve">2028 revenue est. $9.0B (2026 guide $3.9-4.2B, FY27 consensus ~$6.8B) x 10x EV/sales = $90B EV; + ~$2.45B equity-adjusted net cash ($2.67B cash at 6/30/26 less ~$0.2B financing obligations; $2.475B converts treated as equity) = $92.45B; / ~324M diluted shares</t>
  </si>
  <si>
    <t xml:space="preserve">DCF</t>
  </si>
  <si>
    <t xml:space="preserve">Revenue $6.5B (2027), 9.0, 11.5, 14.0 (2030), then growth 15/12/10/8/6% to $22.7B in 2035; FCF margin 20%; WACC 11% (beta ~3, high execution risk); terminal growth 4%; PV as of Sep-2027: explicit FCF ~$16B + TV ~$29B = EV ~$45B + ~$2.45B net cash = ~$47.5B; / ~324M diluted shares</t>
  </si>
  <si>
    <t xml:space="preserve">Blended value</t>
  </si>
  <si>
    <t xml:space="preserve">Stated research target (12m)</t>
  </si>
  <si>
    <t xml:space="preserve">Blend of forward P/E at the horizon (my own 2028 non-GAAP EPS extrapolation $7.00 x 38 = $266, 60%), EV/sales on 2028 revenue ($9B x 10x + $2.45B net cash = $285, 15%) and a 10-year DCF (11% WACC, 20% FCF margin, 4% terminal growth, + $2.45B net cash = $146, 25%); ~324M diluted shares that already include the ~$195-strike 0% 2030 converts, so the converts are equity and ~$2.45B of cash is net cash.</t>
  </si>
  <si>
    <t xml:space="preserve">Market in Sept 2027 prices 2028. FY2027 consensus non-GAAP EPS $4.93 (28 analysts, range $2.95-$7.01) on $6.79B revenue. 2028E EPS ~$7.0 is MY extrapolation (+~42%; no FY2028 consensus exists) on ~$9.5B revenue, ~24% op margin, ~330M diluted shares (323.3M Q2 2026 diluted count incl. convert shares, plus ~1-2%/yr SBC). 40x forward: premium for ~40% growth, below today's ~59x FY27 as growth decelerates. Morgan Stanley's 4.8 GW 2028 deployment forecast implies upside to $9.5B, which I treat as bull-case, not base.</t>
  </si>
  <si>
    <t xml:space="preserve">2028E revenue ~$9.5B x 7.5x = ~$71B EV (raised from 7x so it is consistent with the P/E leg: ~18.5% net margin x 40x P/E = ~7.4x sales). Plus net cash ~$3.0B by Sept 2027 (6/30/26 cash $2.67B less ~$0.2B financing obligations = ~$2.45B, plus ~$0.5B FCF over the next 5 quarters); converts ($2.475B, conversion ~$194.97) treated as shares, not debt. / ~330M diluted shares = ~$225.</t>
  </si>
  <si>
    <t xml:space="preserve">Revenue $4.05B 2026 growing 65%/45%/35%/25%/20% to ~$19.6B in 2031; FCF margin 14%-&gt;18% (2028-2031 FCF ~$1.4B/$2.1B/$2.8B/$3.5B); WACC 10%; terminal growth 4%; EV at Sept 2027 ~$51B; plus ~$3.0B net cash (converts as equity); ~330M diluted shares = ~$165.</t>
  </si>
  <si>
    <t xml:space="preserve">Blend of forward P/E (my extrapolated 2028E EPS ~$7.0 x 40x = $280, 50%), EV/sales (2028E revenue ~$9.5B x 7.5x plus ~$3.0B net cash at Sept 2027 on ~330M diluted shares = $225, 30%) and a DCF (10% WACC, 4% terminal growth, FCF margin to 18% on ~$19.6B 2031 revenue, EV ~$51B plus ~$3.0B net cash = $165, 20%), giving ~$240 as of Sept 2027. The in-the-money 0% 2030 converts are treated as equity (already in the ~323M diluted count), so cash counts as net cash.</t>
  </si>
  <si>
    <t xml:space="preserve">FY2026 consensus EPS $2.71 and FY2027 consensus $4.93 (28 analysts, range $2.95-$7.01); FY2028 EPS ~$6.9 (+40%) is MY extrapolation, not consensus (no FY28 consensus exists). NTM EPS as of Sep-2027 ~$6.30 (conservatively weighted) x 44x. Multiple trimmed from 45x so the leg is consistent with the base scenario (~43-44x NTM) and the 25x bear multiple; still a premium to GEV/VRT-type AI-power peers for ~35-40% growth.</t>
  </si>
  <si>
    <t xml:space="preserve">NTM revenue at Sep-2027 ~$8.3B (FY27 consensus $6.79B, FY28E ~$9.0B my extrapolation) x 8x EV/sales = $66.4B; + ~$2.45B equity-adjusted net cash ($2.67B cash at 6/30/26 less ~$0.2B financing obligations; the ~$2.475B of 0% 2030 converts at ~$194.97 conversion are deep in the money and already in the diluted count); / ~323M diluted shares</t>
  </si>
  <si>
    <t xml:space="preserve">Revenue 2028-2034: $9.0B, 11.5B, 14.0B, 16.5B, 18.5B, 20.0B, 21.0B; operating margin 22%-&gt;24%; tax 21%; FCF = 85% of NOPAT; WACC 10.5%; terminal growth 3.5%; +$2.45B net cash; 323M diluted shares. Shows the current price needs revenue well beyond $20B or higher margins / a lower discount rate; weighted only 25% because terminal economics of on-site AI power are hard to pin down.</t>
  </si>
  <si>
    <t xml:space="preserve">Blend of forward P/E (50%: NTM EPS at Sep-2027 ~$6.30 x 44x = $277), EV/sales (25%: NTM sales ~$8.3B x 8x + ~$2.45B equity-adjusted net cash over ~323M diluted shares = $212) and a 10-year DCF (25%: $122, WACC 10.5%, 3.5% terminal growth, 24% steady-state operating margin). Weighted value ~$222, about 23% below the $288.7 close.</t>
  </si>
  <si>
    <t xml:space="preserve">2028E non-GAAP EPS $6.50, my own extrapolation (+32% on FY27 consensus $4.93 on $6.79B revenue, 28 analysts, range $2.95-$7.01; FY26 guide $2.55-2.85) x 40x forward P/E (PEG ~1.1-1.3 for 30-40% EPS growth; premium to power/industrial peers at 25-35x). EPS already on a diluted basis that includes convert shares, so no balance-sheet adjustment.</t>
  </si>
  <si>
    <t xml:space="preserve">2028E revenue ~$9.0B (FY26 ~$4.05-4.1B, +55-65% 2027 to ~$6.3-6.8B, +35-40% 2028) x 8x EV/sales = ~$72B EV; + ~$2.45B equity-adjusted net cash ($2.67B cash at 6/30/26 less ~$0.2B financing obligations; the ~$2.475B of converts, conversion ~$194.97, treated as equity) = ~$74.5B equity; / ~324M diluted shares (Q2 diluted 323.3M includes conversion shares)</t>
  </si>
  <si>
    <t xml:space="preserve">Revenue from ~$4.05B (2026) growing 55%/40%/30%/25%/20%/16%/12%/9%/6%/4% to ~$26.8B in 2035; FCF margin ramps 10% -&gt; 19%; WACC 10.5%; terminal growth 3.5%; EV ~$48.5B as of Sep 2027 + ~$2.45B net cash = ~$51B; / ~324M diluted shares</t>
  </si>
  <si>
    <t xml:space="preserve">Blend of 40x forward 2028E EPS of $6.50 (my extrapolation; no FY28 consensus exists) = $260 (50%), 8x 2028E EV/sales on ~$9.0B plus ~$2.45B equity-adjusted net cash = $230 (25%), and a 10-year DCF (WACC 10.5%, 19% mature FCF margin, 3.5% terminal) plus the same net cash = $157 (25%), all as of Sep 2027 on ~324M diluted shares (in-the-money 0% 2030 converts treated as equity); blended ~$227 vs $288.7 last close.</t>
  </si>
  <si>
    <t xml:space="preserve">FY2027 non-GAAP EPS $4.93 (Alpha Vantage consensus, 28 analysts, range $2.95-$7.01; up from $4.36 90 days ago) x 55x. That is ~39x my own FY2028 EPS extrapolation of ~$7.00 (+40%; there is no FY28 consensus), which is what the market will price in Sep 2027. Premium to electrical-equipment peers for 40%+ growth, well below today's ~77x NTM P/E. Unchanged from round 1; net cash is already reflected in EPS via interest income.</t>
  </si>
  <si>
    <t xml:space="preserve">2028E revenue $9.0B (FY2027 consensus $6.79B +33%, my extrapolation) x 9x EV/sales = $81B EV, plus ~$2.45B equity-adjusted net cash ($2.67B cash at 6/30/26 less ~$0.2B financing obligations; the $2.475B of 0% 2030 converts are in the money at ~$194.97 conversion and their ~12.6M shares are already in the 323.3M diluted count, so they are treated as equity), / 323M diluted shares = ~$258.</t>
  </si>
  <si>
    <t xml:space="preserve">Valued as of Sep 2027. Revenue $4.05B (2026) growing 60%/40%/30%/25%/20% to ~$17.7B in 2031. Terminal FCF margin 18%, WACC 10%, terminal growth 5%. Terminal value ~$67B discounted to ~$43B, plus ~$5.5B PV of interim FCF = ~$48.5B EV, plus ~$2.45B net cash = ~$51B equity / 323M shares = ~$158. Very sensitive: 15% margin, 11% WACC, 4% growth gives ~$100.</t>
  </si>
  <si>
    <t xml:space="preserve">Blend of forward P/E (50%, $272 = FY2027 consensus EPS $4.93 x 55x), EV/sales on 2028E revenue (30%, $258 = $9.0B x 9x + ~$2.45B equity-adjusted net cash, / 323M diluted shares) and a DCF (20%, $158, now including net cash). Blended fair value ~$245, about 15% below the $288.70 close.</t>
  </si>
  <si>
    <t xml:space="preserve">BE cases by agent</t>
  </si>
  <si>
    <t xml:space="preserve">Base case = median; downside = 10th percentile, upside = 90th percentile (no probabilities; older rounds' bear/bull shown as downside/upside).</t>
  </si>
  <si>
    <t xml:space="preserve">Downside (P10)</t>
  </si>
  <si>
    <t xml:space="preserve">Base (median)</t>
  </si>
  <si>
    <t xml:space="preserve">Upside (P90)</t>
  </si>
  <si>
    <t xml:space="preserve">Downside story</t>
  </si>
  <si>
    <t xml:space="preserve">Base story</t>
  </si>
  <si>
    <t xml:space="preserve">Upside story</t>
  </si>
  <si>
    <t xml:space="preserve">AI data-center capex digestion or project delays slow backlog conversion. A specific trigger: Project Jupiter (2.4 GW, largest single order) slips materially if New Mexico denies or delays the fuel-cell air permit (Nov 23, 2026 deadline) or the Energy Transfer pipeline slips beyond Feb 1, 2027 without redeployment of units to other Oracle sites; I put roughly a third of the bear weight (~10%) on a Jupiter-led reset. Otherwise scandium/China supply, tariffs or the securities suit weigh. 2028 EPS resets to ~$4.50 and the multiple compresses to ~30x; ~$7.5/share of net cash gives a small floor. Stock round-trips toward and below the July-2026 post-earnings lows (~$165).</t>
  </si>
  <si>
    <t xml:space="preserve">2026 lands near $4.1B revenue / ~$2.7 EPS; FY27 guide (Feb 2027) roughly matches consensus (~$6.8B revenue, ~$4.9 EPS) on 2 GW capacity; Jupiter proceeds with some timing shift into 2028 that is offset by non-Oracle backlog (Morgan Stanley: &gt;$8B equipment backlog, more than half non-Oracle). Strong growth largely priced in, so the multiple de-rates as earnings catch up and the stock ends near today's level.</t>
  </si>
  <si>
    <t xml:space="preserve">Beat-and-raise pattern continues (three guidance raises in 2026); Jupiter permit granted in Nov and $20-25B total backlog plus the Brookfield $25B framework convert faster; 2027 EPS tracks the ~$7 high end and 2028 approaches $10; market keeps a 45-50x multiple on a scarce onsite AI-power standard.</t>
  </si>
  <si>
    <t xml:space="preserve">Project Jupiter slips materially (New Mexico air-quality permit denied or delayed at the Nov 23, 2026 deadline, or the Energy Transfer pipeline slips well past Feb 1, 2027) and units are not redeployed, while AI-capex digestion or neocloud financing tightens; FY27 guide in Feb 2027 lands well below the ~$6.8B consensus and EPS nearer $3; scandium/litigation overhang persists; multiple compresses to ~30x on ~$4 2028E EPS.</t>
  </si>
  <si>
    <t xml:space="preserve">Execution continues: 2 GW capacity online end-2026, Jupiter is a timing issue not a loss (Oracle reaffirmed the 2.4 GW contract; more than half of the MS-estimated $8B+ equipment backlog is non-Oracle), FY27 revenue ~$6.8B and EPS ~$5, 2028E ~$7. Multiple de-rates from ~59x FY27 to ~40x 2028E, roughly offsetting earnings growth; ~$9/share of net cash supports value. Stock ends a little below today.</t>
  </si>
  <si>
    <t xml:space="preserve">Backlog converts faster, Jupiter permit approved on time, another hyperscaler-scale order and a formal commitment to expand Fremont toward 5 GW; deployments track MS's 1.8 GW 2027 / 4.8 GW 2028 path, 2028E EPS ~$9-10, and the market holds ~50x as the leading behind-the-meter AI power supplier.</t>
  </si>
  <si>
    <t xml:space="preserve">Project Jupiter slips materially (air-quality permit denied or delayed past the Nov 23, 2026 deadline and/or the Green Chile pipeline slips well past Feb 1, 2027, with no redeployment of units to other Oracle sites), hyperscaler capex cools or gas-turbine lead times ease, and scandium/China sourcing, the class action or stack-life questions weigh; FY27 guide lands well below ~$6.8B, the multiple compresses to ~25x on EPS of ~$5 and the S&amp;P-inclusion/momentum bid unwinds.</t>
  </si>
  <si>
    <t xml:space="preserve">Company delivers roughly consensus (FY26 rev ~$4.1B, FY27 ~$6.8B, EPS ~$4.9) with gross margins ~34-35%; Jupiter is a timing issue for part of 2027 revenue rather than a backlog loss (financing-partner purchase terms allow shipment even if the site slips; more than half of the &gt;=$8B equipment backlog is non-Oracle). Earnings growth roughly offsets de-rating from ~59x to ~43x NTM, so the stock ends near today's level with large swings.</t>
  </si>
  <si>
    <t xml:space="preserve">Jupiter permit granted on schedule, Oracle 2.8 GW MSA and the Brookfield $25B framework convert faster, more direct hyperscaler MSAs are signed, the FY27 guide lands above $7.5B with EPS toward the $7 high estimate, and the market keeps a 60x+ AI-power multiple.</t>
  </si>
  <si>
    <t xml:space="preserve">AI capex digestion or financing stress at neocloud/Oracle-linked projects; Project Jupiter slips past 2028 because the Green Chile pipeline (state trust-land right-of-way denied twice; Energy Transfer in-service target moved to ~Feb 1, 2027) or the fuel-cell air-quality permit (NMED decision reportedly due by Nov 23, 2026, hearings only just un-stayed by the NM Supreme Court) fails, and Bloom cannot redeploy the units fast enough; Feb 2027 FY27 guide lands well below ~$6.8B consensus revenue; short-report issues (scandium, degradation) gain traction; multiple compresses to ~30x on ~$4.5-5 FY27/28 EPS, cushioned slightly by ~$7.5/share of net cash.</t>
  </si>
  <si>
    <t xml:space="preserve">2026 delivered at ~$4.1B, FY27 guided ~$6.5B+ with ~34-36% gross margin and 2 GW Fremont capacity ramping; Jupiter proceeds with some slip but the ~$8B+ equipment backlog (Morgan Stanley estimate, more than half non-Oracle) and financing-partner purchase terms keep shipments flowing; EPS estimates keep rising modestly while the multiple compresses from ~59x FY27 toward ~40x FY28, leaving the stock roughly flat with large interim swings.</t>
  </si>
  <si>
    <t xml:space="preserve">Jupiter permits clear and the 2.4 GW Oracle contract ships on schedule, the rest of the 2.8 GW Oracle framework plus new hyperscaler/Brookfield/Aligned GW-scale awards land, capacity expansion beyond 2 GW is announced, FY27 revenue beats $7B and 2028 EPS heads to $9+; the market keeps paying 50x+ for scarce behind-the-meter power.</t>
  </si>
  <si>
    <t xml:space="preserve">AI data-center capex digestion plus Project Jupiter slipping hard: the NM air-quality permit is not decided by the Nov 23, 2026 deadline (hearing officer still unappointed after the NM Supreme Court stay was lifted Sep 17) and/or the Green Chile pipeline misses ~Feb 1, 2027, deferring a large slice of 2027-28 shipments. FY2027 guide (Feb 2027) comes in well below ~$6.8B revenue, EPS ~$3.5-4.0, and the multiple compresses to ~30-35x as the S&amp;P-inclusion bid fades. Scandium/China litigation overhang. ~$7.5/share of net cash cushions slightly vs round 1.</t>
  </si>
  <si>
    <t xml:space="preserve">Fremont reaches 2 GW by end-2026. FY2026 lands ~$4.1B revenue / ~$2.7 EPS; FY2027 ~$6.5-7B / ~$5 EPS, with 2028 visibility near $7 (my extrapolation). Jupiter is a timing issue only: Oracle's force majeure is a lease-payment deferral right toward developer Blue Owl, not a termination, and more than half of the &gt;= $8B equipment backlog (Morgan Stanley est.) is non-Oracle. Multiple compresses from ~77x NTM to ~40-45x forward, roughly offsetting earnings growth, so the stock ends near spot.</t>
  </si>
  <si>
    <t xml:space="preserve">Jupiter permit granted on time, more direct hyperscaler deals beyond Oracle, capacity stepping to 3-4 GW and margin mix-up drive 2027 EPS above $6.5 and 2028 viewed at $9-10. The market keeps a 50x+ multiple for a scarce on-site AI power provider (sell-side targets already moving up: Mizuho $351, Clear Street $330, UBS $325).</t>
  </si>
  <si>
    <t xml:space="preserve">Average</t>
  </si>
  <si>
    <t xml:space="preserve">BE each agent's reasoning</t>
  </si>
  <si>
    <t xml:space="preserve">Final round, with round 1 for comparison. Revisions list what each agent changed after the supervisor's feedback.</t>
  </si>
  <si>
    <t xml:space="preserve">Research target (12m) r1</t>
  </si>
  <si>
    <t xml:space="preserve">Research target (12m) r2</t>
  </si>
  <si>
    <t xml:space="preserve">Thesis break</t>
  </si>
  <si>
    <t xml:space="preserve">Thesis break reason</t>
  </si>
  <si>
    <t xml:space="preserve">Key uncertainties</t>
  </si>
  <si>
    <t xml:space="preserve">Revisions after feedback</t>
  </si>
  <si>
    <t xml:space="preserve">Round 2 revision. Bloom Energy (solid-oxide fuel cells) has become a leading onsite power option for AI data centers: Q2-2026 revenue $1.065B (+166% y/y), non-GAAP GM 34.3%, non-GAAP EPS $0.78, FY26 guide raised a third time to $3.9-4.2B revenue and $2.55-2.85 EPS; FY27 consensus $4.93 EPS on $6.79B revenue. The supervisor showed my round-1 balance sheet was inconsistent: the 0% 2030 converts (conversion ~$194.97) are deep in the money and already in the Q2 diluted count of 323.3M, so they are equity and ~$2.45B of cash is net cash (~$7.5/share). I now use ~324M shares plus $2.45B net cash, lifting EV/sales from $269 to $285 and DCF from $140 to $146; the P/E leg ($266, my own 2028 EPS extrapolation of $7.00 x 38) is unchanged. Blended fair value rises from $235 to $239, still below the $288.7 spot. I also missed Oracle's Sep 24 force-majeure notice on Project Jupiter; I verified it runs from Oracle to developer Blue Owl, lets Oracle defer lease payments if the 2028 target slips, and that Oracle and Blue Owl reaffirmed while Bloom says the 2.4 GW contract stands (stock fell ~6% then rebounded ~8%). The pipeline slipped to Feb 1, 2027 and the fuel-cell air permit has a Nov 23, 2026 decision deadline. I agree with the supervisor that this is mainly a timing risk (MS: &gt;$8B equipment backlog, over half non-Oracle; units can be redeployed), so I keep the bear weight at 30% but explicitly assign ~10% of it to a Jupiter-led reset, and add a small amount of near-term event risk. Distribution: ~75% forward sigma (below 112% realized as the company scales), median ~$270-275, scenario mean ~$293 (30% $145 / 45% $285 / 25% $485). Ladder nudged up ~0.5pt at low-to-middle strikes for the net-cash correction; tails unchanged because Jupiter and net cash roughly offset there. Q3 date corrected to late Oct (likely Tue Oct 27, unannounced). Research: ~13 round-1 queries plus 3 round-2 searches; no option data consulted.</t>
  </si>
  <si>
    <t xml:space="preserve">Below ~$150 (roughly 48% under spot, under the ~$164 post-Q2 July-2026 low) BE would trade at ~30x FY27 consensus EPS of $4.93 despite ~$7.5/share of net cash, which only makes sense with real estimate cuts: Project Jupiter actually cancelled or pushed past 2028 (air permit denied at the Nov 23, 2026 deadline or the pipeline slipping well past Feb 2027 with no redeployment), a Feb-2027 FY27 guide well below ~$6.8B revenue, hyperscaler backlog deferrals, gross margin back under ~30%, a scandium supply disruption, or a broad AI-capex pullback. Moves to $170-230 are ordinary noise for a 112%-vol stock.</t>
  </si>
  <si>
    <t xml:space="preserve">• Pace of converting ~$20-25B total backlog (Morgan Stanley: &gt;$8B equipment backlog, more than half non-Oracle; only $442M RPO on the balance sheet) into revenue in 2027; FY27 consensus EPS range $2.95-$7.01 is extremely wide
• Project Jupiter timing: Oracle's Sep 24 force-majeure notice to developer Blue Owl (a lease-payment deferral right if the 2028 online target slips, not a cancellation), the Nov 23 air permit and the Feb 1, 2027 pipeline date
• Durability of AI data-center capex and onsite-power demand vs. grid interconnection catching up and competition from gas turbines/reciprocating engines
• Scandium supply chain and China exposure alleged by Hunterbrook; company denies dependence
• Multiple sustainability: ~59x FY27 consensus EPS, ~$93B market cap, heavy insider selling, S&amp;P 500 inclusion flows already done
• Stock-based comp and GAAP vs non-GAAP gap (convert dilution is already in the ~324M diluted count)</t>
  </si>
  <si>
    <t xml:space="preserve">• a fact: ~335M diluted shares; net cash ~neutral (EV/sales) / ~$1.5B (DCF) → ~324M diluted shares incl. ~$195-strike converts; ~$2.45B equity-adjusted net cash (~$7.5/share) (Supervisor balance-sheet finding (Q2 2026 8-K/10-Q: $2.67B cash, $2.475B in-the-money converts already in 323.3M diluted count); accepted.)
• a method: EV/sales $269 → EV/sales $285 (Add $2.45B net cash and use 324M shares instead of 335M.)
• a method: DCF $140 → DCF $146 (Add $2.45B net cash (was $1.5B) and use 324M shares.)
• a method: P/E $266 (2028 EPS $7.00 described loosely) → P/E $266, 2028 EPS $7.00 labeled as my own extrapolation (Supervisor: no FY28 consensus exists; FY27 consensus $4.93 on $6.79B revenue.)
• fair value: 235 → 239 (Net-cash correction in EV/sales and DCF legs; weights unchanged. I did not move toward any other agent's number.)
• a scenario: bear $140 / base $280 / bull $480 (30/45/25) → bear $145 / base $285 / bull $485 (30/45/25), with ~10% of bear weight explicitly tied to a Jupiter permit/pipeline reset (~$7.5/share net cash lifts each case slightly; supervisor and my own searches (TechCrunch, 24/7 Wall St., TheStreet/MS) show Jupiter is a timing risk, not a backlog loss, so I agree it does not warrant a larger bear weight.)
• P(close &gt;= K): 115-318: 0.87, 0.80, 0.72, 0.65, 0.58, 0.52, 0.46, 0.41 → 0.875, 0.805, 0.73, 0.66, 0.595, 0.53, 0.47, 0.415 (~2% higher central value from the net-cash correction; tails (72, 346+) unchanged because the Nov 23 permit / Feb 2027 pipeline event risk roughly offsets the uplift there.)
• thesis break: 150 (generic reasons) → 150 with specific Jupiter triggers (permit denial at Nov 23 deadline, pipeline beyond Feb 2027 without redeployment) and ~30x FY27 EPS framing (Supervisor Jupiter finding; level unchanged since net cash adds only ~$7.5/share of support.)
• a fact: Q3 2026 results 2026-10-29 → late Oct, likely Tue 2026-10-27, not yet announced (Supervisor: Bloom reports on fourth Tuesdays (Oct 28, 2025; Apr 28, Jul 28, 2026) and has not announced the Q3 date.)
• a fact: Project Jupiter force majeure not covered → Added Nov 23, 2026 air-permit and Feb 1, 2027 pipeline catalysts and Jupiter as a key uncertainty (Supervisor finding, verified via TechCrunch (Sep 24), 24/7 Wall St. (Sep 25), Benzinga (Sep 25) and TheStreet (MS note).)</t>
  </si>
  <si>
    <t xml:space="preserve">Round 2. Supervisor fact-checks, which I verified, change my balance sheet treatment: the only large convert is the $2.2B (upsized, ~$2.5B with greenshoe) 0% 2030 note priced Oct 30, 2025 (not Feb 2026), conversion ~$194.97, deep in the money and already in the 323.3M Q2 diluted count. So ~$2.45B of cash is effectively net cash (~$7.5/share), rising to ~$3.0B by Sept 2027 with FCF; my round-1 'net debt ~0' double-counted, and my '$4B+ converts / 39% share growth' dilution worry was wrong (the diluted count jump reflects convert shares entering, not new issuance). I raised the EV/sales multiple to 7.5x so it matches the 40x P/E leg's implied margin. New legs: P/E $280 (unchanged, 2028E $7.0 labeled as my extrapolation), EV/sales $225, DCF $165, blended ~$240 (from $233). Oracle's Sep 24 force-majeure notice runs to developer Blue Owl as a lease-payment deferral right, not a cancellation; Oracle and Blue Owl reaffirmed and Bloom says the 2.4 GW contract stands; Morgan Stanley (base $310, bear $115, bull $520) estimates $8B+ equipment backlog, more than half non-Oracle, and forecasts 1.8 GW deployments in 2027. I add Jupiter permit/pipeline dates as explicit bear triggers but keep bear weight at 25% since it is mainly timing risk. Fundamentals (Q2 revenue +166%, FY26 guide $3.9-4.2B, FY27 consensus $4.93 EPS rising) remain strong while the stock sits ~59x FY27 and above my fair value. Median moved up to ~$265 (from ~$260), still below spot because forward-multiple de-rating absorbs most 2028 growth. Dispersion stays lognormal-like with sigma ~0.8 (below 112% realized, far above large-cap base rates) with slightly more left-tail mass for the Nov 23 permit binary. Scenario mean ($120/$265/$480 at 25/50/25) ~$283, consistent with the ladder. Round-2 research used ~5 searches; no options data or priors consulted.</t>
  </si>
  <si>
    <t xml:space="preserve">At ~$150 (-48%, below the ~$164 post-Q2 low) BE would be ~30x FY27 consensus EPS and ~21x a $7 2028E, only consistent with real estimate cuts: Jupiter cancelled or pushed past 2028 (permit denied Nov 23 or pipeline slipping far past Feb 2027 with no redeployment), a Feb 2027 FY27 guide well below ~$6.8B revenue, hyperscaler/neocloud order deferrals, gross margin back below ~30%, or a real scandium supply disruption. Moves to $170-230 are ordinary noise at 112% realized vol.</t>
  </si>
  <si>
    <t xml:space="preserve">• Durability of AI data-center capex and financing for neocloud/behind-the-meter projects
• Project Jupiter timing: Nov 23, 2026 air permit and Feb 1, 2027 pipeline date (timing risk to part of 2027 revenue)
• Scandium supply chain and China dependence (Hunterbrook allegations, class actions)
• Pace of capacity ramp beyond 2 GW and conversion of backlog (only $442M RPO on balance sheet; MS estimates $8B+ equipment backlog)
• Multiple compression as growth decelerates from ~100% after S&amp;P 500 inclusion momentum
• Competition from gas turbines, reciprocating engines and grid interconnection improvements</t>
  </si>
  <si>
    <t xml:space="preserve">• a fact: ~$4B+ of 0% converts incl. a $2.2B Feb 2026 offering; ~39% share-count growth as a dilution risk → ~$2.475B converts outstanding; the 0% 2030 notes priced Oct 30, 2025 at ~$194.97 conversion and are already in the 323.3M diluted count (Supervisor convert-history finding; verified against Bloom's Oct 30, 2025 pricing 8-K.)
• a fact: net debt ~0 → ~$2.45B equity-adjusted net cash (6/30/26), ~$3.0B by Sept 2027 (Supervisor balance-sheet finding: converts are in the money and counted as shares, so netting them against cash double-counted ~$7.5/share.)
• a method: EV/sales $200 (7x, net debt 0) → EV/sales $225 (7.5x, +$3.0B net cash) (Net cash fix plus supervisor note that 7x was lowest; 7.5x now matches the P/E leg's implied ~18.5% net margin x 40x.)
• a method: DCF $150 → DCF $165 (Adds ~$3.0B net cash at Sept 2027 with converts treated as equity.)
• a method: P/E $280, 2028E EPS $7.0 described loosely → P/E $280, 2028E EPS $7.0 labeled as my extrapolation (Supervisor: no FY2028 consensus exists.)
• fair value: 233 → 240 (Net cash correction and EV/sales multiple consistency.)
• a scenario: base $260; bear story without Jupiter → base $265; bear explicitly tied to Nov 23 permit / Feb 2027 pipeline slip (Supervisor Jupiter finding (force majeure is a deferral right, timing risk not backlog loss); MS says $8B+ backlog, over half non-Oracle. Bear weight kept at 25% since this is mainly timing risk.)
• P(close &gt;= K): 260: 0.50, 289: 0.445, 318: 0.40, 390: 0.305 → 260: 0.512, 289: 0.458, 318: 0.41, 390: 0.315 (~2-3% higher central value from net cash, with slightly more left-tail mass retained for the Nov 23 permit binary; tails largely unchanged.)
• thesis break: $150 (generic estimate-cut triggers) → $150 (adds Jupiter cancellation/permit denial as a named trigger) (Supervisor Jupiter dates; level unchanged since net cash adds only ~$9/share.)
• a fact: Q3 earnings 2026-10-29 → late Oct, likely Tue 2026-10-27, unconfirmed (Supervisor: date not announced; company's fourth-Tuesday pattern.)</t>
  </si>
  <si>
    <t xml:space="preserve">Round 2 update. The supervisor's fact-checks confirmed my convert treatment (~$195 conversion, shares already in the 323.3M diluted count) but showed my ~$3B cash was high: 6/30/26 cash was $2.67B less ~$0.2B financing obligations, so ~$2.45B net cash (-$1.7/share in the EV/sales and DCF legs). I also trimmed the P/E leg multiple from 45x to 44x so it is consistent with my base scenario (~43x) and bear multiple, and now label my $6.9 FY28 EPS as my own extrapolation (FY27 consensus $4.93, range $2.95-$7.01, rising). Blended fair value moves from $227 to $222 (P/E $277, EV/sales $212, DCF $122), still well below spot. On Jupiter, follow-up searches confirmed the supervisor: Oracle's notice runs to developer Blue Owl, Oracle/Blue Owl say the project is on track, Bloom says the 2.4 GW contract stands, Morgan Stanley (Overweight, $310) says Jupiter is outside Bloom's 2026 forecast and equipment backlog is &gt;=$8B with more than half non-Oracle, and the NM Supreme Court lifted stays on the permit process (hearing was moved up to Sep 14, decision due Nov 23). That makes Jupiter more a timing risk than a backlog-loss risk, so I cut the bear weight from 0.28 to 0.26, while adding the Nov 23 permit as a dated binary. Base rates are unchanged: 112% realized vol; I assume ~65% forward vol. The median moves up slightly from ~$268 to ~$272 (Jupiter clarification plus continued estimate and target raises: UBS $325, Clear Street $330, Mizuho $351), still just below spot because de-rating from ~59x toward ~43x absorbs most of the earnings growth and the index-inclusion bid is spent. The ladder is ~lognormal (median ~$272, sigma ~0.65) with a slightly fatter left tail for thesis failure. The supervisor noted my 5% at $722 was thinner than my own lognormal (~6.7%); that was partly unintentional, so I raised it to 6% and $577 to 12%, keeping a small haircut because reaching $722 (~100x FY27 EPS) needs both beats and multiple expansion. Scenario-weighted mean ~$288. P(&gt;=$289) = 0.462 (was 0.455).</t>
  </si>
  <si>
    <t xml:space="preserve">About 45% below spot and below the ~$164 post-Q2 low, $160 is ~32x FY27 consensus EPS of $4.93 for a company guiding ~100% growth. A trade there would most likely mean the growth story broke rather than ordinary volatility: a FY27 guide in Feb 2027 well below ~$6.8B revenue, Project Jupiter actually cancelled or pushed past 2028 (permit denied, pipeline slipping well past Feb 2027) without redeployment, other gigawatt-scale contracts (Oracle, Aligned, Brookfield) lost or delayed, gross margin back under ~30% from sourcing or tariff issues, or loss of the 48E credit. I keep $160 rather than a lower level because with 112% realized vol the $170-230 zone is noise, but sustained trading under $160 needs estimate cuts.</t>
  </si>
  <si>
    <t xml:space="preserve">• How fast the backlog converts to revenue: only $442M RPO on the balance sheet, Morgan Stanley estimates &gt;=$8B equipment backlog (more than half non-Oracle), total pipeline/backlog cited ~$20-25B
• Project Jupiter timing: Nov 23, 2026 permit decision and Feb 1, 2027 pipeline date; Oracle's Sep 24 force-majeure notice to developer Blue Owl is a lease-payment deferral right, not a cancellation
• Whether AI-power multiples hold: the stock trades ~59x FY27 consensus EPS and ~22x EV/sales
• Competition from gas turbines as their lead times improve, and from grid interconnection
• China scandium sourcing, tariffs, and the class action; short-seller claims about stack life and efficiency
• Durability of the 48E fuel-cell tax credit
• Dilution: converts (~$2.475B, ~$195 conversion) are already in the ~323M diluted count; ongoing SBC ~$52M/quarter and insider selling
• Flows: the S&amp;P 500 inclusion bid (Sep 21, 2026) is done; high beta (~3-4) to AI-capex sentiment</t>
  </si>
  <si>
    <t xml:space="preserve">• a fact: ~$3B cash, converts as equity → ~$2.45B equity-adjusted net cash ($2.67B cash less ~$0.2B financing obligations); converts as equity in 323M diluted shares (Supervisor balance-sheet resolution from the Q2 2026 8-K and 10-Q)
• a method: EV/sales $214 → EV/sales $212 (Lower net cash (~-$1.7/share))
• a method: DCF $124 → DCF $122 (Lower net cash (~-$1.7/share))
• a method: P/E $284 (NTM $6.30 x 45x) → P/E $277 (NTM $6.30 x 44x); FY28 EPS labelled as my extrapolation (Supervisor asked to check the 45x against my ~43x base and 25x bear multiples and noted there is no FY28 consensus)
• fair value: 227 → 222 (Net of the three method changes above)
• a scenario: bear 0.28 / base 0.47 / bull 0.25 → bear 0.26 / base 0.49 / bull 0.25 (Force majeure is an Oracle-to-Blue Owl lease-deferral right, not a cancellation; Morgan Stanley: Jupiter outside 2026 forecast, &gt;=$8B equipment backlog more than half non-Oracle; NM Supreme Court lifted permit stays. Partly offset by the new Nov 23 permit binary)
• P(close &gt;= K): median ~$268; P(&gt;=289)=0.455; P(&gt;=577)=0.11; P(&gt;=722)=0.05 → median ~$272; P(&gt;=289)=0.462; P(&gt;=577)=0.12; P(&gt;=722)=0.06 (Smaller Jupiter bear weight and supervisor's note that my right tail was thinner than my own sigma-0.65 lognormal implied)
• thesis break: 160 (generic contract-delay triggers) → 160, with specific triggers: Nov 23 permit denial, pipeline slip well past Feb 1, 2027, FY27 guide well below $6.8B (Supervisor's Jupiter dates; I keep $160 rather than the supervisor's $150 because it already sits below the ~$164 post-Q2 low and ~32x FY27 EPS)
• a fact: Q3 results 'late Oct'; no permit catalyst → Q3 likely Tue Oct 27 (unconfirmed); added Nov 23, 2026 permit deadline and Feb 1, 2027 pipeline date (Supervisor earnings-date pattern and Jupiter findings, confirmed by Source New Mexico / Albuquerque Journal)</t>
  </si>
  <si>
    <t xml:space="preserve">Round 2 revision. Bloom Energy (BE) re-rated from ~$60 to ~$289 on AI data-center behind-the-meter power: Q2'26 revenue $1.065B (+166% y/y), non-GAAP GM 34.3%, op margin 22.5%; FY26 guide $3.9-4.2B revenue, $2.55-2.85 EPS; FY27 consensus $4.93 EPS on $6.79B revenue and rising; S&amp;P 500 member since Sep 21. The supervisor showed I double-counted the converts: the ~$2.475B of 0% 2030 notes convert at ~$194.97, are deep in the money and already in the 323.3M Q2 diluted count, so equity-adjusted net cash is ~$2.45B (~$7.5/share) on ~324M shares. That lifts my EV/sales leg from $218 to $230 and my DCF from $148 to $157; the P/E leg is unchanged at $260 (EPS is already diluted; 2028E $6.50 is my extrapolation, not consensus). Blend moves from $222 to ~$227, still below spot. On Oracle, I accept the correction: the Sep 24 force-majeure notice runs from Oracle to developer Stack (Blue Owl) as a rent-deferral right, not a dispute with Bloom, and Bloom states Oracle remains committed to the 2.4 GW Jupiter contract (my 1.2 GW figure was the initial tranche of the 2.8 GW framework). I partly disagree with the supervisor's 'timing risk only' framing: my follow-up found the pipeline's state trust-land right-of-way was denied twice, with no disclosed reroute, and the air permit hearing process only just restarted, so a slip past 2028 is plausible. But Jupiter is not in 2026 guidance, Morgan Stanley estimates $8B+ equipment backlog with more than half non-Oracle, and modular units can be redeployed, so I keep bear weight at 25% rather than raise it; the net effect with the balance-sheet correction is a small upward nudge (base $280-&gt;$285, bear $140-&gt;$150). On the right tail, the supervisor noted mine was the thinnest; I widened it modestly (P&gt;=577 0.07-&gt;0.083, P&gt;=722 0.025-&gt;0.035), which is what my own mixture implies once the bull component is centred at $470 with 42% dispersion, but I stay below the peer tail because $722 (~$235B market cap) would need ~80x a $9 2028 EPS. Distribution: mixture of lognormals, bear 25% (median $150, sigma 0.42), base 50% ($285, 0.35), bull 25% ($470, 0.42), giving a median ~$280 and effective vol ~75-85%, below the 112% trailing realized vol (inflated by a 5x run and short-report shocks) but far above large-cap base rates. The far-left tail is kept fatter than the mixture (P&gt;=72 0.97, P&gt;=115 0.92) because the stock was $61 a year ago. Research: ~14 round-1 queries plus 5 round-2 searches/fetches; no option data used.</t>
  </si>
  <si>
    <t xml:space="preserve">At ~$145 (-50%, well under the ~$164 post-Q2 low of late July) BE would trade at ~29x FY27 consensus EPS of $4.93 even with ~$7.5/share of net cash, which is only consistent with a real fundamental break: Project Jupiter actually cancelled or deferred past 2028 (air permit denied or the pipeline stuck well beyond Feb 2027, without redeployment of the units to other Oracle or third-party sites), a Feb 2027 FY27 guide far below ~$6.8B revenue, gross margin back under ~30%, validation of the fuel-cell degradation or China-scandium allegations (supply disruption, warranty costs, SEC action), or a broad AI data-center capex retrenchment. With 112% realized vol, $170-230 can be ordinary noise; $145 most likely would not be.</t>
  </si>
  <si>
    <t xml:space="preserve">• Durability of AI data-center capex and financing (neoclouds, Oracle/Blue Owl-style structures) through 2027
• Project Jupiter permitting: pipeline right-of-way denied twice by the NM State Land Office (reroute/federal path unclear) and the air permit still pending; Oracle's force majeure lets it defer rent to developer Stack/Blue Owl (reportedly up to three years) if power is late, which could slow the site even though Bloom's 2.4 GW contract stands
• Conversion pace of the ~$8B+ equipment backlog (Morgan Stanley estimate; only $442M RPO on the balance sheet) and slippage like AEP's move to 2030
• Validity of short-seller claims on scandium supply chain and fleet efficiency degradation (warranty/service cost risk)
• Multiple sustainability: ~59x FY27 consensus EPS for a hardware manufacturer
• Competition from gas turbines/recips (GE Vernova, Caterpillar, Siemens) and grid interconnect catching up
• Wide analyst dispersion: FY27 EPS range $2.95-$7.01; price targets from ~$97 to $390 (recent: Mizuho $351, Clear Street $330, Morgan Stanley $310, Jefferies $229), mean ~$280</t>
  </si>
  <si>
    <t xml:space="preserve">• a fact: Net cash ~$0.2-0.5B ($2.67B cash less $2.47B converts) on 330M diluted shares → ~$2.45B equity-adjusted net cash on ~324M diluted shares; converts (conversion ~$194.97) treated as equity (Supervisor balance-sheet finding (Q2 8-K/10-Q, Oct 30 2025 pricing release): convert shares already in the 323.3M diluted count, so I was double-counting.)
• a method: EV/sales $218 → EV/sales $230 (Added ~$2.45B net cash and used ~324M shares per the balance-sheet correction.)
• a method: DCF $148 → DCF $157 (Same net cash / share count correction; operating assumptions unchanged.)
• a method: P/E $260 (2028E EPS $6.50 described alongside consensus) → P/E $260, 2028E EPS labelled as my extrapolation (Supervisor noted no FY28 consensus exists; FY27 consensus confirmed at $4.93 on $6.79B revenue.)
• fair value: 222 → 227 (Balance-sheet correction to the EV/sales and DCF legs.)
• a fact: Oracle framework 2.8 GW with only 1.2 GW contracted; force-majeure 'dispute' with Bloom → Bloom says Oracle remains committed to its 2.4 GW Jupiter contract; the force-majeure notice is Oracle-to-developer (Stack/Blue Owl) rent-deferral right, not a dispute with Bloom (Supervisor finding, confirmed by Bloom's statement on X, TechCrunch and El Paso Matters (Sep 24).)
• a scenario: bear $140 / base $280 / bull $460 → bear $150 / base $285 / bull $470 (~$7.5/share net cash added across scenarios; Jupiter reframed as timing risk offset by my follow-up finding that the pipeline right-of-way was denied twice, so bear weight kept at 25% (I do not go as far as the supervisor's 'timing risk only').)
• P(close &gt;= K): K=202-289: 0.72/0.64/0.555/0.47; K=577: 0.07; K=722: 0.025 → K=202-289: 0.725/0.645/0.56/0.478; K=577: 0.083; K=722: 0.035 (Small upward shift in centre from the net cash correction; right tail widened modestly after the supervisor flagged it as the thinnest, now consistent with my own bull component, but kept below peers since $722 needs ~80x a $9 2028 EPS.)
• thesis break: 140 → 145 (Net cash of ~$7.5/share raises the level at which the stock is below ~30x FY27 EPS; triggers now tied to the dated Jupiter permit/pipeline events.)
• a fact: Q3 earnings 2026-10-29; Q4 'Oracle force-majeure dispute resolution' catalyst → Q3 late Oct, likely Tue Oct 27 (unconfirmed); catalysts Oct 5 pipeline EA comment close, Nov 23 air-permit deadline, Feb 1 2027 pipeline in-service target (Supervisor finding on Bloom's Tuesday reporting pattern and Jupiter dates; El Paso Matters for the Oct 5 federal comment date.)</t>
  </si>
  <si>
    <t xml:space="preserve">Round 2. Bloom Energy is at $288.70 after a +317% year on an AI on-site-power inflection: 2Q26 revenue $1.065B (+166%), non-GAAP GM 34.3%, EPS $0.78, OCF +$226M, FY26 guide raised to $3.9-4.2B / $2.55-2.85 EPS; FY2027 consensus $6.79B / $4.93 EPS (rising). The supervisor showed my round-1 ~$1.5B net cash was unsupported: cash was $2.67B at 6/30/26 and the $2.475B of 0% 2030 converts (issued Oct 2025, conversion ~$194.97) are in the money and already in the 323.3M diluted count, so equity-adjusted net cash is ~$2.45B. I accept that; it lifts EV/sales to ~$258 (+$3) and, because my round-1 DCF equity value had effectively omitted cash, lifts the DCF to ~$158 (+$8). P/E is unchanged. Blended fair value rises from $243 to ~$245. On Jupiter I verified: Oracle's Sep 24 notice went to developer Blue Owl as a lease-deferral right; Oracle and Blue Owl reaffirmed and Bloom says the 2.4 GW contract stands; the NM Supreme Court lifted its stay Sep 17, but NMED has not appointed a hearing officer and the permit deadline is Nov 23; Morgan Stanley (Overweight, $310) estimates &gt;= $8B equipment backlog, more than half non-Oracle, and notes Jupiter is outside 2026 guidance. I folded the permit/pipeline risk into the bear case instead of giving it a separate scenario, because it is mainly a timing risk to 2027-28 revenue and not a backlog loss, and I trimmed the bear weight from 25% to 23% and raised the bear price to $135 (net cash). Scenario mean ~$305 (0.23x135 + 0.52x295 + 0.25x480). I move my median from $275 to ~$282, still below spot because my fundamental value ($245) is below spot and multiple compression from ~59x FY27 EPS absorbs most 2028 growth. Distribution: lognormal-ish around $282 with sigma ~0.75 (below the 112% realized vol but far above the large-cap ±25-35% base rate), with slightly fatter left tail at the lowest strikes. P(&gt;= spot) ~0.485, P(&gt;= $144) ~0.815, P(&gt;= $577, 2x) ~0.165. Research used ~5 extra searches in round 2.</t>
  </si>
  <si>
    <t xml:space="preserve">Below ~$150 (about -48%, under the ~$164 post-Q2 level of late July) BE would trade at ~30x FY2027 consensus EPS of $4.93, which only makes sense with deep estimate cuts: Jupiter actually cancelled or pushed beyond 2028 (permit denied or pipeline far past Feb 2027 with no redeployment of units), a Feb 2027 FY27 guide well below ~$6.8B revenue, gross margin back under ~30%, or a real scandium supply disruption. The 112% realized vol makes 30-40% drawdowns routine (it fell ~28% from $351 to ~$253 in Aug-Sep without fundamental change), so moves to $170-230 are noise.</t>
  </si>
  <si>
    <t xml:space="preserve">• Durability of AI data-center capex and hyperscaler willingness to deploy behind-the-meter gas fuel cells as grid interconnects catch up
• Project Jupiter timing: Nov 23, 2026 air-permit deadline (process delayed by an Aug-Sep NM Supreme Court stay, hearing officer unappointed) and the ~Feb 1, 2027 pipeline date; Oracle's force majeure is a lease-deferral right toward Blue Owl, not a cancellation
• Backlog conversion: only ~$442M of product RPO on the balance sheet vs Morgan Stanley's &gt;= $8B equipment backlog estimate (more than half non-Oracle), and financing-partner purchase terms that may let Bloom ship even if a site slips
• Multiple compression from ~77x NTM P/E as growth normalizes from ~100% to ~40-60%
• Scandium/China supply-chain exposure and the related securities litigation; possible trade restrictions
• Capacity ramp execution (2 GW end-2026; each extra GW is 6-9 months and $100-150M)
• Flows: S&amp;P 500 inclusion (Sep 21) bid is one-off; convertible dilution (~12.6M base shares, up to ~19.6M on make-whole) is already in the 323M diluted count</t>
  </si>
  <si>
    <t xml:space="preserve">• a fact: ~$1.5B net cash → ~$2.45B equity-adjusted net cash on 323M diluted shares (Supervisor finding (Q2 8-K/10-Q, Oct 2025 pricing release): $2.67B cash; the $2.475B converts are in the money at ~$194.97 and already in the diluted count.)
• a method: EV/sales $255 → EV/sales $258 (Net cash correction (+~$3/share).)
• a method: DCF $150 → DCF $158 (Round-1 DCF equity value effectively omitted net cash; added ~$2.45B (+~$7.6/share). Operating assumptions unchanged.)
• fair value: 243 → 245 (Flow-through of the two method changes; P/E leg unchanged.)
• a scenario: bear $130 @ 25%, base $290 @ 50% → bear $135 @ 23%, base $295 @ 52% (Supervisor/verified facts: Oracle force majeure is a lease-deferral right to Blue Owl, not termination; Oracle, Blue Owl and Bloom reaffirmed; MS &gt;= $8B equipment backlog, over half non-Oracle. Jupiter is a timing risk, so bear weight trimmed slightly; prices lifted by net cash. I kept Jupiter inside the bear case rather than a separate scenario because a permit/pipeline slip mostly shifts revenue rather than removing it.)
• P(close &gt;= K): median ~$275 (P&gt;=289 0.47, P&gt;=346 0.38) → median ~$282 (P&gt;=289 0.485, P&gt;=346 0.39) (Slightly higher fair value and lower bear weight; tails kept at sigma ~0.75.)
• a fact: Q3 earnings 2026-10-27 → late Oct, likely Tue 2026-10-27, unconfirmed (Supervisor: date not yet announced; inferred from Bloom's fourth-Tuesday pattern.)
• a fact: no permit catalyst → Nov 23, 2026 NM air-quality permit deadline added (Supervisor finding, verified: NM Supreme Court lifted its stay Sep 17 but NMED has not appointed a hearing officer; Nov 23 remains the decision deadline.)
• thesis break: 150 → 150 (unchanged, triggers now named: permit denial, pipeline slip, weak FY27 guide) (Net cash adds only ~$7.5/share; the level still implies ~30x FY27 EPS, consistent only with estimate cuts.)</t>
  </si>
  <si>
    <t xml:space="preserve">BE supervisor</t>
  </si>
  <si>
    <t xml:space="preserve">Confidence: low. The searches settled the facts: the pipeline was denied twice but rerouted and is under FERC review with a Dec 3 decision, and the air-permit hearing has not happened. These facts argue only for a small shift of Jupiter revenue from 2027 into 2028, which most agents had already priced qualitatively. The change is therefore a nudge of about 0.5pt, not a settled disagreement that clearly matters.</t>
  </si>
  <si>
    <t xml:space="preserve">Summary</t>
  </si>
  <si>
    <t xml:space="preserve">In the base round (2026-09-25) the five revised forecasts clustered tightly: research targets $222-245 (mean ~$235) and P(&gt;= spot) 0.46-0.49. The one contested fact checks out but is less damaging than it sounds. New Mexico did deny the Jupiter pipeline's state-land crossing twice (Mar 20 and Jul 14), but the denial covers ~0.63 miles, and the rerouted lateral is under FERC review with a Dec 3 decision. Separately, the air-permit hearing has not yet been held, so the Nov 23 deadline will probably be extended. I nudge the middle of the ladder down ~0.5pt for a likelier slip of Jupiter revenue into 2028; confidence is low, and the forecast stays near the mean with a median just below spot. The driver-led build of 2026-10-23 sets the research target (12m) at $185.84, below the $193.30 close.</t>
  </si>
  <si>
    <t xml:space="preserve">Research target (12m)</t>
  </si>
  <si>
    <t xml:space="preserve">Key drivers</t>
  </si>
  <si>
    <t xml:space="preserve">• product_gw: 0.494 -&gt; 1.24 / 1.80 / 2.50 GW (estimate; acceptances not disclosed; FY2027 at 90% of the 2 GW run-rate, FY2028 = agents' implied median)
• product_asp: $3,100 -&gt; $3,195 / $3,250 / $3,250 per kW (judgment estimate, flagged; the 36Kr-implied ~$3,040/kW gives $168.99, open call)
• product_gm: 35.2% -&gt; 37.0% / 37.5% / 37.0% (Q3-2026 37.9%)
• opex: $514.6M -&gt; $723M / $900M / $1,060M GAAP
• factory_gw: 1 -&gt; 2 / 3 / 3 GW (2 GW end-2026 per 10-K; 3 GW not announced: decided by Kilian 2026-10-26)
• Jupiter timing (FERC Dec 3, 2026 decision on the rerouted Green Chile lateral; NM air permit) moves FY2027-28 product_gw; the Feb 2027 first FY2027 guide is the main 12-month event.</t>
  </si>
  <si>
    <t xml:space="preserve">Disagreements (final round)</t>
  </si>
  <si>
    <t xml:space="preserve">Topic</t>
  </si>
  <si>
    <t xml:space="preserve">Positions</t>
  </si>
  <si>
    <t xml:space="preserve">Resolution</t>
  </si>
  <si>
    <t xml:space="preserve">Evidence</t>
  </si>
  <si>
    <t xml:space="preserve">Pipeline route across state trust land: denied twice, and is it fatal?</t>
  </si>
  <si>
    <t xml:space="preserve">agent_4 says the NM State Land Office denied the Green Chile pipeline's state-trust-land right-of-way twice with 'no disclosed reroute', so a Jupiter slip past 2028 is plausible and it keeps a 25% bear weight; agents 1, 2, 3, 5 treat the pipeline only as a slip of the in-service date to ~Feb 1, 2027.</t>
  </si>
  <si>
    <t xml:space="preserve">The 'denied twice' claim is correct: Commissioner Garcia Richard cancelled the right-of-way applications and a meter-station lease on March 20, 2026 and denied Energy Transfer's reconsideration request on July 14, 2026. But the denied segment is only ~0.63 miles of a ~17.8-mile lateral, and the project did not stall: BLM authorized the federal-land crossing (16 miles) on May 6, 2026; the lateral is under a FERC environmental assessment in docket CP26-80-000 (EA issued Sep 4, comments due Oct 5, 90-day federal authorization decision deadline Dec 3, 2026), with the company rerouting the state-land segment. 'No disclosed reroute' is therefore wrong. The pipeline is a real timing risk: Feb 1, 2027 leaves about two months after a Dec 3 decision, and rehearing or litigation is likely. It is not a route-level dead end.</t>
  </si>
  <si>
    <t xml:space="preserve">NM State Land Office letter of Jul 14, 2026; Pipeline &amp; Gas Journal (Jul 2026); Source NM (Mar 31, 2026); BLM release (May 6, 2026); Federal Register EA notices (Jul 29 and Sep 10, 2026; govinfo copies, src 5-6).</t>
  </si>
  <si>
    <t xml:space="preserve">Status of the fuel-cell air-quality permit (Nov 23, 2026 deadline)</t>
  </si>
  <si>
    <t xml:space="preserve">agent_3 says the permit hearing was held Sep 14; agent_5 says no hearing officer has been appointed; agents 1, 2, 4 treat Nov 23 as a decision binary.</t>
  </si>
  <si>
    <t xml:space="preserve">No hearing has been held. The Sep 14 hearing was halted: hearing officer Max Shepherd recused himself (order dated Aug 22, reported Aug 24) while an NM Supreme Court stay paused the proceeding; the court lifted the stays on Sep 17. NMED named retired federal judge James Browning as the new hearing officer on Oct 2 (Albuquerque Journal), but no opening date has been announced, and the state Attorney General backs the challengers. State law lets NMED extend its deadline for good cause, so the likeliest outcome is an extension and a drawn-out overhang, not an approve/deny binary on Nov 23. agent_3 is wrong on the hearing and agent_5 is right.</t>
  </si>
  <si>
    <t xml:space="preserve">Albuquerque Journal (Aug 24, Sep 17 and Oct 2, 2026; src 8, 9, 26); Organ Mountain News on the AG's position; Searchlight NM / Source NM on the extension-for-good-cause provision.</t>
  </si>
  <si>
    <t xml:space="preserve">How much Jupiter matters to the 12-month price</t>
  </si>
  <si>
    <t xml:space="preserve">Bear weights range from 23% (agent_5) to 30% (agent_1); all now call Jupiter mostly a timing risk. agent_4 alone argues a slip past 2028 is plausible.</t>
  </si>
  <si>
    <t xml:space="preserve">Both Jupiter gates (the FERC pipeline decision due Dec 3 and the NMED air permit, likely extended) now sit late in 2026 or later, with organized opposition at the state level. That raises the odds that some Jupiter shipments slip from 2027 into 2028 and that the Feb 2027 FY27 guide is conservative on Oracle. Offsetting factors: Jupiter is outside 2026 guidance and the units can be redeployed. This justifies a small downward nudge in the middle of the ladder, not a larger bear case.</t>
  </si>
  <si>
    <t xml:space="preserve">As above, plus TechCrunch (Sep 24).</t>
  </si>
  <si>
    <t xml:space="preserve">Research target (12m) and multiple (base round, 2026-09-25)</t>
  </si>
  <si>
    <t xml:space="preserve">Base round: the agents' research targets were $222-245 (mean $234.6), all below the $288.70 close of 2026-09-25 (src 27); P/E legs $260-280 on 38-55x; DCF legs $122-165.</t>
  </si>
  <si>
    <t xml:space="preserve">No factual error remains after round 1; the spread comes from differences in multiples and DCF assumptions. Every blend is below spot, while ladder medians sit at ~$265-282. That gap reflects momentum and a fat right tail, which the ladders already carry. This build (2026-10-23) replaces those blends: research target (12m) $185.84 vs the $193.30 close of 2026-10-23.</t>
  </si>
  <si>
    <t xml:space="preserve">Agents' revised files; Q2 2026 8-K.</t>
  </si>
  <si>
    <t xml:space="preserve">Changes the supervisor made</t>
  </si>
  <si>
    <t xml:space="preserve">Item</t>
  </si>
  <si>
    <t xml:space="preserve">From</t>
  </si>
  <si>
    <t xml:space="preserve">To</t>
  </si>
  <si>
    <t xml:space="preserve">Why</t>
  </si>
  <si>
    <t xml:space="preserve">P(close &gt;= K) for K = 202-318</t>
  </si>
  <si>
    <t xml:space="preserve">[0.671, 0.6004, 0.5334, 0.4706, 0.4144]</t>
  </si>
  <si>
    <t xml:space="preserve">[0.666, 0.5954, 0.5284, 0.4656, 0.4104]</t>
  </si>
  <si>
    <t xml:space="preserve">Both Jupiter gates now fall late in 2026 or later: FERC decides the rerouted pipeline by Dec 3, and the air-permit hearing has not been held, so the Nov 23 deadline is likely to be extended. Organized state opposition, including the AG, raises the odds that part of Jupiter slips from 2027 to 2028, a small drag on the Feb 2027 guide.</t>
  </si>
  <si>
    <t xml:space="preserve">151.0</t>
  </si>
  <si>
    <t xml:space="preserve">150.0</t>
  </si>
  <si>
    <t xml:space="preserve">Four of five agents use $145-150; $150 is 22% below the $193.30 close of 2026-10-23 and ~28x the post-print FY2027 consensus EPS of $5.31 (src 25); a permit extension or a few months' pipeline slip should not count as a break.</t>
  </si>
  <si>
    <t xml:space="preserve">Fact: pipeline state-land denials (agent_4)</t>
  </si>
  <si>
    <t xml:space="preserve">right-of-way denied twice, no disclosed reroute</t>
  </si>
  <si>
    <t xml:space="preserve">denied Mar 20 and on reconsideration Jul 14, 2026 for ~0.63 miles; route revised and under FERC EA, docket CP26-80-000 (federal authorization decision deadline Dec 3, 2026)</t>
  </si>
  <si>
    <t xml:space="preserve">NM State Land Office Jul 14 letter, BLM May 6 release and the Federal Register EA notices confirm the denials but also the reroute path.</t>
  </si>
  <si>
    <t xml:space="preserve">Fact: air-permit hearing (agent_3)</t>
  </si>
  <si>
    <t xml:space="preserve">hearing held Sep 14</t>
  </si>
  <si>
    <t xml:space="preserve">hearing not held; officer recused (order Aug 22, reported Aug 24), stays lifted Sep 17, new hearing officer (James Browning) named Oct 2, no opening date set; Nov 23 deadline extendable for good cause</t>
  </si>
  <si>
    <t xml:space="preserve">Albuquerque Journal reporting of Aug 24, Sep 17 and Oct 2, 2026 (src 8, 9, 26).</t>
  </si>
  <si>
    <t xml:space="preserve">Citation audit (2026-10-26)</t>
  </si>
  <si>
    <t xml:space="preserve">{'item': 'shares.diluted_now', 'from': '311.5 (basis reported)', 'to': '312.4 (estimate: 295.66 outstanding Oct 19 + 15.61 awards + 1.09 2029-note shares; 2030 notes as debt)', 'source': 'https://www.sec.gov/Archives/edgar/data/1664703/000162828026066931/be-20260930.htm'}</t>
  </si>
  <si>
    <t xml:space="preserve">{'item': 'balance.net_debt', 'from': '42.1 (basis reported; JV loan counted twice)', 'to': '16.2 (estimate: 2,500.0 + 2.95 - 2,486.7; 2029 notes as equity)', 'source': 'https://www.sec.gov/Archives/edgar/data/1664703/000162828026066931/be-20260930.htm'}</t>
  </si>
  <si>
    <t xml:space="preserve">{'item': 'fair_value.value', 'from': 186.2, 'to': 185.84, 'source': 'model_engine.py check after the shares (312.4M at 2026-10-19) and net-debt (16.2) fixes'}</t>
  </si>
  <si>
    <t xml:space="preserve">{'item': 'fair_value.reason', 'from': 'mean of agent values; ~$2.45B net cash, converts as equity in ~323-324M shares', 'to': 'build value $185.84 with converts as debt (net debt $16.2M, 312.4M shares)', 'source': 'model_engine.py check'}</t>
  </si>
  <si>
    <t xml:space="preserve">{'item': 'thesis_break_reason distance', 'from': '-48% (vs $288.7)', 'to': '-22% vs the $193.30 close of 2026-10-23', 'source': 'https://api.twelvedata.com/time_series?symbol=BE&amp;interval=1day&amp;start_date=2026-04-22&amp;end_date=2026-10-24'}</t>
  </si>
  <si>
    <t xml:space="preserve">{'item': 'thesis_break_reason net cash', 'from': '~$7.5/share net cash', 'to': 'removed; net debt $16.2M with converts as debt', 'source': 'https://www.sec.gov/Archives/edgar/data/1664703/000162828026066931/be-20260930.htm'}</t>
  </si>
  <si>
    <t xml:space="preserve">{'item': 'thesis_break_reason FY27 EPS', 'from': '~30x FY27 consensus EPS $4.93', 'to': '~28x post-print FY27 consensus EPS $5.31', 'source': 'https://stockanalysis.com/stocks/be/forecast/'}</t>
  </si>
  <si>
    <t xml:space="preserve">{'item': 'sizing.reason research target', 'from': '~$235', 'to': '$185.84 (3.9% below the $193.30 close)', 'source': 'model_engine.py check'}</t>
  </si>
  <si>
    <t xml:space="preserve">{'item': 'sizing.entry', 'from': 'after the Q3 print (likely Tue Oct 27)', 'to': 'now, after the Oct 22 Q3 print; then the Dec 3 FERC decision; then the air permit / Feb 2027 guide', 'source': 'https://www.sec.gov/Archives/edgar/data/1664703/000162828026066890/ex991_q326financialresults.htm'}</t>
  </si>
  <si>
    <t xml:space="preserve">{'item': 'sizing realized vol', 'from': '112% (no source)', 'to': '~109% 6-month realized (estimate from daily closes)', 'source': 'https://api.twelvedata.com/time_series?symbol=BE&amp;interval=1day&amp;start_date=2026-04-22&amp;end_date=2026-10-24'}</t>
  </si>
  <si>
    <t xml:space="preserve">{'item': 'guidance_check non-GAAP op income: Q3 SBC', 'from': 'SBC ~$230M (Q3 $57.2M); GAAP EBIT ~$771M; ours 1,010', 'to': 'SBC ~$234M (Q1 57.0, Q2 56.4, Q3 60.1); GAAP EBIT ~$780M; ours ~1,015 (+2.0%, inside)', 'source': 'https://www.sec.gov/Archives/edgar/data/1664703/000162828026066890/ex991_q326financialresults.htm'}</t>
  </si>
  <si>
    <t xml:space="preserve">{'item': 'guidance_check non-GAAP EPS FY2026', 'from': 3.3, 'to': 3.19, 'source': 'https://www.sec.gov/Archives/edgar/data/1664703/000162828026066890/ex991_q326financialresults.htm'}</t>
  </si>
  <si>
    <t xml:space="preserve">{'item': 'guidance_check FY2027 revenue position', 'from': 'inside', 'to': 'n/a (no guide)', 'source': 'notes_drivers.md'}</t>
  </si>
  <si>
    <t xml:space="preserve">{'item': 'FY2027 consensus revenue / EPS', 'from': '6,790 / 4.93 (pre-print, vendor home page)', 'to': '7,050 / 5.31 (post-print, 2026-10-23)', 'source': 'https://stockanalysis.com/stocks/be/forecast/'}</t>
  </si>
  <si>
    <t xml:space="preserve">{'item': 'FERC EA dates (EA Sep 4, comments Oct 5, decision deadline Dec 3, 2026)', 'from': 'federalregister.gov (bot check) and NGI (405)', 'to': "same dates from the official govinfo copies; 'lost fast track' claim removed", 'source': 'https://www.govinfo.gov/content/pkg/FR-2026-07-29/html/2026-15286.htm'}</t>
  </si>
  <si>
    <t xml:space="preserve">{'item': 'air permit dates', 'from': 'recused Aug 24, stays lifted Sep 17, no new date (sourcenm 403)', 'to': 'recusal order Aug 22 (reported Aug 24), stays lifted Sep 17, new hearing officer Oct 2, no opening date', 'source': 'https://www.abqjournal.com/business/new-mexico-supreme-court-lifts-stays-on-project-jupiter-dealing-setback-to-opponents/3124024'}</t>
  </si>
  <si>
    <t xml:space="preserve">{'item': 'Morgan Stanley 1.8 GW 2027 / 4.8 GW 2028 / &gt;half of $8B+ backlog outside Oracle', 'from': 'cited (TheStreet, 403)', 'to': "removed from the set's derivations, the bull story and the disagreements; kept only as agent_2's unverified view", 'source': 'no reachable source'}</t>
  </si>
  <si>
    <t xml:space="preserve">{'item': 'base-round disagreement: $288.7 spot', 'from': '$288.7 (no source or date)', 'to': '$288.70 close of 2026-09-25, labelled base round', 'source': 'https://api.twelvedata.com/time_series?symbol=BE&amp;interval=1day&amp;start_date=2026-04-22&amp;end_date=2026-10-24'}</t>
  </si>
  <si>
    <t xml:space="preserve">{'item': 'driver:product_gw derivation', 'from': "Q3 x ~1.21 'the Q2-&gt;Q3 step'; 4% under median 1.88; inside 36Kr", 'to': 'Q3 x ~1.21 labelled a judgment (Q2-&gt;Q3 step 1.148); 3% under the FY2027 median 1.86; 36Kr context only (old guide); MS removed', 'source': 'https://www.sec.gov/Archives/edgar/data/1664703/000162828026066890/ex991_q326financialresults.htm'}</t>
  </si>
  <si>
    <t xml:space="preserve">{'item': 'driver:product_asp derivation', 'from': 'inside the ~$3,050-3,350/kW the 36Kr range implies; consensus/MS check $3,380', 'to': 'flagged judgment with arithmetic; 36Kr-implied ~$3,040/kW variant ($168.99) as an open call', 'source': 'https://eu.36kr.com/de/p/3917481569021574'}</t>
  </si>
  <si>
    <t xml:space="preserve">{'item': 'horizon_multiples P/E peer_basis', 'from': "equals the agents' 40x non-GAAP less the ~13% SBC gap", 'to': "agents' ~40x non-GAAP = ~46x GAAP; 40x GAAP is ~13% below (decided by Kilian 2026-10-26)", 'source': 'runs/2026-10-23/BE/peers.md'}</t>
  </si>
  <si>
    <t xml:space="preserve">Sizing</t>
  </si>
  <si>
    <t xml:space="preserve">max weight pct</t>
  </si>
  <si>
    <t xml:space="preserve">conviction</t>
  </si>
  <si>
    <t xml:space="preserve">low</t>
  </si>
  <si>
    <t xml:space="preserve">entry</t>
  </si>
  <si>
    <t xml:space="preserve">3 tranches over ~10 weeks: one third now (after the Oct 22 Q3 print), one third after the FERC decision on the Green Chile lateral (deadline Dec 3, 2026, src 6), one third after the NMED air-permit outcome or the Feb 2027 FY2027 guide</t>
  </si>
  <si>
    <t xml:space="preserve">overlap</t>
  </si>
  <si>
    <t xml:space="preserve">GOOGL and META (BE's demand is hyperscaler AI capex, the same sentiment factor); TSLA (high-beta momentum, energy/AI-power theme)</t>
  </si>
  <si>
    <t xml:space="preserve">reason</t>
  </si>
  <si>
    <t xml:space="preserve">The research target (12m) of $185.84 is 3.9% below the $193.30 close of 2026-10-23, conviction is low, and the stock carries ~109% annualized realized volatility (estimate: standard deviation of daily log returns x sqrt(252) over 128 trading days, Apr 22 - Oct 23, 2026, Twelve Data closes, src 27) plus a stack of dated Jupiter regulatory events through Dec 2026, then the Feb 2027 FY27 guide. About 35% of the portfolio is already in AI-capex megacaps, so BE adds the same driver. Liquidity is fine (S&amp;P 500 member), but drawdown risk argues for a cap of ~4% (~$1,350).</t>
  </si>
  <si>
    <t xml:space="preserve">BE sources</t>
  </si>
  <si>
    <t xml:space="preserve">Every source the forecasters and the supervisor cited. IDs: A1.3 = agent 1, source 3; S.2 = supervisor, source 2; X.4 = found by the supervisor for an assumption the agent left unsourced.</t>
  </si>
  <si>
    <t xml:space="preserve">Cited by</t>
  </si>
  <si>
    <t xml:space="preserve">Title</t>
  </si>
  <si>
    <t xml:space="preserve">Date</t>
  </si>
  <si>
    <t xml:space="preserve">Link</t>
  </si>
  <si>
    <t xml:space="preserve">A1.1</t>
  </si>
  <si>
    <t xml:space="preserve">agent_1</t>
  </si>
  <si>
    <t xml:space="preserve">Bloom Energy Q2 2026 results press release (8-K Ex. 99.1)</t>
  </si>
  <si>
    <t xml:space="preserve">2026-07-28</t>
  </si>
  <si>
    <t xml:space="preserve">https://www.sec.gov/Archives/edgar/data/1664703/000162828026050150/ex991_q226financialresults.htm</t>
  </si>
  <si>
    <t xml:space="preserve">A1.2</t>
  </si>
  <si>
    <t xml:space="preserve">Bloom Energy Form 10-Q for quarter ended June 30, 2026</t>
  </si>
  <si>
    <t xml:space="preserve">2026-07</t>
  </si>
  <si>
    <t xml:space="preserve">https://www.sec.gov/Archives/edgar/data/0001664703/000162828026050247/be-20260630.htm</t>
  </si>
  <si>
    <t xml:space="preserve">A1.3</t>
  </si>
  <si>
    <t xml:space="preserve">Bloom Energy Corporation Prices Upsized $2.2 Billion Convertible Senior Notes Offering</t>
  </si>
  <si>
    <t xml:space="preserve">2025-10-30</t>
  </si>
  <si>
    <t xml:space="preserve">https://investor.bloomenergy.com/press-releases/press-release-details/2025/Bloom-Energy-Corporation-Prices-Upsized-2-2-Billion-Convertible-Senior-Notes-Offering/default.aspx</t>
  </si>
  <si>
    <t xml:space="preserve">A1.4</t>
  </si>
  <si>
    <t xml:space="preserve">Earnings call transcript: Bloom Energy tops Q2 2026 forecasts (Investing.com)</t>
  </si>
  <si>
    <t xml:space="preserve">https://www.investing.com/news/transcripts/earnings-call-transcript-bloom-energy-tops-q2-2026-forecasts-shares-jump-after-hours-93CH-4818294</t>
  </si>
  <si>
    <t xml:space="preserve">A1.5</t>
  </si>
  <si>
    <t xml:space="preserve">Oracle sends force majeure notice on its New Mexico Stargate data center (TechCrunch)</t>
  </si>
  <si>
    <t xml:space="preserve">2026-09-24</t>
  </si>
  <si>
    <t xml:space="preserve">https://techcrunch.com/2026/09/24/oracle-sends-force-majeure-notice-on-its-new-mexico-stargate-data-center/</t>
  </si>
  <si>
    <t xml:space="preserve">A1.6</t>
  </si>
  <si>
    <t xml:space="preserve">Bloom Energy Jumps 8% as Oracle Reaffirms 2.4 GW Fuel Cell Contract After Force Majeure Notice (24/7 Wall St.)</t>
  </si>
  <si>
    <t xml:space="preserve">2026-09-25</t>
  </si>
  <si>
    <t xml:space="preserve">https://247wallst.com/investing/2026/09/25/bloom-energy-jumps-8-as-oracle-reaffirms-2-4-gw-fuel-cell-contract-after-force-majeure-notice/</t>
  </si>
  <si>
    <t xml:space="preserve">A1.7</t>
  </si>
  <si>
    <t xml:space="preserve">Morgan Stanley says Bloom can withstand an Oracle project delay (TheStreet)</t>
  </si>
  <si>
    <t xml:space="preserve">2026-09</t>
  </si>
  <si>
    <t xml:space="preserve">https://www.thestreet.com/investing/stocks/morgan-stanley-says-bloom-can-withstand-an-oracle-project-delay</t>
  </si>
  <si>
    <t xml:space="preserve">A1.8</t>
  </si>
  <si>
    <t xml:space="preserve">A Delayed Pipeline Just Put Bloom Energy's Role in a $165 Billion AI Project in Question (Motley Fool)</t>
  </si>
  <si>
    <t xml:space="preserve">https://www.fool.com/investing/2026/09/24/a-delayed-pipeline-just-put-bloom-energy-s-role-in-a-usd165-billion-ai-project-in-question/</t>
  </si>
  <si>
    <t xml:space="preserve">A1.9</t>
  </si>
  <si>
    <t xml:space="preserve">Bloom Energy Stock Rebounds: What's Going On? (Benzinga)</t>
  </si>
  <si>
    <t xml:space="preserve">https://www.benzinga.com/trading-ideas/movers/26/09/62000413/bloom-energy-stock-rebounds-whats-going-on</t>
  </si>
  <si>
    <t xml:space="preserve">A1.10</t>
  </si>
  <si>
    <t xml:space="preserve">Bloom Energy to Announce Second Quarter 2026 Financial Results on July 28, 2026 (Business Wire)</t>
  </si>
  <si>
    <t xml:space="preserve">2026-07-06</t>
  </si>
  <si>
    <t xml:space="preserve">https://www.businesswire.com/news/home/20260706169350/en/Bloom-Energy-to-Announce-Second-Quarter-2026-Financial-Results-on-July-28-2026</t>
  </si>
  <si>
    <t xml:space="preserve">A1.11</t>
  </si>
  <si>
    <t xml:space="preserve">Bloom Energy Is Fully Priced: Is a Re-rating Coming? (24/7 Wall St.)</t>
  </si>
  <si>
    <t xml:space="preserve">2026-09-08</t>
  </si>
  <si>
    <t xml:space="preserve">https://247wallst.com/investing/2026/09/08/bloom-energy-is-fully-priced-is-a-re-rating-coming/</t>
  </si>
  <si>
    <t xml:space="preserve">A1.12</t>
  </si>
  <si>
    <t xml:space="preserve">Bloom Energy (BE) Stock Forecast &amp; Analyst Price Targets (StockAnalysis)</t>
  </si>
  <si>
    <t xml:space="preserve">https://stockanalysis.com/stocks/be/forecast/</t>
  </si>
  <si>
    <t xml:space="preserve">A1.13</t>
  </si>
  <si>
    <t xml:space="preserve">Bloom Energy Stock Is Up 218% in 2026 and Just Joined the S&amp;P 500 (Yahoo/TIKR)</t>
  </si>
  <si>
    <t xml:space="preserve">2026-09-23</t>
  </si>
  <si>
    <t xml:space="preserve">https://finance.yahoo.com/markets/stocks/articles/bloom-energy-stock-218-2026-145937459.html</t>
  </si>
  <si>
    <t xml:space="preserve">A1.14</t>
  </si>
  <si>
    <t xml:space="preserve">Geopolitical Issues Lead to Securities Suit Against Fuel Cell Company (D&amp;O Diary)</t>
  </si>
  <si>
    <t xml:space="preserve">2026-08</t>
  </si>
  <si>
    <t xml:space="preserve">https://www.dandodiary.com/2026/08/articles/geopolitical-risk/geopolitical-issues-lead-to-securities-suit-against-fuel-cell-company/</t>
  </si>
  <si>
    <t xml:space="preserve">A1.15</t>
  </si>
  <si>
    <t xml:space="preserve">Bloom Energy 8-K rebutting Hunterbrook report</t>
  </si>
  <si>
    <t xml:space="preserve">2026-07-09</t>
  </si>
  <si>
    <t xml:space="preserve">https://www.sec.gov/Archives/edgar/data/0001664703/000162828026047734/be-20260709.htm</t>
  </si>
  <si>
    <t xml:space="preserve">A1.16</t>
  </si>
  <si>
    <t xml:space="preserve">Bloom Energy Is Riding the Data Center Boom to a $25 Billion Backlog (Motley Fool)</t>
  </si>
  <si>
    <t xml:space="preserve">2026-09-19</t>
  </si>
  <si>
    <t xml:space="preserve">https://www.fool.com/investing/2026/09/19/bloom-energy-is-riding-the-data-center-boom-to-a-2/</t>
  </si>
  <si>
    <t xml:space="preserve">A1.17</t>
  </si>
  <si>
    <t xml:space="preserve">Bloom Energy COO Chitoori Satish Sells Shares (Motley Fool)</t>
  </si>
  <si>
    <t xml:space="preserve">https://www.fool.com/coverage/filings/2026/09/24/bloom-energy-coo-chitoori-satish-sells-shares-for-usd775-072/</t>
  </si>
  <si>
    <t xml:space="preserve">A2.1</t>
  </si>
  <si>
    <t xml:space="preserve">agent_2</t>
  </si>
  <si>
    <t xml:space="preserve">https://www.sec.gov/Archives/edgar/data/0001664703/000162828026050150/ex991_q226financialresults.htm</t>
  </si>
  <si>
    <t xml:space="preserve">A2.2</t>
  </si>
  <si>
    <t xml:space="preserve">A2.3</t>
  </si>
  <si>
    <t xml:space="preserve">Bloom Energy Corporation Prices Upsized $2.2 Billion Convertible Senior Notes Offering (8-K)</t>
  </si>
  <si>
    <t xml:space="preserve">https://www.sec.gov/Archives/edgar/data/1664703/000162828025049016/pressreleasedatedoctober30.htm</t>
  </si>
  <si>
    <t xml:space="preserve">A2.4</t>
  </si>
  <si>
    <t xml:space="preserve">Alpha Vantage EARNINGS_ESTIMATES for BE (FY2026/FY2027 consensus)</t>
  </si>
  <si>
    <t xml:space="preserve">2026-09-27</t>
  </si>
  <si>
    <t xml:space="preserve">https://www.alphavantage.co/</t>
  </si>
  <si>
    <t xml:space="preserve">A2.5</t>
  </si>
  <si>
    <t xml:space="preserve">A2.6</t>
  </si>
  <si>
    <t xml:space="preserve">Oracle Says Its New Mexico Stargate Site Is On Schedule. It Filed to Delay the Rent Anyway (Gear Live)</t>
  </si>
  <si>
    <t xml:space="preserve">https://www.gearlive.com/news/article/oracle-force-majeure-new-mexico-stargate-project-jupiter</t>
  </si>
  <si>
    <t xml:space="preserve">A2.7</t>
  </si>
  <si>
    <t xml:space="preserve">A2.8</t>
  </si>
  <si>
    <t xml:space="preserve">A2.9</t>
  </si>
  <si>
    <t xml:space="preserve">Bloom Energy says it's on track for 2 GW annual production capacity (Utility Dive)</t>
  </si>
  <si>
    <t xml:space="preserve">2025</t>
  </si>
  <si>
    <t xml:space="preserve">https://www.utilitydive.com/news/bloom-energy-says-its-on-track-for-2-gw-annual-production-capacity/804291/</t>
  </si>
  <si>
    <t xml:space="preserve">A2.10</t>
  </si>
  <si>
    <t xml:space="preserve">Bloom Energy Reports Record Second Quarter 2026 Financial Results and Raises Full Year 2026 Guidance</t>
  </si>
  <si>
    <t xml:space="preserve">https://www.businesswire.com/news/home/20260728460825/en/Bloom-Energy-Reports-Record-Second-Quarter-2026-Financial-Results-and-Raises-Full-Year-2026-Guidance</t>
  </si>
  <si>
    <t xml:space="preserve">A2.11</t>
  </si>
  <si>
    <t xml:space="preserve">Bloom Energy Stock Is Up 218% in 2026 and Just Joined the S&amp;P 500 (TIKR)</t>
  </si>
  <si>
    <t xml:space="preserve">https://www.tikr.com/blog/bloom-energy-stock-is-up-218-in-2026-and-just-joined-the-sp-500-is-it-too-late-to-buy</t>
  </si>
  <si>
    <t xml:space="preserve">A2.12</t>
  </si>
  <si>
    <t xml:space="preserve">Bloom Energy Stock Under Pressure Amid China Scandium Lawsuit (StocksToTrade)</t>
  </si>
  <si>
    <t xml:space="preserve">https://stockstotrade.com/news/bloom-energy-corporation-be-news-2026_09_24/</t>
  </si>
  <si>
    <t xml:space="preserve">A2.13</t>
  </si>
  <si>
    <t xml:space="preserve">Brookfield and Bloom Energy Expand AI Infrastructure Partnership to $25 Billion</t>
  </si>
  <si>
    <t xml:space="preserve">2026-06-30</t>
  </si>
  <si>
    <t xml:space="preserve">https://www.businesswire.com/news/home/20260630023022/en/Brookfield-and-Bloom-Energy-Expand-AI-Infrastructure-Partnership-to-$25-Billion-Fivefold-Increase-to-Build-and-Finance-Rapid-Power-for-AI-Infrastructure</t>
  </si>
  <si>
    <t xml:space="preserve">A3.1</t>
  </si>
  <si>
    <t xml:space="preserve">agent_3</t>
  </si>
  <si>
    <t xml:space="preserve">Bloom Energy Reports Record Second Quarter 2026 Financial Results and Raises Full Year 2026 Guidance (8-K Ex. 99.1)</t>
  </si>
  <si>
    <t xml:space="preserve">A3.2</t>
  </si>
  <si>
    <t xml:space="preserve">A3.3</t>
  </si>
  <si>
    <t xml:space="preserve">A3.4</t>
  </si>
  <si>
    <t xml:space="preserve">A3.5</t>
  </si>
  <si>
    <t xml:space="preserve">A3.6</t>
  </si>
  <si>
    <t xml:space="preserve">Hearing for Project Jupiter data center's air quality permit application rescheduled to September (Source New Mexico)</t>
  </si>
  <si>
    <t xml:space="preserve">2026-07-31</t>
  </si>
  <si>
    <t xml:space="preserve">https://sourcenm.com/2026/07/31/hearing-for-project-jupiter-data-centers-air-quality-permit-application-rescheduled-to-september/</t>
  </si>
  <si>
    <t xml:space="preserve">A3.7</t>
  </si>
  <si>
    <t xml:space="preserve">New Mexico Supreme Court lifts stays on Project Jupiter, dealing setback to opponents (Albuquerque Journal)</t>
  </si>
  <si>
    <t xml:space="preserve">https://www.abqjournal.com/business/new-mexico-supreme-court-lifts-stays-on-project-jupiter-dealing-setback-to-opponents/3124024</t>
  </si>
  <si>
    <t xml:space="preserve">A3.8</t>
  </si>
  <si>
    <t xml:space="preserve">A3.9</t>
  </si>
  <si>
    <t xml:space="preserve">A3.10</t>
  </si>
  <si>
    <t xml:space="preserve">Bloom Energy is Fully Priced: Is a Re-rating Coming? (24/7 Wall St.)</t>
  </si>
  <si>
    <t xml:space="preserve">A3.11</t>
  </si>
  <si>
    <t xml:space="preserve">A3.12</t>
  </si>
  <si>
    <t xml:space="preserve">Levi &amp; Korsinsky reminds Bloom Energy investors of pending class action (lead plaintiff deadline Sep 28, 2026)</t>
  </si>
  <si>
    <t xml:space="preserve">https://www.prnewswire.com/news-releases/levi--korsinsky-reminds-bloom-energy-investors-of-the-pending-class-action-lawsuit-with-a-lead-plaintiff-deadline-of-september-28-2026---be-302887157.html</t>
  </si>
  <si>
    <t xml:space="preserve">A3.13</t>
  </si>
  <si>
    <t xml:space="preserve">Bloom Energy and Oracle Expand Strategic Partnership to Deploy up to 2.8 GW</t>
  </si>
  <si>
    <t xml:space="preserve">2026-04</t>
  </si>
  <si>
    <t xml:space="preserve">https://investor.bloomenergy.com/press-releases/press-release-details/2026/Bloom-Energy-and-Oracle-Expand-Strategic-Partnership-to-Deploy-up-to-2-8-GW-to-Accelerate-AI-Infrastructure-Build-Out/default.aspx</t>
  </si>
  <si>
    <t xml:space="preserve">A3.14</t>
  </si>
  <si>
    <t xml:space="preserve">Q2 2026 earnings call transcript (Investing.com)</t>
  </si>
  <si>
    <t xml:space="preserve">A4.1</t>
  </si>
  <si>
    <t xml:space="preserve">agent_4</t>
  </si>
  <si>
    <t xml:space="preserve">Bloom Energy Q2 2026 results press release (8-K Ex.99.1)</t>
  </si>
  <si>
    <t xml:space="preserve">A4.2</t>
  </si>
  <si>
    <t xml:space="preserve">A4.3</t>
  </si>
  <si>
    <t xml:space="preserve">A4.4</t>
  </si>
  <si>
    <t xml:space="preserve">Bloom Energy Q2 Earnings Call Highlights (Yahoo Finance)</t>
  </si>
  <si>
    <t xml:space="preserve">2026-07-29</t>
  </si>
  <si>
    <t xml:space="preserve">https://finance.yahoo.com/markets/stocks/articles/bloom-energy-q2-earnings-call-000355411.html</t>
  </si>
  <si>
    <t xml:space="preserve">A4.5</t>
  </si>
  <si>
    <t xml:space="preserve">A4.6</t>
  </si>
  <si>
    <t xml:space="preserve">A4.7</t>
  </si>
  <si>
    <t xml:space="preserve">Bloom Energy's Backlog Is 5 Times This Year's Expected Revenue (Motley Fool)</t>
  </si>
  <si>
    <t xml:space="preserve">https://www.fool.com/investing/2026/09/24/bloom-energy-s-backlog-is-5-times-this-year-s-expected-revenue-here-s-how-fast-it-can-actually-build/</t>
  </si>
  <si>
    <t xml:space="preserve">A4.8</t>
  </si>
  <si>
    <t xml:space="preserve">A4.9</t>
  </si>
  <si>
    <t xml:space="preserve">A4.10</t>
  </si>
  <si>
    <t xml:space="preserve">Oracle could defer Project Jupiter rent payments over power supply delays (El Paso Matters)</t>
  </si>
  <si>
    <t xml:space="preserve">https://elpasomatters.org/2026/09/24/project-jupiter-rent-force-majeure-new-mexico-oracle-ai-el-paso-data-center/</t>
  </si>
  <si>
    <t xml:space="preserve">A4.11</t>
  </si>
  <si>
    <t xml:space="preserve">Bloom Energy Jumps 8% as Oracle Reaffirms 2.4 GW Fuel Cell Contract (24/7 Wall St.)</t>
  </si>
  <si>
    <t xml:space="preserve">A4.12</t>
  </si>
  <si>
    <t xml:space="preserve">Bloom Energy statement on Oracle / Project Jupiter (X)</t>
  </si>
  <si>
    <t xml:space="preserve">https://x.com/Bloom_Energy/status/2103192271202213975</t>
  </si>
  <si>
    <t xml:space="preserve">A4.13</t>
  </si>
  <si>
    <t xml:space="preserve">A4.14</t>
  </si>
  <si>
    <t xml:space="preserve">New Mexico Supreme Court lifts stays on Project Jupiter (Albuquerque Journal)</t>
  </si>
  <si>
    <t xml:space="preserve">A4.15</t>
  </si>
  <si>
    <t xml:space="preserve">New Mexico regulators reject natural gas pipeline for Oracle's 2.5GW Project Jupiter data center (DCD)</t>
  </si>
  <si>
    <t xml:space="preserve">2026</t>
  </si>
  <si>
    <t xml:space="preserve">https://www.datacenterdynamics.com/en/news/new-mexico-regulators-reject-natural-gas-pipeline-for-oracles-25gw-project-jupiter-data-center/</t>
  </si>
  <si>
    <t xml:space="preserve">A4.16</t>
  </si>
  <si>
    <t xml:space="preserve">A4.17</t>
  </si>
  <si>
    <t xml:space="preserve">A4.18</t>
  </si>
  <si>
    <t xml:space="preserve">Bloom Energy Faces Class Action Lawsuit Over Scandium Supply Disclosure (TipRanks)</t>
  </si>
  <si>
    <t xml:space="preserve">https://www.tipranks.com/news/bloom-energy-be-faces-class-action-lawsuit-over-scandium-supply-disclosure-issues</t>
  </si>
  <si>
    <t xml:space="preserve">A4.19</t>
  </si>
  <si>
    <t xml:space="preserve">Bloom's Big Lie (Hunterbrook)</t>
  </si>
  <si>
    <t xml:space="preserve">2026-07-08</t>
  </si>
  <si>
    <t xml:space="preserve">https://hntrbrk.com/investigations/bloom</t>
  </si>
  <si>
    <t xml:space="preserve">A4.20</t>
  </si>
  <si>
    <t xml:space="preserve">Bloom Energy, Illumina, Everpure to Join S&amp;P 500 (Bloomberg)</t>
  </si>
  <si>
    <t xml:space="preserve">2026-09-04</t>
  </si>
  <si>
    <t xml:space="preserve">https://www.bloomberg.com/news/articles/2026-09-04/bloom-energy-illumina-everpure-to-join-s-p-500-in-september</t>
  </si>
  <si>
    <t xml:space="preserve">A5.1</t>
  </si>
  <si>
    <t xml:space="preserve">agent_5</t>
  </si>
  <si>
    <t xml:space="preserve">Bloom Energy Q2 2026 results (8-K Ex.99.1)</t>
  </si>
  <si>
    <t xml:space="preserve">A5.2</t>
  </si>
  <si>
    <t xml:space="preserve">A5.3</t>
  </si>
  <si>
    <t xml:space="preserve">A5.4</t>
  </si>
  <si>
    <t xml:space="preserve">Bloom Energy Reports Record Second Quarter 2026 Financial Results and Raises Full Year 2026 Guidance (Business Wire)</t>
  </si>
  <si>
    <t xml:space="preserve">A5.5</t>
  </si>
  <si>
    <t xml:space="preserve">A5.6</t>
  </si>
  <si>
    <t xml:space="preserve">A5.7</t>
  </si>
  <si>
    <t xml:space="preserve">A5.8</t>
  </si>
  <si>
    <t xml:space="preserve">A5.9</t>
  </si>
  <si>
    <t xml:space="preserve">Oracle's AI Data Center Waits On New Mexico To Approve The Power It Promised To Bring (Daily Caller)</t>
  </si>
  <si>
    <t xml:space="preserve">https://dailycaller.com/2026/09/25/oracle-project-jupiter-force-majeure-new-mexico-air-permit-stargate-chris-johnson/</t>
  </si>
  <si>
    <t xml:space="preserve">A5.10</t>
  </si>
  <si>
    <t xml:space="preserve">New Mexico Supreme Court rejects 2 Project Jupiter challenges, allows permitting process to resume (Source NM)</t>
  </si>
  <si>
    <t xml:space="preserve">2026-09-17</t>
  </si>
  <si>
    <t xml:space="preserve">https://sourcenm.com/2026/09/17/new-mexico-supreme-court-rejects-2-project-jupiter-challenges-allows-permitting-process-to-resume/</t>
  </si>
  <si>
    <t xml:space="preserve">A5.11</t>
  </si>
  <si>
    <t xml:space="preserve">A5.12</t>
  </si>
  <si>
    <t xml:space="preserve">A5.13</t>
  </si>
  <si>
    <t xml:space="preserve">Bloom Energy's Single Largest Fuel Cell Deployment Is In Trouble (24/7 Wall St.)</t>
  </si>
  <si>
    <t xml:space="preserve">https://247wallst.com/investing/2026/09/24/bloom-energys-single-largest-fuel-cell-deployment-is-in-trouble/</t>
  </si>
  <si>
    <t xml:space="preserve">A5.14</t>
  </si>
  <si>
    <t xml:space="preserve">A5.15</t>
  </si>
  <si>
    <t xml:space="preserve">Bloom Energy Corporation Class Action Lawsuit (Robbins Geller)</t>
  </si>
  <si>
    <t xml:space="preserve">https://www.rgrdlaw.com/cases-bloom-energy-corporation-class-action-lawsuit-be.html</t>
  </si>
  <si>
    <t xml:space="preserve">A5.16</t>
  </si>
  <si>
    <t xml:space="preserve">Bloom Energy Has Fallen 28% From Its Peak (Motley Fool)</t>
  </si>
  <si>
    <t xml:space="preserve">2026-09-10</t>
  </si>
  <si>
    <t xml:space="preserve">https://www.fool.com/investing/2026/09/10/bloom-energy-has-fallen-28-from-its-peak-and-may/</t>
  </si>
  <si>
    <t xml:space="preserve">S.1</t>
  </si>
  <si>
    <t xml:space="preserve">supervisor</t>
  </si>
  <si>
    <t xml:space="preserve">New Mexico Denies Reconsideration of Project Jupiter Gas Pipeline (Pipeline &amp; Gas Journal)</t>
  </si>
  <si>
    <t xml:space="preserve">https://pgjonline.com/news/2026/july/new-mexico-denies-reconsideration-of-project-jupiter-gas-pipeline</t>
  </si>
  <si>
    <t xml:space="preserve">S.2</t>
  </si>
  <si>
    <t xml:space="preserve">Commissioner of Public Lands letter re informal request for reconsideration (NM State Land Office)</t>
  </si>
  <si>
    <t xml:space="preserve">2026-07-14</t>
  </si>
  <si>
    <t xml:space="preserve">https://www.nmstatelands.org/wp-content/uploads/2026/07/2026-07-14-Letter-re-Informal-Request-for-Reconsideration_Final.pdf</t>
  </si>
  <si>
    <t xml:space="preserve">S.3</t>
  </si>
  <si>
    <t xml:space="preserve">NM state land commissioner rejects application for gas pipeline to power Project Jupiter data center (Source NM)</t>
  </si>
  <si>
    <t xml:space="preserve">2026-03-31</t>
  </si>
  <si>
    <t xml:space="preserve">https://sourcenm.com/2026/03/31/nm-state-land-commissioner-rejects-application-for-gas-pipeline-to-power-project-jupiter-data-center/</t>
  </si>
  <si>
    <t xml:space="preserve">S.4</t>
  </si>
  <si>
    <t xml:space="preserve">BLM issues rights-of-way for Green Chile Natural Gas Pipeline</t>
  </si>
  <si>
    <t xml:space="preserve">2026-05-06</t>
  </si>
  <si>
    <t xml:space="preserve">https://www.blm.gov/press-release/blm-issues-rights-way-green-chile-natural-gas-pipeline</t>
  </si>
  <si>
    <t xml:space="preserve">S.5</t>
  </si>
  <si>
    <t xml:space="preserve">Transwestern Pipeline Company; Notice of Availability of the EA for the Proposed Green Chile Project, docket CP26-80-000 (Federal Register 2026-18455, official GPO copy on govinfo)</t>
  </si>
  <si>
    <t xml:space="preserve">https://www.govinfo.gov/content/pkg/FR-2026-09-10/html/2026-18455.htm</t>
  </si>
  <si>
    <t xml:space="preserve">S.6</t>
  </si>
  <si>
    <t xml:space="preserve">Transwestern; Notice of Schedule for the EA for the Green Chile Project: EA Sep 4, 2026; 90-day federal authorization decision deadline Dec 3, 2026 (Federal Register 2026-15286, govinfo)</t>
  </si>
  <si>
    <t xml:space="preserve">https://www.govinfo.gov/content/pkg/FR-2026-07-29/html/2026-15286.htm</t>
  </si>
  <si>
    <t xml:space="preserve">S.7</t>
  </si>
  <si>
    <t xml:space="preserve">Energy Transfer's Green Chile Natural Gas Lateral Loses Fast Track, Delaying AI Fuel Supply (NGI) [not opened at the gate (405); not relied on]</t>
  </si>
  <si>
    <t xml:space="preserve">https://naturalgasintel.com/news/energy-transfers-green-chile-natural-gas-lateral-loses-fast-track-delaying-ai-fuel-supply/</t>
  </si>
  <si>
    <t xml:space="preserve">S.8</t>
  </si>
  <si>
    <t xml:space="preserve">Project Jupiter hearing examiner bows out: Max Shepherd recusal order dated Aug 22; Sep 14 hearing paused by the Supreme Court stay (Albuquerque Journal)</t>
  </si>
  <si>
    <t xml:space="preserve">2026-08-24</t>
  </si>
  <si>
    <t xml:space="preserve">https://www.abqjournal.com/news/project-jupiter-hearing-examiner-bows-out/3108469</t>
  </si>
  <si>
    <t xml:space="preserve">S.9</t>
  </si>
  <si>
    <t xml:space="preserve">New Mexico Supreme Court lifts stays on Project Jupiter; NMED must appoint a new hearing examiner (Albuquerque Journal)</t>
  </si>
  <si>
    <t xml:space="preserve">S.10</t>
  </si>
  <si>
    <t xml:space="preserve">Attorney general backs Project Jupiter court challenges (Organ Mountain News)</t>
  </si>
  <si>
    <t xml:space="preserve">https://www.organmountainnews.com/raul-torrez-project-jupiter-water-air-permitting-supreme-court-2026/</t>
  </si>
  <si>
    <t xml:space="preserve">S.11</t>
  </si>
  <si>
    <t xml:space="preserve">S.12</t>
  </si>
  <si>
    <t xml:space="preserve">Morgan Stanley says Bloom can withstand an Oracle project delay (TheStreet) [403 at the gate; unverified, not used by any figure]</t>
  </si>
  <si>
    <t xml:space="preserve">S.13</t>
  </si>
  <si>
    <t xml:space="preserve">S.14</t>
  </si>
  <si>
    <t xml:space="preserve">Bloom Energy Q3 2026 results (8-K Ex.99.1)</t>
  </si>
  <si>
    <t xml:space="preserve">2026-10-22</t>
  </si>
  <si>
    <t xml:space="preserve">https://www.sec.gov/Archives/edgar/data/1664703/000162828026066890/ex991_q326financialresults.htm</t>
  </si>
  <si>
    <t xml:space="preserve">S.15</t>
  </si>
  <si>
    <t xml:space="preserve">Bloom Energy Form 10-Q for the quarter ended Sep 30, 2026</t>
  </si>
  <si>
    <t xml:space="preserve">https://www.sec.gov/Archives/edgar/data/1664703/000162828026066931/be-20260930.htm</t>
  </si>
  <si>
    <t xml:space="preserve">S.16</t>
  </si>
  <si>
    <t xml:space="preserve">Bloom Energy Form 10-K for FY2025</t>
  </si>
  <si>
    <t xml:space="preserve">2026-02-09</t>
  </si>
  <si>
    <t xml:space="preserve">https://www.sec.gov/Archives/edgar/data/1664703/000162828026006516/be-20251231.htm</t>
  </si>
  <si>
    <t xml:space="preserve">S.17</t>
  </si>
  <si>
    <t xml:space="preserve">Bloom Energy Q4 2025 results and FY2026 outlook (8-K Ex.99.1)</t>
  </si>
  <si>
    <t xml:space="preserve">2026-02-05</t>
  </si>
  <si>
    <t xml:space="preserve">https://www.sec.gov/Archives/edgar/data/1664703/000162828026005798/ex991_q42025financialresul.htm</t>
  </si>
  <si>
    <t xml:space="preserve">S.18</t>
  </si>
  <si>
    <t xml:space="preserve">Bloom Energy Q1 2026 results (8-K Ex.99.1)</t>
  </si>
  <si>
    <t xml:space="preserve">2026-04-28</t>
  </si>
  <si>
    <t xml:space="preserve">https://www.sec.gov/Archives/edgar/data/1664703/000162828026027913/ex991_q126financialresults.htm</t>
  </si>
  <si>
    <t xml:space="preserve">S.19</t>
  </si>
  <si>
    <t xml:space="preserve">Bloom Energy Q4 2024 results and FY2025 outlook (8-K Ex.99.1)</t>
  </si>
  <si>
    <t xml:space="preserve">2025-02-27</t>
  </si>
  <si>
    <t xml:space="preserve">https://www.sec.gov/Archives/edgar/data/1664703/000162828025008626/ex991_q42024financialresul.htm</t>
  </si>
  <si>
    <t xml:space="preserve">S.20</t>
  </si>
  <si>
    <t xml:space="preserve">Bloom Energy Q4 2023 results and FY2024 outlook (8-K Ex.99.1)</t>
  </si>
  <si>
    <t xml:space="preserve">2024-02-15</t>
  </si>
  <si>
    <t xml:space="preserve">https://www.sec.gov/Archives/edgar/data/1664703/000162828024005031/ex991_q42023financialresul.htm</t>
  </si>
  <si>
    <t xml:space="preserve">S.21</t>
  </si>
  <si>
    <t xml:space="preserve">Bloom Energy Q4 2022 results and FY2023 outlook (8-K Ex.99.1)</t>
  </si>
  <si>
    <t xml:space="preserve">2023-02-09</t>
  </si>
  <si>
    <t xml:space="preserve">https://www.sec.gov/Archives/edgar/data/1664703/000162828023002960/ex991_q42022financialresul.htm</t>
  </si>
  <si>
    <t xml:space="preserve">S.22</t>
  </si>
  <si>
    <t xml:space="preserve">Bloom Energy Q4 2021 results and FY2022 outlook (8-K Ex.99.1)</t>
  </si>
  <si>
    <t xml:space="preserve">2022-02-10</t>
  </si>
  <si>
    <t xml:space="preserve">https://www.sec.gov/Archives/edgar/data/1664703/000166470322000015/ex991be4q2021financialre.htm</t>
  </si>
  <si>
    <t xml:space="preserve">S.23</t>
  </si>
  <si>
    <t xml:space="preserve">Peer table runs/2026-10-23/BE/peers.md (peers.py: SEC XBRL + Yahoo last close 2026-10-23)</t>
  </si>
  <si>
    <t xml:space="preserve">2026-10-26</t>
  </si>
  <si>
    <t xml:space="preserve">runs/2026-10-23/BE/peers.md</t>
  </si>
  <si>
    <t xml:space="preserve">S.24</t>
  </si>
  <si>
    <t xml:space="preserve">36Kr: Bloom Energy 2026 guidance implies ~1.14-1.25 GW of SOFC shipments (third-party estimate)</t>
  </si>
  <si>
    <t xml:space="preserve">https://eu.36kr.com/de/p/3917481569021574</t>
  </si>
  <si>
    <t xml:space="preserve">S.25</t>
  </si>
  <si>
    <t xml:space="preserve">Bloom Energy (BE) analyst forecast: 'Revenue Next Year 7.05B from 4.53B', 'EPS Next Year 5.31 from 3.26' (this year = FY2026; stockanalysis.com, last updated Oct 23, 2026)</t>
  </si>
  <si>
    <t xml:space="preserve">2026-10-23</t>
  </si>
  <si>
    <t xml:space="preserve">S.26</t>
  </si>
  <si>
    <t xml:space="preserve">Retired federal judge James Browning named hearing examiner for the Project Jupiter air permit; no opening date announced (Albuquerque Journal)</t>
  </si>
  <si>
    <t xml:space="preserve">2026-10-02</t>
  </si>
  <si>
    <t xml:space="preserve">https://www.abqjournal.com/news/retired-federal-judge-named-hearing-examiner-for-project-jupiter-permit/3133925</t>
  </si>
  <si>
    <t xml:space="preserve">S.27</t>
  </si>
  <si>
    <t xml:space="preserve">BE daily closes 2026-04-22 to 2026-10-23 (Twelve Data time series: close $288.70 on 2026-09-25, $163.75 on 2026-07-29, $193.30 on 2026-10-23)</t>
  </si>
  <si>
    <t xml:space="preserve">https://api.twelvedata.com/time_series?symbol=BE&amp;interval=1day&amp;start_date=2026-04-22&amp;end_date=2026-10-24</t>
  </si>
</sst>
</file>

<file path=xl/styles.xml><?xml version="1.0" encoding="utf-8"?>
<styleSheet xmlns="http://schemas.openxmlformats.org/spreadsheetml/2006/main">
  <numFmts count="6">
    <numFmt numFmtId="164" formatCode="General"/>
    <numFmt numFmtId="165" formatCode="\$#,##0.00;&quot;($&quot;#,##0.00\);\-"/>
    <numFmt numFmtId="166" formatCode="0.0%;\(0.0%\);\-"/>
    <numFmt numFmtId="167" formatCode="0"/>
    <numFmt numFmtId="168" formatCode="0.0000"/>
    <numFmt numFmtId="169" formatCode="0.000"/>
  </numFmts>
  <fonts count="14">
    <font>
      <sz val="11"/>
      <color theme="1"/>
      <name val="Calibri"/>
      <family val="2"/>
      <charset val="1"/>
    </font>
    <font>
      <sz val="10"/>
      <name val="Arial"/>
      <family val="0"/>
    </font>
    <font>
      <sz val="10"/>
      <name val="Arial"/>
      <family val="0"/>
    </font>
    <font>
      <sz val="10"/>
      <name val="Arial"/>
      <family val="0"/>
    </font>
    <font>
      <b val="true"/>
      <sz val="14"/>
      <color rgb="FF000000"/>
      <name val="Arial"/>
      <family val="0"/>
      <charset val="1"/>
    </font>
    <font>
      <sz val="10"/>
      <color rgb="FF6B6B6B"/>
      <name val="Arial"/>
      <family val="0"/>
      <charset val="1"/>
    </font>
    <font>
      <b val="true"/>
      <sz val="10"/>
      <color rgb="FF000000"/>
      <name val="Arial"/>
      <family val="0"/>
      <charset val="1"/>
    </font>
    <font>
      <sz val="10"/>
      <color rgb="FF000000"/>
      <name val="Arial"/>
      <family val="0"/>
      <charset val="1"/>
    </font>
    <font>
      <sz val="10"/>
      <color rgb="FF0000FF"/>
      <name val="Arial"/>
      <family val="0"/>
      <charset val="1"/>
    </font>
    <font>
      <sz val="10"/>
      <color rgb="FF008000"/>
      <name val="Arial"/>
      <family val="0"/>
      <charset val="1"/>
    </font>
    <font>
      <b val="true"/>
      <sz val="10"/>
      <color rgb="FF0000FF"/>
      <name val="Arial"/>
      <family val="0"/>
      <charset val="1"/>
    </font>
    <font>
      <u val="single"/>
      <sz val="10"/>
      <color rgb="FF0000FF"/>
      <name val="Arial"/>
      <family val="0"/>
      <charset val="1"/>
    </font>
    <font>
      <b val="true"/>
      <sz val="10"/>
      <color rgb="FFFFFFFF"/>
      <name val="Arial"/>
      <family val="0"/>
      <charset val="1"/>
    </font>
    <font>
      <b val="true"/>
      <sz val="12"/>
      <color rgb="FF000000"/>
      <name val="Arial"/>
      <family val="0"/>
      <charset val="1"/>
    </font>
  </fonts>
  <fills count="6">
    <fill>
      <patternFill patternType="none"/>
    </fill>
    <fill>
      <patternFill patternType="gray125"/>
    </fill>
    <fill>
      <patternFill patternType="solid">
        <fgColor rgb="FFE5E7EB"/>
        <bgColor rgb="FFEAF3EA"/>
      </patternFill>
    </fill>
    <fill>
      <patternFill patternType="solid">
        <fgColor rgb="FFFFFF00"/>
        <bgColor rgb="FFFFFF00"/>
      </patternFill>
    </fill>
    <fill>
      <patternFill patternType="solid">
        <fgColor rgb="FFEAF3EA"/>
        <bgColor rgb="FFE5E7EB"/>
      </patternFill>
    </fill>
    <fill>
      <patternFill patternType="solid">
        <fgColor rgb="FF1F2937"/>
        <bgColor rgb="FF333300"/>
      </patternFill>
    </fill>
  </fills>
  <borders count="2">
    <border diagonalUp="false" diagonalDown="false">
      <left/>
      <right/>
      <top/>
      <bottom/>
      <diagonal/>
    </border>
    <border diagonalUp="false" diagonalDown="false">
      <left/>
      <right/>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4" fontId="7" fillId="2"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5" fontId="8"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6" fontId="8" fillId="3" borderId="0" xfId="0" applyFont="true" applyBorder="false" applyAlignment="true" applyProtection="false">
      <alignment horizontal="general" vertical="top" textRotation="0" wrapText="false" indent="0" shrinkToFit="false"/>
      <protection locked="true" hidden="false"/>
    </xf>
    <xf numFmtId="165" fontId="8" fillId="3" borderId="0" xfId="0" applyFont="true" applyBorder="false" applyAlignment="true" applyProtection="false">
      <alignment horizontal="general" vertical="top" textRotation="0" wrapText="false" indent="0" shrinkToFit="false"/>
      <protection locked="true" hidden="false"/>
    </xf>
    <xf numFmtId="167" fontId="8" fillId="0" borderId="0" xfId="0" applyFont="true" applyBorder="false" applyAlignment="true" applyProtection="false">
      <alignment horizontal="general" vertical="top" textRotation="0" wrapText="false" indent="0" shrinkToFit="false"/>
      <protection locked="true" hidden="false"/>
    </xf>
    <xf numFmtId="168" fontId="8" fillId="0" borderId="0" xfId="0" applyFont="true" applyBorder="false" applyAlignment="true" applyProtection="false">
      <alignment horizontal="general" vertical="top" textRotation="0" wrapText="false" indent="0" shrinkToFit="false"/>
      <protection locked="true" hidden="false"/>
    </xf>
    <xf numFmtId="166" fontId="8" fillId="0" borderId="0" xfId="0" applyFont="true" applyBorder="false" applyAlignment="true" applyProtection="false">
      <alignment horizontal="general" vertical="top" textRotation="0" wrapText="false" indent="0" shrinkToFit="false"/>
      <protection locked="true" hidden="false"/>
    </xf>
    <xf numFmtId="165" fontId="9"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5" fontId="6" fillId="0" borderId="0" xfId="0" applyFont="true" applyBorder="false" applyAlignment="true" applyProtection="false">
      <alignment horizontal="general" vertical="top" textRotation="0" wrapText="false" indent="0" shrinkToFit="false"/>
      <protection locked="true" hidden="false"/>
    </xf>
    <xf numFmtId="165" fontId="7" fillId="0" borderId="0" xfId="0" applyFont="true" applyBorder="false" applyAlignment="true" applyProtection="false">
      <alignment horizontal="general" vertical="top" textRotation="0" wrapText="false" indent="0" shrinkToFit="false"/>
      <protection locked="true" hidden="false"/>
    </xf>
    <xf numFmtId="165" fontId="10" fillId="3" borderId="0" xfId="0" applyFont="true" applyBorder="false" applyAlignment="true" applyProtection="false">
      <alignment horizontal="general" vertical="top" textRotation="0" wrapText="false" indent="0" shrinkToFit="false"/>
      <protection locked="true" hidden="false"/>
    </xf>
    <xf numFmtId="166" fontId="7" fillId="0" borderId="0" xfId="0" applyFont="true" applyBorder="false" applyAlignment="true" applyProtection="false">
      <alignment horizontal="general" vertical="top" textRotation="0" wrapText="false" indent="0" shrinkToFit="false"/>
      <protection locked="true" hidden="false"/>
    </xf>
    <xf numFmtId="165" fontId="7" fillId="4" borderId="0" xfId="0" applyFont="true" applyBorder="false" applyAlignment="true" applyProtection="false">
      <alignment horizontal="general" vertical="top" textRotation="0" wrapText="false" indent="0" shrinkToFit="false"/>
      <protection locked="true" hidden="false"/>
    </xf>
    <xf numFmtId="165" fontId="6" fillId="4" borderId="0" xfId="0" applyFont="true" applyBorder="false" applyAlignment="true" applyProtection="false">
      <alignment horizontal="general" vertical="top" textRotation="0" wrapText="false" indent="0" shrinkToFit="false"/>
      <protection locked="true" hidden="false"/>
    </xf>
    <xf numFmtId="165" fontId="10" fillId="0" borderId="0" xfId="0" applyFont="true" applyBorder="fals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12" fillId="5" borderId="0" xfId="0" applyFont="true" applyBorder="false" applyAlignment="true" applyProtection="false">
      <alignment horizontal="general" vertical="top" textRotation="0" wrapText="true" indent="0" shrinkToFit="false"/>
      <protection locked="true" hidden="false"/>
    </xf>
    <xf numFmtId="169" fontId="7" fillId="0" borderId="0" xfId="0" applyFont="true" applyBorder="false" applyAlignment="true" applyProtection="false">
      <alignment horizontal="general" vertical="top" textRotation="0" wrapText="false" indent="0" shrinkToFit="false"/>
      <protection locked="true" hidden="false"/>
    </xf>
    <xf numFmtId="169" fontId="8" fillId="0" borderId="0" xfId="0" applyFont="true" applyBorder="false" applyAlignment="true" applyProtection="false">
      <alignment horizontal="general" vertical="top" textRotation="0" wrapText="false" indent="0" shrinkToFit="false"/>
      <protection locked="true" hidden="false"/>
    </xf>
    <xf numFmtId="167" fontId="7" fillId="0" borderId="0" xfId="0" applyFont="true" applyBorder="false" applyAlignment="true" applyProtection="false">
      <alignment horizontal="general" vertical="top" textRotation="0" wrapText="false" indent="0" shrinkToFit="false"/>
      <protection locked="true" hidden="false"/>
    </xf>
    <xf numFmtId="169" fontId="7" fillId="4"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5" fontId="6" fillId="4"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5" fontId="10"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top" textRotation="0" wrapText="false" indent="0" shrinkToFit="false"/>
      <protection locked="true" hidden="false"/>
    </xf>
    <xf numFmtId="164" fontId="12" fillId="5"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AF3EA"/>
      <rgbColor rgb="FFE5E7EB"/>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6B6B"/>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hyperlink" Target="https://www.sec.gov/Archives/edgar/data/1664703/000162828026050150/ex991_q226financialresults.htm" TargetMode="External"/><Relationship Id="rId2" Type="http://schemas.openxmlformats.org/officeDocument/2006/relationships/hyperlink" Target="https://www.sec.gov/Archives/edgar/data/0001664703/000162828026050247/be-20260630.htm" TargetMode="External"/><Relationship Id="rId3" Type="http://schemas.openxmlformats.org/officeDocument/2006/relationships/hyperlink" Target="https://investor.bloomenergy.com/press-releases/press-release-details/2025/Bloom-Energy-Corporation-Prices-Upsized-2-2-Billion-Convertible-Senior-Notes-Offering/default.aspx" TargetMode="External"/><Relationship Id="rId4" Type="http://schemas.openxmlformats.org/officeDocument/2006/relationships/hyperlink" Target="https://www.investing.com/news/transcripts/earnings-call-transcript-bloom-energy-tops-q2-2026-forecasts-shares-jump-after-hours-93CH-4818294" TargetMode="External"/><Relationship Id="rId5" Type="http://schemas.openxmlformats.org/officeDocument/2006/relationships/hyperlink" Target="https://techcrunch.com/2026/09/24/oracle-sends-force-majeure-notice-on-its-new-mexico-stargate-data-center/" TargetMode="External"/><Relationship Id="rId6" Type="http://schemas.openxmlformats.org/officeDocument/2006/relationships/hyperlink" Target="https://247wallst.com/investing/2026/09/25/bloom-energy-jumps-8-as-oracle-reaffirms-2-4-gw-fuel-cell-contract-after-force-majeure-notice/" TargetMode="External"/><Relationship Id="rId7" Type="http://schemas.openxmlformats.org/officeDocument/2006/relationships/hyperlink" Target="https://www.thestreet.com/investing/stocks/morgan-stanley-says-bloom-can-withstand-an-oracle-project-delay" TargetMode="External"/><Relationship Id="rId8" Type="http://schemas.openxmlformats.org/officeDocument/2006/relationships/hyperlink" Target="https://www.fool.com/investing/2026/09/24/a-delayed-pipeline-just-put-bloom-energy-s-role-in-a-usd165-billion-ai-project-in-question/" TargetMode="External"/><Relationship Id="rId9" Type="http://schemas.openxmlformats.org/officeDocument/2006/relationships/hyperlink" Target="https://www.benzinga.com/trading-ideas/movers/26/09/62000413/bloom-energy-stock-rebounds-whats-going-on" TargetMode="External"/><Relationship Id="rId10" Type="http://schemas.openxmlformats.org/officeDocument/2006/relationships/hyperlink" Target="https://www.businesswire.com/news/home/20260706169350/en/Bloom-Energy-to-Announce-Second-Quarter-2026-Financial-Results-on-July-28-2026" TargetMode="External"/><Relationship Id="rId11" Type="http://schemas.openxmlformats.org/officeDocument/2006/relationships/hyperlink" Target="https://247wallst.com/investing/2026/09/08/bloom-energy-is-fully-priced-is-a-re-rating-coming/" TargetMode="External"/><Relationship Id="rId12" Type="http://schemas.openxmlformats.org/officeDocument/2006/relationships/hyperlink" Target="https://stockanalysis.com/stocks/be/forecast/" TargetMode="External"/><Relationship Id="rId13" Type="http://schemas.openxmlformats.org/officeDocument/2006/relationships/hyperlink" Target="https://finance.yahoo.com/markets/stocks/articles/bloom-energy-stock-218-2026-145937459.html" TargetMode="External"/><Relationship Id="rId14" Type="http://schemas.openxmlformats.org/officeDocument/2006/relationships/hyperlink" Target="https://www.dandodiary.com/2026/08/articles/geopolitical-risk/geopolitical-issues-lead-to-securities-suit-against-fuel-cell-company/" TargetMode="External"/><Relationship Id="rId15" Type="http://schemas.openxmlformats.org/officeDocument/2006/relationships/hyperlink" Target="https://www.sec.gov/Archives/edgar/data/0001664703/000162828026047734/be-20260709.htm" TargetMode="External"/><Relationship Id="rId16" Type="http://schemas.openxmlformats.org/officeDocument/2006/relationships/hyperlink" Target="https://www.fool.com/investing/2026/09/19/bloom-energy-is-riding-the-data-center-boom-to-a-2/" TargetMode="External"/><Relationship Id="rId17" Type="http://schemas.openxmlformats.org/officeDocument/2006/relationships/hyperlink" Target="https://www.fool.com/coverage/filings/2026/09/24/bloom-energy-coo-chitoori-satish-sells-shares-for-usd775-072/" TargetMode="External"/><Relationship Id="rId18" Type="http://schemas.openxmlformats.org/officeDocument/2006/relationships/hyperlink" Target="https://www.sec.gov/Archives/edgar/data/0001664703/000162828026050150/ex991_q226financialresults.htm" TargetMode="External"/><Relationship Id="rId19" Type="http://schemas.openxmlformats.org/officeDocument/2006/relationships/hyperlink" Target="https://www.sec.gov/Archives/edgar/data/0001664703/000162828026050247/be-20260630.htm" TargetMode="External"/><Relationship Id="rId20" Type="http://schemas.openxmlformats.org/officeDocument/2006/relationships/hyperlink" Target="https://www.sec.gov/Archives/edgar/data/1664703/000162828025049016/pressreleasedatedoctober30.htm" TargetMode="External"/><Relationship Id="rId21" Type="http://schemas.openxmlformats.org/officeDocument/2006/relationships/hyperlink" Target="https://www.alphavantage.co/" TargetMode="External"/><Relationship Id="rId22" Type="http://schemas.openxmlformats.org/officeDocument/2006/relationships/hyperlink" Target="https://techcrunch.com/2026/09/24/oracle-sends-force-majeure-notice-on-its-new-mexico-stargate-data-center/" TargetMode="External"/><Relationship Id="rId23" Type="http://schemas.openxmlformats.org/officeDocument/2006/relationships/hyperlink" Target="https://www.gearlive.com/news/article/oracle-force-majeure-new-mexico-stargate-project-jupiter" TargetMode="External"/><Relationship Id="rId24" Type="http://schemas.openxmlformats.org/officeDocument/2006/relationships/hyperlink" Target="https://www.thestreet.com/investing/stocks/morgan-stanley-says-bloom-can-withstand-an-oracle-project-delay" TargetMode="External"/><Relationship Id="rId25" Type="http://schemas.openxmlformats.org/officeDocument/2006/relationships/hyperlink" Target="https://www.benzinga.com/trading-ideas/movers/26/09/62000413/bloom-energy-stock-rebounds-whats-going-on" TargetMode="External"/><Relationship Id="rId26" Type="http://schemas.openxmlformats.org/officeDocument/2006/relationships/hyperlink" Target="https://www.utilitydive.com/news/bloom-energy-says-its-on-track-for-2-gw-annual-production-capacity/804291/" TargetMode="External"/><Relationship Id="rId27" Type="http://schemas.openxmlformats.org/officeDocument/2006/relationships/hyperlink" Target="https://www.businesswire.com/news/home/20260728460825/en/Bloom-Energy-Reports-Record-Second-Quarter-2026-Financial-Results-and-Raises-Full-Year-2026-Guidance" TargetMode="External"/><Relationship Id="rId28" Type="http://schemas.openxmlformats.org/officeDocument/2006/relationships/hyperlink" Target="https://www.tikr.com/blog/bloom-energy-stock-is-up-218-in-2026-and-just-joined-the-sp-500-is-it-too-late-to-buy" TargetMode="External"/><Relationship Id="rId29" Type="http://schemas.openxmlformats.org/officeDocument/2006/relationships/hyperlink" Target="https://stockstotrade.com/news/bloom-energy-corporation-be-news-2026_09_24/" TargetMode="External"/><Relationship Id="rId30" Type="http://schemas.openxmlformats.org/officeDocument/2006/relationships/hyperlink" Target="https://www.businesswire.com/news/home/20260630023022/en/Brookfield-and-Bloom-Energy-Expand-AI-Infrastructure-Partnership-to-$25-Billion-Fivefold-Increase-to-Build-and-Finance-Rapid-Power-for-AI-Infrastructure" TargetMode="External"/><Relationship Id="rId31" Type="http://schemas.openxmlformats.org/officeDocument/2006/relationships/hyperlink" Target="https://www.sec.gov/Archives/edgar/data/1664703/000162828026050150/ex991_q226financialresults.htm" TargetMode="External"/><Relationship Id="rId32" Type="http://schemas.openxmlformats.org/officeDocument/2006/relationships/hyperlink" Target="https://www.sec.gov/Archives/edgar/data/0001664703/000162828026050247/be-20260630.htm" TargetMode="External"/><Relationship Id="rId33" Type="http://schemas.openxmlformats.org/officeDocument/2006/relationships/hyperlink" Target="https://investor.bloomenergy.com/press-releases/press-release-details/2025/Bloom-Energy-Corporation-Prices-Upsized-2-2-Billion-Convertible-Senior-Notes-Offering/default.aspx" TargetMode="External"/><Relationship Id="rId34" Type="http://schemas.openxmlformats.org/officeDocument/2006/relationships/hyperlink" Target="https://www.thestreet.com/investing/stocks/morgan-stanley-says-bloom-can-withstand-an-oracle-project-delay" TargetMode="External"/><Relationship Id="rId35" Type="http://schemas.openxmlformats.org/officeDocument/2006/relationships/hyperlink" Target="https://techcrunch.com/2026/09/24/oracle-sends-force-majeure-notice-on-its-new-mexico-stargate-data-center/" TargetMode="External"/><Relationship Id="rId36" Type="http://schemas.openxmlformats.org/officeDocument/2006/relationships/hyperlink" Target="https://sourcenm.com/2026/07/31/hearing-for-project-jupiter-data-centers-air-quality-permit-application-rescheduled-to-september/" TargetMode="External"/><Relationship Id="rId37" Type="http://schemas.openxmlformats.org/officeDocument/2006/relationships/hyperlink" Target="https://www.abqjournal.com/business/new-mexico-supreme-court-lifts-stays-on-project-jupiter-dealing-setback-to-opponents/3124024" TargetMode="External"/><Relationship Id="rId38" Type="http://schemas.openxmlformats.org/officeDocument/2006/relationships/hyperlink" Target="https://www.fool.com/investing/2026/09/24/a-delayed-pipeline-just-put-bloom-energy-s-role-in-a-usd165-billion-ai-project-in-question/" TargetMode="External"/><Relationship Id="rId39" Type="http://schemas.openxmlformats.org/officeDocument/2006/relationships/hyperlink" Target="https://www.benzinga.com/trading-ideas/movers/26/09/62000413/bloom-energy-stock-rebounds-whats-going-on" TargetMode="External"/><Relationship Id="rId40" Type="http://schemas.openxmlformats.org/officeDocument/2006/relationships/hyperlink" Target="https://247wallst.com/investing/2026/09/08/bloom-energy-is-fully-priced-is-a-re-rating-coming/" TargetMode="External"/><Relationship Id="rId41" Type="http://schemas.openxmlformats.org/officeDocument/2006/relationships/hyperlink" Target="https://stockanalysis.com/stocks/be/forecast/" TargetMode="External"/><Relationship Id="rId42" Type="http://schemas.openxmlformats.org/officeDocument/2006/relationships/hyperlink" Target="https://www.prnewswire.com/news-releases/levi--korsinsky-reminds-bloom-energy-investors-of-the-pending-class-action-lawsuit-with-a-lead-plaintiff-deadline-of-september-28-2026---be-302887157.html" TargetMode="External"/><Relationship Id="rId43" Type="http://schemas.openxmlformats.org/officeDocument/2006/relationships/hyperlink" Target="https://investor.bloomenergy.com/press-releases/press-release-details/2026/Bloom-Energy-and-Oracle-Expand-Strategic-Partnership-to-Deploy-up-to-2-8-GW-to-Accelerate-AI-Infrastructure-Build-Out/default.aspx" TargetMode="External"/><Relationship Id="rId44" Type="http://schemas.openxmlformats.org/officeDocument/2006/relationships/hyperlink" Target="https://www.investing.com/news/transcripts/earnings-call-transcript-bloom-energy-tops-q2-2026-forecasts-shares-jump-after-hours-93CH-4818294" TargetMode="External"/><Relationship Id="rId45" Type="http://schemas.openxmlformats.org/officeDocument/2006/relationships/hyperlink" Target="https://www.sec.gov/Archives/edgar/data/1664703/000162828026050150/ex991_q226financialresults.htm" TargetMode="External"/><Relationship Id="rId46" Type="http://schemas.openxmlformats.org/officeDocument/2006/relationships/hyperlink" Target="https://www.sec.gov/Archives/edgar/data/0001664703/000162828026050247/be-20260630.htm" TargetMode="External"/><Relationship Id="rId47" Type="http://schemas.openxmlformats.org/officeDocument/2006/relationships/hyperlink" Target="https://investor.bloomenergy.com/press-releases/press-release-details/2025/Bloom-Energy-Corporation-Prices-Upsized-2-2-Billion-Convertible-Senior-Notes-Offering/default.aspx" TargetMode="External"/><Relationship Id="rId48" Type="http://schemas.openxmlformats.org/officeDocument/2006/relationships/hyperlink" Target="https://finance.yahoo.com/markets/stocks/articles/bloom-energy-q2-earnings-call-000355411.html" TargetMode="External"/><Relationship Id="rId49" Type="http://schemas.openxmlformats.org/officeDocument/2006/relationships/hyperlink" Target="https://247wallst.com/investing/2026/09/08/bloom-energy-is-fully-priced-is-a-re-rating-coming/" TargetMode="External"/><Relationship Id="rId50" Type="http://schemas.openxmlformats.org/officeDocument/2006/relationships/hyperlink" Target="https://www.tikr.com/blog/bloom-energy-stock-is-up-218-in-2026-and-just-joined-the-sp-500-is-it-too-late-to-buy" TargetMode="External"/><Relationship Id="rId51" Type="http://schemas.openxmlformats.org/officeDocument/2006/relationships/hyperlink" Target="https://www.fool.com/investing/2026/09/24/bloom-energy-s-backlog-is-5-times-this-year-s-expected-revenue-here-s-how-fast-it-can-actually-build/" TargetMode="External"/><Relationship Id="rId52" Type="http://schemas.openxmlformats.org/officeDocument/2006/relationships/hyperlink" Target="https://www.fool.com/investing/2026/09/24/a-delayed-pipeline-just-put-bloom-energy-s-role-in-a-usd165-billion-ai-project-in-question/" TargetMode="External"/><Relationship Id="rId53" Type="http://schemas.openxmlformats.org/officeDocument/2006/relationships/hyperlink" Target="https://techcrunch.com/2026/09/24/oracle-sends-force-majeure-notice-on-its-new-mexico-stargate-data-center/" TargetMode="External"/><Relationship Id="rId54" Type="http://schemas.openxmlformats.org/officeDocument/2006/relationships/hyperlink" Target="https://elpasomatters.org/2026/09/24/project-jupiter-rent-force-majeure-new-mexico-oracle-ai-el-paso-data-center/" TargetMode="External"/><Relationship Id="rId55" Type="http://schemas.openxmlformats.org/officeDocument/2006/relationships/hyperlink" Target="https://247wallst.com/investing/2026/09/25/bloom-energy-jumps-8-as-oracle-reaffirms-2-4-gw-fuel-cell-contract-after-force-majeure-notice/" TargetMode="External"/><Relationship Id="rId56" Type="http://schemas.openxmlformats.org/officeDocument/2006/relationships/hyperlink" Target="https://x.com/Bloom_Energy/status/2103192271202213975" TargetMode="External"/><Relationship Id="rId57" Type="http://schemas.openxmlformats.org/officeDocument/2006/relationships/hyperlink" Target="https://www.thestreet.com/investing/stocks/morgan-stanley-says-bloom-can-withstand-an-oracle-project-delay" TargetMode="External"/><Relationship Id="rId58" Type="http://schemas.openxmlformats.org/officeDocument/2006/relationships/hyperlink" Target="https://www.abqjournal.com/business/new-mexico-supreme-court-lifts-stays-on-project-jupiter-dealing-setback-to-opponents/3124024" TargetMode="External"/><Relationship Id="rId59" Type="http://schemas.openxmlformats.org/officeDocument/2006/relationships/hyperlink" Target="https://www.datacenterdynamics.com/en/news/new-mexico-regulators-reject-natural-gas-pipeline-for-oracles-25gw-project-jupiter-data-center/" TargetMode="External"/><Relationship Id="rId60" Type="http://schemas.openxmlformats.org/officeDocument/2006/relationships/hyperlink" Target="https://investor.bloomenergy.com/press-releases/press-release-details/2026/Bloom-Energy-and-Oracle-Expand-Strategic-Partnership-to-Deploy-up-to-2-8-GW-to-Accelerate-AI-Infrastructure-Build-Out/default.aspx" TargetMode="External"/><Relationship Id="rId61" Type="http://schemas.openxmlformats.org/officeDocument/2006/relationships/hyperlink" Target="https://stockanalysis.com/stocks/be/forecast/" TargetMode="External"/><Relationship Id="rId62" Type="http://schemas.openxmlformats.org/officeDocument/2006/relationships/hyperlink" Target="https://www.tipranks.com/news/bloom-energy-be-faces-class-action-lawsuit-over-scandium-supply-disclosure-issues" TargetMode="External"/><Relationship Id="rId63" Type="http://schemas.openxmlformats.org/officeDocument/2006/relationships/hyperlink" Target="https://hntrbrk.com/investigations/bloom" TargetMode="External"/><Relationship Id="rId64" Type="http://schemas.openxmlformats.org/officeDocument/2006/relationships/hyperlink" Target="https://www.bloomberg.com/news/articles/2026-09-04/bloom-energy-illumina-everpure-to-join-s-p-500-in-september" TargetMode="External"/><Relationship Id="rId65" Type="http://schemas.openxmlformats.org/officeDocument/2006/relationships/hyperlink" Target="https://www.sec.gov/Archives/edgar/data/1664703/000162828026050150/ex991_q226financialresults.htm" TargetMode="External"/><Relationship Id="rId66" Type="http://schemas.openxmlformats.org/officeDocument/2006/relationships/hyperlink" Target="https://www.sec.gov/Archives/edgar/data/0001664703/000162828026050247/be-20260630.htm" TargetMode="External"/><Relationship Id="rId67" Type="http://schemas.openxmlformats.org/officeDocument/2006/relationships/hyperlink" Target="https://investor.bloomenergy.com/press-releases/press-release-details/2025/Bloom-Energy-Corporation-Prices-Upsized-2-2-Billion-Convertible-Senior-Notes-Offering/default.aspx" TargetMode="External"/><Relationship Id="rId68" Type="http://schemas.openxmlformats.org/officeDocument/2006/relationships/hyperlink" Target="https://www.businesswire.com/news/home/20260728460825/en/Bloom-Energy-Reports-Record-Second-Quarter-2026-Financial-Results-and-Raises-Full-Year-2026-Guidance" TargetMode="External"/><Relationship Id="rId69" Type="http://schemas.openxmlformats.org/officeDocument/2006/relationships/hyperlink" Target="https://www.alphavantage.co/" TargetMode="External"/><Relationship Id="rId70" Type="http://schemas.openxmlformats.org/officeDocument/2006/relationships/hyperlink" Target="https://techcrunch.com/2026/09/24/oracle-sends-force-majeure-notice-on-its-new-mexico-stargate-data-center/" TargetMode="External"/><Relationship Id="rId71" Type="http://schemas.openxmlformats.org/officeDocument/2006/relationships/hyperlink" Target="https://247wallst.com/investing/2026/09/25/bloom-energy-jumps-8-as-oracle-reaffirms-2-4-gw-fuel-cell-contract-after-force-majeure-notice/" TargetMode="External"/><Relationship Id="rId72" Type="http://schemas.openxmlformats.org/officeDocument/2006/relationships/hyperlink" Target="https://www.thestreet.com/investing/stocks/morgan-stanley-says-bloom-can-withstand-an-oracle-project-delay" TargetMode="External"/><Relationship Id="rId73" Type="http://schemas.openxmlformats.org/officeDocument/2006/relationships/hyperlink" Target="https://dailycaller.com/2026/09/25/oracle-project-jupiter-force-majeure-new-mexico-air-permit-stargate-chris-johnson/" TargetMode="External"/><Relationship Id="rId74" Type="http://schemas.openxmlformats.org/officeDocument/2006/relationships/hyperlink" Target="https://sourcenm.com/2026/09/17/new-mexico-supreme-court-rejects-2-project-jupiter-challenges-allows-permitting-process-to-resume/" TargetMode="External"/><Relationship Id="rId75" Type="http://schemas.openxmlformats.org/officeDocument/2006/relationships/hyperlink" Target="https://www.benzinga.com/trading-ideas/movers/26/09/62000413/bloom-energy-stock-rebounds-whats-going-on" TargetMode="External"/><Relationship Id="rId76" Type="http://schemas.openxmlformats.org/officeDocument/2006/relationships/hyperlink" Target="https://www.fool.com/investing/2026/09/24/a-delayed-pipeline-just-put-bloom-energy-s-role-in-a-usd165-billion-ai-project-in-question/" TargetMode="External"/><Relationship Id="rId77" Type="http://schemas.openxmlformats.org/officeDocument/2006/relationships/hyperlink" Target="https://247wallst.com/investing/2026/09/24/bloom-energys-single-largest-fuel-cell-deployment-is-in-trouble/" TargetMode="External"/><Relationship Id="rId78" Type="http://schemas.openxmlformats.org/officeDocument/2006/relationships/hyperlink" Target="https://www.utilitydive.com/news/bloom-energy-says-its-on-track-for-2-gw-annual-production-capacity/804291/" TargetMode="External"/><Relationship Id="rId79" Type="http://schemas.openxmlformats.org/officeDocument/2006/relationships/hyperlink" Target="https://www.rgrdlaw.com/cases-bloom-energy-corporation-class-action-lawsuit-be.html" TargetMode="External"/><Relationship Id="rId80" Type="http://schemas.openxmlformats.org/officeDocument/2006/relationships/hyperlink" Target="https://www.fool.com/investing/2026/09/10/bloom-energy-has-fallen-28-from-its-peak-and-may/" TargetMode="External"/><Relationship Id="rId81" Type="http://schemas.openxmlformats.org/officeDocument/2006/relationships/hyperlink" Target="https://pgjonline.com/news/2026/july/new-mexico-denies-reconsideration-of-project-jupiter-gas-pipeline" TargetMode="External"/><Relationship Id="rId82" Type="http://schemas.openxmlformats.org/officeDocument/2006/relationships/hyperlink" Target="https://www.nmstatelands.org/wp-content/uploads/2026/07/2026-07-14-Letter-re-Informal-Request-for-Reconsideration_Final.pdf" TargetMode="External"/><Relationship Id="rId83" Type="http://schemas.openxmlformats.org/officeDocument/2006/relationships/hyperlink" Target="https://sourcenm.com/2026/03/31/nm-state-land-commissioner-rejects-application-for-gas-pipeline-to-power-project-jupiter-data-center/" TargetMode="External"/><Relationship Id="rId84" Type="http://schemas.openxmlformats.org/officeDocument/2006/relationships/hyperlink" Target="https://www.blm.gov/press-release/blm-issues-rights-way-green-chile-natural-gas-pipeline" TargetMode="External"/><Relationship Id="rId85" Type="http://schemas.openxmlformats.org/officeDocument/2006/relationships/hyperlink" Target="https://www.govinfo.gov/content/pkg/FR-2026-09-10/html/2026-18455.htm" TargetMode="External"/><Relationship Id="rId86" Type="http://schemas.openxmlformats.org/officeDocument/2006/relationships/hyperlink" Target="https://www.govinfo.gov/content/pkg/FR-2026-07-29/html/2026-15286.htm" TargetMode="External"/><Relationship Id="rId87" Type="http://schemas.openxmlformats.org/officeDocument/2006/relationships/hyperlink" Target="https://naturalgasintel.com/news/energy-transfers-green-chile-natural-gas-lateral-loses-fast-track-delaying-ai-fuel-supply/" TargetMode="External"/><Relationship Id="rId88" Type="http://schemas.openxmlformats.org/officeDocument/2006/relationships/hyperlink" Target="https://www.abqjournal.com/news/project-jupiter-hearing-examiner-bows-out/3108469" TargetMode="External"/><Relationship Id="rId89" Type="http://schemas.openxmlformats.org/officeDocument/2006/relationships/hyperlink" Target="https://www.abqjournal.com/business/new-mexico-supreme-court-lifts-stays-on-project-jupiter-dealing-setback-to-opponents/3124024" TargetMode="External"/><Relationship Id="rId90" Type="http://schemas.openxmlformats.org/officeDocument/2006/relationships/hyperlink" Target="https://www.organmountainnews.com/raul-torrez-project-jupiter-water-air-permitting-supreme-court-2026/" TargetMode="External"/><Relationship Id="rId91" Type="http://schemas.openxmlformats.org/officeDocument/2006/relationships/hyperlink" Target="https://techcrunch.com/2026/09/24/oracle-sends-force-majeure-notice-on-its-new-mexico-stargate-data-center/" TargetMode="External"/><Relationship Id="rId92" Type="http://schemas.openxmlformats.org/officeDocument/2006/relationships/hyperlink" Target="https://www.thestreet.com/investing/stocks/morgan-stanley-says-bloom-can-withstand-an-oracle-project-delay" TargetMode="External"/><Relationship Id="rId93" Type="http://schemas.openxmlformats.org/officeDocument/2006/relationships/hyperlink" Target="https://www.sec.gov/Archives/edgar/data/1664703/000162828026050150/ex991_q226financialresults.htm" TargetMode="External"/><Relationship Id="rId94" Type="http://schemas.openxmlformats.org/officeDocument/2006/relationships/hyperlink" Target="https://www.sec.gov/Archives/edgar/data/1664703/000162828026066890/ex991_q326financialresults.htm" TargetMode="External"/><Relationship Id="rId95" Type="http://schemas.openxmlformats.org/officeDocument/2006/relationships/hyperlink" Target="https://www.sec.gov/Archives/edgar/data/1664703/000162828026066931/be-20260930.htm" TargetMode="External"/><Relationship Id="rId96" Type="http://schemas.openxmlformats.org/officeDocument/2006/relationships/hyperlink" Target="https://www.sec.gov/Archives/edgar/data/1664703/000162828026006516/be-20251231.htm" TargetMode="External"/><Relationship Id="rId97" Type="http://schemas.openxmlformats.org/officeDocument/2006/relationships/hyperlink" Target="https://www.sec.gov/Archives/edgar/data/1664703/000162828026005798/ex991_q42025financialresul.htm" TargetMode="External"/><Relationship Id="rId98" Type="http://schemas.openxmlformats.org/officeDocument/2006/relationships/hyperlink" Target="https://www.sec.gov/Archives/edgar/data/1664703/000162828026027913/ex991_q126financialresults.htm" TargetMode="External"/><Relationship Id="rId99" Type="http://schemas.openxmlformats.org/officeDocument/2006/relationships/hyperlink" Target="https://www.sec.gov/Archives/edgar/data/1664703/000162828025008626/ex991_q42024financialresul.htm" TargetMode="External"/><Relationship Id="rId100" Type="http://schemas.openxmlformats.org/officeDocument/2006/relationships/hyperlink" Target="https://www.sec.gov/Archives/edgar/data/1664703/000162828024005031/ex991_q42023financialresul.htm" TargetMode="External"/><Relationship Id="rId101" Type="http://schemas.openxmlformats.org/officeDocument/2006/relationships/hyperlink" Target="https://www.sec.gov/Archives/edgar/data/1664703/000162828023002960/ex991_q42022financialresul.htm" TargetMode="External"/><Relationship Id="rId102" Type="http://schemas.openxmlformats.org/officeDocument/2006/relationships/hyperlink" Target="https://www.sec.gov/Archives/edgar/data/1664703/000166470322000015/ex991be4q2021financialre.htm" TargetMode="External"/><Relationship Id="rId103" Type="http://schemas.openxmlformats.org/officeDocument/2006/relationships/hyperlink" Target="https://eu.36kr.com/de/p/3917481569021574" TargetMode="External"/><Relationship Id="rId104" Type="http://schemas.openxmlformats.org/officeDocument/2006/relationships/hyperlink" Target="https://stockanalysis.com/stocks/be/forecast/" TargetMode="External"/><Relationship Id="rId105" Type="http://schemas.openxmlformats.org/officeDocument/2006/relationships/hyperlink" Target="https://www.abqjournal.com/news/retired-federal-judge-named-hearing-examiner-for-project-jupiter-permit/3133925" TargetMode="External"/><Relationship Id="rId106" Type="http://schemas.openxmlformats.org/officeDocument/2006/relationships/hyperlink" Target="https://api.twelvedata.com/time_series?symbol=BE&amp;interval=1day&amp;start_date=2026-04-22&amp;end_date=2026-10-24"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3" min="2" style="0" width="16"/>
    <col collapsed="false" customWidth="true" hidden="false" outlineLevel="0" max="4" min="4" style="0" width="7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4"/>
      <c r="D4" s="3" t="s">
        <v>4</v>
      </c>
    </row>
    <row r="5" customFormat="false" ht="15" hidden="false" customHeight="false" outlineLevel="0" collapsed="false">
      <c r="A5" s="5" t="s">
        <v>5</v>
      </c>
      <c r="B5" s="6" t="n">
        <v>203.17</v>
      </c>
      <c r="D5" s="7" t="s">
        <v>6</v>
      </c>
    </row>
    <row r="6" customFormat="false" ht="15" hidden="false" customHeight="false" outlineLevel="0" collapsed="false">
      <c r="A6" s="5" t="s">
        <v>7</v>
      </c>
      <c r="B6" s="8" t="n">
        <v>0.67</v>
      </c>
      <c r="D6" s="7" t="s">
        <v>8</v>
      </c>
    </row>
    <row r="7" customFormat="false" ht="15" hidden="false" customHeight="false" outlineLevel="0" collapsed="false">
      <c r="A7" s="5" t="s">
        <v>9</v>
      </c>
      <c r="B7" s="8" t="n">
        <v>0.33</v>
      </c>
      <c r="D7" s="7" t="s">
        <v>10</v>
      </c>
    </row>
    <row r="8" customFormat="false" ht="23.85" hidden="false" customHeight="false" outlineLevel="0" collapsed="false">
      <c r="A8" s="5" t="s">
        <v>11</v>
      </c>
      <c r="B8" s="8" t="n">
        <v>0</v>
      </c>
      <c r="D8" s="7" t="s">
        <v>12</v>
      </c>
    </row>
    <row r="9" customFormat="false" ht="15" hidden="false" customHeight="false" outlineLevel="0" collapsed="false">
      <c r="A9" s="5" t="s">
        <v>13</v>
      </c>
      <c r="B9" s="9" t="n">
        <v>290.61</v>
      </c>
      <c r="D9" s="7" t="s">
        <v>14</v>
      </c>
    </row>
    <row r="10" customFormat="false" ht="15" hidden="false" customHeight="false" outlineLevel="0" collapsed="false">
      <c r="A10" s="5" t="s">
        <v>15</v>
      </c>
      <c r="B10" s="10" t="n">
        <v>0</v>
      </c>
      <c r="D10" s="7" t="s">
        <v>16</v>
      </c>
    </row>
    <row r="11" customFormat="false" ht="23.85" hidden="false" customHeight="false" outlineLevel="0" collapsed="false">
      <c r="A11" s="5" t="s">
        <v>17</v>
      </c>
      <c r="B11" s="11" t="n">
        <v>0</v>
      </c>
      <c r="D11" s="7" t="s">
        <v>18</v>
      </c>
    </row>
    <row r="12" customFormat="false" ht="15" hidden="false" customHeight="false" outlineLevel="0" collapsed="false">
      <c r="A12" s="5" t="s">
        <v>19</v>
      </c>
      <c r="B12" s="6" t="n">
        <v>150</v>
      </c>
      <c r="D12" s="7" t="s">
        <v>20</v>
      </c>
    </row>
    <row r="13" customFormat="false" ht="15" hidden="false" customHeight="false" outlineLevel="0" collapsed="false">
      <c r="A13" s="5" t="s">
        <v>21</v>
      </c>
      <c r="B13" s="12" t="n">
        <v>0.8001</v>
      </c>
      <c r="D13" s="7" t="s">
        <v>22</v>
      </c>
    </row>
    <row r="15" customFormat="false" ht="23.85" hidden="false" customHeight="false" outlineLevel="0" collapsed="false">
      <c r="A15" s="5" t="s">
        <v>23</v>
      </c>
      <c r="B15" s="13" t="n">
        <f aca="false">EXP(INDEX(Distribution!$B$6:$B$20,MIN(MAX(IFERROR(MATCH(0.5,Distribution!$C$6:$C$20,-1),1),1),14))+(LN(MIN(MAX(0.5,0.0001),0.9999)/(1-MIN(MAX(0.5,0.0001),0.9999)))-INDEX(Distribution!$P$6:$P$20,MIN(MAX(IFERROR(MATCH(0.5,Distribution!$C$6:$C$20,-1),1),1),14)))/(INDEX(Distribution!$P$6:$P$20,MIN(MAX(IFERROR(MATCH(0.5,Distribution!$C$6:$C$20,-1),1),1),14)+1)-INDEX(Distribution!$P$6:$P$20,MIN(MAX(IFERROR(MATCH(0.5,Distribution!$C$6:$C$20,-1),1),1),14)))*(INDEX(Distribution!$B$6:$B$20,MIN(MAX(IFERROR(MATCH(0.5,Distribution!$C$6:$C$20,-1),1),1),14)+1)-INDEX(Distribution!$B$6:$B$20,MIN(MAX(IFERROR(MATCH(0.5,Distribution!$C$6:$C$20,-1),1),1),14))))</f>
        <v>169.390602704321</v>
      </c>
      <c r="D15" s="7" t="s">
        <v>24</v>
      </c>
    </row>
    <row r="17" customFormat="false" ht="15" hidden="false" customHeight="false" outlineLevel="0" collapsed="false">
      <c r="A17" s="3" t="s">
        <v>25</v>
      </c>
      <c r="B17" s="3" t="s">
        <v>26</v>
      </c>
      <c r="C17" s="3" t="s">
        <v>27</v>
      </c>
      <c r="D17" s="3" t="s">
        <v>28</v>
      </c>
    </row>
    <row r="18" customFormat="false" ht="15" hidden="false" customHeight="false" outlineLevel="0" collapsed="false">
      <c r="A18" s="5" t="s">
        <v>29</v>
      </c>
      <c r="B18" s="13" t="n">
        <f aca="false">Methods!C8</f>
        <v>238.85</v>
      </c>
      <c r="C18" s="13" t="n">
        <f aca="false">Methods!E8</f>
        <v>239</v>
      </c>
    </row>
    <row r="19" customFormat="false" ht="15" hidden="false" customHeight="false" outlineLevel="0" collapsed="false">
      <c r="A19" s="5" t="s">
        <v>30</v>
      </c>
      <c r="B19" s="13" t="n">
        <f aca="false">Methods!C13</f>
        <v>240.5</v>
      </c>
      <c r="C19" s="13" t="n">
        <f aca="false">Methods!E13</f>
        <v>240</v>
      </c>
    </row>
    <row r="20" customFormat="false" ht="15" hidden="false" customHeight="false" outlineLevel="0" collapsed="false">
      <c r="A20" s="5" t="s">
        <v>31</v>
      </c>
      <c r="B20" s="13" t="n">
        <f aca="false">Methods!C18</f>
        <v>222</v>
      </c>
      <c r="C20" s="13" t="n">
        <f aca="false">Methods!E18</f>
        <v>222</v>
      </c>
    </row>
    <row r="21" customFormat="false" ht="15" hidden="false" customHeight="false" outlineLevel="0" collapsed="false">
      <c r="A21" s="5" t="s">
        <v>32</v>
      </c>
      <c r="B21" s="13" t="n">
        <f aca="false">Methods!C23</f>
        <v>226.75</v>
      </c>
      <c r="C21" s="13" t="n">
        <f aca="false">Methods!E23</f>
        <v>227</v>
      </c>
    </row>
    <row r="22" customFormat="false" ht="15" hidden="false" customHeight="false" outlineLevel="0" collapsed="false">
      <c r="A22" s="5" t="s">
        <v>33</v>
      </c>
      <c r="B22" s="13" t="n">
        <f aca="false">Methods!C28</f>
        <v>245</v>
      </c>
      <c r="C22" s="13" t="n">
        <f aca="false">Methods!E28</f>
        <v>245</v>
      </c>
    </row>
    <row r="23" customFormat="false" ht="15" hidden="false" customHeight="false" outlineLevel="0" collapsed="false">
      <c r="A23" s="14" t="s">
        <v>34</v>
      </c>
      <c r="B23" s="15" t="n">
        <f aca="false">AVERAGE(B18:B22)</f>
        <v>234.62</v>
      </c>
      <c r="C23" s="15" t="n">
        <f aca="false">AVERAGE(C18:C22)</f>
        <v>234.6</v>
      </c>
    </row>
    <row r="24" customFormat="false" ht="15" hidden="false" customHeight="false" outlineLevel="0" collapsed="false">
      <c r="A24" s="5" t="s">
        <v>35</v>
      </c>
      <c r="B24" s="16" t="n">
        <f aca="false">MEDIAN(B18:B22)</f>
        <v>238.85</v>
      </c>
      <c r="C24" s="16" t="n">
        <f aca="false">MEDIAN(C18:C22)</f>
        <v>239</v>
      </c>
    </row>
    <row r="25" customFormat="false" ht="158.2" hidden="false" customHeight="false" outlineLevel="0" collapsed="false">
      <c r="A25" s="14" t="s">
        <v>36</v>
      </c>
      <c r="C25" s="17" t="n">
        <v>185.84</v>
      </c>
      <c r="D25" s="7" t="s">
        <v>37</v>
      </c>
    </row>
    <row r="26" customFormat="false" ht="15" hidden="false" customHeight="false" outlineLevel="0" collapsed="false">
      <c r="A26" s="5" t="s">
        <v>38</v>
      </c>
      <c r="C26" s="18" t="n">
        <f aca="false">C25/Spot-1</f>
        <v>-0.0852980262834079</v>
      </c>
    </row>
    <row r="28" customFormat="false" ht="15" hidden="false" customHeight="false" outlineLevel="0" collapsed="false">
      <c r="A28" s="3" t="s">
        <v>39</v>
      </c>
      <c r="B28" s="3" t="s">
        <v>40</v>
      </c>
      <c r="C28" s="3" t="s">
        <v>41</v>
      </c>
      <c r="D28" s="3" t="s">
        <v>42</v>
      </c>
    </row>
    <row r="29" customFormat="false" ht="15" hidden="false" customHeight="false" outlineLevel="0" collapsed="false">
      <c r="A29" s="5" t="s">
        <v>43</v>
      </c>
      <c r="B29" s="19" t="n">
        <f aca="false">EXP(INDEX(Distribution!$B$6:$B$20,MIN(MAX(IFERROR(MATCH(0.5,Distribution!$U$6:$U$20,-1),1),1),14))+(LN(MIN(MAX(0.5,0.0001),0.9999)/(1-MIN(MAX(0.5,0.0001),0.9999)))-INDEX(Distribution!$V$6:$V$20,MIN(MAX(IFERROR(MATCH(0.5,Distribution!$U$6:$U$20,-1),1),1),14)))/(INDEX(Distribution!$V$6:$V$20,MIN(MAX(IFERROR(MATCH(0.5,Distribution!$U$6:$U$20,-1),1),1),14)+1)-INDEX(Distribution!$V$6:$V$20,MIN(MAX(IFERROR(MATCH(0.5,Distribution!$U$6:$U$20,-1),1),1),14)))*(INDEX(Distribution!$B$6:$B$20,MIN(MAX(IFERROR(MATCH(0.5,Distribution!$U$6:$U$20,-1),1),1),14)+1)-INDEX(Distribution!$B$6:$B$20,MIN(MAX(IFERROR(MATCH(0.5,Distribution!$U$6:$U$20,-1),1),1),14))))</f>
        <v>201.199980734044</v>
      </c>
      <c r="C29" s="6" t="n">
        <v>173.2268</v>
      </c>
      <c r="D29" s="7" t="s">
        <v>44</v>
      </c>
    </row>
    <row r="30" customFormat="false" ht="15" hidden="false" customHeight="false" outlineLevel="0" collapsed="false">
      <c r="A30" s="5" t="s">
        <v>45</v>
      </c>
      <c r="B30" s="19" t="n">
        <f aca="false">EXP(INDEX(Distribution!$B$6:$B$20,MIN(MAX(IFERROR(MATCH(0.25,Distribution!$U$6:$U$20,-1),1),1),14))+(LN(MIN(MAX(0.25,0.0001),0.9999)/(1-MIN(MAX(0.25,0.0001),0.9999)))-INDEX(Distribution!$V$6:$V$20,MIN(MAX(IFERROR(MATCH(0.25,Distribution!$U$6:$U$20,-1),1),1),14)))/(INDEX(Distribution!$V$6:$V$20,MIN(MAX(IFERROR(MATCH(0.25,Distribution!$U$6:$U$20,-1),1),1),14)+1)-INDEX(Distribution!$V$6:$V$20,MIN(MAX(IFERROR(MATCH(0.25,Distribution!$U$6:$U$20,-1),1),1),14)))*(INDEX(Distribution!$B$6:$B$20,MIN(MAX(IFERROR(MATCH(0.25,Distribution!$U$6:$U$20,-1),1),1),14)+1)-INDEX(Distribution!$B$6:$B$20,MIN(MAX(IFERROR(MATCH(0.25,Distribution!$U$6:$U$20,-1),1),1),14))))</f>
        <v>341.878234856984</v>
      </c>
      <c r="C30" s="6" t="n">
        <v>262.0704</v>
      </c>
      <c r="D30" s="7" t="s">
        <v>46</v>
      </c>
    </row>
    <row r="31" customFormat="false" ht="15" hidden="false" customHeight="false" outlineLevel="0" collapsed="false">
      <c r="A31" s="5" t="s">
        <v>47</v>
      </c>
      <c r="B31" s="19" t="n">
        <f aca="false">EXP(INDEX(Distribution!$B$6:$B$20,MIN(MAX(IFERROR(MATCH(0.85,Distribution!$U$6:$U$20,-1),1),1),14))+(LN(MIN(MAX(0.85,0.0001),0.9999)/(1-MIN(MAX(0.85,0.0001),0.9999)))-INDEX(Distribution!$V$6:$V$20,MIN(MAX(IFERROR(MATCH(0.85,Distribution!$U$6:$U$20,-1),1),1),14)))/(INDEX(Distribution!$V$6:$V$20,MIN(MAX(IFERROR(MATCH(0.85,Distribution!$U$6:$U$20,-1),1),1),14)+1)-INDEX(Distribution!$V$6:$V$20,MIN(MAX(IFERROR(MATCH(0.85,Distribution!$U$6:$U$20,-1),1),1),14)))*(INDEX(Distribution!$B$6:$B$20,MIN(MAX(IFERROR(MATCH(0.85,Distribution!$U$6:$U$20,-1),1),1),14)+1)-INDEX(Distribution!$B$6:$B$20,MIN(MAX(IFERROR(MATCH(0.85,Distribution!$U$6:$U$20,-1),1),1),14))))</f>
        <v>84.7733801850582</v>
      </c>
      <c r="C31" s="6" t="n">
        <v>81.7465</v>
      </c>
      <c r="D31" s="7" t="s">
        <v>48</v>
      </c>
    </row>
    <row r="32" customFormat="false" ht="15" hidden="false" customHeight="false" outlineLevel="0" collapsed="false">
      <c r="A32" s="5" t="s">
        <v>49</v>
      </c>
      <c r="B32" s="16" t="n">
        <f aca="false">Spot*EXP(-2*IV30*SQRT(21/252))</f>
        <v>128.009581505641</v>
      </c>
      <c r="D32" s="7" t="s">
        <v>50</v>
      </c>
    </row>
    <row r="33" customFormat="false" ht="23.85" hidden="false" customHeight="false" outlineLevel="0" collapsed="false">
      <c r="A33" s="14" t="s">
        <v>51</v>
      </c>
      <c r="B33" s="20" t="n">
        <f aca="false">MIN(IF(AND(Thesis_Break&gt;0,Thesis_Break&lt;Spot),MAX(B31,Thesis_Break),B31),B32)</f>
        <v>128.009581505641</v>
      </c>
      <c r="C33" s="21" t="n">
        <v>128.0096</v>
      </c>
      <c r="D33" s="7" t="s">
        <v>52</v>
      </c>
    </row>
    <row r="34" customFormat="false" ht="15" hidden="false" customHeight="false" outlineLevel="0" collapsed="false">
      <c r="A34" s="5" t="s">
        <v>53</v>
      </c>
      <c r="B34" s="18" t="n">
        <f aca="false">B29/Spot-1</f>
        <v>-0.00969640825887796</v>
      </c>
      <c r="C34" s="18" t="n">
        <f aca="false">C29/Spot-1</f>
        <v>-0.147380026578727</v>
      </c>
    </row>
    <row r="35" customFormat="false" ht="15" hidden="false" customHeight="false" outlineLevel="0" collapsed="false">
      <c r="A35" s="5" t="s">
        <v>54</v>
      </c>
      <c r="C35" s="12" t="n">
        <v>0.3984</v>
      </c>
    </row>
    <row r="36" customFormat="false" ht="23.85" hidden="false" customHeight="false" outlineLevel="0" collapsed="false">
      <c r="A36" s="5" t="s">
        <v>55</v>
      </c>
      <c r="C36" s="6" t="n">
        <v>224.3119</v>
      </c>
      <c r="D36" s="7" t="s">
        <v>56</v>
      </c>
    </row>
    <row r="38" customFormat="false" ht="15" hidden="false" customHeight="false" outlineLevel="0" collapsed="false">
      <c r="A38" s="3" t="s">
        <v>57</v>
      </c>
      <c r="B38" s="4"/>
      <c r="C38" s="4"/>
      <c r="D38" s="4"/>
    </row>
    <row r="39" customFormat="false" ht="15" hidden="false" customHeight="false" outlineLevel="0" collapsed="false">
      <c r="A39" s="22" t="s">
        <v>58</v>
      </c>
      <c r="D39" s="2" t="s">
        <v>59</v>
      </c>
    </row>
    <row r="40" customFormat="false" ht="15" hidden="false" customHeight="false" outlineLevel="0" collapsed="false">
      <c r="A40" s="22" t="s">
        <v>60</v>
      </c>
      <c r="D40" s="2" t="s">
        <v>61</v>
      </c>
    </row>
    <row r="41" customFormat="false" ht="15" hidden="false" customHeight="false" outlineLevel="0" collapsed="false">
      <c r="A41" s="22" t="s">
        <v>62</v>
      </c>
      <c r="D41" s="2" t="s">
        <v>63</v>
      </c>
    </row>
    <row r="42" customFormat="false" ht="15" hidden="false" customHeight="false" outlineLevel="0" collapsed="false">
      <c r="A42" s="22" t="s">
        <v>64</v>
      </c>
      <c r="D42" s="2" t="s">
        <v>65</v>
      </c>
    </row>
    <row r="43" customFormat="false" ht="15" hidden="false" customHeight="false" outlineLevel="0" collapsed="false">
      <c r="A43" s="22" t="s">
        <v>66</v>
      </c>
      <c r="D43" s="2" t="s">
        <v>67</v>
      </c>
    </row>
    <row r="44" customFormat="false" ht="15" hidden="false" customHeight="false" outlineLevel="0" collapsed="false">
      <c r="A44" s="22" t="s">
        <v>68</v>
      </c>
      <c r="D44" s="2" t="s">
        <v>69</v>
      </c>
    </row>
    <row r="45" customFormat="false" ht="15" hidden="false" customHeight="false" outlineLevel="0" collapsed="false">
      <c r="A45" s="22" t="s">
        <v>70</v>
      </c>
      <c r="D45" s="2" t="s">
        <v>71</v>
      </c>
    </row>
  </sheetData>
  <hyperlinks>
    <hyperlink ref="A39" location="'Assumptions'!A1" display="Assumptions"/>
    <hyperlink ref="A40" location="'Methods'!A1" display="Methods"/>
    <hyperlink ref="A41" location="'Scenarios'!A1" display="Scenarios"/>
    <hyperlink ref="A42" location="'Distribution'!A1" display="Distribution"/>
    <hyperlink ref="A43" location="'Reasoning'!A1" display="Reasoning"/>
    <hyperlink ref="A44" location="'Supervisor'!A1" display="Supervisor"/>
    <hyperlink ref="A45" location="'Sources'!A1" display="Sourc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3"/>
    <col collapsed="false" customWidth="true" hidden="false" outlineLevel="0" max="4" min="4" style="0" width="85"/>
    <col collapsed="false" customWidth="true" hidden="false" outlineLevel="0" max="7" min="5" style="0" width="28"/>
    <col collapsed="false" customWidth="true" hidden="false" outlineLevel="0" max="8" min="8" style="0" width="14"/>
    <col collapsed="false" customWidth="true" hidden="false" outlineLevel="0" max="10" min="9" style="0" width="12"/>
    <col collapsed="false" customWidth="true" hidden="false" outlineLevel="0" max="11" min="11" style="0" width="22"/>
  </cols>
  <sheetData>
    <row r="1" customFormat="false" ht="17.35" hidden="false" customHeight="false" outlineLevel="0" collapsed="false">
      <c r="A1" s="1" t="s">
        <v>72</v>
      </c>
    </row>
    <row r="2" customFormat="false" ht="15" hidden="false" customHeight="false" outlineLevel="0" collapsed="false">
      <c r="A2" s="2" t="s">
        <v>73</v>
      </c>
    </row>
    <row r="4" customFormat="false" ht="15" hidden="false" customHeight="false" outlineLevel="0" collapsed="false">
      <c r="A4" s="23" t="s">
        <v>74</v>
      </c>
      <c r="B4" s="23" t="s">
        <v>75</v>
      </c>
      <c r="C4" s="23" t="s">
        <v>3</v>
      </c>
      <c r="D4" s="23" t="s">
        <v>66</v>
      </c>
      <c r="E4" s="23" t="s">
        <v>76</v>
      </c>
      <c r="F4" s="23" t="s">
        <v>77</v>
      </c>
      <c r="G4" s="23" t="s">
        <v>78</v>
      </c>
      <c r="H4" s="23" t="s">
        <v>79</v>
      </c>
      <c r="I4" s="23" t="s">
        <v>80</v>
      </c>
      <c r="J4" s="23" t="s">
        <v>81</v>
      </c>
      <c r="K4" s="23" t="s">
        <v>82</v>
      </c>
    </row>
    <row r="5" customFormat="false" ht="15" hidden="false" customHeight="false" outlineLevel="0" collapsed="false">
      <c r="A5" s="2" t="s">
        <v>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8"/>
    <col collapsed="false" customWidth="true" hidden="false" outlineLevel="0" max="3" min="3" style="0" width="11"/>
    <col collapsed="false" customWidth="true" hidden="false" outlineLevel="0" max="8" min="4" style="0" width="10"/>
    <col collapsed="false" customWidth="true" hidden="false" outlineLevel="0" max="11" min="9" style="0" width="11"/>
    <col collapsed="false" customWidth="true" hidden="false" outlineLevel="0" max="12" min="12" style="0" width="9"/>
    <col collapsed="false" customWidth="true" hidden="false" outlineLevel="0" max="13" min="13" style="0" width="10"/>
    <col collapsed="false" customWidth="true" hidden="false" outlineLevel="0" max="14" min="14" style="0" width="6"/>
    <col collapsed="false" customWidth="true" hidden="false" outlineLevel="0" max="15" min="15" style="0" width="12"/>
    <col collapsed="false" customWidth="true" hidden="false" outlineLevel="0" max="16" min="16" style="0" width="9"/>
    <col collapsed="false" customWidth="true" hidden="false" outlineLevel="0" max="17" min="17" style="0" width="10"/>
    <col collapsed="false" customWidth="true" hidden="false" outlineLevel="0" max="18" min="18" style="0" width="6"/>
    <col collapsed="false" customWidth="true" hidden="false" outlineLevel="0" max="21" min="19" style="0" width="11"/>
    <col collapsed="false" customWidth="true" hidden="false" outlineLevel="0" max="22" min="22" style="0" width="9"/>
    <col collapsed="false" customWidth="true" hidden="false" outlineLevel="0" max="23" min="23" style="0" width="12"/>
  </cols>
  <sheetData>
    <row r="1" customFormat="false" ht="17.35" hidden="false" customHeight="false" outlineLevel="0" collapsed="false">
      <c r="A1" s="1" t="s">
        <v>84</v>
      </c>
    </row>
    <row r="2" customFormat="false" ht="15" hidden="false" customHeight="false" outlineLevel="0" collapsed="false">
      <c r="A2" s="2" t="s">
        <v>85</v>
      </c>
    </row>
    <row r="5" customFormat="false" ht="23.85" hidden="false" customHeight="false" outlineLevel="0" collapsed="false">
      <c r="A5" s="23" t="s">
        <v>86</v>
      </c>
      <c r="B5" s="23" t="s">
        <v>87</v>
      </c>
      <c r="C5" s="23" t="s">
        <v>88</v>
      </c>
      <c r="D5" s="23" t="s">
        <v>29</v>
      </c>
      <c r="E5" s="23" t="s">
        <v>30</v>
      </c>
      <c r="F5" s="23" t="s">
        <v>31</v>
      </c>
      <c r="G5" s="23" t="s">
        <v>32</v>
      </c>
      <c r="H5" s="23" t="s">
        <v>33</v>
      </c>
      <c r="I5" s="23" t="s">
        <v>89</v>
      </c>
      <c r="J5" s="23" t="s">
        <v>68</v>
      </c>
      <c r="K5" s="23" t="s">
        <v>90</v>
      </c>
      <c r="L5" s="23" t="s">
        <v>91</v>
      </c>
      <c r="M5" s="23" t="s">
        <v>92</v>
      </c>
      <c r="N5" s="23" t="s">
        <v>93</v>
      </c>
      <c r="O5" s="23" t="s">
        <v>94</v>
      </c>
      <c r="P5" s="23" t="s">
        <v>95</v>
      </c>
      <c r="Q5" s="23" t="s">
        <v>96</v>
      </c>
      <c r="R5" s="23" t="s">
        <v>93</v>
      </c>
      <c r="S5" s="23" t="s">
        <v>97</v>
      </c>
      <c r="T5" s="23" t="s">
        <v>98</v>
      </c>
      <c r="U5" s="23" t="s">
        <v>99</v>
      </c>
      <c r="V5" s="23" t="s">
        <v>100</v>
      </c>
      <c r="W5" s="23" t="s">
        <v>101</v>
      </c>
    </row>
    <row r="6" customFormat="false" ht="15" hidden="false" customHeight="false" outlineLevel="0" collapsed="false">
      <c r="A6" s="6" t="n">
        <v>50.79</v>
      </c>
      <c r="B6" s="24" t="n">
        <f aca="false">LN(A6)</f>
        <v>3.92769948481315</v>
      </c>
      <c r="C6" s="25" t="n">
        <v>0.9339</v>
      </c>
      <c r="D6" s="25" t="n">
        <v>0.9756</v>
      </c>
      <c r="E6" s="25" t="n">
        <v>0.971</v>
      </c>
      <c r="F6" s="25" t="n">
        <v>0.9825</v>
      </c>
      <c r="G6" s="25" t="n">
        <v>0.9859</v>
      </c>
      <c r="H6" s="25" t="n">
        <v>0.9831</v>
      </c>
      <c r="I6" s="24" t="n">
        <f aca="false">AVERAGE(D6:H6)</f>
        <v>0.97962</v>
      </c>
      <c r="J6" s="25" t="n">
        <v>0.9796</v>
      </c>
      <c r="K6" s="24" t="n">
        <f aca="false">IF(AND(Sup_Used=1,ISNUMBER(J6)),J6,I6)</f>
        <v>0.97962</v>
      </c>
      <c r="L6" s="24" t="n">
        <f aca="false">LN(MIN(MAX(K6,0.0001),0.9999)/(1-MIN(MAX(K6,0.0001),0.9999)))</f>
        <v>3.87261071357155</v>
      </c>
      <c r="M6" s="16" t="n">
        <f aca="false">A6*EXP(-Platt_Shift)</f>
        <v>50.79</v>
      </c>
      <c r="N6" s="26" t="n">
        <f aca="false">MIN(MAX(IFERROR(MATCH(M6,Distribution!$A$6:$A$20,1),1),1),14)</f>
        <v>1</v>
      </c>
      <c r="O6" s="24" t="n">
        <f aca="false">1/(1+EXP(-(INDEX(Distribution!$L$6:$L$20,N6)+(LN(M6)-INDEX(Distribution!$B$6:$B$20,N6))/(INDEX(Distribution!$B$6:$B$20,N6+1)-INDEX(Distribution!$B$6:$B$20,N6))*(INDEX(Distribution!$L$6:$L$20,N6+1)-INDEX(Distribution!$L$6:$L$20,N6)))))</f>
        <v>0.97962</v>
      </c>
      <c r="P6" s="24" t="n">
        <f aca="false">LN(MIN(MAX(C6,0.0001),0.9999)/(1-MIN(MAX(C6,0.0001),0.9999)))</f>
        <v>2.64820061925803</v>
      </c>
      <c r="Q6" s="16" t="n">
        <f aca="false">IF(Analyst_Median&gt;0,A6*Market_Median/Analyst_Median,A6)</f>
        <v>29.6044482686503</v>
      </c>
      <c r="R6" s="26" t="n">
        <f aca="false">MIN(MAX(IFERROR(MATCH(Q6,Distribution!$A$6:$A$20,1),1),1),14)</f>
        <v>1</v>
      </c>
      <c r="S6" s="24" t="n">
        <f aca="false">1/(1+EXP(-(INDEX(Distribution!$P$6:$P$20,R6)+(LN(Q6)-INDEX(Distribution!$B$6:$B$20,R6))/(INDEX(Distribution!$B$6:$B$20,R6+1)-INDEX(Distribution!$B$6:$B$20,R6))*(INDEX(Distribution!$P$6:$P$20,R6+1)-INDEX(Distribution!$P$6:$P$20,R6)))))</f>
        <v>0.980967984348165</v>
      </c>
      <c r="T6" s="24" t="n">
        <f aca="false">W_Mkt*C6+W_Agents*O6</f>
        <v>0.9489876</v>
      </c>
      <c r="U6" s="27" t="n">
        <f aca="false">(1-W_Analyst)*T6+W_Analyst*S6</f>
        <v>0.9489876</v>
      </c>
      <c r="V6" s="24" t="n">
        <f aca="false">LN(MIN(MAX(U6,0.0001),0.9999)/(1-MIN(MAX(U6,0.0001),0.9999)))</f>
        <v>2.92332699171274</v>
      </c>
      <c r="W6" s="25" t="n">
        <v>0.9494</v>
      </c>
    </row>
    <row r="7" customFormat="false" ht="15" hidden="false" customHeight="false" outlineLevel="0" collapsed="false">
      <c r="A7" s="6" t="n">
        <v>81.27</v>
      </c>
      <c r="B7" s="24" t="n">
        <f aca="false">LN(A7)</f>
        <v>4.39777694476511</v>
      </c>
      <c r="C7" s="25" t="n">
        <v>0.8207</v>
      </c>
      <c r="D7" s="25" t="n">
        <v>0.9362</v>
      </c>
      <c r="E7" s="25" t="n">
        <v>0.9233</v>
      </c>
      <c r="F7" s="25" t="n">
        <v>0.947</v>
      </c>
      <c r="G7" s="25" t="n">
        <v>0.9612</v>
      </c>
      <c r="H7" s="25" t="n">
        <v>0.9464</v>
      </c>
      <c r="I7" s="24" t="n">
        <f aca="false">AVERAGE(D7:H7)</f>
        <v>0.94282</v>
      </c>
      <c r="J7" s="25" t="n">
        <v>0.9428</v>
      </c>
      <c r="K7" s="24" t="n">
        <f aca="false">IF(AND(Sup_Used=1,ISNUMBER(J7)),J7,I7)</f>
        <v>0.94282</v>
      </c>
      <c r="L7" s="24" t="n">
        <f aca="false">LN(MIN(MAX(K7,0.0001),0.9999)/(1-MIN(MAX(K7,0.0001),0.9999)))</f>
        <v>2.80267119734968</v>
      </c>
      <c r="M7" s="16" t="n">
        <f aca="false">A7*EXP(-Platt_Shift)</f>
        <v>81.27</v>
      </c>
      <c r="N7" s="26" t="n">
        <f aca="false">MIN(MAX(IFERROR(MATCH(M7,Distribution!$A$6:$A$20,1),1),1),14)</f>
        <v>2</v>
      </c>
      <c r="O7" s="24" t="n">
        <f aca="false">1/(1+EXP(-(INDEX(Distribution!$L$6:$L$20,N7)+(LN(M7)-INDEX(Distribution!$B$6:$B$20,N7))/(INDEX(Distribution!$B$6:$B$20,N7+1)-INDEX(Distribution!$B$6:$B$20,N7))*(INDEX(Distribution!$L$6:$L$20,N7+1)-INDEX(Distribution!$L$6:$L$20,N7)))))</f>
        <v>0.94282</v>
      </c>
      <c r="P7" s="24" t="n">
        <f aca="false">LN(MIN(MAX(C7,0.0001),0.9999)/(1-MIN(MAX(C7,0.0001),0.9999)))</f>
        <v>1.52109725402458</v>
      </c>
      <c r="Q7" s="16" t="n">
        <f aca="false">IF(Analyst_Median&gt;0,A7*Market_Median/Analyst_Median,A7)</f>
        <v>47.3706145066589</v>
      </c>
      <c r="R7" s="26" t="n">
        <f aca="false">MIN(MAX(IFERROR(MATCH(Q7,Distribution!$A$6:$A$20,1),1),1),14)</f>
        <v>1</v>
      </c>
      <c r="S7" s="24" t="n">
        <f aca="false">1/(1+EXP(-(INDEX(Distribution!$P$6:$P$20,R7)+(LN(Q7)-INDEX(Distribution!$B$6:$B$20,R7))/(INDEX(Distribution!$B$6:$B$20,R7+1)-INDEX(Distribution!$B$6:$B$20,R7))*(INDEX(Distribution!$P$6:$P$20,R7+1)-INDEX(Distribution!$P$6:$P$20,R7)))))</f>
        <v>0.943497768283794</v>
      </c>
      <c r="T7" s="24" t="n">
        <f aca="false">W_Mkt*C7+W_Agents*O7</f>
        <v>0.8609996</v>
      </c>
      <c r="U7" s="27" t="n">
        <f aca="false">(1-W_Analyst)*T7+W_Analyst*S7</f>
        <v>0.8609996</v>
      </c>
      <c r="V7" s="24" t="n">
        <f aca="false">LN(MIN(MAX(U7,0.0001),0.9999)/(1-MIN(MAX(U7,0.0001),0.9999)))</f>
        <v>1.82361722902716</v>
      </c>
      <c r="W7" s="25" t="n">
        <v>0.8518</v>
      </c>
    </row>
    <row r="8" customFormat="false" ht="15" hidden="false" customHeight="false" outlineLevel="0" collapsed="false">
      <c r="A8" s="6" t="n">
        <v>101.58</v>
      </c>
      <c r="B8" s="24" t="n">
        <f aca="false">LN(A8)</f>
        <v>4.6208466653731</v>
      </c>
      <c r="C8" s="25" t="n">
        <v>0.7386</v>
      </c>
      <c r="D8" s="25" t="n">
        <v>0.9012</v>
      </c>
      <c r="E8" s="25" t="n">
        <v>0.8812</v>
      </c>
      <c r="F8" s="25" t="n">
        <v>0.9123</v>
      </c>
      <c r="G8" s="25" t="n">
        <v>0.938</v>
      </c>
      <c r="H8" s="25" t="n">
        <v>0.9094</v>
      </c>
      <c r="I8" s="24" t="n">
        <f aca="false">AVERAGE(D8:H8)</f>
        <v>0.90842</v>
      </c>
      <c r="J8" s="25" t="n">
        <v>0.9084</v>
      </c>
      <c r="K8" s="24" t="n">
        <f aca="false">IF(AND(Sup_Used=1,ISNUMBER(J8)),J8,I8)</f>
        <v>0.90842</v>
      </c>
      <c r="L8" s="24" t="n">
        <f aca="false">LN(MIN(MAX(K8,0.0001),0.9999)/(1-MIN(MAX(K8,0.0001),0.9999)))</f>
        <v>2.2944939194928</v>
      </c>
      <c r="M8" s="16" t="n">
        <f aca="false">A8*EXP(-Platt_Shift)</f>
        <v>101.58</v>
      </c>
      <c r="N8" s="26" t="n">
        <f aca="false">MIN(MAX(IFERROR(MATCH(M8,Distribution!$A$6:$A$20,1),1),1),14)</f>
        <v>3</v>
      </c>
      <c r="O8" s="24" t="n">
        <f aca="false">1/(1+EXP(-(INDEX(Distribution!$L$6:$L$20,N8)+(LN(M8)-INDEX(Distribution!$B$6:$B$20,N8))/(INDEX(Distribution!$B$6:$B$20,N8+1)-INDEX(Distribution!$B$6:$B$20,N8))*(INDEX(Distribution!$L$6:$L$20,N8+1)-INDEX(Distribution!$L$6:$L$20,N8)))))</f>
        <v>0.90842</v>
      </c>
      <c r="P8" s="24" t="n">
        <f aca="false">LN(MIN(MAX(C8,0.0001),0.9999)/(1-MIN(MAX(C8,0.0001),0.9999)))</f>
        <v>1.03870470122834</v>
      </c>
      <c r="Q8" s="16" t="n">
        <f aca="false">IF(Analyst_Median&gt;0,A8*Market_Median/Analyst_Median,A8)</f>
        <v>59.2088965373005</v>
      </c>
      <c r="R8" s="26" t="n">
        <f aca="false">MIN(MAX(IFERROR(MATCH(Q8,Distribution!$A$6:$A$20,1),1),1),14)</f>
        <v>1</v>
      </c>
      <c r="S8" s="24" t="n">
        <f aca="false">1/(1+EXP(-(INDEX(Distribution!$P$6:$P$20,R8)+(LN(Q8)-INDEX(Distribution!$B$6:$B$20,R8))/(INDEX(Distribution!$B$6:$B$20,R8+1)-INDEX(Distribution!$B$6:$B$20,R8))*(INDEX(Distribution!$P$6:$P$20,R8+1)-INDEX(Distribution!$P$6:$P$20,R8)))))</f>
        <v>0.907245783670536</v>
      </c>
      <c r="T8" s="24" t="n">
        <f aca="false">W_Mkt*C8+W_Agents*O8</f>
        <v>0.7946406</v>
      </c>
      <c r="U8" s="27" t="n">
        <f aca="false">(1-W_Analyst)*T8+W_Analyst*S8</f>
        <v>0.7946406</v>
      </c>
      <c r="V8" s="24" t="n">
        <f aca="false">LN(MIN(MAX(U8,0.0001),0.9999)/(1-MIN(MAX(U8,0.0001),0.9999)))</f>
        <v>1.35312832210557</v>
      </c>
      <c r="W8" s="25" t="n">
        <v>0.771</v>
      </c>
    </row>
    <row r="9" customFormat="false" ht="15" hidden="false" customHeight="false" outlineLevel="0" collapsed="false">
      <c r="A9" s="6" t="n">
        <v>121.9</v>
      </c>
      <c r="B9" s="24" t="n">
        <f aca="false">LN(A9)</f>
        <v>4.80320103648723</v>
      </c>
      <c r="C9" s="25" t="n">
        <v>0.6595</v>
      </c>
      <c r="D9" s="25" t="n">
        <v>0.8592</v>
      </c>
      <c r="E9" s="25" t="n">
        <v>0.8338</v>
      </c>
      <c r="F9" s="25" t="n">
        <v>0.8694</v>
      </c>
      <c r="G9" s="25" t="n">
        <v>0.9081</v>
      </c>
      <c r="H9" s="25" t="n">
        <v>0.8653</v>
      </c>
      <c r="I9" s="24" t="n">
        <f aca="false">AVERAGE(D9:H9)</f>
        <v>0.86716</v>
      </c>
      <c r="J9" s="25" t="n">
        <v>0.8672</v>
      </c>
      <c r="K9" s="24" t="n">
        <f aca="false">IF(AND(Sup_Used=1,ISNUMBER(J9)),J9,I9)</f>
        <v>0.86716</v>
      </c>
      <c r="L9" s="24" t="n">
        <f aca="false">LN(MIN(MAX(K9,0.0001),0.9999)/(1-MIN(MAX(K9,0.0001),0.9999)))</f>
        <v>1.87607810765177</v>
      </c>
      <c r="M9" s="16" t="n">
        <f aca="false">A9*EXP(-Platt_Shift)</f>
        <v>121.9</v>
      </c>
      <c r="N9" s="26" t="n">
        <f aca="false">MIN(MAX(IFERROR(MATCH(M9,Distribution!$A$6:$A$20,1),1),1),14)</f>
        <v>4</v>
      </c>
      <c r="O9" s="24" t="n">
        <f aca="false">1/(1+EXP(-(INDEX(Distribution!$L$6:$L$20,N9)+(LN(M9)-INDEX(Distribution!$B$6:$B$20,N9))/(INDEX(Distribution!$B$6:$B$20,N9+1)-INDEX(Distribution!$B$6:$B$20,N9))*(INDEX(Distribution!$L$6:$L$20,N9+1)-INDEX(Distribution!$L$6:$L$20,N9)))))</f>
        <v>0.86716</v>
      </c>
      <c r="P9" s="24" t="n">
        <f aca="false">LN(MIN(MAX(C9,0.0001),0.9999)/(1-MIN(MAX(C9,0.0001),0.9999)))</f>
        <v>0.661066846567802</v>
      </c>
      <c r="Q9" s="16" t="n">
        <f aca="false">IF(Analyst_Median&gt;0,A9*Market_Median/Analyst_Median,A9)</f>
        <v>71.0530073626397</v>
      </c>
      <c r="R9" s="26" t="n">
        <f aca="false">MIN(MAX(IFERROR(MATCH(Q9,Distribution!$A$6:$A$20,1),1),1),14)</f>
        <v>1</v>
      </c>
      <c r="S9" s="24" t="n">
        <f aca="false">1/(1+EXP(-(INDEX(Distribution!$P$6:$P$20,R9)+(LN(Q9)-INDEX(Distribution!$B$6:$B$20,R9))/(INDEX(Distribution!$B$6:$B$20,R9+1)-INDEX(Distribution!$B$6:$B$20,R9))*(INDEX(Distribution!$P$6:$P$20,R9+1)-INDEX(Distribution!$P$6:$P$20,R9)))))</f>
        <v>0.86333022976282</v>
      </c>
      <c r="T9" s="24" t="n">
        <f aca="false">W_Mkt*C9+W_Agents*O9</f>
        <v>0.7280278</v>
      </c>
      <c r="U9" s="27" t="n">
        <f aca="false">(1-W_Analyst)*T9+W_Analyst*S9</f>
        <v>0.7280278</v>
      </c>
      <c r="V9" s="24" t="n">
        <f aca="false">LN(MIN(MAX(U9,0.0001),0.9999)/(1-MIN(MAX(U9,0.0001),0.9999)))</f>
        <v>0.984639379090508</v>
      </c>
      <c r="W9" s="25" t="n">
        <v>0.6891</v>
      </c>
    </row>
    <row r="10" customFormat="false" ht="15" hidden="false" customHeight="false" outlineLevel="0" collapsed="false">
      <c r="A10" s="6" t="n">
        <v>142.22</v>
      </c>
      <c r="B10" s="24" t="n">
        <f aca="false">LN(A10)</f>
        <v>4.95737515445537</v>
      </c>
      <c r="C10" s="25" t="n">
        <v>0.5865</v>
      </c>
      <c r="D10" s="25" t="n">
        <v>0.8095</v>
      </c>
      <c r="E10" s="25" t="n">
        <v>0.7844</v>
      </c>
      <c r="F10" s="25" t="n">
        <v>0.8196</v>
      </c>
      <c r="G10" s="25" t="n">
        <v>0.8687</v>
      </c>
      <c r="H10" s="25" t="n">
        <v>0.8192</v>
      </c>
      <c r="I10" s="24" t="n">
        <f aca="false">AVERAGE(D10:H10)</f>
        <v>0.82028</v>
      </c>
      <c r="J10" s="25" t="n">
        <v>0.8203</v>
      </c>
      <c r="K10" s="24" t="n">
        <f aca="false">IF(AND(Sup_Used=1,ISNUMBER(J10)),J10,I10)</f>
        <v>0.82028</v>
      </c>
      <c r="L10" s="24" t="n">
        <f aca="false">LN(MIN(MAX(K10,0.0001),0.9999)/(1-MIN(MAX(K10,0.0001),0.9999)))</f>
        <v>1.51824566118561</v>
      </c>
      <c r="M10" s="16" t="n">
        <f aca="false">A10*EXP(-Platt_Shift)</f>
        <v>142.22</v>
      </c>
      <c r="N10" s="26" t="n">
        <f aca="false">MIN(MAX(IFERROR(MATCH(M10,Distribution!$A$6:$A$20,1),1),1),14)</f>
        <v>5</v>
      </c>
      <c r="O10" s="24" t="n">
        <f aca="false">1/(1+EXP(-(INDEX(Distribution!$L$6:$L$20,N10)+(LN(M10)-INDEX(Distribution!$B$6:$B$20,N10))/(INDEX(Distribution!$B$6:$B$20,N10+1)-INDEX(Distribution!$B$6:$B$20,N10))*(INDEX(Distribution!$L$6:$L$20,N10+1)-INDEX(Distribution!$L$6:$L$20,N10)))))</f>
        <v>0.82028</v>
      </c>
      <c r="P10" s="24" t="n">
        <f aca="false">LN(MIN(MAX(C10,0.0001),0.9999)/(1-MIN(MAX(C10,0.0001),0.9999)))</f>
        <v>0.349515153629784</v>
      </c>
      <c r="Q10" s="16" t="n">
        <f aca="false">IF(Analyst_Median&gt;0,A10*Market_Median/Analyst_Median,A10)</f>
        <v>82.8971181879788</v>
      </c>
      <c r="R10" s="26" t="n">
        <f aca="false">MIN(MAX(IFERROR(MATCH(Q10,Distribution!$A$6:$A$20,1),1),1),14)</f>
        <v>2</v>
      </c>
      <c r="S10" s="24" t="n">
        <f aca="false">1/(1+EXP(-(INDEX(Distribution!$P$6:$P$20,R10)+(LN(Q10)-INDEX(Distribution!$B$6:$B$20,R10))/(INDEX(Distribution!$B$6:$B$20,R10+1)-INDEX(Distribution!$B$6:$B$20,R10))*(INDEX(Distribution!$P$6:$P$20,R10+1)-INDEX(Distribution!$P$6:$P$20,R10)))))</f>
        <v>0.814304912910591</v>
      </c>
      <c r="T10" s="24" t="n">
        <f aca="false">W_Mkt*C10+W_Agents*O10</f>
        <v>0.6636474</v>
      </c>
      <c r="U10" s="27" t="n">
        <f aca="false">(1-W_Analyst)*T10+W_Analyst*S10</f>
        <v>0.6636474</v>
      </c>
      <c r="V10" s="24" t="n">
        <f aca="false">LN(MIN(MAX(U10,0.0001),0.9999)/(1-MIN(MAX(U10,0.0001),0.9999)))</f>
        <v>0.679590969851971</v>
      </c>
      <c r="W10" s="25" t="n">
        <v>0.6111</v>
      </c>
    </row>
    <row r="11" customFormat="false" ht="15" hidden="false" customHeight="false" outlineLevel="0" collapsed="false">
      <c r="A11" s="6" t="n">
        <v>162.54</v>
      </c>
      <c r="B11" s="24" t="n">
        <f aca="false">LN(A11)</f>
        <v>5.09092412532506</v>
      </c>
      <c r="C11" s="25" t="n">
        <v>0.5206</v>
      </c>
      <c r="D11" s="25" t="n">
        <v>0.7574</v>
      </c>
      <c r="E11" s="25" t="n">
        <v>0.7321</v>
      </c>
      <c r="F11" s="25" t="n">
        <v>0.7675</v>
      </c>
      <c r="G11" s="25" t="n">
        <v>0.8244</v>
      </c>
      <c r="H11" s="25" t="n">
        <v>0.7675</v>
      </c>
      <c r="I11" s="24" t="n">
        <f aca="false">AVERAGE(D11:H11)</f>
        <v>0.76978</v>
      </c>
      <c r="J11" s="25" t="n">
        <v>0.7698</v>
      </c>
      <c r="K11" s="24" t="n">
        <f aca="false">IF(AND(Sup_Used=1,ISNUMBER(J11)),J11,I11)</f>
        <v>0.76978</v>
      </c>
      <c r="L11" s="24" t="n">
        <f aca="false">LN(MIN(MAX(K11,0.0001),0.9999)/(1-MIN(MAX(K11,0.0001),0.9999)))</f>
        <v>1.207069386251</v>
      </c>
      <c r="M11" s="16" t="n">
        <f aca="false">A11*EXP(-Platt_Shift)</f>
        <v>162.54</v>
      </c>
      <c r="N11" s="26" t="n">
        <f aca="false">MIN(MAX(IFERROR(MATCH(M11,Distribution!$A$6:$A$20,1),1),1),14)</f>
        <v>6</v>
      </c>
      <c r="O11" s="24" t="n">
        <f aca="false">1/(1+EXP(-(INDEX(Distribution!$L$6:$L$20,N11)+(LN(M11)-INDEX(Distribution!$B$6:$B$20,N11))/(INDEX(Distribution!$B$6:$B$20,N11+1)-INDEX(Distribution!$B$6:$B$20,N11))*(INDEX(Distribution!$L$6:$L$20,N11+1)-INDEX(Distribution!$L$6:$L$20,N11)))))</f>
        <v>0.76978</v>
      </c>
      <c r="P11" s="24" t="n">
        <f aca="false">LN(MIN(MAX(C11,0.0001),0.9999)/(1-MIN(MAX(C11,0.0001),0.9999)))</f>
        <v>0.0824466705601808</v>
      </c>
      <c r="Q11" s="16" t="n">
        <f aca="false">IF(Analyst_Median&gt;0,A11*Market_Median/Analyst_Median,A11)</f>
        <v>94.7412290133179</v>
      </c>
      <c r="R11" s="26" t="n">
        <f aca="false">MIN(MAX(IFERROR(MATCH(Q11,Distribution!$A$6:$A$20,1),1),1),14)</f>
        <v>2</v>
      </c>
      <c r="S11" s="24" t="n">
        <f aca="false">1/(1+EXP(-(INDEX(Distribution!$P$6:$P$20,R11)+(LN(Q11)-INDEX(Distribution!$B$6:$B$20,R11))/(INDEX(Distribution!$B$6:$B$20,R11+1)-INDEX(Distribution!$B$6:$B$20,R11))*(INDEX(Distribution!$P$6:$P$20,R11+1)-INDEX(Distribution!$P$6:$P$20,R11)))))</f>
        <v>0.766638506577812</v>
      </c>
      <c r="T11" s="24" t="n">
        <f aca="false">W_Mkt*C11+W_Agents*O11</f>
        <v>0.6028294</v>
      </c>
      <c r="U11" s="27" t="n">
        <f aca="false">(1-W_Analyst)*T11+W_Analyst*S11</f>
        <v>0.6028294</v>
      </c>
      <c r="V11" s="24" t="n">
        <f aca="false">LN(MIN(MAX(U11,0.0001),0.9999)/(1-MIN(MAX(U11,0.0001),0.9999)))</f>
        <v>0.417268326653841</v>
      </c>
      <c r="W11" s="25" t="n">
        <v>0.5389</v>
      </c>
    </row>
    <row r="12" customFormat="false" ht="15" hidden="false" customHeight="false" outlineLevel="0" collapsed="false">
      <c r="A12" s="6" t="n">
        <v>182.85</v>
      </c>
      <c r="B12" s="24" t="n">
        <f aca="false">LN(A12)</f>
        <v>5.20866614459539</v>
      </c>
      <c r="C12" s="25" t="n">
        <v>0.4619</v>
      </c>
      <c r="D12" s="25" t="n">
        <v>0.706</v>
      </c>
      <c r="E12" s="25" t="n">
        <v>0.6809</v>
      </c>
      <c r="F12" s="25" t="n">
        <v>0.7145</v>
      </c>
      <c r="G12" s="25" t="n">
        <v>0.7751</v>
      </c>
      <c r="H12" s="25" t="n">
        <v>0.7161</v>
      </c>
      <c r="I12" s="24" t="n">
        <f aca="false">AVERAGE(D12:H12)</f>
        <v>0.71852</v>
      </c>
      <c r="J12" s="25" t="n">
        <v>0.7168</v>
      </c>
      <c r="K12" s="24" t="n">
        <f aca="false">IF(AND(Sup_Used=1,ISNUMBER(J12)),J12,I12)</f>
        <v>0.71852</v>
      </c>
      <c r="L12" s="24" t="n">
        <f aca="false">LN(MIN(MAX(K12,0.0001),0.9999)/(1-MIN(MAX(K12,0.0001),0.9999)))</f>
        <v>0.937132143802287</v>
      </c>
      <c r="M12" s="16" t="n">
        <f aca="false">A12*EXP(-Platt_Shift)</f>
        <v>182.85</v>
      </c>
      <c r="N12" s="26" t="n">
        <f aca="false">MIN(MAX(IFERROR(MATCH(M12,Distribution!$A$6:$A$20,1),1),1),14)</f>
        <v>7</v>
      </c>
      <c r="O12" s="24" t="n">
        <f aca="false">1/(1+EXP(-(INDEX(Distribution!$L$6:$L$20,N12)+(LN(M12)-INDEX(Distribution!$B$6:$B$20,N12))/(INDEX(Distribution!$B$6:$B$20,N12+1)-INDEX(Distribution!$B$6:$B$20,N12))*(INDEX(Distribution!$L$6:$L$20,N12+1)-INDEX(Distribution!$L$6:$L$20,N12)))))</f>
        <v>0.71852</v>
      </c>
      <c r="P12" s="24" t="n">
        <f aca="false">LN(MIN(MAX(C12,0.0001),0.9999)/(1-MIN(MAX(C12,0.0001),0.9999)))</f>
        <v>-0.152695999058814</v>
      </c>
      <c r="Q12" s="16" t="n">
        <f aca="false">IF(Analyst_Median&gt;0,A12*Market_Median/Analyst_Median,A12)</f>
        <v>106.579511043959</v>
      </c>
      <c r="R12" s="26" t="n">
        <f aca="false">MIN(MAX(IFERROR(MATCH(Q12,Distribution!$A$6:$A$20,1),1),1),14)</f>
        <v>3</v>
      </c>
      <c r="S12" s="24" t="n">
        <f aca="false">1/(1+EXP(-(INDEX(Distribution!$P$6:$P$20,R12)+(LN(Q12)-INDEX(Distribution!$B$6:$B$20,R12))/(INDEX(Distribution!$B$6:$B$20,R12+1)-INDEX(Distribution!$B$6:$B$20,R12))*(INDEX(Distribution!$P$6:$P$20,R12+1)-INDEX(Distribution!$P$6:$P$20,R12)))))</f>
        <v>0.718939859579773</v>
      </c>
      <c r="T12" s="24" t="n">
        <f aca="false">W_Mkt*C12+W_Agents*O12</f>
        <v>0.5465846</v>
      </c>
      <c r="U12" s="27" t="n">
        <f aca="false">(1-W_Analyst)*T12+W_Analyst*S12</f>
        <v>0.5465846</v>
      </c>
      <c r="V12" s="24" t="n">
        <f aca="false">LN(MIN(MAX(U12,0.0001),0.9999)/(1-MIN(MAX(U12,0.0001),0.9999)))</f>
        <v>0.186880395839581</v>
      </c>
      <c r="W12" s="25" t="n">
        <v>0.4669</v>
      </c>
    </row>
    <row r="13" customFormat="false" ht="15" hidden="false" customHeight="false" outlineLevel="0" collapsed="false">
      <c r="A13" s="6" t="n">
        <v>203.17</v>
      </c>
      <c r="B13" s="24" t="n">
        <f aca="false">LN(A13)</f>
        <v>5.31404306700952</v>
      </c>
      <c r="C13" s="25" t="n">
        <v>0.4101</v>
      </c>
      <c r="D13" s="25" t="n">
        <v>0.6573</v>
      </c>
      <c r="E13" s="25" t="n">
        <v>0.6324</v>
      </c>
      <c r="F13" s="25" t="n">
        <v>0.6619</v>
      </c>
      <c r="G13" s="25" t="n">
        <v>0.7218</v>
      </c>
      <c r="H13" s="25" t="n">
        <v>0.6671</v>
      </c>
      <c r="I13" s="24" t="n">
        <f aca="false">AVERAGE(D13:H13)</f>
        <v>0.6681</v>
      </c>
      <c r="J13" s="25" t="n">
        <v>0.6631</v>
      </c>
      <c r="K13" s="24" t="n">
        <f aca="false">IF(AND(Sup_Used=1,ISNUMBER(J13)),J13,I13)</f>
        <v>0.6681</v>
      </c>
      <c r="L13" s="24" t="n">
        <f aca="false">LN(MIN(MAX(K13,0.0001),0.9999)/(1-MIN(MAX(K13,0.0001),0.9999)))</f>
        <v>0.699604144205503</v>
      </c>
      <c r="M13" s="16" t="n">
        <f aca="false">A13*EXP(-Platt_Shift)</f>
        <v>203.17</v>
      </c>
      <c r="N13" s="26" t="n">
        <f aca="false">MIN(MAX(IFERROR(MATCH(M13,Distribution!$A$6:$A$20,1),1),1),14)</f>
        <v>8</v>
      </c>
      <c r="O13" s="24" t="n">
        <f aca="false">1/(1+EXP(-(INDEX(Distribution!$L$6:$L$20,N13)+(LN(M13)-INDEX(Distribution!$B$6:$B$20,N13))/(INDEX(Distribution!$B$6:$B$20,N13+1)-INDEX(Distribution!$B$6:$B$20,N13))*(INDEX(Distribution!$L$6:$L$20,N13+1)-INDEX(Distribution!$L$6:$L$20,N13)))))</f>
        <v>0.6681</v>
      </c>
      <c r="P13" s="24" t="n">
        <f aca="false">LN(MIN(MAX(C13,0.0001),0.9999)/(1-MIN(MAX(C13,0.0001),0.9999)))</f>
        <v>-0.363551998611016</v>
      </c>
      <c r="Q13" s="16" t="n">
        <f aca="false">IF(Analyst_Median&gt;0,A13*Market_Median/Analyst_Median,A13)</f>
        <v>118.423621869299</v>
      </c>
      <c r="R13" s="26" t="n">
        <f aca="false">MIN(MAX(IFERROR(MATCH(Q13,Distribution!$A$6:$A$20,1),1),1),14)</f>
        <v>3</v>
      </c>
      <c r="S13" s="24" t="n">
        <f aca="false">1/(1+EXP(-(INDEX(Distribution!$P$6:$P$20,R13)+(LN(Q13)-INDEX(Distribution!$B$6:$B$20,R13))/(INDEX(Distribution!$B$6:$B$20,R13+1)-INDEX(Distribution!$B$6:$B$20,R13))*(INDEX(Distribution!$P$6:$P$20,R13+1)-INDEX(Distribution!$P$6:$P$20,R13)))))</f>
        <v>0.672823633696097</v>
      </c>
      <c r="T13" s="24" t="n">
        <f aca="false">W_Mkt*C13+W_Agents*O13</f>
        <v>0.49524</v>
      </c>
      <c r="U13" s="27" t="n">
        <f aca="false">(1-W_Analyst)*T13+W_Analyst*S13</f>
        <v>0.49524</v>
      </c>
      <c r="V13" s="24" t="n">
        <f aca="false">LN(MIN(MAX(U13,0.0001),0.9999)/(1-MIN(MAX(U13,0.0001),0.9999)))</f>
        <v>-0.0190405752322187</v>
      </c>
      <c r="W13" s="25" t="n">
        <v>0.3984</v>
      </c>
    </row>
    <row r="14" customFormat="false" ht="15" hidden="false" customHeight="false" outlineLevel="0" collapsed="false">
      <c r="A14" s="6" t="n">
        <v>223.49</v>
      </c>
      <c r="B14" s="24" t="n">
        <f aca="false">LN(A14)</f>
        <v>5.40936667032333</v>
      </c>
      <c r="C14" s="25" t="n">
        <v>0.3646</v>
      </c>
      <c r="D14" s="25" t="n">
        <v>0.6114</v>
      </c>
      <c r="E14" s="25" t="n">
        <v>0.5878</v>
      </c>
      <c r="F14" s="25" t="n">
        <v>0.609</v>
      </c>
      <c r="G14" s="25" t="n">
        <v>0.6657</v>
      </c>
      <c r="H14" s="25" t="n">
        <v>0.6178</v>
      </c>
      <c r="I14" s="24" t="n">
        <f aca="false">AVERAGE(D14:H14)</f>
        <v>0.61834</v>
      </c>
      <c r="J14" s="25" t="n">
        <v>0.6133</v>
      </c>
      <c r="K14" s="24" t="n">
        <f aca="false">IF(AND(Sup_Used=1,ISNUMBER(J14)),J14,I14)</f>
        <v>0.61834</v>
      </c>
      <c r="L14" s="24" t="n">
        <f aca="false">LN(MIN(MAX(K14,0.0001),0.9999)/(1-MIN(MAX(K14,0.0001),0.9999)))</f>
        <v>0.482508308067695</v>
      </c>
      <c r="M14" s="16" t="n">
        <f aca="false">A14*EXP(-Platt_Shift)</f>
        <v>223.49</v>
      </c>
      <c r="N14" s="26" t="n">
        <f aca="false">MIN(MAX(IFERROR(MATCH(M14,Distribution!$A$6:$A$20,1),1),1),14)</f>
        <v>9</v>
      </c>
      <c r="O14" s="24" t="n">
        <f aca="false">1/(1+EXP(-(INDEX(Distribution!$L$6:$L$20,N14)+(LN(M14)-INDEX(Distribution!$B$6:$B$20,N14))/(INDEX(Distribution!$B$6:$B$20,N14+1)-INDEX(Distribution!$B$6:$B$20,N14))*(INDEX(Distribution!$L$6:$L$20,N14+1)-INDEX(Distribution!$L$6:$L$20,N14)))))</f>
        <v>0.61834</v>
      </c>
      <c r="P14" s="24" t="n">
        <f aca="false">LN(MIN(MAX(C14,0.0001),0.9999)/(1-MIN(MAX(C14,0.0001),0.9999)))</f>
        <v>-0.555453859590853</v>
      </c>
      <c r="Q14" s="16" t="n">
        <f aca="false">IF(Analyst_Median&gt;0,A14*Market_Median/Analyst_Median,A14)</f>
        <v>130.267732694638</v>
      </c>
      <c r="R14" s="26" t="n">
        <f aca="false">MIN(MAX(IFERROR(MATCH(Q14,Distribution!$A$6:$A$20,1),1),1),14)</f>
        <v>4</v>
      </c>
      <c r="S14" s="24" t="n">
        <f aca="false">1/(1+EXP(-(INDEX(Distribution!$P$6:$P$20,R14)+(LN(Q14)-INDEX(Distribution!$B$6:$B$20,R14))/(INDEX(Distribution!$B$6:$B$20,R14+1)-INDEX(Distribution!$B$6:$B$20,R14))*(INDEX(Distribution!$P$6:$P$20,R14+1)-INDEX(Distribution!$P$6:$P$20,R14)))))</f>
        <v>0.628761152706318</v>
      </c>
      <c r="T14" s="24" t="n">
        <f aca="false">W_Mkt*C14+W_Agents*O14</f>
        <v>0.4483342</v>
      </c>
      <c r="U14" s="27" t="n">
        <f aca="false">(1-W_Analyst)*T14+W_Analyst*S14</f>
        <v>0.4483342</v>
      </c>
      <c r="V14" s="24" t="n">
        <f aca="false">LN(MIN(MAX(U14,0.0001),0.9999)/(1-MIN(MAX(U14,0.0001),0.9999)))</f>
        <v>-0.207403491693377</v>
      </c>
      <c r="W14" s="25" t="n">
        <v>0.338</v>
      </c>
    </row>
    <row r="15" customFormat="false" ht="15" hidden="false" customHeight="false" outlineLevel="0" collapsed="false">
      <c r="A15" s="6" t="n">
        <v>243.8</v>
      </c>
      <c r="B15" s="24" t="n">
        <f aca="false">LN(A15)</f>
        <v>5.49634821704717</v>
      </c>
      <c r="C15" s="25" t="n">
        <v>0.3245</v>
      </c>
      <c r="D15" s="25" t="n">
        <v>0.5656</v>
      </c>
      <c r="E15" s="25" t="n">
        <v>0.5448</v>
      </c>
      <c r="F15" s="25" t="n">
        <v>0.5606</v>
      </c>
      <c r="G15" s="25" t="n">
        <v>0.607</v>
      </c>
      <c r="H15" s="25" t="n">
        <v>0.5729</v>
      </c>
      <c r="I15" s="24" t="n">
        <f aca="false">AVERAGE(D15:H15)</f>
        <v>0.57018</v>
      </c>
      <c r="J15" s="25" t="n">
        <v>0.5651</v>
      </c>
      <c r="K15" s="24" t="n">
        <f aca="false">IF(AND(Sup_Used=1,ISNUMBER(J15)),J15,I15)</f>
        <v>0.57018</v>
      </c>
      <c r="L15" s="24" t="n">
        <f aca="false">LN(MIN(MAX(K15,0.0001),0.9999)/(1-MIN(MAX(K15,0.0001),0.9999)))</f>
        <v>0.282585584054219</v>
      </c>
      <c r="M15" s="16" t="n">
        <f aca="false">A15*EXP(-Platt_Shift)</f>
        <v>243.8</v>
      </c>
      <c r="N15" s="26" t="n">
        <f aca="false">MIN(MAX(IFERROR(MATCH(M15,Distribution!$A$6:$A$20,1),1),1),14)</f>
        <v>10</v>
      </c>
      <c r="O15" s="24" t="n">
        <f aca="false">1/(1+EXP(-(INDEX(Distribution!$L$6:$L$20,N15)+(LN(M15)-INDEX(Distribution!$B$6:$B$20,N15))/(INDEX(Distribution!$B$6:$B$20,N15+1)-INDEX(Distribution!$B$6:$B$20,N15))*(INDEX(Distribution!$L$6:$L$20,N15+1)-INDEX(Distribution!$L$6:$L$20,N15)))))</f>
        <v>0.57018</v>
      </c>
      <c r="P15" s="24" t="n">
        <f aca="false">LN(MIN(MAX(C15,0.0001),0.9999)/(1-MIN(MAX(C15,0.0001),0.9999)))</f>
        <v>-0.733167621256109</v>
      </c>
      <c r="Q15" s="16" t="n">
        <f aca="false">IF(Analyst_Median&gt;0,A15*Market_Median/Analyst_Median,A15)</f>
        <v>142.106014725279</v>
      </c>
      <c r="R15" s="26" t="n">
        <f aca="false">MIN(MAX(IFERROR(MATCH(Q15,Distribution!$A$6:$A$20,1),1),1),14)</f>
        <v>4</v>
      </c>
      <c r="S15" s="24" t="n">
        <f aca="false">1/(1+EXP(-(INDEX(Distribution!$P$6:$P$20,R15)+(LN(Q15)-INDEX(Distribution!$B$6:$B$20,R15))/(INDEX(Distribution!$B$6:$B$20,R15+1)-INDEX(Distribution!$B$6:$B$20,R15))*(INDEX(Distribution!$P$6:$P$20,R15+1)-INDEX(Distribution!$P$6:$P$20,R15)))))</f>
        <v>0.586892883135517</v>
      </c>
      <c r="T15" s="24" t="n">
        <f aca="false">W_Mkt*C15+W_Agents*O15</f>
        <v>0.4055744</v>
      </c>
      <c r="U15" s="27" t="n">
        <f aca="false">(1-W_Analyst)*T15+W_Analyst*S15</f>
        <v>0.4055744</v>
      </c>
      <c r="V15" s="24" t="n">
        <f aca="false">LN(MIN(MAX(U15,0.0001),0.9999)/(1-MIN(MAX(U15,0.0001),0.9999)))</f>
        <v>-0.382291227202525</v>
      </c>
      <c r="W15" s="25" t="n">
        <v>0.2875</v>
      </c>
    </row>
    <row r="16" customFormat="false" ht="15" hidden="false" customHeight="false" outlineLevel="0" collapsed="false">
      <c r="A16" s="6" t="n">
        <v>274.28</v>
      </c>
      <c r="B16" s="24" t="n">
        <f aca="false">LN(A16)</f>
        <v>5.61414948241616</v>
      </c>
      <c r="C16" s="25" t="n">
        <v>0.2735</v>
      </c>
      <c r="D16" s="25" t="n">
        <v>0.4997</v>
      </c>
      <c r="E16" s="25" t="n">
        <v>0.4847</v>
      </c>
      <c r="F16" s="25" t="n">
        <v>0.4931</v>
      </c>
      <c r="G16" s="25" t="n">
        <v>0.5187</v>
      </c>
      <c r="H16" s="25" t="n">
        <v>0.5122</v>
      </c>
      <c r="I16" s="24" t="n">
        <f aca="false">AVERAGE(D16:H16)</f>
        <v>0.50168</v>
      </c>
      <c r="J16" s="25" t="n">
        <v>0.4966</v>
      </c>
      <c r="K16" s="24" t="n">
        <f aca="false">IF(AND(Sup_Used=1,ISNUMBER(J16)),J16,I16)</f>
        <v>0.50168</v>
      </c>
      <c r="L16" s="24" t="n">
        <f aca="false">LN(MIN(MAX(K16,0.0001),0.9999)/(1-MIN(MAX(K16,0.0001),0.9999)))</f>
        <v>0.00672002528887545</v>
      </c>
      <c r="M16" s="16" t="n">
        <f aca="false">A16*EXP(-Platt_Shift)</f>
        <v>274.28</v>
      </c>
      <c r="N16" s="26" t="n">
        <f aca="false">MIN(MAX(IFERROR(MATCH(M16,Distribution!$A$6:$A$20,1),1),1),14)</f>
        <v>11</v>
      </c>
      <c r="O16" s="24" t="n">
        <f aca="false">1/(1+EXP(-(INDEX(Distribution!$L$6:$L$20,N16)+(LN(M16)-INDEX(Distribution!$B$6:$B$20,N16))/(INDEX(Distribution!$B$6:$B$20,N16+1)-INDEX(Distribution!$B$6:$B$20,N16))*(INDEX(Distribution!$L$6:$L$20,N16+1)-INDEX(Distribution!$L$6:$L$20,N16)))))</f>
        <v>0.50168</v>
      </c>
      <c r="P16" s="24" t="n">
        <f aca="false">LN(MIN(MAX(C16,0.0001),0.9999)/(1-MIN(MAX(C16,0.0001),0.9999)))</f>
        <v>-0.976936861148302</v>
      </c>
      <c r="Q16" s="16" t="n">
        <f aca="false">IF(Analyst_Median&gt;0,A16*Market_Median/Analyst_Median,A16)</f>
        <v>159.872180963288</v>
      </c>
      <c r="R16" s="26" t="n">
        <f aca="false">MIN(MAX(IFERROR(MATCH(Q16,Distribution!$A$6:$A$20,1),1),1),14)</f>
        <v>5</v>
      </c>
      <c r="S16" s="24" t="n">
        <f aca="false">1/(1+EXP(-(INDEX(Distribution!$P$6:$P$20,R16)+(LN(Q16)-INDEX(Distribution!$B$6:$B$20,R16))/(INDEX(Distribution!$B$6:$B$20,R16+1)-INDEX(Distribution!$B$6:$B$20,R16))*(INDEX(Distribution!$P$6:$P$20,R16+1)-INDEX(Distribution!$P$6:$P$20,R16)))))</f>
        <v>0.528853411993535</v>
      </c>
      <c r="T16" s="24" t="n">
        <f aca="false">W_Mkt*C16+W_Agents*O16</f>
        <v>0.3487994</v>
      </c>
      <c r="U16" s="27" t="n">
        <f aca="false">(1-W_Analyst)*T16+W_Analyst*S16</f>
        <v>0.3487994</v>
      </c>
      <c r="V16" s="24" t="n">
        <f aca="false">LN(MIN(MAX(U16,0.0001),0.9999)/(1-MIN(MAX(U16,0.0001),0.9999)))</f>
        <v>-0.624320764213968</v>
      </c>
      <c r="W16" s="25" t="n">
        <v>0.2281</v>
      </c>
    </row>
    <row r="17" customFormat="false" ht="15" hidden="false" customHeight="false" outlineLevel="0" collapsed="false">
      <c r="A17" s="6" t="n">
        <v>304.75</v>
      </c>
      <c r="B17" s="24" t="n">
        <f aca="false">LN(A17)</f>
        <v>5.71949176836138</v>
      </c>
      <c r="C17" s="25" t="n">
        <v>0.2315</v>
      </c>
      <c r="D17" s="25" t="n">
        <v>0.4393</v>
      </c>
      <c r="E17" s="25" t="n">
        <v>0.4312</v>
      </c>
      <c r="F17" s="25" t="n">
        <v>0.4301</v>
      </c>
      <c r="G17" s="25" t="n">
        <v>0.4383</v>
      </c>
      <c r="H17" s="25" t="n">
        <v>0.4571</v>
      </c>
      <c r="I17" s="24" t="n">
        <f aca="false">AVERAGE(D17:H17)</f>
        <v>0.4392</v>
      </c>
      <c r="J17" s="25" t="n">
        <v>0.4348</v>
      </c>
      <c r="K17" s="24" t="n">
        <f aca="false">IF(AND(Sup_Used=1,ISNUMBER(J17)),J17,I17)</f>
        <v>0.4392</v>
      </c>
      <c r="L17" s="24" t="n">
        <f aca="false">LN(MIN(MAX(K17,0.0001),0.9999)/(1-MIN(MAX(K17,0.0001),0.9999)))</f>
        <v>-0.244409445525059</v>
      </c>
      <c r="M17" s="16" t="n">
        <f aca="false">A17*EXP(-Platt_Shift)</f>
        <v>304.75</v>
      </c>
      <c r="N17" s="26" t="n">
        <f aca="false">MIN(MAX(IFERROR(MATCH(M17,Distribution!$A$6:$A$20,1),1),1),14)</f>
        <v>12</v>
      </c>
      <c r="O17" s="24" t="n">
        <f aca="false">1/(1+EXP(-(INDEX(Distribution!$L$6:$L$20,N17)+(LN(M17)-INDEX(Distribution!$B$6:$B$20,N17))/(INDEX(Distribution!$B$6:$B$20,N17+1)-INDEX(Distribution!$B$6:$B$20,N17))*(INDEX(Distribution!$L$6:$L$20,N17+1)-INDEX(Distribution!$L$6:$L$20,N17)))))</f>
        <v>0.4392</v>
      </c>
      <c r="P17" s="24" t="n">
        <f aca="false">LN(MIN(MAX(C17,0.0001),0.9999)/(1-MIN(MAX(C17,0.0001),0.9999)))</f>
        <v>-1.19986068945236</v>
      </c>
      <c r="Q17" s="16" t="n">
        <f aca="false">IF(Analyst_Median&gt;0,A17*Market_Median/Analyst_Median,A17)</f>
        <v>177.632518406599</v>
      </c>
      <c r="R17" s="26" t="n">
        <f aca="false">MIN(MAX(IFERROR(MATCH(Q17,Distribution!$A$6:$A$20,1),1),1),14)</f>
        <v>6</v>
      </c>
      <c r="S17" s="24" t="n">
        <f aca="false">1/(1+EXP(-(INDEX(Distribution!$P$6:$P$20,R17)+(LN(Q17)-INDEX(Distribution!$B$6:$B$20,R17))/(INDEX(Distribution!$B$6:$B$20,R17+1)-INDEX(Distribution!$B$6:$B$20,R17))*(INDEX(Distribution!$P$6:$P$20,R17+1)-INDEX(Distribution!$P$6:$P$20,R17)))))</f>
        <v>0.476297412168557</v>
      </c>
      <c r="T17" s="24" t="n">
        <f aca="false">W_Mkt*C17+W_Agents*O17</f>
        <v>0.300041</v>
      </c>
      <c r="U17" s="27" t="n">
        <f aca="false">(1-W_Analyst)*T17+W_Analyst*S17</f>
        <v>0.300041</v>
      </c>
      <c r="V17" s="24" t="n">
        <f aca="false">LN(MIN(MAX(U17,0.0001),0.9999)/(1-MIN(MAX(U17,0.0001),0.9999)))</f>
        <v>-0.847102629914631</v>
      </c>
      <c r="W17" s="25" t="n">
        <v>0.1839</v>
      </c>
    </row>
    <row r="18" customFormat="false" ht="15" hidden="false" customHeight="false" outlineLevel="0" collapsed="false">
      <c r="A18" s="6" t="n">
        <v>355.55</v>
      </c>
      <c r="B18" s="24" t="n">
        <f aca="false">LN(A18)</f>
        <v>5.87366588632953</v>
      </c>
      <c r="C18" s="25" t="n">
        <v>0.1771</v>
      </c>
      <c r="D18" s="25" t="n">
        <v>0.3559</v>
      </c>
      <c r="E18" s="25" t="n">
        <v>0.3571</v>
      </c>
      <c r="F18" s="25" t="n">
        <v>0.3396</v>
      </c>
      <c r="G18" s="25" t="n">
        <v>0.323</v>
      </c>
      <c r="H18" s="25" t="n">
        <v>0.376</v>
      </c>
      <c r="I18" s="24" t="n">
        <f aca="false">AVERAGE(D18:H18)</f>
        <v>0.35032</v>
      </c>
      <c r="J18" s="25" t="n">
        <v>0.3504</v>
      </c>
      <c r="K18" s="24" t="n">
        <f aca="false">IF(AND(Sup_Used=1,ISNUMBER(J18)),J18,I18)</f>
        <v>0.35032</v>
      </c>
      <c r="L18" s="24" t="n">
        <f aca="false">LN(MIN(MAX(K18,0.0001),0.9999)/(1-MIN(MAX(K18,0.0001),0.9999)))</f>
        <v>-0.617632911481013</v>
      </c>
      <c r="M18" s="16" t="n">
        <f aca="false">A18*EXP(-Platt_Shift)</f>
        <v>355.55</v>
      </c>
      <c r="N18" s="26" t="n">
        <f aca="false">MIN(MAX(IFERROR(MATCH(M18,Distribution!$A$6:$A$20,1),1),1),14)</f>
        <v>13</v>
      </c>
      <c r="O18" s="24" t="n">
        <f aca="false">1/(1+EXP(-(INDEX(Distribution!$L$6:$L$20,N18)+(LN(M18)-INDEX(Distribution!$B$6:$B$20,N18))/(INDEX(Distribution!$B$6:$B$20,N18+1)-INDEX(Distribution!$B$6:$B$20,N18))*(INDEX(Distribution!$L$6:$L$20,N18+1)-INDEX(Distribution!$L$6:$L$20,N18)))))</f>
        <v>0.35032</v>
      </c>
      <c r="P18" s="24" t="n">
        <f aca="false">LN(MIN(MAX(C18,0.0001),0.9999)/(1-MIN(MAX(C18,0.0001),0.9999)))</f>
        <v>-1.53612014182288</v>
      </c>
      <c r="Q18" s="16" t="n">
        <f aca="false">IF(Analyst_Median&gt;0,A18*Market_Median/Analyst_Median,A18)</f>
        <v>207.242795469947</v>
      </c>
      <c r="R18" s="26" t="n">
        <f aca="false">MIN(MAX(IFERROR(MATCH(Q18,Distribution!$A$6:$A$20,1),1),1),14)</f>
        <v>8</v>
      </c>
      <c r="S18" s="24" t="n">
        <f aca="false">1/(1+EXP(-(INDEX(Distribution!$P$6:$P$20,R18)+(LN(Q18)-INDEX(Distribution!$B$6:$B$20,R18))/(INDEX(Distribution!$B$6:$B$20,R18+1)-INDEX(Distribution!$B$6:$B$20,R18))*(INDEX(Distribution!$P$6:$P$20,R18+1)-INDEX(Distribution!$P$6:$P$20,R18)))))</f>
        <v>0.400469517705921</v>
      </c>
      <c r="T18" s="24" t="n">
        <f aca="false">W_Mkt*C18+W_Agents*O18</f>
        <v>0.2342626</v>
      </c>
      <c r="U18" s="27" t="n">
        <f aca="false">(1-W_Analyst)*T18+W_Analyst*S18</f>
        <v>0.2342626</v>
      </c>
      <c r="V18" s="24" t="n">
        <f aca="false">LN(MIN(MAX(U18,0.0001),0.9999)/(1-MIN(MAX(U18,0.0001),0.9999)))</f>
        <v>-1.18439658276182</v>
      </c>
      <c r="W18" s="25" t="n">
        <v>0.1331</v>
      </c>
    </row>
    <row r="19" customFormat="false" ht="15" hidden="false" customHeight="false" outlineLevel="0" collapsed="false">
      <c r="A19" s="6" t="n">
        <v>406.34</v>
      </c>
      <c r="B19" s="24" t="n">
        <f aca="false">LN(A19)</f>
        <v>6.00719024756946</v>
      </c>
      <c r="C19" s="25" t="n">
        <v>0.1371</v>
      </c>
      <c r="D19" s="25" t="n">
        <v>0.2898</v>
      </c>
      <c r="E19" s="25" t="n">
        <v>0.296</v>
      </c>
      <c r="F19" s="25" t="n">
        <v>0.2675</v>
      </c>
      <c r="G19" s="25" t="n">
        <v>0.2368</v>
      </c>
      <c r="H19" s="25" t="n">
        <v>0.3098</v>
      </c>
      <c r="I19" s="24" t="n">
        <f aca="false">AVERAGE(D19:H19)</f>
        <v>0.27998</v>
      </c>
      <c r="J19" s="25" t="n">
        <v>0.28</v>
      </c>
      <c r="K19" s="24" t="n">
        <f aca="false">IF(AND(Sup_Used=1,ISNUMBER(J19)),J19,I19)</f>
        <v>0.27998</v>
      </c>
      <c r="L19" s="24" t="n">
        <f aca="false">LN(MIN(MAX(K19,0.0001),0.9999)/(1-MIN(MAX(K19,0.0001),0.9999)))</f>
        <v>-0.944560817355404</v>
      </c>
      <c r="M19" s="16" t="n">
        <f aca="false">A19*EXP(-Platt_Shift)</f>
        <v>406.34</v>
      </c>
      <c r="N19" s="26" t="n">
        <f aca="false">MIN(MAX(IFERROR(MATCH(M19,Distribution!$A$6:$A$20,1),1),1),14)</f>
        <v>14</v>
      </c>
      <c r="O19" s="24" t="n">
        <f aca="false">1/(1+EXP(-(INDEX(Distribution!$L$6:$L$20,N19)+(LN(M19)-INDEX(Distribution!$B$6:$B$20,N19))/(INDEX(Distribution!$B$6:$B$20,N19+1)-INDEX(Distribution!$B$6:$B$20,N19))*(INDEX(Distribution!$L$6:$L$20,N19+1)-INDEX(Distribution!$L$6:$L$20,N19)))))</f>
        <v>0.27998</v>
      </c>
      <c r="P19" s="24" t="n">
        <f aca="false">LN(MIN(MAX(C19,0.0001),0.9999)/(1-MIN(MAX(C19,0.0001),0.9999)))</f>
        <v>-1.83958822294599</v>
      </c>
      <c r="Q19" s="16" t="n">
        <f aca="false">IF(Analyst_Median&gt;0,A19*Market_Median/Analyst_Median,A19)</f>
        <v>236.847243738597</v>
      </c>
      <c r="R19" s="26" t="n">
        <f aca="false">MIN(MAX(IFERROR(MATCH(Q19,Distribution!$A$6:$A$20,1),1),1),14)</f>
        <v>9</v>
      </c>
      <c r="S19" s="24" t="n">
        <f aca="false">1/(1+EXP(-(INDEX(Distribution!$P$6:$P$20,R19)+(LN(Q19)-INDEX(Distribution!$B$6:$B$20,R19))/(INDEX(Distribution!$B$6:$B$20,R19+1)-INDEX(Distribution!$B$6:$B$20,R19))*(INDEX(Distribution!$P$6:$P$20,R19+1)-INDEX(Distribution!$P$6:$P$20,R19)))))</f>
        <v>0.337589592574118</v>
      </c>
      <c r="T19" s="24" t="n">
        <f aca="false">W_Mkt*C19+W_Agents*O19</f>
        <v>0.1842504</v>
      </c>
      <c r="U19" s="27" t="n">
        <f aca="false">(1-W_Analyst)*T19+W_Analyst*S19</f>
        <v>0.1842504</v>
      </c>
      <c r="V19" s="24" t="n">
        <f aca="false">LN(MIN(MAX(U19,0.0001),0.9999)/(1-MIN(MAX(U19,0.0001),0.9999)))</f>
        <v>-1.48781174309655</v>
      </c>
      <c r="W19" s="25" t="n">
        <v>0.0999</v>
      </c>
    </row>
    <row r="20" customFormat="false" ht="15" hidden="false" customHeight="false" outlineLevel="0" collapsed="false">
      <c r="A20" s="6" t="n">
        <v>507.93</v>
      </c>
      <c r="B20" s="24" t="n">
        <f aca="false">LN(A20)</f>
        <v>6.23034364280825</v>
      </c>
      <c r="C20" s="25" t="n">
        <v>0.085</v>
      </c>
      <c r="D20" s="25" t="n">
        <v>0.1979</v>
      </c>
      <c r="E20" s="25" t="n">
        <v>0.2029</v>
      </c>
      <c r="F20" s="25" t="n">
        <v>0.1656</v>
      </c>
      <c r="G20" s="25" t="n">
        <v>0.1257</v>
      </c>
      <c r="H20" s="25" t="n">
        <v>0.2126</v>
      </c>
      <c r="I20" s="24" t="n">
        <f aca="false">AVERAGE(D20:H20)</f>
        <v>0.18094</v>
      </c>
      <c r="J20" s="25" t="n">
        <v>0.1809</v>
      </c>
      <c r="K20" s="24" t="n">
        <f aca="false">IF(AND(Sup_Used=1,ISNUMBER(J20)),J20,I20)</f>
        <v>0.18094</v>
      </c>
      <c r="L20" s="24" t="n">
        <f aca="false">LN(MIN(MAX(K20,0.0001),0.9999)/(1-MIN(MAX(K20,0.0001),0.9999)))</f>
        <v>-1.50999185664535</v>
      </c>
      <c r="M20" s="16" t="n">
        <f aca="false">A20*EXP(-Platt_Shift)</f>
        <v>507.93</v>
      </c>
      <c r="N20" s="26" t="n">
        <f aca="false">MIN(MAX(IFERROR(MATCH(M20,Distribution!$A$6:$A$20,1),1),1),14)</f>
        <v>14</v>
      </c>
      <c r="O20" s="24" t="n">
        <f aca="false">1/(1+EXP(-(INDEX(Distribution!$L$6:$L$20,N20)+(LN(M20)-INDEX(Distribution!$B$6:$B$20,N20))/(INDEX(Distribution!$B$6:$B$20,N20+1)-INDEX(Distribution!$B$6:$B$20,N20))*(INDEX(Distribution!$L$6:$L$20,N20+1)-INDEX(Distribution!$L$6:$L$20,N20)))))</f>
        <v>0.18094</v>
      </c>
      <c r="P20" s="24" t="n">
        <f aca="false">LN(MIN(MAX(C20,0.0001),0.9999)/(1-MIN(MAX(C20,0.0001),0.9999)))</f>
        <v>-2.3762728087852</v>
      </c>
      <c r="Q20" s="16" t="n">
        <f aca="false">IF(Analyst_Median&gt;0,A20*Market_Median/Analyst_Median,A20)</f>
        <v>296.061969070595</v>
      </c>
      <c r="R20" s="26" t="n">
        <f aca="false">MIN(MAX(IFERROR(MATCH(Q20,Distribution!$A$6:$A$20,1),1),1),14)</f>
        <v>11</v>
      </c>
      <c r="S20" s="24" t="n">
        <f aca="false">1/(1+EXP(-(INDEX(Distribution!$P$6:$P$20,R20)+(LN(Q20)-INDEX(Distribution!$B$6:$B$20,R20))/(INDEX(Distribution!$B$6:$B$20,R20+1)-INDEX(Distribution!$B$6:$B$20,R20))*(INDEX(Distribution!$P$6:$P$20,R20+1)-INDEX(Distribution!$P$6:$P$20,R20)))))</f>
        <v>0.242567519966092</v>
      </c>
      <c r="T20" s="24" t="n">
        <f aca="false">W_Mkt*C20+W_Agents*O20</f>
        <v>0.1166602</v>
      </c>
      <c r="U20" s="27" t="n">
        <f aca="false">(1-W_Analyst)*T20+W_Analyst*S20</f>
        <v>0.1166602</v>
      </c>
      <c r="V20" s="24" t="n">
        <f aca="false">LN(MIN(MAX(U20,0.0001),0.9999)/(1-MIN(MAX(U20,0.0001),0.9999)))</f>
        <v>-2.02444451533238</v>
      </c>
      <c r="W20" s="25" t="n">
        <v>0.0605</v>
      </c>
    </row>
    <row r="22" customFormat="false" ht="15" hidden="false" customHeight="false" outlineLevel="0" collapsed="false">
      <c r="A22" s="2" t="s">
        <v>102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13"/>
    <col collapsed="false" customWidth="true" hidden="false" outlineLevel="0" max="4" min="4" style="0" width="9"/>
    <col collapsed="false" customWidth="true" hidden="false" outlineLevel="0" max="5" min="5" style="0" width="13"/>
    <col collapsed="false" customWidth="true" hidden="false" outlineLevel="0" max="6" min="6" style="0" width="44"/>
    <col collapsed="false" customWidth="true" hidden="false" outlineLevel="0" max="7" min="7" style="0" width="90"/>
  </cols>
  <sheetData>
    <row r="1" customFormat="false" ht="17.35" hidden="false" customHeight="false" outlineLevel="0" collapsed="false">
      <c r="A1" s="1" t="s">
        <v>103</v>
      </c>
    </row>
    <row r="2" customFormat="false" ht="15" hidden="false" customHeight="false" outlineLevel="0" collapsed="false">
      <c r="A2" s="2" t="s">
        <v>104</v>
      </c>
    </row>
    <row r="4" customFormat="false" ht="23.85" hidden="false" customHeight="false" outlineLevel="0" collapsed="false">
      <c r="A4" s="23" t="s">
        <v>105</v>
      </c>
      <c r="B4" s="23" t="s">
        <v>106</v>
      </c>
      <c r="C4" s="23" t="s">
        <v>107</v>
      </c>
      <c r="D4" s="23" t="s">
        <v>108</v>
      </c>
      <c r="E4" s="23" t="s">
        <v>109</v>
      </c>
      <c r="F4" s="23" t="s">
        <v>110</v>
      </c>
      <c r="G4" s="23" t="s">
        <v>111</v>
      </c>
    </row>
    <row r="5" customFormat="false" ht="57.45" hidden="false" customHeight="false" outlineLevel="0" collapsed="false">
      <c r="A5" s="5" t="s">
        <v>29</v>
      </c>
      <c r="B5" s="28" t="s">
        <v>112</v>
      </c>
      <c r="C5" s="6" t="n">
        <v>266</v>
      </c>
      <c r="D5" s="12" t="n">
        <v>0.6</v>
      </c>
      <c r="E5" s="16" t="n">
        <f aca="false">C5*D5</f>
        <v>159.6</v>
      </c>
      <c r="F5" s="28"/>
      <c r="G5" s="28" t="s">
        <v>113</v>
      </c>
    </row>
    <row r="6" customFormat="false" ht="35.05" hidden="false" customHeight="false" outlineLevel="0" collapsed="false">
      <c r="A6" s="5" t="s">
        <v>29</v>
      </c>
      <c r="B6" s="28" t="s">
        <v>114</v>
      </c>
      <c r="C6" s="6" t="n">
        <v>285</v>
      </c>
      <c r="D6" s="12" t="n">
        <v>0.15</v>
      </c>
      <c r="E6" s="16" t="n">
        <f aca="false">C6*D6</f>
        <v>42.75</v>
      </c>
      <c r="F6" s="28"/>
      <c r="G6" s="28" t="s">
        <v>115</v>
      </c>
    </row>
    <row r="7" customFormat="false" ht="35.05" hidden="false" customHeight="false" outlineLevel="0" collapsed="false">
      <c r="A7" s="5" t="s">
        <v>29</v>
      </c>
      <c r="B7" s="28" t="s">
        <v>116</v>
      </c>
      <c r="C7" s="6" t="n">
        <v>146</v>
      </c>
      <c r="D7" s="12" t="n">
        <v>0.25</v>
      </c>
      <c r="E7" s="16" t="n">
        <f aca="false">C7*D7</f>
        <v>36.5</v>
      </c>
      <c r="F7" s="28"/>
      <c r="G7" s="28" t="s">
        <v>117</v>
      </c>
    </row>
    <row r="8" customFormat="false" ht="46.25" hidden="false" customHeight="false" outlineLevel="0" collapsed="false">
      <c r="A8" s="29" t="s">
        <v>29</v>
      </c>
      <c r="B8" s="29" t="s">
        <v>118</v>
      </c>
      <c r="C8" s="30" t="n">
        <f aca="false">IF(SUM(D5:D7)&gt;0,SUMPRODUCT(C5:C7,D5:D7)/SUM(D5:D7),"")</f>
        <v>238.85</v>
      </c>
      <c r="D8" s="31" t="n">
        <f aca="false">SUM(D5:D7)</f>
        <v>1</v>
      </c>
      <c r="E8" s="32" t="n">
        <v>239</v>
      </c>
      <c r="F8" s="29" t="s">
        <v>119</v>
      </c>
      <c r="G8" s="33" t="s">
        <v>120</v>
      </c>
    </row>
    <row r="10" customFormat="false" ht="57.45" hidden="false" customHeight="false" outlineLevel="0" collapsed="false">
      <c r="A10" s="5" t="s">
        <v>30</v>
      </c>
      <c r="B10" s="28" t="s">
        <v>112</v>
      </c>
      <c r="C10" s="6" t="n">
        <v>280</v>
      </c>
      <c r="D10" s="12" t="n">
        <v>0.5</v>
      </c>
      <c r="E10" s="16" t="n">
        <f aca="false">C10*D10</f>
        <v>140</v>
      </c>
      <c r="F10" s="28"/>
      <c r="G10" s="28" t="s">
        <v>121</v>
      </c>
    </row>
    <row r="11" customFormat="false" ht="46.25" hidden="false" customHeight="false" outlineLevel="0" collapsed="false">
      <c r="A11" s="5" t="s">
        <v>30</v>
      </c>
      <c r="B11" s="28" t="s">
        <v>114</v>
      </c>
      <c r="C11" s="6" t="n">
        <v>225</v>
      </c>
      <c r="D11" s="12" t="n">
        <v>0.3</v>
      </c>
      <c r="E11" s="16" t="n">
        <f aca="false">C11*D11</f>
        <v>67.5</v>
      </c>
      <c r="F11" s="28"/>
      <c r="G11" s="28" t="s">
        <v>122</v>
      </c>
    </row>
    <row r="12" customFormat="false" ht="35.05" hidden="false" customHeight="false" outlineLevel="0" collapsed="false">
      <c r="A12" s="5" t="s">
        <v>30</v>
      </c>
      <c r="B12" s="28" t="s">
        <v>116</v>
      </c>
      <c r="C12" s="6" t="n">
        <v>165</v>
      </c>
      <c r="D12" s="12" t="n">
        <v>0.2</v>
      </c>
      <c r="E12" s="16" t="n">
        <f aca="false">C12*D12</f>
        <v>33</v>
      </c>
      <c r="F12" s="28"/>
      <c r="G12" s="28" t="s">
        <v>123</v>
      </c>
    </row>
    <row r="13" customFormat="false" ht="57.45" hidden="false" customHeight="false" outlineLevel="0" collapsed="false">
      <c r="A13" s="29" t="s">
        <v>30</v>
      </c>
      <c r="B13" s="29" t="s">
        <v>118</v>
      </c>
      <c r="C13" s="30" t="n">
        <f aca="false">IF(SUM(D10:D12)&gt;0,SUMPRODUCT(C10:C12,D10:D12)/SUM(D10:D12),"")</f>
        <v>240.5</v>
      </c>
      <c r="D13" s="31" t="n">
        <f aca="false">SUM(D10:D12)</f>
        <v>1</v>
      </c>
      <c r="E13" s="32" t="n">
        <v>240</v>
      </c>
      <c r="F13" s="29" t="s">
        <v>119</v>
      </c>
      <c r="G13" s="33" t="s">
        <v>124</v>
      </c>
    </row>
    <row r="15" customFormat="false" ht="57.45" hidden="false" customHeight="false" outlineLevel="0" collapsed="false">
      <c r="A15" s="5" t="s">
        <v>31</v>
      </c>
      <c r="B15" s="28" t="s">
        <v>112</v>
      </c>
      <c r="C15" s="6" t="n">
        <v>277</v>
      </c>
      <c r="D15" s="12" t="n">
        <v>0.5</v>
      </c>
      <c r="E15" s="16" t="n">
        <f aca="false">C15*D15</f>
        <v>138.5</v>
      </c>
      <c r="F15" s="28"/>
      <c r="G15" s="28" t="s">
        <v>125</v>
      </c>
    </row>
    <row r="16" customFormat="false" ht="46.25" hidden="false" customHeight="false" outlineLevel="0" collapsed="false">
      <c r="A16" s="5" t="s">
        <v>31</v>
      </c>
      <c r="B16" s="28" t="s">
        <v>114</v>
      </c>
      <c r="C16" s="6" t="n">
        <v>212</v>
      </c>
      <c r="D16" s="12" t="n">
        <v>0.25</v>
      </c>
      <c r="E16" s="16" t="n">
        <f aca="false">C16*D16</f>
        <v>53</v>
      </c>
      <c r="F16" s="28"/>
      <c r="G16" s="28" t="s">
        <v>126</v>
      </c>
    </row>
    <row r="17" customFormat="false" ht="46.25" hidden="false" customHeight="false" outlineLevel="0" collapsed="false">
      <c r="A17" s="5" t="s">
        <v>31</v>
      </c>
      <c r="B17" s="28" t="s">
        <v>116</v>
      </c>
      <c r="C17" s="6" t="n">
        <v>122</v>
      </c>
      <c r="D17" s="12" t="n">
        <v>0.25</v>
      </c>
      <c r="E17" s="16" t="n">
        <f aca="false">C17*D17</f>
        <v>30.5</v>
      </c>
      <c r="F17" s="28"/>
      <c r="G17" s="28" t="s">
        <v>127</v>
      </c>
    </row>
    <row r="18" customFormat="false" ht="46.25" hidden="false" customHeight="false" outlineLevel="0" collapsed="false">
      <c r="A18" s="29" t="s">
        <v>31</v>
      </c>
      <c r="B18" s="29" t="s">
        <v>118</v>
      </c>
      <c r="C18" s="30" t="n">
        <f aca="false">IF(SUM(D15:D17)&gt;0,SUMPRODUCT(C15:C17,D15:D17)/SUM(D15:D17),"")</f>
        <v>222</v>
      </c>
      <c r="D18" s="31" t="n">
        <f aca="false">SUM(D15:D17)</f>
        <v>1</v>
      </c>
      <c r="E18" s="32" t="n">
        <v>222</v>
      </c>
      <c r="F18" s="29" t="s">
        <v>119</v>
      </c>
      <c r="G18" s="33" t="s">
        <v>128</v>
      </c>
    </row>
    <row r="20" customFormat="false" ht="46.25" hidden="false" customHeight="false" outlineLevel="0" collapsed="false">
      <c r="A20" s="5" t="s">
        <v>32</v>
      </c>
      <c r="B20" s="28" t="s">
        <v>112</v>
      </c>
      <c r="C20" s="6" t="n">
        <v>260</v>
      </c>
      <c r="D20" s="12" t="n">
        <v>0.5</v>
      </c>
      <c r="E20" s="16" t="n">
        <f aca="false">C20*D20</f>
        <v>130</v>
      </c>
      <c r="F20" s="28"/>
      <c r="G20" s="28" t="s">
        <v>129</v>
      </c>
    </row>
    <row r="21" customFormat="false" ht="46.25" hidden="false" customHeight="false" outlineLevel="0" collapsed="false">
      <c r="A21" s="5" t="s">
        <v>32</v>
      </c>
      <c r="B21" s="28" t="s">
        <v>114</v>
      </c>
      <c r="C21" s="6" t="n">
        <v>230</v>
      </c>
      <c r="D21" s="12" t="n">
        <v>0.25</v>
      </c>
      <c r="E21" s="16" t="n">
        <f aca="false">C21*D21</f>
        <v>57.5</v>
      </c>
      <c r="F21" s="28"/>
      <c r="G21" s="28" t="s">
        <v>130</v>
      </c>
    </row>
    <row r="22" customFormat="false" ht="35.05" hidden="false" customHeight="false" outlineLevel="0" collapsed="false">
      <c r="A22" s="5" t="s">
        <v>32</v>
      </c>
      <c r="B22" s="28" t="s">
        <v>116</v>
      </c>
      <c r="C22" s="6" t="n">
        <v>157</v>
      </c>
      <c r="D22" s="12" t="n">
        <v>0.25</v>
      </c>
      <c r="E22" s="16" t="n">
        <f aca="false">C22*D22</f>
        <v>39.25</v>
      </c>
      <c r="F22" s="28"/>
      <c r="G22" s="28" t="s">
        <v>131</v>
      </c>
    </row>
    <row r="23" customFormat="false" ht="46.25" hidden="false" customHeight="false" outlineLevel="0" collapsed="false">
      <c r="A23" s="29" t="s">
        <v>32</v>
      </c>
      <c r="B23" s="29" t="s">
        <v>118</v>
      </c>
      <c r="C23" s="30" t="n">
        <f aca="false">IF(SUM(D20:D22)&gt;0,SUMPRODUCT(C20:C22,D20:D22)/SUM(D20:D22),"")</f>
        <v>226.75</v>
      </c>
      <c r="D23" s="31" t="n">
        <f aca="false">SUM(D20:D22)</f>
        <v>1</v>
      </c>
      <c r="E23" s="32" t="n">
        <v>227</v>
      </c>
      <c r="F23" s="29" t="s">
        <v>119</v>
      </c>
      <c r="G23" s="33" t="s">
        <v>132</v>
      </c>
    </row>
    <row r="25" customFormat="false" ht="57.45" hidden="false" customHeight="false" outlineLevel="0" collapsed="false">
      <c r="A25" s="5" t="s">
        <v>33</v>
      </c>
      <c r="B25" s="28" t="s">
        <v>112</v>
      </c>
      <c r="C25" s="6" t="n">
        <v>272</v>
      </c>
      <c r="D25" s="12" t="n">
        <v>0.5</v>
      </c>
      <c r="E25" s="16" t="n">
        <f aca="false">C25*D25</f>
        <v>136</v>
      </c>
      <c r="F25" s="28"/>
      <c r="G25" s="28" t="s">
        <v>133</v>
      </c>
    </row>
    <row r="26" customFormat="false" ht="46.25" hidden="false" customHeight="false" outlineLevel="0" collapsed="false">
      <c r="A26" s="5" t="s">
        <v>33</v>
      </c>
      <c r="B26" s="28" t="s">
        <v>114</v>
      </c>
      <c r="C26" s="6" t="n">
        <v>258</v>
      </c>
      <c r="D26" s="12" t="n">
        <v>0.3</v>
      </c>
      <c r="E26" s="16" t="n">
        <f aca="false">C26*D26</f>
        <v>77.4</v>
      </c>
      <c r="F26" s="28"/>
      <c r="G26" s="28" t="s">
        <v>134</v>
      </c>
    </row>
    <row r="27" customFormat="false" ht="46.25" hidden="false" customHeight="false" outlineLevel="0" collapsed="false">
      <c r="A27" s="5" t="s">
        <v>33</v>
      </c>
      <c r="B27" s="28" t="s">
        <v>116</v>
      </c>
      <c r="C27" s="6" t="n">
        <v>158</v>
      </c>
      <c r="D27" s="12" t="n">
        <v>0.2</v>
      </c>
      <c r="E27" s="16" t="n">
        <f aca="false">C27*D27</f>
        <v>31.6</v>
      </c>
      <c r="F27" s="28"/>
      <c r="G27" s="28" t="s">
        <v>135</v>
      </c>
    </row>
    <row r="28" customFormat="false" ht="35.05" hidden="false" customHeight="false" outlineLevel="0" collapsed="false">
      <c r="A28" s="29" t="s">
        <v>33</v>
      </c>
      <c r="B28" s="29" t="s">
        <v>118</v>
      </c>
      <c r="C28" s="30" t="n">
        <f aca="false">IF(SUM(D25:D27)&gt;0,SUMPRODUCT(C25:C27,D25:D27)/SUM(D25:D27),"")</f>
        <v>245</v>
      </c>
      <c r="D28" s="31" t="n">
        <f aca="false">SUM(D25:D27)</f>
        <v>1</v>
      </c>
      <c r="E28" s="32" t="n">
        <v>245</v>
      </c>
      <c r="F28" s="29" t="s">
        <v>119</v>
      </c>
      <c r="G28" s="33" t="s">
        <v>136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4" min="2" style="0" width="13"/>
    <col collapsed="false" customWidth="true" hidden="false" outlineLevel="0" max="7" min="5" style="0" width="50"/>
  </cols>
  <sheetData>
    <row r="1" customFormat="false" ht="17.35" hidden="false" customHeight="false" outlineLevel="0" collapsed="false">
      <c r="A1" s="1" t="s">
        <v>137</v>
      </c>
    </row>
    <row r="2" customFormat="false" ht="15" hidden="false" customHeight="false" outlineLevel="0" collapsed="false">
      <c r="A2" s="2" t="s">
        <v>138</v>
      </c>
    </row>
    <row r="4" customFormat="false" ht="23.85" hidden="false" customHeight="false" outlineLevel="0" collapsed="false">
      <c r="A4" s="23" t="s">
        <v>105</v>
      </c>
      <c r="B4" s="23" t="s">
        <v>139</v>
      </c>
      <c r="C4" s="23" t="s">
        <v>140</v>
      </c>
      <c r="D4" s="23" t="s">
        <v>141</v>
      </c>
      <c r="E4" s="23" t="s">
        <v>142</v>
      </c>
      <c r="F4" s="23" t="s">
        <v>143</v>
      </c>
      <c r="G4" s="23" t="s">
        <v>144</v>
      </c>
    </row>
    <row r="5" customFormat="false" ht="135.8" hidden="false" customHeight="false" outlineLevel="0" collapsed="false">
      <c r="A5" s="5" t="s">
        <v>29</v>
      </c>
      <c r="B5" s="6" t="n">
        <v>145</v>
      </c>
      <c r="C5" s="6" t="n">
        <v>285</v>
      </c>
      <c r="D5" s="6" t="n">
        <v>485</v>
      </c>
      <c r="E5" s="28" t="s">
        <v>145</v>
      </c>
      <c r="F5" s="28" t="s">
        <v>146</v>
      </c>
      <c r="G5" s="28" t="s">
        <v>147</v>
      </c>
    </row>
    <row r="6" customFormat="false" ht="91" hidden="false" customHeight="false" outlineLevel="0" collapsed="false">
      <c r="A6" s="5" t="s">
        <v>30</v>
      </c>
      <c r="B6" s="6" t="n">
        <v>120</v>
      </c>
      <c r="C6" s="6" t="n">
        <v>265</v>
      </c>
      <c r="D6" s="6" t="n">
        <v>480</v>
      </c>
      <c r="E6" s="28" t="s">
        <v>148</v>
      </c>
      <c r="F6" s="28" t="s">
        <v>149</v>
      </c>
      <c r="G6" s="28" t="s">
        <v>150</v>
      </c>
    </row>
    <row r="7" customFormat="false" ht="102.2" hidden="false" customHeight="false" outlineLevel="0" collapsed="false">
      <c r="A7" s="5" t="s">
        <v>31</v>
      </c>
      <c r="B7" s="6" t="n">
        <v>130</v>
      </c>
      <c r="C7" s="6" t="n">
        <v>275</v>
      </c>
      <c r="D7" s="6" t="n">
        <v>480</v>
      </c>
      <c r="E7" s="28" t="s">
        <v>151</v>
      </c>
      <c r="F7" s="28" t="s">
        <v>152</v>
      </c>
      <c r="G7" s="28" t="s">
        <v>153</v>
      </c>
    </row>
    <row r="8" customFormat="false" ht="135.8" hidden="false" customHeight="false" outlineLevel="0" collapsed="false">
      <c r="A8" s="5" t="s">
        <v>32</v>
      </c>
      <c r="B8" s="6" t="n">
        <v>150</v>
      </c>
      <c r="C8" s="6" t="n">
        <v>285</v>
      </c>
      <c r="D8" s="6" t="n">
        <v>470</v>
      </c>
      <c r="E8" s="28" t="s">
        <v>154</v>
      </c>
      <c r="F8" s="28" t="s">
        <v>155</v>
      </c>
      <c r="G8" s="28" t="s">
        <v>156</v>
      </c>
    </row>
    <row r="9" customFormat="false" ht="113.4" hidden="false" customHeight="false" outlineLevel="0" collapsed="false">
      <c r="A9" s="5" t="s">
        <v>33</v>
      </c>
      <c r="B9" s="6" t="n">
        <v>135</v>
      </c>
      <c r="C9" s="6" t="n">
        <v>295</v>
      </c>
      <c r="D9" s="6" t="n">
        <v>480</v>
      </c>
      <c r="E9" s="28" t="s">
        <v>157</v>
      </c>
      <c r="F9" s="28" t="s">
        <v>158</v>
      </c>
      <c r="G9" s="28" t="s">
        <v>159</v>
      </c>
    </row>
    <row r="10" customFormat="false" ht="15" hidden="false" customHeight="false" outlineLevel="0" collapsed="false">
      <c r="A10" s="14" t="s">
        <v>160</v>
      </c>
      <c r="B10" s="15" t="n">
        <f aca="false">AVERAGE(B5:B9)</f>
        <v>136</v>
      </c>
      <c r="C10" s="15" t="n">
        <f aca="false">AVERAGE(C5:C9)</f>
        <v>281</v>
      </c>
      <c r="D10" s="15" t="n">
        <f aca="false">AVERAGE(D5:D9)</f>
        <v>479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4" min="2" style="0" width="12"/>
    <col collapsed="false" customWidth="true" hidden="false" outlineLevel="0" max="5" min="5" style="0" width="90"/>
    <col collapsed="false" customWidth="true" hidden="false" outlineLevel="0" max="6" min="6" style="0" width="50"/>
    <col collapsed="false" customWidth="true" hidden="false" outlineLevel="0" max="7" min="7" style="0" width="60"/>
    <col collapsed="false" customWidth="true" hidden="false" outlineLevel="0" max="8" min="8" style="0" width="70"/>
  </cols>
  <sheetData>
    <row r="1" customFormat="false" ht="17.35" hidden="false" customHeight="false" outlineLevel="0" collapsed="false">
      <c r="A1" s="1" t="s">
        <v>161</v>
      </c>
    </row>
    <row r="2" customFormat="false" ht="15" hidden="false" customHeight="false" outlineLevel="0" collapsed="false">
      <c r="A2" s="2" t="s">
        <v>162</v>
      </c>
    </row>
    <row r="4" customFormat="false" ht="35.05" hidden="false" customHeight="false" outlineLevel="0" collapsed="false">
      <c r="A4" s="23" t="s">
        <v>105</v>
      </c>
      <c r="B4" s="23" t="s">
        <v>163</v>
      </c>
      <c r="C4" s="23" t="s">
        <v>164</v>
      </c>
      <c r="D4" s="23" t="s">
        <v>165</v>
      </c>
      <c r="E4" s="23" t="s">
        <v>66</v>
      </c>
      <c r="F4" s="23" t="s">
        <v>166</v>
      </c>
      <c r="G4" s="23" t="s">
        <v>167</v>
      </c>
      <c r="H4" s="23" t="s">
        <v>168</v>
      </c>
    </row>
    <row r="5" customFormat="false" ht="370.85" hidden="false" customHeight="false" outlineLevel="0" collapsed="false">
      <c r="A5" s="5" t="s">
        <v>29</v>
      </c>
      <c r="B5" s="6"/>
      <c r="C5" s="6" t="n">
        <v>239</v>
      </c>
      <c r="D5" s="6" t="n">
        <v>150</v>
      </c>
      <c r="E5" s="28" t="s">
        <v>169</v>
      </c>
      <c r="F5" s="28" t="s">
        <v>170</v>
      </c>
      <c r="G5" s="28" t="s">
        <v>171</v>
      </c>
      <c r="H5" s="28" t="s">
        <v>172</v>
      </c>
    </row>
    <row r="6" customFormat="false" ht="303.7" hidden="false" customHeight="false" outlineLevel="0" collapsed="false">
      <c r="A6" s="5" t="s">
        <v>30</v>
      </c>
      <c r="B6" s="6"/>
      <c r="C6" s="6" t="n">
        <v>240</v>
      </c>
      <c r="D6" s="6" t="n">
        <v>150</v>
      </c>
      <c r="E6" s="28" t="s">
        <v>173</v>
      </c>
      <c r="F6" s="28" t="s">
        <v>174</v>
      </c>
      <c r="G6" s="28" t="s">
        <v>175</v>
      </c>
      <c r="H6" s="28" t="s">
        <v>176</v>
      </c>
    </row>
    <row r="7" customFormat="false" ht="292.5" hidden="false" customHeight="false" outlineLevel="0" collapsed="false">
      <c r="A7" s="5" t="s">
        <v>31</v>
      </c>
      <c r="B7" s="6"/>
      <c r="C7" s="6" t="n">
        <v>222</v>
      </c>
      <c r="D7" s="6" t="n">
        <v>160</v>
      </c>
      <c r="E7" s="28" t="s">
        <v>177</v>
      </c>
      <c r="F7" s="28" t="s">
        <v>178</v>
      </c>
      <c r="G7" s="28" t="s">
        <v>179</v>
      </c>
      <c r="H7" s="28" t="s">
        <v>180</v>
      </c>
    </row>
    <row r="8" customFormat="false" ht="382.05" hidden="false" customHeight="false" outlineLevel="0" collapsed="false">
      <c r="A8" s="5" t="s">
        <v>32</v>
      </c>
      <c r="B8" s="6"/>
      <c r="C8" s="6" t="n">
        <v>227</v>
      </c>
      <c r="D8" s="6" t="n">
        <v>145</v>
      </c>
      <c r="E8" s="28" t="s">
        <v>181</v>
      </c>
      <c r="F8" s="28" t="s">
        <v>182</v>
      </c>
      <c r="G8" s="28" t="s">
        <v>183</v>
      </c>
      <c r="H8" s="28" t="s">
        <v>184</v>
      </c>
    </row>
    <row r="9" customFormat="false" ht="281.3" hidden="false" customHeight="false" outlineLevel="0" collapsed="false">
      <c r="A9" s="5" t="s">
        <v>33</v>
      </c>
      <c r="B9" s="6"/>
      <c r="C9" s="6" t="n">
        <v>245</v>
      </c>
      <c r="D9" s="6" t="n">
        <v>150</v>
      </c>
      <c r="E9" s="28" t="s">
        <v>185</v>
      </c>
      <c r="F9" s="28" t="s">
        <v>186</v>
      </c>
      <c r="G9" s="28" t="s">
        <v>187</v>
      </c>
      <c r="H9" s="28" t="s">
        <v>188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60"/>
    <col collapsed="false" customWidth="true" hidden="false" outlineLevel="0" max="4" min="4" style="0" width="50"/>
  </cols>
  <sheetData>
    <row r="1" customFormat="false" ht="17.35" hidden="false" customHeight="false" outlineLevel="0" collapsed="false">
      <c r="A1" s="1" t="s">
        <v>189</v>
      </c>
    </row>
    <row r="2" customFormat="false" ht="15" hidden="false" customHeight="false" outlineLevel="0" collapsed="false">
      <c r="A2" s="2" t="s">
        <v>190</v>
      </c>
    </row>
    <row r="4" customFormat="false" ht="46.25" hidden="false" customHeight="true" outlineLevel="0" collapsed="false">
      <c r="A4" s="14" t="s">
        <v>191</v>
      </c>
      <c r="B4" s="34" t="s">
        <v>192</v>
      </c>
      <c r="C4" s="34"/>
      <c r="D4" s="34"/>
    </row>
    <row r="5" customFormat="false" ht="68.65" hidden="false" customHeight="true" outlineLevel="0" collapsed="false">
      <c r="A5" s="14" t="s">
        <v>193</v>
      </c>
      <c r="B5" s="34" t="s">
        <v>37</v>
      </c>
      <c r="C5" s="34"/>
      <c r="D5" s="34"/>
    </row>
    <row r="6" customFormat="false" ht="68.65" hidden="false" customHeight="true" outlineLevel="0" collapsed="false">
      <c r="A6" s="14" t="s">
        <v>194</v>
      </c>
      <c r="B6" s="34" t="s">
        <v>195</v>
      </c>
      <c r="C6" s="34"/>
      <c r="D6" s="34"/>
    </row>
    <row r="8" customFormat="false" ht="15" hidden="false" customHeight="false" outlineLevel="0" collapsed="false">
      <c r="A8" s="35" t="s">
        <v>196</v>
      </c>
    </row>
    <row r="9" customFormat="false" ht="15" hidden="false" customHeight="false" outlineLevel="0" collapsed="false">
      <c r="A9" s="36" t="s">
        <v>197</v>
      </c>
      <c r="B9" s="36" t="s">
        <v>198</v>
      </c>
      <c r="C9" s="36" t="s">
        <v>199</v>
      </c>
      <c r="D9" s="36" t="s">
        <v>200</v>
      </c>
    </row>
    <row r="10" customFormat="false" ht="135.8" hidden="false" customHeight="false" outlineLevel="0" collapsed="false">
      <c r="A10" s="28" t="s">
        <v>201</v>
      </c>
      <c r="B10" s="28" t="s">
        <v>202</v>
      </c>
      <c r="C10" s="28" t="s">
        <v>203</v>
      </c>
      <c r="D10" s="28" t="s">
        <v>204</v>
      </c>
    </row>
    <row r="11" customFormat="false" ht="113.4" hidden="false" customHeight="false" outlineLevel="0" collapsed="false">
      <c r="A11" s="28" t="s">
        <v>205</v>
      </c>
      <c r="B11" s="28" t="s">
        <v>206</v>
      </c>
      <c r="C11" s="28" t="s">
        <v>207</v>
      </c>
      <c r="D11" s="28" t="s">
        <v>208</v>
      </c>
    </row>
    <row r="12" customFormat="false" ht="79.85" hidden="false" customHeight="false" outlineLevel="0" collapsed="false">
      <c r="A12" s="28" t="s">
        <v>209</v>
      </c>
      <c r="B12" s="28" t="s">
        <v>210</v>
      </c>
      <c r="C12" s="28" t="s">
        <v>211</v>
      </c>
      <c r="D12" s="28" t="s">
        <v>212</v>
      </c>
    </row>
    <row r="13" customFormat="false" ht="68.65" hidden="false" customHeight="false" outlineLevel="0" collapsed="false">
      <c r="A13" s="28" t="s">
        <v>213</v>
      </c>
      <c r="B13" s="28" t="s">
        <v>214</v>
      </c>
      <c r="C13" s="28" t="s">
        <v>215</v>
      </c>
      <c r="D13" s="28" t="s">
        <v>216</v>
      </c>
    </row>
    <row r="15" customFormat="false" ht="15" hidden="false" customHeight="false" outlineLevel="0" collapsed="false">
      <c r="A15" s="35" t="s">
        <v>217</v>
      </c>
    </row>
    <row r="16" customFormat="false" ht="15" hidden="false" customHeight="false" outlineLevel="0" collapsed="false">
      <c r="A16" s="36" t="s">
        <v>218</v>
      </c>
      <c r="B16" s="36" t="s">
        <v>219</v>
      </c>
      <c r="C16" s="36" t="s">
        <v>220</v>
      </c>
      <c r="D16" s="36" t="s">
        <v>221</v>
      </c>
    </row>
    <row r="17" customFormat="false" ht="68.65" hidden="false" customHeight="false" outlineLevel="0" collapsed="false">
      <c r="A17" s="28" t="s">
        <v>222</v>
      </c>
      <c r="B17" s="28" t="s">
        <v>223</v>
      </c>
      <c r="C17" s="28" t="s">
        <v>224</v>
      </c>
      <c r="D17" s="28" t="s">
        <v>225</v>
      </c>
    </row>
    <row r="18" customFormat="false" ht="46.25" hidden="false" customHeight="false" outlineLevel="0" collapsed="false">
      <c r="A18" s="28" t="s">
        <v>165</v>
      </c>
      <c r="B18" s="28" t="s">
        <v>226</v>
      </c>
      <c r="C18" s="28" t="s">
        <v>227</v>
      </c>
      <c r="D18" s="28" t="s">
        <v>228</v>
      </c>
    </row>
    <row r="19" customFormat="false" ht="35.05" hidden="false" customHeight="false" outlineLevel="0" collapsed="false">
      <c r="A19" s="28" t="s">
        <v>229</v>
      </c>
      <c r="B19" s="28" t="s">
        <v>230</v>
      </c>
      <c r="C19" s="28" t="s">
        <v>231</v>
      </c>
      <c r="D19" s="28" t="s">
        <v>232</v>
      </c>
    </row>
    <row r="20" customFormat="false" ht="35.05" hidden="false" customHeight="false" outlineLevel="0" collapsed="false">
      <c r="A20" s="28" t="s">
        <v>233</v>
      </c>
      <c r="B20" s="28" t="s">
        <v>234</v>
      </c>
      <c r="C20" s="28" t="s">
        <v>235</v>
      </c>
      <c r="D20" s="28" t="s">
        <v>236</v>
      </c>
    </row>
    <row r="22" customFormat="false" ht="15" hidden="false" customHeight="false" outlineLevel="0" collapsed="false">
      <c r="A22" s="35" t="s">
        <v>237</v>
      </c>
    </row>
    <row r="23" customFormat="false" ht="23.85" hidden="false" customHeight="true" outlineLevel="0" collapsed="false">
      <c r="B23" s="34" t="s">
        <v>238</v>
      </c>
      <c r="C23" s="34"/>
      <c r="D23" s="34"/>
    </row>
    <row r="24" customFormat="false" ht="23.85" hidden="false" customHeight="true" outlineLevel="0" collapsed="false">
      <c r="B24" s="34" t="s">
        <v>239</v>
      </c>
      <c r="C24" s="34"/>
      <c r="D24" s="34"/>
    </row>
    <row r="25" customFormat="false" ht="15" hidden="false" customHeight="true" outlineLevel="0" collapsed="false">
      <c r="B25" s="34" t="s">
        <v>240</v>
      </c>
      <c r="C25" s="34"/>
      <c r="D25" s="34"/>
    </row>
    <row r="26" customFormat="false" ht="23.85" hidden="false" customHeight="true" outlineLevel="0" collapsed="false">
      <c r="B26" s="34" t="s">
        <v>241</v>
      </c>
      <c r="C26" s="34"/>
      <c r="D26" s="34"/>
    </row>
    <row r="27" customFormat="false" ht="23.85" hidden="false" customHeight="true" outlineLevel="0" collapsed="false">
      <c r="B27" s="34" t="s">
        <v>242</v>
      </c>
      <c r="C27" s="34"/>
      <c r="D27" s="34"/>
    </row>
    <row r="28" customFormat="false" ht="23.85" hidden="false" customHeight="true" outlineLevel="0" collapsed="false">
      <c r="B28" s="34" t="s">
        <v>243</v>
      </c>
      <c r="C28" s="34"/>
      <c r="D28" s="34"/>
    </row>
    <row r="29" customFormat="false" ht="15" hidden="false" customHeight="true" outlineLevel="0" collapsed="false">
      <c r="B29" s="34" t="s">
        <v>244</v>
      </c>
      <c r="C29" s="34"/>
      <c r="D29" s="34"/>
    </row>
    <row r="30" customFormat="false" ht="15" hidden="false" customHeight="true" outlineLevel="0" collapsed="false">
      <c r="B30" s="34" t="s">
        <v>245</v>
      </c>
      <c r="C30" s="34"/>
      <c r="D30" s="34"/>
    </row>
    <row r="31" customFormat="false" ht="23.85" hidden="false" customHeight="true" outlineLevel="0" collapsed="false">
      <c r="B31" s="34" t="s">
        <v>246</v>
      </c>
      <c r="C31" s="34"/>
      <c r="D31" s="34"/>
    </row>
    <row r="32" customFormat="false" ht="23.85" hidden="false" customHeight="true" outlineLevel="0" collapsed="false">
      <c r="B32" s="34" t="s">
        <v>247</v>
      </c>
      <c r="C32" s="34"/>
      <c r="D32" s="34"/>
    </row>
    <row r="33" customFormat="false" ht="23.85" hidden="false" customHeight="true" outlineLevel="0" collapsed="false">
      <c r="B33" s="34" t="s">
        <v>248</v>
      </c>
      <c r="C33" s="34"/>
      <c r="D33" s="34"/>
    </row>
    <row r="34" customFormat="false" ht="15" hidden="false" customHeight="true" outlineLevel="0" collapsed="false">
      <c r="B34" s="34" t="s">
        <v>249</v>
      </c>
      <c r="C34" s="34"/>
      <c r="D34" s="34"/>
    </row>
    <row r="35" customFormat="false" ht="15" hidden="false" customHeight="true" outlineLevel="0" collapsed="false">
      <c r="B35" s="34" t="s">
        <v>250</v>
      </c>
      <c r="C35" s="34"/>
      <c r="D35" s="34"/>
    </row>
    <row r="36" customFormat="false" ht="15" hidden="false" customHeight="true" outlineLevel="0" collapsed="false">
      <c r="B36" s="34" t="s">
        <v>251</v>
      </c>
      <c r="C36" s="34"/>
      <c r="D36" s="34"/>
    </row>
    <row r="37" customFormat="false" ht="23.85" hidden="false" customHeight="true" outlineLevel="0" collapsed="false">
      <c r="B37" s="34" t="s">
        <v>252</v>
      </c>
      <c r="C37" s="34"/>
      <c r="D37" s="34"/>
    </row>
    <row r="38" customFormat="false" ht="23.85" hidden="false" customHeight="true" outlineLevel="0" collapsed="false">
      <c r="B38" s="34" t="s">
        <v>253</v>
      </c>
      <c r="C38" s="34"/>
      <c r="D38" s="34"/>
    </row>
    <row r="39" customFormat="false" ht="23.85" hidden="false" customHeight="true" outlineLevel="0" collapsed="false">
      <c r="B39" s="34" t="s">
        <v>254</v>
      </c>
      <c r="C39" s="34"/>
      <c r="D39" s="34"/>
    </row>
    <row r="40" customFormat="false" ht="23.85" hidden="false" customHeight="true" outlineLevel="0" collapsed="false">
      <c r="B40" s="34" t="s">
        <v>255</v>
      </c>
      <c r="C40" s="34"/>
      <c r="D40" s="34"/>
    </row>
    <row r="41" customFormat="false" ht="23.85" hidden="false" customHeight="true" outlineLevel="0" collapsed="false">
      <c r="B41" s="34" t="s">
        <v>256</v>
      </c>
      <c r="C41" s="34"/>
      <c r="D41" s="34"/>
    </row>
    <row r="42" customFormat="false" ht="23.85" hidden="false" customHeight="true" outlineLevel="0" collapsed="false">
      <c r="B42" s="34" t="s">
        <v>257</v>
      </c>
      <c r="C42" s="34"/>
      <c r="D42" s="34"/>
    </row>
    <row r="43" customFormat="false" ht="23.85" hidden="false" customHeight="true" outlineLevel="0" collapsed="false">
      <c r="B43" s="34" t="s">
        <v>258</v>
      </c>
      <c r="C43" s="34"/>
      <c r="D43" s="34"/>
    </row>
    <row r="45" customFormat="false" ht="15" hidden="false" customHeight="false" outlineLevel="0" collapsed="false">
      <c r="A45" s="35" t="s">
        <v>259</v>
      </c>
    </row>
    <row r="46" customFormat="false" ht="15" hidden="false" customHeight="false" outlineLevel="0" collapsed="false">
      <c r="A46" s="5" t="s">
        <v>260</v>
      </c>
      <c r="B46" s="28" t="n">
        <v>4</v>
      </c>
    </row>
    <row r="47" customFormat="false" ht="15" hidden="false" customHeight="false" outlineLevel="0" collapsed="false">
      <c r="A47" s="5" t="s">
        <v>261</v>
      </c>
      <c r="B47" s="28" t="s">
        <v>262</v>
      </c>
    </row>
    <row r="48" customFormat="false" ht="46.25" hidden="false" customHeight="false" outlineLevel="0" collapsed="false">
      <c r="A48" s="5" t="s">
        <v>263</v>
      </c>
      <c r="B48" s="28" t="s">
        <v>264</v>
      </c>
    </row>
    <row r="49" customFormat="false" ht="23.85" hidden="false" customHeight="false" outlineLevel="0" collapsed="false">
      <c r="A49" s="5" t="s">
        <v>265</v>
      </c>
      <c r="B49" s="28" t="s">
        <v>266</v>
      </c>
    </row>
    <row r="50" customFormat="false" ht="91" hidden="false" customHeight="false" outlineLevel="0" collapsed="false">
      <c r="A50" s="5" t="s">
        <v>267</v>
      </c>
      <c r="B50" s="28" t="s">
        <v>268</v>
      </c>
    </row>
  </sheetData>
  <mergeCells count="24">
    <mergeCell ref="B4:D4"/>
    <mergeCell ref="B5:D5"/>
    <mergeCell ref="B6:D6"/>
    <mergeCell ref="B23:D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 ref="B39:D39"/>
    <mergeCell ref="B40:D40"/>
    <mergeCell ref="B41:D41"/>
    <mergeCell ref="B42:D42"/>
    <mergeCell ref="B43:D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70"/>
    <col collapsed="false" customWidth="true" hidden="false" outlineLevel="0" max="4" min="4" style="0" width="12"/>
    <col collapsed="false" customWidth="true" hidden="false" outlineLevel="0" max="5" min="5" style="0" width="60"/>
  </cols>
  <sheetData>
    <row r="1" customFormat="false" ht="17.35" hidden="false" customHeight="false" outlineLevel="0" collapsed="false">
      <c r="A1" s="1" t="s">
        <v>269</v>
      </c>
    </row>
    <row r="2" customFormat="false" ht="15" hidden="false" customHeight="false" outlineLevel="0" collapsed="false">
      <c r="A2" s="2" t="s">
        <v>270</v>
      </c>
    </row>
    <row r="4" customFormat="false" ht="15" hidden="false" customHeight="false" outlineLevel="0" collapsed="false">
      <c r="A4" s="23" t="s">
        <v>74</v>
      </c>
      <c r="B4" s="23" t="s">
        <v>271</v>
      </c>
      <c r="C4" s="23" t="s">
        <v>272</v>
      </c>
      <c r="D4" s="23" t="s">
        <v>273</v>
      </c>
      <c r="E4" s="23" t="s">
        <v>274</v>
      </c>
    </row>
    <row r="5" customFormat="false" ht="15" hidden="false" customHeight="false" outlineLevel="0" collapsed="false">
      <c r="A5" s="5" t="s">
        <v>275</v>
      </c>
      <c r="B5" s="5" t="s">
        <v>276</v>
      </c>
      <c r="C5" s="28" t="s">
        <v>277</v>
      </c>
      <c r="D5" s="5" t="s">
        <v>278</v>
      </c>
      <c r="E5" s="22" t="s">
        <v>279</v>
      </c>
    </row>
    <row r="6" customFormat="false" ht="15" hidden="false" customHeight="false" outlineLevel="0" collapsed="false">
      <c r="A6" s="5" t="s">
        <v>280</v>
      </c>
      <c r="B6" s="5" t="s">
        <v>276</v>
      </c>
      <c r="C6" s="28" t="s">
        <v>281</v>
      </c>
      <c r="D6" s="5" t="s">
        <v>282</v>
      </c>
      <c r="E6" s="22" t="s">
        <v>283</v>
      </c>
    </row>
    <row r="7" customFormat="false" ht="23.85" hidden="false" customHeight="false" outlineLevel="0" collapsed="false">
      <c r="A7" s="5" t="s">
        <v>284</v>
      </c>
      <c r="B7" s="5" t="s">
        <v>276</v>
      </c>
      <c r="C7" s="28" t="s">
        <v>285</v>
      </c>
      <c r="D7" s="5" t="s">
        <v>286</v>
      </c>
      <c r="E7" s="22" t="s">
        <v>287</v>
      </c>
    </row>
    <row r="8" customFormat="false" ht="15" hidden="false" customHeight="false" outlineLevel="0" collapsed="false">
      <c r="A8" s="5" t="s">
        <v>288</v>
      </c>
      <c r="B8" s="5" t="s">
        <v>276</v>
      </c>
      <c r="C8" s="28" t="s">
        <v>289</v>
      </c>
      <c r="D8" s="5" t="s">
        <v>278</v>
      </c>
      <c r="E8" s="22" t="s">
        <v>290</v>
      </c>
    </row>
    <row r="9" customFormat="false" ht="23.85" hidden="false" customHeight="false" outlineLevel="0" collapsed="false">
      <c r="A9" s="5" t="s">
        <v>291</v>
      </c>
      <c r="B9" s="5" t="s">
        <v>276</v>
      </c>
      <c r="C9" s="28" t="s">
        <v>292</v>
      </c>
      <c r="D9" s="5" t="s">
        <v>293</v>
      </c>
      <c r="E9" s="22" t="s">
        <v>294</v>
      </c>
    </row>
    <row r="10" customFormat="false" ht="23.85" hidden="false" customHeight="false" outlineLevel="0" collapsed="false">
      <c r="A10" s="5" t="s">
        <v>295</v>
      </c>
      <c r="B10" s="5" t="s">
        <v>276</v>
      </c>
      <c r="C10" s="28" t="s">
        <v>296</v>
      </c>
      <c r="D10" s="5" t="s">
        <v>297</v>
      </c>
      <c r="E10" s="22" t="s">
        <v>298</v>
      </c>
    </row>
    <row r="11" customFormat="false" ht="15" hidden="false" customHeight="false" outlineLevel="0" collapsed="false">
      <c r="A11" s="5" t="s">
        <v>299</v>
      </c>
      <c r="B11" s="5" t="s">
        <v>276</v>
      </c>
      <c r="C11" s="28" t="s">
        <v>300</v>
      </c>
      <c r="D11" s="5" t="s">
        <v>301</v>
      </c>
      <c r="E11" s="22" t="s">
        <v>302</v>
      </c>
    </row>
    <row r="12" customFormat="false" ht="23.85" hidden="false" customHeight="false" outlineLevel="0" collapsed="false">
      <c r="A12" s="5" t="s">
        <v>303</v>
      </c>
      <c r="B12" s="5" t="s">
        <v>276</v>
      </c>
      <c r="C12" s="28" t="s">
        <v>304</v>
      </c>
      <c r="D12" s="5" t="s">
        <v>293</v>
      </c>
      <c r="E12" s="22" t="s">
        <v>305</v>
      </c>
    </row>
    <row r="13" customFormat="false" ht="15" hidden="false" customHeight="false" outlineLevel="0" collapsed="false">
      <c r="A13" s="5" t="s">
        <v>306</v>
      </c>
      <c r="B13" s="5" t="s">
        <v>276</v>
      </c>
      <c r="C13" s="28" t="s">
        <v>307</v>
      </c>
      <c r="D13" s="5" t="s">
        <v>297</v>
      </c>
      <c r="E13" s="22" t="s">
        <v>308</v>
      </c>
    </row>
    <row r="14" customFormat="false" ht="23.85" hidden="false" customHeight="false" outlineLevel="0" collapsed="false">
      <c r="A14" s="5" t="s">
        <v>309</v>
      </c>
      <c r="B14" s="5" t="s">
        <v>276</v>
      </c>
      <c r="C14" s="28" t="s">
        <v>310</v>
      </c>
      <c r="D14" s="5" t="s">
        <v>311</v>
      </c>
      <c r="E14" s="22" t="s">
        <v>312</v>
      </c>
    </row>
    <row r="15" customFormat="false" ht="15" hidden="false" customHeight="false" outlineLevel="0" collapsed="false">
      <c r="A15" s="5" t="s">
        <v>313</v>
      </c>
      <c r="B15" s="5" t="s">
        <v>276</v>
      </c>
      <c r="C15" s="28" t="s">
        <v>314</v>
      </c>
      <c r="D15" s="5" t="s">
        <v>315</v>
      </c>
      <c r="E15" s="22" t="s">
        <v>316</v>
      </c>
    </row>
    <row r="16" customFormat="false" ht="15" hidden="false" customHeight="false" outlineLevel="0" collapsed="false">
      <c r="A16" s="5" t="s">
        <v>317</v>
      </c>
      <c r="B16" s="5" t="s">
        <v>276</v>
      </c>
      <c r="C16" s="28" t="s">
        <v>318</v>
      </c>
      <c r="D16" s="5" t="s">
        <v>297</v>
      </c>
      <c r="E16" s="22" t="s">
        <v>319</v>
      </c>
    </row>
    <row r="17" customFormat="false" ht="15" hidden="false" customHeight="false" outlineLevel="0" collapsed="false">
      <c r="A17" s="5" t="s">
        <v>320</v>
      </c>
      <c r="B17" s="5" t="s">
        <v>276</v>
      </c>
      <c r="C17" s="28" t="s">
        <v>321</v>
      </c>
      <c r="D17" s="5" t="s">
        <v>322</v>
      </c>
      <c r="E17" s="22" t="s">
        <v>323</v>
      </c>
    </row>
    <row r="18" customFormat="false" ht="15" hidden="false" customHeight="false" outlineLevel="0" collapsed="false">
      <c r="A18" s="5" t="s">
        <v>324</v>
      </c>
      <c r="B18" s="5" t="s">
        <v>276</v>
      </c>
      <c r="C18" s="28" t="s">
        <v>325</v>
      </c>
      <c r="D18" s="5" t="s">
        <v>326</v>
      </c>
      <c r="E18" s="22" t="s">
        <v>327</v>
      </c>
    </row>
    <row r="19" customFormat="false" ht="15" hidden="false" customHeight="false" outlineLevel="0" collapsed="false">
      <c r="A19" s="5" t="s">
        <v>328</v>
      </c>
      <c r="B19" s="5" t="s">
        <v>276</v>
      </c>
      <c r="C19" s="28" t="s">
        <v>329</v>
      </c>
      <c r="D19" s="5" t="s">
        <v>330</v>
      </c>
      <c r="E19" s="22" t="s">
        <v>331</v>
      </c>
    </row>
    <row r="20" customFormat="false" ht="15" hidden="false" customHeight="false" outlineLevel="0" collapsed="false">
      <c r="A20" s="5" t="s">
        <v>332</v>
      </c>
      <c r="B20" s="5" t="s">
        <v>276</v>
      </c>
      <c r="C20" s="28" t="s">
        <v>333</v>
      </c>
      <c r="D20" s="5" t="s">
        <v>334</v>
      </c>
      <c r="E20" s="22" t="s">
        <v>335</v>
      </c>
    </row>
    <row r="21" customFormat="false" ht="15" hidden="false" customHeight="false" outlineLevel="0" collapsed="false">
      <c r="A21" s="5" t="s">
        <v>336</v>
      </c>
      <c r="B21" s="5" t="s">
        <v>276</v>
      </c>
      <c r="C21" s="28" t="s">
        <v>337</v>
      </c>
      <c r="D21" s="5" t="s">
        <v>293</v>
      </c>
      <c r="E21" s="22" t="s">
        <v>338</v>
      </c>
    </row>
    <row r="22" customFormat="false" ht="15" hidden="false" customHeight="false" outlineLevel="0" collapsed="false">
      <c r="A22" s="5" t="s">
        <v>339</v>
      </c>
      <c r="B22" s="5" t="s">
        <v>340</v>
      </c>
      <c r="C22" s="28" t="s">
        <v>277</v>
      </c>
      <c r="D22" s="5" t="s">
        <v>278</v>
      </c>
      <c r="E22" s="22" t="s">
        <v>341</v>
      </c>
    </row>
    <row r="23" customFormat="false" ht="15" hidden="false" customHeight="false" outlineLevel="0" collapsed="false">
      <c r="A23" s="5" t="s">
        <v>342</v>
      </c>
      <c r="B23" s="5" t="s">
        <v>340</v>
      </c>
      <c r="C23" s="28" t="s">
        <v>281</v>
      </c>
      <c r="D23" s="5" t="s">
        <v>282</v>
      </c>
      <c r="E23" s="22" t="s">
        <v>283</v>
      </c>
    </row>
    <row r="24" customFormat="false" ht="23.85" hidden="false" customHeight="false" outlineLevel="0" collapsed="false">
      <c r="A24" s="5" t="s">
        <v>343</v>
      </c>
      <c r="B24" s="5" t="s">
        <v>340</v>
      </c>
      <c r="C24" s="28" t="s">
        <v>344</v>
      </c>
      <c r="D24" s="5" t="s">
        <v>286</v>
      </c>
      <c r="E24" s="22" t="s">
        <v>345</v>
      </c>
    </row>
    <row r="25" customFormat="false" ht="15" hidden="false" customHeight="false" outlineLevel="0" collapsed="false">
      <c r="A25" s="5" t="s">
        <v>346</v>
      </c>
      <c r="B25" s="5" t="s">
        <v>340</v>
      </c>
      <c r="C25" s="28" t="s">
        <v>347</v>
      </c>
      <c r="D25" s="5" t="s">
        <v>348</v>
      </c>
      <c r="E25" s="22" t="s">
        <v>349</v>
      </c>
    </row>
    <row r="26" customFormat="false" ht="23.85" hidden="false" customHeight="false" outlineLevel="0" collapsed="false">
      <c r="A26" s="5" t="s">
        <v>350</v>
      </c>
      <c r="B26" s="5" t="s">
        <v>340</v>
      </c>
      <c r="C26" s="28" t="s">
        <v>292</v>
      </c>
      <c r="D26" s="5" t="s">
        <v>293</v>
      </c>
      <c r="E26" s="22" t="s">
        <v>294</v>
      </c>
    </row>
    <row r="27" customFormat="false" ht="23.85" hidden="false" customHeight="false" outlineLevel="0" collapsed="false">
      <c r="A27" s="5" t="s">
        <v>351</v>
      </c>
      <c r="B27" s="5" t="s">
        <v>340</v>
      </c>
      <c r="C27" s="28" t="s">
        <v>352</v>
      </c>
      <c r="D27" s="5" t="s">
        <v>301</v>
      </c>
      <c r="E27" s="22" t="s">
        <v>353</v>
      </c>
    </row>
    <row r="28" customFormat="false" ht="15" hidden="false" customHeight="false" outlineLevel="0" collapsed="false">
      <c r="A28" s="5" t="s">
        <v>354</v>
      </c>
      <c r="B28" s="5" t="s">
        <v>340</v>
      </c>
      <c r="C28" s="28" t="s">
        <v>300</v>
      </c>
      <c r="D28" s="5" t="s">
        <v>301</v>
      </c>
      <c r="E28" s="22" t="s">
        <v>302</v>
      </c>
    </row>
    <row r="29" customFormat="false" ht="15" hidden="false" customHeight="false" outlineLevel="0" collapsed="false">
      <c r="A29" s="5" t="s">
        <v>355</v>
      </c>
      <c r="B29" s="5" t="s">
        <v>340</v>
      </c>
      <c r="C29" s="28" t="s">
        <v>307</v>
      </c>
      <c r="D29" s="5" t="s">
        <v>297</v>
      </c>
      <c r="E29" s="22" t="s">
        <v>308</v>
      </c>
    </row>
    <row r="30" customFormat="false" ht="15" hidden="false" customHeight="false" outlineLevel="0" collapsed="false">
      <c r="A30" s="5" t="s">
        <v>356</v>
      </c>
      <c r="B30" s="5" t="s">
        <v>340</v>
      </c>
      <c r="C30" s="28" t="s">
        <v>357</v>
      </c>
      <c r="D30" s="5" t="s">
        <v>358</v>
      </c>
      <c r="E30" s="22" t="s">
        <v>359</v>
      </c>
    </row>
    <row r="31" customFormat="false" ht="23.85" hidden="false" customHeight="false" outlineLevel="0" collapsed="false">
      <c r="A31" s="5" t="s">
        <v>360</v>
      </c>
      <c r="B31" s="5" t="s">
        <v>340</v>
      </c>
      <c r="C31" s="28" t="s">
        <v>361</v>
      </c>
      <c r="D31" s="5" t="s">
        <v>278</v>
      </c>
      <c r="E31" s="22" t="s">
        <v>362</v>
      </c>
    </row>
    <row r="32" customFormat="false" ht="15" hidden="false" customHeight="false" outlineLevel="0" collapsed="false">
      <c r="A32" s="5" t="s">
        <v>363</v>
      </c>
      <c r="B32" s="5" t="s">
        <v>340</v>
      </c>
      <c r="C32" s="28" t="s">
        <v>364</v>
      </c>
      <c r="D32" s="5" t="s">
        <v>322</v>
      </c>
      <c r="E32" s="22" t="s">
        <v>365</v>
      </c>
    </row>
    <row r="33" customFormat="false" ht="15" hidden="false" customHeight="false" outlineLevel="0" collapsed="false">
      <c r="A33" s="5" t="s">
        <v>366</v>
      </c>
      <c r="B33" s="5" t="s">
        <v>340</v>
      </c>
      <c r="C33" s="28" t="s">
        <v>367</v>
      </c>
      <c r="D33" s="5" t="s">
        <v>293</v>
      </c>
      <c r="E33" s="22" t="s">
        <v>368</v>
      </c>
    </row>
    <row r="34" customFormat="false" ht="15" hidden="false" customHeight="false" outlineLevel="0" collapsed="false">
      <c r="A34" s="5" t="s">
        <v>369</v>
      </c>
      <c r="B34" s="5" t="s">
        <v>340</v>
      </c>
      <c r="C34" s="28" t="s">
        <v>370</v>
      </c>
      <c r="D34" s="5" t="s">
        <v>371</v>
      </c>
      <c r="E34" s="22" t="s">
        <v>372</v>
      </c>
    </row>
    <row r="35" customFormat="false" ht="23.85" hidden="false" customHeight="false" outlineLevel="0" collapsed="false">
      <c r="A35" s="5" t="s">
        <v>373</v>
      </c>
      <c r="B35" s="5" t="s">
        <v>374</v>
      </c>
      <c r="C35" s="28" t="s">
        <v>375</v>
      </c>
      <c r="D35" s="5" t="s">
        <v>278</v>
      </c>
      <c r="E35" s="22" t="s">
        <v>279</v>
      </c>
    </row>
    <row r="36" customFormat="false" ht="15" hidden="false" customHeight="false" outlineLevel="0" collapsed="false">
      <c r="A36" s="5" t="s">
        <v>376</v>
      </c>
      <c r="B36" s="5" t="s">
        <v>374</v>
      </c>
      <c r="C36" s="28" t="s">
        <v>281</v>
      </c>
      <c r="D36" s="5" t="s">
        <v>282</v>
      </c>
      <c r="E36" s="22" t="s">
        <v>283</v>
      </c>
    </row>
    <row r="37" customFormat="false" ht="23.85" hidden="false" customHeight="false" outlineLevel="0" collapsed="false">
      <c r="A37" s="5" t="s">
        <v>377</v>
      </c>
      <c r="B37" s="5" t="s">
        <v>374</v>
      </c>
      <c r="C37" s="28" t="s">
        <v>285</v>
      </c>
      <c r="D37" s="5" t="s">
        <v>286</v>
      </c>
      <c r="E37" s="22" t="s">
        <v>287</v>
      </c>
    </row>
    <row r="38" customFormat="false" ht="15" hidden="false" customHeight="false" outlineLevel="0" collapsed="false">
      <c r="A38" s="5" t="s">
        <v>378</v>
      </c>
      <c r="B38" s="5" t="s">
        <v>374</v>
      </c>
      <c r="C38" s="28" t="s">
        <v>300</v>
      </c>
      <c r="D38" s="5" t="s">
        <v>301</v>
      </c>
      <c r="E38" s="22" t="s">
        <v>302</v>
      </c>
    </row>
    <row r="39" customFormat="false" ht="23.85" hidden="false" customHeight="false" outlineLevel="0" collapsed="false">
      <c r="A39" s="5" t="s">
        <v>379</v>
      </c>
      <c r="B39" s="5" t="s">
        <v>374</v>
      </c>
      <c r="C39" s="28" t="s">
        <v>292</v>
      </c>
      <c r="D39" s="5" t="s">
        <v>293</v>
      </c>
      <c r="E39" s="22" t="s">
        <v>294</v>
      </c>
    </row>
    <row r="40" customFormat="false" ht="23.85" hidden="false" customHeight="false" outlineLevel="0" collapsed="false">
      <c r="A40" s="5" t="s">
        <v>380</v>
      </c>
      <c r="B40" s="5" t="s">
        <v>374</v>
      </c>
      <c r="C40" s="28" t="s">
        <v>381</v>
      </c>
      <c r="D40" s="5" t="s">
        <v>382</v>
      </c>
      <c r="E40" s="22" t="s">
        <v>383</v>
      </c>
    </row>
    <row r="41" customFormat="false" ht="23.85" hidden="false" customHeight="false" outlineLevel="0" collapsed="false">
      <c r="A41" s="5" t="s">
        <v>384</v>
      </c>
      <c r="B41" s="5" t="s">
        <v>374</v>
      </c>
      <c r="C41" s="28" t="s">
        <v>385</v>
      </c>
      <c r="D41" s="5" t="s">
        <v>301</v>
      </c>
      <c r="E41" s="22" t="s">
        <v>386</v>
      </c>
    </row>
    <row r="42" customFormat="false" ht="23.85" hidden="false" customHeight="false" outlineLevel="0" collapsed="false">
      <c r="A42" s="5" t="s">
        <v>387</v>
      </c>
      <c r="B42" s="5" t="s">
        <v>374</v>
      </c>
      <c r="C42" s="28" t="s">
        <v>304</v>
      </c>
      <c r="D42" s="5" t="s">
        <v>293</v>
      </c>
      <c r="E42" s="22" t="s">
        <v>305</v>
      </c>
    </row>
    <row r="43" customFormat="false" ht="15" hidden="false" customHeight="false" outlineLevel="0" collapsed="false">
      <c r="A43" s="5" t="s">
        <v>388</v>
      </c>
      <c r="B43" s="5" t="s">
        <v>374</v>
      </c>
      <c r="C43" s="28" t="s">
        <v>307</v>
      </c>
      <c r="D43" s="5" t="s">
        <v>297</v>
      </c>
      <c r="E43" s="22" t="s">
        <v>308</v>
      </c>
    </row>
    <row r="44" customFormat="false" ht="15" hidden="false" customHeight="false" outlineLevel="0" collapsed="false">
      <c r="A44" s="5" t="s">
        <v>389</v>
      </c>
      <c r="B44" s="5" t="s">
        <v>374</v>
      </c>
      <c r="C44" s="28" t="s">
        <v>390</v>
      </c>
      <c r="D44" s="5" t="s">
        <v>315</v>
      </c>
      <c r="E44" s="22" t="s">
        <v>316</v>
      </c>
    </row>
    <row r="45" customFormat="false" ht="15" hidden="false" customHeight="false" outlineLevel="0" collapsed="false">
      <c r="A45" s="5" t="s">
        <v>391</v>
      </c>
      <c r="B45" s="5" t="s">
        <v>374</v>
      </c>
      <c r="C45" s="28" t="s">
        <v>318</v>
      </c>
      <c r="D45" s="5" t="s">
        <v>301</v>
      </c>
      <c r="E45" s="22" t="s">
        <v>319</v>
      </c>
    </row>
    <row r="46" customFormat="false" ht="23.85" hidden="false" customHeight="false" outlineLevel="0" collapsed="false">
      <c r="A46" s="5" t="s">
        <v>392</v>
      </c>
      <c r="B46" s="5" t="s">
        <v>374</v>
      </c>
      <c r="C46" s="28" t="s">
        <v>393</v>
      </c>
      <c r="D46" s="5" t="s">
        <v>301</v>
      </c>
      <c r="E46" s="22" t="s">
        <v>394</v>
      </c>
    </row>
    <row r="47" customFormat="false" ht="15" hidden="false" customHeight="false" outlineLevel="0" collapsed="false">
      <c r="A47" s="5" t="s">
        <v>395</v>
      </c>
      <c r="B47" s="5" t="s">
        <v>374</v>
      </c>
      <c r="C47" s="28" t="s">
        <v>396</v>
      </c>
      <c r="D47" s="5" t="s">
        <v>397</v>
      </c>
      <c r="E47" s="22" t="s">
        <v>398</v>
      </c>
    </row>
    <row r="48" customFormat="false" ht="15" hidden="false" customHeight="false" outlineLevel="0" collapsed="false">
      <c r="A48" s="5" t="s">
        <v>399</v>
      </c>
      <c r="B48" s="5" t="s">
        <v>374</v>
      </c>
      <c r="C48" s="28" t="s">
        <v>400</v>
      </c>
      <c r="D48" s="5" t="s">
        <v>278</v>
      </c>
      <c r="E48" s="22" t="s">
        <v>290</v>
      </c>
    </row>
    <row r="49" customFormat="false" ht="15" hidden="false" customHeight="false" outlineLevel="0" collapsed="false">
      <c r="A49" s="5" t="s">
        <v>401</v>
      </c>
      <c r="B49" s="5" t="s">
        <v>402</v>
      </c>
      <c r="C49" s="28" t="s">
        <v>403</v>
      </c>
      <c r="D49" s="5" t="s">
        <v>278</v>
      </c>
      <c r="E49" s="22" t="s">
        <v>279</v>
      </c>
    </row>
    <row r="50" customFormat="false" ht="15" hidden="false" customHeight="false" outlineLevel="0" collapsed="false">
      <c r="A50" s="5" t="s">
        <v>404</v>
      </c>
      <c r="B50" s="5" t="s">
        <v>402</v>
      </c>
      <c r="C50" s="28" t="s">
        <v>281</v>
      </c>
      <c r="D50" s="5" t="s">
        <v>282</v>
      </c>
      <c r="E50" s="22" t="s">
        <v>283</v>
      </c>
    </row>
    <row r="51" customFormat="false" ht="23.85" hidden="false" customHeight="false" outlineLevel="0" collapsed="false">
      <c r="A51" s="5" t="s">
        <v>405</v>
      </c>
      <c r="B51" s="5" t="s">
        <v>402</v>
      </c>
      <c r="C51" s="28" t="s">
        <v>285</v>
      </c>
      <c r="D51" s="5" t="s">
        <v>286</v>
      </c>
      <c r="E51" s="22" t="s">
        <v>287</v>
      </c>
    </row>
    <row r="52" customFormat="false" ht="15" hidden="false" customHeight="false" outlineLevel="0" collapsed="false">
      <c r="A52" s="5" t="s">
        <v>406</v>
      </c>
      <c r="B52" s="5" t="s">
        <v>402</v>
      </c>
      <c r="C52" s="28" t="s">
        <v>407</v>
      </c>
      <c r="D52" s="5" t="s">
        <v>408</v>
      </c>
      <c r="E52" s="22" t="s">
        <v>409</v>
      </c>
    </row>
    <row r="53" customFormat="false" ht="15" hidden="false" customHeight="false" outlineLevel="0" collapsed="false">
      <c r="A53" s="5" t="s">
        <v>410</v>
      </c>
      <c r="B53" s="5" t="s">
        <v>402</v>
      </c>
      <c r="C53" s="28" t="s">
        <v>390</v>
      </c>
      <c r="D53" s="5" t="s">
        <v>315</v>
      </c>
      <c r="E53" s="22" t="s">
        <v>316</v>
      </c>
    </row>
    <row r="54" customFormat="false" ht="15" hidden="false" customHeight="false" outlineLevel="0" collapsed="false">
      <c r="A54" s="5" t="s">
        <v>411</v>
      </c>
      <c r="B54" s="5" t="s">
        <v>402</v>
      </c>
      <c r="C54" s="28" t="s">
        <v>364</v>
      </c>
      <c r="D54" s="5" t="s">
        <v>322</v>
      </c>
      <c r="E54" s="22" t="s">
        <v>365</v>
      </c>
    </row>
    <row r="55" customFormat="false" ht="15" hidden="false" customHeight="false" outlineLevel="0" collapsed="false">
      <c r="A55" s="5" t="s">
        <v>412</v>
      </c>
      <c r="B55" s="5" t="s">
        <v>402</v>
      </c>
      <c r="C55" s="28" t="s">
        <v>413</v>
      </c>
      <c r="D55" s="5" t="s">
        <v>293</v>
      </c>
      <c r="E55" s="22" t="s">
        <v>414</v>
      </c>
    </row>
    <row r="56" customFormat="false" ht="23.85" hidden="false" customHeight="false" outlineLevel="0" collapsed="false">
      <c r="A56" s="5" t="s">
        <v>415</v>
      </c>
      <c r="B56" s="5" t="s">
        <v>402</v>
      </c>
      <c r="C56" s="28" t="s">
        <v>304</v>
      </c>
      <c r="D56" s="5" t="s">
        <v>293</v>
      </c>
      <c r="E56" s="22" t="s">
        <v>305</v>
      </c>
    </row>
    <row r="57" customFormat="false" ht="23.85" hidden="false" customHeight="false" outlineLevel="0" collapsed="false">
      <c r="A57" s="5" t="s">
        <v>416</v>
      </c>
      <c r="B57" s="5" t="s">
        <v>402</v>
      </c>
      <c r="C57" s="28" t="s">
        <v>292</v>
      </c>
      <c r="D57" s="5" t="s">
        <v>293</v>
      </c>
      <c r="E57" s="22" t="s">
        <v>294</v>
      </c>
    </row>
    <row r="58" customFormat="false" ht="23.85" hidden="false" customHeight="false" outlineLevel="0" collapsed="false">
      <c r="A58" s="5" t="s">
        <v>417</v>
      </c>
      <c r="B58" s="5" t="s">
        <v>402</v>
      </c>
      <c r="C58" s="28" t="s">
        <v>418</v>
      </c>
      <c r="D58" s="5" t="s">
        <v>293</v>
      </c>
      <c r="E58" s="22" t="s">
        <v>419</v>
      </c>
    </row>
    <row r="59" customFormat="false" ht="23.85" hidden="false" customHeight="false" outlineLevel="0" collapsed="false">
      <c r="A59" s="5" t="s">
        <v>420</v>
      </c>
      <c r="B59" s="5" t="s">
        <v>402</v>
      </c>
      <c r="C59" s="28" t="s">
        <v>421</v>
      </c>
      <c r="D59" s="5" t="s">
        <v>297</v>
      </c>
      <c r="E59" s="22" t="s">
        <v>298</v>
      </c>
    </row>
    <row r="60" customFormat="false" ht="15" hidden="false" customHeight="false" outlineLevel="0" collapsed="false">
      <c r="A60" s="5" t="s">
        <v>422</v>
      </c>
      <c r="B60" s="5" t="s">
        <v>402</v>
      </c>
      <c r="C60" s="28" t="s">
        <v>423</v>
      </c>
      <c r="D60" s="5" t="s">
        <v>293</v>
      </c>
      <c r="E60" s="22" t="s">
        <v>424</v>
      </c>
    </row>
    <row r="61" customFormat="false" ht="15" hidden="false" customHeight="false" outlineLevel="0" collapsed="false">
      <c r="A61" s="5" t="s">
        <v>425</v>
      </c>
      <c r="B61" s="5" t="s">
        <v>402</v>
      </c>
      <c r="C61" s="28" t="s">
        <v>300</v>
      </c>
      <c r="D61" s="5" t="s">
        <v>301</v>
      </c>
      <c r="E61" s="22" t="s">
        <v>302</v>
      </c>
    </row>
    <row r="62" customFormat="false" ht="15" hidden="false" customHeight="false" outlineLevel="0" collapsed="false">
      <c r="A62" s="5" t="s">
        <v>426</v>
      </c>
      <c r="B62" s="5" t="s">
        <v>402</v>
      </c>
      <c r="C62" s="28" t="s">
        <v>427</v>
      </c>
      <c r="D62" s="5" t="s">
        <v>301</v>
      </c>
      <c r="E62" s="22" t="s">
        <v>386</v>
      </c>
    </row>
    <row r="63" customFormat="false" ht="23.85" hidden="false" customHeight="false" outlineLevel="0" collapsed="false">
      <c r="A63" s="5" t="s">
        <v>428</v>
      </c>
      <c r="B63" s="5" t="s">
        <v>402</v>
      </c>
      <c r="C63" s="28" t="s">
        <v>429</v>
      </c>
      <c r="D63" s="5" t="s">
        <v>430</v>
      </c>
      <c r="E63" s="22" t="s">
        <v>431</v>
      </c>
    </row>
    <row r="64" customFormat="false" ht="15" hidden="false" customHeight="false" outlineLevel="0" collapsed="false">
      <c r="A64" s="5" t="s">
        <v>432</v>
      </c>
      <c r="B64" s="5" t="s">
        <v>402</v>
      </c>
      <c r="C64" s="28" t="s">
        <v>396</v>
      </c>
      <c r="D64" s="5" t="s">
        <v>397</v>
      </c>
      <c r="E64" s="22" t="s">
        <v>398</v>
      </c>
    </row>
    <row r="65" customFormat="false" ht="15" hidden="false" customHeight="false" outlineLevel="0" collapsed="false">
      <c r="A65" s="5" t="s">
        <v>433</v>
      </c>
      <c r="B65" s="5" t="s">
        <v>402</v>
      </c>
      <c r="C65" s="28" t="s">
        <v>318</v>
      </c>
      <c r="D65" s="5" t="s">
        <v>297</v>
      </c>
      <c r="E65" s="22" t="s">
        <v>319</v>
      </c>
    </row>
    <row r="66" customFormat="false" ht="23.85" hidden="false" customHeight="false" outlineLevel="0" collapsed="false">
      <c r="A66" s="5" t="s">
        <v>434</v>
      </c>
      <c r="B66" s="5" t="s">
        <v>402</v>
      </c>
      <c r="C66" s="28" t="s">
        <v>435</v>
      </c>
      <c r="D66" s="5" t="s">
        <v>326</v>
      </c>
      <c r="E66" s="22" t="s">
        <v>436</v>
      </c>
    </row>
    <row r="67" customFormat="false" ht="15" hidden="false" customHeight="false" outlineLevel="0" collapsed="false">
      <c r="A67" s="5" t="s">
        <v>437</v>
      </c>
      <c r="B67" s="5" t="s">
        <v>402</v>
      </c>
      <c r="C67" s="28" t="s">
        <v>438</v>
      </c>
      <c r="D67" s="5" t="s">
        <v>439</v>
      </c>
      <c r="E67" s="22" t="s">
        <v>440</v>
      </c>
    </row>
    <row r="68" customFormat="false" ht="15" hidden="false" customHeight="false" outlineLevel="0" collapsed="false">
      <c r="A68" s="5" t="s">
        <v>441</v>
      </c>
      <c r="B68" s="5" t="s">
        <v>402</v>
      </c>
      <c r="C68" s="28" t="s">
        <v>442</v>
      </c>
      <c r="D68" s="5" t="s">
        <v>443</v>
      </c>
      <c r="E68" s="22" t="s">
        <v>444</v>
      </c>
    </row>
    <row r="69" customFormat="false" ht="15" hidden="false" customHeight="false" outlineLevel="0" collapsed="false">
      <c r="A69" s="5" t="s">
        <v>445</v>
      </c>
      <c r="B69" s="5" t="s">
        <v>446</v>
      </c>
      <c r="C69" s="28" t="s">
        <v>447</v>
      </c>
      <c r="D69" s="5" t="s">
        <v>278</v>
      </c>
      <c r="E69" s="22" t="s">
        <v>279</v>
      </c>
    </row>
    <row r="70" customFormat="false" ht="15" hidden="false" customHeight="false" outlineLevel="0" collapsed="false">
      <c r="A70" s="5" t="s">
        <v>448</v>
      </c>
      <c r="B70" s="5" t="s">
        <v>446</v>
      </c>
      <c r="C70" s="28" t="s">
        <v>281</v>
      </c>
      <c r="D70" s="5" t="s">
        <v>282</v>
      </c>
      <c r="E70" s="22" t="s">
        <v>283</v>
      </c>
    </row>
    <row r="71" customFormat="false" ht="23.85" hidden="false" customHeight="false" outlineLevel="0" collapsed="false">
      <c r="A71" s="5" t="s">
        <v>449</v>
      </c>
      <c r="B71" s="5" t="s">
        <v>446</v>
      </c>
      <c r="C71" s="28" t="s">
        <v>285</v>
      </c>
      <c r="D71" s="5" t="s">
        <v>286</v>
      </c>
      <c r="E71" s="22" t="s">
        <v>287</v>
      </c>
    </row>
    <row r="72" customFormat="false" ht="23.85" hidden="false" customHeight="false" outlineLevel="0" collapsed="false">
      <c r="A72" s="5" t="s">
        <v>450</v>
      </c>
      <c r="B72" s="5" t="s">
        <v>446</v>
      </c>
      <c r="C72" s="28" t="s">
        <v>451</v>
      </c>
      <c r="D72" s="5" t="s">
        <v>278</v>
      </c>
      <c r="E72" s="22" t="s">
        <v>362</v>
      </c>
    </row>
    <row r="73" customFormat="false" ht="15" hidden="false" customHeight="false" outlineLevel="0" collapsed="false">
      <c r="A73" s="5" t="s">
        <v>452</v>
      </c>
      <c r="B73" s="5" t="s">
        <v>446</v>
      </c>
      <c r="C73" s="28" t="s">
        <v>347</v>
      </c>
      <c r="D73" s="5" t="s">
        <v>348</v>
      </c>
      <c r="E73" s="22" t="s">
        <v>349</v>
      </c>
    </row>
    <row r="74" customFormat="false" ht="23.85" hidden="false" customHeight="false" outlineLevel="0" collapsed="false">
      <c r="A74" s="5" t="s">
        <v>453</v>
      </c>
      <c r="B74" s="5" t="s">
        <v>446</v>
      </c>
      <c r="C74" s="28" t="s">
        <v>292</v>
      </c>
      <c r="D74" s="5" t="s">
        <v>293</v>
      </c>
      <c r="E74" s="22" t="s">
        <v>294</v>
      </c>
    </row>
    <row r="75" customFormat="false" ht="23.85" hidden="false" customHeight="false" outlineLevel="0" collapsed="false">
      <c r="A75" s="5" t="s">
        <v>454</v>
      </c>
      <c r="B75" s="5" t="s">
        <v>446</v>
      </c>
      <c r="C75" s="28" t="s">
        <v>296</v>
      </c>
      <c r="D75" s="5" t="s">
        <v>297</v>
      </c>
      <c r="E75" s="22" t="s">
        <v>298</v>
      </c>
    </row>
    <row r="76" customFormat="false" ht="15" hidden="false" customHeight="false" outlineLevel="0" collapsed="false">
      <c r="A76" s="5" t="s">
        <v>455</v>
      </c>
      <c r="B76" s="5" t="s">
        <v>446</v>
      </c>
      <c r="C76" s="28" t="s">
        <v>300</v>
      </c>
      <c r="D76" s="5" t="s">
        <v>301</v>
      </c>
      <c r="E76" s="22" t="s">
        <v>302</v>
      </c>
    </row>
    <row r="77" customFormat="false" ht="23.85" hidden="false" customHeight="false" outlineLevel="0" collapsed="false">
      <c r="A77" s="5" t="s">
        <v>456</v>
      </c>
      <c r="B77" s="5" t="s">
        <v>446</v>
      </c>
      <c r="C77" s="28" t="s">
        <v>457</v>
      </c>
      <c r="D77" s="5" t="s">
        <v>297</v>
      </c>
      <c r="E77" s="22" t="s">
        <v>458</v>
      </c>
    </row>
    <row r="78" customFormat="false" ht="23.85" hidden="false" customHeight="false" outlineLevel="0" collapsed="false">
      <c r="A78" s="5" t="s">
        <v>459</v>
      </c>
      <c r="B78" s="5" t="s">
        <v>446</v>
      </c>
      <c r="C78" s="28" t="s">
        <v>460</v>
      </c>
      <c r="D78" s="5" t="s">
        <v>461</v>
      </c>
      <c r="E78" s="22" t="s">
        <v>462</v>
      </c>
    </row>
    <row r="79" customFormat="false" ht="15" hidden="false" customHeight="false" outlineLevel="0" collapsed="false">
      <c r="A79" s="5" t="s">
        <v>463</v>
      </c>
      <c r="B79" s="5" t="s">
        <v>446</v>
      </c>
      <c r="C79" s="28" t="s">
        <v>307</v>
      </c>
      <c r="D79" s="5" t="s">
        <v>297</v>
      </c>
      <c r="E79" s="22" t="s">
        <v>308</v>
      </c>
    </row>
    <row r="80" customFormat="false" ht="23.85" hidden="false" customHeight="false" outlineLevel="0" collapsed="false">
      <c r="A80" s="5" t="s">
        <v>464</v>
      </c>
      <c r="B80" s="5" t="s">
        <v>446</v>
      </c>
      <c r="C80" s="28" t="s">
        <v>304</v>
      </c>
      <c r="D80" s="5" t="s">
        <v>293</v>
      </c>
      <c r="E80" s="22" t="s">
        <v>305</v>
      </c>
    </row>
    <row r="81" customFormat="false" ht="15" hidden="false" customHeight="false" outlineLevel="0" collapsed="false">
      <c r="A81" s="5" t="s">
        <v>465</v>
      </c>
      <c r="B81" s="5" t="s">
        <v>446</v>
      </c>
      <c r="C81" s="28" t="s">
        <v>466</v>
      </c>
      <c r="D81" s="5" t="s">
        <v>293</v>
      </c>
      <c r="E81" s="22" t="s">
        <v>467</v>
      </c>
    </row>
    <row r="82" customFormat="false" ht="15" hidden="false" customHeight="false" outlineLevel="0" collapsed="false">
      <c r="A82" s="5" t="s">
        <v>468</v>
      </c>
      <c r="B82" s="5" t="s">
        <v>446</v>
      </c>
      <c r="C82" s="28" t="s">
        <v>357</v>
      </c>
      <c r="D82" s="5" t="s">
        <v>430</v>
      </c>
      <c r="E82" s="22" t="s">
        <v>359</v>
      </c>
    </row>
    <row r="83" customFormat="false" ht="15" hidden="false" customHeight="false" outlineLevel="0" collapsed="false">
      <c r="A83" s="5" t="s">
        <v>469</v>
      </c>
      <c r="B83" s="5" t="s">
        <v>446</v>
      </c>
      <c r="C83" s="28" t="s">
        <v>470</v>
      </c>
      <c r="D83" s="5" t="s">
        <v>301</v>
      </c>
      <c r="E83" s="22" t="s">
        <v>471</v>
      </c>
    </row>
    <row r="84" customFormat="false" ht="15" hidden="false" customHeight="false" outlineLevel="0" collapsed="false">
      <c r="A84" s="5" t="s">
        <v>472</v>
      </c>
      <c r="B84" s="5" t="s">
        <v>446</v>
      </c>
      <c r="C84" s="28" t="s">
        <v>473</v>
      </c>
      <c r="D84" s="5" t="s">
        <v>474</v>
      </c>
      <c r="E84" s="22" t="s">
        <v>475</v>
      </c>
    </row>
    <row r="85" customFormat="false" ht="23.85" hidden="false" customHeight="false" outlineLevel="0" collapsed="false">
      <c r="A85" s="5" t="s">
        <v>476</v>
      </c>
      <c r="B85" s="5" t="s">
        <v>477</v>
      </c>
      <c r="C85" s="28" t="s">
        <v>478</v>
      </c>
      <c r="D85" s="5" t="s">
        <v>282</v>
      </c>
      <c r="E85" s="22" t="s">
        <v>479</v>
      </c>
    </row>
    <row r="86" customFormat="false" ht="23.85" hidden="false" customHeight="false" outlineLevel="0" collapsed="false">
      <c r="A86" s="5" t="s">
        <v>480</v>
      </c>
      <c r="B86" s="5" t="s">
        <v>477</v>
      </c>
      <c r="C86" s="28" t="s">
        <v>481</v>
      </c>
      <c r="D86" s="5" t="s">
        <v>482</v>
      </c>
      <c r="E86" s="22" t="s">
        <v>483</v>
      </c>
    </row>
    <row r="87" customFormat="false" ht="23.85" hidden="false" customHeight="false" outlineLevel="0" collapsed="false">
      <c r="A87" s="5" t="s">
        <v>484</v>
      </c>
      <c r="B87" s="5" t="s">
        <v>477</v>
      </c>
      <c r="C87" s="28" t="s">
        <v>485</v>
      </c>
      <c r="D87" s="5" t="s">
        <v>486</v>
      </c>
      <c r="E87" s="22" t="s">
        <v>487</v>
      </c>
    </row>
    <row r="88" customFormat="false" ht="15" hidden="false" customHeight="false" outlineLevel="0" collapsed="false">
      <c r="A88" s="5" t="s">
        <v>488</v>
      </c>
      <c r="B88" s="5" t="s">
        <v>477</v>
      </c>
      <c r="C88" s="28" t="s">
        <v>489</v>
      </c>
      <c r="D88" s="5" t="s">
        <v>490</v>
      </c>
      <c r="E88" s="22" t="s">
        <v>491</v>
      </c>
    </row>
    <row r="89" customFormat="false" ht="35.05" hidden="false" customHeight="false" outlineLevel="0" collapsed="false">
      <c r="A89" s="5" t="s">
        <v>492</v>
      </c>
      <c r="B89" s="5" t="s">
        <v>477</v>
      </c>
      <c r="C89" s="28" t="s">
        <v>493</v>
      </c>
      <c r="D89" s="5" t="s">
        <v>474</v>
      </c>
      <c r="E89" s="22" t="s">
        <v>494</v>
      </c>
    </row>
    <row r="90" customFormat="false" ht="35.05" hidden="false" customHeight="false" outlineLevel="0" collapsed="false">
      <c r="A90" s="5" t="s">
        <v>495</v>
      </c>
      <c r="B90" s="5" t="s">
        <v>477</v>
      </c>
      <c r="C90" s="28" t="s">
        <v>496</v>
      </c>
      <c r="D90" s="5" t="s">
        <v>408</v>
      </c>
      <c r="E90" s="22" t="s">
        <v>497</v>
      </c>
    </row>
    <row r="91" customFormat="false" ht="23.85" hidden="false" customHeight="false" outlineLevel="0" collapsed="false">
      <c r="A91" s="5" t="s">
        <v>498</v>
      </c>
      <c r="B91" s="5" t="s">
        <v>477</v>
      </c>
      <c r="C91" s="28" t="s">
        <v>499</v>
      </c>
      <c r="D91" s="5" t="s">
        <v>430</v>
      </c>
      <c r="E91" s="22" t="s">
        <v>500</v>
      </c>
    </row>
    <row r="92" customFormat="false" ht="23.85" hidden="false" customHeight="false" outlineLevel="0" collapsed="false">
      <c r="A92" s="5" t="s">
        <v>501</v>
      </c>
      <c r="B92" s="5" t="s">
        <v>477</v>
      </c>
      <c r="C92" s="28" t="s">
        <v>502</v>
      </c>
      <c r="D92" s="5" t="s">
        <v>503</v>
      </c>
      <c r="E92" s="22" t="s">
        <v>504</v>
      </c>
    </row>
    <row r="93" customFormat="false" ht="23.85" hidden="false" customHeight="false" outlineLevel="0" collapsed="false">
      <c r="A93" s="5" t="s">
        <v>505</v>
      </c>
      <c r="B93" s="5" t="s">
        <v>477</v>
      </c>
      <c r="C93" s="28" t="s">
        <v>506</v>
      </c>
      <c r="D93" s="5" t="s">
        <v>461</v>
      </c>
      <c r="E93" s="22" t="s">
        <v>386</v>
      </c>
    </row>
    <row r="94" customFormat="false" ht="15" hidden="false" customHeight="false" outlineLevel="0" collapsed="false">
      <c r="A94" s="5" t="s">
        <v>507</v>
      </c>
      <c r="B94" s="5" t="s">
        <v>477</v>
      </c>
      <c r="C94" s="28" t="s">
        <v>508</v>
      </c>
      <c r="D94" s="5" t="s">
        <v>301</v>
      </c>
      <c r="E94" s="22" t="s">
        <v>509</v>
      </c>
    </row>
    <row r="95" customFormat="false" ht="23.85" hidden="false" customHeight="false" outlineLevel="0" collapsed="false">
      <c r="A95" s="5" t="s">
        <v>510</v>
      </c>
      <c r="B95" s="5" t="s">
        <v>477</v>
      </c>
      <c r="C95" s="28" t="s">
        <v>292</v>
      </c>
      <c r="D95" s="5" t="s">
        <v>293</v>
      </c>
      <c r="E95" s="22" t="s">
        <v>294</v>
      </c>
    </row>
    <row r="96" customFormat="false" ht="23.85" hidden="false" customHeight="false" outlineLevel="0" collapsed="false">
      <c r="A96" s="5" t="s">
        <v>511</v>
      </c>
      <c r="B96" s="5" t="s">
        <v>477</v>
      </c>
      <c r="C96" s="28" t="s">
        <v>512</v>
      </c>
      <c r="D96" s="5" t="s">
        <v>301</v>
      </c>
      <c r="E96" s="22" t="s">
        <v>302</v>
      </c>
    </row>
    <row r="97" customFormat="false" ht="15" hidden="false" customHeight="false" outlineLevel="0" collapsed="false">
      <c r="A97" s="5" t="s">
        <v>513</v>
      </c>
      <c r="B97" s="5" t="s">
        <v>477</v>
      </c>
      <c r="C97" s="28" t="s">
        <v>447</v>
      </c>
      <c r="D97" s="5" t="s">
        <v>278</v>
      </c>
      <c r="E97" s="22" t="s">
        <v>279</v>
      </c>
    </row>
    <row r="98" customFormat="false" ht="15" hidden="false" customHeight="false" outlineLevel="0" collapsed="false">
      <c r="A98" s="5" t="s">
        <v>514</v>
      </c>
      <c r="B98" s="5" t="s">
        <v>477</v>
      </c>
      <c r="C98" s="28" t="s">
        <v>515</v>
      </c>
      <c r="D98" s="5" t="s">
        <v>516</v>
      </c>
      <c r="E98" s="22" t="s">
        <v>517</v>
      </c>
    </row>
    <row r="99" customFormat="false" ht="15" hidden="false" customHeight="false" outlineLevel="0" collapsed="false">
      <c r="A99" s="5" t="s">
        <v>518</v>
      </c>
      <c r="B99" s="5" t="s">
        <v>477</v>
      </c>
      <c r="C99" s="28" t="s">
        <v>519</v>
      </c>
      <c r="D99" s="5" t="s">
        <v>516</v>
      </c>
      <c r="E99" s="22" t="s">
        <v>520</v>
      </c>
    </row>
    <row r="100" customFormat="false" ht="15" hidden="false" customHeight="false" outlineLevel="0" collapsed="false">
      <c r="A100" s="5" t="s">
        <v>521</v>
      </c>
      <c r="B100" s="5" t="s">
        <v>477</v>
      </c>
      <c r="C100" s="28" t="s">
        <v>522</v>
      </c>
      <c r="D100" s="5" t="s">
        <v>523</v>
      </c>
      <c r="E100" s="22" t="s">
        <v>524</v>
      </c>
    </row>
    <row r="101" customFormat="false" ht="15" hidden="false" customHeight="false" outlineLevel="0" collapsed="false">
      <c r="A101" s="5" t="s">
        <v>525</v>
      </c>
      <c r="B101" s="5" t="s">
        <v>477</v>
      </c>
      <c r="C101" s="28" t="s">
        <v>526</v>
      </c>
      <c r="D101" s="5" t="s">
        <v>527</v>
      </c>
      <c r="E101" s="22" t="s">
        <v>528</v>
      </c>
    </row>
    <row r="102" customFormat="false" ht="15" hidden="false" customHeight="false" outlineLevel="0" collapsed="false">
      <c r="A102" s="5" t="s">
        <v>529</v>
      </c>
      <c r="B102" s="5" t="s">
        <v>477</v>
      </c>
      <c r="C102" s="28" t="s">
        <v>530</v>
      </c>
      <c r="D102" s="5" t="s">
        <v>531</v>
      </c>
      <c r="E102" s="22" t="s">
        <v>532</v>
      </c>
    </row>
    <row r="103" customFormat="false" ht="15" hidden="false" customHeight="false" outlineLevel="0" collapsed="false">
      <c r="A103" s="5" t="s">
        <v>533</v>
      </c>
      <c r="B103" s="5" t="s">
        <v>477</v>
      </c>
      <c r="C103" s="28" t="s">
        <v>534</v>
      </c>
      <c r="D103" s="5" t="s">
        <v>535</v>
      </c>
      <c r="E103" s="22" t="s">
        <v>536</v>
      </c>
    </row>
    <row r="104" customFormat="false" ht="15" hidden="false" customHeight="false" outlineLevel="0" collapsed="false">
      <c r="A104" s="5" t="s">
        <v>537</v>
      </c>
      <c r="B104" s="5" t="s">
        <v>477</v>
      </c>
      <c r="C104" s="28" t="s">
        <v>538</v>
      </c>
      <c r="D104" s="5" t="s">
        <v>539</v>
      </c>
      <c r="E104" s="22" t="s">
        <v>540</v>
      </c>
    </row>
    <row r="105" customFormat="false" ht="15" hidden="false" customHeight="false" outlineLevel="0" collapsed="false">
      <c r="A105" s="5" t="s">
        <v>541</v>
      </c>
      <c r="B105" s="5" t="s">
        <v>477</v>
      </c>
      <c r="C105" s="28" t="s">
        <v>542</v>
      </c>
      <c r="D105" s="5" t="s">
        <v>543</v>
      </c>
      <c r="E105" s="22" t="s">
        <v>544</v>
      </c>
    </row>
    <row r="106" customFormat="false" ht="15" hidden="false" customHeight="false" outlineLevel="0" collapsed="false">
      <c r="A106" s="5" t="s">
        <v>545</v>
      </c>
      <c r="B106" s="5" t="s">
        <v>477</v>
      </c>
      <c r="C106" s="28" t="s">
        <v>546</v>
      </c>
      <c r="D106" s="5" t="s">
        <v>547</v>
      </c>
      <c r="E106" s="22" t="s">
        <v>548</v>
      </c>
    </row>
    <row r="107" customFormat="false" ht="23.85" hidden="false" customHeight="false" outlineLevel="0" collapsed="false">
      <c r="A107" s="5" t="s">
        <v>549</v>
      </c>
      <c r="B107" s="5" t="s">
        <v>477</v>
      </c>
      <c r="C107" s="28" t="s">
        <v>550</v>
      </c>
      <c r="D107" s="5" t="s">
        <v>551</v>
      </c>
      <c r="E107" s="5" t="s">
        <v>552</v>
      </c>
    </row>
    <row r="108" customFormat="false" ht="23.85" hidden="false" customHeight="false" outlineLevel="0" collapsed="false">
      <c r="A108" s="5" t="s">
        <v>553</v>
      </c>
      <c r="B108" s="5" t="s">
        <v>477</v>
      </c>
      <c r="C108" s="28" t="s">
        <v>554</v>
      </c>
      <c r="D108" s="5" t="s">
        <v>430</v>
      </c>
      <c r="E108" s="22" t="s">
        <v>555</v>
      </c>
    </row>
    <row r="109" customFormat="false" ht="35.05" hidden="false" customHeight="false" outlineLevel="0" collapsed="false">
      <c r="A109" s="5" t="s">
        <v>556</v>
      </c>
      <c r="B109" s="5" t="s">
        <v>477</v>
      </c>
      <c r="C109" s="28" t="s">
        <v>557</v>
      </c>
      <c r="D109" s="5" t="s">
        <v>558</v>
      </c>
      <c r="E109" s="22" t="s">
        <v>319</v>
      </c>
    </row>
    <row r="110" customFormat="false" ht="23.85" hidden="false" customHeight="false" outlineLevel="0" collapsed="false">
      <c r="A110" s="5" t="s">
        <v>559</v>
      </c>
      <c r="B110" s="5" t="s">
        <v>477</v>
      </c>
      <c r="C110" s="28" t="s">
        <v>560</v>
      </c>
      <c r="D110" s="5" t="s">
        <v>561</v>
      </c>
      <c r="E110" s="22" t="s">
        <v>562</v>
      </c>
    </row>
    <row r="111" customFormat="false" ht="23.85" hidden="false" customHeight="false" outlineLevel="0" collapsed="false">
      <c r="A111" s="5" t="s">
        <v>563</v>
      </c>
      <c r="B111" s="5" t="s">
        <v>477</v>
      </c>
      <c r="C111" s="28" t="s">
        <v>564</v>
      </c>
      <c r="D111" s="5" t="s">
        <v>551</v>
      </c>
      <c r="E111" s="22" t="s">
        <v>565</v>
      </c>
    </row>
  </sheetData>
  <hyperlinks>
    <hyperlink ref="E5" r:id="rId1" display="https://www.sec.gov/Archives/edgar/data/1664703/000162828026050150/ex991_q226financialresults.htm"/>
    <hyperlink ref="E6" r:id="rId2" display="https://www.sec.gov/Archives/edgar/data/0001664703/000162828026050247/be-20260630.htm"/>
    <hyperlink ref="E7" r:id="rId3" display="https://investor.bloomenergy.com/press-releases/press-release-details/2025/Bloom-Energy-Corporation-Prices-Upsized-2-2-Billion-Convertible-Senior-Notes-Offering/default.aspx"/>
    <hyperlink ref="E8" r:id="rId4" display="https://www.investing.com/news/transcripts/earnings-call-transcript-bloom-energy-tops-q2-2026-forecasts-shares-jump-after-hours-93CH-4818294"/>
    <hyperlink ref="E9" r:id="rId5" display="https://techcrunch.com/2026/09/24/oracle-sends-force-majeure-notice-on-its-new-mexico-stargate-data-center/"/>
    <hyperlink ref="E10" r:id="rId6" display="https://247wallst.com/investing/2026/09/25/bloom-energy-jumps-8-as-oracle-reaffirms-2-4-gw-fuel-cell-contract-after-force-majeure-notice/"/>
    <hyperlink ref="E11" r:id="rId7" display="https://www.thestreet.com/investing/stocks/morgan-stanley-says-bloom-can-withstand-an-oracle-project-delay"/>
    <hyperlink ref="E12" r:id="rId8" display="https://www.fool.com/investing/2026/09/24/a-delayed-pipeline-just-put-bloom-energy-s-role-in-a-usd165-billion-ai-project-in-question/"/>
    <hyperlink ref="E13" r:id="rId9" display="https://www.benzinga.com/trading-ideas/movers/26/09/62000413/bloom-energy-stock-rebounds-whats-going-on"/>
    <hyperlink ref="E14" r:id="rId10" display="https://www.businesswire.com/news/home/20260706169350/en/Bloom-Energy-to-Announce-Second-Quarter-2026-Financial-Results-on-July-28-2026"/>
    <hyperlink ref="E15" r:id="rId11" display="https://247wallst.com/investing/2026/09/08/bloom-energy-is-fully-priced-is-a-re-rating-coming/"/>
    <hyperlink ref="E16" r:id="rId12" display="https://stockanalysis.com/stocks/be/forecast/"/>
    <hyperlink ref="E17" r:id="rId13" display="https://finance.yahoo.com/markets/stocks/articles/bloom-energy-stock-218-2026-145937459.html"/>
    <hyperlink ref="E18" r:id="rId14" display="https://www.dandodiary.com/2026/08/articles/geopolitical-risk/geopolitical-issues-lead-to-securities-suit-against-fuel-cell-company/"/>
    <hyperlink ref="E19" r:id="rId15" display="https://www.sec.gov/Archives/edgar/data/0001664703/000162828026047734/be-20260709.htm"/>
    <hyperlink ref="E20" r:id="rId16" display="https://www.fool.com/investing/2026/09/19/bloom-energy-is-riding-the-data-center-boom-to-a-2/"/>
    <hyperlink ref="E21" r:id="rId17" display="https://www.fool.com/coverage/filings/2026/09/24/bloom-energy-coo-chitoori-satish-sells-shares-for-usd775-072/"/>
    <hyperlink ref="E22" r:id="rId18" display="https://www.sec.gov/Archives/edgar/data/0001664703/000162828026050150/ex991_q226financialresults.htm"/>
    <hyperlink ref="E23" r:id="rId19" display="https://www.sec.gov/Archives/edgar/data/0001664703/000162828026050247/be-20260630.htm"/>
    <hyperlink ref="E24" r:id="rId20" display="https://www.sec.gov/Archives/edgar/data/1664703/000162828025049016/pressreleasedatedoctober30.htm"/>
    <hyperlink ref="E25" r:id="rId21" display="https://www.alphavantage.co/"/>
    <hyperlink ref="E26" r:id="rId22" display="https://techcrunch.com/2026/09/24/oracle-sends-force-majeure-notice-on-its-new-mexico-stargate-data-center/"/>
    <hyperlink ref="E27" r:id="rId23" display="https://www.gearlive.com/news/article/oracle-force-majeure-new-mexico-stargate-project-jupiter"/>
    <hyperlink ref="E28" r:id="rId24" display="https://www.thestreet.com/investing/stocks/morgan-stanley-says-bloom-can-withstand-an-oracle-project-delay"/>
    <hyperlink ref="E29" r:id="rId25" display="https://www.benzinga.com/trading-ideas/movers/26/09/62000413/bloom-energy-stock-rebounds-whats-going-on"/>
    <hyperlink ref="E30" r:id="rId26" display="https://www.utilitydive.com/news/bloom-energy-says-its-on-track-for-2-gw-annual-production-capacity/804291/"/>
    <hyperlink ref="E31" r:id="rId27" display="https://www.businesswire.com/news/home/20260728460825/en/Bloom-Energy-Reports-Record-Second-Quarter-2026-Financial-Results-and-Raises-Full-Year-2026-Guidance"/>
    <hyperlink ref="E32" r:id="rId28" display="https://www.tikr.com/blog/bloom-energy-stock-is-up-218-in-2026-and-just-joined-the-sp-500-is-it-too-late-to-buy"/>
    <hyperlink ref="E33" r:id="rId29" display="https://stockstotrade.com/news/bloom-energy-corporation-be-news-2026_09_24/"/>
    <hyperlink ref="E34" r:id="rId30" display="https://www.businesswire.com/news/home/20260630023022/en/Brookfield-and-Bloom-Energy-Expand-AI-Infrastructure-Partnership-to-$25-Billion-Fivefold-Increase-to-Build-and-Finance-Rapid-Power-for-AI-Infrastructure"/>
    <hyperlink ref="E35" r:id="rId31" display="https://www.sec.gov/Archives/edgar/data/1664703/000162828026050150/ex991_q226financialresults.htm"/>
    <hyperlink ref="E36" r:id="rId32" display="https://www.sec.gov/Archives/edgar/data/0001664703/000162828026050247/be-20260630.htm"/>
    <hyperlink ref="E37" r:id="rId33" display="https://investor.bloomenergy.com/press-releases/press-release-details/2025/Bloom-Energy-Corporation-Prices-Upsized-2-2-Billion-Convertible-Senior-Notes-Offering/default.aspx"/>
    <hyperlink ref="E38" r:id="rId34" display="https://www.thestreet.com/investing/stocks/morgan-stanley-says-bloom-can-withstand-an-oracle-project-delay"/>
    <hyperlink ref="E39" r:id="rId35" display="https://techcrunch.com/2026/09/24/oracle-sends-force-majeure-notice-on-its-new-mexico-stargate-data-center/"/>
    <hyperlink ref="E40" r:id="rId36" display="https://sourcenm.com/2026/07/31/hearing-for-project-jupiter-data-centers-air-quality-permit-application-rescheduled-to-september/"/>
    <hyperlink ref="E41" r:id="rId37" display="https://www.abqjournal.com/business/new-mexico-supreme-court-lifts-stays-on-project-jupiter-dealing-setback-to-opponents/3124024"/>
    <hyperlink ref="E42" r:id="rId38" display="https://www.fool.com/investing/2026/09/24/a-delayed-pipeline-just-put-bloom-energy-s-role-in-a-usd165-billion-ai-project-in-question/"/>
    <hyperlink ref="E43" r:id="rId39" display="https://www.benzinga.com/trading-ideas/movers/26/09/62000413/bloom-energy-stock-rebounds-whats-going-on"/>
    <hyperlink ref="E44" r:id="rId40" display="https://247wallst.com/investing/2026/09/08/bloom-energy-is-fully-priced-is-a-re-rating-coming/"/>
    <hyperlink ref="E45" r:id="rId41" display="https://stockanalysis.com/stocks/be/forecast/"/>
    <hyperlink ref="E46" r:id="rId42" display="https://www.prnewswire.com/news-releases/levi--korsinsky-reminds-bloom-energy-investors-of-the-pending-class-action-lawsuit-with-a-lead-plaintiff-deadline-of-september-28-2026---be-302887157.html"/>
    <hyperlink ref="E47" r:id="rId43" display="https://investor.bloomenergy.com/press-releases/press-release-details/2026/Bloom-Energy-and-Oracle-Expand-Strategic-Partnership-to-Deploy-up-to-2-8-GW-to-Accelerate-AI-Infrastructure-Build-Out/default.aspx"/>
    <hyperlink ref="E48" r:id="rId44" display="https://www.investing.com/news/transcripts/earnings-call-transcript-bloom-energy-tops-q2-2026-forecasts-shares-jump-after-hours-93CH-4818294"/>
    <hyperlink ref="E49" r:id="rId45" display="https://www.sec.gov/Archives/edgar/data/1664703/000162828026050150/ex991_q226financialresults.htm"/>
    <hyperlink ref="E50" r:id="rId46" display="https://www.sec.gov/Archives/edgar/data/0001664703/000162828026050247/be-20260630.htm"/>
    <hyperlink ref="E51" r:id="rId47" display="https://investor.bloomenergy.com/press-releases/press-release-details/2025/Bloom-Energy-Corporation-Prices-Upsized-2-2-Billion-Convertible-Senior-Notes-Offering/default.aspx"/>
    <hyperlink ref="E52" r:id="rId48" display="https://finance.yahoo.com/markets/stocks/articles/bloom-energy-q2-earnings-call-000355411.html"/>
    <hyperlink ref="E53" r:id="rId49" display="https://247wallst.com/investing/2026/09/08/bloom-energy-is-fully-priced-is-a-re-rating-coming/"/>
    <hyperlink ref="E54" r:id="rId50" display="https://www.tikr.com/blog/bloom-energy-stock-is-up-218-in-2026-and-just-joined-the-sp-500-is-it-too-late-to-buy"/>
    <hyperlink ref="E55" r:id="rId51" display="https://www.fool.com/investing/2026/09/24/bloom-energy-s-backlog-is-5-times-this-year-s-expected-revenue-here-s-how-fast-it-can-actually-build/"/>
    <hyperlink ref="E56" r:id="rId52" display="https://www.fool.com/investing/2026/09/24/a-delayed-pipeline-just-put-bloom-energy-s-role-in-a-usd165-billion-ai-project-in-question/"/>
    <hyperlink ref="E57" r:id="rId53" display="https://techcrunch.com/2026/09/24/oracle-sends-force-majeure-notice-on-its-new-mexico-stargate-data-center/"/>
    <hyperlink ref="E58" r:id="rId54" display="https://elpasomatters.org/2026/09/24/project-jupiter-rent-force-majeure-new-mexico-oracle-ai-el-paso-data-center/"/>
    <hyperlink ref="E59" r:id="rId55" display="https://247wallst.com/investing/2026/09/25/bloom-energy-jumps-8-as-oracle-reaffirms-2-4-gw-fuel-cell-contract-after-force-majeure-notice/"/>
    <hyperlink ref="E60" r:id="rId56" display="https://x.com/Bloom_Energy/status/2103192271202213975"/>
    <hyperlink ref="E61" r:id="rId57" display="https://www.thestreet.com/investing/stocks/morgan-stanley-says-bloom-can-withstand-an-oracle-project-delay"/>
    <hyperlink ref="E62" r:id="rId58" display="https://www.abqjournal.com/business/new-mexico-supreme-court-lifts-stays-on-project-jupiter-dealing-setback-to-opponents/3124024"/>
    <hyperlink ref="E63" r:id="rId59" display="https://www.datacenterdynamics.com/en/news/new-mexico-regulators-reject-natural-gas-pipeline-for-oracles-25gw-project-jupiter-data-center/"/>
    <hyperlink ref="E64" r:id="rId60" display="https://investor.bloomenergy.com/press-releases/press-release-details/2026/Bloom-Energy-and-Oracle-Expand-Strategic-Partnership-to-Deploy-up-to-2-8-GW-to-Accelerate-AI-Infrastructure-Build-Out/default.aspx"/>
    <hyperlink ref="E65" r:id="rId61" display="https://stockanalysis.com/stocks/be/forecast/"/>
    <hyperlink ref="E66" r:id="rId62" display="https://www.tipranks.com/news/bloom-energy-be-faces-class-action-lawsuit-over-scandium-supply-disclosure-issues"/>
    <hyperlink ref="E67" r:id="rId63" display="https://hntrbrk.com/investigations/bloom"/>
    <hyperlink ref="E68" r:id="rId64" display="https://www.bloomberg.com/news/articles/2026-09-04/bloom-energy-illumina-everpure-to-join-s-p-500-in-september"/>
    <hyperlink ref="E69" r:id="rId65" display="https://www.sec.gov/Archives/edgar/data/1664703/000162828026050150/ex991_q226financialresults.htm"/>
    <hyperlink ref="E70" r:id="rId66" display="https://www.sec.gov/Archives/edgar/data/0001664703/000162828026050247/be-20260630.htm"/>
    <hyperlink ref="E71" r:id="rId67" display="https://investor.bloomenergy.com/press-releases/press-release-details/2025/Bloom-Energy-Corporation-Prices-Upsized-2-2-Billion-Convertible-Senior-Notes-Offering/default.aspx"/>
    <hyperlink ref="E72" r:id="rId68" display="https://www.businesswire.com/news/home/20260728460825/en/Bloom-Energy-Reports-Record-Second-Quarter-2026-Financial-Results-and-Raises-Full-Year-2026-Guidance"/>
    <hyperlink ref="E73" r:id="rId69" display="https://www.alphavantage.co/"/>
    <hyperlink ref="E74" r:id="rId70" display="https://techcrunch.com/2026/09/24/oracle-sends-force-majeure-notice-on-its-new-mexico-stargate-data-center/"/>
    <hyperlink ref="E75" r:id="rId71" display="https://247wallst.com/investing/2026/09/25/bloom-energy-jumps-8-as-oracle-reaffirms-2-4-gw-fuel-cell-contract-after-force-majeure-notice/"/>
    <hyperlink ref="E76" r:id="rId72" display="https://www.thestreet.com/investing/stocks/morgan-stanley-says-bloom-can-withstand-an-oracle-project-delay"/>
    <hyperlink ref="E77" r:id="rId73" display="https://dailycaller.com/2026/09/25/oracle-project-jupiter-force-majeure-new-mexico-air-permit-stargate-chris-johnson/"/>
    <hyperlink ref="E78" r:id="rId74" display="https://sourcenm.com/2026/09/17/new-mexico-supreme-court-rejects-2-project-jupiter-challenges-allows-permitting-process-to-resume/"/>
    <hyperlink ref="E79" r:id="rId75" display="https://www.benzinga.com/trading-ideas/movers/26/09/62000413/bloom-energy-stock-rebounds-whats-going-on"/>
    <hyperlink ref="E80" r:id="rId76" display="https://www.fool.com/investing/2026/09/24/a-delayed-pipeline-just-put-bloom-energy-s-role-in-a-usd165-billion-ai-project-in-question/"/>
    <hyperlink ref="E81" r:id="rId77" display="https://247wallst.com/investing/2026/09/24/bloom-energys-single-largest-fuel-cell-deployment-is-in-trouble/"/>
    <hyperlink ref="E82" r:id="rId78" display="https://www.utilitydive.com/news/bloom-energy-says-its-on-track-for-2-gw-annual-production-capacity/804291/"/>
    <hyperlink ref="E83" r:id="rId79" display="https://www.rgrdlaw.com/cases-bloom-energy-corporation-class-action-lawsuit-be.html"/>
    <hyperlink ref="E84" r:id="rId80" display="https://www.fool.com/investing/2026/09/10/bloom-energy-has-fallen-28-from-its-peak-and-may/"/>
    <hyperlink ref="E85" r:id="rId81" display="https://pgjonline.com/news/2026/july/new-mexico-denies-reconsideration-of-project-jupiter-gas-pipeline"/>
    <hyperlink ref="E86" r:id="rId82" display="https://www.nmstatelands.org/wp-content/uploads/2026/07/2026-07-14-Letter-re-Informal-Request-for-Reconsideration_Final.pdf"/>
    <hyperlink ref="E87" r:id="rId83" display="https://sourcenm.com/2026/03/31/nm-state-land-commissioner-rejects-application-for-gas-pipeline-to-power-project-jupiter-data-center/"/>
    <hyperlink ref="E88" r:id="rId84" display="https://www.blm.gov/press-release/blm-issues-rights-way-green-chile-natural-gas-pipeline"/>
    <hyperlink ref="E89" r:id="rId85" display="https://www.govinfo.gov/content/pkg/FR-2026-09-10/html/2026-18455.htm"/>
    <hyperlink ref="E90" r:id="rId86" display="https://www.govinfo.gov/content/pkg/FR-2026-07-29/html/2026-15286.htm"/>
    <hyperlink ref="E91" r:id="rId87" display="https://naturalgasintel.com/news/energy-transfers-green-chile-natural-gas-lateral-loses-fast-track-delaying-ai-fuel-supply/"/>
    <hyperlink ref="E92" r:id="rId88" display="https://www.abqjournal.com/news/project-jupiter-hearing-examiner-bows-out/3108469"/>
    <hyperlink ref="E93" r:id="rId89" display="https://www.abqjournal.com/business/new-mexico-supreme-court-lifts-stays-on-project-jupiter-dealing-setback-to-opponents/3124024"/>
    <hyperlink ref="E94" r:id="rId90" display="https://www.organmountainnews.com/raul-torrez-project-jupiter-water-air-permitting-supreme-court-2026/"/>
    <hyperlink ref="E95" r:id="rId91" display="https://techcrunch.com/2026/09/24/oracle-sends-force-majeure-notice-on-its-new-mexico-stargate-data-center/"/>
    <hyperlink ref="E96" r:id="rId92" display="https://www.thestreet.com/investing/stocks/morgan-stanley-says-bloom-can-withstand-an-oracle-project-delay"/>
    <hyperlink ref="E97" r:id="rId93" display="https://www.sec.gov/Archives/edgar/data/1664703/000162828026050150/ex991_q226financialresults.htm"/>
    <hyperlink ref="E98" r:id="rId94" display="https://www.sec.gov/Archives/edgar/data/1664703/000162828026066890/ex991_q326financialresults.htm"/>
    <hyperlink ref="E99" r:id="rId95" display="https://www.sec.gov/Archives/edgar/data/1664703/000162828026066931/be-20260930.htm"/>
    <hyperlink ref="E100" r:id="rId96" display="https://www.sec.gov/Archives/edgar/data/1664703/000162828026006516/be-20251231.htm"/>
    <hyperlink ref="E101" r:id="rId97" display="https://www.sec.gov/Archives/edgar/data/1664703/000162828026005798/ex991_q42025financialresul.htm"/>
    <hyperlink ref="E102" r:id="rId98" display="https://www.sec.gov/Archives/edgar/data/1664703/000162828026027913/ex991_q126financialresults.htm"/>
    <hyperlink ref="E103" r:id="rId99" display="https://www.sec.gov/Archives/edgar/data/1664703/000162828025008626/ex991_q42024financialresul.htm"/>
    <hyperlink ref="E104" r:id="rId100" display="https://www.sec.gov/Archives/edgar/data/1664703/000162828024005031/ex991_q42023financialresul.htm"/>
    <hyperlink ref="E105" r:id="rId101" display="https://www.sec.gov/Archives/edgar/data/1664703/000162828023002960/ex991_q42022financialresul.htm"/>
    <hyperlink ref="E106" r:id="rId102" display="https://www.sec.gov/Archives/edgar/data/1664703/000166470322000015/ex991be4q2021financialre.htm"/>
    <hyperlink ref="E108" r:id="rId103" display="https://eu.36kr.com/de/p/3917481569021574"/>
    <hyperlink ref="E109" r:id="rId104" display="https://stockanalysis.com/stocks/be/forecast/"/>
    <hyperlink ref="E110" r:id="rId105" display="https://www.abqjournal.com/news/retired-federal-judge-named-hearing-examiner-for-project-jupiter-permit/3133925"/>
    <hyperlink ref="E111" r:id="rId106" display="https://api.twelvedata.com/time_series?symbol=BE&amp;interval=1day&amp;start_date=2026-04-22&amp;end_date=2026-10-2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2026-10-30T22:16:02Z</dcterms:created>
  <dc:creator>openpyxl</dc:creator>
  <dc:description/>
  <dc:language>en-US</dc:language>
  <cp:lastModifiedBy/>
  <dcterms:modified xsi:type="dcterms:W3CDTF">2026-10-30T22:16:02Z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