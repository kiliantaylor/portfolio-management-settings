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istribution" sheetId="3" state="visible" r:id="rId5"/>
    <sheet name="Methods" sheetId="4" state="visible" r:id="rId6"/>
    <sheet name="Scenarios" sheetId="5" state="visible" r:id="rId7"/>
    <sheet name="Reasoning" sheetId="6" state="visible" r:id="rId8"/>
    <sheet name="Supervisor" sheetId="7" state="visible" r:id="rId9"/>
    <sheet name="Sources" sheetId="8" state="visible" r:id="rId10"/>
  </sheets>
  <definedNames>
    <definedName function="false" hidden="false" name="Analyst_Median" vbProcedure="false">Summary!$B$9</definedName>
    <definedName function="false" hidden="false" name="IV30" vbProcedure="false">Summary!$B$13</definedName>
    <definedName function="false" hidden="false" name="Market_Median" vbProcedure="false">Summary!$B$15</definedName>
    <definedName function="false" hidden="false" name="Platt_Shift" vbProcedure="false">Summary!$B$11</definedName>
    <definedName function="false" hidden="false" name="Spot" vbProcedure="false">Summary!$B$5</definedName>
    <definedName function="false" hidden="false" name="Sup_Used" vbProcedure="false">Summary!$B$10</definedName>
    <definedName function="false" hidden="false" name="Thesis_Break" vbProcedure="false">Summary!$B$12</definedName>
    <definedName function="false" hidden="false" name="W_Agents" vbProcedure="false">Summary!$B$7</definedName>
    <definedName function="false" hidden="false" name="W_Analyst" vbProcedure="false">Summary!$B$8</definedName>
    <definedName function="false" hidden="false" name="W_Mkt" vbProcedure="false">Summary!$B$6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<sst xmlns="http://schemas.openxmlformats.org/spreadsheetml/2006/main" count="1237" uniqueCount="837">
  <si>
    <t xml:space="preserve">ABT 12-month price target model</t>
  </si>
  <si>
    <t xml:space="preserve">Close 2026-10-30 · agents' research 2026-10-23 · horizon 2027-10-30. Blue = input you can change, black = formula, green = link to another sheet. Yellow = key assumption.</t>
  </si>
  <si>
    <t xml:space="preserve">Inputs</t>
  </si>
  <si>
    <t xml:space="preserve">Value</t>
  </si>
  <si>
    <t xml:space="preserve">Where it comes from</t>
  </si>
  <si>
    <t xml:space="preserve">Last close</t>
  </si>
  <si>
    <t xml:space="preserve">Close on 2026-10-30</t>
  </si>
  <si>
    <t xml:space="preserve">Weight: options market</t>
  </si>
  <si>
    <t xml:space="preserve">AIA Forecaster default (market 67%); flips to 33% when the option chain is thin</t>
  </si>
  <si>
    <t xml:space="preserve">Weight: agents</t>
  </si>
  <si>
    <t xml:space="preserve">AIA Forecaster default (agents 33%)</t>
  </si>
  <si>
    <t xml:space="preserve">Weight: analyst consensus</t>
  </si>
  <si>
    <t xml:space="preserve">Taken pro rata from the two above; 0 when there are no targets or in a special situation</t>
  </si>
  <si>
    <t xml:space="preserve">Analysts' median target</t>
  </si>
  <si>
    <t xml:space="preserve">28 analysts, https://stockanalysis.com/stocks/abt/forecast/ as of 2026-10-23</t>
  </si>
  <si>
    <t xml:space="preserve">Use supervisor ladder (1 = yes)</t>
  </si>
  <si>
    <t xml:space="preserve">Supervisor confidence: low; its ladder replaces the agents' mean only when high</t>
  </si>
  <si>
    <t xml:space="preserve">Platt log shift of the agents' curve</t>
  </si>
  <si>
    <t xml:space="preserve">combine.py: P(close &gt;= spot) 0.518 Platt-scaled (a = 1.732) to 0.518, then the whole agents' curve is shifted in log price by this amount</t>
  </si>
  <si>
    <t xml:space="preserve">Thesis-break price (supervisor)</t>
  </si>
  <si>
    <t xml:space="preserve">Supervisor's reconciled thesis break (agents' values on the Reasoning sheet)</t>
  </si>
  <si>
    <t xml:space="preserve">30-day implied vol</t>
  </si>
  <si>
    <t xml:space="preserve">Cboe model-free 30D IV as of 2026-10-30; sets the stop noise floor (2 one-month moves)</t>
  </si>
  <si>
    <t xml:space="preserve">Options-market median</t>
  </si>
  <si>
    <t xml:space="preserve">Median of the options-implied distribution (Distribution sheet); the analyst curve is this curve re-centred on the analysts' median</t>
  </si>
  <si>
    <t xml:space="preserve">Research target (12m) per share</t>
  </si>
  <si>
    <t xml:space="preserve">Method blend</t>
  </si>
  <si>
    <t xml:space="preserve">Stated</t>
  </si>
  <si>
    <t xml:space="preserve">Note</t>
  </si>
  <si>
    <t xml:space="preserve">Agent 1</t>
  </si>
  <si>
    <t xml:space="preserve">Agent 2</t>
  </si>
  <si>
    <t xml:space="preserve">Agent 3</t>
  </si>
  <si>
    <t xml:space="preserve">Agent 4</t>
  </si>
  <si>
    <t xml:space="preserve">Agent 5</t>
  </si>
  <si>
    <t xml:space="preserve">Agents' average</t>
  </si>
  <si>
    <t xml:space="preserve">Agents' median</t>
  </si>
  <si>
    <t xml:space="preserve">Supervisor's reconciled research target (12m)</t>
  </si>
  <si>
    <t xml:space="preserve">EXIT k=0.8 RE-SET 2026-10-26 (Kilian card 12:16Z: exit = peer median x (own / median)^0.8): P/E 16.8x -&gt; 17.42x. Research target (12m) $106.80 -&gt; $109.19 (engine: multiple: P/E (ntm) $110.27 x 0.6; multiple: EV/EBITDA (ntm) $107.56 x 0.4; scenarios bear $79.58 / base $109.19 / bull $134.78, median $108.67). Multiples and values quoted in the older text below are superseded by these. Model update 2026-10-23 (update): peer set refresh (Kilian 2026-10-26 06:07Z): the approved 11-peer set on one adjusted-EPS calendar basis has a 16.84x median; P/E leg 17.0x -&gt; 16.8x with no discount; EV/EBITDA 13.3x unchanged; engine base $107.49 -&gt; $106.80 (-0.6%). Engine (model_engine.py check 2026-10-23): P/E 16.8x leg $106.29 x 0.6 + EV/EBITDA 13.3x leg $107.56 x 0.4 = $106.80; scenarios bear $77.47 / base $106.80 / bull $132.19, median $106.31. Base round 2026-10-20 (gate-clean): $107.79 at its own date on 17.0x vs the old 18.2x set; $107.49 is that set re-dated to 2026-10-23 (update.json base_fair_value).</t>
  </si>
  <si>
    <t xml:space="preserve">Research target (12m) vs last close</t>
  </si>
  <si>
    <t xml:space="preserve">Levels</t>
  </si>
  <si>
    <t xml:space="preserve">This model</t>
  </si>
  <si>
    <t xml:space="preserve">Published</t>
  </si>
  <si>
    <t xml:space="preserve">How</t>
  </si>
  <si>
    <t xml:space="preserve">NTM target (median)</t>
  </si>
  <si>
    <t xml:space="preserve">Price with a 50% chance of closing above it on the horizon date</t>
  </si>
  <si>
    <t xml:space="preserve">Take-profit (75th percentile)</t>
  </si>
  <si>
    <t xml:space="preserve">25% chance of closing above</t>
  </si>
  <si>
    <t xml:space="preserve">15th percentile</t>
  </si>
  <si>
    <t xml:space="preserve">85% chance of closing above</t>
  </si>
  <si>
    <t xml:space="preserve">Stop noise floor</t>
  </si>
  <si>
    <t xml:space="preserve">Two one-month implied moves below the last close; the stop is never tighter than this</t>
  </si>
  <si>
    <t xml:space="preserve">Stop-loss</t>
  </si>
  <si>
    <t xml:space="preserve">Higher of the 15th percentile and the thesis break, capped at the noise floor (published basis: 15th percentile)</t>
  </si>
  <si>
    <t xml:space="preserve">Target vs last close</t>
  </si>
  <si>
    <t xml:space="preserve">P(close above last)</t>
  </si>
  <si>
    <t xml:space="preserve">Expected price (mean)</t>
  </si>
  <si>
    <t xml:space="preserve">Mean of the blended distribution (combine.py integrates the full curve); above the median when right-skewed</t>
  </si>
  <si>
    <t xml:space="preserve">Sheets</t>
  </si>
  <si>
    <t xml:space="preserve">Assumptions</t>
  </si>
  <si>
    <t xml:space="preserve">The supervisor's table of every driver: each agent's value, reasoning and linked sources</t>
  </si>
  <si>
    <t xml:space="preserve">Methods</t>
  </si>
  <si>
    <t xml:space="preserve">Each agent's valuation methods, values and weights</t>
  </si>
  <si>
    <t xml:space="preserve">Scenarios</t>
  </si>
  <si>
    <t xml:space="preserve">Downside (10th pct) / base / upside (90th pct) price per agent</t>
  </si>
  <si>
    <t xml:space="preserve">Distribution</t>
  </si>
  <si>
    <t xml:space="preserve">The probability ladder and the blend, as formulas</t>
  </si>
  <si>
    <t xml:space="preserve">Reasoning</t>
  </si>
  <si>
    <t xml:space="preserve">Each agent's written reasoning, thesis break and what changed from round 1</t>
  </si>
  <si>
    <t xml:space="preserve">Supervisor</t>
  </si>
  <si>
    <t xml:space="preserve">Disagreements, fact-checks and changes</t>
  </si>
  <si>
    <t xml:space="preserve">Sources</t>
  </si>
  <si>
    <t xml:space="preserve">Every cited source with its link</t>
  </si>
  <si>
    <t xml:space="preserve">ABT key assumptions, aggregated by the supervisor</t>
  </si>
  <si>
    <t xml:space="preserve">Each driver of the valuation: the supervisor's reconciled value (grey rows), then what each agent assumed, why, and its sources. Blue values are the agents' own numbers; blank means the agent did not use that driver.</t>
  </si>
  <si>
    <t xml:space="preserve">ID</t>
  </si>
  <si>
    <t xml:space="preserve">Assumption / who</t>
  </si>
  <si>
    <t xml:space="preserve">Source 1</t>
  </si>
  <si>
    <t xml:space="preserve">Source 2</t>
  </si>
  <si>
    <t xml:space="preserve">Source 3</t>
  </si>
  <si>
    <t xml:space="preserve">All sources</t>
  </si>
  <si>
    <t xml:space="preserve">Agents low</t>
  </si>
  <si>
    <t xml:space="preserve">Agents high</t>
  </si>
  <si>
    <t xml:space="preserve">Used in</t>
  </si>
  <si>
    <t xml:space="preserve">The supervisor has not aggregated this round yet (model_assumptions.json); see Methods and Reasoning.</t>
  </si>
  <si>
    <t xml:space="preserve">ABT probability of closing at or above each price on 2027-10-30</t>
  </si>
  <si>
    <t xml:space="preserve">Each column is P(close &gt;= K). Agents' curve is Platt-shifted, blended with the options market, then analysts at W_Analyst (0 since 2026-10-05). Interpolation is linear in logit(p) vs log(K), as in combine.py.</t>
  </si>
  <si>
    <t xml:space="preserve">Price K</t>
  </si>
  <si>
    <t xml:space="preserve">ln K</t>
  </si>
  <si>
    <t xml:space="preserve">Options market</t>
  </si>
  <si>
    <t xml:space="preserve">Agents' mean</t>
  </si>
  <si>
    <t xml:space="preserve">Agents' curve used</t>
  </si>
  <si>
    <t xml:space="preserve">logit(used)</t>
  </si>
  <si>
    <t xml:space="preserve">K shifted</t>
  </si>
  <si>
    <t xml:space="preserve">seg</t>
  </si>
  <si>
    <t xml:space="preserve">Agents Platt-shifted</t>
  </si>
  <si>
    <t xml:space="preserve">logit(market)</t>
  </si>
  <si>
    <t xml:space="preserve">K re-centred</t>
  </si>
  <si>
    <t xml:space="preserve">Analyst curve</t>
  </si>
  <si>
    <t xml:space="preserve">Blend ex analysts</t>
  </si>
  <si>
    <t xml:space="preserve">Final blend</t>
  </si>
  <si>
    <t xml:space="preserve">logit(final)</t>
  </si>
  <si>
    <t xml:space="preserve">Published (combine.py)</t>
  </si>
  <si>
    <t xml:space="preserve">Agents' curves are their final-round answers (Reasoning sheet shows round 1). Market and published columns come from combine.py; the model reproduces the final blend within rounding (combine.py also enforces a non-increasing curve).</t>
  </si>
  <si>
    <t xml:space="preserve">ABT valuation methods by agent</t>
  </si>
  <si>
    <t xml:space="preserve">Each agent's methods, the value per share and the weight it gave each. Blended value = weight-averaged methods; stated value = what the agent reported (it may round or add a deduction).</t>
  </si>
  <si>
    <t xml:space="preserve">Agent</t>
  </si>
  <si>
    <t xml:space="preserve">Method</t>
  </si>
  <si>
    <t xml:space="preserve">Value / share</t>
  </si>
  <si>
    <t xml:space="preserve">Weight</t>
  </si>
  <si>
    <t xml:space="preserve">Value x weight</t>
  </si>
  <si>
    <t xml:space="preserve">Calculation (assumption IDs on the Assumptions sheet)</t>
  </si>
  <si>
    <t xml:space="preserve">Inputs and reasoning</t>
  </si>
  <si>
    <t xml:space="preserve">P/E</t>
  </si>
  <si>
    <t xml:space="preserve">17.5x x NTM adjusted EPS at 2027-10-20 of ~$6.44 (0.2 x FY27 $5.99 + 0.8 x FY28 $6.55 from the segment build, after interest at 4.4% on horizon net debt and 15.5% tax) less $1.47/share adjustments; peer 11-company median 18.8x</t>
  </si>
  <si>
    <t xml:space="preserve">EV/EBITDA</t>
  </si>
  <si>
    <t xml:space="preserve">13.5x x NTM adjusted EBITDA at the horizon (~$15.9B = adjusted EBIT + depreciation) less engine net debt at horizon (~$22.4B) and $652M minorities, less adjustments</t>
  </si>
  <si>
    <t xml:space="preserve">SOTP</t>
  </si>
  <si>
    <t xml:space="preserve">NTM EBIT x EV/EBIT: Diabetes $3,282M x 16.5 = $54.2B; Other MD $5,645M x 15.5 = $87.5B; Dx ex-Cancer $2,051M x 14.5 = $29.7B; Cancer Dx $4,492M sales x 4.5 = $20.2B; Nutrition $1,658M x 14.0 = $23.2B; EPD $1,624M x 11.0 = $17.9B; corporate -$960M x 14.5 = -$13.9B; EV ~$218.8B less net debt, minorities, adjustments</t>
  </si>
  <si>
    <t xml:space="preserve">Blended value</t>
  </si>
  <si>
    <t xml:space="preserve">Stated research target (12m)</t>
  </si>
  <si>
    <t xml:space="preserve">Six-segment driver build (pro forma base incl. Exact Sciences) to FY2028, valued at the 2027-10-20 horizon: 17.5x NTM adjusted EPS (~$6.44; FY27 $5.99, FY28 $6.55) = $111.02 (55%), 13.5x NTM adjusted EBITDA = $109.64 (25%), sum of the parts with a multiple per segment = $111.75 (20%); net of -$1.47/share probability-weighted litigation (NEC, DOJ), integration and Nutrition-separation cash. Engine base horizon value $110.82.</t>
  </si>
  <si>
    <t xml:space="preserve">NTM EPS at horizon ~$6.43 (0.2 x FY27 $5.99 + 0.8 x FY28 $6.54 from the segment build; net debt at horizon ~$24.5B at 4.4%; 1,729M shares) x 17.2x, less ~$1.00/share expected litigation</t>
  </si>
  <si>
    <t xml:space="preserve">NTM EBITDA at horizon ~$16.0B (adjusted EBIT + depreciation) x 13.3x = EV ~$213B, less net debt ~$24.5B, minorities $0.65B, litigation ~$1.73B, / 1,729M shares</t>
  </si>
  <si>
    <t xml:space="preserve">other</t>
  </si>
  <si>
    <t xml:space="preserve">Cross-check only: 11-peer median NTM P/E 18.8x x consensus FY2027 EPS $6.08 = $114.3 (a today-basis peer read, not a horizon value)</t>
  </si>
  <si>
    <t xml:space="preserve">3-year segment driver build (FY2026 revenue ~$49.8B, FY2027 ~$53.6B, FY2028 ~$56.7B; adjusted EBIT margin 24.7% -&gt; 25.4%; adj EPS ~$5.99 FY2027 / ~$6.54 FY2028) valued at the horizon with 17.2x NTM P/E (60%) and 13.3x NTM EBITDA (40%), less ~$1.73B expected after-tax litigation (NEC, DOJ, Libre 3): engine base horizon value $108.80.</t>
  </si>
  <si>
    <t xml:space="preserve">NTM adj. EPS at horizon $6.39 (FY27E $5.99, FY28E $6.49, own build incl. net interest and other income) x 17.0x = $108.97, less expected litigation $1,100M / ~1,729M shares = -$0.64</t>
  </si>
  <si>
    <t xml:space="preserve">NTM EBITDA at horizon ~$14.8B (FY27 $14.0B, FY28 $15.0B: segment OE less unallocated, amortization and recurring specified items, plus D&amp;A) x 13.5x, less net debt at horizon from the engine bridge (FCF less interest, dividends/buybacks, $1.06B H2-2026 legal cash, $0.35B spin charges), minorities $0.65B and expected litigation $1.1B, over ~1,729M shares</t>
  </si>
  <si>
    <t xml:space="preserve">Cross-check only: 11-peer median NTM P/E 18.8x x consensus NTM EPS at horizon $6.61 = $124.3, less $0.64 litigation = $123.6. Not weighted: assumes the overhangs clear and consensus is met.</t>
  </si>
  <si>
    <t xml:space="preserve">Four-segment driver build (Devices, Diagnostics incl. Exact, Nutrition, EPD) to FY2028, EPS bridge reconciled to the FY2026 guide, valued at the 2027-10-20 horizon with P/E 17.0x on our NTM adjusted EPS $6.39 (3.3% below consensus; w 0.6) -&gt; $107.99 and EV/EBITDA 13.5x on NTM build EBITDA (w 0.4) -&gt; $99.33, both after an expected -$1.1B after-tax litigation adjustment (NEC -$0.9B; Libre -$0.4B x 0.5); engine base horizon value $104.53. [citation gate 2026-10-21: FY2028 Devices/Diagnostics growth (6.0%/6.5% -&gt; 5.9%/5.2%), shareholder returns and NTM EPS ($6.41 -&gt; $6.39) recomputed from the agent's own inputs; was $104.89]</t>
  </si>
  <si>
    <t xml:space="preserve">Horizon NTM adjusted EPS from the segment build (~$6.50: FY27 ~$6.02 / FY28 ~$6.62 blended 0.2/0.8, interest at 4.4% on horizon net debt, other income ~$650M) x 17.0x (11-peer median 18.8x; segment-mix build 16.9x), plus ~-$1.37/share of after-tax litigation, DOJ and separation adjustments</t>
  </si>
  <si>
    <t xml:space="preserve">Horizon NTM operating adjusted EBITDA (~$15.4B, other income stripped) x 13.5x less horizon net debt (bridged from $27.0B at 2026-06-30 with FCF after 4.4% after-tax interest and $5.2-5.8B pa returns), $0.65B minorities and the same adjustments</t>
  </si>
  <si>
    <t xml:space="preserve">Segment driver build (adjusted EBIT, SBC expensed once) valued at the horizon on 17.0x NTM EPS (~$6.50) weighted 0.6 and 13.5x NTM operating EBITDA weighted 0.4, net of ~$2.4B after-tax litigation, DOJ and separation cash; engine base horizon value $107.96. [citation gate 2026-10-21: Diagnostics FY2027 growth corrected from its own build (+11.0% -&gt; +12.8%; FY2028 6.2% -&gt; 6.15%); was $107.56]</t>
  </si>
  <si>
    <t xml:space="preserve">17.0x NTM adjusted EPS at 2027-10-20 of ~$6.45 (0.2 x FY27 ~$5.99 + 0.8 x FY28 ~$6.57 from the build, at horizon net debt and ~1,721M shares), less NEC $950M and Libre 3 $110M expected (~$0.61/share)</t>
  </si>
  <si>
    <t xml:space="preserve">12.75x NTM EBITDA (adjusted EBIT + depreciation) ~$16.0B at the horizon (0.2 x FY27 ~15.1B + 0.8 x FY28 ~16.2B), less horizon net debt, minorities and litigation</t>
  </si>
  <si>
    <t xml:space="preserve">NTM segment EBIT at horizon x EV/EBIT: Devices ~$8.68B x 15.5, Diagnostics ~$2.61B x 14.5, Nutrition ~$1.62B x 11, EPD ~$1.77B x 11, corporate -$0.47B x 13; less horizon net debt, minorities $0.65B, NEC $0.95B and Libre $0.15B</t>
  </si>
  <si>
    <t xml:space="preserve">Segment driver build (FY27 revenue $53.7B, ~6.0% organic, adjusted EBIT margin 24.9%, EPS ~$5.99; FY28 $56.8B, 25.4%, ~$6.57) valued at the 2027-10-20 horizon: P/E 17x NTM EPS ~$6.45 = $108.51 (w 0.60), EV/EBITDA 12.75x = $102.94 (w 0.25), segment SOTP on EV/EBIT = $102.62 (w 0.15); NEC -$950M and Libre 3 claims -$110M expected as equity adjustments; settlement cash ($670M NEC deal, $384M DOJ) in FY26 other uses. Engine base horizon value $106.26. [citation gate 2026-10-21: Libre 3 claims recomputed from its own range (-$300M -&gt; -$220M after tax x 0.5); was $106.23]</t>
  </si>
  <si>
    <t xml:space="preserve">ABT cases by agent</t>
  </si>
  <si>
    <t xml:space="preserve">Base case = median; downside = 10th percentile, upside = 90th percentile (no probabilities; older rounds' bear/bull shown as downside/upside).</t>
  </si>
  <si>
    <t xml:space="preserve">Downside (P10)</t>
  </si>
  <si>
    <t xml:space="preserve">Base (median)</t>
  </si>
  <si>
    <t xml:space="preserve">Upside (P90)</t>
  </si>
  <si>
    <t xml:space="preserve">Downside story</t>
  </si>
  <si>
    <t xml:space="preserve">Base story</t>
  </si>
  <si>
    <t xml:space="preserve">Upside story</t>
  </si>
  <si>
    <t xml:space="preserve">Libre growth stalls at ~3% on international pricing and Medicare bidding, EP slows further, Nutrition flat, Cologuard loses share to blood tests, adverse NEC verdicts resume; revenue growth -2 pts a year, margins -1.5 pts, P/E 14.5x, SOTP multiples -20%.</t>
  </si>
  <si>
    <t xml:space="preserve">FY26 ~$5.52 adj EPS; FY27 ~$5.99 (+8.5%) on ~6% pro forma organic growth as the CEO guided ('pretty similar' to 2026), FY28 ~$6.55 as EP, Libre Duo and Cancer Dx (high-teens margin) carry growth; NEC settled in inventory deals; P/E 17.5x, ~7% below the 11-peer median.</t>
  </si>
  <si>
    <t xml:space="preserve">Organic growth accelerates to 7-8% (Libre Duo, Medicare non-insulin CGM coverage, Volt PFA), margins +1 pt, the Nutrition spin highlights a faster, higher-margin device/diagnostics company; P/E 19.5x near the peer median, SOTP multiples +12%.</t>
  </si>
  <si>
    <t xml:space="preserve">CGM stays low-single-digit and competitive-bid SPAs (fall 2027) cut Medicare CGM price harder than modeled; Volt stays a ~1-2% PFA player; Cologuard loses volume to blood tests; Section 232 device tariffs or a Libre consent decree take ~0.2pt more margin; NEC/Libre tail ~$2-3B. Growth -2pt, margin -1.2pt, P/E 14.7x / EV/EBITDA 10.8x: engine ~$80.</t>
  </si>
  <si>
    <t xml:space="preserve">Segment build: ~6% organic growth, FY2027 adj EPS ~$5.99, FY2028 ~$6.54, 17.2x NTM P/E and 13.3x NTM EBITDA, less ~$1.73B expected after-tax litigation: ~$109.</t>
  </si>
  <si>
    <t xml:space="preserve">Libre Duo, payer formulary wins and Medicare type 2 non-insulin coverage reaccelerate CGM toward ~10%; Volt gains share in a ~20% unit AF ablation market; Exact synergies lift Dx margins; the Nutrition Form 10 lets the market price RemainCo near the 18.8x peer median: ~$134.</t>
  </si>
  <si>
    <t xml:space="preserve">CGM slows to low single digits (Medicare competitive-bidding pricing from ~2028, international price pressure, Dexcom), Section 232 tariffs on imported devices, the Alameda warning letter escalates, NEC verdicts resume (tail $3-5B), Cologuard loses share to blood tests; EPS ~10% below base and P/E ~14.5x.</t>
  </si>
  <si>
    <t xml:space="preserve">~6% comparable growth in 2027 (CEO: 'pretty similar to this year'), ~50bp/yr consolidated adjusted-margin expansion, EPS +8-9%/yr to $5.99/$6.51, Exact annualises with high-teens margin, NEC settles near ~$0.9B after tax, 17x on our EPS; Nutrition spin pending at the horizon (value-neutral).</t>
  </si>
  <si>
    <t xml:space="preserve">CMS covers CGM for non-insulin type 2 in 2027, Libre Duo gains share, Exact accretive, NEC largely resolved, the spin shows a faster-growing higher-margin RemainCo; P/E toward ~19.5x.</t>
  </si>
  <si>
    <t xml:space="preserve">CGM keeps losing share on price and type-2 access (Dexcom G7 15-day, OTC) and Medicare bid pricing bites from 2028; EP share gains stall vs Farapulse; Cologuard reimbursement pressure; NEC tail above $1B. EPS growth ~5% and P/E compresses to ~14.5x.</t>
  </si>
  <si>
    <t xml:space="preserve">Organic ~6% in 2027 ('pretty similar to this year'), ~6.5% in 2028; adjusted operating margin +40bps pa; FY27/FY28 adj EPS ~$6.02/$6.62; 17.0x NTM P/E and 13.5x NTM EBITDA; ~$2.4B after-tax litigation and separation cash.</t>
  </si>
  <si>
    <t xml:space="preserve">CMS covers non-insulin type-2 CGM, Libre Duo and Volt lift device growth to ~9-10%, spin clarity re-rates RemainCo toward ~19.5x.</t>
  </si>
  <si>
    <t xml:space="preserve">CGM growth stays low single digit as Libre loses share after the recall/warning letter and Medicare competitive-bidding contracts (awarded 2027) cut 2028 pricing; Section 232 device tariffs; Cancer Dx decelerates on blood-based CRC tests; a second large NEC verdict; multiple ~14x NTM (near BSX/MDT): revenue growth -1.5pt, margin -1.5pt.</t>
  </si>
  <si>
    <t xml:space="preserve">~6% organic growth in 2027 as the CEO framed it, acceleration in 2028 on EP/PFA (~15%) and Libre Duo; margins +40-50 bp/yr; EPS FY27 ~$5.99 / FY28 ~$6.57 (1.5-2.5% below consensus); P/E 17x NTM, ~10% below the 18.8x peer median.</t>
  </si>
  <si>
    <t xml:space="preserve">Libre Duo and Medicare coverage for non-insulin type 2 lift CGM back toward high single digits, EP ~20%, Exact synergies land early; double-digit EPS growth earns ~20x NTM, still near the device/diagnostics blend rather than ABT's old 22-23x.</t>
  </si>
  <si>
    <t xml:space="preserve">Average</t>
  </si>
  <si>
    <t xml:space="preserve">ABT each agent's reasoning</t>
  </si>
  <si>
    <t xml:space="preserve">Final round, with round 1 for comparison. Revisions list what each agent changed after the supervisor's feedback.</t>
  </si>
  <si>
    <t xml:space="preserve">Research target (12m) r1</t>
  </si>
  <si>
    <t xml:space="preserve">Research target (12m) r2</t>
  </si>
  <si>
    <t xml:space="preserve">Thesis break</t>
  </si>
  <si>
    <t xml:space="preserve">Thesis break reason</t>
  </si>
  <si>
    <t xml:space="preserve">Key uncertainties</t>
  </si>
  <si>
    <t xml:space="preserve">Revisions after feedback</t>
  </si>
  <si>
    <t xml:space="preserve">Round 2 keeps the round-1 primary-document build and fixes what the supervisor established: (1) the DOJ/40-state False Claims Act settlement is final ($348.7M + $35.5M, CA AG 2026-09-21) -&gt; p=1, -$345M after tax; (2) the 2026-08-20 8-K says ~12,700 infants remain AFTER the deal (round 1 subtracted 2,000 wrongly) -&gt; NEC remaining -$875M; (3) the 2026-10-21 Nutrition separation (8-K: tax-free, by end-2027) -&gt; -$320M one-time cash and a 10% ladder branch where the distribution precedes 2027-10-20 and the quote falls ~$10 (Abbott's AbbVie spin, announced Oct-2011, completed 2013-01-01, finished at the end of its target year); (4) CMS CGM competitive bidding (awards 2027) priced into FY28 Diabetes growth and the multiple; (5) P/E re-based on the 11-peer median 18.8x ex-ISRG, set at 17.5x (supervisor 17.0x: I keep a smaller discount because ABT's ~9.3% EPS growth equals the peer median and the spin removes the lowest-multiple segment); (6) SOTP weight cut to 0.20 (kept, not zero, because the spin makes the parts' separate pricing concrete). From the call transcript: diabetes low-to-mid single digit for several quarters (Diabetes FY27/28 5.0/5.5% vs 7.5/7.5%), EP ~20% in Q4 (Other MD FY27 7.0%), Cancer Dx already at a high-teens margin (17/19% vs 14/17%), 2027 sales growth 'pretty similar' (~5.9% pro forma organic in the build). EPS FY27 $5.99 / FY28 $6.55 (consensus $6.08/$6.74, -1.5%/-2.8%). Fair value $110.82 (from $116.93), +13% vs ~$98.4. Ladder: 60% scenario mix (bear $79 / base $111 / bull $133, 25/55/20, within-scenario sigma 0.16) + 40% lognormal around ~$102 (start $98.4 plus drift, sigma 0.27), then 10% spin branch scaled by 0.91: median ~$102.5, P(&gt;= $102) ~0.51, P(&gt;= $138) ~0.11, P(&lt; $82) ~0.21. No option data used; research limited to ~8 follow-ups.</t>
  </si>
  <si>
    <t xml:space="preserve">Below the $81.97 52-week low, $78 is ~12x NTM adjusted EPS at the horizon (~$6.44), below every device peer except ZBH. Trading there (outside the spin branch, where the quote falls ~$10 for a distribution worth the same) would most likely mean earnings power is impaired, not ordinary volatility (1-year sigma ~$27): Libre growth near zero on Medicare bidding or share loss, a Libre consent decree, a Cologuard guideline/reimbursement shock, an NEC verdict wave in the billions, or a 2027 guide well below ~$5.9.</t>
  </si>
  <si>
    <t xml:space="preserve">• How long Libre stays at low-to-mid single digit growth (CEO: Q4 and 'the next few quarters') and how much Medicare competitive bidding cuts US pricing from ~2028
• Whether 2027 group growth accelerates from ~6% as the CEO expects (EP slowed to ~20% on LAA orders)
• Exact Sciences margin path (high-teens exit rate) and Cologuard competition from blood tests
• NEC tail: ~12,700 infants in ~1,700 suits still pending after the August deal
• Nutrition spin terms (NutritionCo debt, cash to Abbott, stranded costs, one-time charges) and whether the remaining Abbott re-rates
• Whether the de-rating to ~16.5x NTM is durable (valuation assumes a partial re-rating to 17.5x)</t>
  </si>
  <si>
    <t xml:space="preserve">• fair value: 116.93 → 110.82 (Lower P/E (17.5x on the ex-ISRG 11-peer median), slower Libre/EP from the Q3 call, DOJ at p=1, NEC on 12,700 remaining infants, Nutrition separation costs, SOTP weight 0.35 -&gt; 0.20 (supervisor findings + call transcript))
• a method: P/E: 18.0x, $116.46, weight 0.45 → 17.5x, $111.02, weight 0.55 (Supervisor: round-1 20.3x median inflated by ISRG; 11-peer median 18.8x; discount argued (mix, NEC, 2028 CGM bidding). I keep 17.5x vs the supervisor's 17.0x since ABT's EPS growth is at the peer median)
• a method: EV/EBITDA: $111.79, weight 0.20 → $109.64, weight 0.25 (Lower NTM EBITDA from the slower Diabetes/EP build and higher adjustments; weight moved from SOTP)
• a method: SOTP: $120.46, weight 0.35 → $111.75, weight 0.20 (Supervisor asked for evidence or a cross-check: weight cut, kept at 0.20 on the Nutrition separation 8-K; Diabetes 18.5x -&gt; 16.5x and Other MD 16.0x -&gt; 15.5x on the call's CGM/EP guidance)
• a fact: NEC infants remaining: ~10,700 → ~12,700 (Re-read the 2026-08-20 8-K: ~1,700 suits / ~12,700 infants remain pending after the agreements)
• a fact: DOJ settlement: -$400M at p=0.5 → -$345M after tax at p=1 (Supervisor: $384.2M False Claims Act settlement announced 2026-09-21 (CA AG release, opened))
• a fact: Nutrition spin: not in file → -$320M one-time costs; 10% ladder branch at ~-$10 (Supervisor: Nutrition separation 8-K 2026-10-21 (opened); AbbVie precedent for timing)
• a fact: drivers from the Q3 call: Diabetes 7.5/7.5%, Other MD 7.5/7.0%, Cancer Dx margin 14/17% → Diabetes 5.0/5.5%, Other MD 7.0/7.0%, Cancer Dx margin 17/19% (Q3 call transcript (supervisor src 7, opened): diabetes low-to-mid single digit, EP ~20% Q4, Cancer Dx high-teens margin exit)
• a scenario: bear $84.27 / base $116.93 / bull $140.21 → bear $79.03 / base $110.82 / bull $133.34 (Engine on the revised set; bear multiple 14.5x, SOTP deltas -20%/+12%)
• P(close &gt;= K): K=102 0.595, K=113 0.445, K=138 0.17, K=82 0.84 → K=102 0.505, K=113 0.348, K=138 0.106, K=82 0.784 (Start re-anchored to ~$98.4 (Twelve Data, later in the session than $99.8), lower fair value, 10% Nutrition-spin branch)
• P(close on 2026-11-19 &gt;= K): K=102.45 0.36, K=98.35 0.555 → K=102.45 0.276, K=98.35 0.466 (Start ~$98.4 (supervisor: ~$97.98; Twelve Data last $98.385))
• thesis break: 78.0 → 78.0 (Unchanged: still ~12x NTM EPS (~$6.44) and below the 52-week low; reason updated for the spin branch, Medicare bidding and the Libre warning letter)</t>
  </si>
  <si>
    <t xml:space="preserve">Round 2. Start ~$98.4 (Twelve Data intraday after the Q3 print; round 1 used $99.8). Q3 was in line on EPS but FY2026 comparable growth was cut to ~6%, CGM guided low-mid single digit for several quarters, and a Nutrition spin targeted by end-2027. Industry evidence is unchanged: Dexcom +13% and Medtronic Diabetes ~+15% organic vs Abbott CGM +7.7% (relative share loss), Medicare CGM competitive bidding effective by 2028-01-01 (bids 2026, SPAs fall 2027), Volt from ~1% US PFA share in a market where PFA is ~78% of AF ablation spend, Shield scaling against Cologuard, China VBP pressure on core lab. Supervisor findings I took: DOJ/40-state $384.2M FCA settlement (-$350M after tax, p 1); Devices FY2027 cut to 6.5% (Diabetes +4%) and FY2028 6.2% with bidding; PODD dropped (11-peer median 18.8x); EV/EBITDA tested against today's 13.3x and set at 13.3x; a 12% ladder branch for the spin completing before the horizon (quote ~$8.5 lower); added long-dated risks I had missed (Libre escalation, Section 232, separation costs, type 2 coverage upside); Libre 3 claims at -$240M x 0.5. I kept remaining NEC at -$700M (supervisor -$950M) because the August deal implies ~$35k per infant after Gill. Build: FY2027 adj EPS ~$5.99, FY2028 ~$6.54 (consensus $6.08/$6.74, 1.5%/3% lower), 17.2x NTM P/E (60%) and 13.3x EBITDA (40%): $108.80 (bear $79.6, base $108.8, bull $133.7 at 25/50/25). The ladder moves each scenario 60% of the log distance from spot to value (market price is a strong 12-month anchor), with ~19% within-scenario sd plus a 15% fat-tail component at 33% and the 12% spin branch: median ~$102, P(&gt;=$82) 0.815, P(&gt;=$123) 0.216. Research used web search/fetch and Twelve Data quotes only; no option data.</t>
  </si>
  <si>
    <t xml:space="preserve">Below ~$79 (under the $81.97 52-week low, ~12.3x my horizon NTM EPS of ~$6.43, and at my bear value of ~$80), the market would be pricing a structural impairment rather than volatility: a CGM price reset (competitive-bid SPAs well below the $272.69 monthly bid ceiling, or an international price war) that turns Diabetes Care to decline, a Libre consent decree, or NEC/Libre liabilities in the multi-billions. Any of these breaks the ~9% EPS growth path the 17.2x rests on. A completed Nutrition spin before the horizon would mechanically lower the quote by ~$8.5 without breaking the thesis; adjust the level to ~$71 in that case.</t>
  </si>
  <si>
    <t xml:space="preserve">• CGM growth: whether Libre's slowdown to ~7-8% (vs Dexcom +13%, Medtronic Diabetes +15%) is pricing/tender noise or structural share loss; type 2 non-insulin Medicare coverage timing.
• Size of the CGM price cut when competitive-bid single payment amounts are set (fall 2027) and how much of Abbott's US CGM revenue is Medicare.
• Volt PFA share ramp in a US AF ablation market where PFA is ~78% of catheter spend and Medtronic/BSX hold ~89%.
• Cologuard durability vs blood-based screening (Guardant Shield 270-285k tests in 2026) and Exact margin synergies.
• NEC litigation: ~12,700 remaining infant claims, per-claim value after the Gill settlement.
• Nutrition spin terms (debt raised at SpinCo and cash to Abbott, dis-synergies) and whether RemainCo re-rates.
• Whether the Libre 3 recall and January 2026 FDA warning letter close cleanly or escalate (consent decree, new recall).
• Section 232 tariffs on imported devices: still pending as of the latest coverage I found.</t>
  </si>
  <si>
    <t xml:space="preserve">• fair value: 114.26 → 108.80 (DOJ settlement and Libre 3 claims added (-$0.30/share), Devices growth 7.0%/7.0% -&gt; 6.5%/6.2%, horizon P/E 17.5x -&gt; 17.2x, EV/EBITDA 14.0x -&gt; 13.3x (supervisor findings on DOJ, CGM outlook, peer set and EV/EBITDA test))
• a method: P/E: 112.96 at 17.5x on 12-peer median 19.4x → 109.36 at 17.2x on 11-peer median 18.8x (Supervisor dropped PODD as a single-product grower; I agree; discount 8.5% (vs supervisor 10%) since litigation is already deducted as an adjustment)
• a method: EV/EBITDA: 116.21 at 14.0x → 107.97 at 13.3x (Supervisor asked to test against ABT's ~13.3x today; peer trailing median 14.25x rolled forward is ~13.3x and peers' EBITDA is after specified items)
• a fact: DOJ/states FCA settlement omitted → -$350M after tax, p 1.0 (Supervisor: $384.2M settlement final 2026-09-21; confirmed at the California AG page ($348.7M federal + $35.5M states))
• a fact: Medical Devices +7.0% FY2027 / +7.0% FY2028 → +6.5% / +6.2%, margin 34.8%/35.1% (Supervisor: CEO said CGM low-to-mid single digit for several quarters; FY2028 carries Medicare bidding)
• a fact: starting price ~$99.8 → ~$98.4 (Supervisor flagged $97.98 live; Twelve Data quote $98.385 on 2026-10-21)
• a scenario: bear $85 / base $114 / bull $140 → bear $79.6 / base $108.8 / bull $133.7 (Revised build; bear margin delta -1.0pt -&gt; -1.2pt for Section 232 tariff and Libre escalation risk)
• P(close &gt;= K): K102 0.59, K113 0.43, K82 0.85, K123 0.31 → K102 0.502, K113 0.335, K82 0.815, K123 0.216 (Lower fair value and start price, plus a 12% branch for the Nutrition spin completing before the horizon (quote ~$8.5 lower))
• P(close &gt;= K) 1-month: K98.35 0.56, K102.45 0.35 → K98.35 0.482, K102.45 0.29 (Re-anchored on the $98.4 live price; Dexcom Q3 on 2026-10-29 confirmed in the window)
• thesis break: 79 → 79 (~$71 if the spin completes first) (Unchanged level (now ~12.3x horizon NTM EPS and at the bear value); added a spin-adjusted level)
• a fact: Remaining NEC -$700M → -$700M (kept) (I disagree with the supervisor's -$950M: the August deal implies ~$35k per infant after Gill; higher outcomes sit in the bear case)
• a fact: other uses FY2027 600 → 900 (Nutrition separation one-time costs (supervisor long-dated review; separation 8-K))</t>
  </si>
  <si>
    <t xml:space="preserve">Start: ~$98.4 after the Q3 print (Twelve Data). Facts: Q3 sales $13.0B (+7.0% comp), adj. EPS $1.42 in line, FY2026 comparable growth cut to ~6.0% from 6.5-7.5%, EPS $5.50-5.55, Q4 $1.62-1.67; CGM +7.7% and guided low-to-mid single digit; Nutrition spin by end-2027; CEO: 2027 sales growth 'pretty similar', EPS historically ~9%. Revisions after the supervisor: (1) the EPS bridge now reconciles to the FY2026 guide and includes other income (~$650M/yr) and a recalibrated unallocated cost (~$1.3B), giving FY27/28 $5.99/$6.51 (NTM $6.41, -3% vs consensus) instead of $5.88/$6.45; (2) NEC per-claim rebuilt from the 8-K (Gill + interest ~$600M of the $670M): -$0.9B after tax, range -$0.6B to -$1.2B; (3) Libre at p 0.5; (4) ISRG dropped, peer median 18.8x, 17.0x kept as a ~10% persistent discount (not a double haircut now that EPS is fixed); (5) Medicare CGM bidding, Section 232 tariffs and spin costs added to long-dated risks, FY2028 Devices growth 6.0%, $350M spin charges in FY2027. The EV/EBITDA leg falls to $99.7 because unallocated cost was understated in round 1; the P/E leg rises to $108.3. Fair value $104.89 (+6.6% vs $98.4, ~+9% with the dividend). Scenarios $76.3/$104.9/$133.6 at 0.30/0.50/0.20. Ladder: 50/50 blend of the scenario mixture (15% within-scenario vol) and a lognormal at median $99.5, 27% vol, then a 10% branch where the spin completes before the horizon and the quote drops ~$8.5 (NutritionCo: ~$8.5B sales x ~19% margin, ~$1.85B EBITDA x ~11.5x less allocated debt, ~$15B equity / 1,730M shares); tails thickened slightly for litigation. Median ~$99.5, P(&gt;= $102) 0.46. Research limits: Section 232 outcome and Libre docket status not found; Seeking Alpha kept as context only. [citation gate 2026-10-21: arithmetic fixes from the agent's own inputs: FY2028 Devices +5.9% (was 6.0%), Diagnostics +5.2% (was 6.5%), shareholder returns $5,904/6,212/6,542M, NTM EPS $6.39 (FY28 $6.49); P/E leg $107.99, EV/EBITDA leg $99.33, engine base $104.53 (was $104.89); ABT today 16.5x on $5.97 consensus NTM. View (17.0x, 13.5x, drivers) unchanged; ladder unchanged]</t>
  </si>
  <si>
    <t xml:space="preserve">At ~$78 (below the $81.97 52-week low; ~12x our NTM EPS of $6.39 and near our $76 bear case) the market would be pricing a fundamental break: CGM losing price or share (Medicare bidding, a Libre consent decree or second recall), NEC verdicts turning the 12,700 claims into a multi-billion liability, or an Exact/Cologuard impairment. That is not ordinary 27%-vol noise around a ~$98 stock. If the Nutrition spin completes first, the equivalent level for RemainCo is ~$70 (less ~$8.5 NutritionCo value).</t>
  </si>
  <si>
    <t xml:space="preserve">• CGM trajectory: Q3 CGM +7.7% comp, guided low-to-mid single digit for several quarters; Medicare non-insulin coverage (upside, not in the 2027 forecast) vs competitive bidding (~2028 downside).
• Size of the remaining NEC liability: the Aug-2026 deal implies ~$35-85k per other infant depending on what Gill settled for; verdict risk on ~12,700 claimed infants.
• 2027 guidance (January): 'pretty similar' sales growth to 2026 (~6%); our FY2027 EPS $5.99 vs consensus $6.08.
• Nutrition spin timing (by end-2027) and terms (NutritionCo debt and cash to Abbott, stranded costs).
• Exact Sciences returns: ~$20.6B paid, amortization ~$3.3B/yr; Cancer Dx +14% with high-teens margin; Cologuard vs blood tests.
• Libre plant quality: open warning letter; recall litigation (no MDL yet).
• Section 232 device tariffs: probe outcome not found.</t>
  </si>
  <si>
    <t xml:space="preserve">• fair value: 105.30 → 104.89 (EPS bridge fixed (supervisor: reconcile to Q4 guide; other income omitted), NEC rebuilt from the 8-K, Libre at p 0.5, unallocated cost recalibrated (lowers EV/EBITDA leg), spin charges.)
• a method: P/E: 106.74 (17.0x x $6.33) → 108.33 (17.0x x $6.41) (Supervisor: FY27 EPS $5.88 3% below consensus vs CEO 'similar' growth and ~9% EPS history; bridge now includes ~$650M other income and reconciles to FY2026 $5.525.)
• a method: EV/EBITDA: 103.14 → 99.74 (Unallocated corporate cost recalibrated from ~$950M to ~$1,325M to match the FY2026 guide (round-1 error), plus $350M FY2027 spin charges.)
• a fact: NEC remaining claims: -$1,200M after tax (~$135k/claim on an assumed $400M Gill split) → -$900M after tax (range -$600M to -$1,200M) (Supervisor and 8-K: $670M = Gill judgment + interest (~$600M) + ~2,000 infants, so ~$35-85k per other infant; the $400M split was unsourced.)
• a fact: Libre 3 litigation: -$300M at p 1.0 → -$400M at p 0.5 (expected -$200M) (Supervisor: put Libre at a probability below 1; no MDL or consolidated docket found.)
• a fact: horizon P/E peer median: 20.3x (12 peers incl. ISRG) → 18.8x (11 peers) (Supervisor dropped ISRG as a single-franchise outlier; 17.0x kept, now a ~10% discount argued as persistent.)
• a fact: Medical Devices growth FY2027/28: +6.5% / +6.5% → +6.4% / +6.0% (CEO: diabetes low-to-mid single digit; Medicare CGM competitive bidding (contracts 2027, pricing ~2028) that I missed in round 1.)
• a scenario: bear: 76.60 → 76.26 (Engine on the revised set; story adds Medicare bidding and Section 232 tariffs.)
• a scenario: base / bull: 105.30 / 134.05 → 104.89 / 133.58 (Engine on the revised set.)
• P(close &gt;= K): K=82 0.78, 102 0.49, 123 0.22, 138 0.11 → K=82 0.754, 102 0.464, 123 0.208, 138 0.102 (Re-anchored on $98.4 (vs $99.8) and a 10% branch for the Nutrition spin completing before the horizon (quote -$8.5).)
• 1-month P(close &gt;= K): K=98.35 0.55, 102.45 0.35 → K=98.35 0.482, 102.45 0.29 (Live price $98.4 after the print vs the $99.8 used in round 1.)
• thesis break: 78.0 → 78.0 (Unchanged: ~12x the revised NTM EPS; note added for the post-spin equivalent (~$70).)</t>
  </si>
  <si>
    <t xml:space="preserve">Revision round. Starting price ~$98.4 (Twelve Data intraday 2026-10-21 after the Q3 print [30]), not the $102.45 close or round 1's $99.8. Facts: Q3 sales $13.0B (+7.0% comparable), adj EPS $1.42 (adj operating margin 23.4%: GAAP 1,358 + specified 1,693; net interest 297; other income ~166), FY26 EPS $5.50-5.55, comparable growth cut to ~6%, CGM +7.7% with diabetes guided low-mid single digit, Nutrition spin by end-2027 [1,5,6]. Supervisor findings acted on: interest 4.4% with other income in corporate_ebit (and stripped from EBITDA); SBC no longer deducted twice; DOJ $384.2M settlement added [28]; Diagnostics margins cut to 19-21% (Exact high teens); BAX dropped from the peer median (18.8x) and the P/E re-argued from the segment mix at 17.0x; Medicare CGM competitive bidding priced into FY28 devices growth and the multiple [29]. My own additions: remaining NEC claims at an expected -$750M after tax (12,700 infants still pending [27]), H2'26 settlements moved to adjustments (the engine only counted half of FY26 other_uses), and ~$400M separation costs. Alternative-lane evidence (unchanged, colour not numbers): independent writers were bullish at $84-101 on a decade-low multiple and a diabetes re-rating [11-16] - that thesis weakened again; GlobalData share data with Dexcom's 11-13% guide implies CGM share drift [9,23]; patient forums and recall trackers on Libre 3 feed the litigation estimate [19-22]; OTC Lingo is small [17,18,25,26]. Model: FY27/FY28 adj EPS ~$6.02/$6.62 (consensus $6.08/$6.74, -1% / -2%), valued at 17.0x NTM P/E and 13.5x NTM EV/EBITDA less ~$2.4B after-tax litigation/separation cash; engine base horizon value $107.56 (P/E leg $108.86, EV/EBITDA leg $105.61). Ladder: the engine's research median ($105.5) blended half-and-half with the spot price grown ~3.3% (expected price return ~6.5% = ~9% cost of equity less ~2.5% dividend yield, less ~3% lognormal mean-to-median gap; today's price beats every blend as a forecast) gives a median ~$104; lognormal sigma 0.25 (realized 27%), with a 12% branch where the Nutrition spin completes before the horizon and the quote is ~8.5% lower (NutritionCo ~1.9B EBITDA x ~11x less ~5.5B debt = ~15B / 1,730 = ~$8.7/share; judgment). Bear/base/bull $78 / $108 / $136 (engine) at 25/55/20%. Lane share: 16 of 30 sources are alternative-lane; excluding the 7 company filings/releases used only for basic reported facts (exempt per the brief) it is 16 of 23 (70%). Research limited: X/Reddit not reachable via search, no new post-print alternative-lane coverage found, the 10-K segment note was not readable. [citation gate 2026-10-21: Diagnostics FY2027 +12.8% (the build had used the FY2025 ex-Cancer base and dropped ~$214M; was +11.0%), FY2028 +6.15%; engine base $107.96 (P/E $109.25, EV/EBITDA $106.02; was $107.56). Tax 15.5% and SBC $664M relabelled/re-cited. View unchanged; ladder unchanged]</t>
  </si>
  <si>
    <t xml:space="preserve">$77 is ~6% below the 52-week low ($81.97), near the engine bear case ($78), and ~12x horizon NTM EPS (~$6.5): trading there would mean earnings power is impaired - the January 2027 guide well below ~$6.0, CGM turning to US share loss or deep Medicare bid cuts, an FDA escalation on Libre, or NEC costs in the billions - not ordinary volatility.</t>
  </si>
  <si>
    <t xml:space="preserve">• CGM trajectory: Abbott CGM +7.7% comparable in Q3 vs Dexcom guiding 11-13%; Medicare competitive-bidding prices (contracts 2027) and whether Libre stays in low-mid single digits beyond 'a few quarters'.
• Whether the Nutrition spin completes before 2027-10-20 (changes what the ABT quote represents), its separation costs and dis-synergies.
• The horizon multiple: the peer median swings 17.1-18.8x on one peer (BAX); each 1x is ~$6.6/share.
• Exact Sciences: Cologuard growth vs blood-based competition and reimbursement; margin path from high teens.
• Volt PFA share gains vs Farapulse; EP Q4 guide ~20%.
• Litigation: per-claim cost of ~12,700 remaining NEC infants; Libre 3 recall suits.
• Segment margins after corporate are estimates (segment note not reachable); group margin anchored to the guide and Q3 reconciliation.</t>
  </si>
  <si>
    <t xml:space="preserve">• fair value: 109.13 → 107.56 (Engine value of the revised set: P/E 16.5x -&gt; 17.0x (BAX dropped, segment-mix build), interest 4.4% with other income, SBC counted once, Dx margins lower (Devices absorbs), FY28 devices growth 7.5% -&gt; 7.0% (Medicare CGM bidding), DOJ settlement, remaining NEC at expected value, separation costs, H2'26 settlements as full adjustments.)
• a method: P/E: 16.5x on ~$6.67 NTM EPS → 17.0x on ~$6.50 NTM EPS (Supervisor peer-median finding (18.8x ex BAX) re-argued from ABT's segment profit mix; EPS lower from 4.4% interest on horizon net debt and lower FY28 devices growth.)
• a method: EV/EBITDA: 13.5x on adjusted EBITDA incl. net other income → 13.5x on operating EBITDA (other income stripped) (Other income now sits in corporate_ebit; stripped from EBITDA to keep peers' operating basis.)
• a fact: interest rate on net debt: 0.02 → 0.044 (Supervisor: Q3 net interest $297M x 4 / $27.0B; confirmed in the Q3 release.)
• a fact: SBC in the FCF bridge: 1.8-1.9% of revenue deducted again → 0 (counted once in adjusted EBIT) (Supervisor: adjusted EBIT already expenses SBC; engine line 166.)
• a fact: DOJ/states False Claims Act settlement: omitted → -$345M after tax, p 1.0 (Supervisor finding; CA AG release: federal $348.7M + states $35.5M = $384.2M.)
• a fact: Diagnostics margin: 22.0-23.5% → 19.0-21.0% (Supervisor: CEO's 'high teens' Exact margin; 10-K MD&amp;A Dx segment profit -16.1% in FY25.)
• a fact: remaining NEC claims: -$1,000M x 0.4 → -$750M expected (p 1.0) (NEC 8-K: ~12,700 infants still pending after the August deal; per-claim math from the first batch. Not the supervisor's -$950M: I haircut per-claim cost for weaker remaining claims.)
• a fact: Libre 3 liability: -$600M x 0.5 → unchanged (-$600M x 0.5) (Disagree with supervisor's -$300M: deaths and an open warning letter argue for larger per-claim values.)
• a scenario: bear 79.4 / base 109.1 / bull 138.2 → bear 78.17 / base 107.56 / bull 136.13 (Same deltas on the revised set; base multiple 17.0x.)
• P(close &gt;= K): {'72': 0.916, '82': 0.808, '92': 0.661, '102': 0.504, '113': 0.346, '123': 0.233, '138': 0.118, '154': 0.053} → {'72': 0.92, '82': 0.812, '92': 0.666, '102': 0.508, '113': 0.349, '123': 0.234, '138': 0.118, '154': 0.053} (Spot re-anchored to ~$98.4 (from $99.8); median ~$104 (round 1 $104); spin-before-horizon branch 15% -&gt; 12% at an ~8.5% (not 11%) quote drop.)
• 1-month ladder: centred $99.6 → centred $98.2 (ABT traded ~$98.4 later on 2026-10-21 (Twelve Data).)
• thesis break: 76.0 → 77.0 (~12x the higher-confidence NTM EPS (~$6.5), near the revised bear case.)</t>
  </si>
  <si>
    <t xml:space="preserve">Base rates first. ABT's own history (Twelve Data monthly closes 2013-2026): median 12-month price return +13%; after a trailing 12-month return &lt;= -15% the next 12 months returned a median +12% (10 of 11 up); after drawdowns &gt;= 20% from a 12-month high, a median +2% (13 cases). Spin-off base rates: median 9 months announcement-to-completion (Houlihan Lokey, 2019-22), but Abbott guides 'by end of 2027' and closed AbbVie exactly at its guided date, so I give ~10% to the Nutrition spin completing before 2027-10-20 (quote ~$7.5 lower, value-neutral). Prediction markets: Polymarket's December 2026 Fed hike (77.5c, ~$0.95M volume) argues against a quick re-rating; the end-2027 recession contract (~$11.7k volume) is too thin and enters only as a low-confidence bear note. Revision: the supervisor showed my 18x leaned on a peer median inflated by RMD and on ABT's own pre-de-rating history; with RMD out the 11-peer median is 18.8x and a segment-weighted peer P/E is 16.1x, so I use 17x. The CEO's 2027 framing (sales growth 'pretty similar', CGM low-to-mid single digit) cuts my Devices growth to 6.4%/6.2%, giving EPS ~$5.99/$6.57 (1.5-2.5% under consensus). Settlement cash ($670M NEC, $384M DOJ) is itemized in FY26 other uses; Libre 3 claims add -$150M expected; Medicare CGM bidding and other post-horizon risks are priced in the multiple and growth. Fair value $106.23 (P/E $108.51, EV/EBITDA $102.94, SOTP $102.62). Ladder: start $98.43; blend of the model scenario mix (bear $77.0 / base $106.2 / bull $134.3 at 25/50/25, within-scenario vol 15%) at 40%, a market-anchored lognormal (median ~$102.8, ~4.5% price drift, vol 25%) at 52% and an 8% fat tail (vol 45%), all with the 10% spin branch; median ~$103, P(&gt;= $102) 0.52, P(&gt;= $123) 0.25, P(&lt; $82) 0.20. [citation gate 2026-10-21: Libre 3 claims -$220M x 0.5 = -$110M (midpoint of its own $0.17-0.27B after-tax range; was -$300M x 0.5); engine base $106.26 (P/E $108.53, EV/EBITDA $102.96, SOTP $102.65; was $106.23). View unchanged; ladder unchanged]</t>
  </si>
  <si>
    <t xml:space="preserve">$78 is ~12x my NTM EPS (~$6.45) at the horizon, below the $81.97 52-week low, ~21% under today's $98.43 and at my bear scenario ($77). Trading there would most likely mean earnings power was impaired (Libre losing share or a consent decree/second recall, Medicare bidding cuts deeper than expected, a 2027 guide well under ~$5.8, or NEC exposure re-rated to multi-billion verdicts), not ordinary 27% volatility; P(close &lt; $78) in my ladder is ~16%, mostly the bear branch.</t>
  </si>
  <si>
    <t xml:space="preserve">• CGM trajectory: low-to-mid single digit now (Diabetes Care ~37.5% of Devices); whether Libre Duo re-accelerates it before Medicare competitive-bidding pricing lands (~2028).
• Size of the remaining NEC liability (~12,700 infant claims) and Libre 3 recall claims.
• Horizon multiple: 17x sits between a 16.1x segment-weighted and 18.8x whole-company peer median; each 1x is ~$6.45/share.
• Nutrition spin: timing (by end-2027), standalone costs and the debt NutritionCo raises; a pre-horizon completion lowers the ABT quote ~7%.
• Exact Sciences: Cologuard growth vs blood-based CRC screening, integration costs and synergy pace.
• Rates: Polymarket prices a December 2026 Fed hike (77.5%); medtech multiples have already de-rated.</t>
  </si>
  <si>
    <t xml:space="preserve">• fair value: 114.51 → 106.23 (P/E 18x -&gt; 17x (RMD dropped, 11-peer median 18.8x, segment-weighted 16.1x, no reliance on ABT's 22.75x history), Devices growth cut to the CEO's CGM outlook, SOTP multiples re-based on the device-only median, Libre 3 claims added)
• a method: P/E 18x x $6.53 = $117.07 (w 0.60) → P/E 17x x ~$6.45 = $108.51 (w 0.60) (Supervisor: justify 18x without ABT's own history or move to ~17x; peer set de-rated (BSX 13.5x))
• a method: EV/EBITDA 13.0x = $107.24 (w 0.15) → EV/EBITDA 12.75x = $102.94 (w 0.25) (Peer trailing median 14.25x without RMD; weight moved from SOTP (supervisor: no evidence for a SOTP weight))
• a method: SOTP $112.74 (w 0.25; Devices 17x, Dx 15x) → SOTP $102.62 (w 0.15; Devices 15.5x, Dx 14.5x) (Device-only median 15.4x once RMD is dropped; SOTP weight untested, kept small because the Nutrition spin makes it relevant)
• a fact: Devices growth 7.5%/7.5% (CGM ~7-8%) → 6.4%/6.2% from Q3 sub-lines (CGM ~5%/4.5%, EP 15%/13%) (Q3 call: diabetes low-to-mid single digit for coming quarters, 2027 sales 'pretty similar', EP ~20% in Q4 (supervisor disagreement on FY27/28 EPS; transcript src 16))
• a fact: FY26 other_uses $1,700M unitemized → $670M NEC deal + $384M DOJ/40-state settlement + ~$650M Exact integration = $1,704M (Supervisor missed-item: itemize settlement cash; DOJ amount confirmed at the California AG release (src 19))
• a fact: no Libre 3 litigation → -$300M x p 0.5 = -$150M adjustment (Supervisor litigation reconciliation; my own per-claim derivation from the recall's deaths/injuries)
• a fact: starting price $99.8 → $98.43 (Supervisor: live price ~$98; Twelve Data quote (src 22))
• P(close &gt;= K): K=102: 0.595, K=113: 0.44, K=123: 0.314, K=138: 0.172 → K=102: 0.515, K=113: 0.361, K=123: 0.245, K=138: 0.127 (Lower start price, lower fair value and bull case, and a 10% Nutrition-spin branch (-$7.5 quote) from spin base rates (src 17, 20, 21))
• P(close &gt;= K) 1-month: K=98.35: 0.557, K=102.45: 0.359 → K=98.35: 0.492, K=102.45: 0.30 (Re-centred on the $98.43 post-print quote)
• a scenario: bear $85.91 / base $114.51 / bull $141.32 → bear $76.98 / base $106.23 / bull $134.32 (Same deltas on the revised base; bear now names Medicare bidding, Libre escalation and tariffs; bull names non-insulin Medicare coverage)
• thesis break: 80.0 → 78.0 (~12x NTM EPS at the horizon after the lower start and EPS; at the bear scenario)
• a fact: Polymarket recession 35% carrying -$3.0/share → low-confidence scenario note, -$1.9/share probability-weighted, not in the base (Supervisor source_review: thin market (~$11.7k volume))
• a fact: long_dated_risks without Medicare CGM bidding, Libre escalation, spin dis-synergies, non-insulin coverage → added with probabilities and per-share effects (Supervisor long_dated_review listed agent_5 as missing them; MedTech Dive (src 18), spin 8-K (src 17))
• a fact: 12 comps incl. RMD (median 19.6x) → 11 comps (median 18.8x) (Supervisor: drop RMD (sleep/respiratory, not comparable))</t>
  </si>
  <si>
    <t xml:space="preserve">ABT supervisor</t>
  </si>
  <si>
    <t xml:space="preserve">Confidence: low. Every contested fact I checked (Nutrition 8-K, $670M NEC deal and 12,700 infants, $384.2M DOJ/states, Q3 figures and guide, 6/30 net debt, segment figures (10-K segment note), peer prices and consensus; the citation gate (2026-10-21) removed two unconfirmed claims and fixed labels and arithmetic) confirmed what the forecasters used; my reconciled value ($107.79) sits on the forecasters' mean ($107.67), so I keep the mean ladder and claim no directional edge.</t>
  </si>
  <si>
    <t xml:space="preserve">Summary</t>
  </si>
  <si>
    <t xml:space="preserve">EXIT k=0.8 RE-SET 2026-10-26 (Kilian card 12:16Z: exit = peer median x (own / median)^0.8): P/E 16.8x -&gt; 17.42x. Research target (12m) $106.80 -&gt; $109.19 (engine: multiple: P/E (ntm) $110.27 x 0.6; multiple: EV/EBITDA (ntm) $107.56 x 0.4; scenarios bear $79.58 / base $109.19 / bull $134.78, median $108.67). Multiples and values quoted in the older text below are superseded by these. Peer refresh 2026-10-23: research value $106.80 on 16.8x NTM adjusted EPS (new 11-peer median 16.84x; ABT 17.6x at $103.70) and 13.3x NTM EBITDA. ABT reconciles to $107.79 at the 2027-10-20 horizon (+9.6% vs the ~$98.4 post-print price), on 17.0x NTM adjusted EPS of ~$6.43 and 13.3x NTM EBITDA, less ~$2.7B of expected after-tax litigation, settlement, separation and specified-items cash. Every contested fact checked out at the primary source: the Nutrition separation 8-K (2026-10-21), the ~$670M NEC deal with ~12,700 infants remaining, the $384.2M DOJ/states settlement, and the Q3 figures and new guide. The five forecasts had already converged ($104.5-$110.8), so the ladder stays at their mean, confidence low; thesis break $78. The one call for Kilian is the multiple: pricing at the 18.2x peer median would give $115.00 (+6.7%).</t>
  </si>
  <si>
    <t xml:space="preserve">Research target (12m)</t>
  </si>
  <si>
    <t xml:space="preserve">Key drivers</t>
  </si>
  <si>
    <t xml:space="preserve">• Diabetes Care sales (FreeStyle Libre CGM): 7,998 -&gt; 8,670/9,060/9,377 (estimate; quarterly, sum)
• Electrophysiology sales (Volt PFA, mapping, Amulet LAA from 2026): 2,764 -&gt; 3,441/3,958/4,432 (estimate; quarterly, sum)
• Other Medical Devices sales (Rhythm Mgmt, Heart Failure, Vascular, Structural Heart, Neuromodulation): 1.062e+04 -&gt; 1.115e+04/1.182e+04/1.253e+04 (estimate; quarterly, sum)
• Core Laboratory + Rapid/Molecular Diagnostics sales (ex Cancer Dx): 8,937 -&gt; 9,112/9,430/9,762 (estimate; quarterly, sum)
• Cancer Diagnostics sales (Exact Sciences: Cologuard, precision oncology), as consolidated by Abbott: 0 -&gt; 2,973/4,120/4,574 (estimate; quarterly, sum)
• Established Pharmaceuticals sales (branded generics, ~76% Key Emerging Markets): 5,536 -&gt; 6,019/6,440/6,891 (estimate; quarterly, sum)</t>
  </si>
  <si>
    <t xml:space="preserve">Disagreements (final round)</t>
  </si>
  <si>
    <t xml:space="preserve">Topic</t>
  </si>
  <si>
    <t xml:space="preserve">Positions</t>
  </si>
  <si>
    <t xml:space="preserve">Resolution</t>
  </si>
  <si>
    <t xml:space="preserve">Evidence</t>
  </si>
  <si>
    <t xml:space="preserve">Has a Nutrition separation actually been announced, and does it belong in value?</t>
  </si>
  <si>
    <t xml:space="preserve">All five treat a Nutrition spin by end-2027 as announced; agents 1/4 deduct separation cash (-$320M/-$400M), agent_3 puts $350M in FY27 other_uses, agents 2/5 nothing; ladder branches 10-12%.</t>
  </si>
  <si>
    <t xml:space="preserve">Confirmed at the primary source: Abbott 8-K (CIK 1800, accession 0001104659-26-117587, filed 2026-10-21) Ex. 99.1 announces the intention to separate Nutrition (~$8.5B sales) via a tax-free distribution, expected by end-2027, one-time charges to be quantified; CFO on the call: costs are specified items excluded from adjusted EPS. Value-neutral to holders, so it is not in fair value except -$300M after-tax separation cash; kept as a 10% ladder branch (judgment: Abbott expects completion by end-2027 and the horizon is 2027-10-20, ~2.4 months before the end of that window; the agents gave 10-12%). Quote ~$9 lower if distributed before the horizon: the mean of agent_1's ($1.65B EBITDA x 14x - $4.5B debt) / 1,729M = $10.7 and agent_5's (($1,540M - $150M) x 12x - $4B) / 1,725M = $7.35 derivations, low confidence. [citation gate 2026-10-21: the unsourced 14-21 month base rate is removed]</t>
  </si>
  <si>
    <t xml:space="preserve">src 2, 16, 8</t>
  </si>
  <si>
    <t xml:space="preserve">Settlement amounts (NEC August deal, DOJ/states)</t>
  </si>
  <si>
    <t xml:space="preserve">All agents use ~$670M NEC and $384.2M DOJ/states; after-tax treatment -$520M to -$566M and -$345M to -$350M; agents 3/5 carry them in FY26 other_uses instead of adjustments.</t>
  </si>
  <si>
    <t xml:space="preserve">Both confirmed at primary sources: 8-K 2026-08-20 says ~$670M aggregate for Gill (~$600M judgment plus interest) and ~2,000 infants, leaving ~1,700 suits / ~12,700 infants; CA AG 2026-09-21: $348,700,868 federal + $35,491,288 states = $384,192,156. Reconciled set: -$520M and -$350M as adjustments (agreed 2026-08-20 and announced 2026-09-21, so the cash is paid after the 6/30 net-debt date and is not in it; an accrual would not be in net debt either) [citation gate 2026-10-21: the unconfirmed "no NEC reserve at 6/30" and $510M accrual claims are removed].</t>
  </si>
  <si>
    <t xml:space="preserve">src 3, 4, 6</t>
  </si>
  <si>
    <t xml:space="preserve">Remaining NEC claims expected cost</t>
  </si>
  <si>
    <t xml:space="preserve">agent_2 -$700M, agent_4 -$750M, agent_1 -$875M, agent_3 -$900M, agent_5 -$950M (after tax).</t>
  </si>
  <si>
    <t xml:space="preserve">The August deal implies ~$35k per non-Gill infant (($670M - ~$600M)/~2,000); the 8-K says the remaining 12,700 include duplicate and non-NEC claims. -$750M after tax (~$76k per infant, ~2x the deal rate, for verdict risk and defense) with low confidence; range -$450M to -$1.5B moves value only -$0.25 to +$0.20/share.</t>
  </si>
  <si>
    <t xml:space="preserve">src 3</t>
  </si>
  <si>
    <t xml:space="preserve">Horizon P/E and the peer basis</t>
  </si>
  <si>
    <t xml:space="preserve">agent_1 17.5x, agent_2 17.2x, agents 3/4/5 17.0x, all against an 11-peer median of 18.8x.</t>
  </si>
  <si>
    <t xml:space="preserve">[Exit k=0.8 re-set 2026-10-26: P/E now 17.42x = 16.84 x (17.57 / 16.84)^0.8, research target (12m) $109.19.] Peer refresh 2026-10-26 (Kilian 06:07Z): approved 11-peer set (MDT BSX SYK BDX ZBH TMO DHR JNJ + Siemens Healthineers, Terumo, Olympus) on one calendar NTM window 2026-10-23 to 2027-10-22 and ABT's adjusted-EPS basis: median 16.84x (Terumo); 16.8x applied with no discount (ABT growth +8.5% vs set median +6.2%; litigation and CGM pricing already in adjustments/drivers). ABT 17.6x at $103.70. Superseded 10-21 resolution: 17.0x = ~7% discount to an 18.2x median on the old set incl. EW/DXCM/GEHC. See inputs_detail 'horizon P/E'.</t>
  </si>
  <si>
    <t xml:space="preserve">src 17, 18, 19, 21, 22, 23, 24, 25, 26</t>
  </si>
  <si>
    <t xml:space="preserve">EV/EBITDA level and EBITDA basis</t>
  </si>
  <si>
    <t xml:space="preserve">agent_5 12.75x, agent_2 13.3x, agents 1/3/4 13.5x; agent_3 deducts recurring specified items from EBITDA (~$14.8B NTM vs ~$15.4-16.0B others), giving its $99.7 leg.</t>
  </si>
  <si>
    <t xml:space="preserve">13.3x = ABT's own current NTM adjusted EV/EBITDA (~13.35x: EV ~$198.6B / ~$14.88B NTM adjusted EBITDA), i.e. no re-rating, on the same basis as the leg. The 6-peer filing median (14.25x TTM) is GAAP EBITDA and is a reference only. The recurring specified-items cash agent_3 points to is real (FY25 FCF $7.4B vs ~$8.0B implied by the adjusted build) and is taken once, as a -$600M equity adjustment, rather than by cutting EBITDA and the multiple both.</t>
  </si>
  <si>
    <t xml:space="preserve">src 5, 7, 15</t>
  </si>
  <si>
    <t xml:space="preserve">Segment margins in Diagnostics and the Devices allocation</t>
  </si>
  <si>
    <t xml:space="preserve">agent_5 Dx 16.5-18.5% vs 19-21% elsewhere; agent_4 allocates corporate costs into segments (Devices 27.8%) with corporate +$650M.</t>
  </si>
  <si>
    <t xml:space="preserve">FY2025 10-K Dx 19.5%, Devices 33.7% (opened); CEO says Exact is already at a high-teens margin exiting Q3. Dx 19.0-20.5%; agent_5's Dx margin understates EBIT by ~$300M. agent_4's totals are fine but its segment margins are not on the filing basis.</t>
  </si>
  <si>
    <t xml:space="preserve">src 5, 8</t>
  </si>
  <si>
    <t xml:space="preserve">Libre 3 recall product-liability claims</t>
  </si>
  <si>
    <t xml:space="preserve">agent_1 none; agents 2/3/4/5 -$240M to -$600M at p=0.5.</t>
  </si>
  <si>
    <t xml:space="preserve">AHA News 2026-02-04 (src 11): FDA Class I recall; 860 serious injuries and 7 deaths reported. [citation gate 2026-10-21: the FDA page (src 10) returned HTTP 401 and is not relied on] Kept at -$300M x 0.5, low confidence.</t>
  </si>
  <si>
    <t xml:space="preserve">src 11</t>
  </si>
  <si>
    <t xml:space="preserve">Changes the supervisor made</t>
  </si>
  <si>
    <t xml:space="preserve">Item</t>
  </si>
  <si>
    <t xml:space="preserve">From</t>
  </si>
  <si>
    <t xml:space="preserve">To</t>
  </si>
  <si>
    <t xml:space="preserve">Why</t>
  </si>
  <si>
    <t xml:space="preserve">exit multiple (k=0.8 rule, Kilian card 2026-10-26 12:16Z)</t>
  </si>
  <si>
    <t xml:space="preserve">P/E 16.8x, EV/EBITDA 13.3x</t>
  </si>
  <si>
    <t xml:space="preserve">P/E 17.42x, EV/EBITDA 13.3x</t>
  </si>
  <si>
    <t xml:space="preserve">Exit = peer median x (own NTM multiple on the peers' basis / median)^0.8; research target (12m) $106.80 -&gt; $109.19. See inputs_detail and comps_summary (own_multiple, exit_k).</t>
  </si>
  <si>
    <t xml:space="preserve">horizon P/E (peer set refresh 2026-10-26)</t>
  </si>
  <si>
    <t xml:space="preserve">17.0</t>
  </si>
  <si>
    <t xml:space="preserve">16.8</t>
  </si>
  <si>
    <t xml:space="preserve">Approved set re-based to ABT's adjusted-EPS calendar NTM basis: median 18.2x (old set) -&gt; 16.84x; discount dropped (see comps_review). Research value $107.49 -&gt; $106.80 at 2026-10-23.</t>
  </si>
  <si>
    <t xml:space="preserve">fair value (reconciled vs forecaster mean)</t>
  </si>
  <si>
    <t xml:space="preserve">107.67</t>
  </si>
  <si>
    <t xml:space="preserve">107.79</t>
  </si>
  <si>
    <t xml:space="preserve">Engine value of the reconciled set: agent_1's 17.5x P/E cut to 17.0x and agent_5's Dx margins lifted to the 10-K basis, offset by a -$600M specified-items cash adjustment no agent carried in full. (Gate 2026-10-21: forecaster mean after agent arithmetic fixes $107.67; reconciled $107.79.)</t>
  </si>
  <si>
    <t xml:space="preserve">agent_1 horizon P/E</t>
  </si>
  <si>
    <t xml:space="preserve">17.5</t>
  </si>
  <si>
    <t xml:space="preserve">On one calendar NTM window the 11-peer median is 18.2x and ABT 16.5x; Abbott expects the spin that would remove the low-multiple segment by end-2027, most likely after the horizon.</t>
  </si>
  <si>
    <t xml:space="preserve">peer NTM P/E median basis</t>
  </si>
  <si>
    <t xml:space="preserve">18.8</t>
  </si>
  <si>
    <t xml:space="preserve">18.2</t>
  </si>
  <si>
    <t xml:space="preserve">peers.md takes each peer's NTM from its last filed quarter; rebased all 11 peers to one calendar window 2026-10-21 to 2027-10-20 (fiscal years weighted by days): median 18.2x (SYK), ABT 16.5x.</t>
  </si>
  <si>
    <t xml:space="preserve">agent_5 Diagnostics EBIT margin FY2027</t>
  </si>
  <si>
    <t xml:space="preserve">0.175</t>
  </si>
  <si>
    <t xml:space="preserve">0.198</t>
  </si>
  <si>
    <t xml:space="preserve">FY2025 10-K Dx margin 19.5% and CEO: Exact already at high-teens margin exiting Q3.</t>
  </si>
  <si>
    <t xml:space="preserve">specified-items cash adjustment (new)</t>
  </si>
  <si>
    <t xml:space="preserve">0</t>
  </si>
  <si>
    <t xml:space="preserve">-600</t>
  </si>
  <si>
    <t xml:space="preserve">FY2025 FCF $7,395M vs ~$8,020M implied by adjusted net earnings $9,040M + depreciation - capex - NWC: recurring restructuring/integration cash the adjusted build misses.</t>
  </si>
  <si>
    <t xml:space="preserve">remaining NEC expected after-tax cost (vs agent range)</t>
  </si>
  <si>
    <t xml:space="preserve">-835</t>
  </si>
  <si>
    <t xml:space="preserve">-750</t>
  </si>
  <si>
    <t xml:space="preserve">Agent mean -$835M; the 8-K August deal implies ~$35k per non-Gill infant, so ~$76k per infant already doubles it for verdict risk.</t>
  </si>
  <si>
    <t xml:space="preserve">Citation audit (2026-10-21)</t>
  </si>
  <si>
    <t xml:space="preserve">{'item': 'Diagnostics FY2027 growth (reconciled)', 'from': '+12.8% (~$13.64B)', 'to': '+13.0% (5.6 x 1.05 + 3.5 x 1.01 + 3.8 x 1.12 = $13.67B / $12.09B)', 'source': 'gate arithmetic check; Q3 release https://www.sec.gov/Archives/edgar/data/0000001800/000162828026066601/abt-2026q3xexhibitx991.htm'}</t>
  </si>
  <si>
    <t xml:space="preserve">{'item': 'Medical Devices EBIT margin FY2026-28 (reconciled)', 'from': '34.5% / 34.7% / 34.9% (no derivation for the +0.8pt FY2026 step)', 'to': '33.9% / 34.1% / 34.3% (FY2025 10-K 7,212 / 21,387 = 33.7% + 20 bp/yr)', 'source': 'https://www.sec.gov/Archives/edgar/data/1800/000162828026010185/abt-20251231.htm'}</t>
  </si>
  <si>
    <t xml:space="preserve">{'item': 'corporate_ebit FY2026-28 (reconciled)', 'from': '-$960M / -$1,040M / -$1,110M', 'to': '-$820M / -$888M / -$948M (FY26 offsets the -$140M Devices margin change so engine FY26 EPS stays $5.52 vs the $5.50-5.55 guide; then +8% / +7% as before)', 'source': 'https://www.sec.gov/Archives/edgar/data/0000001800/000162828026066601/abt-2026q3xexhibitx991.htm'}</t>
  </si>
  <si>
    <t xml:space="preserve">{'item': 'NWC 12% of incremental revenue', 'from': 'no derivation', 'to': 'FY2025 10-K operating working capital 5,260 / 44,328 = 11.9% (FY2024 11.1%), held constant', 'source': 'https://www.sec.gov/Archives/edgar/data/1800/000162828026010185/abt-20251231.htm'}</t>
  </si>
  <si>
    <t xml:space="preserve">{'item': 'SBC treatment', 'from': 'basis reported', 'to': 'basis judgment (modelling choice); $664M cited to the FY2025 10-K', 'source': 'https://www.sec.gov/Archives/edgar/data/1800/000162828026010185/abt-20251231.htm'}</t>
  </si>
  <si>
    <t xml:space="preserve">{'item': 'diluted shares -0.5%/yr', 'from': 'basis reported', 'to': 'basis estimate (release implies -0.6% Q3 y/y, -0.3% 9M y/y); 1,738M Q3 average stays reported', 'source': 'https://www.sec.gov/Archives/edgar/data/0000001800/000162828026066601/abt-2026q3xexhibitx991.htm'}</t>
  </si>
  <si>
    <t xml:space="preserve">{'item': 'peer median NTM P/E on the engine basis', 'from': '18.2x from 2 of 11 rebased peers (mixed fiscal-year windows, provider/basis unstated)', 'to': '18.2x computed for all 11 on one calendar NTM window (2026-10-21 to 2027-10-20); providers and adjusted basis stated', 'source': 'file:///mnt/project-files/valuation/runs/2026-10-20/ABT/peers.md'}</t>
  </si>
  <si>
    <t xml:space="preserve">{'item': 'horizon EV/EBITDA basis', 'from': '13.3x as the rolled GAAP-EBITDA peer median applied to adjusted EBITDA', 'to': "13.3x anchored on ABT's own NTM adjusted EV/EBITDA (EV ~$198.6B / ~$14.88B = 13.35x); GAAP peer median reference only", 'source': 'https://www.sec.gov/Archives/edgar/data/1800/000162828026050134/abt-20260630.htm'}</t>
  </si>
  <si>
    <t xml:space="preserve">{'item': 'fair_value', 'from': 107.71, 'to': 107.79, 'source': 'model_engine.py check runs/2026-10-20/ABT/supervisor.json'}</t>
  </si>
  <si>
    <t xml:space="preserve">{'item': 'Twelve Data quotes (ABT, BSX, SYK, MDT)', 'from': 'ABT $98.445, BSX $44.06, SYK $294.72, MDT $93.37 cited to api.twelvedata.com (needs a key)', 'to': 'ABT $98.36 (52-wk $81.97-$132.03), BSX $44.38, SYK $295.56, MDT $93.365 from the Twelve Data connector 2026-10-21 ~17:05Z', 'source': 'Twelve Data quote via the connected Twelve Data connector (get_quote; api.twelvedata.com/quote needs a key), retrieved 2026-10-21 ~17:05Z'}</t>
  </si>
  <si>
    <t xml:space="preserve">{'item': 'peers.md 18.8x NTM P/E median', 'from': 'used as the anchor, mixed windows', 'to': 'labelled as the table basis, cross-check only; anchor is the calendarized 18.2x', 'source': 'file:///mnt/project-files/valuation/runs/2026-10-20/ABT/peers.md'}</t>
  </si>
  <si>
    <t xml:space="preserve">{'item': 'spin timing base rate "large-cap spins usually take 14-21 months"', 'from': 'stated in the Nutrition resolution and judgment call', 'to': 'removed (no source shows it); the 10% branch is a judgment on the 8-K timing (by end-2027)', 'source': 'https://www.sec.gov/Archives/edgar/data/0000001800/000110465926117587/tm2627971d1_ex99-1.htm'}</t>
  </si>
  <si>
    <t xml:space="preserve">{'item': 'NEC "no reserve at 6/30 per the Q2 10-Q" and "$510M legal accrual"', 'from': 'stated in the settlements resolution and source 6 title', 'to': 'removed (not confirmed in the 10-Q); no number used them', 'source': 'https://www.sec.gov/Archives/edgar/data/1800/000162828026050134/abt-20260630.htm'}</t>
  </si>
  <si>
    <t xml:space="preserve">{'item': 'FDA Libre 3 figures 860 / 7', 'from': 'cited to the FDA page (HTTP 401)', 'to': 'cited to AHA News 2026-02-04', 'source': 'https://www.aha.org/news/headline/2026-02-04-fda-issues-most-serious-recall-certain-glucose-monitor-sensors'}</t>
  </si>
  <si>
    <t xml:space="preserve">{'item': 'ladder spin-branch quote drop', 'from': '~$8.5 (no derivation)', 'to': "~$9: mean of agent_1 $10.7 and agent_5 $7.35 derivations (gate-verified); text only, the ladder is the forecasters' mean", 'source': 'agent_1.json / agent_5.json model_inputs'}</t>
  </si>
  <si>
    <t xml:space="preserve">{'item': 'judgment call values', 'from': '$107.71 / $114.92 / $104.68', 'to': '$107.79 / $115.00 / $104.75', 'source': 'model_engine.py on the reconciled set with 17.0/13.3, 18.2/14.0, 16.5/13.0'}</t>
  </si>
  <si>
    <t xml:space="preserve">{'item': 'thesis break reference', 'from': '~12x ~$6.40 EPS; bear $78.7', 'to': '~12.1x ~$6.43 EPS; bear $78.8 (threshold $78 unchanged)', 'source': 'model_engine.py'}</t>
  </si>
  <si>
    <t xml:space="preserve">{'item': 'model_assumptions A1 reconciled', 'from': 53.69, 'to': 53.72, 'source': 'model_engine.py on the corrected reconciled set'}</t>
  </si>
  <si>
    <t xml:space="preserve">{'item': 'model_assumptions A2 reconciled', 'from': 5.96, 'to': 6.06, 'source': 'model_engine.py on the corrected reconciled set'}</t>
  </si>
  <si>
    <t xml:space="preserve">{'item': 'model_assumptions A3 reconciled', 'from': 6.5, 'to': 6.52, 'source': 'model_engine.py on the corrected reconciled set'}</t>
  </si>
  <si>
    <t xml:space="preserve">{'item': 'model_assumptions A4 reconciled', 'from': 6.42, 'to': 6.43, 'source': 'model_engine.py on the corrected reconciled set'}</t>
  </si>
  <si>
    <t xml:space="preserve">{'item': 'model_assumptions A6 reconciled', 'from': 15.93, 'to': 15.94, 'source': 'model_engine.py on the corrected reconciled set'}</t>
  </si>
  <si>
    <t xml:space="preserve">{'item': 'model_assumptions A9 reconciled', 'from': 22.31, 'to': 22.3, 'source': 'model_engine.py on the corrected reconciled set'}</t>
  </si>
  <si>
    <t xml:space="preserve">{'item': 'model_assumptions A10 unit', 'from': '%', 'to': 'fraction', 'source': 'unit_note: percentages as fractions'}</t>
  </si>
  <si>
    <t xml:space="preserve">{'item': 'model_assumptions A11 unit', 'from': '%', 'to': 'fraction', 'source': 'unit_note: percentages as fractions'}</t>
  </si>
  <si>
    <t xml:space="preserve">{'item': 'model_assumptions A14 agent_4', 'from': 'no derivation', 'to': '-566 - 345 - 750 - 0.5 x 600 - 400 = -2,361', 'source': 'agent_4.json model_inputs.adjustments'}</t>
  </si>
  <si>
    <t xml:space="preserve">{'item': 'model_assumptions A14 agent_5', 'from': -1.1, 'to': -1.06, 'source': 'agent_5.json (Libre -$220M x 0.5)'}</t>
  </si>
  <si>
    <t xml:space="preserve">{'item': 'model_assumptions methods agent_3 P/E', 'from': 108.33, 'to': 107.99, 'source': 'model_engine.py check agent_3.json'}</t>
  </si>
  <si>
    <t xml:space="preserve">{'item': 'model_assumptions methods agent_3 EV/EBITDA', 'from': 99.74, 'to': 99.33, 'source': 'model_engine.py check agent_3.json'}</t>
  </si>
  <si>
    <t xml:space="preserve">{'item': 'model_assumptions methods agent_4 P/E', 'from': 108.86, 'to': 109.25, 'source': 'model_engine.py check agent_4.json'}</t>
  </si>
  <si>
    <t xml:space="preserve">{'item': 'model_assumptions methods agent_4 EV/EBITDA', 'from': 105.61, 'to': 106.02, 'source': 'model_engine.py check agent_4.json'}</t>
  </si>
  <si>
    <t xml:space="preserve">{'item': 'model_assumptions methods agent_5 P/E', 'from': 108.51, 'to': 108.53, 'source': 'model_engine.py check agent_5.json'}</t>
  </si>
  <si>
    <t xml:space="preserve">{'item': 'model_assumptions methods agent_5 EV/EBITDA', 'from': 102.94, 'to': 102.96, 'source': 'model_engine.py check agent_5.json'}</t>
  </si>
  <si>
    <t xml:space="preserve">{'item': 'model_assumptions methods agent_5 SOTP', 'from': 102.62, 'to': 102.65, 'source': 'model_engine.py check agent_5.json'}</t>
  </si>
  <si>
    <t xml:space="preserve">{'item': 'agent_1: tax_rate (adjusted) 15.3/15.5/15.5%', 'from': 'basis reported, cited as on the Q3 release', 'to': 'basis estimate: release shows 15.2% (Q3/9M26 adjusted); the forward rates are assumptions', 'source': 'https://www.sec.gov/Archives/edgar/data/0000001800/000162828026066601/abt-2026q3xexhibitx991.htm'}</t>
  </si>
  <si>
    <t xml:space="preserve">{'item': 'agent_1: da_pct_rev 3.2%', 'from': 'basis reported; H1 2026 derivation (783 x 2 / ~50,000 = 3.1%)', 'to': 'basis estimate: FY2025 10-K 1,434 / 44,328 = 3.24%; H1 2026 783 / 23,757 = 3.30%', 'source': 'https://www.sec.gov/Archives/edgar/data/1800/000162828026010185/abt-20251231.htm'}</t>
  </si>
  <si>
    <t xml:space="preserve">{'item': 'agent_1: sbc_pct_rev 0', 'from': 'basis reported', 'to': 'basis judgment (FY2025 SBC $664M = 1.5% of revenue already in adjusted EBIT)', 'source': 'https://data.sec.gov/api/xbrl/companyfacts/CIK0000001800.json'}</t>
  </si>
  <si>
    <t xml:space="preserve">{'item': 'agent_1: DOJ/40-state settlement -$345M after tax', 'from': 'basis reported', 'to': 'basis estimate: $384.2M pre-tax (CA AG) x (1 - 0.5 x 21%) = ~$344M', 'source': 'https://oag.ca.gov/news/press-releases/attorney-general-bonta-us-coalition-secure-385-million-settlement-abbott-over'}</t>
  </si>
  <si>
    <t xml:space="preserve">{'item': 'agent_2: diluted shares 1,738M, -0.5%/yr', 'from': 'basis reported', 'to': 'basis estimate for the -0.5%/yr trend (release implies -0.6% Q3 y/y, -0.3% 9M y/y); 1,738M is the Q3 average', 'source': 'https://www.sec.gov/Archives/edgar/data/0000001800/000162828026066601/abt-2026q3xexhibitx991.htm'}</t>
  </si>
  <si>
    <t xml:space="preserve">{'item': 'agent_2: Capex derivation', 'from': '1H26 896 annualizes to ~1.9B = ~3.8%', 'to': '896 x 2 = ~1.79B = ~3.6% of ~$49.8B; 4.2-4.3% kept as a stated judgment between 3.6% and FY25 4.9%', 'source': 'https://www.sec.gov/Archives/edgar/data/1800/000162828026050134/abt-20260630.htm'}</t>
  </si>
  <si>
    <t xml:space="preserve">{'item': 'agent_3: Consensus NTM EPS at horizon $6.61', 'from': 'basis consensus', 'to': 'basis estimate (0.197 x 6.08 + 0.803 x 6.74 = 6.608)', 'source': 'https://api.nasdaq.com/api/analyst/ABT/earnings-forecast'}</t>
  </si>
  <si>
    <t xml:space="preserve">{'item': 'agent_3: Peer median NTM P/E 18.8x', 'from': 'no confidence', 'to': 'confidence medium (peers.md table basis)', 'source': 'file:///mnt/project-files/valuation/runs/2026-10-20/ABT/peers.md'}</t>
  </si>
  <si>
    <t xml:space="preserve">{'item': 'agent_3: ABT today NTM consensus / P/E in the horizon P/E derivation', 'from': '$6.01 / 16.4x', 'to': '$5.97 / 16.5x', 'source': 'https://api.nasdaq.com/api/analyst/ABT/earnings-forecast'}</t>
  </si>
  <si>
    <t xml:space="preserve">{'item': 'agent_3: Medical Devices FY2028 growth', 'from': '+6.0%', 'to': '+5.9% ((9,090 x 1.04 + 15,590 x 1.07) / 24,680)', 'source': 'own inputs'}</t>
  </si>
  <si>
    <t xml:space="preserve">{'item': 'agent_3: Diagnostics FY2028 growth', 'from': '+6.5%', 'to': '+5.2% ((9,218.5 x 1.03 + 4,170 x 1.10) / 13,389)', 'source': 'own inputs'}</t>
  </si>
  <si>
    <t xml:space="preserve">{'item': 'agent_3: Shareholder returns FY26/27/28', 'from': '$6,000M / $6,100M / $6,300M', 'to': '$5,904M / $6,212M / $6,542M (4,116 x 1.07^n + 1,500)', 'source': 'own inputs'}</t>
  </si>
  <si>
    <t xml:space="preserve">{'item': 'agent_3: NTM adjusted EPS at horizon', 'from': '$6.41 (FY28 $6.51)', 'to': '$6.39 (FY28 $6.49) after the FY2028 growth corrections', 'source': 'own inputs'}</t>
  </si>
  <si>
    <t xml:space="preserve">{'item': 'agent_4: Tax rate 15.5%', 'from': 'basis reported', 'to': 'basis estimate (release shows 15.2% Q3/9M26 adjusted)', 'source': 'https://www.sec.gov/Archives/edgar/data/0000001800/000162828026066601/abt-2026q3xexhibitx991.htm'}</t>
  </si>
  <si>
    <t xml:space="preserve">{'item': 'agent_4: SBC last fiscal year $664M', 'from': 'cited to the Q3 2026 release (not shown there)', 'to': 'cited to the FY2025 10-K cash flow statement (664); value unchanged = primary-data value', 'source': 'https://www.sec.gov/Archives/edgar/data/1800/000162828026010185/abt-20251231.htm'}</t>
  </si>
  <si>
    <t xml:space="preserve">{'item': 'agent_4: D&amp;A % revenue 3.2%', 'from': 'derived from H1 2026 783 / 23,757 (= 3.3%)', 'to': 'FY2025 10-K 1,434 / 44,328 = 3.2% (H1 2026 3.3% shown alongside)', 'source': 'https://www.sec.gov/Archives/edgar/data/1800/000162828026010185/abt-20251231.htm'}</t>
  </si>
  <si>
    <t xml:space="preserve">{'item': 'agent_4: Diagnostics FY2027 growth', 'from': '+11.0% (13,435)', 'to': '+12.8% (13,661 on the FY2026 ex-Cancer base 9,124)', 'source': 'own inputs'}</t>
  </si>
  <si>
    <t xml:space="preserve">{'item': 'agent_4: Diagnostics FY2028 growth', 'from': '+6.2%', 'to': '+6.15% on the corrected FY2027 base', 'source': 'own inputs'}</t>
  </si>
  <si>
    <t xml:space="preserve">{'item': 'agent_5: diluted shares 1,738M / -0.5%', 'from': 'basis reported', 'to': 'basis estimate for the -0.5% trend (release implies -0.6% Q3 y/y); 1,738M is the Q3 average', 'source': 'https://www.sec.gov/Archives/edgar/data/0000001800/000162828026066601/abt-2026q3xexhibitx991.htm'}</t>
  </si>
  <si>
    <t xml:space="preserve">{'item': 'agent_5: Libre 3 claims', 'from': '-$300M x 0.5', 'to': '-$220M x 0.5 (own range $0.22-0.34B pre-tax = $0.17-0.27B after tax, midpoint)', 'source': 'https://www.aha.org/news/headline/2026-02-04-fda-issues-most-serious-recall-certain-glucose-monitor-sensors'}</t>
  </si>
  <si>
    <t xml:space="preserve">{'item': 'horizon P/E source_ids', 'from': '[16, 17, 18, 19, 20, 21, 22, 23, 24, 25, 26, 27, 28, 29, 30, 31, 32, 33, 34]', 'to': '[17, 18, 19, 20, 21, 22, 23, 24, 25, 26, 27, 28, 29, 30, 31, 32, 33, 34, 35]', 'source': '1-based convention', 'round': '2026-10-23 update gate'}</t>
  </si>
  <si>
    <t xml:space="preserve">{'item': 'fair_value.reason legs', 'from': 'P/E 17.0x leg $107.79 ... median $107.24', 'to': '16.8x leg $106.29, EV/EBITDA $107.56, base $106.80, median $106.31', 'source': 'model_engine.py check', 'round': '2026-10-23 update gate'}</t>
  </si>
  <si>
    <t xml:space="preserve">{'item': 'guidance_check consensus FY27/FY28', 'from': '$6.08/$6.74', 'to': '$5.99/$6.50 (src 17)', 'source': 'https://api.nasdaq.com/api/analyst/ABT/earnings-forecast', 'round': '2026-10-23 update gate'}</t>
  </si>
  <si>
    <t xml:space="preserve">{'item': 'guidance_check FY2026 consensus', 'from': '$5.53', 'to': '$5.52 (src 17)', 'source': 'https://api.nasdaq.com/api/analyst/ABT/earnings-forecast', 'round': '2026-10-23 update gate'}</t>
  </si>
  <si>
    <t xml:space="preserve">{'item': 'BSX Ex. 99.1 source URL', 'from': 'bsx-20260729.htm (8-K cover)', 'to': 'q22026earningsrelease.htm', 'source': 'https://www.sec.gov/Archives/edgar/data/885725/000088572526000051/q22026earningsrelease.htm', 'round': '2026-10-23 update gate'}</t>
  </si>
  <si>
    <t xml:space="preserve">{'item': 'Olympus adjusted basis', 'from': 'excludes acquired-intangible amortization', 'to': 'excludes only Other income/expenses; P/E on ABT basis below 13.9x, median unchanged', 'source': 'https://www.olympus-global.com/ir/data/brief/pdf/03_presentation_Q1FY2027_en.pdf', 'round': '2026-10-23 update gate'}</t>
  </si>
  <si>
    <t xml:space="preserve">{'item': 'DHR in sorted list', 'from': '25.2', 'to': '25.1', 'source': 'arithmetic', 'round': '2026-10-23 update gate'}</t>
  </si>
  <si>
    <t xml:space="preserve">{'item': 'SHL FY2028 estimate count', 'from': '11', 'to': '17', 'source': 'Vara xlsx 2026-08-27', 'round': '2026-10-23 update gate'}</t>
  </si>
  <si>
    <t xml:space="preserve">{'item': 'disagreements/changes/long_dated_review stale 17.0x discount text', 'from': '7% discount to 18.2x', 'to': '16.8x, no discount (peer refresh)', 'source': 'inputs_detail horizon P/E', 'round': '2026-10-23 update gate'}</t>
  </si>
  <si>
    <t xml:space="preserve">Sizing</t>
  </si>
  <si>
    <t xml:space="preserve">confidence</t>
  </si>
  <si>
    <t xml:space="preserve">medium</t>
  </si>
  <si>
    <t xml:space="preserve">open flags</t>
  </si>
  <si>
    <t xml:space="preserve">['Q3 10-Q not yet filed: net debt after the NEC and DOJ payments still from 2026-06-30', 'Consensus FY27/28 fell after the print to $5.99/$6.50 (Nasdaq/Zacks 2026-10-26, src 17; was $6.08/$6.74)', 'Remaining NEC liability and separation costs are low-confidence estimates']</t>
  </si>
  <si>
    <t xml:space="preserve">ABT sources</t>
  </si>
  <si>
    <t xml:space="preserve">Every source the forecasters and the supervisor cited. IDs: A1.3 = agent 1, source 3; S.2 = supervisor, source 2; X.4 = found by the supervisor for an assumption the agent left unsourced.</t>
  </si>
  <si>
    <t xml:space="preserve">Cited by</t>
  </si>
  <si>
    <t xml:space="preserve">Title</t>
  </si>
  <si>
    <t xml:space="preserve">Date</t>
  </si>
  <si>
    <t xml:space="preserve">Link</t>
  </si>
  <si>
    <t xml:space="preserve">A1.1</t>
  </si>
  <si>
    <t xml:space="preserve">agent_1</t>
  </si>
  <si>
    <t xml:space="preserve">Abbott Q3 2026 earnings release (8-K Ex. 99.1)</t>
  </si>
  <si>
    <t xml:space="preserve">2026-10-21</t>
  </si>
  <si>
    <t xml:space="preserve">https://www.sec.gov/Archives/edgar/data/0000001800/000162828026066601/abt-2026q3xexhibitx991.htm</t>
  </si>
  <si>
    <t xml:space="preserve">A1.2</t>
  </si>
  <si>
    <t xml:space="preserve">Abbott 8-K, Q3 2026 results (items 2.02, 9.01)</t>
  </si>
  <si>
    <t xml:space="preserve">https://www.sec.gov/Archives/edgar/data/0000001800/000162828026066601/abt-20261021.htm</t>
  </si>
  <si>
    <t xml:space="preserve">A1.3</t>
  </si>
  <si>
    <t xml:space="preserve">Abbott 10-Q for quarter ended 2026-06-30 (balance sheet, Exact Sciences financing note, buybacks, D&amp;A)</t>
  </si>
  <si>
    <t xml:space="preserve">2026-07-28</t>
  </si>
  <si>
    <t xml:space="preserve">https://www.sec.gov/Archives/edgar/data/1800/000162828026050134/abt-20260630.htm</t>
  </si>
  <si>
    <t xml:space="preserve">A1.4</t>
  </si>
  <si>
    <t xml:space="preserve">Abbott Q2 2026 earnings release (8-K Ex. 99.1)</t>
  </si>
  <si>
    <t xml:space="preserve">2026-07-16</t>
  </si>
  <si>
    <t xml:space="preserve">https://www.sec.gov/Archives/edgar/data/1800/000162828026048377/abt-2026q2xexhibitx991.htm</t>
  </si>
  <si>
    <t xml:space="preserve">A1.5</t>
  </si>
  <si>
    <t xml:space="preserve">Abbott Q1 2026 earnings release (8-K Ex. 99.1; guidance incl. $0.20 Exact dilution)</t>
  </si>
  <si>
    <t xml:space="preserve">2026-04-16</t>
  </si>
  <si>
    <t xml:space="preserve">https://www.sec.gov/Archives/edgar/data/1800/000162828026025365/abt-2026q1xexhibitx991.htm</t>
  </si>
  <si>
    <t xml:space="preserve">A1.6</t>
  </si>
  <si>
    <t xml:space="preserve">Abbott Q4/FY2025 earnings release (8-K Ex. 99.1; FY2025 segment sales, initial 2026 guidance)</t>
  </si>
  <si>
    <t xml:space="preserve">2026-01-22</t>
  </si>
  <si>
    <t xml:space="preserve">https://www.sec.gov/Archives/edgar/data/1800/000162828026002982/abt-2025q4xexhibitx991.htm</t>
  </si>
  <si>
    <t xml:space="preserve">A1.7</t>
  </si>
  <si>
    <t xml:space="preserve">Abbott 10-K for FY2025 (segment operating margins, depreciation, amortization, NEC lawsuits pending, lease obligations)</t>
  </si>
  <si>
    <t xml:space="preserve">2026-02-20</t>
  </si>
  <si>
    <t xml:space="preserve">https://www.sec.gov/Archives/edgar/data/1800/000162828026010185/abt-20251231.htm</t>
  </si>
  <si>
    <t xml:space="preserve">A1.8</t>
  </si>
  <si>
    <t xml:space="preserve">Abbott 10-Q for quarter ended 2026-03-31 (fact pack figures)</t>
  </si>
  <si>
    <t xml:space="preserve">2026-04-29</t>
  </si>
  <si>
    <t xml:space="preserve">https://www.sec.gov/Archives/edgar/data/1800/000162828026028357/abt-20260331.htm</t>
  </si>
  <si>
    <t xml:space="preserve">A1.9</t>
  </si>
  <si>
    <t xml:space="preserve">Abbott release on NEC/Gill settlement agreements (8-K Ex. 99.1)</t>
  </si>
  <si>
    <t xml:space="preserve">2026-08-20</t>
  </si>
  <si>
    <t xml:space="preserve">https://www.sec.gov/Archives/edgar/data/0000001800/000110465926099247/tm2623675d1_ex99-1.htm</t>
  </si>
  <si>
    <t xml:space="preserve">A1.10</t>
  </si>
  <si>
    <t xml:space="preserve">Nasdaq.com / Zacks ABT yearly EPS consensus (pre-print: FY26 $5.53, FY27 $6.08, FY28 $6.74)</t>
  </si>
  <si>
    <t xml:space="preserve">https://api.nasdaq.com/api/analyst/ABT/earnings-forecast</t>
  </si>
  <si>
    <t xml:space="preserve">A1.11</t>
  </si>
  <si>
    <t xml:space="preserve">Run peer comps table peers.md (filing-based trailing multiples via secfacts.py; NTM from FMP consensus via Bigdata.com, Alpha Vantage, Nasdaq/Zacks snapshot)</t>
  </si>
  <si>
    <t xml:space="preserve">file:///mnt/project-files/valuation/runs/2026-10-20/ABT/peers.md</t>
  </si>
  <si>
    <t xml:space="preserve">A1.12</t>
  </si>
  <si>
    <t xml:space="preserve">Twelve Data ABT quote, 2026-10-21 intraday after the print (last $98.385, low $97.74, high $106.30, prev close $102.45)</t>
  </si>
  <si>
    <t xml:space="preserve">https://api.twelvedata.com/quote?symbol=ABT</t>
  </si>
  <si>
    <t xml:space="preserve">A1.13</t>
  </si>
  <si>
    <t xml:space="preserve">SEC XBRL company facts for Abbott (CIK 1800), run fact pack facts.md</t>
  </si>
  <si>
    <t xml:space="preserve">https://data.sec.gov/api/xbrl/companyfacts/CIK0000001800.json</t>
  </si>
  <si>
    <t xml:space="preserve">A1.14</t>
  </si>
  <si>
    <t xml:space="preserve">Abbott to separate its Nutrition business (8-K Ex. 99.1): tax-free distribution targeted by end-2027, ~$8.5B sales, one-time charges to be quantified, combined dividend equal to Abbott's</t>
  </si>
  <si>
    <t xml:space="preserve">https://www.sec.gov/Archives/edgar/data/0000001800/000110465926117587/tm2627971d1_ex99-1.htm</t>
  </si>
  <si>
    <t xml:space="preserve">A1.15</t>
  </si>
  <si>
    <t xml:space="preserve">Abbott Q3 2026 earnings call transcript (Investing.com): 2027 sales growth 'pretty similar to this year', diabetes low-to-mid single digit for next few quarters, EP ~20% in Q4, Cancer Dx high-teens margin exiting Q3, NutritionCo to raise debt with part to Abbott, net debt/EBITDA ~2x</t>
  </si>
  <si>
    <t xml:space="preserve">https://www.investing.com/news/transcripts/earnings-call-transcript-abbott-q3-2026-results-show-growth-but-shares-fall-93CH-4963517</t>
  </si>
  <si>
    <t xml:space="preserve">A1.16</t>
  </si>
  <si>
    <t xml:space="preserve">California Attorney General: U.S. and 40-state coalition settlement with Abbott over infant formula ($348,700,868 federal + $35,491,288 states)</t>
  </si>
  <si>
    <t xml:space="preserve">2026-09-21</t>
  </si>
  <si>
    <t xml:space="preserve">https://oag.ca.gov/news/press-releases/attorney-general-bonta-us-coalition-secure-385-million-settlement-abbott-over</t>
  </si>
  <si>
    <t xml:space="preserve">A1.17</t>
  </si>
  <si>
    <t xml:space="preserve">MedTech Dive: CMS finalizes competitive bidding and bundled monthly rental payment for CGMs and insulin pumps; contracts to be awarded in 2027</t>
  </si>
  <si>
    <t xml:space="preserve">2025-12-01</t>
  </si>
  <si>
    <t xml:space="preserve">https://www.medtechdive.com/news/cms-final-rule-diabetes-competitive-bidding/806719/</t>
  </si>
  <si>
    <t xml:space="preserve">A1.18</t>
  </si>
  <si>
    <t xml:space="preserve">Food Ingredients First: Abbott completes separation of research-based pharmaceuticals business (AbbVie); announced October 2011</t>
  </si>
  <si>
    <t xml:space="preserve">2013-01</t>
  </si>
  <si>
    <t xml:space="preserve">https://www.foodingredientsfirst.com/news/abbott-completes-separation-of-research-based-pharmaceuticals-business.html</t>
  </si>
  <si>
    <t xml:space="preserve">A1.19</t>
  </si>
  <si>
    <t xml:space="preserve">AbbVie Form 10-K FY2013 (separation from Abbott completed January 1, 2013)</t>
  </si>
  <si>
    <t xml:space="preserve">2014-02</t>
  </si>
  <si>
    <t xml:space="preserve">https://www.sec.gov/Archives/edgar/data/0001551152/000104746914001154/a2217723z10-k.htm</t>
  </si>
  <si>
    <t xml:space="preserve">A2.1</t>
  </si>
  <si>
    <t xml:space="preserve">agent_2</t>
  </si>
  <si>
    <t xml:space="preserve">Abbott Q3 2026 earnings release (8-K Ex. 99.1), 2026-10-21</t>
  </si>
  <si>
    <t xml:space="preserve">A2.2</t>
  </si>
  <si>
    <t xml:space="preserve">Abbott Form 10-Q for quarter ended 2026-06-30</t>
  </si>
  <si>
    <t xml:space="preserve">A2.3</t>
  </si>
  <si>
    <t xml:space="preserve">Abbott Form 10-K FY2025 (segment note 16, depreciation, SBC)</t>
  </si>
  <si>
    <t xml:space="preserve">A2.4</t>
  </si>
  <si>
    <t xml:space="preserve">Abbott Q2 2026 earnings release (8-K Ex. 99.1): FY2026 comparable growth 6.5-7.5%, adj EPS $5.45-5.60</t>
  </si>
  <si>
    <t xml:space="preserve">A2.5</t>
  </si>
  <si>
    <t xml:space="preserve">Abbott to separate Nutrition business (8-K Ex. 99.1), 2026-10-21</t>
  </si>
  <si>
    <t xml:space="preserve">A2.6</t>
  </si>
  <si>
    <t xml:space="preserve">Earnings call transcript: Abbott Q3 2026 (Investing.com)</t>
  </si>
  <si>
    <t xml:space="preserve">A2.7</t>
  </si>
  <si>
    <t xml:space="preserve">Dexcom Q2 2026 results (8-K Ex. 99.1): revenue +13%, FY2026 guide $5.18-5.25B</t>
  </si>
  <si>
    <t xml:space="preserve">2026-07-30</t>
  </si>
  <si>
    <t xml:space="preserve">https://www.sec.gov/Archives/edgar/data/0001093557/000109355726000142/dxcm06302026-exhibit991.htm</t>
  </si>
  <si>
    <t xml:space="preserve">A2.8</t>
  </si>
  <si>
    <t xml:space="preserve">MedTech Dive: CMS finalizes competitive bidding / monthly rental for CGMs and insulin pumps</t>
  </si>
  <si>
    <t xml:space="preserve">A2.9</t>
  </si>
  <si>
    <t xml:space="preserve">CMS fact sheet: DMEPOS Competitive Bidding Program updates (next round, CGM category, contracts by 2028-01-01, bid limit $272.69/month)</t>
  </si>
  <si>
    <t xml:space="preserve">2025-12-08</t>
  </si>
  <si>
    <t xml:space="preserve">https://www.cms.gov/newsroom/fact-sheets/durable-medical-equipment-prosthetics-orthotics-supplies-competitive-bidding-program-updates</t>
  </si>
  <si>
    <t xml:space="preserve">A2.10</t>
  </si>
  <si>
    <t xml:space="preserve">Guidepoint Qsight: Inside the pulsed field ablation market 2026 (US purchasing data)</t>
  </si>
  <si>
    <t xml:space="preserve">2026-06-25</t>
  </si>
  <si>
    <t xml:space="preserve">https://qsight.guidepoint.com/blog/inside-the-pulsed-field-ablation-market-2026/</t>
  </si>
  <si>
    <t xml:space="preserve">A2.11</t>
  </si>
  <si>
    <t xml:space="preserve">Johnson &amp; Johnson Q3 2026 results (8-K Ex. 99.1): MedTech +2.5% operational, EP a growth driver</t>
  </si>
  <si>
    <t xml:space="preserve">2026-10-13</t>
  </si>
  <si>
    <t xml:space="preserve">https://www.sec.gov/Archives/edgar/data/0000200406/000020040626000189/a2026q3exhibit991.htm</t>
  </si>
  <si>
    <t xml:space="preserve">A2.12</t>
  </si>
  <si>
    <t xml:space="preserve">Boston Scientific Q2 2026 results: organic +7.0%, FY2026 organic guide cut to 5-6%</t>
  </si>
  <si>
    <t xml:space="preserve">2026-07-29</t>
  </si>
  <si>
    <t xml:space="preserve">https://news.bostonscientific.com/2026-07-29-Boston-Scientific-announces-results-for-second-quarter-2026</t>
  </si>
  <si>
    <t xml:space="preserve">A2.13</t>
  </si>
  <si>
    <t xml:space="preserve">Medtronic Q1 FY2027 results: Diabetes +14.9% organic, Cardiac Ablation Solutions +88%, FY27 organic guide 7.25-7.75%</t>
  </si>
  <si>
    <t xml:space="preserve">2026-09-01</t>
  </si>
  <si>
    <t xml:space="preserve">https://finviz.com/news/387222/medtronic-reports-first-quarter-fiscal-2027-results-delivers-broad-based-portfolio-performance-and-raises-fiscal-2027-guidance</t>
  </si>
  <si>
    <t xml:space="preserve">A2.14</t>
  </si>
  <si>
    <t xml:space="preserve">Guardant Health Q2 2026: ~66,000 Shield tests, FY2026 Shield volume guide 270-285k</t>
  </si>
  <si>
    <t xml:space="preserve">https://www.1stoncology.com/blog/?p=112527</t>
  </si>
  <si>
    <t xml:space="preserve">A2.15</t>
  </si>
  <si>
    <t xml:space="preserve">MD+DI: China market squashes Siemens Healthineers' 2026 (diagnostics VBP)</t>
  </si>
  <si>
    <t xml:space="preserve">2026-07-31</t>
  </si>
  <si>
    <t xml:space="preserve">https://www.mddionline.com/business/china-market-squashes-siemens-healthineers-2026-potential-spin-off-on-the-horizon</t>
  </si>
  <si>
    <t xml:space="preserve">A2.16</t>
  </si>
  <si>
    <t xml:space="preserve">BioSpectrum: Indian pharma market +13.5% value, ~3% volume in September 2026 (Pharmarack)</t>
  </si>
  <si>
    <t xml:space="preserve">2026-10-15</t>
  </si>
  <si>
    <t xml:space="preserve">https://www.biospectrumindia.com/news/16/28658/indian-pharma-market-records-13-5-value-growth-volume-growth-rises-to-3-in-september-2026.html</t>
  </si>
  <si>
    <t xml:space="preserve">A2.17</t>
  </si>
  <si>
    <t xml:space="preserve">Bloomberg Law: Abbott will pay $670 million to end 2,000 infant formula claims; ~1,700 suits for 12,700 infants remain</t>
  </si>
  <si>
    <t xml:space="preserve">https://news.bgov.com/litigation/abbott-will-pay-670-million-to-end-2-000-infant-formula-claims</t>
  </si>
  <si>
    <t xml:space="preserve">A2.18</t>
  </si>
  <si>
    <t xml:space="preserve">Nestle Q1 2026 sales: infant formula recall weighed on Nutrition</t>
  </si>
  <si>
    <t xml:space="preserve">2026-04-23</t>
  </si>
  <si>
    <t xml:space="preserve">https://www.industrial-production-worldwide.com/news/nestle-reports-sales-chf-213-billion-first-quarter-2026</t>
  </si>
  <si>
    <t xml:space="preserve">A2.19</t>
  </si>
  <si>
    <t xml:space="preserve">Run peer comps table peers.md (peer filings + consensus snapshot)</t>
  </si>
  <si>
    <t xml:space="preserve">A2.20</t>
  </si>
  <si>
    <t xml:space="preserve">Run SEC fact pack facts.md (ABT XBRL; FY2025 10-K figures)</t>
  </si>
  <si>
    <t xml:space="preserve">A2.21</t>
  </si>
  <si>
    <t xml:space="preserve">Nasdaq.com/Zacks ABT earnings forecast (pre-print FY2026 $5.53, FY2027 $6.08, 10 estimates)</t>
  </si>
  <si>
    <t xml:space="preserve">2026-10-20</t>
  </si>
  <si>
    <t xml:space="preserve">A2.22</t>
  </si>
  <si>
    <t xml:space="preserve">Abbott Q4 2025 earnings release (8-K Ex. 99.1): FY2025 sales by business line</t>
  </si>
  <si>
    <t xml:space="preserve">A2.23</t>
  </si>
  <si>
    <t xml:space="preserve">Miller &amp; Zois NEC formula lawsuit tracker: 844 pending MDL cases (2026-10-01); Gill ~$600M with interest of the $670M deal</t>
  </si>
  <si>
    <t xml:space="preserve">2026-10-01</t>
  </si>
  <si>
    <t xml:space="preserve">https://www.millerandzois.com/products-liability/amp/formula-nec-lawsuit/nec</t>
  </si>
  <si>
    <t xml:space="preserve">A2.24</t>
  </si>
  <si>
    <t xml:space="preserve">California Attorney General: U.S. and 40-state coalition secure $385M False Claims Act settlement with Abbott over infant formula ($348,700,868 federal + $35,491,288 states)</t>
  </si>
  <si>
    <t xml:space="preserve">A2.25</t>
  </si>
  <si>
    <t xml:space="preserve">DLA Piper: CMS DMEPOS competitive bidding program redux (bid window 2026, contracts and single payment amounts late summer/fall 2027, effective by 2028-01-01; SPA at 75th percentile of winning bids)</t>
  </si>
  <si>
    <t xml:space="preserve">2025-12-18</t>
  </si>
  <si>
    <t xml:space="preserve">https://www.dlapiper.com/en/insights/publications/2025/12/cms-dmepos-competitive-bidding-program-redux</t>
  </si>
  <si>
    <t xml:space="preserve">A2.26</t>
  </si>
  <si>
    <t xml:space="preserve">MichBio: Medical device industry watches key deadlines in federal Section 232 tariff investigation</t>
  </si>
  <si>
    <t xml:space="preserve">2026</t>
  </si>
  <si>
    <t xml:space="preserve">https://www.michbio.org/news/medical-device-industry-watches-key-deadlines-in-federal-tariff-investigation</t>
  </si>
  <si>
    <t xml:space="preserve">A2.27</t>
  </si>
  <si>
    <t xml:space="preserve">Manufacturing Chemist: Abbott hit with multiple FDA complaints in warning letter (FreeStyle Libre, Alameda site, letter dated 2026-01-23)</t>
  </si>
  <si>
    <t xml:space="preserve">2026-02</t>
  </si>
  <si>
    <t xml:space="preserve">https://manufacturingchemist.com/abbott-hit-with-multiple-fda-complaints-warning-letter</t>
  </si>
  <si>
    <t xml:space="preserve">A2.28</t>
  </si>
  <si>
    <t xml:space="preserve">FOX 29: FDA says certain FreeStyle Libre 3 / 3 Plus sensors recalled after seven deaths, 860 injuries</t>
  </si>
  <si>
    <t xml:space="preserve">2026-01</t>
  </si>
  <si>
    <t xml:space="preserve">https://www.fox29.com/news/some-freestyle-libre-3-freestyle-libre-3-sensors-recalled</t>
  </si>
  <si>
    <t xml:space="preserve">A2.29</t>
  </si>
  <si>
    <t xml:space="preserve">Dexcom schedules Q3 2026 earnings release and call for October 29, 2026 (Finviz)</t>
  </si>
  <si>
    <t xml:space="preserve">2026-10-07</t>
  </si>
  <si>
    <t xml:space="preserve">https://finviz.com/news/399830/dexcom-schedules-third-quarter-2026-earnings-release-and-conference-call-for-october-29-2026-at-4-30-pm-eastern-time</t>
  </si>
  <si>
    <t xml:space="preserve">A2.30</t>
  </si>
  <si>
    <t xml:space="preserve">Twelve Data ABT quote 2026-10-21 intraday (last $98.385, -3.97%, low $97.74, 52-week range $81.97-132.03)</t>
  </si>
  <si>
    <t xml:space="preserve">A2.31</t>
  </si>
  <si>
    <t xml:space="preserve">MedTech Dive: Dexcom seeks expanded Medicare coverage of CGMs for type 2 diabetes</t>
  </si>
  <si>
    <t xml:space="preserve">https://www.medtechdive.com/news/dexcom-seeks-expanded-medicare-coverage-of-cgms-for-type-2-diabetes/812223/</t>
  </si>
  <si>
    <t xml:space="preserve">A3.1</t>
  </si>
  <si>
    <t xml:space="preserve">agent_3</t>
  </si>
  <si>
    <t xml:space="preserve">A3.2</t>
  </si>
  <si>
    <t xml:space="preserve">https://www.sec.gov/Archives/edgar/data/1800/000162828026066601/abt-20261021.htm</t>
  </si>
  <si>
    <t xml:space="preserve">A3.3</t>
  </si>
  <si>
    <t xml:space="preserve">Abbott 10-Q for quarter ended 2026-06-30 (balance sheet, Exact purchase accounting, debt ratings A+/Aa3)</t>
  </si>
  <si>
    <t xml:space="preserve">A3.4</t>
  </si>
  <si>
    <t xml:space="preserve">Abbott 10-K FY2025 (segment margins, amortization, depreciation, SBC)</t>
  </si>
  <si>
    <t xml:space="preserve">A3.5</t>
  </si>
  <si>
    <t xml:space="preserve">Abbott Q2 2026 earnings release (8-K Ex. 99.1): FY2026 comparable sales growth guide 6.5%-7.5%, adj. EPS $5.45-$5.60</t>
  </si>
  <si>
    <t xml:space="preserve">A3.6</t>
  </si>
  <si>
    <t xml:space="preserve">Abbott 8-K Ex. 99.1: NEC settlements (~$670M for Gill + ~2,000 infants; ~1,700 suits / ~12,700 infants remaining)</t>
  </si>
  <si>
    <t xml:space="preserve">A3.7</t>
  </si>
  <si>
    <t xml:space="preserve">News Tribune: Missouri court upholds $495 million NEC verdict against Abbott</t>
  </si>
  <si>
    <t xml:space="preserve">2026-05-07</t>
  </si>
  <si>
    <t xml:space="preserve">https://www.newstribune.com/news/2026/may/07/court-upholds-495-million-verdict-against-abbott/</t>
  </si>
  <si>
    <t xml:space="preserve">A3.8</t>
  </si>
  <si>
    <t xml:space="preserve">California Attorney General: U.S. coalition secures $385 million settlement with Abbott over infant formula</t>
  </si>
  <si>
    <t xml:space="preserve">2026-09</t>
  </si>
  <si>
    <t xml:space="preserve">A3.9</t>
  </si>
  <si>
    <t xml:space="preserve">Food Safety News: Abbott hit with almost $390 million to settle false claims allegation about infant formula</t>
  </si>
  <si>
    <t xml:space="preserve">https://www.foodsafetynews.com/2026/09/abbott-hit-with-almost-390-million-to-settle-false-claims-allegation-about-infant-formula/</t>
  </si>
  <si>
    <t xml:space="preserve">A3.10</t>
  </si>
  <si>
    <t xml:space="preserve">KTVU/FOX: FDA - certain FreeStyle Libre 3 / 3 Plus sensors recalled after seven deaths, 860 injuries</t>
  </si>
  <si>
    <t xml:space="preserve">https://www.ktvu.com/news/some-freestyle-libre-3-freestyle-libre-3-sensors-recalled</t>
  </si>
  <si>
    <t xml:space="preserve">A3.11</t>
  </si>
  <si>
    <t xml:space="preserve">MD+DI: FDA hits Abbott with warning letter over FreeStyle Libre CGMs (Alameda plant)</t>
  </si>
  <si>
    <t xml:space="preserve">https://www.mddionline.com/regulatory-quality/fda-hits-abbott-with-warning-letter-over-freestyle-libre-cgms</t>
  </si>
  <si>
    <t xml:space="preserve">A3.12</t>
  </si>
  <si>
    <t xml:space="preserve">AboutLawsuits: FreeStyle Libre 3 class action - Abbott sold defective glucose monitors</t>
  </si>
  <si>
    <t xml:space="preserve">https://www.aboutlawsuits.com/freestyle-libre-3-lawsuit/freestyle-libre-3-class-action-lawsuit-abbott-sold-defective-glucose-monitors/</t>
  </si>
  <si>
    <t xml:space="preserve">A3.13</t>
  </si>
  <si>
    <t xml:space="preserve">Benzinga via Webull: Abbott settles Gill and ~2,000 NEC claims; William Blair on remaining 12,700-claim exposure</t>
  </si>
  <si>
    <t xml:space="preserve">2026-08-21</t>
  </si>
  <si>
    <t xml:space="preserve">https://www.webull.ca/news-detail/15441024838353920</t>
  </si>
  <si>
    <t xml:space="preserve">A3.14</t>
  </si>
  <si>
    <t xml:space="preserve">The Fly/TipRanks: Abbott pricing in higher NEC liability than expected, says Jefferies (up to ~3,000 cases, &lt;= $2M per case)</t>
  </si>
  <si>
    <t xml:space="preserve">2024-09-26</t>
  </si>
  <si>
    <t xml:space="preserve">https://www.tipranks.com/news/the-fly/abbott-pricing-in-higher-nec-liability-than-expected-says-jefferies</t>
  </si>
  <si>
    <t xml:space="preserve">A3.15</t>
  </si>
  <si>
    <t xml:space="preserve">Seeking Alpha: Abbott Laboratories - Not Passing The Test After Buying Test Maker Exact Sciences (bear piece; read via search excerpt, page returned 403) [context only; not used in any number]</t>
  </si>
  <si>
    <t xml:space="preserve">https://seekingalpha.com/article/4846632-abbott-laboratories-not-passing-test-after-buying-test-maker-exact-sciences</t>
  </si>
  <si>
    <t xml:space="preserve">A3.16</t>
  </si>
  <si>
    <t xml:space="preserve">Nasdaq.com / Zacks consensus EPS forecast for ABT (FY2026 $5.53, FY2027 $6.08, FY2028 $6.74; quarterly to Sep 2027)</t>
  </si>
  <si>
    <t xml:space="preserve">A3.17</t>
  </si>
  <si>
    <t xml:space="preserve">MedTech Dive: Dexcom, Abbott await Medicare coverage expansion for CGMs (non-insulin type 2)</t>
  </si>
  <si>
    <t xml:space="preserve">https://www.medtechdive.com/news/dexcom-abbott-await-medicare-coverage-expansion-for-cgms/828775/</t>
  </si>
  <si>
    <t xml:space="preserve">A3.18</t>
  </si>
  <si>
    <t xml:space="preserve">MedTech Dive: Abbott lowers earnings forecast after $21B Exact Sciences buy ($5.38-$5.58 from $5.55-$5.80; ~$0.20 dilution)</t>
  </si>
  <si>
    <t xml:space="preserve">https://medtechdive.com/news/abbott-lowers-earnings-forecast-after-21b-exact-sciences-buy/817708/</t>
  </si>
  <si>
    <t xml:space="preserve">A3.19</t>
  </si>
  <si>
    <t xml:space="preserve">Law360: Abbott beats 'supersized' investor suit over formula recall</t>
  </si>
  <si>
    <t xml:space="preserve">2026-07</t>
  </si>
  <si>
    <t xml:space="preserve">https://www.law360.com/articles/2505659</t>
  </si>
  <si>
    <t xml:space="preserve">A3.20</t>
  </si>
  <si>
    <t xml:space="preserve">Akrostec catalyst event: S&amp;P lowers Abbott to A+ from AA- on Exact debt financing (secondary tracker)</t>
  </si>
  <si>
    <t xml:space="preserve">2026-03-24</t>
  </si>
  <si>
    <t xml:space="preserve">https://akrostec.com/indices/OBCI/events/2026-03-24t00-00-00z-abbott-laboratories-abt-other-037934a8</t>
  </si>
  <si>
    <t xml:space="preserve">A3.21</t>
  </si>
  <si>
    <t xml:space="preserve">Run peer comps table peers.md (trailing from SEC filings via secfacts.py; NTM P/E from saved consensus snapshot: Alpha Vantage EARNINGS_ESTIMATES, Nasdaq.com/Zacks)</t>
  </si>
  <si>
    <t xml:space="preserve">A3.22</t>
  </si>
  <si>
    <t xml:space="preserve">Twelve Data ABT intraday quote ~14:45Z 2026-10-21 (~$99.8; day range $98.63-$106.30), per run context</t>
  </si>
  <si>
    <t xml:space="preserve">A3.23</t>
  </si>
  <si>
    <t xml:space="preserve">MedTech Dive: Guardant colon cancer blood test results (Shield vs stool-based Cologuard)</t>
  </si>
  <si>
    <t xml:space="preserve">2024</t>
  </si>
  <si>
    <t xml:space="preserve">https://www.medtechdive.com/news/guardant-colon-cancer-blood-test-results/710529/</t>
  </si>
  <si>
    <t xml:space="preserve">A3.24</t>
  </si>
  <si>
    <t xml:space="preserve">Hudson Labs: Abbott Q3 2026 earnings preview (Street Q3 revenue ~$12,995M)</t>
  </si>
  <si>
    <t xml:space="preserve">2026-10</t>
  </si>
  <si>
    <t xml:space="preserve">https://www.hudson-labs.com/research/abbott-q3-2026-earnings-preview-abt-revenue-guidance-key-drivers</t>
  </si>
  <si>
    <t xml:space="preserve">A3.25</t>
  </si>
  <si>
    <t xml:space="preserve">Abbott 8-K Ex. 99.1: Abbott to separate Nutrition business (tax-free distribution; ~$8.5B sales; completion expected by end of 2027; one-time charges to be quantified)</t>
  </si>
  <si>
    <t xml:space="preserve">A3.26</t>
  </si>
  <si>
    <t xml:space="preserve">Earnings call transcript: Abbott Q3 2026 (Investing.com): 2027 sales growth 'pretty similar to this year', ~9% historic EPS growth, diabetes low-to-mid single digit, ex-Nutrition op margin +~100bp, Exact high-teens margin, Libre Duo Dec launch, payer change 2027-01-01</t>
  </si>
  <si>
    <t xml:space="preserve">A3.27</t>
  </si>
  <si>
    <t xml:space="preserve">MedTech Dive: CMS finalizes bundled monthly-rental competitive bidding for CGMs and insulin pumps (contracts expected to be awarded in 2027)</t>
  </si>
  <si>
    <t xml:space="preserve">2025-12</t>
  </si>
  <si>
    <t xml:space="preserve">A3.28</t>
  </si>
  <si>
    <t xml:space="preserve">MD+DI: Trump finds new way to tariff medical devices via Section 232 (probe covers pacemakers, stents, blood glucose monitors)</t>
  </si>
  <si>
    <t xml:space="preserve">2025-09</t>
  </si>
  <si>
    <t xml:space="preserve">https://www.mddionline.com/medical-device-regulations/trump-finds-new-way-to-tariff-medical-devices-via-section-232</t>
  </si>
  <si>
    <t xml:space="preserve">A3.29</t>
  </si>
  <si>
    <t xml:space="preserve">Twelve Data ABT quote 2026-10-21 (last $98.385, -3.97%; day range $97.74-$106.30)</t>
  </si>
  <si>
    <t xml:space="preserve">A3.30</t>
  </si>
  <si>
    <t xml:space="preserve">AOL/news: patients alarmed after FreeStyle Libre 3 sensors recalled after links to 7 deaths; wrongful-death suits filed (Alameda County, Feb 2026)</t>
  </si>
  <si>
    <t xml:space="preserve">https://www.aol.com/news/patients-alarmed-glucose-monitors-used-161940272.html</t>
  </si>
  <si>
    <t xml:space="preserve">A4.1</t>
  </si>
  <si>
    <t xml:space="preserve">agent_4</t>
  </si>
  <si>
    <t xml:space="preserve">Abbott Q3 2026 earnings release (8-K ex. 99.1)</t>
  </si>
  <si>
    <t xml:space="preserve">A4.2</t>
  </si>
  <si>
    <t xml:space="preserve">Abbott 10-Q for quarter ended 2026-06-30</t>
  </si>
  <si>
    <t xml:space="preserve">A4.3</t>
  </si>
  <si>
    <t xml:space="preserve">Abbott 10-K FY2025</t>
  </si>
  <si>
    <t xml:space="preserve">A4.4</t>
  </si>
  <si>
    <t xml:space="preserve">Abbott Q4 2025 earnings release (8-K ex. 99.1)</t>
  </si>
  <si>
    <t xml:space="preserve">A4.5</t>
  </si>
  <si>
    <t xml:space="preserve">Abbott press release: plan to separate Nutrition business (8-K ex. 99.1)</t>
  </si>
  <si>
    <t xml:space="preserve">A4.6</t>
  </si>
  <si>
    <t xml:space="preserve">A4.7</t>
  </si>
  <si>
    <t xml:space="preserve">Run peer comps table peers.md (filings + saved consensus snapshot)</t>
  </si>
  <si>
    <t xml:space="preserve">/mnt/attach/project-files/valuation/runs/2026-10-20/ABT/peers.md</t>
  </si>
  <si>
    <t xml:space="preserve">A4.8</t>
  </si>
  <si>
    <t xml:space="preserve">Nasdaq.com / Zacks ABT earnings forecast (FY2026 $5.53, FY2027 $6.08, pre-print)</t>
  </si>
  <si>
    <t xml:space="preserve">A4.9</t>
  </si>
  <si>
    <t xml:space="preserve">Dexcom Q1 2026 earnings release (8-K ex. 99.1)</t>
  </si>
  <si>
    <t xml:space="preserve">2026-04-30</t>
  </si>
  <si>
    <t xml:space="preserve">https://www.sec.gov/Archives/edgar/data/0001093557/000109355726000072/dxcm3312026-exhibit991.htm</t>
  </si>
  <si>
    <t xml:space="preserve">A4.10</t>
  </si>
  <si>
    <t xml:space="preserve">MD+DI: FDA hits Abbott with warning letter over FreeStyle Libre CGMs</t>
  </si>
  <si>
    <t xml:space="preserve">A4.11</t>
  </si>
  <si>
    <t xml:space="preserve">24/7 Wall St.: Buy, hold or sell - Abbott under $91, diabetes catalyst</t>
  </si>
  <si>
    <t xml:space="preserve">https://247wallst.com/investing/2026/06/25/buy-hold-or-sell-tech-compression-dragged-abbott-labs-under-91-but-1-massive-diabetes-catalyst-makes-it-a-screaming-buy/</t>
  </si>
  <si>
    <t xml:space="preserve">A4.12</t>
  </si>
  <si>
    <t xml:space="preserve">TIKR blog: Abbott stock down 38% in 2026 - does Exact Sciences change the math?</t>
  </si>
  <si>
    <t xml:space="preserve">2026-04</t>
  </si>
  <si>
    <t xml:space="preserve">https://www.tikr.com/blog/abbott-stock-down-38-in-2026-does-the-23-billion-exact-sciences-acquisition-change-the-math</t>
  </si>
  <si>
    <t xml:space="preserve">A4.13</t>
  </si>
  <si>
    <t xml:space="preserve">24/7 Wall St. via Yahoo Finance: Abbott price prediction 2027</t>
  </si>
  <si>
    <t xml:space="preserve">2026-04-17</t>
  </si>
  <si>
    <t xml:space="preserve">https://finance.yahoo.com/markets/stocks/articles/abbott-price-prediction-where-stock-114911281.html</t>
  </si>
  <si>
    <t xml:space="preserve">A4.14</t>
  </si>
  <si>
    <t xml:space="preserve">Seeking Alpha (independent contributor): Abbott Laboratories - Buying a healthcare giant on sale</t>
  </si>
  <si>
    <t xml:space="preserve">2026-04-24</t>
  </si>
  <si>
    <t xml:space="preserve">https://seekingalpha.com/article/4893904-abbott-laboratories-buying-healthcare-giant-on-sale</t>
  </si>
  <si>
    <t xml:space="preserve">A4.15</t>
  </si>
  <si>
    <t xml:space="preserve">Pluang feed summarising a Seeking Alpha contributor note: ABT at decade-low ~17.7x forward P/E</t>
  </si>
  <si>
    <t xml:space="preserve">2026-05-11</t>
  </si>
  <si>
    <t xml:space="preserve">https://pluang.com/en/news-feed/abbott-abt-tiga-supercycle-dan-penilaian-rendah-10-tahun</t>
  </si>
  <si>
    <t xml:space="preserve">A4.16</t>
  </si>
  <si>
    <t xml:space="preserve">Seeking Alpha (independent contributor): Abbott Q2 earnings preview - contrarian buy</t>
  </si>
  <si>
    <t xml:space="preserve">https://seekingalpha.com/article/4919753-abbott-laboratories-q2-earnings-preview-a-contrarian-buy-opportunity-worth-considering</t>
  </si>
  <si>
    <t xml:space="preserve">A4.17</t>
  </si>
  <si>
    <t xml:space="preserve">mwm.ai app tracker: Lingo by Abbott (App Store rank)</t>
  </si>
  <si>
    <t xml:space="preserve">undated</t>
  </si>
  <si>
    <t xml:space="preserve">https://mwm.ai/de/apps/lingo-by-abbott/1670445335</t>
  </si>
  <si>
    <t xml:space="preserve">A4.18</t>
  </si>
  <si>
    <t xml:space="preserve">Similarweb app page: FreeStyle Libre (Google Play)</t>
  </si>
  <si>
    <t xml:space="preserve">https://www.similarweb.com/app/google/com.abbott.adc.freestyle.libre.au/</t>
  </si>
  <si>
    <t xml:space="preserve">A4.19</t>
  </si>
  <si>
    <t xml:space="preserve">MedDeviceGuide: FDA CGM recalls, MAUDE and teardown (Dexcom vs Abbott)</t>
  </si>
  <si>
    <t xml:space="preserve">https://meddeviceguide.com/blog/fda-cgm-recalls-maude-dexcom-abbott-teardown</t>
  </si>
  <si>
    <t xml:space="preserve">A4.20</t>
  </si>
  <si>
    <t xml:space="preserve">Breakthrough T1D community forum: Freestyle Libre 2, 3 &amp; Dexcom G7</t>
  </si>
  <si>
    <t xml:space="preserve">2025</t>
  </si>
  <si>
    <t xml:space="preserve">https://forum.breakthrought1d.org/t/freestyle-libre-2-3-dexcom-g7/72770</t>
  </si>
  <si>
    <t xml:space="preserve">A4.21</t>
  </si>
  <si>
    <t xml:space="preserve">Mayo Clinic Connect thread: RECALL FreeStyle Libre 3 sensors</t>
  </si>
  <si>
    <t xml:space="preserve">https://connect.mayoclinic.org/comment/1454721/</t>
  </si>
  <si>
    <t xml:space="preserve">A4.22</t>
  </si>
  <si>
    <t xml:space="preserve">HarrisMartin: Abbott sued in wake of continuous glucose monitor recall</t>
  </si>
  <si>
    <t xml:space="preserve">https://www.harrismartin.com/publications/4/drugs/articles/79071/abbott-sued-in-wake-of-continuous-glucose-monitor-recall/</t>
  </si>
  <si>
    <t xml:space="preserve">A4.23</t>
  </si>
  <si>
    <t xml:space="preserve">Medical Device Network citing GlobalData: Dexcom 2025 revenue, US CGM share (Abbott 48.5% vs Dexcom 44.7%)</t>
  </si>
  <si>
    <t xml:space="preserve">https://www.medicaldevice-network.com/news/dexcom-reports-2025-revenue-of-4-bn-yet-2026-outlook-lags-analyst-expectations/</t>
  </si>
  <si>
    <t xml:space="preserve">A4.24</t>
  </si>
  <si>
    <t xml:space="preserve">Earnings Whispers: ABT earnings date and whisper/consensus</t>
  </si>
  <si>
    <t xml:space="preserve">https://www.earningswhispers.com/stocks/abt</t>
  </si>
  <si>
    <t xml:space="preserve">A4.25</t>
  </si>
  <si>
    <t xml:space="preserve">WearableBeat: Abbott Lingo review - two weeks with the OTC glucose biosensor</t>
  </si>
  <si>
    <t xml:space="preserve">https://wearablebeat.com/articles/abbott-lingo-review-two-weeks-with-the-otc-glucose-biosensor/</t>
  </si>
  <si>
    <t xml:space="preserve">A4.26</t>
  </si>
  <si>
    <t xml:space="preserve">Walmart product listing: Abbott Lingo biosensor (price tracker)</t>
  </si>
  <si>
    <t xml:space="preserve">https://www.walmart.com/ip/16919521087</t>
  </si>
  <si>
    <t xml:space="preserve">A4.27</t>
  </si>
  <si>
    <t xml:space="preserve">Abbott 8-K ex. 99.1: NEC settlement agreements (~$670M for Gill + ~2,000 infants; ~1,700 suits / ~12,700 infants remain)</t>
  </si>
  <si>
    <t xml:space="preserve">A4.28</t>
  </si>
  <si>
    <t xml:space="preserve">California Attorney General: U.S. and 40-state $385M False Claims Act settlement with Abbott (federal $348.7M + states $35.5M)</t>
  </si>
  <si>
    <t xml:space="preserve">A4.29</t>
  </si>
  <si>
    <t xml:space="preserve">MedTech Dive: CMS finalizes competitive bidding, bundled monthly rental payment for CGMs and insulin pumps (contracts expected 2027)</t>
  </si>
  <si>
    <t xml:space="preserve">A4.30</t>
  </si>
  <si>
    <t xml:space="preserve">Twelve Data ABT quote 2026-10-21 intraday (last $98.43, -3.9%; day range $97.74-106.30; 52-week $81.97-132.03)</t>
  </si>
  <si>
    <t xml:space="preserve">A5.1</t>
  </si>
  <si>
    <t xml:space="preserve">agent_5</t>
  </si>
  <si>
    <t xml:space="preserve">Abbott Q3 2026 earnings release (8-K exhibit 99.1), 2026-10-21</t>
  </si>
  <si>
    <t xml:space="preserve">A5.2</t>
  </si>
  <si>
    <t xml:space="preserve">Abbott Form 10-Q for the quarter ended 2026-06-30 (balance sheet, segment operating earnings, NEC note)</t>
  </si>
  <si>
    <t xml:space="preserve">A5.3</t>
  </si>
  <si>
    <t xml:space="preserve">Abbott Q4/FY2025 earnings release (8-K exhibit 99.1): FY2025 segment sales, adjusted EPS $5.15, initial 2026 guide</t>
  </si>
  <si>
    <t xml:space="preserve">A5.4</t>
  </si>
  <si>
    <t xml:space="preserve">Abbott Form 10-K FY2025 (revenue, SBC; fact pack F3, F36)</t>
  </si>
  <si>
    <t xml:space="preserve">A5.5</t>
  </si>
  <si>
    <t xml:space="preserve">Nasdaq.com / Zacks ABT earnings forecast (FY2026 $5.53, FY2027 $6.08, FY2028 $6.74; 10/10/4 estimates)</t>
  </si>
  <si>
    <t xml:space="preserve">A5.6</t>
  </si>
  <si>
    <t xml:space="preserve">Run peer comps table peers.md (trailing from SEC filings; NTM from Bigdata.com/FMP, Alpha Vantage and Nasdaq/Zacks consensus snapshot), built 2026-10-21</t>
  </si>
  <si>
    <t xml:space="preserve">https://bigdata.com</t>
  </si>
  <si>
    <t xml:space="preserve">A5.7</t>
  </si>
  <si>
    <t xml:space="preserve">Sure Dividend ABT research report: 2016-2025 adjusted EPS and average P/E by year (avg P/E 18.4x-26.3x; 'now' 16.6x), fair value P/E 22x</t>
  </si>
  <si>
    <t xml:space="preserve">2026-04-25</t>
  </si>
  <si>
    <t xml:space="preserve">https://www.suredividend.com/wp-content/uploads/2026/04/ABT-2026-04-25.pdf</t>
  </si>
  <si>
    <t xml:space="preserve">A5.8</t>
  </si>
  <si>
    <t xml:space="preserve">Twelve Data ABT monthly closes 2013-01 to 2026-10 (base-rate computation saved in work_agent_5/abt_monthly_closes.txt)</t>
  </si>
  <si>
    <t xml:space="preserve">https://api.twelvedata.com/time_series?symbol=ABT&amp;interval=1month&amp;outputsize=320</t>
  </si>
  <si>
    <t xml:space="preserve">A5.9</t>
  </si>
  <si>
    <t xml:space="preserve">Polymarket: US recession by end of 2027? (Yes 35c, volume ~$11.7k)</t>
  </si>
  <si>
    <t xml:space="preserve">https://polymarket.com/event/us-recession-by-end-of-2027-20260807185409760</t>
  </si>
  <si>
    <t xml:space="preserve">A5.10</t>
  </si>
  <si>
    <t xml:space="preserve">Polymarket: Fed Decision in December (2026)? (25 bp hike 77.5c, no change 19.5c; ~$0.95M volume per outcome)</t>
  </si>
  <si>
    <t xml:space="preserve">https://polymarket.com/event/fed-decision-in-december-20260729232808632</t>
  </si>
  <si>
    <t xml:space="preserve">A5.11</t>
  </si>
  <si>
    <t xml:space="preserve">Polymarket: What will Fed rate hit before 2027? (upper bound &gt;=4.5%: 9.2c; &gt;=4.75%: 5.7c)</t>
  </si>
  <si>
    <t xml:space="preserve">https://polymarket.com/event/what-will-fed-rate-hit-before-2027</t>
  </si>
  <si>
    <t xml:space="preserve">A5.12</t>
  </si>
  <si>
    <t xml:space="preserve">Econbrowser (M. Chinn): Betting on Recession 2026 - Kalshi 31.6% from 23.1%</t>
  </si>
  <si>
    <t xml:space="preserve">2026-03-12</t>
  </si>
  <si>
    <t xml:space="preserve">https://econbrowser.com/archives/2026/03/betting-on-recession-2026-up-to-32-fm-21-pre-war</t>
  </si>
  <si>
    <t xml:space="preserve">A5.13</t>
  </si>
  <si>
    <t xml:space="preserve">Trefis: Why Is Abbott Stock Trending Lower? (guidance cut to $5.38-5.58 on Exact dilution; Libre Class I recall and FDA warning letter; ~18x forward P/E)</t>
  </si>
  <si>
    <t xml:space="preserve">https://www.trefis.com/stock/abt/articles/596816/why-is-abbott-stock-trending-lower/2026-04-17</t>
  </si>
  <si>
    <t xml:space="preserve">A5.14</t>
  </si>
  <si>
    <t xml:space="preserve">KTVU/FOX: Certain FreeStyle Libre 3 and 3 Plus sensors recalled after seven deaths, 860 injuries (FDA most-serious classification)</t>
  </si>
  <si>
    <t xml:space="preserve">A5.15</t>
  </si>
  <si>
    <t xml:space="preserve">News Tribune (Chicago Tribune/TNS): Abbott Laboratories to pay $670M to settle cases (Gill + ~2,000 claims; ~1,700 suits covering ~12,700 infants remain; verdict history)</t>
  </si>
  <si>
    <t xml:space="preserve">2026-08-23</t>
  </si>
  <si>
    <t xml:space="preserve">https://www.newstribune.com/news/2026/aug/23/abbott-laboratories-to-pay-670m-to-settle-cases/</t>
  </si>
  <si>
    <t xml:space="preserve">A5.16</t>
  </si>
  <si>
    <t xml:space="preserve">Abbott Q3 2026 earnings call transcript (Investing.com): 2027 sales 'pretty similar to this year', diabetes low-to-mid single digit, EP ~20% in Q4, Libre Duo U.S. launch December, Nutrition separation by end of next year</t>
  </si>
  <si>
    <t xml:space="preserve">A5.17</t>
  </si>
  <si>
    <t xml:space="preserve">Abbott 8-K Ex. 99.1: Abbott to separate Nutrition (tax-free distribution, ~$8.5B sales, completion expected by end of 2027, one-time charges to be quantified)</t>
  </si>
  <si>
    <t xml:space="preserve">A5.18</t>
  </si>
  <si>
    <t xml:space="preserve">MedTech Dive: CMS finalizes competitive bidding and bundled monthly rental payment for CGMs and insulin pumps; contracts awarded in 2027</t>
  </si>
  <si>
    <t xml:space="preserve">A5.19</t>
  </si>
  <si>
    <t xml:space="preserve">California Attorney General: U.S. and 40-state coalition settlement with Abbott over infant formula ($348,700,868 federal + $35,491,288 states = $384,192,156)</t>
  </si>
  <si>
    <t xml:space="preserve">A5.20</t>
  </si>
  <si>
    <t xml:space="preserve">Houlihan Lokey 2022 Spin-Off Transaction Study: ~38 spin-offs completed Jan 2019-Jun 2022, median 9 months from announcement to effective date</t>
  </si>
  <si>
    <t xml:space="preserve">2022</t>
  </si>
  <si>
    <t xml:space="preserve">https://japan.hl.com/images/pdf/2022-spin-off-transaction-study-1-1.pdf</t>
  </si>
  <si>
    <t xml:space="preserve">A5.21</t>
  </si>
  <si>
    <t xml:space="preserve">Abbott 8-K Ex. 99.1 (2013-01-02): Abbott completes separation of AbbVie (announced Oct 2011, distributed 2013-01-01, ~14.5 months)</t>
  </si>
  <si>
    <t xml:space="preserve">2013-01-02</t>
  </si>
  <si>
    <t xml:space="preserve">https://www.sec.gov/Archives/edgar/data/1800/000104746913000015/a2212294zex-99_1.htm</t>
  </si>
  <si>
    <t xml:space="preserve">A5.22</t>
  </si>
  <si>
    <t xml:space="preserve">Twelve Data ABT quote 2026-10-21 intraday (last $98.43, -3.9%, day range $97.74-$106.30)</t>
  </si>
  <si>
    <t xml:space="preserve">S.1</t>
  </si>
  <si>
    <t xml:space="preserve">supervisor</t>
  </si>
  <si>
    <t xml:space="preserve">Abbott Q3 2026 earnings release (8-K Ex. 99.1): sales $13,013M, comparable +7.0%, adj EPS $1.42, FY26 adj EPS $5.50-5.55, comparable ~6.0%, Q4 $1.62-1.67, diluted shares 1,738M, net interest $297M, 9M segment sales, dividend $0.63</t>
  </si>
  <si>
    <t xml:space="preserve">S.2</t>
  </si>
  <si>
    <t xml:space="preserve">Abbott 8-K Ex. 99.1: intention to separate Nutrition (~$8.5B sales) via tax-free distribution, completion expected by end of 2027, one-time charges to be quantified, combined dividend equal to Abbott's</t>
  </si>
  <si>
    <t xml:space="preserve">S.3</t>
  </si>
  <si>
    <t xml:space="preserve">Abbott 8-K Ex. 99.1: agreements resolving Gill (~$600M judgment plus interest) and ~2,000 other NEC claims for ~$670M; ~1,700 suits / ~12,700 infants remain</t>
  </si>
  <si>
    <t xml:space="preserve">S.4</t>
  </si>
  <si>
    <t xml:space="preserve">California Attorney General: U.S. and state coalition settlement with Abbott over infant formula: $348,700,868 federal + $35,491,288 states</t>
  </si>
  <si>
    <t xml:space="preserve">S.5</t>
  </si>
  <si>
    <t xml:space="preserve">Abbott 10-K FY2025: segment sales and operating earnings (EPD 5,536/1,290; Nutrition 8,451/1,558; Diagnostics 8,937/1,740; Medical Devices 21,387/7,212), depreciation $1,434M</t>
  </si>
  <si>
    <t xml:space="preserve">S.6</t>
  </si>
  <si>
    <t xml:space="preserve">Abbott 10-Q Q2 2026: cash $5,104M, short-term investments $499M, current LTD $3,005M, LTD $29,603M, NCI $652M, H1 buybacks $1,225M, dividends $2,200M, capex $896M, CFO $3,803M</t>
  </si>
  <si>
    <t xml:space="preserve">S.7</t>
  </si>
  <si>
    <t xml:space="preserve">Abbott Q4/FY2025 earnings release (8-K Ex. 99.1): FY2025 adjusted net earnings $9,040M, adjusted EPS $5.15</t>
  </si>
  <si>
    <t xml:space="preserve">S.8</t>
  </si>
  <si>
    <t xml:space="preserve">Investing.com: Abbott Q3 2026 earnings call transcript (2027 sales 'pretty similar to this year'; diabetes 'low to mid-single' for Q4 and next few quarters; EP ~20% in Q4; Cancer Dx high-teens margin; separation costs are specified items; separation by end of next year)</t>
  </si>
  <si>
    <t xml:space="preserve">S.9</t>
  </si>
  <si>
    <t xml:space="preserve">MedTech Dive: CMS final rule adds CGMs and insulin pumps to competitive bidding, bundled monthly rental, contracts awarded in 2027</t>
  </si>
  <si>
    <t xml:space="preserve">S.10</t>
  </si>
  <si>
    <t xml:space="preserve">FDA: Abbott Diabetes Care removes certain FreeStyle Libre 3 and 3 Plus sensors (860 serious injuries, 7 deaths) [page returned HTTP 401 to the citation gate; figures relied on from AHA News, src 11]</t>
  </si>
  <si>
    <t xml:space="preserve">https://www.fda.gov/medical-devices/medical-device-recalls-and-early-alerts/glucose-monitor-sensor-recall-abbott-diabetes-care-removes-certain-freestyle-libre-3-and-freestyle</t>
  </si>
  <si>
    <t xml:space="preserve">S.11</t>
  </si>
  <si>
    <t xml:space="preserve">AHA News: FDA identifies Class I recall of certain FreeStyle Libre 3 / 3 Plus sensors</t>
  </si>
  <si>
    <t xml:space="preserve">2026-02-04</t>
  </si>
  <si>
    <t xml:space="preserve">https://www.aha.org/news/headline/2026-02-04-fda-issues-most-serious-recall-certain-glucose-monitor-sensors</t>
  </si>
  <si>
    <t xml:space="preserve">S.12</t>
  </si>
  <si>
    <t xml:space="preserve">Run peer comps table peers.md / peers.json (prices X.price; consensus snapshots data/estimates/SYM.json: Nasdaq.com/Zacks for BSX, SYK, BDX, EW; Alpha Vantage for the rest; table NTM from each peer's last filed quarter; gate rebased to one calendar NTM window, median 18.2x)</t>
  </si>
  <si>
    <t xml:space="preserve">S.13</t>
  </si>
  <si>
    <t xml:space="preserve">Nasdaq.com / Zacks yearly EPS consensus (ABT FY26 $5.53, FY27 $6.08, FY28 $6.74; BSX $3.24/$3.36; SYK $14.93/$16.60)</t>
  </si>
  <si>
    <t xml:space="preserve">S.14</t>
  </si>
  <si>
    <t xml:space="preserve">Twelve Data quotes via the Twelve Data connector (get_quote), 2026-10-21 ~17:05Z: ABT $98.36 (day low $97.73, 52-wk $81.97-$132.03), BSX $44.38, SYK $295.56, MDT $93.365</t>
  </si>
  <si>
    <t xml:space="preserve">S.15</t>
  </si>
  <si>
    <t xml:space="preserve">SEC XBRL company facts for Abbott (run fact pack facts.md: F3 revenue, F43 CFO, F50 capex, F64 dividends, F30/F33 diluted shares)</t>
  </si>
  <si>
    <t xml:space="preserve">S.16</t>
  </si>
  <si>
    <t xml:space="preserve">SEC EDGAR filing index 0001104659-26-117587 (Abbott, CIK 1800, filed 2026-10-21: 8-K with Ex. 99.1 Nutrition separation)</t>
  </si>
  <si>
    <t xml:space="preserve">https://www.sec.gov/Archives/edgar/data/1800/000110465926117587/</t>
  </si>
  <si>
    <t xml:space="preserve">S.17</t>
  </si>
  <si>
    <t xml:space="preserve">Nasdaq.com analyst earnings forecast (Zacks consensus EPS, company-adjusted basis), yearly rows, retrieved 2026-10-26 for ABT MDT BSX SYK BDX ZBH TMO DHR JNJ DXCM PODD SNN (snapshots data/estimates/SYM.json); same URL pattern per ticker</t>
  </si>
  <si>
    <t xml:space="preserve">2026-10-26</t>
  </si>
  <si>
    <t xml:space="preserve">S.18</t>
  </si>
  <si>
    <t xml:space="preserve">Run peer table 2026-10-23: peers.md / peers.json (US prices = 10-23 close, X.price ids) and peers_calendar.json (calendar NTM 2026-10-23 to 2027-10-22, all 11 peers + foreign rows by hand)</t>
  </si>
  <si>
    <t xml:space="preserve">file:///mnt/project-files/valuation/runs/2026-10-23/ABT/peers_calendar.json</t>
  </si>
  <si>
    <t xml:space="preserve">S.19</t>
  </si>
  <si>
    <t xml:space="preserve">Siemens Healthineers company-compiled consensus (Vara), 2026-08-27: Adjusted EPS FY2026 2.38 / FY2027 2.37 / FY2028 2.70 EUR (17/17/17 estimates; FY2029 11); EPS reported 2.02 / 2.06 / 2.38</t>
  </si>
  <si>
    <t xml:space="preserve">2026-08-27</t>
  </si>
  <si>
    <t xml:space="preserve">https://corporate.webassets.siemens-healthineers.com/27e870939440c820/5d24c103f324/Vara-Consensus---Siemens-Healthineeres-Earnings-Estimates-2026-08-27.xlsx</t>
  </si>
  <si>
    <t xml:space="preserve">S.20</t>
  </si>
  <si>
    <t xml:space="preserve">Siemens Healthineers Q3 FY2026 earnings release (2026-07-31): adjusted basic EPS 0.70 vs basic 0.60 (PPA amortization 0.08); FY2026 adjusted basic EPS outlook 2.35-2.45 EUR</t>
  </si>
  <si>
    <t xml:space="preserve">https://corporate.webassets.siemens-healthineers.com/2637d4a46dbcd161/a3335cc16ed1/siemens-healthineers-Q3_FY2026_Earnings-Release-and-Financial-Results.pdf</t>
  </si>
  <si>
    <t xml:space="preserve">S.21</t>
  </si>
  <si>
    <t xml:space="preserve">MarketScreener Siemens Healthineers finances: 41.86 EUR Xetra close 2026-10-23; EPS (reported) 2026E 2.042 / 2027E 2.104 / 2028E 2.473; 20 analysts; fiscal year September</t>
  </si>
  <si>
    <t xml:space="preserve">https://www.marketscreener.com/quote/stock/SIEMENS-HEALTHINEERS-AG-42379342/finances/</t>
  </si>
  <si>
    <t xml:space="preserve">S.22</t>
  </si>
  <si>
    <t xml:space="preserve">MarketScreener Terumo finances: last close 2,399 JPY (2026-10-23); EPS (IFRS reported) FY3/27E 82.25 / FY3/28E 129.3; 14 analysts; fiscal year March</t>
  </si>
  <si>
    <t xml:space="preserve">https://www.marketscreener.com/quote/stock/TERUMO-CORPORATION-6491240/finances/</t>
  </si>
  <si>
    <t xml:space="preserve">S.23</t>
  </si>
  <si>
    <t xml:space="preserve">Terumo press release 2026-10-08: CSL Plasma supply agreement termination, ~JPY 97.5 bn charge; FY3/27 guide revenue 1,229.5 bn, adjusted operating profit 274.5 bn, operating profit 160.0 bn, net profit 120.0 bn, basic EPS 81.35</t>
  </si>
  <si>
    <t xml:space="preserve">2026-10-08</t>
  </si>
  <si>
    <t xml:space="preserve">https://www.terumo.com/system/files/document/2026-10/Press%20Release_20261008_E.pdf</t>
  </si>
  <si>
    <t xml:space="preserve">S.24</t>
  </si>
  <si>
    <t xml:space="preserve">Terumo IFRS results Q1 FY3/27 (2026-08-07): adjusted operating profit excludes amortization of intangibles acquired in business combinations (Q1 JPY 7,211M) and non-recurring items</t>
  </si>
  <si>
    <t xml:space="preserve">2026-08-07</t>
  </si>
  <si>
    <t xml:space="preserve">https://www.terumo.com/system/files/document/2026-08/FinancialResults_27Q1_E.pdf</t>
  </si>
  <si>
    <t xml:space="preserve">S.25</t>
  </si>
  <si>
    <t xml:space="preserve">MarketScreener Olympus finances: last close 1,719 JPY (2026-10-23); EPS (IFRS reported) FY3/27E 98.05 / FY3/28E 113.9; 14 analysts; fiscal year March</t>
  </si>
  <si>
    <t xml:space="preserve">https://www.marketscreener.com/quote/stock/OLYMPUS-CORPORATION-6491236/finances/</t>
  </si>
  <si>
    <t xml:space="preserve">S.26</t>
  </si>
  <si>
    <t xml:space="preserve">Olympus Q1 FY2027 presentation (2026-08): FY2027 guide EPS JPY 90-102, adjusted EPS JPY 106-119 (FY2026 61 / 92), unchanged</t>
  </si>
  <si>
    <t xml:space="preserve">https://www.olympus-global.com/ir/data/brief/pdf/03_presentation_Q1FY2027_en.pdf</t>
  </si>
  <si>
    <t xml:space="preserve">S.27</t>
  </si>
  <si>
    <t xml:space="preserve">ABT results release Ex. 99.1 (8-K item 2.02, filed 2026-10-21): non-GAAP/adjusted EPS reconciliation; stock-based compensation is not an adjustment (mentions: cash-flow statement or special/acquisition-accelerated awards only)</t>
  </si>
  <si>
    <t xml:space="preserve">S.28</t>
  </si>
  <si>
    <t xml:space="preserve">MDT results release Ex. 99.1 (8-K item 2.02, filed 2026-09-01): non-GAAP/adjusted EPS reconciliation; stock-based compensation is not an adjustment (mentions: cash-flow statement or special/acquisition-accelerated awards only)</t>
  </si>
  <si>
    <t xml:space="preserve">https://www.sec.gov/Archives/edgar/data/1613103/000162828026059697/exhibit991-fy27q1earningsr.htm</t>
  </si>
  <si>
    <t xml:space="preserve">S.29</t>
  </si>
  <si>
    <t xml:space="preserve">BSX results release Ex. 99.1 (8-K item 2.02, filed 2026-07-29): non-GAAP/adjusted EPS reconciliation; stock-based compensation is not an adjustment (mentions: cash-flow statement or special/acquisition-accelerated awards only)</t>
  </si>
  <si>
    <t xml:space="preserve">https://www.sec.gov/Archives/edgar/data/885725/000088572526000051/q22026earningsrelease.htm</t>
  </si>
  <si>
    <t xml:space="preserve">S.30</t>
  </si>
  <si>
    <t xml:space="preserve">SYK results release Ex. 99.1 (8-K item 2.02, filed 2026-07-30): non-GAAP/adjusted EPS reconciliation; stock-based compensation is not an adjustment (mentions: cash-flow statement or special/acquisition-accelerated awards only)</t>
  </si>
  <si>
    <t xml:space="preserve">https://www.sec.gov/Archives/edgar/data/310764/000031076426000048/sykex991earningsq22026.htm</t>
  </si>
  <si>
    <t xml:space="preserve">S.31</t>
  </si>
  <si>
    <t xml:space="preserve">BDX results release Ex. 99.1 (8-K item 2.02, filed 2026-08-06): non-GAAP/adjusted EPS reconciliation; stock-based compensation is not an adjustment (mentions: cash-flow statement or special/acquisition-accelerated awards only)</t>
  </si>
  <si>
    <t xml:space="preserve">2026-08-06</t>
  </si>
  <si>
    <t xml:space="preserve">https://www.sec.gov/Archives/edgar/data/10795/000162828026053790/ex9916302026.htm</t>
  </si>
  <si>
    <t xml:space="preserve">S.32</t>
  </si>
  <si>
    <t xml:space="preserve">ZBH results release Ex. 99.1 (8-K item 2.02, filed 2026-08-05): non-GAAP/adjusted EPS reconciliation; stock-based compensation is not an adjustment (mentions: cash-flow statement or special/acquisition-accelerated awards only)</t>
  </si>
  <si>
    <t xml:space="preserve">2026-08-05</t>
  </si>
  <si>
    <t xml:space="preserve">https://www.sec.gov/Archives/edgar/data/1136869/000119312526333761/zbh-ex99_1.htm</t>
  </si>
  <si>
    <t xml:space="preserve">S.33</t>
  </si>
  <si>
    <t xml:space="preserve">TMO results release Ex. 99.1 (8-K item 2.02, filed 2026-10-21): non-GAAP/adjusted EPS reconciliation; stock-based compensation is not an adjustment (mentions: cash-flow statement or special/acquisition-accelerated awards only)</t>
  </si>
  <si>
    <t xml:space="preserve">https://www.sec.gov/Archives/edgar/data/97745/000009774526000173/q32026earnings8kex99_1.htm</t>
  </si>
  <si>
    <t xml:space="preserve">S.34</t>
  </si>
  <si>
    <t xml:space="preserve">DHR results release Ex. 99.1 (8-K item 2.02, filed 2026-10-21): non-GAAP/adjusted EPS reconciliation; stock-based compensation is not an adjustment (mentions: cash-flow statement or special/acquisition-accelerated awards only)</t>
  </si>
  <si>
    <t xml:space="preserve">https://www.sec.gov/Archives/edgar/data/313616/000031361626000201/dhr-20261021xex991.htm</t>
  </si>
  <si>
    <t xml:space="preserve">S.35</t>
  </si>
  <si>
    <t xml:space="preserve">JNJ results release Ex. 99.1 (8-K item 2.02, filed 2026-10-13): non-GAAP/adjusted EPS reconciliation; stock-based compensation is not an adjustment (mentions: cash-flow statement or special/acquisition-accelerated awards only)</t>
  </si>
  <si>
    <t xml:space="preserve">https://www.sec.gov/Archives/edgar/data/200406/000020040626000189/a2026q3exhibit991.htm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</si>
</sst>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;&quot;($&quot;#,##0.00\);\-"/>
    <numFmt numFmtId="166" formatCode="0.0%;\(0.0%\);\-"/>
    <numFmt numFmtId="167" formatCode="0"/>
    <numFmt numFmtId="168" formatCode="0.000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sz val="10"/>
      <color rgb="FF6B6B6B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u val="single"/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E5E7EB"/>
        <bgColor rgb="FFEAF3EA"/>
      </patternFill>
    </fill>
    <fill>
      <patternFill patternType="solid">
        <fgColor rgb="FFFFFF00"/>
        <bgColor rgb="FFFFFF00"/>
      </patternFill>
    </fill>
    <fill>
      <patternFill patternType="solid">
        <fgColor rgb="FFEAF3EA"/>
        <bgColor rgb="FFE5E7EB"/>
      </patternFill>
    </fill>
    <fill>
      <patternFill patternType="solid">
        <fgColor rgb="FF1F2937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7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AF3EA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hyperlink" Target="https://www.sec.gov/Archives/edgar/data/0000001800/000162828026066601/abt-2026q3xexhibitx991.htm" TargetMode="External"/><Relationship Id="rId2" Type="http://schemas.openxmlformats.org/officeDocument/2006/relationships/hyperlink" Target="https://www.sec.gov/Archives/edgar/data/0000001800/000162828026066601/abt-20261021.htm" TargetMode="External"/><Relationship Id="rId3" Type="http://schemas.openxmlformats.org/officeDocument/2006/relationships/hyperlink" Target="https://www.sec.gov/Archives/edgar/data/1800/000162828026050134/abt-20260630.htm" TargetMode="External"/><Relationship Id="rId4" Type="http://schemas.openxmlformats.org/officeDocument/2006/relationships/hyperlink" Target="https://www.sec.gov/Archives/edgar/data/1800/000162828026048377/abt-2026q2xexhibitx991.htm" TargetMode="External"/><Relationship Id="rId5" Type="http://schemas.openxmlformats.org/officeDocument/2006/relationships/hyperlink" Target="https://www.sec.gov/Archives/edgar/data/1800/000162828026025365/abt-2026q1xexhibitx991.htm" TargetMode="External"/><Relationship Id="rId6" Type="http://schemas.openxmlformats.org/officeDocument/2006/relationships/hyperlink" Target="https://www.sec.gov/Archives/edgar/data/1800/000162828026002982/abt-2025q4xexhibitx991.htm" TargetMode="External"/><Relationship Id="rId7" Type="http://schemas.openxmlformats.org/officeDocument/2006/relationships/hyperlink" Target="https://www.sec.gov/Archives/edgar/data/1800/000162828026010185/abt-20251231.htm" TargetMode="External"/><Relationship Id="rId8" Type="http://schemas.openxmlformats.org/officeDocument/2006/relationships/hyperlink" Target="https://www.sec.gov/Archives/edgar/data/1800/000162828026028357/abt-20260331.htm" TargetMode="External"/><Relationship Id="rId9" Type="http://schemas.openxmlformats.org/officeDocument/2006/relationships/hyperlink" Target="https://www.sec.gov/Archives/edgar/data/0000001800/000110465926099247/tm2623675d1_ex99-1.htm" TargetMode="External"/><Relationship Id="rId10" Type="http://schemas.openxmlformats.org/officeDocument/2006/relationships/hyperlink" Target="https://api.nasdaq.com/api/analyst/ABT/earnings-forecast" TargetMode="External"/><Relationship Id="rId11" Type="http://schemas.openxmlformats.org/officeDocument/2006/relationships/hyperlink" Target="https://api.twelvedata.com/quote?symbol=ABT" TargetMode="External"/><Relationship Id="rId12" Type="http://schemas.openxmlformats.org/officeDocument/2006/relationships/hyperlink" Target="https://data.sec.gov/api/xbrl/companyfacts/CIK0000001800.json" TargetMode="External"/><Relationship Id="rId13" Type="http://schemas.openxmlformats.org/officeDocument/2006/relationships/hyperlink" Target="https://www.sec.gov/Archives/edgar/data/0000001800/000110465926117587/tm2627971d1_ex99-1.htm" TargetMode="External"/><Relationship Id="rId14" Type="http://schemas.openxmlformats.org/officeDocument/2006/relationships/hyperlink" Target="https://www.investing.com/news/transcripts/earnings-call-transcript-abbott-q3-2026-results-show-growth-but-shares-fall-93CH-4963517" TargetMode="External"/><Relationship Id="rId15" Type="http://schemas.openxmlformats.org/officeDocument/2006/relationships/hyperlink" Target="https://oag.ca.gov/news/press-releases/attorney-general-bonta-us-coalition-secure-385-million-settlement-abbott-over" TargetMode="External"/><Relationship Id="rId16" Type="http://schemas.openxmlformats.org/officeDocument/2006/relationships/hyperlink" Target="https://www.medtechdive.com/news/cms-final-rule-diabetes-competitive-bidding/806719/" TargetMode="External"/><Relationship Id="rId17" Type="http://schemas.openxmlformats.org/officeDocument/2006/relationships/hyperlink" Target="https://www.foodingredientsfirst.com/news/abbott-completes-separation-of-research-based-pharmaceuticals-business.html" TargetMode="External"/><Relationship Id="rId18" Type="http://schemas.openxmlformats.org/officeDocument/2006/relationships/hyperlink" Target="https://www.sec.gov/Archives/edgar/data/0001551152/000104746914001154/a2217723z10-k.htm" TargetMode="External"/><Relationship Id="rId19" Type="http://schemas.openxmlformats.org/officeDocument/2006/relationships/hyperlink" Target="https://www.sec.gov/Archives/edgar/data/0000001800/000162828026066601/abt-2026q3xexhibitx991.htm" TargetMode="External"/><Relationship Id="rId20" Type="http://schemas.openxmlformats.org/officeDocument/2006/relationships/hyperlink" Target="https://www.sec.gov/Archives/edgar/data/1800/000162828026050134/abt-20260630.htm" TargetMode="External"/><Relationship Id="rId21" Type="http://schemas.openxmlformats.org/officeDocument/2006/relationships/hyperlink" Target="https://www.sec.gov/Archives/edgar/data/1800/000162828026010185/abt-20251231.htm" TargetMode="External"/><Relationship Id="rId22" Type="http://schemas.openxmlformats.org/officeDocument/2006/relationships/hyperlink" Target="https://www.sec.gov/Archives/edgar/data/1800/000162828026048377/abt-2026q2xexhibitx991.htm" TargetMode="External"/><Relationship Id="rId23" Type="http://schemas.openxmlformats.org/officeDocument/2006/relationships/hyperlink" Target="https://www.sec.gov/Archives/edgar/data/0000001800/000110465926117587/tm2627971d1_ex99-1.htm" TargetMode="External"/><Relationship Id="rId24" Type="http://schemas.openxmlformats.org/officeDocument/2006/relationships/hyperlink" Target="https://www.investing.com/news/transcripts/earnings-call-transcript-abbott-q3-2026-results-show-growth-but-shares-fall-93CH-4963517" TargetMode="External"/><Relationship Id="rId25" Type="http://schemas.openxmlformats.org/officeDocument/2006/relationships/hyperlink" Target="https://www.sec.gov/Archives/edgar/data/0001093557/000109355726000142/dxcm06302026-exhibit991.htm" TargetMode="External"/><Relationship Id="rId26" Type="http://schemas.openxmlformats.org/officeDocument/2006/relationships/hyperlink" Target="https://www.medtechdive.com/news/cms-final-rule-diabetes-competitive-bidding/806719/" TargetMode="External"/><Relationship Id="rId27" Type="http://schemas.openxmlformats.org/officeDocument/2006/relationships/hyperlink" Target="https://www.cms.gov/newsroom/fact-sheets/durable-medical-equipment-prosthetics-orthotics-supplies-competitive-bidding-program-updates" TargetMode="External"/><Relationship Id="rId28" Type="http://schemas.openxmlformats.org/officeDocument/2006/relationships/hyperlink" Target="https://qsight.guidepoint.com/blog/inside-the-pulsed-field-ablation-market-2026/" TargetMode="External"/><Relationship Id="rId29" Type="http://schemas.openxmlformats.org/officeDocument/2006/relationships/hyperlink" Target="https://www.sec.gov/Archives/edgar/data/0000200406/000020040626000189/a2026q3exhibit991.htm" TargetMode="External"/><Relationship Id="rId30" Type="http://schemas.openxmlformats.org/officeDocument/2006/relationships/hyperlink" Target="https://news.bostonscientific.com/2026-07-29-Boston-Scientific-announces-results-for-second-quarter-2026" TargetMode="External"/><Relationship Id="rId31" Type="http://schemas.openxmlformats.org/officeDocument/2006/relationships/hyperlink" Target="https://finviz.com/news/387222/medtronic-reports-first-quarter-fiscal-2027-results-delivers-broad-based-portfolio-performance-and-raises-fiscal-2027-guidance" TargetMode="External"/><Relationship Id="rId32" Type="http://schemas.openxmlformats.org/officeDocument/2006/relationships/hyperlink" Target="https://www.1stoncology.com/blog/?p=112527" TargetMode="External"/><Relationship Id="rId33" Type="http://schemas.openxmlformats.org/officeDocument/2006/relationships/hyperlink" Target="https://www.mddionline.com/business/china-market-squashes-siemens-healthineers-2026-potential-spin-off-on-the-horizon" TargetMode="External"/><Relationship Id="rId34" Type="http://schemas.openxmlformats.org/officeDocument/2006/relationships/hyperlink" Target="https://www.biospectrumindia.com/news/16/28658/indian-pharma-market-records-13-5-value-growth-volume-growth-rises-to-3-in-september-2026.html" TargetMode="External"/><Relationship Id="rId35" Type="http://schemas.openxmlformats.org/officeDocument/2006/relationships/hyperlink" Target="https://news.bgov.com/litigation/abbott-will-pay-670-million-to-end-2-000-infant-formula-claims" TargetMode="External"/><Relationship Id="rId36" Type="http://schemas.openxmlformats.org/officeDocument/2006/relationships/hyperlink" Target="https://www.industrial-production-worldwide.com/news/nestle-reports-sales-chf-213-billion-first-quarter-2026" TargetMode="External"/><Relationship Id="rId37" Type="http://schemas.openxmlformats.org/officeDocument/2006/relationships/hyperlink" Target="https://data.sec.gov/api/xbrl/companyfacts/CIK0000001800.json" TargetMode="External"/><Relationship Id="rId38" Type="http://schemas.openxmlformats.org/officeDocument/2006/relationships/hyperlink" Target="https://api.nasdaq.com/api/analyst/ABT/earnings-forecast" TargetMode="External"/><Relationship Id="rId39" Type="http://schemas.openxmlformats.org/officeDocument/2006/relationships/hyperlink" Target="https://www.sec.gov/Archives/edgar/data/1800/000162828026002982/abt-2025q4xexhibitx991.htm" TargetMode="External"/><Relationship Id="rId40" Type="http://schemas.openxmlformats.org/officeDocument/2006/relationships/hyperlink" Target="https://www.millerandzois.com/products-liability/amp/formula-nec-lawsuit/nec" TargetMode="External"/><Relationship Id="rId41" Type="http://schemas.openxmlformats.org/officeDocument/2006/relationships/hyperlink" Target="https://oag.ca.gov/news/press-releases/attorney-general-bonta-us-coalition-secure-385-million-settlement-abbott-over" TargetMode="External"/><Relationship Id="rId42" Type="http://schemas.openxmlformats.org/officeDocument/2006/relationships/hyperlink" Target="https://www.dlapiper.com/en/insights/publications/2025/12/cms-dmepos-competitive-bidding-program-redux" TargetMode="External"/><Relationship Id="rId43" Type="http://schemas.openxmlformats.org/officeDocument/2006/relationships/hyperlink" Target="https://www.michbio.org/news/medical-device-industry-watches-key-deadlines-in-federal-tariff-investigation" TargetMode="External"/><Relationship Id="rId44" Type="http://schemas.openxmlformats.org/officeDocument/2006/relationships/hyperlink" Target="https://manufacturingchemist.com/abbott-hit-with-multiple-fda-complaints-warning-letter" TargetMode="External"/><Relationship Id="rId45" Type="http://schemas.openxmlformats.org/officeDocument/2006/relationships/hyperlink" Target="https://www.fox29.com/news/some-freestyle-libre-3-freestyle-libre-3-sensors-recalled" TargetMode="External"/><Relationship Id="rId46" Type="http://schemas.openxmlformats.org/officeDocument/2006/relationships/hyperlink" Target="https://finviz.com/news/399830/dexcom-schedules-third-quarter-2026-earnings-release-and-conference-call-for-october-29-2026-at-4-30-pm-eastern-time" TargetMode="External"/><Relationship Id="rId47" Type="http://schemas.openxmlformats.org/officeDocument/2006/relationships/hyperlink" Target="https://api.twelvedata.com/quote?symbol=ABT" TargetMode="External"/><Relationship Id="rId48" Type="http://schemas.openxmlformats.org/officeDocument/2006/relationships/hyperlink" Target="https://www.medtechdive.com/news/dexcom-seeks-expanded-medicare-coverage-of-cgms-for-type-2-diabetes/812223/" TargetMode="External"/><Relationship Id="rId49" Type="http://schemas.openxmlformats.org/officeDocument/2006/relationships/hyperlink" Target="https://www.sec.gov/Archives/edgar/data/0000001800/000162828026066601/abt-2026q3xexhibitx991.htm" TargetMode="External"/><Relationship Id="rId50" Type="http://schemas.openxmlformats.org/officeDocument/2006/relationships/hyperlink" Target="https://www.sec.gov/Archives/edgar/data/1800/000162828026066601/abt-20261021.htm" TargetMode="External"/><Relationship Id="rId51" Type="http://schemas.openxmlformats.org/officeDocument/2006/relationships/hyperlink" Target="https://www.sec.gov/Archives/edgar/data/1800/000162828026050134/abt-20260630.htm" TargetMode="External"/><Relationship Id="rId52" Type="http://schemas.openxmlformats.org/officeDocument/2006/relationships/hyperlink" Target="https://www.sec.gov/Archives/edgar/data/1800/000162828026010185/abt-20251231.htm" TargetMode="External"/><Relationship Id="rId53" Type="http://schemas.openxmlformats.org/officeDocument/2006/relationships/hyperlink" Target="https://www.sec.gov/Archives/edgar/data/1800/000162828026048377/abt-2026q2xexhibitx991.htm" TargetMode="External"/><Relationship Id="rId54" Type="http://schemas.openxmlformats.org/officeDocument/2006/relationships/hyperlink" Target="https://www.sec.gov/Archives/edgar/data/0000001800/000110465926099247/tm2623675d1_ex99-1.htm" TargetMode="External"/><Relationship Id="rId55" Type="http://schemas.openxmlformats.org/officeDocument/2006/relationships/hyperlink" Target="https://www.newstribune.com/news/2026/may/07/court-upholds-495-million-verdict-against-abbott/" TargetMode="External"/><Relationship Id="rId56" Type="http://schemas.openxmlformats.org/officeDocument/2006/relationships/hyperlink" Target="https://oag.ca.gov/news/press-releases/attorney-general-bonta-us-coalition-secure-385-million-settlement-abbott-over" TargetMode="External"/><Relationship Id="rId57" Type="http://schemas.openxmlformats.org/officeDocument/2006/relationships/hyperlink" Target="https://www.foodsafetynews.com/2026/09/abbott-hit-with-almost-390-million-to-settle-false-claims-allegation-about-infant-formula/" TargetMode="External"/><Relationship Id="rId58" Type="http://schemas.openxmlformats.org/officeDocument/2006/relationships/hyperlink" Target="https://www.ktvu.com/news/some-freestyle-libre-3-freestyle-libre-3-sensors-recalled" TargetMode="External"/><Relationship Id="rId59" Type="http://schemas.openxmlformats.org/officeDocument/2006/relationships/hyperlink" Target="https://www.mddionline.com/regulatory-quality/fda-hits-abbott-with-warning-letter-over-freestyle-libre-cgms" TargetMode="External"/><Relationship Id="rId60" Type="http://schemas.openxmlformats.org/officeDocument/2006/relationships/hyperlink" Target="https://www.aboutlawsuits.com/freestyle-libre-3-lawsuit/freestyle-libre-3-class-action-lawsuit-abbott-sold-defective-glucose-monitors/" TargetMode="External"/><Relationship Id="rId61" Type="http://schemas.openxmlformats.org/officeDocument/2006/relationships/hyperlink" Target="https://www.webull.ca/news-detail/15441024838353920" TargetMode="External"/><Relationship Id="rId62" Type="http://schemas.openxmlformats.org/officeDocument/2006/relationships/hyperlink" Target="https://www.tipranks.com/news/the-fly/abbott-pricing-in-higher-nec-liability-than-expected-says-jefferies" TargetMode="External"/><Relationship Id="rId63" Type="http://schemas.openxmlformats.org/officeDocument/2006/relationships/hyperlink" Target="https://seekingalpha.com/article/4846632-abbott-laboratories-not-passing-test-after-buying-test-maker-exact-sciences" TargetMode="External"/><Relationship Id="rId64" Type="http://schemas.openxmlformats.org/officeDocument/2006/relationships/hyperlink" Target="https://api.nasdaq.com/api/analyst/ABT/earnings-forecast" TargetMode="External"/><Relationship Id="rId65" Type="http://schemas.openxmlformats.org/officeDocument/2006/relationships/hyperlink" Target="https://www.medtechdive.com/news/dexcom-abbott-await-medicare-coverage-expansion-for-cgms/828775/" TargetMode="External"/><Relationship Id="rId66" Type="http://schemas.openxmlformats.org/officeDocument/2006/relationships/hyperlink" Target="https://medtechdive.com/news/abbott-lowers-earnings-forecast-after-21b-exact-sciences-buy/817708/" TargetMode="External"/><Relationship Id="rId67" Type="http://schemas.openxmlformats.org/officeDocument/2006/relationships/hyperlink" Target="https://www.law360.com/articles/2505659" TargetMode="External"/><Relationship Id="rId68" Type="http://schemas.openxmlformats.org/officeDocument/2006/relationships/hyperlink" Target="https://akrostec.com/indices/OBCI/events/2026-03-24t00-00-00z-abbott-laboratories-abt-other-037934a8" TargetMode="External"/><Relationship Id="rId69" Type="http://schemas.openxmlformats.org/officeDocument/2006/relationships/hyperlink" Target="https://api.twelvedata.com/quote?symbol=ABT" TargetMode="External"/><Relationship Id="rId70" Type="http://schemas.openxmlformats.org/officeDocument/2006/relationships/hyperlink" Target="https://www.medtechdive.com/news/guardant-colon-cancer-blood-test-results/710529/" TargetMode="External"/><Relationship Id="rId71" Type="http://schemas.openxmlformats.org/officeDocument/2006/relationships/hyperlink" Target="https://www.hudson-labs.com/research/abbott-q3-2026-earnings-preview-abt-revenue-guidance-key-drivers" TargetMode="External"/><Relationship Id="rId72" Type="http://schemas.openxmlformats.org/officeDocument/2006/relationships/hyperlink" Target="https://www.sec.gov/Archives/edgar/data/0000001800/000110465926117587/tm2627971d1_ex99-1.htm" TargetMode="External"/><Relationship Id="rId73" Type="http://schemas.openxmlformats.org/officeDocument/2006/relationships/hyperlink" Target="https://www.investing.com/news/transcripts/earnings-call-transcript-abbott-q3-2026-results-show-growth-but-shares-fall-93CH-4963517" TargetMode="External"/><Relationship Id="rId74" Type="http://schemas.openxmlformats.org/officeDocument/2006/relationships/hyperlink" Target="https://www.medtechdive.com/news/cms-final-rule-diabetes-competitive-bidding/806719/" TargetMode="External"/><Relationship Id="rId75" Type="http://schemas.openxmlformats.org/officeDocument/2006/relationships/hyperlink" Target="https://www.mddionline.com/medical-device-regulations/trump-finds-new-way-to-tariff-medical-devices-via-section-232" TargetMode="External"/><Relationship Id="rId76" Type="http://schemas.openxmlformats.org/officeDocument/2006/relationships/hyperlink" Target="https://api.twelvedata.com/quote?symbol=ABT" TargetMode="External"/><Relationship Id="rId77" Type="http://schemas.openxmlformats.org/officeDocument/2006/relationships/hyperlink" Target="https://www.aol.com/news/patients-alarmed-glucose-monitors-used-161940272.html" TargetMode="External"/><Relationship Id="rId78" Type="http://schemas.openxmlformats.org/officeDocument/2006/relationships/hyperlink" Target="https://www.sec.gov/Archives/edgar/data/0000001800/000162828026066601/abt-2026q3xexhibitx991.htm" TargetMode="External"/><Relationship Id="rId79" Type="http://schemas.openxmlformats.org/officeDocument/2006/relationships/hyperlink" Target="https://www.sec.gov/Archives/edgar/data/1800/000162828026050134/abt-20260630.htm" TargetMode="External"/><Relationship Id="rId80" Type="http://schemas.openxmlformats.org/officeDocument/2006/relationships/hyperlink" Target="https://www.sec.gov/Archives/edgar/data/1800/000162828026010185/abt-20251231.htm" TargetMode="External"/><Relationship Id="rId81" Type="http://schemas.openxmlformats.org/officeDocument/2006/relationships/hyperlink" Target="https://www.sec.gov/Archives/edgar/data/1800/000162828026002982/abt-2025q4xexhibitx991.htm" TargetMode="External"/><Relationship Id="rId82" Type="http://schemas.openxmlformats.org/officeDocument/2006/relationships/hyperlink" Target="https://www.sec.gov/Archives/edgar/data/0000001800/000110465926117587/tm2627971d1_ex99-1.htm" TargetMode="External"/><Relationship Id="rId83" Type="http://schemas.openxmlformats.org/officeDocument/2006/relationships/hyperlink" Target="https://www.investing.com/news/transcripts/earnings-call-transcript-abbott-q3-2026-results-show-growth-but-shares-fall-93CH-4963517" TargetMode="External"/><Relationship Id="rId84" Type="http://schemas.openxmlformats.org/officeDocument/2006/relationships/hyperlink" Target="https://api.nasdaq.com/api/analyst/ABT/earnings-forecast" TargetMode="External"/><Relationship Id="rId85" Type="http://schemas.openxmlformats.org/officeDocument/2006/relationships/hyperlink" Target="https://www.sec.gov/Archives/edgar/data/0001093557/000109355726000072/dxcm3312026-exhibit991.htm" TargetMode="External"/><Relationship Id="rId86" Type="http://schemas.openxmlformats.org/officeDocument/2006/relationships/hyperlink" Target="https://www.mddionline.com/regulatory-quality/fda-hits-abbott-with-warning-letter-over-freestyle-libre-cgms" TargetMode="External"/><Relationship Id="rId87" Type="http://schemas.openxmlformats.org/officeDocument/2006/relationships/hyperlink" Target="https://247wallst.com/investing/2026/06/25/buy-hold-or-sell-tech-compression-dragged-abbott-labs-under-91-but-1-massive-diabetes-catalyst-makes-it-a-screaming-buy/" TargetMode="External"/><Relationship Id="rId88" Type="http://schemas.openxmlformats.org/officeDocument/2006/relationships/hyperlink" Target="https://www.tikr.com/blog/abbott-stock-down-38-in-2026-does-the-23-billion-exact-sciences-acquisition-change-the-math" TargetMode="External"/><Relationship Id="rId89" Type="http://schemas.openxmlformats.org/officeDocument/2006/relationships/hyperlink" Target="https://finance.yahoo.com/markets/stocks/articles/abbott-price-prediction-where-stock-114911281.html" TargetMode="External"/><Relationship Id="rId90" Type="http://schemas.openxmlformats.org/officeDocument/2006/relationships/hyperlink" Target="https://seekingalpha.com/article/4893904-abbott-laboratories-buying-healthcare-giant-on-sale" TargetMode="External"/><Relationship Id="rId91" Type="http://schemas.openxmlformats.org/officeDocument/2006/relationships/hyperlink" Target="https://pluang.com/en/news-feed/abbott-abt-tiga-supercycle-dan-penilaian-rendah-10-tahun" TargetMode="External"/><Relationship Id="rId92" Type="http://schemas.openxmlformats.org/officeDocument/2006/relationships/hyperlink" Target="https://seekingalpha.com/article/4919753-abbott-laboratories-q2-earnings-preview-a-contrarian-buy-opportunity-worth-considering" TargetMode="External"/><Relationship Id="rId93" Type="http://schemas.openxmlformats.org/officeDocument/2006/relationships/hyperlink" Target="https://mwm.ai/de/apps/lingo-by-abbott/1670445335" TargetMode="External"/><Relationship Id="rId94" Type="http://schemas.openxmlformats.org/officeDocument/2006/relationships/hyperlink" Target="https://www.similarweb.com/app/google/com.abbott.adc.freestyle.libre.au/" TargetMode="External"/><Relationship Id="rId95" Type="http://schemas.openxmlformats.org/officeDocument/2006/relationships/hyperlink" Target="https://meddeviceguide.com/blog/fda-cgm-recalls-maude-dexcom-abbott-teardown" TargetMode="External"/><Relationship Id="rId96" Type="http://schemas.openxmlformats.org/officeDocument/2006/relationships/hyperlink" Target="https://forum.breakthrought1d.org/t/freestyle-libre-2-3-dexcom-g7/72770" TargetMode="External"/><Relationship Id="rId97" Type="http://schemas.openxmlformats.org/officeDocument/2006/relationships/hyperlink" Target="https://connect.mayoclinic.org/comment/1454721/" TargetMode="External"/><Relationship Id="rId98" Type="http://schemas.openxmlformats.org/officeDocument/2006/relationships/hyperlink" Target="https://www.harrismartin.com/publications/4/drugs/articles/79071/abbott-sued-in-wake-of-continuous-glucose-monitor-recall/" TargetMode="External"/><Relationship Id="rId99" Type="http://schemas.openxmlformats.org/officeDocument/2006/relationships/hyperlink" Target="https://www.medicaldevice-network.com/news/dexcom-reports-2025-revenue-of-4-bn-yet-2026-outlook-lags-analyst-expectations/" TargetMode="External"/><Relationship Id="rId100" Type="http://schemas.openxmlformats.org/officeDocument/2006/relationships/hyperlink" Target="https://www.earningswhispers.com/stocks/abt" TargetMode="External"/><Relationship Id="rId101" Type="http://schemas.openxmlformats.org/officeDocument/2006/relationships/hyperlink" Target="https://wearablebeat.com/articles/abbott-lingo-review-two-weeks-with-the-otc-glucose-biosensor/" TargetMode="External"/><Relationship Id="rId102" Type="http://schemas.openxmlformats.org/officeDocument/2006/relationships/hyperlink" Target="https://www.walmart.com/ip/16919521087" TargetMode="External"/><Relationship Id="rId103" Type="http://schemas.openxmlformats.org/officeDocument/2006/relationships/hyperlink" Target="https://www.sec.gov/Archives/edgar/data/0000001800/000110465926099247/tm2623675d1_ex99-1.htm" TargetMode="External"/><Relationship Id="rId104" Type="http://schemas.openxmlformats.org/officeDocument/2006/relationships/hyperlink" Target="https://oag.ca.gov/news/press-releases/attorney-general-bonta-us-coalition-secure-385-million-settlement-abbott-over" TargetMode="External"/><Relationship Id="rId105" Type="http://schemas.openxmlformats.org/officeDocument/2006/relationships/hyperlink" Target="https://www.medtechdive.com/news/cms-final-rule-diabetes-competitive-bidding/806719/" TargetMode="External"/><Relationship Id="rId106" Type="http://schemas.openxmlformats.org/officeDocument/2006/relationships/hyperlink" Target="https://api.twelvedata.com/quote?symbol=ABT" TargetMode="External"/><Relationship Id="rId107" Type="http://schemas.openxmlformats.org/officeDocument/2006/relationships/hyperlink" Target="https://www.sec.gov/Archives/edgar/data/0000001800/000162828026066601/abt-2026q3xexhibitx991.htm" TargetMode="External"/><Relationship Id="rId108" Type="http://schemas.openxmlformats.org/officeDocument/2006/relationships/hyperlink" Target="https://www.sec.gov/Archives/edgar/data/1800/000162828026050134/abt-20260630.htm" TargetMode="External"/><Relationship Id="rId109" Type="http://schemas.openxmlformats.org/officeDocument/2006/relationships/hyperlink" Target="https://www.sec.gov/Archives/edgar/data/1800/000162828026002982/abt-2025q4xexhibitx991.htm" TargetMode="External"/><Relationship Id="rId110" Type="http://schemas.openxmlformats.org/officeDocument/2006/relationships/hyperlink" Target="https://www.sec.gov/Archives/edgar/data/1800/000162828026010185/abt-20251231.htm" TargetMode="External"/><Relationship Id="rId111" Type="http://schemas.openxmlformats.org/officeDocument/2006/relationships/hyperlink" Target="https://api.nasdaq.com/api/analyst/ABT/earnings-forecast" TargetMode="External"/><Relationship Id="rId112" Type="http://schemas.openxmlformats.org/officeDocument/2006/relationships/hyperlink" Target="https://bigdata.com/" TargetMode="External"/><Relationship Id="rId113" Type="http://schemas.openxmlformats.org/officeDocument/2006/relationships/hyperlink" Target="https://www.suredividend.com/wp-content/uploads/2026/04/ABT-2026-04-25.pdf" TargetMode="External"/><Relationship Id="rId114" Type="http://schemas.openxmlformats.org/officeDocument/2006/relationships/hyperlink" Target="https://api.twelvedata.com/time_series?symbol=ABT&amp;interval=1month&amp;outputsize=320" TargetMode="External"/><Relationship Id="rId115" Type="http://schemas.openxmlformats.org/officeDocument/2006/relationships/hyperlink" Target="https://polymarket.com/event/us-recession-by-end-of-2027-20260807185409760" TargetMode="External"/><Relationship Id="rId116" Type="http://schemas.openxmlformats.org/officeDocument/2006/relationships/hyperlink" Target="https://polymarket.com/event/fed-decision-in-december-20260729232808632" TargetMode="External"/><Relationship Id="rId117" Type="http://schemas.openxmlformats.org/officeDocument/2006/relationships/hyperlink" Target="https://polymarket.com/event/what-will-fed-rate-hit-before-2027" TargetMode="External"/><Relationship Id="rId118" Type="http://schemas.openxmlformats.org/officeDocument/2006/relationships/hyperlink" Target="https://econbrowser.com/archives/2026/03/betting-on-recession-2026-up-to-32-fm-21-pre-war" TargetMode="External"/><Relationship Id="rId119" Type="http://schemas.openxmlformats.org/officeDocument/2006/relationships/hyperlink" Target="https://www.trefis.com/stock/abt/articles/596816/why-is-abbott-stock-trending-lower/2026-04-17" TargetMode="External"/><Relationship Id="rId120" Type="http://schemas.openxmlformats.org/officeDocument/2006/relationships/hyperlink" Target="https://www.ktvu.com/news/some-freestyle-libre-3-freestyle-libre-3-sensors-recalled" TargetMode="External"/><Relationship Id="rId121" Type="http://schemas.openxmlformats.org/officeDocument/2006/relationships/hyperlink" Target="https://www.newstribune.com/news/2026/aug/23/abbott-laboratories-to-pay-670m-to-settle-cases/" TargetMode="External"/><Relationship Id="rId122" Type="http://schemas.openxmlformats.org/officeDocument/2006/relationships/hyperlink" Target="https://www.investing.com/news/transcripts/earnings-call-transcript-abbott-q3-2026-results-show-growth-but-shares-fall-93CH-4963517" TargetMode="External"/><Relationship Id="rId123" Type="http://schemas.openxmlformats.org/officeDocument/2006/relationships/hyperlink" Target="https://www.sec.gov/Archives/edgar/data/0000001800/000110465926117587/tm2627971d1_ex99-1.htm" TargetMode="External"/><Relationship Id="rId124" Type="http://schemas.openxmlformats.org/officeDocument/2006/relationships/hyperlink" Target="https://www.medtechdive.com/news/cms-final-rule-diabetes-competitive-bidding/806719/" TargetMode="External"/><Relationship Id="rId125" Type="http://schemas.openxmlformats.org/officeDocument/2006/relationships/hyperlink" Target="https://oag.ca.gov/news/press-releases/attorney-general-bonta-us-coalition-secure-385-million-settlement-abbott-over" TargetMode="External"/><Relationship Id="rId126" Type="http://schemas.openxmlformats.org/officeDocument/2006/relationships/hyperlink" Target="https://japan.hl.com/images/pdf/2022-spin-off-transaction-study-1-1.pdf" TargetMode="External"/><Relationship Id="rId127" Type="http://schemas.openxmlformats.org/officeDocument/2006/relationships/hyperlink" Target="https://www.sec.gov/Archives/edgar/data/1800/000104746913000015/a2212294zex-99_1.htm" TargetMode="External"/><Relationship Id="rId128" Type="http://schemas.openxmlformats.org/officeDocument/2006/relationships/hyperlink" Target="https://api.twelvedata.com/quote?symbol=ABT" TargetMode="External"/><Relationship Id="rId129" Type="http://schemas.openxmlformats.org/officeDocument/2006/relationships/hyperlink" Target="https://www.sec.gov/Archives/edgar/data/0000001800/000162828026066601/abt-2026q3xexhibitx991.htm" TargetMode="External"/><Relationship Id="rId130" Type="http://schemas.openxmlformats.org/officeDocument/2006/relationships/hyperlink" Target="https://www.sec.gov/Archives/edgar/data/0000001800/000110465926117587/tm2627971d1_ex99-1.htm" TargetMode="External"/><Relationship Id="rId131" Type="http://schemas.openxmlformats.org/officeDocument/2006/relationships/hyperlink" Target="https://www.sec.gov/Archives/edgar/data/0000001800/000110465926099247/tm2623675d1_ex99-1.htm" TargetMode="External"/><Relationship Id="rId132" Type="http://schemas.openxmlformats.org/officeDocument/2006/relationships/hyperlink" Target="https://oag.ca.gov/news/press-releases/attorney-general-bonta-us-coalition-secure-385-million-settlement-abbott-over" TargetMode="External"/><Relationship Id="rId133" Type="http://schemas.openxmlformats.org/officeDocument/2006/relationships/hyperlink" Target="https://www.sec.gov/Archives/edgar/data/1800/000162828026010185/abt-20251231.htm" TargetMode="External"/><Relationship Id="rId134" Type="http://schemas.openxmlformats.org/officeDocument/2006/relationships/hyperlink" Target="https://www.sec.gov/Archives/edgar/data/1800/000162828026050134/abt-20260630.htm" TargetMode="External"/><Relationship Id="rId135" Type="http://schemas.openxmlformats.org/officeDocument/2006/relationships/hyperlink" Target="https://www.sec.gov/Archives/edgar/data/1800/000162828026002982/abt-2025q4xexhibitx991.htm" TargetMode="External"/><Relationship Id="rId136" Type="http://schemas.openxmlformats.org/officeDocument/2006/relationships/hyperlink" Target="https://www.investing.com/news/transcripts/earnings-call-transcript-abbott-q3-2026-results-show-growth-but-shares-fall-93CH-4963517" TargetMode="External"/><Relationship Id="rId137" Type="http://schemas.openxmlformats.org/officeDocument/2006/relationships/hyperlink" Target="https://www.medtechdive.com/news/cms-final-rule-diabetes-competitive-bidding/806719/" TargetMode="External"/><Relationship Id="rId138" Type="http://schemas.openxmlformats.org/officeDocument/2006/relationships/hyperlink" Target="https://www.fda.gov/medical-devices/medical-device-recalls-and-early-alerts/glucose-monitor-sensor-recall-abbott-diabetes-care-removes-certain-freestyle-libre-3-and-freestyle" TargetMode="External"/><Relationship Id="rId139" Type="http://schemas.openxmlformats.org/officeDocument/2006/relationships/hyperlink" Target="https://www.aha.org/news/headline/2026-02-04-fda-issues-most-serious-recall-certain-glucose-monitor-sensors" TargetMode="External"/><Relationship Id="rId140" Type="http://schemas.openxmlformats.org/officeDocument/2006/relationships/hyperlink" Target="https://api.nasdaq.com/api/analyst/ABT/earnings-forecast" TargetMode="External"/><Relationship Id="rId141" Type="http://schemas.openxmlformats.org/officeDocument/2006/relationships/hyperlink" Target="https://api.twelvedata.com/quote?symbol=ABT" TargetMode="External"/><Relationship Id="rId142" Type="http://schemas.openxmlformats.org/officeDocument/2006/relationships/hyperlink" Target="https://data.sec.gov/api/xbrl/companyfacts/CIK0000001800.json" TargetMode="External"/><Relationship Id="rId143" Type="http://schemas.openxmlformats.org/officeDocument/2006/relationships/hyperlink" Target="https://www.sec.gov/Archives/edgar/data/1800/000110465926117587/" TargetMode="External"/><Relationship Id="rId144" Type="http://schemas.openxmlformats.org/officeDocument/2006/relationships/hyperlink" Target="https://api.nasdaq.com/api/analyst/ABT/earnings-forecast" TargetMode="External"/><Relationship Id="rId145" Type="http://schemas.openxmlformats.org/officeDocument/2006/relationships/hyperlink" Target="https://corporate.webassets.siemens-healthineers.com/27e870939440c820/5d24c103f324/Vara-Consensus---Siemens-Healthineeres-Earnings-Estimates-2026-08-27.xlsx" TargetMode="External"/><Relationship Id="rId146" Type="http://schemas.openxmlformats.org/officeDocument/2006/relationships/hyperlink" Target="https://corporate.webassets.siemens-healthineers.com/2637d4a46dbcd161/a3335cc16ed1/siemens-healthineers-Q3_FY2026_Earnings-Release-and-Financial-Results.pdf" TargetMode="External"/><Relationship Id="rId147" Type="http://schemas.openxmlformats.org/officeDocument/2006/relationships/hyperlink" Target="https://www.marketscreener.com/quote/stock/SIEMENS-HEALTHINEERS-AG-42379342/finances/" TargetMode="External"/><Relationship Id="rId148" Type="http://schemas.openxmlformats.org/officeDocument/2006/relationships/hyperlink" Target="https://www.marketscreener.com/quote/stock/TERUMO-CORPORATION-6491240/finances/" TargetMode="External"/><Relationship Id="rId149" Type="http://schemas.openxmlformats.org/officeDocument/2006/relationships/hyperlink" Target="https://www.terumo.com/system/files/document/2026-10/Press%20Release_20261008_E.pdf" TargetMode="External"/><Relationship Id="rId150" Type="http://schemas.openxmlformats.org/officeDocument/2006/relationships/hyperlink" Target="https://www.terumo.com/system/files/document/2026-08/FinancialResults_27Q1_E.pdf" TargetMode="External"/><Relationship Id="rId151" Type="http://schemas.openxmlformats.org/officeDocument/2006/relationships/hyperlink" Target="https://www.marketscreener.com/quote/stock/OLYMPUS-CORPORATION-6491236/finances/" TargetMode="External"/><Relationship Id="rId152" Type="http://schemas.openxmlformats.org/officeDocument/2006/relationships/hyperlink" Target="https://www.olympus-global.com/ir/data/brief/pdf/03_presentation_Q1FY2027_en.pdf" TargetMode="External"/><Relationship Id="rId153" Type="http://schemas.openxmlformats.org/officeDocument/2006/relationships/hyperlink" Target="https://www.sec.gov/Archives/edgar/data/1800/000162828026066601/abt-20261021.htm" TargetMode="External"/><Relationship Id="rId154" Type="http://schemas.openxmlformats.org/officeDocument/2006/relationships/hyperlink" Target="https://www.sec.gov/Archives/edgar/data/1613103/000162828026059697/exhibit991-fy27q1earningsr.htm" TargetMode="External"/><Relationship Id="rId155" Type="http://schemas.openxmlformats.org/officeDocument/2006/relationships/hyperlink" Target="https://www.sec.gov/Archives/edgar/data/885725/000088572526000051/q22026earningsrelease.htm" TargetMode="External"/><Relationship Id="rId156" Type="http://schemas.openxmlformats.org/officeDocument/2006/relationships/hyperlink" Target="https://www.sec.gov/Archives/edgar/data/310764/000031076426000048/sykex991earningsq22026.htm" TargetMode="External"/><Relationship Id="rId157" Type="http://schemas.openxmlformats.org/officeDocument/2006/relationships/hyperlink" Target="https://www.sec.gov/Archives/edgar/data/10795/000162828026053790/ex9916302026.htm" TargetMode="External"/><Relationship Id="rId158" Type="http://schemas.openxmlformats.org/officeDocument/2006/relationships/hyperlink" Target="https://www.sec.gov/Archives/edgar/data/1136869/000119312526333761/zbh-ex99_1.htm" TargetMode="External"/><Relationship Id="rId159" Type="http://schemas.openxmlformats.org/officeDocument/2006/relationships/hyperlink" Target="https://www.sec.gov/Archives/edgar/data/97745/000009774526000173/q32026earnings8kex99_1.htm" TargetMode="External"/><Relationship Id="rId160" Type="http://schemas.openxmlformats.org/officeDocument/2006/relationships/hyperlink" Target="https://www.sec.gov/Archives/edgar/data/313616/000031361626000201/dhr-20261021xex991.htm" TargetMode="External"/><Relationship Id="rId161" Type="http://schemas.openxmlformats.org/officeDocument/2006/relationships/hyperlink" Target="https://www.sec.gov/Archives/edgar/data/200406/000020040626000189/a2026q3exhibit991.ht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16"/>
    <col collapsed="false" customWidth="true" hidden="false" outlineLevel="0" max="4" min="4" style="0" width="7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4"/>
      <c r="D4" s="3" t="s">
        <v>4</v>
      </c>
    </row>
    <row r="5" customFormat="false" ht="15" hidden="false" customHeight="false" outlineLevel="0" collapsed="false">
      <c r="A5" s="5" t="s">
        <v>5</v>
      </c>
      <c r="B5" s="6" t="n">
        <v>106.2</v>
      </c>
      <c r="D5" s="7" t="s">
        <v>6</v>
      </c>
    </row>
    <row r="6" customFormat="false" ht="15" hidden="false" customHeight="false" outlineLevel="0" collapsed="false">
      <c r="A6" s="5" t="s">
        <v>7</v>
      </c>
      <c r="B6" s="8" t="n">
        <v>0.67</v>
      </c>
      <c r="D6" s="7" t="s">
        <v>8</v>
      </c>
    </row>
    <row r="7" customFormat="false" ht="15" hidden="false" customHeight="false" outlineLevel="0" collapsed="false">
      <c r="A7" s="5" t="s">
        <v>9</v>
      </c>
      <c r="B7" s="8" t="n">
        <v>0.33</v>
      </c>
      <c r="D7" s="7" t="s">
        <v>10</v>
      </c>
    </row>
    <row r="8" customFormat="false" ht="23.85" hidden="false" customHeight="false" outlineLevel="0" collapsed="false">
      <c r="A8" s="5" t="s">
        <v>11</v>
      </c>
      <c r="B8" s="8" t="n">
        <v>0</v>
      </c>
      <c r="D8" s="7" t="s">
        <v>12</v>
      </c>
    </row>
    <row r="9" customFormat="false" ht="15" hidden="false" customHeight="false" outlineLevel="0" collapsed="false">
      <c r="A9" s="5" t="s">
        <v>13</v>
      </c>
      <c r="B9" s="9" t="n">
        <v>120</v>
      </c>
      <c r="D9" s="7" t="s">
        <v>14</v>
      </c>
    </row>
    <row r="10" customFormat="false" ht="15" hidden="false" customHeight="false" outlineLevel="0" collapsed="false">
      <c r="A10" s="5" t="s">
        <v>15</v>
      </c>
      <c r="B10" s="10" t="n">
        <v>0</v>
      </c>
      <c r="D10" s="7" t="s">
        <v>16</v>
      </c>
    </row>
    <row r="11" customFormat="false" ht="23.85" hidden="false" customHeight="false" outlineLevel="0" collapsed="false">
      <c r="A11" s="5" t="s">
        <v>17</v>
      </c>
      <c r="B11" s="11" t="n">
        <v>0</v>
      </c>
      <c r="D11" s="7" t="s">
        <v>18</v>
      </c>
    </row>
    <row r="12" customFormat="false" ht="15" hidden="false" customHeight="false" outlineLevel="0" collapsed="false">
      <c r="A12" s="5" t="s">
        <v>19</v>
      </c>
      <c r="B12" s="6" t="n">
        <v>78</v>
      </c>
      <c r="D12" s="7" t="s">
        <v>20</v>
      </c>
    </row>
    <row r="13" customFormat="false" ht="23.85" hidden="false" customHeight="false" outlineLevel="0" collapsed="false">
      <c r="A13" s="5" t="s">
        <v>21</v>
      </c>
      <c r="B13" s="12" t="n">
        <v>0.2833</v>
      </c>
      <c r="D13" s="7" t="s">
        <v>22</v>
      </c>
    </row>
    <row r="15" customFormat="false" ht="23.85" hidden="false" customHeight="false" outlineLevel="0" collapsed="false">
      <c r="A15" s="5" t="s">
        <v>23</v>
      </c>
      <c r="B15" s="13" t="n">
        <f aca="false">EXP(INDEX(Distribution!$B$6:$B$20,MIN(MAX(IFERROR(MATCH(0.5,Distribution!$C$6:$C$20,-1),1),1),14))+(LN(MIN(MAX(0.5,0.0001),0.9999)/(1-MIN(MAX(0.5,0.0001),0.9999)))-INDEX(Distribution!$P$6:$P$20,MIN(MAX(IFERROR(MATCH(0.5,Distribution!$C$6:$C$20,-1),1),1),14)))/(INDEX(Distribution!$P$6:$P$20,MIN(MAX(IFERROR(MATCH(0.5,Distribution!$C$6:$C$20,-1),1),1),14)+1)-INDEX(Distribution!$P$6:$P$20,MIN(MAX(IFERROR(MATCH(0.5,Distribution!$C$6:$C$20,-1),1),1),14)))*(INDEX(Distribution!$B$6:$B$20,MIN(MAX(IFERROR(MATCH(0.5,Distribution!$C$6:$C$20,-1),1),1),14)+1)-INDEX(Distribution!$B$6:$B$20,MIN(MAX(IFERROR(MATCH(0.5,Distribution!$C$6:$C$20,-1),1),1),14))))</f>
        <v>111.207778712171</v>
      </c>
      <c r="D15" s="7" t="s">
        <v>24</v>
      </c>
    </row>
    <row r="17" customFormat="false" ht="15" hidden="false" customHeight="false" outlineLevel="0" collapsed="false">
      <c r="A17" s="3" t="s">
        <v>25</v>
      </c>
      <c r="B17" s="3" t="s">
        <v>26</v>
      </c>
      <c r="C17" s="3" t="s">
        <v>27</v>
      </c>
      <c r="D17" s="3" t="s">
        <v>28</v>
      </c>
    </row>
    <row r="18" customFormat="false" ht="15" hidden="false" customHeight="false" outlineLevel="0" collapsed="false">
      <c r="A18" s="5" t="s">
        <v>29</v>
      </c>
      <c r="B18" s="13" t="n">
        <f aca="false">Methods!C8</f>
        <v>110.821</v>
      </c>
      <c r="C18" s="13" t="n">
        <f aca="false">Methods!E8</f>
        <v>110.82</v>
      </c>
    </row>
    <row r="19" customFormat="false" ht="15" hidden="false" customHeight="false" outlineLevel="0" collapsed="false">
      <c r="A19" s="5" t="s">
        <v>30</v>
      </c>
      <c r="B19" s="13" t="n">
        <f aca="false">Methods!C13</f>
        <v>108.804</v>
      </c>
      <c r="C19" s="13" t="n">
        <f aca="false">Methods!E13</f>
        <v>108.8</v>
      </c>
    </row>
    <row r="20" customFormat="false" ht="15" hidden="false" customHeight="false" outlineLevel="0" collapsed="false">
      <c r="A20" s="5" t="s">
        <v>31</v>
      </c>
      <c r="B20" s="13" t="n">
        <f aca="false">Methods!C18</f>
        <v>104.526</v>
      </c>
      <c r="C20" s="13" t="n">
        <f aca="false">Methods!E18</f>
        <v>104.53</v>
      </c>
    </row>
    <row r="21" customFormat="false" ht="15" hidden="false" customHeight="false" outlineLevel="0" collapsed="false">
      <c r="A21" s="5" t="s">
        <v>32</v>
      </c>
      <c r="B21" s="13" t="n">
        <f aca="false">Methods!C22</f>
        <v>107.958</v>
      </c>
      <c r="C21" s="13" t="n">
        <f aca="false">Methods!E22</f>
        <v>107.96</v>
      </c>
    </row>
    <row r="22" customFormat="false" ht="15" hidden="false" customHeight="false" outlineLevel="0" collapsed="false">
      <c r="A22" s="5" t="s">
        <v>33</v>
      </c>
      <c r="B22" s="13" t="n">
        <f aca="false">Methods!C27</f>
        <v>106.2555</v>
      </c>
      <c r="C22" s="13" t="n">
        <f aca="false">Methods!E27</f>
        <v>106.26</v>
      </c>
    </row>
    <row r="23" customFormat="false" ht="15" hidden="false" customHeight="false" outlineLevel="0" collapsed="false">
      <c r="A23" s="14" t="s">
        <v>34</v>
      </c>
      <c r="B23" s="15" t="n">
        <f aca="false">AVERAGE(B18:B22)</f>
        <v>107.6729</v>
      </c>
      <c r="C23" s="15" t="n">
        <f aca="false">AVERAGE(C18:C22)</f>
        <v>107.674</v>
      </c>
    </row>
    <row r="24" customFormat="false" ht="15" hidden="false" customHeight="false" outlineLevel="0" collapsed="false">
      <c r="A24" s="5" t="s">
        <v>35</v>
      </c>
      <c r="B24" s="16" t="n">
        <f aca="false">MEDIAN(B18:B22)</f>
        <v>107.958</v>
      </c>
      <c r="C24" s="16" t="n">
        <f aca="false">MEDIAN(C18:C22)</f>
        <v>107.96</v>
      </c>
    </row>
    <row r="25" customFormat="false" ht="147" hidden="false" customHeight="false" outlineLevel="0" collapsed="false">
      <c r="A25" s="14" t="s">
        <v>36</v>
      </c>
      <c r="C25" s="17" t="n">
        <v>109.19</v>
      </c>
      <c r="D25" s="7" t="s">
        <v>37</v>
      </c>
    </row>
    <row r="26" customFormat="false" ht="15" hidden="false" customHeight="false" outlineLevel="0" collapsed="false">
      <c r="A26" s="5" t="s">
        <v>38</v>
      </c>
      <c r="C26" s="18" t="n">
        <f aca="false">C25/Spot-1</f>
        <v>0.0281544256120527</v>
      </c>
    </row>
    <row r="28" customFormat="false" ht="15" hidden="false" customHeight="false" outlineLevel="0" collapsed="false">
      <c r="A28" s="3" t="s">
        <v>39</v>
      </c>
      <c r="B28" s="3" t="s">
        <v>40</v>
      </c>
      <c r="C28" s="3" t="s">
        <v>41</v>
      </c>
      <c r="D28" s="3" t="s">
        <v>42</v>
      </c>
    </row>
    <row r="29" customFormat="false" ht="15" hidden="false" customHeight="false" outlineLevel="0" collapsed="false">
      <c r="A29" s="5" t="s">
        <v>43</v>
      </c>
      <c r="B29" s="19" t="n">
        <f aca="false">EXP(INDEX(Distribution!$B$6:$B$20,MIN(MAX(IFERROR(MATCH(0.5,Distribution!$U$6:$U$20,-1),1),1),14))+(LN(MIN(MAX(0.5,0.0001),0.9999)/(1-MIN(MAX(0.5,0.0001),0.9999)))-INDEX(Distribution!$V$6:$V$20,MIN(MAX(IFERROR(MATCH(0.5,Distribution!$U$6:$U$20,-1),1),1),14)))/(INDEX(Distribution!$V$6:$V$20,MIN(MAX(IFERROR(MATCH(0.5,Distribution!$U$6:$U$20,-1),1),1),14)+1)-INDEX(Distribution!$V$6:$V$20,MIN(MAX(IFERROR(MATCH(0.5,Distribution!$U$6:$U$20,-1),1),1),14)))*(INDEX(Distribution!$B$6:$B$20,MIN(MAX(IFERROR(MATCH(0.5,Distribution!$U$6:$U$20,-1),1),1),14)+1)-INDEX(Distribution!$B$6:$B$20,MIN(MAX(IFERROR(MATCH(0.5,Distribution!$U$6:$U$20,-1),1),1),14))))</f>
        <v>107.772704841543</v>
      </c>
      <c r="C29" s="6" t="n">
        <v>108.41</v>
      </c>
      <c r="D29" s="7" t="s">
        <v>44</v>
      </c>
    </row>
    <row r="30" customFormat="false" ht="15" hidden="false" customHeight="false" outlineLevel="0" collapsed="false">
      <c r="A30" s="5" t="s">
        <v>45</v>
      </c>
      <c r="B30" s="19" t="n">
        <f aca="false">EXP(INDEX(Distribution!$B$6:$B$20,MIN(MAX(IFERROR(MATCH(0.25,Distribution!$U$6:$U$20,-1),1),1),14))+(LN(MIN(MAX(0.25,0.0001),0.9999)/(1-MIN(MAX(0.25,0.0001),0.9999)))-INDEX(Distribution!$V$6:$V$20,MIN(MAX(IFERROR(MATCH(0.25,Distribution!$U$6:$U$20,-1),1),1),14)))/(INDEX(Distribution!$V$6:$V$20,MIN(MAX(IFERROR(MATCH(0.25,Distribution!$U$6:$U$20,-1),1),1),14)+1)-INDEX(Distribution!$V$6:$V$20,MIN(MAX(IFERROR(MATCH(0.25,Distribution!$U$6:$U$20,-1),1),1),14)))*(INDEX(Distribution!$B$6:$B$20,MIN(MAX(IFERROR(MATCH(0.25,Distribution!$U$6:$U$20,-1),1),1),14)+1)-INDEX(Distribution!$B$6:$B$20,MIN(MAX(IFERROR(MATCH(0.25,Distribution!$U$6:$U$20,-1),1),1),14))))</f>
        <v>130.004663072201</v>
      </c>
      <c r="C30" s="6" t="n">
        <v>111.34</v>
      </c>
      <c r="D30" s="7" t="s">
        <v>46</v>
      </c>
    </row>
    <row r="31" customFormat="false" ht="15" hidden="false" customHeight="false" outlineLevel="0" collapsed="false">
      <c r="A31" s="5" t="s">
        <v>47</v>
      </c>
      <c r="B31" s="19" t="n">
        <f aca="false">EXP(INDEX(Distribution!$B$6:$B$20,MIN(MAX(IFERROR(MATCH(0.85,Distribution!$U$6:$U$20,-1),1),1),14))+(LN(MIN(MAX(0.85,0.0001),0.9999)/(1-MIN(MAX(0.85,0.0001),0.9999)))-INDEX(Distribution!$V$6:$V$20,MIN(MAX(IFERROR(MATCH(0.85,Distribution!$U$6:$U$20,-1),1),1),14)))/(INDEX(Distribution!$V$6:$V$20,MIN(MAX(IFERROR(MATCH(0.85,Distribution!$U$6:$U$20,-1),1),1),14)+1)-INDEX(Distribution!$V$6:$V$20,MIN(MAX(IFERROR(MATCH(0.85,Distribution!$U$6:$U$20,-1),1),1),14)))*(INDEX(Distribution!$B$6:$B$20,MIN(MAX(IFERROR(MATCH(0.85,Distribution!$U$6:$U$20,-1),1),1),14)+1)-INDEX(Distribution!$B$6:$B$20,MIN(MAX(IFERROR(MATCH(0.85,Distribution!$U$6:$U$20,-1),1),1),14))))</f>
        <v>80.6932538768704</v>
      </c>
      <c r="C31" s="6" t="n">
        <v>82.4056</v>
      </c>
      <c r="D31" s="7" t="s">
        <v>48</v>
      </c>
    </row>
    <row r="32" customFormat="false" ht="15" hidden="false" customHeight="false" outlineLevel="0" collapsed="false">
      <c r="A32" s="5" t="s">
        <v>49</v>
      </c>
      <c r="B32" s="16" t="n">
        <f aca="false">Spot*EXP(-2*IV30*SQRT(21/252))</f>
        <v>90.1757710677924</v>
      </c>
      <c r="D32" s="7" t="s">
        <v>50</v>
      </c>
    </row>
    <row r="33" customFormat="false" ht="23.85" hidden="false" customHeight="false" outlineLevel="0" collapsed="false">
      <c r="A33" s="14" t="s">
        <v>51</v>
      </c>
      <c r="B33" s="20" t="n">
        <f aca="false">MIN(IF(AND(Thesis_Break&gt;0,Thesis_Break&lt;Spot),MAX(B31,Thesis_Break),B31),B32)</f>
        <v>80.6932538768704</v>
      </c>
      <c r="C33" s="21" t="n">
        <v>82.4056</v>
      </c>
      <c r="D33" s="7" t="s">
        <v>52</v>
      </c>
    </row>
    <row r="34" customFormat="false" ht="15" hidden="false" customHeight="false" outlineLevel="0" collapsed="false">
      <c r="A34" s="5" t="s">
        <v>53</v>
      </c>
      <c r="B34" s="18" t="n">
        <f aca="false">B29/Spot-1</f>
        <v>0.01480889681302</v>
      </c>
      <c r="C34" s="18" t="n">
        <f aca="false">C29/Spot-1</f>
        <v>0.020809792843691</v>
      </c>
    </row>
    <row r="35" customFormat="false" ht="15" hidden="false" customHeight="false" outlineLevel="0" collapsed="false">
      <c r="A35" s="5" t="s">
        <v>54</v>
      </c>
      <c r="C35" s="12" t="n">
        <v>0.5336</v>
      </c>
    </row>
    <row r="36" customFormat="false" ht="23.85" hidden="false" customHeight="false" outlineLevel="0" collapsed="false">
      <c r="A36" s="5" t="s">
        <v>55</v>
      </c>
      <c r="C36" s="6" t="n">
        <v>111.8584</v>
      </c>
      <c r="D36" s="7" t="s">
        <v>56</v>
      </c>
    </row>
    <row r="38" customFormat="false" ht="15" hidden="false" customHeight="false" outlineLevel="0" collapsed="false">
      <c r="A38" s="3" t="s">
        <v>57</v>
      </c>
      <c r="B38" s="4"/>
      <c r="C38" s="4"/>
      <c r="D38" s="4"/>
    </row>
    <row r="39" customFormat="false" ht="15" hidden="false" customHeight="false" outlineLevel="0" collapsed="false">
      <c r="A39" s="22" t="s">
        <v>58</v>
      </c>
      <c r="D39" s="2" t="s">
        <v>59</v>
      </c>
    </row>
    <row r="40" customFormat="false" ht="15" hidden="false" customHeight="false" outlineLevel="0" collapsed="false">
      <c r="A40" s="22" t="s">
        <v>60</v>
      </c>
      <c r="D40" s="2" t="s">
        <v>61</v>
      </c>
    </row>
    <row r="41" customFormat="false" ht="15" hidden="false" customHeight="false" outlineLevel="0" collapsed="false">
      <c r="A41" s="22" t="s">
        <v>62</v>
      </c>
      <c r="D41" s="2" t="s">
        <v>63</v>
      </c>
    </row>
    <row r="42" customFormat="false" ht="15" hidden="false" customHeight="false" outlineLevel="0" collapsed="false">
      <c r="A42" s="22" t="s">
        <v>64</v>
      </c>
      <c r="D42" s="2" t="s">
        <v>65</v>
      </c>
    </row>
    <row r="43" customFormat="false" ht="15" hidden="false" customHeight="false" outlineLevel="0" collapsed="false">
      <c r="A43" s="22" t="s">
        <v>66</v>
      </c>
      <c r="D43" s="2" t="s">
        <v>67</v>
      </c>
    </row>
    <row r="44" customFormat="false" ht="15" hidden="false" customHeight="false" outlineLevel="0" collapsed="false">
      <c r="A44" s="22" t="s">
        <v>68</v>
      </c>
      <c r="D44" s="2" t="s">
        <v>69</v>
      </c>
    </row>
    <row r="45" customFormat="false" ht="15" hidden="false" customHeight="false" outlineLevel="0" collapsed="false">
      <c r="A45" s="22" t="s">
        <v>70</v>
      </c>
      <c r="D45" s="2" t="s">
        <v>71</v>
      </c>
    </row>
  </sheetData>
  <hyperlinks>
    <hyperlink ref="A39" location="'Assumptions'!A1" display="Assumptions"/>
    <hyperlink ref="A40" location="'Methods'!A1" display="Methods"/>
    <hyperlink ref="A41" location="'Scenarios'!A1" display="Scenarios"/>
    <hyperlink ref="A42" location="'Distribution'!A1" display="Distribution"/>
    <hyperlink ref="A43" location="'Reasoning'!A1" display="Reasoning"/>
    <hyperlink ref="A44" location="'Supervisor'!A1" display="Supervisor"/>
    <hyperlink ref="A45" location="'Sources'!A1" display="Sourc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13"/>
    <col collapsed="false" customWidth="true" hidden="false" outlineLevel="0" max="4" min="4" style="0" width="85"/>
    <col collapsed="false" customWidth="true" hidden="false" outlineLevel="0" max="7" min="5" style="0" width="28"/>
    <col collapsed="false" customWidth="true" hidden="false" outlineLevel="0" max="8" min="8" style="0" width="14"/>
    <col collapsed="false" customWidth="true" hidden="false" outlineLevel="0" max="10" min="9" style="0" width="12"/>
    <col collapsed="false" customWidth="true" hidden="false" outlineLevel="0" max="11" min="11" style="0" width="22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15" hidden="false" customHeight="false" outlineLevel="0" collapsed="false">
      <c r="A4" s="23" t="s">
        <v>74</v>
      </c>
      <c r="B4" s="23" t="s">
        <v>75</v>
      </c>
      <c r="C4" s="23" t="s">
        <v>3</v>
      </c>
      <c r="D4" s="23" t="s">
        <v>66</v>
      </c>
      <c r="E4" s="23" t="s">
        <v>76</v>
      </c>
      <c r="F4" s="23" t="s">
        <v>77</v>
      </c>
      <c r="G4" s="23" t="s">
        <v>78</v>
      </c>
      <c r="H4" s="23" t="s">
        <v>79</v>
      </c>
      <c r="I4" s="23" t="s">
        <v>80</v>
      </c>
      <c r="J4" s="23" t="s">
        <v>81</v>
      </c>
      <c r="K4" s="23" t="s">
        <v>82</v>
      </c>
    </row>
    <row r="5" customFormat="false" ht="15" hidden="false" customHeight="false" outlineLevel="0" collapsed="false">
      <c r="A5" s="2" t="s">
        <v>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1"/>
    <col collapsed="false" customWidth="true" hidden="false" outlineLevel="0" max="8" min="4" style="0" width="10"/>
    <col collapsed="false" customWidth="true" hidden="false" outlineLevel="0" max="11" min="9" style="0" width="11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4" min="14" style="0" width="6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10"/>
    <col collapsed="false" customWidth="true" hidden="false" outlineLevel="0" max="18" min="18" style="0" width="6"/>
    <col collapsed="false" customWidth="true" hidden="false" outlineLevel="0" max="21" min="19" style="0" width="11"/>
    <col collapsed="false" customWidth="true" hidden="false" outlineLevel="0" max="22" min="22" style="0" width="9"/>
    <col collapsed="false" customWidth="true" hidden="false" outlineLevel="0" max="23" min="23" style="0" width="12"/>
  </cols>
  <sheetData>
    <row r="1" customFormat="false" ht="17.35" hidden="false" customHeight="false" outlineLevel="0" collapsed="false">
      <c r="A1" s="1" t="s">
        <v>84</v>
      </c>
    </row>
    <row r="2" customFormat="false" ht="15" hidden="false" customHeight="false" outlineLevel="0" collapsed="false">
      <c r="A2" s="2" t="s">
        <v>85</v>
      </c>
    </row>
    <row r="5" customFormat="false" ht="23.85" hidden="false" customHeight="false" outlineLevel="0" collapsed="false">
      <c r="A5" s="23" t="s">
        <v>86</v>
      </c>
      <c r="B5" s="23" t="s">
        <v>87</v>
      </c>
      <c r="C5" s="23" t="s">
        <v>88</v>
      </c>
      <c r="D5" s="23" t="s">
        <v>29</v>
      </c>
      <c r="E5" s="23" t="s">
        <v>30</v>
      </c>
      <c r="F5" s="23" t="s">
        <v>31</v>
      </c>
      <c r="G5" s="23" t="s">
        <v>32</v>
      </c>
      <c r="H5" s="23" t="s">
        <v>33</v>
      </c>
      <c r="I5" s="23" t="s">
        <v>89</v>
      </c>
      <c r="J5" s="23" t="s">
        <v>68</v>
      </c>
      <c r="K5" s="23" t="s">
        <v>90</v>
      </c>
      <c r="L5" s="23" t="s">
        <v>91</v>
      </c>
      <c r="M5" s="23" t="s">
        <v>92</v>
      </c>
      <c r="N5" s="23" t="s">
        <v>93</v>
      </c>
      <c r="O5" s="23" t="s">
        <v>94</v>
      </c>
      <c r="P5" s="23" t="s">
        <v>95</v>
      </c>
      <c r="Q5" s="23" t="s">
        <v>96</v>
      </c>
      <c r="R5" s="23" t="s">
        <v>93</v>
      </c>
      <c r="S5" s="23" t="s">
        <v>97</v>
      </c>
      <c r="T5" s="23" t="s">
        <v>98</v>
      </c>
      <c r="U5" s="23" t="s">
        <v>99</v>
      </c>
      <c r="V5" s="23" t="s">
        <v>100</v>
      </c>
      <c r="W5" s="23" t="s">
        <v>101</v>
      </c>
    </row>
    <row r="6" customFormat="false" ht="15" hidden="false" customHeight="false" outlineLevel="0" collapsed="false">
      <c r="A6" s="6" t="n">
        <v>26.55</v>
      </c>
      <c r="B6" s="24" t="n">
        <f aca="false">LN(A6)</f>
        <v>3.27902974768795</v>
      </c>
      <c r="C6" s="25" t="n">
        <v>1</v>
      </c>
      <c r="D6" s="25" t="n">
        <v>0.9979</v>
      </c>
      <c r="E6" s="25" t="n">
        <v>0.9979</v>
      </c>
      <c r="F6" s="25" t="n">
        <v>0.9969</v>
      </c>
      <c r="G6" s="25" t="n">
        <v>0.998</v>
      </c>
      <c r="H6" s="25" t="n">
        <v>0.999</v>
      </c>
      <c r="I6" s="24" t="n">
        <f aca="false">AVERAGE(D6:H6)</f>
        <v>0.99794</v>
      </c>
      <c r="J6" s="25" t="n">
        <v>0.9979</v>
      </c>
      <c r="K6" s="24" t="n">
        <f aca="false">IF(AND(Sup_Used=1,ISNUMBER(J6)),J6,I6)</f>
        <v>0.99794</v>
      </c>
      <c r="L6" s="24" t="n">
        <f aca="false">LN(MIN(MAX(K6,0.0001),0.9999)/(1-MIN(MAX(K6,0.0001),0.9999)))</f>
        <v>6.18298717146222</v>
      </c>
      <c r="M6" s="16" t="n">
        <f aca="false">A6*EXP(-Platt_Shift)</f>
        <v>26.55</v>
      </c>
      <c r="N6" s="26" t="n">
        <f aca="false">MIN(MAX(IFERROR(MATCH(M6,Distribution!$A$6:$A$20,1),1),1),14)</f>
        <v>1</v>
      </c>
      <c r="O6" s="24" t="n">
        <f aca="false">1/(1+EXP(-(INDEX(Distribution!$L$6:$L$20,N6)+(LN(M6)-INDEX(Distribution!$B$6:$B$20,N6))/(INDEX(Distribution!$B$6:$B$20,N6+1)-INDEX(Distribution!$B$6:$B$20,N6))*(INDEX(Distribution!$L$6:$L$20,N6+1)-INDEX(Distribution!$L$6:$L$20,N6)))))</f>
        <v>0.99794</v>
      </c>
      <c r="P6" s="24" t="n">
        <f aca="false">LN(MIN(MAX(C6,0.0001),0.9999)/(1-MIN(MAX(C6,0.0001),0.9999)))</f>
        <v>9.21024036697596</v>
      </c>
      <c r="Q6" s="16" t="n">
        <f aca="false">IF(Analyst_Median&gt;0,A6*Market_Median/Analyst_Median,A6)</f>
        <v>24.6047210400678</v>
      </c>
      <c r="R6" s="26" t="n">
        <f aca="false">MIN(MAX(IFERROR(MATCH(Q6,Distribution!$A$6:$A$20,1),1),1),14)</f>
        <v>1</v>
      </c>
      <c r="S6" s="24" t="n">
        <f aca="false">1/(1+EXP(-(INDEX(Distribution!$P$6:$P$20,R6)+(LN(Q6)-INDEX(Distribution!$B$6:$B$20,R6))/(INDEX(Distribution!$B$6:$B$20,R6+1)-INDEX(Distribution!$B$6:$B$20,R6))*(INDEX(Distribution!$P$6:$P$20,R6+1)-INDEX(Distribution!$P$6:$P$20,R6)))))</f>
        <v>0.999920105495118</v>
      </c>
      <c r="T6" s="24" t="n">
        <f aca="false">W_Mkt*C6+W_Agents*O6</f>
        <v>0.9993202</v>
      </c>
      <c r="U6" s="27" t="n">
        <f aca="false">(1-W_Analyst)*T6+W_Analyst*S6</f>
        <v>0.9993202</v>
      </c>
      <c r="V6" s="24" t="n">
        <f aca="false">LN(MIN(MAX(U6,0.0001),0.9999)/(1-MIN(MAX(U6,0.0001),0.9999)))</f>
        <v>7.29303188953362</v>
      </c>
      <c r="W6" s="25" t="n">
        <v>0.9999</v>
      </c>
    </row>
    <row r="7" customFormat="false" ht="15" hidden="false" customHeight="false" outlineLevel="0" collapsed="false">
      <c r="A7" s="6" t="n">
        <v>42.48</v>
      </c>
      <c r="B7" s="24" t="n">
        <f aca="false">LN(A7)</f>
        <v>3.74903337693368</v>
      </c>
      <c r="C7" s="25" t="n">
        <v>0.9996</v>
      </c>
      <c r="D7" s="25" t="n">
        <v>0.9921</v>
      </c>
      <c r="E7" s="25" t="n">
        <v>0.9956</v>
      </c>
      <c r="F7" s="25" t="n">
        <v>0.991</v>
      </c>
      <c r="G7" s="25" t="n">
        <v>0.9979</v>
      </c>
      <c r="H7" s="25" t="n">
        <v>0.9975</v>
      </c>
      <c r="I7" s="24" t="n">
        <f aca="false">AVERAGE(D7:H7)</f>
        <v>0.99482</v>
      </c>
      <c r="J7" s="25" t="n">
        <v>0.9944</v>
      </c>
      <c r="K7" s="24" t="n">
        <f aca="false">IF(AND(Sup_Used=1,ISNUMBER(J7)),J7,I7)</f>
        <v>0.99482</v>
      </c>
      <c r="L7" s="24" t="n">
        <f aca="false">LN(MIN(MAX(K7,0.0001),0.9999)/(1-MIN(MAX(K7,0.0001),0.9999)))</f>
        <v>5.2577567599994</v>
      </c>
      <c r="M7" s="16" t="n">
        <f aca="false">A7*EXP(-Platt_Shift)</f>
        <v>42.48</v>
      </c>
      <c r="N7" s="26" t="n">
        <f aca="false">MIN(MAX(IFERROR(MATCH(M7,Distribution!$A$6:$A$20,1),1),1),14)</f>
        <v>2</v>
      </c>
      <c r="O7" s="24" t="n">
        <f aca="false">1/(1+EXP(-(INDEX(Distribution!$L$6:$L$20,N7)+(LN(M7)-INDEX(Distribution!$B$6:$B$20,N7))/(INDEX(Distribution!$B$6:$B$20,N7+1)-INDEX(Distribution!$B$6:$B$20,N7))*(INDEX(Distribution!$L$6:$L$20,N7+1)-INDEX(Distribution!$L$6:$L$20,N7)))))</f>
        <v>0.99482</v>
      </c>
      <c r="P7" s="24" t="n">
        <f aca="false">LN(MIN(MAX(C7,0.0001),0.9999)/(1-MIN(MAX(C7,0.0001),0.9999)))</f>
        <v>7.82364593083506</v>
      </c>
      <c r="Q7" s="16" t="n">
        <f aca="false">IF(Analyst_Median&gt;0,A7*Market_Median/Analyst_Median,A7)</f>
        <v>39.3675536641085</v>
      </c>
      <c r="R7" s="26" t="n">
        <f aca="false">MIN(MAX(IFERROR(MATCH(Q7,Distribution!$A$6:$A$20,1),1),1),14)</f>
        <v>1</v>
      </c>
      <c r="S7" s="24" t="n">
        <f aca="false">1/(1+EXP(-(INDEX(Distribution!$P$6:$P$20,R7)+(LN(Q7)-INDEX(Distribution!$B$6:$B$20,R7))/(INDEX(Distribution!$B$6:$B$20,R7+1)-INDEX(Distribution!$B$6:$B$20,R7))*(INDEX(Distribution!$P$6:$P$20,R7+1)-INDEX(Distribution!$P$6:$P$20,R7)))))</f>
        <v>0.999680402701557</v>
      </c>
      <c r="T7" s="24" t="n">
        <f aca="false">W_Mkt*C7+W_Agents*O7</f>
        <v>0.9980226</v>
      </c>
      <c r="U7" s="27" t="n">
        <f aca="false">(1-W_Analyst)*T7+W_Analyst*S7</f>
        <v>0.9980226</v>
      </c>
      <c r="V7" s="24" t="n">
        <f aca="false">LN(MIN(MAX(U7,0.0001),0.9999)/(1-MIN(MAX(U7,0.0001),0.9999)))</f>
        <v>6.2239930708648</v>
      </c>
      <c r="W7" s="25" t="n">
        <v>0.9996</v>
      </c>
    </row>
    <row r="8" customFormat="false" ht="15" hidden="false" customHeight="false" outlineLevel="0" collapsed="false">
      <c r="A8" s="6" t="n">
        <v>53.1</v>
      </c>
      <c r="B8" s="24" t="n">
        <f aca="false">LN(A8)</f>
        <v>3.97217692824789</v>
      </c>
      <c r="C8" s="25" t="n">
        <v>0.9948</v>
      </c>
      <c r="D8" s="25" t="n">
        <v>0.9822</v>
      </c>
      <c r="E8" s="25" t="n">
        <v>0.9908</v>
      </c>
      <c r="F8" s="25" t="n">
        <v>0.9805</v>
      </c>
      <c r="G8" s="25" t="n">
        <v>0.9954</v>
      </c>
      <c r="H8" s="25" t="n">
        <v>0.9903</v>
      </c>
      <c r="I8" s="24" t="n">
        <f aca="false">AVERAGE(D8:H8)</f>
        <v>0.98784</v>
      </c>
      <c r="J8" s="25" t="n">
        <v>0.9874</v>
      </c>
      <c r="K8" s="24" t="n">
        <f aca="false">IF(AND(Sup_Used=1,ISNUMBER(J8)),J8,I8)</f>
        <v>0.98784</v>
      </c>
      <c r="L8" s="24" t="n">
        <f aca="false">LN(MIN(MAX(K8,0.0001),0.9999)/(1-MIN(MAX(K8,0.0001),0.9999)))</f>
        <v>4.39736886477577</v>
      </c>
      <c r="M8" s="16" t="n">
        <f aca="false">A8*EXP(-Platt_Shift)</f>
        <v>53.1</v>
      </c>
      <c r="N8" s="26" t="n">
        <f aca="false">MIN(MAX(IFERROR(MATCH(M8,Distribution!$A$6:$A$20,1),1),1),14)</f>
        <v>3</v>
      </c>
      <c r="O8" s="24" t="n">
        <f aca="false">1/(1+EXP(-(INDEX(Distribution!$L$6:$L$20,N8)+(LN(M8)-INDEX(Distribution!$B$6:$B$20,N8))/(INDEX(Distribution!$B$6:$B$20,N8+1)-INDEX(Distribution!$B$6:$B$20,N8))*(INDEX(Distribution!$L$6:$L$20,N8+1)-INDEX(Distribution!$L$6:$L$20,N8)))))</f>
        <v>0.98784</v>
      </c>
      <c r="P8" s="24" t="n">
        <f aca="false">LN(MIN(MAX(C8,0.0001),0.9999)/(1-MIN(MAX(C8,0.0001),0.9999)))</f>
        <v>5.25388308634187</v>
      </c>
      <c r="Q8" s="16" t="n">
        <f aca="false">IF(Analyst_Median&gt;0,A8*Market_Median/Analyst_Median,A8)</f>
        <v>49.2094420801356</v>
      </c>
      <c r="R8" s="26" t="n">
        <f aca="false">MIN(MAX(IFERROR(MATCH(Q8,Distribution!$A$6:$A$20,1),1),1),14)</f>
        <v>2</v>
      </c>
      <c r="S8" s="24" t="n">
        <f aca="false">1/(1+EXP(-(INDEX(Distribution!$P$6:$P$20,R8)+(LN(Q8)-INDEX(Distribution!$B$6:$B$20,R8))/(INDEX(Distribution!$B$6:$B$20,R8+1)-INDEX(Distribution!$B$6:$B$20,R8))*(INDEX(Distribution!$P$6:$P$20,R8+1)-INDEX(Distribution!$P$6:$P$20,R8)))))</f>
        <v>0.99782850596368</v>
      </c>
      <c r="T8" s="24" t="n">
        <f aca="false">W_Mkt*C8+W_Agents*O8</f>
        <v>0.9925032</v>
      </c>
      <c r="U8" s="27" t="n">
        <f aca="false">(1-W_Analyst)*T8+W_Analyst*S8</f>
        <v>0.9925032</v>
      </c>
      <c r="V8" s="24" t="n">
        <f aca="false">LN(MIN(MAX(U8,0.0001),0.9999)/(1-MIN(MAX(U8,0.0001),0.9999)))</f>
        <v>4.88575397391004</v>
      </c>
      <c r="W8" s="25" t="n">
        <v>0.9955</v>
      </c>
    </row>
    <row r="9" customFormat="false" ht="15" hidden="false" customHeight="false" outlineLevel="0" collapsed="false">
      <c r="A9" s="6" t="n">
        <v>63.72</v>
      </c>
      <c r="B9" s="24" t="n">
        <f aca="false">LN(A9)</f>
        <v>4.15449848504185</v>
      </c>
      <c r="C9" s="25" t="n">
        <v>0.9733</v>
      </c>
      <c r="D9" s="25" t="n">
        <v>0.9559</v>
      </c>
      <c r="E9" s="25" t="n">
        <v>0.9679</v>
      </c>
      <c r="F9" s="25" t="n">
        <v>0.9479</v>
      </c>
      <c r="G9" s="25" t="n">
        <v>0.971</v>
      </c>
      <c r="H9" s="25" t="n">
        <v>0.9597</v>
      </c>
      <c r="I9" s="24" t="n">
        <f aca="false">AVERAGE(D9:H9)</f>
        <v>0.96048</v>
      </c>
      <c r="J9" s="25" t="n">
        <v>0.9609</v>
      </c>
      <c r="K9" s="24" t="n">
        <f aca="false">IF(AND(Sup_Used=1,ISNUMBER(J9)),J9,I9)</f>
        <v>0.96048</v>
      </c>
      <c r="L9" s="24" t="n">
        <f aca="false">LN(MIN(MAX(K9,0.0001),0.9999)/(1-MIN(MAX(K9,0.0001),0.9999)))</f>
        <v>3.19062628662386</v>
      </c>
      <c r="M9" s="16" t="n">
        <f aca="false">A9*EXP(-Platt_Shift)</f>
        <v>63.72</v>
      </c>
      <c r="N9" s="26" t="n">
        <f aca="false">MIN(MAX(IFERROR(MATCH(M9,Distribution!$A$6:$A$20,1),1),1),14)</f>
        <v>4</v>
      </c>
      <c r="O9" s="24" t="n">
        <f aca="false">1/(1+EXP(-(INDEX(Distribution!$L$6:$L$20,N9)+(LN(M9)-INDEX(Distribution!$B$6:$B$20,N9))/(INDEX(Distribution!$B$6:$B$20,N9+1)-INDEX(Distribution!$B$6:$B$20,N9))*(INDEX(Distribution!$L$6:$L$20,N9+1)-INDEX(Distribution!$L$6:$L$20,N9)))))</f>
        <v>0.96048</v>
      </c>
      <c r="P9" s="24" t="n">
        <f aca="false">LN(MIN(MAX(C9,0.0001),0.9999)/(1-MIN(MAX(C9,0.0001),0.9999)))</f>
        <v>3.59602879402625</v>
      </c>
      <c r="Q9" s="16" t="n">
        <f aca="false">IF(Analyst_Median&gt;0,A9*Market_Median/Analyst_Median,A9)</f>
        <v>59.0513304961627</v>
      </c>
      <c r="R9" s="26" t="n">
        <f aca="false">MIN(MAX(IFERROR(MATCH(Q9,Distribution!$A$6:$A$20,1),1),1),14)</f>
        <v>3</v>
      </c>
      <c r="S9" s="24" t="n">
        <f aca="false">1/(1+EXP(-(INDEX(Distribution!$P$6:$P$20,R9)+(LN(Q9)-INDEX(Distribution!$B$6:$B$20,R9))/(INDEX(Distribution!$B$6:$B$20,R9+1)-INDEX(Distribution!$B$6:$B$20,R9))*(INDEX(Distribution!$P$6:$P$20,R9+1)-INDEX(Distribution!$P$6:$P$20,R9)))))</f>
        <v>0.98645272283671</v>
      </c>
      <c r="T9" s="24" t="n">
        <f aca="false">W_Mkt*C9+W_Agents*O9</f>
        <v>0.9690694</v>
      </c>
      <c r="U9" s="27" t="n">
        <f aca="false">(1-W_Analyst)*T9+W_Analyst*S9</f>
        <v>0.9690694</v>
      </c>
      <c r="V9" s="24" t="n">
        <f aca="false">LN(MIN(MAX(U9,0.0001),0.9999)/(1-MIN(MAX(U9,0.0001),0.9999)))</f>
        <v>3.44459024440228</v>
      </c>
      <c r="W9" s="25" t="n">
        <v>0.9754</v>
      </c>
    </row>
    <row r="10" customFormat="false" ht="15" hidden="false" customHeight="false" outlineLevel="0" collapsed="false">
      <c r="A10" s="6" t="n">
        <v>74.34</v>
      </c>
      <c r="B10" s="24" t="n">
        <f aca="false">LN(A10)</f>
        <v>4.30864916486911</v>
      </c>
      <c r="C10" s="25" t="n">
        <v>0.9189</v>
      </c>
      <c r="D10" s="25" t="n">
        <v>0.8736</v>
      </c>
      <c r="E10" s="25" t="n">
        <v>0.9008</v>
      </c>
      <c r="F10" s="25" t="n">
        <v>0.8537</v>
      </c>
      <c r="G10" s="25" t="n">
        <v>0.9004</v>
      </c>
      <c r="H10" s="25" t="n">
        <v>0.8817</v>
      </c>
      <c r="I10" s="24" t="n">
        <f aca="false">AVERAGE(D10:H10)</f>
        <v>0.88204</v>
      </c>
      <c r="J10" s="25" t="n">
        <v>0.882</v>
      </c>
      <c r="K10" s="24" t="n">
        <f aca="false">IF(AND(Sup_Used=1,ISNUMBER(J10)),J10,I10)</f>
        <v>0.88204</v>
      </c>
      <c r="L10" s="24" t="n">
        <f aca="false">LN(MIN(MAX(K10,0.0001),0.9999)/(1-MIN(MAX(K10,0.0001),0.9999)))</f>
        <v>2.01189182250529</v>
      </c>
      <c r="M10" s="16" t="n">
        <f aca="false">A10*EXP(-Platt_Shift)</f>
        <v>74.34</v>
      </c>
      <c r="N10" s="26" t="n">
        <f aca="false">MIN(MAX(IFERROR(MATCH(M10,Distribution!$A$6:$A$20,1),1),1),14)</f>
        <v>5</v>
      </c>
      <c r="O10" s="24" t="n">
        <f aca="false">1/(1+EXP(-(INDEX(Distribution!$L$6:$L$20,N10)+(LN(M10)-INDEX(Distribution!$B$6:$B$20,N10))/(INDEX(Distribution!$B$6:$B$20,N10+1)-INDEX(Distribution!$B$6:$B$20,N10))*(INDEX(Distribution!$L$6:$L$20,N10+1)-INDEX(Distribution!$L$6:$L$20,N10)))))</f>
        <v>0.88204</v>
      </c>
      <c r="P10" s="24" t="n">
        <f aca="false">LN(MIN(MAX(C10,0.0001),0.9999)/(1-MIN(MAX(C10,0.0001),0.9999)))</f>
        <v>2.42749434138547</v>
      </c>
      <c r="Q10" s="16" t="n">
        <f aca="false">IF(Analyst_Median&gt;0,A10*Market_Median/Analyst_Median,A10)</f>
        <v>68.8932189121898</v>
      </c>
      <c r="R10" s="26" t="n">
        <f aca="false">MIN(MAX(IFERROR(MATCH(Q10,Distribution!$A$6:$A$20,1),1),1),14)</f>
        <v>4</v>
      </c>
      <c r="S10" s="24" t="n">
        <f aca="false">1/(1+EXP(-(INDEX(Distribution!$P$6:$P$20,R10)+(LN(Q10)-INDEX(Distribution!$B$6:$B$20,R10))/(INDEX(Distribution!$B$6:$B$20,R10+1)-INDEX(Distribution!$B$6:$B$20,R10))*(INDEX(Distribution!$P$6:$P$20,R10+1)-INDEX(Distribution!$P$6:$P$20,R10)))))</f>
        <v>0.95276814047149</v>
      </c>
      <c r="T10" s="24" t="n">
        <f aca="false">W_Mkt*C10+W_Agents*O10</f>
        <v>0.9067362</v>
      </c>
      <c r="U10" s="27" t="n">
        <f aca="false">(1-W_Analyst)*T10+W_Analyst*S10</f>
        <v>0.9067362</v>
      </c>
      <c r="V10" s="24" t="n">
        <f aca="false">LN(MIN(MAX(U10,0.0001),0.9999)/(1-MIN(MAX(U10,0.0001),0.9999)))</f>
        <v>2.27441952200706</v>
      </c>
      <c r="W10" s="25" t="n">
        <v>0.9204</v>
      </c>
    </row>
    <row r="11" customFormat="false" ht="15" hidden="false" customHeight="false" outlineLevel="0" collapsed="false">
      <c r="A11" s="6" t="n">
        <v>84.96</v>
      </c>
      <c r="B11" s="24" t="n">
        <f aca="false">LN(A11)</f>
        <v>4.44218055749363</v>
      </c>
      <c r="C11" s="25" t="n">
        <v>0.8249</v>
      </c>
      <c r="D11" s="25" t="n">
        <v>0.7472</v>
      </c>
      <c r="E11" s="25" t="n">
        <v>0.7758</v>
      </c>
      <c r="F11" s="25" t="n">
        <v>0.7141</v>
      </c>
      <c r="G11" s="25" t="n">
        <v>0.7729</v>
      </c>
      <c r="H11" s="25" t="n">
        <v>0.7593</v>
      </c>
      <c r="I11" s="24" t="n">
        <f aca="false">AVERAGE(D11:H11)</f>
        <v>0.75386</v>
      </c>
      <c r="J11" s="25" t="n">
        <v>0.7537</v>
      </c>
      <c r="K11" s="24" t="n">
        <f aca="false">IF(AND(Sup_Used=1,ISNUMBER(J11)),J11,I11)</f>
        <v>0.75386</v>
      </c>
      <c r="L11" s="24" t="n">
        <f aca="false">LN(MIN(MAX(K11,0.0001),0.9999)/(1-MIN(MAX(K11,0.0001),0.9999)))</f>
        <v>1.1193061946312</v>
      </c>
      <c r="M11" s="16" t="n">
        <f aca="false">A11*EXP(-Platt_Shift)</f>
        <v>84.96</v>
      </c>
      <c r="N11" s="26" t="n">
        <f aca="false">MIN(MAX(IFERROR(MATCH(M11,Distribution!$A$6:$A$20,1),1),1),14)</f>
        <v>6</v>
      </c>
      <c r="O11" s="24" t="n">
        <f aca="false">1/(1+EXP(-(INDEX(Distribution!$L$6:$L$20,N11)+(LN(M11)-INDEX(Distribution!$B$6:$B$20,N11))/(INDEX(Distribution!$B$6:$B$20,N11+1)-INDEX(Distribution!$B$6:$B$20,N11))*(INDEX(Distribution!$L$6:$L$20,N11+1)-INDEX(Distribution!$L$6:$L$20,N11)))))</f>
        <v>0.75386</v>
      </c>
      <c r="P11" s="24" t="n">
        <f aca="false">LN(MIN(MAX(C11,0.0001),0.9999)/(1-MIN(MAX(C11,0.0001),0.9999)))</f>
        <v>1.54990492757488</v>
      </c>
      <c r="Q11" s="16" t="n">
        <f aca="false">IF(Analyst_Median&gt;0,A11*Market_Median/Analyst_Median,A11)</f>
        <v>78.7351073282169</v>
      </c>
      <c r="R11" s="26" t="n">
        <f aca="false">MIN(MAX(IFERROR(MATCH(Q11,Distribution!$A$6:$A$20,1),1),1),14)</f>
        <v>5</v>
      </c>
      <c r="S11" s="24" t="n">
        <f aca="false">1/(1+EXP(-(INDEX(Distribution!$P$6:$P$20,R11)+(LN(Q11)-INDEX(Distribution!$B$6:$B$20,R11))/(INDEX(Distribution!$B$6:$B$20,R11+1)-INDEX(Distribution!$B$6:$B$20,R11))*(INDEX(Distribution!$P$6:$P$20,R11+1)-INDEX(Distribution!$P$6:$P$20,R11)))))</f>
        <v>0.885946578451877</v>
      </c>
      <c r="T11" s="24" t="n">
        <f aca="false">W_Mkt*C11+W_Agents*O11</f>
        <v>0.8014568</v>
      </c>
      <c r="U11" s="27" t="n">
        <f aca="false">(1-W_Analyst)*T11+W_Analyst*S11</f>
        <v>0.8014568</v>
      </c>
      <c r="V11" s="24" t="n">
        <f aca="false">LN(MIN(MAX(U11,0.0001),0.9999)/(1-MIN(MAX(U11,0.0001),0.9999)))</f>
        <v>1.39542436296692</v>
      </c>
      <c r="W11" s="25" t="n">
        <v>0.821</v>
      </c>
    </row>
    <row r="12" customFormat="false" ht="15" hidden="false" customHeight="false" outlineLevel="0" collapsed="false">
      <c r="A12" s="6" t="n">
        <v>95.58</v>
      </c>
      <c r="B12" s="24" t="n">
        <f aca="false">LN(A12)</f>
        <v>4.55996359315001</v>
      </c>
      <c r="C12" s="25" t="n">
        <v>0.7004</v>
      </c>
      <c r="D12" s="25" t="n">
        <v>0.5987</v>
      </c>
      <c r="E12" s="25" t="n">
        <v>0.6091</v>
      </c>
      <c r="F12" s="25" t="n">
        <v>0.5582</v>
      </c>
      <c r="G12" s="25" t="n">
        <v>0.6098</v>
      </c>
      <c r="H12" s="25" t="n">
        <v>0.6096</v>
      </c>
      <c r="I12" s="24" t="n">
        <f aca="false">AVERAGE(D12:H12)</f>
        <v>0.59708</v>
      </c>
      <c r="J12" s="25" t="n">
        <v>0.5973</v>
      </c>
      <c r="K12" s="24" t="n">
        <f aca="false">IF(AND(Sup_Used=1,ISNUMBER(J12)),J12,I12)</f>
        <v>0.59708</v>
      </c>
      <c r="L12" s="24" t="n">
        <f aca="false">LN(MIN(MAX(K12,0.0001),0.9999)/(1-MIN(MAX(K12,0.0001),0.9999)))</f>
        <v>0.393313076690559</v>
      </c>
      <c r="M12" s="16" t="n">
        <f aca="false">A12*EXP(-Platt_Shift)</f>
        <v>95.58</v>
      </c>
      <c r="N12" s="26" t="n">
        <f aca="false">MIN(MAX(IFERROR(MATCH(M12,Distribution!$A$6:$A$20,1),1),1),14)</f>
        <v>7</v>
      </c>
      <c r="O12" s="24" t="n">
        <f aca="false">1/(1+EXP(-(INDEX(Distribution!$L$6:$L$20,N12)+(LN(M12)-INDEX(Distribution!$B$6:$B$20,N12))/(INDEX(Distribution!$B$6:$B$20,N12+1)-INDEX(Distribution!$B$6:$B$20,N12))*(INDEX(Distribution!$L$6:$L$20,N12+1)-INDEX(Distribution!$L$6:$L$20,N12)))))</f>
        <v>0.59708</v>
      </c>
      <c r="P12" s="24" t="n">
        <f aca="false">LN(MIN(MAX(C12,0.0001),0.9999)/(1-MIN(MAX(C12,0.0001),0.9999)))</f>
        <v>0.849203348768632</v>
      </c>
      <c r="Q12" s="16" t="n">
        <f aca="false">IF(Analyst_Median&gt;0,A12*Market_Median/Analyst_Median,A12)</f>
        <v>88.576995744244</v>
      </c>
      <c r="R12" s="26" t="n">
        <f aca="false">MIN(MAX(IFERROR(MATCH(Q12,Distribution!$A$6:$A$20,1),1),1),14)</f>
        <v>6</v>
      </c>
      <c r="S12" s="24" t="n">
        <f aca="false">1/(1+EXP(-(INDEX(Distribution!$P$6:$P$20,R12)+(LN(Q12)-INDEX(Distribution!$B$6:$B$20,R12))/(INDEX(Distribution!$B$6:$B$20,R12+1)-INDEX(Distribution!$B$6:$B$20,R12))*(INDEX(Distribution!$P$6:$P$20,R12+1)-INDEX(Distribution!$P$6:$P$20,R12)))))</f>
        <v>0.786150845173068</v>
      </c>
      <c r="T12" s="24" t="n">
        <f aca="false">W_Mkt*C12+W_Agents*O12</f>
        <v>0.6663044</v>
      </c>
      <c r="U12" s="27" t="n">
        <f aca="false">(1-W_Analyst)*T12+W_Analyst*S12</f>
        <v>0.6663044</v>
      </c>
      <c r="V12" s="24" t="n">
        <f aca="false">LN(MIN(MAX(U12,0.0001),0.9999)/(1-MIN(MAX(U12,0.0001),0.9999)))</f>
        <v>0.691517423004241</v>
      </c>
      <c r="W12" s="25" t="n">
        <v>0.6864</v>
      </c>
    </row>
    <row r="13" customFormat="false" ht="15" hidden="false" customHeight="false" outlineLevel="0" collapsed="false">
      <c r="A13" s="6" t="n">
        <v>106.2</v>
      </c>
      <c r="B13" s="24" t="n">
        <f aca="false">LN(A13)</f>
        <v>4.66532410880784</v>
      </c>
      <c r="C13" s="25" t="n">
        <v>0.5635</v>
      </c>
      <c r="D13" s="25" t="n">
        <v>0.4415</v>
      </c>
      <c r="E13" s="25" t="n">
        <v>0.4341</v>
      </c>
      <c r="F13" s="25" t="n">
        <v>0.4029</v>
      </c>
      <c r="G13" s="25" t="n">
        <v>0.4437</v>
      </c>
      <c r="H13" s="25" t="n">
        <v>0.453</v>
      </c>
      <c r="I13" s="24" t="n">
        <f aca="false">AVERAGE(D13:H13)</f>
        <v>0.43504</v>
      </c>
      <c r="J13" s="25" t="n">
        <v>0.4353</v>
      </c>
      <c r="K13" s="24" t="n">
        <f aca="false">IF(AND(Sup_Used=1,ISNUMBER(J13)),J13,I13)</f>
        <v>0.43504</v>
      </c>
      <c r="L13" s="24" t="n">
        <f aca="false">LN(MIN(MAX(K13,0.0001),0.9999)/(1-MIN(MAX(K13,0.0001),0.9999)))</f>
        <v>-0.261316951295916</v>
      </c>
      <c r="M13" s="16" t="n">
        <f aca="false">A13*EXP(-Platt_Shift)</f>
        <v>106.2</v>
      </c>
      <c r="N13" s="26" t="n">
        <f aca="false">MIN(MAX(IFERROR(MATCH(M13,Distribution!$A$6:$A$20,1),1),1),14)</f>
        <v>8</v>
      </c>
      <c r="O13" s="24" t="n">
        <f aca="false">1/(1+EXP(-(INDEX(Distribution!$L$6:$L$20,N13)+(LN(M13)-INDEX(Distribution!$B$6:$B$20,N13))/(INDEX(Distribution!$B$6:$B$20,N13+1)-INDEX(Distribution!$B$6:$B$20,N13))*(INDEX(Distribution!$L$6:$L$20,N13+1)-INDEX(Distribution!$L$6:$L$20,N13)))))</f>
        <v>0.43504</v>
      </c>
      <c r="P13" s="24" t="n">
        <f aca="false">LN(MIN(MAX(C13,0.0001),0.9999)/(1-MIN(MAX(C13,0.0001),0.9999)))</f>
        <v>0.255378958200174</v>
      </c>
      <c r="Q13" s="16" t="n">
        <f aca="false">IF(Analyst_Median&gt;0,A13*Market_Median/Analyst_Median,A13)</f>
        <v>98.4188841602711</v>
      </c>
      <c r="R13" s="26" t="n">
        <f aca="false">MIN(MAX(IFERROR(MATCH(Q13,Distribution!$A$6:$A$20,1),1),1),14)</f>
        <v>7</v>
      </c>
      <c r="S13" s="24" t="n">
        <f aca="false">1/(1+EXP(-(INDEX(Distribution!$P$6:$P$20,R13)+(LN(Q13)-INDEX(Distribution!$B$6:$B$20,R13))/(INDEX(Distribution!$B$6:$B$20,R13+1)-INDEX(Distribution!$B$6:$B$20,R13))*(INDEX(Distribution!$P$6:$P$20,R13+1)-INDEX(Distribution!$P$6:$P$20,R13)))))</f>
        <v>0.66468418421249</v>
      </c>
      <c r="T13" s="24" t="n">
        <f aca="false">W_Mkt*C13+W_Agents*O13</f>
        <v>0.5211082</v>
      </c>
      <c r="U13" s="27" t="n">
        <f aca="false">(1-W_Analyst)*T13+W_Analyst*S13</f>
        <v>0.5211082</v>
      </c>
      <c r="V13" s="24" t="n">
        <f aca="false">LN(MIN(MAX(U13,0.0001),0.9999)/(1-MIN(MAX(U13,0.0001),0.9999)))</f>
        <v>0.0844830131051489</v>
      </c>
      <c r="W13" s="25" t="n">
        <v>0.5336</v>
      </c>
    </row>
    <row r="14" customFormat="false" ht="15" hidden="false" customHeight="false" outlineLevel="0" collapsed="false">
      <c r="A14" s="6" t="n">
        <v>116.82</v>
      </c>
      <c r="B14" s="24" t="n">
        <f aca="false">LN(A14)</f>
        <v>4.76063428861216</v>
      </c>
      <c r="C14" s="25" t="n">
        <v>0.4322</v>
      </c>
      <c r="D14" s="25" t="n">
        <v>0.2969</v>
      </c>
      <c r="E14" s="25" t="n">
        <v>0.2845</v>
      </c>
      <c r="F14" s="25" t="n">
        <v>0.2696</v>
      </c>
      <c r="G14" s="25" t="n">
        <v>0.3007</v>
      </c>
      <c r="H14" s="25" t="n">
        <v>0.3125</v>
      </c>
      <c r="I14" s="24" t="n">
        <f aca="false">AVERAGE(D14:H14)</f>
        <v>0.29284</v>
      </c>
      <c r="J14" s="25" t="n">
        <v>0.2931</v>
      </c>
      <c r="K14" s="24" t="n">
        <f aca="false">IF(AND(Sup_Used=1,ISNUMBER(J14)),J14,I14)</f>
        <v>0.29284</v>
      </c>
      <c r="L14" s="24" t="n">
        <f aca="false">LN(MIN(MAX(K14,0.0001),0.9999)/(1-MIN(MAX(K14,0.0001),0.9999)))</f>
        <v>-0.88163056385938</v>
      </c>
      <c r="M14" s="16" t="n">
        <f aca="false">A14*EXP(-Platt_Shift)</f>
        <v>116.82</v>
      </c>
      <c r="N14" s="26" t="n">
        <f aca="false">MIN(MAX(IFERROR(MATCH(M14,Distribution!$A$6:$A$20,1),1),1),14)</f>
        <v>9</v>
      </c>
      <c r="O14" s="24" t="n">
        <f aca="false">1/(1+EXP(-(INDEX(Distribution!$L$6:$L$20,N14)+(LN(M14)-INDEX(Distribution!$B$6:$B$20,N14))/(INDEX(Distribution!$B$6:$B$20,N14+1)-INDEX(Distribution!$B$6:$B$20,N14))*(INDEX(Distribution!$L$6:$L$20,N14+1)-INDEX(Distribution!$L$6:$L$20,N14)))))</f>
        <v>0.29284</v>
      </c>
      <c r="P14" s="24" t="n">
        <f aca="false">LN(MIN(MAX(C14,0.0001),0.9999)/(1-MIN(MAX(C14,0.0001),0.9999)))</f>
        <v>-0.272880799966085</v>
      </c>
      <c r="Q14" s="16" t="n">
        <f aca="false">IF(Analyst_Median&gt;0,A14*Market_Median/Analyst_Median,A14)</f>
        <v>108.260772576298</v>
      </c>
      <c r="R14" s="26" t="n">
        <f aca="false">MIN(MAX(IFERROR(MATCH(Q14,Distribution!$A$6:$A$20,1),1),1),14)</f>
        <v>8</v>
      </c>
      <c r="S14" s="24" t="n">
        <f aca="false">1/(1+EXP(-(INDEX(Distribution!$P$6:$P$20,R14)+(LN(Q14)-INDEX(Distribution!$B$6:$B$20,R14))/(INDEX(Distribution!$B$6:$B$20,R14+1)-INDEX(Distribution!$B$6:$B$20,R14))*(INDEX(Distribution!$P$6:$P$20,R14+1)-INDEX(Distribution!$P$6:$P$20,R14)))))</f>
        <v>0.537146010123559</v>
      </c>
      <c r="T14" s="24" t="n">
        <f aca="false">W_Mkt*C14+W_Agents*O14</f>
        <v>0.3862112</v>
      </c>
      <c r="U14" s="27" t="n">
        <f aca="false">(1-W_Analyst)*T14+W_Analyst*S14</f>
        <v>0.3862112</v>
      </c>
      <c r="V14" s="24" t="n">
        <f aca="false">LN(MIN(MAX(U14,0.0001),0.9999)/(1-MIN(MAX(U14,0.0001),0.9999)))</f>
        <v>-0.463266524941395</v>
      </c>
      <c r="W14" s="25" t="n">
        <v>0.3803</v>
      </c>
    </row>
    <row r="15" customFormat="false" ht="15" hidden="false" customHeight="false" outlineLevel="0" collapsed="false">
      <c r="A15" s="6" t="n">
        <v>127.44</v>
      </c>
      <c r="B15" s="24" t="n">
        <f aca="false">LN(A15)</f>
        <v>4.84764566560179</v>
      </c>
      <c r="C15" s="25" t="n">
        <v>0.3182</v>
      </c>
      <c r="D15" s="25" t="n">
        <v>0.1817</v>
      </c>
      <c r="E15" s="25" t="n">
        <v>0.1733</v>
      </c>
      <c r="F15" s="25" t="n">
        <v>0.1686</v>
      </c>
      <c r="G15" s="25" t="n">
        <v>0.1915</v>
      </c>
      <c r="H15" s="25" t="n">
        <v>0.2022</v>
      </c>
      <c r="I15" s="24" t="n">
        <f aca="false">AVERAGE(D15:H15)</f>
        <v>0.18346</v>
      </c>
      <c r="J15" s="25" t="n">
        <v>0.1835</v>
      </c>
      <c r="K15" s="24" t="n">
        <f aca="false">IF(AND(Sup_Used=1,ISNUMBER(J15)),J15,I15)</f>
        <v>0.18346</v>
      </c>
      <c r="L15" s="24" t="n">
        <f aca="false">LN(MIN(MAX(K15,0.0001),0.9999)/(1-MIN(MAX(K15,0.0001),0.9999)))</f>
        <v>-1.49307924071877</v>
      </c>
      <c r="M15" s="16" t="n">
        <f aca="false">A15*EXP(-Platt_Shift)</f>
        <v>127.44</v>
      </c>
      <c r="N15" s="26" t="n">
        <f aca="false">MIN(MAX(IFERROR(MATCH(M15,Distribution!$A$6:$A$20,1),1),1),14)</f>
        <v>10</v>
      </c>
      <c r="O15" s="24" t="n">
        <f aca="false">1/(1+EXP(-(INDEX(Distribution!$L$6:$L$20,N15)+(LN(M15)-INDEX(Distribution!$B$6:$B$20,N15))/(INDEX(Distribution!$B$6:$B$20,N15+1)-INDEX(Distribution!$B$6:$B$20,N15))*(INDEX(Distribution!$L$6:$L$20,N15+1)-INDEX(Distribution!$L$6:$L$20,N15)))))</f>
        <v>0.18346</v>
      </c>
      <c r="P15" s="24" t="n">
        <f aca="false">LN(MIN(MAX(C15,0.0001),0.9999)/(1-MIN(MAX(C15,0.0001),0.9999)))</f>
        <v>-0.762056243800116</v>
      </c>
      <c r="Q15" s="16" t="n">
        <f aca="false">IF(Analyst_Median&gt;0,A15*Market_Median/Analyst_Median,A15)</f>
        <v>118.102660992325</v>
      </c>
      <c r="R15" s="26" t="n">
        <f aca="false">MIN(MAX(IFERROR(MATCH(Q15,Distribution!$A$6:$A$20,1),1),1),14)</f>
        <v>9</v>
      </c>
      <c r="S15" s="24" t="n">
        <f aca="false">1/(1+EXP(-(INDEX(Distribution!$P$6:$P$20,R15)+(LN(Q15)-INDEX(Distribution!$B$6:$B$20,R15))/(INDEX(Distribution!$B$6:$B$20,R15+1)-INDEX(Distribution!$B$6:$B$20,R15))*(INDEX(Distribution!$P$6:$P$20,R15+1)-INDEX(Distribution!$P$6:$P$20,R15)))))</f>
        <v>0.417201414660921</v>
      </c>
      <c r="T15" s="24" t="n">
        <f aca="false">W_Mkt*C15+W_Agents*O15</f>
        <v>0.2737358</v>
      </c>
      <c r="U15" s="27" t="n">
        <f aca="false">(1-W_Analyst)*T15+W_Analyst*S15</f>
        <v>0.2737358</v>
      </c>
      <c r="V15" s="24" t="n">
        <f aca="false">LN(MIN(MAX(U15,0.0001),0.9999)/(1-MIN(MAX(U15,0.0001),0.9999)))</f>
        <v>-0.975750452831485</v>
      </c>
      <c r="W15" s="25" t="n">
        <v>0.2531</v>
      </c>
    </row>
    <row r="16" customFormat="false" ht="15" hidden="false" customHeight="false" outlineLevel="0" collapsed="false">
      <c r="A16" s="6" t="n">
        <v>143.37</v>
      </c>
      <c r="B16" s="24" t="n">
        <f aca="false">LN(A16)</f>
        <v>4.96542870125818</v>
      </c>
      <c r="C16" s="25" t="n">
        <v>0.1891</v>
      </c>
      <c r="D16" s="25" t="n">
        <v>0.0774</v>
      </c>
      <c r="E16" s="25" t="n">
        <v>0.076</v>
      </c>
      <c r="F16" s="25" t="n">
        <v>0.076</v>
      </c>
      <c r="G16" s="25" t="n">
        <v>0.0899</v>
      </c>
      <c r="H16" s="25" t="n">
        <v>0.0974</v>
      </c>
      <c r="I16" s="24" t="n">
        <f aca="false">AVERAGE(D16:H16)</f>
        <v>0.08334</v>
      </c>
      <c r="J16" s="25" t="n">
        <v>0.0835</v>
      </c>
      <c r="K16" s="24" t="n">
        <f aca="false">IF(AND(Sup_Used=1,ISNUMBER(J16)),J16,I16)</f>
        <v>0.08334</v>
      </c>
      <c r="L16" s="24" t="n">
        <f aca="false">LN(MIN(MAX(K16,0.0001),0.9999)/(1-MIN(MAX(K16,0.0001),0.9999)))</f>
        <v>-2.39780800324448</v>
      </c>
      <c r="M16" s="16" t="n">
        <f aca="false">A16*EXP(-Platt_Shift)</f>
        <v>143.37</v>
      </c>
      <c r="N16" s="26" t="n">
        <f aca="false">MIN(MAX(IFERROR(MATCH(M16,Distribution!$A$6:$A$20,1),1),1),14)</f>
        <v>11</v>
      </c>
      <c r="O16" s="24" t="n">
        <f aca="false">1/(1+EXP(-(INDEX(Distribution!$L$6:$L$20,N16)+(LN(M16)-INDEX(Distribution!$B$6:$B$20,N16))/(INDEX(Distribution!$B$6:$B$20,N16+1)-INDEX(Distribution!$B$6:$B$20,N16))*(INDEX(Distribution!$L$6:$L$20,N16+1)-INDEX(Distribution!$L$6:$L$20,N16)))))</f>
        <v>0.08334</v>
      </c>
      <c r="P16" s="24" t="n">
        <f aca="false">LN(MIN(MAX(C16,0.0001),0.9999)/(1-MIN(MAX(C16,0.0001),0.9999)))</f>
        <v>-1.4558687662861</v>
      </c>
      <c r="Q16" s="16" t="n">
        <f aca="false">IF(Analyst_Median&gt;0,A16*Market_Median/Analyst_Median,A16)</f>
        <v>132.865493616366</v>
      </c>
      <c r="R16" s="26" t="n">
        <f aca="false">MIN(MAX(IFERROR(MATCH(Q16,Distribution!$A$6:$A$20,1),1),1),14)</f>
        <v>10</v>
      </c>
      <c r="S16" s="24" t="n">
        <f aca="false">1/(1+EXP(-(INDEX(Distribution!$P$6:$P$20,R16)+(LN(Q16)-INDEX(Distribution!$B$6:$B$20,R16))/(INDEX(Distribution!$B$6:$B$20,R16+1)-INDEX(Distribution!$B$6:$B$20,R16))*(INDEX(Distribution!$P$6:$P$20,R16+1)-INDEX(Distribution!$P$6:$P$20,R16)))))</f>
        <v>0.267441010721917</v>
      </c>
      <c r="T16" s="24" t="n">
        <f aca="false">W_Mkt*C16+W_Agents*O16</f>
        <v>0.1541992</v>
      </c>
      <c r="U16" s="27" t="n">
        <f aca="false">(1-W_Analyst)*T16+W_Analyst*S16</f>
        <v>0.1541992</v>
      </c>
      <c r="V16" s="24" t="n">
        <f aca="false">LN(MIN(MAX(U16,0.0001),0.9999)/(1-MIN(MAX(U16,0.0001),0.9999)))</f>
        <v>-1.7020385978397</v>
      </c>
      <c r="W16" s="25" t="n">
        <v>0.1332</v>
      </c>
    </row>
    <row r="17" customFormat="false" ht="15" hidden="false" customHeight="false" outlineLevel="0" collapsed="false">
      <c r="A17" s="6" t="n">
        <v>159.3</v>
      </c>
      <c r="B17" s="24" t="n">
        <f aca="false">LN(A17)</f>
        <v>5.070789216916</v>
      </c>
      <c r="C17" s="25" t="n">
        <v>0.1062</v>
      </c>
      <c r="D17" s="25" t="n">
        <v>0.0291</v>
      </c>
      <c r="E17" s="25" t="n">
        <v>0.0324</v>
      </c>
      <c r="F17" s="25" t="n">
        <v>0.0311</v>
      </c>
      <c r="G17" s="25" t="n">
        <v>0.0389</v>
      </c>
      <c r="H17" s="25" t="n">
        <v>0.0442</v>
      </c>
      <c r="I17" s="24" t="n">
        <f aca="false">AVERAGE(D17:H17)</f>
        <v>0.03514</v>
      </c>
      <c r="J17" s="25" t="n">
        <v>0.0353</v>
      </c>
      <c r="K17" s="24" t="n">
        <f aca="false">IF(AND(Sup_Used=1,ISNUMBER(J17)),J17,I17)</f>
        <v>0.03514</v>
      </c>
      <c r="L17" s="24" t="n">
        <f aca="false">LN(MIN(MAX(K17,0.0001),0.9999)/(1-MIN(MAX(K17,0.0001),0.9999)))</f>
        <v>-3.31264293033504</v>
      </c>
      <c r="M17" s="16" t="n">
        <f aca="false">A17*EXP(-Platt_Shift)</f>
        <v>159.3</v>
      </c>
      <c r="N17" s="26" t="n">
        <f aca="false">MIN(MAX(IFERROR(MATCH(M17,Distribution!$A$6:$A$20,1),1),1),14)</f>
        <v>12</v>
      </c>
      <c r="O17" s="24" t="n">
        <f aca="false">1/(1+EXP(-(INDEX(Distribution!$L$6:$L$20,N17)+(LN(M17)-INDEX(Distribution!$B$6:$B$20,N17))/(INDEX(Distribution!$B$6:$B$20,N17+1)-INDEX(Distribution!$B$6:$B$20,N17))*(INDEX(Distribution!$L$6:$L$20,N17+1)-INDEX(Distribution!$L$6:$L$20,N17)))))</f>
        <v>0.03514</v>
      </c>
      <c r="P17" s="24" t="n">
        <f aca="false">LN(MIN(MAX(C17,0.0001),0.9999)/(1-MIN(MAX(C17,0.0001),0.9999)))</f>
        <v>-2.13015792769151</v>
      </c>
      <c r="Q17" s="16" t="n">
        <f aca="false">IF(Analyst_Median&gt;0,A17*Market_Median/Analyst_Median,A17)</f>
        <v>147.628326240407</v>
      </c>
      <c r="R17" s="26" t="n">
        <f aca="false">MIN(MAX(IFERROR(MATCH(Q17,Distribution!$A$6:$A$20,1),1),1),14)</f>
        <v>11</v>
      </c>
      <c r="S17" s="24" t="n">
        <f aca="false">1/(1+EXP(-(INDEX(Distribution!$P$6:$P$20,R17)+(LN(Q17)-INDEX(Distribution!$B$6:$B$20,R17))/(INDEX(Distribution!$B$6:$B$20,R17+1)-INDEX(Distribution!$B$6:$B$20,R17))*(INDEX(Distribution!$P$6:$P$20,R17+1)-INDEX(Distribution!$P$6:$P$20,R17)))))</f>
        <v>0.162032009454785</v>
      </c>
      <c r="T17" s="24" t="n">
        <f aca="false">W_Mkt*C17+W_Agents*O17</f>
        <v>0.0827502</v>
      </c>
      <c r="U17" s="27" t="n">
        <f aca="false">(1-W_Analyst)*T17+W_Analyst*S17</f>
        <v>0.0827502</v>
      </c>
      <c r="V17" s="24" t="n">
        <f aca="false">LN(MIN(MAX(U17,0.0001),0.9999)/(1-MIN(MAX(U17,0.0001),0.9999)))</f>
        <v>-2.40555341401962</v>
      </c>
      <c r="W17" s="25" t="n">
        <v>0.0695</v>
      </c>
    </row>
    <row r="18" customFormat="false" ht="15" hidden="false" customHeight="false" outlineLevel="0" collapsed="false">
      <c r="A18" s="6" t="n">
        <v>185.85</v>
      </c>
      <c r="B18" s="24" t="n">
        <f aca="false">LN(A18)</f>
        <v>5.22493989674326</v>
      </c>
      <c r="C18" s="25" t="n">
        <v>0.0374</v>
      </c>
      <c r="D18" s="25" t="n">
        <v>0.0061</v>
      </c>
      <c r="E18" s="25" t="n">
        <v>0.0089</v>
      </c>
      <c r="F18" s="25" t="n">
        <v>0.0064</v>
      </c>
      <c r="G18" s="25" t="n">
        <v>0.0087</v>
      </c>
      <c r="H18" s="25" t="n">
        <v>0.0128</v>
      </c>
      <c r="I18" s="24" t="n">
        <f aca="false">AVERAGE(D18:H18)</f>
        <v>0.00858</v>
      </c>
      <c r="J18" s="25" t="n">
        <v>0.0089</v>
      </c>
      <c r="K18" s="24" t="n">
        <f aca="false">IF(AND(Sup_Used=1,ISNUMBER(J18)),J18,I18)</f>
        <v>0.00858</v>
      </c>
      <c r="L18" s="24" t="n">
        <f aca="false">LN(MIN(MAX(K18,0.0001),0.9999)/(1-MIN(MAX(K18,0.0001),0.9999)))</f>
        <v>-4.74970434537515</v>
      </c>
      <c r="M18" s="16" t="n">
        <f aca="false">A18*EXP(-Platt_Shift)</f>
        <v>185.85</v>
      </c>
      <c r="N18" s="26" t="n">
        <f aca="false">MIN(MAX(IFERROR(MATCH(M18,Distribution!$A$6:$A$20,1),1),1),14)</f>
        <v>13</v>
      </c>
      <c r="O18" s="24" t="n">
        <f aca="false">1/(1+EXP(-(INDEX(Distribution!$L$6:$L$20,N18)+(LN(M18)-INDEX(Distribution!$B$6:$B$20,N18))/(INDEX(Distribution!$B$6:$B$20,N18+1)-INDEX(Distribution!$B$6:$B$20,N18))*(INDEX(Distribution!$L$6:$L$20,N18+1)-INDEX(Distribution!$L$6:$L$20,N18)))))</f>
        <v>0.00858</v>
      </c>
      <c r="P18" s="24" t="n">
        <f aca="false">LN(MIN(MAX(C18,0.0001),0.9999)/(1-MIN(MAX(C18,0.0001),0.9999)))</f>
        <v>-3.24796725244852</v>
      </c>
      <c r="Q18" s="16" t="n">
        <f aca="false">IF(Analyst_Median&gt;0,A18*Market_Median/Analyst_Median,A18)</f>
        <v>172.233047280475</v>
      </c>
      <c r="R18" s="26" t="n">
        <f aca="false">MIN(MAX(IFERROR(MATCH(Q18,Distribution!$A$6:$A$20,1),1),1),14)</f>
        <v>12</v>
      </c>
      <c r="S18" s="24" t="n">
        <f aca="false">1/(1+EXP(-(INDEX(Distribution!$P$6:$P$20,R18)+(LN(Q18)-INDEX(Distribution!$B$6:$B$20,R18))/(INDEX(Distribution!$B$6:$B$20,R18+1)-INDEX(Distribution!$B$6:$B$20,R18))*(INDEX(Distribution!$P$6:$P$20,R18+1)-INDEX(Distribution!$P$6:$P$20,R18)))))</f>
        <v>0.0631981085061788</v>
      </c>
      <c r="T18" s="24" t="n">
        <f aca="false">W_Mkt*C18+W_Agents*O18</f>
        <v>0.0278894</v>
      </c>
      <c r="U18" s="27" t="n">
        <f aca="false">(1-W_Analyst)*T18+W_Analyst*S18</f>
        <v>0.0278894</v>
      </c>
      <c r="V18" s="24" t="n">
        <f aca="false">LN(MIN(MAX(U18,0.0001),0.9999)/(1-MIN(MAX(U18,0.0001),0.9999)))</f>
        <v>-3.55122289567467</v>
      </c>
      <c r="W18" s="25" t="n">
        <v>0.0234</v>
      </c>
    </row>
    <row r="19" customFormat="false" ht="15" hidden="false" customHeight="false" outlineLevel="0" collapsed="false">
      <c r="A19" s="6" t="n">
        <v>212.4</v>
      </c>
      <c r="B19" s="24" t="n">
        <f aca="false">LN(A19)</f>
        <v>5.35847128936778</v>
      </c>
      <c r="C19" s="25" t="n">
        <v>0.0124</v>
      </c>
      <c r="D19" s="25" t="n">
        <v>0.0025</v>
      </c>
      <c r="E19" s="25" t="n">
        <v>0.0032</v>
      </c>
      <c r="F19" s="25" t="n">
        <v>0.0015</v>
      </c>
      <c r="G19" s="25" t="n">
        <v>0.0028</v>
      </c>
      <c r="H19" s="25" t="n">
        <v>0.0045</v>
      </c>
      <c r="I19" s="24" t="n">
        <f aca="false">AVERAGE(D19:H19)</f>
        <v>0.0029</v>
      </c>
      <c r="J19" s="25" t="n">
        <v>0.0032</v>
      </c>
      <c r="K19" s="24" t="n">
        <f aca="false">IF(AND(Sup_Used=1,ISNUMBER(J19)),J19,I19)</f>
        <v>0.0029</v>
      </c>
      <c r="L19" s="24" t="n">
        <f aca="false">LN(MIN(MAX(K19,0.0001),0.9999)/(1-MIN(MAX(K19,0.0001),0.9999)))</f>
        <v>-5.84014032884232</v>
      </c>
      <c r="M19" s="16" t="n">
        <f aca="false">A19*EXP(-Platt_Shift)</f>
        <v>212.4</v>
      </c>
      <c r="N19" s="26" t="n">
        <f aca="false">MIN(MAX(IFERROR(MATCH(M19,Distribution!$A$6:$A$20,1),1),1),14)</f>
        <v>14</v>
      </c>
      <c r="O19" s="24" t="n">
        <f aca="false">1/(1+EXP(-(INDEX(Distribution!$L$6:$L$20,N19)+(LN(M19)-INDEX(Distribution!$B$6:$B$20,N19))/(INDEX(Distribution!$B$6:$B$20,N19+1)-INDEX(Distribution!$B$6:$B$20,N19))*(INDEX(Distribution!$L$6:$L$20,N19+1)-INDEX(Distribution!$L$6:$L$20,N19)))))</f>
        <v>0.0029</v>
      </c>
      <c r="P19" s="24" t="n">
        <f aca="false">LN(MIN(MAX(C19,0.0001),0.9999)/(1-MIN(MAX(C19,0.0001),0.9999)))</f>
        <v>-4.37758128486003</v>
      </c>
      <c r="Q19" s="16" t="n">
        <f aca="false">IF(Analyst_Median&gt;0,A19*Market_Median/Analyst_Median,A19)</f>
        <v>196.837768320542</v>
      </c>
      <c r="R19" s="26" t="n">
        <f aca="false">MIN(MAX(IFERROR(MATCH(Q19,Distribution!$A$6:$A$20,1),1),1),14)</f>
        <v>13</v>
      </c>
      <c r="S19" s="24" t="n">
        <f aca="false">1/(1+EXP(-(INDEX(Distribution!$P$6:$P$20,R19)+(LN(Q19)-INDEX(Distribution!$B$6:$B$20,R19))/(INDEX(Distribution!$B$6:$B$20,R19+1)-INDEX(Distribution!$B$6:$B$20,R19))*(INDEX(Distribution!$P$6:$P$20,R19+1)-INDEX(Distribution!$P$6:$P$20,R19)))))</f>
        <v>0.0233419818843897</v>
      </c>
      <c r="T19" s="24" t="n">
        <f aca="false">W_Mkt*C19+W_Agents*O19</f>
        <v>0.009265</v>
      </c>
      <c r="U19" s="27" t="n">
        <f aca="false">(1-W_Analyst)*T19+W_Analyst*S19</f>
        <v>0.009265</v>
      </c>
      <c r="V19" s="24" t="n">
        <f aca="false">LN(MIN(MAX(U19,0.0001),0.9999)/(1-MIN(MAX(U19,0.0001),0.9999)))</f>
        <v>-4.67220323217319</v>
      </c>
      <c r="W19" s="25" t="n">
        <v>0.0076</v>
      </c>
    </row>
    <row r="20" customFormat="false" ht="15" hidden="false" customHeight="false" outlineLevel="0" collapsed="false">
      <c r="A20" s="6" t="n">
        <v>265.5</v>
      </c>
      <c r="B20" s="24" t="n">
        <f aca="false">LN(A20)</f>
        <v>5.58161484068199</v>
      </c>
      <c r="C20" s="25" t="n">
        <v>0.0013</v>
      </c>
      <c r="D20" s="25" t="n">
        <v>0.0008</v>
      </c>
      <c r="E20" s="25" t="n">
        <v>0.0008</v>
      </c>
      <c r="F20" s="25" t="n">
        <v>0.0002</v>
      </c>
      <c r="G20" s="25" t="n">
        <v>0.0019</v>
      </c>
      <c r="H20" s="25" t="n">
        <v>0.0007</v>
      </c>
      <c r="I20" s="24" t="n">
        <f aca="false">AVERAGE(D20:H20)</f>
        <v>0.00088</v>
      </c>
      <c r="J20" s="25" t="n">
        <v>0.0008</v>
      </c>
      <c r="K20" s="24" t="n">
        <f aca="false">IF(AND(Sup_Used=1,ISNUMBER(J20)),J20,I20)</f>
        <v>0.00088</v>
      </c>
      <c r="L20" s="24" t="n">
        <f aca="false">LN(MIN(MAX(K20,0.0001),0.9999)/(1-MIN(MAX(K20,0.0001),0.9999)))</f>
        <v>-7.03470826306471</v>
      </c>
      <c r="M20" s="16" t="n">
        <f aca="false">A20*EXP(-Platt_Shift)</f>
        <v>265.5</v>
      </c>
      <c r="N20" s="26" t="n">
        <f aca="false">MIN(MAX(IFERROR(MATCH(M20,Distribution!$A$6:$A$20,1),1),1),14)</f>
        <v>14</v>
      </c>
      <c r="O20" s="24" t="n">
        <f aca="false">1/(1+EXP(-(INDEX(Distribution!$L$6:$L$20,N20)+(LN(M20)-INDEX(Distribution!$B$6:$B$20,N20))/(INDEX(Distribution!$B$6:$B$20,N20+1)-INDEX(Distribution!$B$6:$B$20,N20))*(INDEX(Distribution!$L$6:$L$20,N20+1)-INDEX(Distribution!$L$6:$L$20,N20)))))</f>
        <v>0.00088</v>
      </c>
      <c r="P20" s="24" t="n">
        <f aca="false">LN(MIN(MAX(C20,0.0001),0.9999)/(1-MIN(MAX(C20,0.0001),0.9999)))</f>
        <v>-6.6440901687816</v>
      </c>
      <c r="Q20" s="16" t="n">
        <f aca="false">IF(Analyst_Median&gt;0,A20*Market_Median/Analyst_Median,A20)</f>
        <v>246.047210400678</v>
      </c>
      <c r="R20" s="26" t="n">
        <f aca="false">MIN(MAX(IFERROR(MATCH(Q20,Distribution!$A$6:$A$20,1),1),1),14)</f>
        <v>14</v>
      </c>
      <c r="S20" s="24" t="n">
        <f aca="false">1/(1+EXP(-(INDEX(Distribution!$P$6:$P$20,R20)+(LN(Q20)-INDEX(Distribution!$B$6:$B$20,R20))/(INDEX(Distribution!$B$6:$B$20,R20+1)-INDEX(Distribution!$B$6:$B$20,R20))*(INDEX(Distribution!$P$6:$P$20,R20+1)-INDEX(Distribution!$P$6:$P$20,R20)))))</f>
        <v>0.00281151554867211</v>
      </c>
      <c r="T20" s="24" t="n">
        <f aca="false">W_Mkt*C20+W_Agents*O20</f>
        <v>0.0011614</v>
      </c>
      <c r="U20" s="27" t="n">
        <f aca="false">(1-W_Analyst)*T20+W_Analyst*S20</f>
        <v>0.0011614</v>
      </c>
      <c r="V20" s="24" t="n">
        <f aca="false">LN(MIN(MAX(U20,0.0001),0.9999)/(1-MIN(MAX(U20,0.0001),0.9999)))</f>
        <v>-6.7569670300787</v>
      </c>
      <c r="W20" s="25" t="n">
        <v>0.0008</v>
      </c>
    </row>
    <row r="22" customFormat="false" ht="15" hidden="false" customHeight="false" outlineLevel="0" collapsed="false">
      <c r="A22" s="2" t="s">
        <v>102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3"/>
    <col collapsed="false" customWidth="true" hidden="false" outlineLevel="0" max="6" min="6" style="0" width="44"/>
    <col collapsed="false" customWidth="true" hidden="false" outlineLevel="0" max="7" min="7" style="0" width="90"/>
  </cols>
  <sheetData>
    <row r="1" customFormat="false" ht="17.35" hidden="false" customHeight="false" outlineLevel="0" collapsed="false">
      <c r="A1" s="1" t="s">
        <v>103</v>
      </c>
    </row>
    <row r="2" customFormat="false" ht="15" hidden="false" customHeight="false" outlineLevel="0" collapsed="false">
      <c r="A2" s="2" t="s">
        <v>104</v>
      </c>
    </row>
    <row r="4" customFormat="false" ht="23.85" hidden="false" customHeight="false" outlineLevel="0" collapsed="false">
      <c r="A4" s="23" t="s">
        <v>105</v>
      </c>
      <c r="B4" s="23" t="s">
        <v>106</v>
      </c>
      <c r="C4" s="23" t="s">
        <v>107</v>
      </c>
      <c r="D4" s="23" t="s">
        <v>108</v>
      </c>
      <c r="E4" s="23" t="s">
        <v>109</v>
      </c>
      <c r="F4" s="23" t="s">
        <v>110</v>
      </c>
      <c r="G4" s="23" t="s">
        <v>111</v>
      </c>
    </row>
    <row r="5" customFormat="false" ht="35.05" hidden="false" customHeight="false" outlineLevel="0" collapsed="false">
      <c r="A5" s="5" t="s">
        <v>29</v>
      </c>
      <c r="B5" s="28" t="s">
        <v>112</v>
      </c>
      <c r="C5" s="6" t="n">
        <v>111.02</v>
      </c>
      <c r="D5" s="12" t="n">
        <v>0.55</v>
      </c>
      <c r="E5" s="16" t="n">
        <f aca="false">C5*D5</f>
        <v>61.061</v>
      </c>
      <c r="F5" s="28"/>
      <c r="G5" s="28" t="s">
        <v>113</v>
      </c>
    </row>
    <row r="6" customFormat="false" ht="23.85" hidden="false" customHeight="false" outlineLevel="0" collapsed="false">
      <c r="A6" s="5" t="s">
        <v>29</v>
      </c>
      <c r="B6" s="28" t="s">
        <v>114</v>
      </c>
      <c r="C6" s="6" t="n">
        <v>109.64</v>
      </c>
      <c r="D6" s="12" t="n">
        <v>0.25</v>
      </c>
      <c r="E6" s="16" t="n">
        <f aca="false">C6*D6</f>
        <v>27.41</v>
      </c>
      <c r="F6" s="28"/>
      <c r="G6" s="28" t="s">
        <v>115</v>
      </c>
    </row>
    <row r="7" customFormat="false" ht="46.25" hidden="false" customHeight="false" outlineLevel="0" collapsed="false">
      <c r="A7" s="5" t="s">
        <v>29</v>
      </c>
      <c r="B7" s="28" t="s">
        <v>116</v>
      </c>
      <c r="C7" s="6" t="n">
        <v>111.75</v>
      </c>
      <c r="D7" s="12" t="n">
        <v>0.2</v>
      </c>
      <c r="E7" s="16" t="n">
        <f aca="false">C7*D7</f>
        <v>22.35</v>
      </c>
      <c r="F7" s="28"/>
      <c r="G7" s="28" t="s">
        <v>117</v>
      </c>
    </row>
    <row r="8" customFormat="false" ht="46.25" hidden="false" customHeight="false" outlineLevel="0" collapsed="false">
      <c r="A8" s="29" t="s">
        <v>29</v>
      </c>
      <c r="B8" s="29" t="s">
        <v>118</v>
      </c>
      <c r="C8" s="30" t="n">
        <f aca="false">IF(SUM(D5:D7)&gt;0,SUMPRODUCT(C5:C7,D5:D7)/SUM(D5:D7),"")</f>
        <v>110.821</v>
      </c>
      <c r="D8" s="31" t="n">
        <f aca="false">SUM(D5:D7)</f>
        <v>1</v>
      </c>
      <c r="E8" s="32" t="n">
        <v>110.82</v>
      </c>
      <c r="F8" s="29" t="s">
        <v>119</v>
      </c>
      <c r="G8" s="33" t="s">
        <v>120</v>
      </c>
    </row>
    <row r="10" customFormat="false" ht="23.85" hidden="false" customHeight="false" outlineLevel="0" collapsed="false">
      <c r="A10" s="5" t="s">
        <v>30</v>
      </c>
      <c r="B10" s="28" t="s">
        <v>112</v>
      </c>
      <c r="C10" s="6" t="n">
        <v>109.36</v>
      </c>
      <c r="D10" s="12" t="n">
        <v>0.6</v>
      </c>
      <c r="E10" s="16" t="n">
        <f aca="false">C10*D10</f>
        <v>65.616</v>
      </c>
      <c r="F10" s="28"/>
      <c r="G10" s="28" t="s">
        <v>121</v>
      </c>
    </row>
    <row r="11" customFormat="false" ht="23.85" hidden="false" customHeight="false" outlineLevel="0" collapsed="false">
      <c r="A11" s="5" t="s">
        <v>30</v>
      </c>
      <c r="B11" s="28" t="s">
        <v>114</v>
      </c>
      <c r="C11" s="6" t="n">
        <v>107.97</v>
      </c>
      <c r="D11" s="12" t="n">
        <v>0.4</v>
      </c>
      <c r="E11" s="16" t="n">
        <f aca="false">C11*D11</f>
        <v>43.188</v>
      </c>
      <c r="F11" s="28"/>
      <c r="G11" s="28" t="s">
        <v>122</v>
      </c>
    </row>
    <row r="12" customFormat="false" ht="23.85" hidden="false" customHeight="false" outlineLevel="0" collapsed="false">
      <c r="A12" s="5" t="s">
        <v>30</v>
      </c>
      <c r="B12" s="28" t="s">
        <v>123</v>
      </c>
      <c r="C12" s="6" t="n">
        <v>114.3</v>
      </c>
      <c r="D12" s="12" t="n">
        <v>0</v>
      </c>
      <c r="E12" s="16" t="n">
        <f aca="false">C12*D12</f>
        <v>0</v>
      </c>
      <c r="F12" s="28"/>
      <c r="G12" s="28" t="s">
        <v>124</v>
      </c>
    </row>
    <row r="13" customFormat="false" ht="46.25" hidden="false" customHeight="false" outlineLevel="0" collapsed="false">
      <c r="A13" s="29" t="s">
        <v>30</v>
      </c>
      <c r="B13" s="29" t="s">
        <v>118</v>
      </c>
      <c r="C13" s="30" t="n">
        <f aca="false">IF(SUM(D10:D12)&gt;0,SUMPRODUCT(C10:C12,D10:D12)/SUM(D10:D12),"")</f>
        <v>108.804</v>
      </c>
      <c r="D13" s="31" t="n">
        <f aca="false">SUM(D10:D12)</f>
        <v>1</v>
      </c>
      <c r="E13" s="32" t="n">
        <v>108.8</v>
      </c>
      <c r="F13" s="29" t="s">
        <v>119</v>
      </c>
      <c r="G13" s="33" t="s">
        <v>125</v>
      </c>
    </row>
    <row r="15" customFormat="false" ht="23.85" hidden="false" customHeight="false" outlineLevel="0" collapsed="false">
      <c r="A15" s="5" t="s">
        <v>31</v>
      </c>
      <c r="B15" s="28" t="s">
        <v>112</v>
      </c>
      <c r="C15" s="6" t="n">
        <v>107.99</v>
      </c>
      <c r="D15" s="12" t="n">
        <v>0.6</v>
      </c>
      <c r="E15" s="16" t="n">
        <f aca="false">C15*D15</f>
        <v>64.794</v>
      </c>
      <c r="F15" s="28"/>
      <c r="G15" s="28" t="s">
        <v>126</v>
      </c>
    </row>
    <row r="16" customFormat="false" ht="46.25" hidden="false" customHeight="false" outlineLevel="0" collapsed="false">
      <c r="A16" s="5" t="s">
        <v>31</v>
      </c>
      <c r="B16" s="28" t="s">
        <v>114</v>
      </c>
      <c r="C16" s="6" t="n">
        <v>99.33</v>
      </c>
      <c r="D16" s="12" t="n">
        <v>0.4</v>
      </c>
      <c r="E16" s="16" t="n">
        <f aca="false">C16*D16</f>
        <v>39.732</v>
      </c>
      <c r="F16" s="28"/>
      <c r="G16" s="28" t="s">
        <v>127</v>
      </c>
    </row>
    <row r="17" customFormat="false" ht="23.85" hidden="false" customHeight="false" outlineLevel="0" collapsed="false">
      <c r="A17" s="5" t="s">
        <v>31</v>
      </c>
      <c r="B17" s="28" t="s">
        <v>112</v>
      </c>
      <c r="C17" s="6" t="n">
        <v>123.6</v>
      </c>
      <c r="D17" s="12" t="n">
        <v>0</v>
      </c>
      <c r="E17" s="16" t="n">
        <f aca="false">C17*D17</f>
        <v>0</v>
      </c>
      <c r="F17" s="28"/>
      <c r="G17" s="28" t="s">
        <v>128</v>
      </c>
    </row>
    <row r="18" customFormat="false" ht="68.65" hidden="false" customHeight="false" outlineLevel="0" collapsed="false">
      <c r="A18" s="29" t="s">
        <v>31</v>
      </c>
      <c r="B18" s="29" t="s">
        <v>118</v>
      </c>
      <c r="C18" s="30" t="n">
        <f aca="false">IF(SUM(D15:D17)&gt;0,SUMPRODUCT(C15:C17,D15:D17)/SUM(D15:D17),"")</f>
        <v>104.526</v>
      </c>
      <c r="D18" s="31" t="n">
        <f aca="false">SUM(D15:D17)</f>
        <v>1</v>
      </c>
      <c r="E18" s="32" t="n">
        <v>104.53</v>
      </c>
      <c r="F18" s="29" t="s">
        <v>119</v>
      </c>
      <c r="G18" s="33" t="s">
        <v>129</v>
      </c>
    </row>
    <row r="20" customFormat="false" ht="35.05" hidden="false" customHeight="false" outlineLevel="0" collapsed="false">
      <c r="A20" s="5" t="s">
        <v>32</v>
      </c>
      <c r="B20" s="28" t="s">
        <v>112</v>
      </c>
      <c r="C20" s="6" t="n">
        <v>109.25</v>
      </c>
      <c r="D20" s="12" t="n">
        <v>0.6</v>
      </c>
      <c r="E20" s="16" t="n">
        <f aca="false">C20*D20</f>
        <v>65.55</v>
      </c>
      <c r="F20" s="28"/>
      <c r="G20" s="28" t="s">
        <v>130</v>
      </c>
    </row>
    <row r="21" customFormat="false" ht="35.05" hidden="false" customHeight="false" outlineLevel="0" collapsed="false">
      <c r="A21" s="5" t="s">
        <v>32</v>
      </c>
      <c r="B21" s="28" t="s">
        <v>114</v>
      </c>
      <c r="C21" s="6" t="n">
        <v>106.02</v>
      </c>
      <c r="D21" s="12" t="n">
        <v>0.4</v>
      </c>
      <c r="E21" s="16" t="n">
        <f aca="false">C21*D21</f>
        <v>42.408</v>
      </c>
      <c r="F21" s="28"/>
      <c r="G21" s="28" t="s">
        <v>131</v>
      </c>
    </row>
    <row r="22" customFormat="false" ht="46.25" hidden="false" customHeight="false" outlineLevel="0" collapsed="false">
      <c r="A22" s="29" t="s">
        <v>32</v>
      </c>
      <c r="B22" s="29" t="s">
        <v>118</v>
      </c>
      <c r="C22" s="30" t="n">
        <f aca="false">IF(SUM(D20:D21)&gt;0,SUMPRODUCT(C20:C21,D20:D21)/SUM(D20:D21),"")</f>
        <v>107.958</v>
      </c>
      <c r="D22" s="31" t="n">
        <f aca="false">SUM(D20:D21)</f>
        <v>1</v>
      </c>
      <c r="E22" s="32" t="n">
        <v>107.96</v>
      </c>
      <c r="F22" s="29" t="s">
        <v>119</v>
      </c>
      <c r="G22" s="33" t="s">
        <v>132</v>
      </c>
    </row>
    <row r="24" customFormat="false" ht="23.85" hidden="false" customHeight="false" outlineLevel="0" collapsed="false">
      <c r="A24" s="5" t="s">
        <v>33</v>
      </c>
      <c r="B24" s="28" t="s">
        <v>112</v>
      </c>
      <c r="C24" s="6" t="n">
        <v>108.53</v>
      </c>
      <c r="D24" s="12" t="n">
        <v>0.6</v>
      </c>
      <c r="E24" s="16" t="n">
        <f aca="false">C24*D24</f>
        <v>65.118</v>
      </c>
      <c r="F24" s="28"/>
      <c r="G24" s="28" t="s">
        <v>133</v>
      </c>
    </row>
    <row r="25" customFormat="false" ht="23.85" hidden="false" customHeight="false" outlineLevel="0" collapsed="false">
      <c r="A25" s="5" t="s">
        <v>33</v>
      </c>
      <c r="B25" s="28" t="s">
        <v>114</v>
      </c>
      <c r="C25" s="6" t="n">
        <v>102.96</v>
      </c>
      <c r="D25" s="12" t="n">
        <v>0.25</v>
      </c>
      <c r="E25" s="16" t="n">
        <f aca="false">C25*D25</f>
        <v>25.74</v>
      </c>
      <c r="F25" s="28"/>
      <c r="G25" s="28" t="s">
        <v>134</v>
      </c>
    </row>
    <row r="26" customFormat="false" ht="35.05" hidden="false" customHeight="false" outlineLevel="0" collapsed="false">
      <c r="A26" s="5" t="s">
        <v>33</v>
      </c>
      <c r="B26" s="28" t="s">
        <v>116</v>
      </c>
      <c r="C26" s="6" t="n">
        <v>102.65</v>
      </c>
      <c r="D26" s="12" t="n">
        <v>0.15</v>
      </c>
      <c r="E26" s="16" t="n">
        <f aca="false">C26*D26</f>
        <v>15.3975</v>
      </c>
      <c r="F26" s="28"/>
      <c r="G26" s="28" t="s">
        <v>135</v>
      </c>
    </row>
    <row r="27" customFormat="false" ht="68.65" hidden="false" customHeight="false" outlineLevel="0" collapsed="false">
      <c r="A27" s="29" t="s">
        <v>33</v>
      </c>
      <c r="B27" s="29" t="s">
        <v>118</v>
      </c>
      <c r="C27" s="30" t="n">
        <f aca="false">IF(SUM(D24:D26)&gt;0,SUMPRODUCT(C24:C26,D24:D26)/SUM(D24:D26),"")</f>
        <v>106.2555</v>
      </c>
      <c r="D27" s="31" t="n">
        <f aca="false">SUM(D24:D26)</f>
        <v>1</v>
      </c>
      <c r="E27" s="32" t="n">
        <v>106.26</v>
      </c>
      <c r="F27" s="29" t="s">
        <v>119</v>
      </c>
      <c r="G27" s="33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7" min="5" style="0" width="50"/>
  </cols>
  <sheetData>
    <row r="1" customFormat="false" ht="17.35" hidden="false" customHeight="false" outlineLevel="0" collapsed="false">
      <c r="A1" s="1" t="s">
        <v>137</v>
      </c>
    </row>
    <row r="2" customFormat="false" ht="15" hidden="false" customHeight="false" outlineLevel="0" collapsed="false">
      <c r="A2" s="2" t="s">
        <v>138</v>
      </c>
    </row>
    <row r="4" customFormat="false" ht="23.85" hidden="false" customHeight="false" outlineLevel="0" collapsed="false">
      <c r="A4" s="23" t="s">
        <v>105</v>
      </c>
      <c r="B4" s="23" t="s">
        <v>139</v>
      </c>
      <c r="C4" s="23" t="s">
        <v>140</v>
      </c>
      <c r="D4" s="23" t="s">
        <v>141</v>
      </c>
      <c r="E4" s="23" t="s">
        <v>142</v>
      </c>
      <c r="F4" s="23" t="s">
        <v>143</v>
      </c>
      <c r="G4" s="23" t="s">
        <v>144</v>
      </c>
    </row>
    <row r="5" customFormat="false" ht="57.45" hidden="false" customHeight="false" outlineLevel="0" collapsed="false">
      <c r="A5" s="5" t="s">
        <v>29</v>
      </c>
      <c r="B5" s="6" t="n">
        <v>79.03</v>
      </c>
      <c r="C5" s="6" t="n">
        <v>110.82</v>
      </c>
      <c r="D5" s="6" t="n">
        <v>133.34</v>
      </c>
      <c r="E5" s="28" t="s">
        <v>145</v>
      </c>
      <c r="F5" s="28" t="s">
        <v>146</v>
      </c>
      <c r="G5" s="28" t="s">
        <v>147</v>
      </c>
    </row>
    <row r="6" customFormat="false" ht="68.65" hidden="false" customHeight="false" outlineLevel="0" collapsed="false">
      <c r="A6" s="5" t="s">
        <v>30</v>
      </c>
      <c r="B6" s="6" t="n">
        <v>79.6</v>
      </c>
      <c r="C6" s="6" t="n">
        <v>108.8</v>
      </c>
      <c r="D6" s="6" t="n">
        <v>133.7</v>
      </c>
      <c r="E6" s="28" t="s">
        <v>148</v>
      </c>
      <c r="F6" s="28" t="s">
        <v>149</v>
      </c>
      <c r="G6" s="28" t="s">
        <v>150</v>
      </c>
    </row>
    <row r="7" customFormat="false" ht="68.65" hidden="false" customHeight="false" outlineLevel="0" collapsed="false">
      <c r="A7" s="5" t="s">
        <v>31</v>
      </c>
      <c r="B7" s="6" t="n">
        <v>75.98</v>
      </c>
      <c r="C7" s="6" t="n">
        <v>104.53</v>
      </c>
      <c r="D7" s="6" t="n">
        <v>133.13</v>
      </c>
      <c r="E7" s="28" t="s">
        <v>151</v>
      </c>
      <c r="F7" s="28" t="s">
        <v>152</v>
      </c>
      <c r="G7" s="28" t="s">
        <v>153</v>
      </c>
    </row>
    <row r="8" customFormat="false" ht="57.45" hidden="false" customHeight="false" outlineLevel="0" collapsed="false">
      <c r="A8" s="5" t="s">
        <v>32</v>
      </c>
      <c r="B8" s="6" t="n">
        <v>78.47</v>
      </c>
      <c r="C8" s="6" t="n">
        <v>107.96</v>
      </c>
      <c r="D8" s="6" t="n">
        <v>136.61</v>
      </c>
      <c r="E8" s="28" t="s">
        <v>154</v>
      </c>
      <c r="F8" s="28" t="s">
        <v>155</v>
      </c>
      <c r="G8" s="28" t="s">
        <v>156</v>
      </c>
    </row>
    <row r="9" customFormat="false" ht="68.65" hidden="false" customHeight="false" outlineLevel="0" collapsed="false">
      <c r="A9" s="5" t="s">
        <v>33</v>
      </c>
      <c r="B9" s="6" t="n">
        <v>77.01</v>
      </c>
      <c r="C9" s="6" t="n">
        <v>106.26</v>
      </c>
      <c r="D9" s="6" t="n">
        <v>134.34</v>
      </c>
      <c r="E9" s="28" t="s">
        <v>157</v>
      </c>
      <c r="F9" s="28" t="s">
        <v>158</v>
      </c>
      <c r="G9" s="28" t="s">
        <v>159</v>
      </c>
    </row>
    <row r="10" customFormat="false" ht="15" hidden="false" customHeight="false" outlineLevel="0" collapsed="false">
      <c r="A10" s="14" t="s">
        <v>160</v>
      </c>
      <c r="B10" s="15" t="n">
        <f aca="false">AVERAGE(B5:B9)</f>
        <v>78.018</v>
      </c>
      <c r="C10" s="15" t="n">
        <f aca="false">AVERAGE(C5:C9)</f>
        <v>107.674</v>
      </c>
      <c r="D10" s="15" t="n">
        <f aca="false">AVERAGE(D5:D9)</f>
        <v>134.224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2"/>
    <col collapsed="false" customWidth="true" hidden="false" outlineLevel="0" max="5" min="5" style="0" width="90"/>
    <col collapsed="false" customWidth="true" hidden="false" outlineLevel="0" max="6" min="6" style="0" width="50"/>
    <col collapsed="false" customWidth="true" hidden="false" outlineLevel="0" max="7" min="7" style="0" width="60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35.05" hidden="false" customHeight="false" outlineLevel="0" collapsed="false">
      <c r="A4" s="23" t="s">
        <v>105</v>
      </c>
      <c r="B4" s="23" t="s">
        <v>163</v>
      </c>
      <c r="C4" s="23" t="s">
        <v>164</v>
      </c>
      <c r="D4" s="23" t="s">
        <v>165</v>
      </c>
      <c r="E4" s="23" t="s">
        <v>66</v>
      </c>
      <c r="F4" s="23" t="s">
        <v>166</v>
      </c>
      <c r="G4" s="23" t="s">
        <v>167</v>
      </c>
      <c r="H4" s="23" t="s">
        <v>168</v>
      </c>
    </row>
    <row r="5" customFormat="false" ht="415.65" hidden="false" customHeight="false" outlineLevel="0" collapsed="false">
      <c r="A5" s="5" t="s">
        <v>29</v>
      </c>
      <c r="B5" s="6"/>
      <c r="C5" s="6" t="n">
        <v>110.82</v>
      </c>
      <c r="D5" s="6" t="n">
        <v>78</v>
      </c>
      <c r="E5" s="28" t="s">
        <v>169</v>
      </c>
      <c r="F5" s="28" t="s">
        <v>170</v>
      </c>
      <c r="G5" s="28" t="s">
        <v>171</v>
      </c>
      <c r="H5" s="28" t="s">
        <v>172</v>
      </c>
    </row>
    <row r="6" customFormat="false" ht="393.25" hidden="false" customHeight="false" outlineLevel="0" collapsed="false">
      <c r="A6" s="5" t="s">
        <v>30</v>
      </c>
      <c r="B6" s="6"/>
      <c r="C6" s="6" t="n">
        <v>108.8</v>
      </c>
      <c r="D6" s="6" t="n">
        <v>79</v>
      </c>
      <c r="E6" s="28" t="s">
        <v>173</v>
      </c>
      <c r="F6" s="28" t="s">
        <v>174</v>
      </c>
      <c r="G6" s="28" t="s">
        <v>175</v>
      </c>
      <c r="H6" s="28" t="s">
        <v>176</v>
      </c>
    </row>
    <row r="7" customFormat="false" ht="359.7" hidden="false" customHeight="false" outlineLevel="0" collapsed="false">
      <c r="A7" s="5" t="s">
        <v>31</v>
      </c>
      <c r="B7" s="6"/>
      <c r="C7" s="6" t="n">
        <v>104.53</v>
      </c>
      <c r="D7" s="6" t="n">
        <v>78</v>
      </c>
      <c r="E7" s="28" t="s">
        <v>177</v>
      </c>
      <c r="F7" s="28" t="s">
        <v>178</v>
      </c>
      <c r="G7" s="28" t="s">
        <v>179</v>
      </c>
      <c r="H7" s="28" t="s">
        <v>180</v>
      </c>
    </row>
    <row r="8" customFormat="false" ht="415.65" hidden="false" customHeight="false" outlineLevel="0" collapsed="false">
      <c r="A8" s="5" t="s">
        <v>32</v>
      </c>
      <c r="B8" s="6"/>
      <c r="C8" s="6" t="n">
        <v>107.96</v>
      </c>
      <c r="D8" s="6" t="n">
        <v>77</v>
      </c>
      <c r="E8" s="28" t="s">
        <v>181</v>
      </c>
      <c r="F8" s="28" t="s">
        <v>182</v>
      </c>
      <c r="G8" s="28" t="s">
        <v>183</v>
      </c>
      <c r="H8" s="28" t="s">
        <v>184</v>
      </c>
    </row>
    <row r="9" customFormat="false" ht="494" hidden="false" customHeight="false" outlineLevel="0" collapsed="false">
      <c r="A9" s="5" t="s">
        <v>33</v>
      </c>
      <c r="B9" s="6"/>
      <c r="C9" s="6" t="n">
        <v>106.26</v>
      </c>
      <c r="D9" s="6" t="n">
        <v>78</v>
      </c>
      <c r="E9" s="28" t="s">
        <v>185</v>
      </c>
      <c r="F9" s="28" t="s">
        <v>186</v>
      </c>
      <c r="G9" s="28" t="s">
        <v>187</v>
      </c>
      <c r="H9" s="28" t="s"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6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</row>
    <row r="4" customFormat="false" ht="68.65" hidden="false" customHeight="true" outlineLevel="0" collapsed="false">
      <c r="A4" s="14" t="s">
        <v>191</v>
      </c>
      <c r="B4" s="34" t="s">
        <v>192</v>
      </c>
      <c r="C4" s="34"/>
      <c r="D4" s="34"/>
    </row>
    <row r="5" customFormat="false" ht="57.45" hidden="false" customHeight="true" outlineLevel="0" collapsed="false">
      <c r="A5" s="14" t="s">
        <v>193</v>
      </c>
      <c r="B5" s="34" t="s">
        <v>37</v>
      </c>
      <c r="C5" s="34"/>
      <c r="D5" s="34"/>
    </row>
    <row r="6" customFormat="false" ht="68.65" hidden="false" customHeight="true" outlineLevel="0" collapsed="false">
      <c r="A6" s="14" t="s">
        <v>194</v>
      </c>
      <c r="B6" s="34" t="s">
        <v>195</v>
      </c>
      <c r="C6" s="34"/>
      <c r="D6" s="34"/>
    </row>
    <row r="8" customFormat="false" ht="15" hidden="false" customHeight="false" outlineLevel="0" collapsed="false">
      <c r="A8" s="35" t="s">
        <v>196</v>
      </c>
    </row>
    <row r="9" customFormat="false" ht="15" hidden="false" customHeight="false" outlineLevel="0" collapsed="false">
      <c r="A9" s="36" t="s">
        <v>197</v>
      </c>
      <c r="B9" s="36" t="s">
        <v>198</v>
      </c>
      <c r="C9" s="36" t="s">
        <v>199</v>
      </c>
      <c r="D9" s="36" t="s">
        <v>200</v>
      </c>
    </row>
    <row r="10" customFormat="false" ht="147" hidden="false" customHeight="false" outlineLevel="0" collapsed="false">
      <c r="A10" s="28" t="s">
        <v>201</v>
      </c>
      <c r="B10" s="28" t="s">
        <v>202</v>
      </c>
      <c r="C10" s="28" t="s">
        <v>203</v>
      </c>
      <c r="D10" s="28" t="s">
        <v>204</v>
      </c>
    </row>
    <row r="11" customFormat="false" ht="102.2" hidden="false" customHeight="false" outlineLevel="0" collapsed="false">
      <c r="A11" s="28" t="s">
        <v>205</v>
      </c>
      <c r="B11" s="28" t="s">
        <v>206</v>
      </c>
      <c r="C11" s="28" t="s">
        <v>207</v>
      </c>
      <c r="D11" s="28" t="s">
        <v>208</v>
      </c>
    </row>
    <row r="12" customFormat="false" ht="57.45" hidden="false" customHeight="false" outlineLevel="0" collapsed="false">
      <c r="A12" s="28" t="s">
        <v>209</v>
      </c>
      <c r="B12" s="28" t="s">
        <v>210</v>
      </c>
      <c r="C12" s="28" t="s">
        <v>211</v>
      </c>
      <c r="D12" s="28" t="s">
        <v>212</v>
      </c>
    </row>
    <row r="13" customFormat="false" ht="113.4" hidden="false" customHeight="false" outlineLevel="0" collapsed="false">
      <c r="A13" s="28" t="s">
        <v>213</v>
      </c>
      <c r="B13" s="28" t="s">
        <v>214</v>
      </c>
      <c r="C13" s="28" t="s">
        <v>215</v>
      </c>
      <c r="D13" s="28" t="s">
        <v>216</v>
      </c>
    </row>
    <row r="14" customFormat="false" ht="79.85" hidden="false" customHeight="false" outlineLevel="0" collapsed="false">
      <c r="A14" s="28" t="s">
        <v>217</v>
      </c>
      <c r="B14" s="28" t="s">
        <v>218</v>
      </c>
      <c r="C14" s="28" t="s">
        <v>219</v>
      </c>
      <c r="D14" s="28" t="s">
        <v>220</v>
      </c>
    </row>
    <row r="15" customFormat="false" ht="46.25" hidden="false" customHeight="false" outlineLevel="0" collapsed="false">
      <c r="A15" s="28" t="s">
        <v>221</v>
      </c>
      <c r="B15" s="28" t="s">
        <v>222</v>
      </c>
      <c r="C15" s="28" t="s">
        <v>223</v>
      </c>
      <c r="D15" s="28" t="s">
        <v>224</v>
      </c>
    </row>
    <row r="16" customFormat="false" ht="46.25" hidden="false" customHeight="false" outlineLevel="0" collapsed="false">
      <c r="A16" s="28" t="s">
        <v>225</v>
      </c>
      <c r="B16" s="28" t="s">
        <v>226</v>
      </c>
      <c r="C16" s="28" t="s">
        <v>227</v>
      </c>
      <c r="D16" s="28" t="s">
        <v>228</v>
      </c>
    </row>
    <row r="18" customFormat="false" ht="15" hidden="false" customHeight="false" outlineLevel="0" collapsed="false">
      <c r="A18" s="35" t="s">
        <v>229</v>
      </c>
    </row>
    <row r="19" customFormat="false" ht="15" hidden="false" customHeight="false" outlineLevel="0" collapsed="false">
      <c r="A19" s="36" t="s">
        <v>230</v>
      </c>
      <c r="B19" s="36" t="s">
        <v>231</v>
      </c>
      <c r="C19" s="36" t="s">
        <v>232</v>
      </c>
      <c r="D19" s="36" t="s">
        <v>233</v>
      </c>
    </row>
    <row r="20" customFormat="false" ht="35.05" hidden="false" customHeight="false" outlineLevel="0" collapsed="false">
      <c r="A20" s="28" t="s">
        <v>234</v>
      </c>
      <c r="B20" s="28" t="s">
        <v>235</v>
      </c>
      <c r="C20" s="28" t="s">
        <v>236</v>
      </c>
      <c r="D20" s="28" t="s">
        <v>237</v>
      </c>
    </row>
    <row r="21" customFormat="false" ht="46.25" hidden="false" customHeight="false" outlineLevel="0" collapsed="false">
      <c r="A21" s="28" t="s">
        <v>238</v>
      </c>
      <c r="B21" s="28" t="s">
        <v>239</v>
      </c>
      <c r="C21" s="28" t="s">
        <v>240</v>
      </c>
      <c r="D21" s="28" t="s">
        <v>241</v>
      </c>
    </row>
    <row r="22" customFormat="false" ht="57.45" hidden="false" customHeight="false" outlineLevel="0" collapsed="false">
      <c r="A22" s="28" t="s">
        <v>242</v>
      </c>
      <c r="B22" s="28" t="s">
        <v>243</v>
      </c>
      <c r="C22" s="28" t="s">
        <v>244</v>
      </c>
      <c r="D22" s="28" t="s">
        <v>245</v>
      </c>
    </row>
    <row r="23" customFormat="false" ht="46.25" hidden="false" customHeight="false" outlineLevel="0" collapsed="false">
      <c r="A23" s="28" t="s">
        <v>246</v>
      </c>
      <c r="B23" s="28" t="s">
        <v>247</v>
      </c>
      <c r="C23" s="28" t="s">
        <v>239</v>
      </c>
      <c r="D23" s="28" t="s">
        <v>248</v>
      </c>
    </row>
    <row r="24" customFormat="false" ht="46.25" hidden="false" customHeight="false" outlineLevel="0" collapsed="false">
      <c r="A24" s="28" t="s">
        <v>249</v>
      </c>
      <c r="B24" s="28" t="s">
        <v>250</v>
      </c>
      <c r="C24" s="28" t="s">
        <v>251</v>
      </c>
      <c r="D24" s="28" t="s">
        <v>252</v>
      </c>
    </row>
    <row r="25" customFormat="false" ht="23.85" hidden="false" customHeight="false" outlineLevel="0" collapsed="false">
      <c r="A25" s="28" t="s">
        <v>253</v>
      </c>
      <c r="B25" s="28" t="s">
        <v>254</v>
      </c>
      <c r="C25" s="28" t="s">
        <v>255</v>
      </c>
      <c r="D25" s="28" t="s">
        <v>256</v>
      </c>
    </row>
    <row r="26" customFormat="false" ht="35.05" hidden="false" customHeight="false" outlineLevel="0" collapsed="false">
      <c r="A26" s="28" t="s">
        <v>257</v>
      </c>
      <c r="B26" s="28" t="s">
        <v>258</v>
      </c>
      <c r="C26" s="28" t="s">
        <v>259</v>
      </c>
      <c r="D26" s="28" t="s">
        <v>260</v>
      </c>
    </row>
    <row r="27" customFormat="false" ht="35.05" hidden="false" customHeight="false" outlineLevel="0" collapsed="false">
      <c r="A27" s="28" t="s">
        <v>261</v>
      </c>
      <c r="B27" s="28" t="s">
        <v>262</v>
      </c>
      <c r="C27" s="28" t="s">
        <v>263</v>
      </c>
      <c r="D27" s="28" t="s">
        <v>264</v>
      </c>
    </row>
    <row r="29" customFormat="false" ht="15" hidden="false" customHeight="false" outlineLevel="0" collapsed="false">
      <c r="A29" s="35" t="s">
        <v>265</v>
      </c>
    </row>
    <row r="30" customFormat="false" ht="23.85" hidden="false" customHeight="true" outlineLevel="0" collapsed="false">
      <c r="B30" s="34" t="s">
        <v>266</v>
      </c>
      <c r="C30" s="34"/>
      <c r="D30" s="34"/>
    </row>
    <row r="31" customFormat="false" ht="23.85" hidden="false" customHeight="true" outlineLevel="0" collapsed="false">
      <c r="B31" s="34" t="s">
        <v>267</v>
      </c>
      <c r="C31" s="34"/>
      <c r="D31" s="34"/>
    </row>
    <row r="32" customFormat="false" ht="23.85" hidden="false" customHeight="true" outlineLevel="0" collapsed="false">
      <c r="B32" s="34" t="s">
        <v>268</v>
      </c>
      <c r="C32" s="34"/>
      <c r="D32" s="34"/>
    </row>
    <row r="33" customFormat="false" ht="23.85" hidden="false" customHeight="true" outlineLevel="0" collapsed="false">
      <c r="B33" s="34" t="s">
        <v>269</v>
      </c>
      <c r="C33" s="34"/>
      <c r="D33" s="34"/>
    </row>
    <row r="34" customFormat="false" ht="23.85" hidden="false" customHeight="true" outlineLevel="0" collapsed="false">
      <c r="B34" s="34" t="s">
        <v>270</v>
      </c>
      <c r="C34" s="34"/>
      <c r="D34" s="34"/>
    </row>
    <row r="35" customFormat="false" ht="23.85" hidden="false" customHeight="true" outlineLevel="0" collapsed="false">
      <c r="B35" s="34" t="s">
        <v>271</v>
      </c>
      <c r="C35" s="34"/>
      <c r="D35" s="34"/>
    </row>
    <row r="36" customFormat="false" ht="23.85" hidden="false" customHeight="true" outlineLevel="0" collapsed="false">
      <c r="B36" s="34" t="s">
        <v>272</v>
      </c>
      <c r="C36" s="34"/>
      <c r="D36" s="34"/>
    </row>
    <row r="37" customFormat="false" ht="23.85" hidden="false" customHeight="true" outlineLevel="0" collapsed="false">
      <c r="B37" s="34" t="s">
        <v>273</v>
      </c>
      <c r="C37" s="34"/>
      <c r="D37" s="34"/>
    </row>
    <row r="38" customFormat="false" ht="15" hidden="false" customHeight="true" outlineLevel="0" collapsed="false">
      <c r="B38" s="34" t="s">
        <v>274</v>
      </c>
      <c r="C38" s="34"/>
      <c r="D38" s="34"/>
    </row>
    <row r="39" customFormat="false" ht="35.05" hidden="false" customHeight="true" outlineLevel="0" collapsed="false">
      <c r="B39" s="34" t="s">
        <v>275</v>
      </c>
      <c r="C39" s="34"/>
      <c r="D39" s="34"/>
    </row>
    <row r="40" customFormat="false" ht="23.85" hidden="false" customHeight="true" outlineLevel="0" collapsed="false">
      <c r="B40" s="34" t="s">
        <v>276</v>
      </c>
      <c r="C40" s="34"/>
      <c r="D40" s="34"/>
    </row>
    <row r="41" customFormat="false" ht="23.85" hidden="false" customHeight="true" outlineLevel="0" collapsed="false">
      <c r="B41" s="34" t="s">
        <v>277</v>
      </c>
      <c r="C41" s="34"/>
      <c r="D41" s="34"/>
    </row>
    <row r="42" customFormat="false" ht="23.85" hidden="false" customHeight="true" outlineLevel="0" collapsed="false">
      <c r="B42" s="34" t="s">
        <v>278</v>
      </c>
      <c r="C42" s="34"/>
      <c r="D42" s="34"/>
    </row>
    <row r="43" customFormat="false" ht="23.85" hidden="false" customHeight="true" outlineLevel="0" collapsed="false">
      <c r="B43" s="34" t="s">
        <v>279</v>
      </c>
      <c r="C43" s="34"/>
      <c r="D43" s="34"/>
    </row>
    <row r="44" customFormat="false" ht="23.85" hidden="false" customHeight="true" outlineLevel="0" collapsed="false">
      <c r="B44" s="34" t="s">
        <v>280</v>
      </c>
      <c r="C44" s="34"/>
      <c r="D44" s="34"/>
    </row>
    <row r="45" customFormat="false" ht="15" hidden="false" customHeight="true" outlineLevel="0" collapsed="false">
      <c r="B45" s="34" t="s">
        <v>281</v>
      </c>
      <c r="C45" s="34"/>
      <c r="D45" s="34"/>
    </row>
    <row r="46" customFormat="false" ht="15" hidden="false" customHeight="true" outlineLevel="0" collapsed="false">
      <c r="B46" s="34" t="s">
        <v>282</v>
      </c>
      <c r="C46" s="34"/>
      <c r="D46" s="34"/>
    </row>
    <row r="47" customFormat="false" ht="15" hidden="false" customHeight="true" outlineLevel="0" collapsed="false">
      <c r="B47" s="34" t="s">
        <v>283</v>
      </c>
      <c r="C47" s="34"/>
      <c r="D47" s="34"/>
    </row>
    <row r="48" customFormat="false" ht="15" hidden="false" customHeight="true" outlineLevel="0" collapsed="false">
      <c r="B48" s="34" t="s">
        <v>284</v>
      </c>
      <c r="C48" s="34"/>
      <c r="D48" s="34"/>
    </row>
    <row r="49" customFormat="false" ht="15" hidden="false" customHeight="true" outlineLevel="0" collapsed="false">
      <c r="B49" s="34" t="s">
        <v>285</v>
      </c>
      <c r="C49" s="34"/>
      <c r="D49" s="34"/>
    </row>
    <row r="50" customFormat="false" ht="15" hidden="false" customHeight="true" outlineLevel="0" collapsed="false">
      <c r="B50" s="34" t="s">
        <v>286</v>
      </c>
      <c r="C50" s="34"/>
      <c r="D50" s="34"/>
    </row>
    <row r="51" customFormat="false" ht="15" hidden="false" customHeight="true" outlineLevel="0" collapsed="false">
      <c r="B51" s="34" t="s">
        <v>287</v>
      </c>
      <c r="C51" s="34"/>
      <c r="D51" s="34"/>
    </row>
    <row r="52" customFormat="false" ht="15" hidden="false" customHeight="true" outlineLevel="0" collapsed="false">
      <c r="B52" s="34" t="s">
        <v>288</v>
      </c>
      <c r="C52" s="34"/>
      <c r="D52" s="34"/>
    </row>
    <row r="53" customFormat="false" ht="15" hidden="false" customHeight="true" outlineLevel="0" collapsed="false">
      <c r="B53" s="34" t="s">
        <v>289</v>
      </c>
      <c r="C53" s="34"/>
      <c r="D53" s="34"/>
    </row>
    <row r="54" customFormat="false" ht="15" hidden="false" customHeight="true" outlineLevel="0" collapsed="false">
      <c r="B54" s="34" t="s">
        <v>290</v>
      </c>
      <c r="C54" s="34"/>
      <c r="D54" s="34"/>
    </row>
    <row r="55" customFormat="false" ht="15" hidden="false" customHeight="true" outlineLevel="0" collapsed="false">
      <c r="B55" s="34" t="s">
        <v>291</v>
      </c>
      <c r="C55" s="34"/>
      <c r="D55" s="34"/>
    </row>
    <row r="56" customFormat="false" ht="15" hidden="false" customHeight="true" outlineLevel="0" collapsed="false">
      <c r="B56" s="34" t="s">
        <v>292</v>
      </c>
      <c r="C56" s="34"/>
      <c r="D56" s="34"/>
    </row>
    <row r="57" customFormat="false" ht="15" hidden="false" customHeight="true" outlineLevel="0" collapsed="false">
      <c r="B57" s="34" t="s">
        <v>293</v>
      </c>
      <c r="C57" s="34"/>
      <c r="D57" s="34"/>
    </row>
    <row r="58" customFormat="false" ht="15" hidden="false" customHeight="true" outlineLevel="0" collapsed="false">
      <c r="B58" s="34" t="s">
        <v>294</v>
      </c>
      <c r="C58" s="34"/>
      <c r="D58" s="34"/>
    </row>
    <row r="59" customFormat="false" ht="15" hidden="false" customHeight="true" outlineLevel="0" collapsed="false">
      <c r="B59" s="34" t="s">
        <v>295</v>
      </c>
      <c r="C59" s="34"/>
      <c r="D59" s="34"/>
    </row>
    <row r="60" customFormat="false" ht="15" hidden="false" customHeight="true" outlineLevel="0" collapsed="false">
      <c r="B60" s="34" t="s">
        <v>296</v>
      </c>
      <c r="C60" s="34"/>
      <c r="D60" s="34"/>
    </row>
    <row r="61" customFormat="false" ht="15" hidden="false" customHeight="true" outlineLevel="0" collapsed="false">
      <c r="B61" s="34" t="s">
        <v>297</v>
      </c>
      <c r="C61" s="34"/>
      <c r="D61" s="34"/>
    </row>
    <row r="62" customFormat="false" ht="15" hidden="false" customHeight="true" outlineLevel="0" collapsed="false">
      <c r="B62" s="34" t="s">
        <v>298</v>
      </c>
      <c r="C62" s="34"/>
      <c r="D62" s="34"/>
    </row>
    <row r="63" customFormat="false" ht="15" hidden="false" customHeight="true" outlineLevel="0" collapsed="false">
      <c r="B63" s="34" t="s">
        <v>299</v>
      </c>
      <c r="C63" s="34"/>
      <c r="D63" s="34"/>
    </row>
    <row r="64" customFormat="false" ht="23.85" hidden="false" customHeight="true" outlineLevel="0" collapsed="false">
      <c r="B64" s="34" t="s">
        <v>300</v>
      </c>
      <c r="C64" s="34"/>
      <c r="D64" s="34"/>
    </row>
    <row r="65" customFormat="false" ht="23.85" hidden="false" customHeight="true" outlineLevel="0" collapsed="false">
      <c r="B65" s="34" t="s">
        <v>301</v>
      </c>
      <c r="C65" s="34"/>
      <c r="D65" s="34"/>
    </row>
    <row r="66" customFormat="false" ht="23.85" hidden="false" customHeight="true" outlineLevel="0" collapsed="false">
      <c r="B66" s="34" t="s">
        <v>302</v>
      </c>
      <c r="C66" s="34"/>
      <c r="D66" s="34"/>
    </row>
    <row r="67" customFormat="false" ht="23.85" hidden="false" customHeight="true" outlineLevel="0" collapsed="false">
      <c r="B67" s="34" t="s">
        <v>303</v>
      </c>
      <c r="C67" s="34"/>
      <c r="D67" s="34"/>
    </row>
    <row r="68" customFormat="false" ht="23.85" hidden="false" customHeight="true" outlineLevel="0" collapsed="false">
      <c r="B68" s="34" t="s">
        <v>304</v>
      </c>
      <c r="C68" s="34"/>
      <c r="D68" s="34"/>
    </row>
    <row r="69" customFormat="false" ht="23.85" hidden="false" customHeight="true" outlineLevel="0" collapsed="false">
      <c r="B69" s="34" t="s">
        <v>305</v>
      </c>
      <c r="C69" s="34"/>
      <c r="D69" s="34"/>
    </row>
    <row r="70" customFormat="false" ht="15" hidden="false" customHeight="true" outlineLevel="0" collapsed="false">
      <c r="B70" s="34" t="s">
        <v>306</v>
      </c>
      <c r="C70" s="34"/>
      <c r="D70" s="34"/>
    </row>
    <row r="71" customFormat="false" ht="15" hidden="false" customHeight="true" outlineLevel="0" collapsed="false">
      <c r="B71" s="34" t="s">
        <v>307</v>
      </c>
      <c r="C71" s="34"/>
      <c r="D71" s="34"/>
    </row>
    <row r="72" customFormat="false" ht="15" hidden="false" customHeight="true" outlineLevel="0" collapsed="false">
      <c r="B72" s="34" t="s">
        <v>308</v>
      </c>
      <c r="C72" s="34"/>
      <c r="D72" s="34"/>
    </row>
    <row r="73" customFormat="false" ht="15" hidden="false" customHeight="true" outlineLevel="0" collapsed="false">
      <c r="B73" s="34" t="s">
        <v>309</v>
      </c>
      <c r="C73" s="34"/>
      <c r="D73" s="34"/>
    </row>
    <row r="74" customFormat="false" ht="15" hidden="false" customHeight="true" outlineLevel="0" collapsed="false">
      <c r="B74" s="34" t="s">
        <v>310</v>
      </c>
      <c r="C74" s="34"/>
      <c r="D74" s="34"/>
    </row>
    <row r="75" customFormat="false" ht="15" hidden="false" customHeight="true" outlineLevel="0" collapsed="false">
      <c r="B75" s="34" t="s">
        <v>311</v>
      </c>
      <c r="C75" s="34"/>
      <c r="D75" s="34"/>
    </row>
    <row r="76" customFormat="false" ht="15" hidden="false" customHeight="true" outlineLevel="0" collapsed="false">
      <c r="B76" s="34" t="s">
        <v>312</v>
      </c>
      <c r="C76" s="34"/>
      <c r="D76" s="34"/>
    </row>
    <row r="77" customFormat="false" ht="23.85" hidden="false" customHeight="true" outlineLevel="0" collapsed="false">
      <c r="B77" s="34" t="s">
        <v>313</v>
      </c>
      <c r="C77" s="34"/>
      <c r="D77" s="34"/>
    </row>
    <row r="78" customFormat="false" ht="23.85" hidden="false" customHeight="true" outlineLevel="0" collapsed="false">
      <c r="B78" s="34" t="s">
        <v>314</v>
      </c>
      <c r="C78" s="34"/>
      <c r="D78" s="34"/>
    </row>
    <row r="79" customFormat="false" ht="23.85" hidden="false" customHeight="true" outlineLevel="0" collapsed="false">
      <c r="B79" s="34" t="s">
        <v>315</v>
      </c>
      <c r="C79" s="34"/>
      <c r="D79" s="34"/>
    </row>
    <row r="80" customFormat="false" ht="15" hidden="false" customHeight="true" outlineLevel="0" collapsed="false">
      <c r="B80" s="34" t="s">
        <v>316</v>
      </c>
      <c r="C80" s="34"/>
      <c r="D80" s="34"/>
    </row>
    <row r="81" customFormat="false" ht="15" hidden="false" customHeight="true" outlineLevel="0" collapsed="false">
      <c r="B81" s="34" t="s">
        <v>317</v>
      </c>
      <c r="C81" s="34"/>
      <c r="D81" s="34"/>
    </row>
    <row r="82" customFormat="false" ht="23.85" hidden="false" customHeight="true" outlineLevel="0" collapsed="false">
      <c r="B82" s="34" t="s">
        <v>318</v>
      </c>
      <c r="C82" s="34"/>
      <c r="D82" s="34"/>
    </row>
    <row r="83" customFormat="false" ht="23.85" hidden="false" customHeight="true" outlineLevel="0" collapsed="false">
      <c r="B83" s="34" t="s">
        <v>319</v>
      </c>
      <c r="C83" s="34"/>
      <c r="D83" s="34"/>
    </row>
    <row r="84" customFormat="false" ht="23.85" hidden="false" customHeight="true" outlineLevel="0" collapsed="false">
      <c r="B84" s="34" t="s">
        <v>320</v>
      </c>
      <c r="C84" s="34"/>
      <c r="D84" s="34"/>
    </row>
    <row r="85" customFormat="false" ht="23.85" hidden="false" customHeight="true" outlineLevel="0" collapsed="false">
      <c r="B85" s="34" t="s">
        <v>321</v>
      </c>
      <c r="C85" s="34"/>
      <c r="D85" s="34"/>
    </row>
    <row r="86" customFormat="false" ht="15" hidden="false" customHeight="true" outlineLevel="0" collapsed="false">
      <c r="B86" s="34" t="s">
        <v>322</v>
      </c>
      <c r="C86" s="34"/>
      <c r="D86" s="34"/>
    </row>
    <row r="87" customFormat="false" ht="15" hidden="false" customHeight="true" outlineLevel="0" collapsed="false">
      <c r="B87" s="34" t="s">
        <v>323</v>
      </c>
      <c r="C87" s="34"/>
      <c r="D87" s="34"/>
    </row>
    <row r="88" customFormat="false" ht="23.85" hidden="false" customHeight="true" outlineLevel="0" collapsed="false">
      <c r="B88" s="34" t="s">
        <v>324</v>
      </c>
      <c r="C88" s="34"/>
      <c r="D88" s="34"/>
    </row>
    <row r="89" customFormat="false" ht="23.85" hidden="false" customHeight="true" outlineLevel="0" collapsed="false">
      <c r="B89" s="34" t="s">
        <v>325</v>
      </c>
      <c r="C89" s="34"/>
      <c r="D89" s="34"/>
    </row>
    <row r="90" customFormat="false" ht="15" hidden="false" customHeight="true" outlineLevel="0" collapsed="false">
      <c r="B90" s="34" t="s">
        <v>326</v>
      </c>
      <c r="C90" s="34"/>
      <c r="D90" s="34"/>
    </row>
    <row r="91" customFormat="false" ht="15" hidden="false" customHeight="true" outlineLevel="0" collapsed="false">
      <c r="B91" s="34" t="s">
        <v>327</v>
      </c>
      <c r="C91" s="34"/>
      <c r="D91" s="34"/>
    </row>
    <row r="92" customFormat="false" ht="23.85" hidden="false" customHeight="true" outlineLevel="0" collapsed="false">
      <c r="B92" s="34" t="s">
        <v>328</v>
      </c>
      <c r="C92" s="34"/>
      <c r="D92" s="34"/>
    </row>
    <row r="94" customFormat="false" ht="15" hidden="false" customHeight="false" outlineLevel="0" collapsed="false">
      <c r="A94" s="35" t="s">
        <v>329</v>
      </c>
    </row>
    <row r="95" customFormat="false" ht="15" hidden="false" customHeight="false" outlineLevel="0" collapsed="false">
      <c r="A95" s="5" t="s">
        <v>330</v>
      </c>
      <c r="B95" s="28" t="s">
        <v>331</v>
      </c>
    </row>
    <row r="96" customFormat="false" ht="46.25" hidden="false" customHeight="false" outlineLevel="0" collapsed="false">
      <c r="A96" s="5" t="s">
        <v>332</v>
      </c>
      <c r="B96" s="28" t="s">
        <v>333</v>
      </c>
    </row>
  </sheetData>
  <mergeCells count="66">
    <mergeCell ref="B4:D4"/>
    <mergeCell ref="B5:D5"/>
    <mergeCell ref="B6:D6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70"/>
    <col collapsed="false" customWidth="true" hidden="false" outlineLevel="0" max="4" min="4" style="0" width="12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334</v>
      </c>
    </row>
    <row r="2" customFormat="false" ht="15" hidden="false" customHeight="false" outlineLevel="0" collapsed="false">
      <c r="A2" s="2" t="s">
        <v>335</v>
      </c>
    </row>
    <row r="4" customFormat="false" ht="15" hidden="false" customHeight="false" outlineLevel="0" collapsed="false">
      <c r="A4" s="23" t="s">
        <v>74</v>
      </c>
      <c r="B4" s="23" t="s">
        <v>336</v>
      </c>
      <c r="C4" s="23" t="s">
        <v>337</v>
      </c>
      <c r="D4" s="23" t="s">
        <v>338</v>
      </c>
      <c r="E4" s="23" t="s">
        <v>339</v>
      </c>
    </row>
    <row r="5" customFormat="false" ht="15" hidden="false" customHeight="false" outlineLevel="0" collapsed="false">
      <c r="A5" s="5" t="s">
        <v>340</v>
      </c>
      <c r="B5" s="5" t="s">
        <v>341</v>
      </c>
      <c r="C5" s="28" t="s">
        <v>342</v>
      </c>
      <c r="D5" s="5" t="s">
        <v>343</v>
      </c>
      <c r="E5" s="22" t="s">
        <v>344</v>
      </c>
    </row>
    <row r="6" customFormat="false" ht="15" hidden="false" customHeight="false" outlineLevel="0" collapsed="false">
      <c r="A6" s="5" t="s">
        <v>345</v>
      </c>
      <c r="B6" s="5" t="s">
        <v>341</v>
      </c>
      <c r="C6" s="28" t="s">
        <v>346</v>
      </c>
      <c r="D6" s="5" t="s">
        <v>343</v>
      </c>
      <c r="E6" s="22" t="s">
        <v>347</v>
      </c>
    </row>
    <row r="7" customFormat="false" ht="23.85" hidden="false" customHeight="false" outlineLevel="0" collapsed="false">
      <c r="A7" s="5" t="s">
        <v>348</v>
      </c>
      <c r="B7" s="5" t="s">
        <v>341</v>
      </c>
      <c r="C7" s="28" t="s">
        <v>349</v>
      </c>
      <c r="D7" s="5" t="s">
        <v>350</v>
      </c>
      <c r="E7" s="22" t="s">
        <v>351</v>
      </c>
    </row>
    <row r="8" customFormat="false" ht="15" hidden="false" customHeight="false" outlineLevel="0" collapsed="false">
      <c r="A8" s="5" t="s">
        <v>352</v>
      </c>
      <c r="B8" s="5" t="s">
        <v>341</v>
      </c>
      <c r="C8" s="28" t="s">
        <v>353</v>
      </c>
      <c r="D8" s="5" t="s">
        <v>354</v>
      </c>
      <c r="E8" s="22" t="s">
        <v>355</v>
      </c>
    </row>
    <row r="9" customFormat="false" ht="15" hidden="false" customHeight="false" outlineLevel="0" collapsed="false">
      <c r="A9" s="5" t="s">
        <v>356</v>
      </c>
      <c r="B9" s="5" t="s">
        <v>341</v>
      </c>
      <c r="C9" s="28" t="s">
        <v>357</v>
      </c>
      <c r="D9" s="5" t="s">
        <v>358</v>
      </c>
      <c r="E9" s="22" t="s">
        <v>359</v>
      </c>
    </row>
    <row r="10" customFormat="false" ht="23.85" hidden="false" customHeight="false" outlineLevel="0" collapsed="false">
      <c r="A10" s="5" t="s">
        <v>360</v>
      </c>
      <c r="B10" s="5" t="s">
        <v>341</v>
      </c>
      <c r="C10" s="28" t="s">
        <v>361</v>
      </c>
      <c r="D10" s="5" t="s">
        <v>362</v>
      </c>
      <c r="E10" s="22" t="s">
        <v>363</v>
      </c>
    </row>
    <row r="11" customFormat="false" ht="23.85" hidden="false" customHeight="false" outlineLevel="0" collapsed="false">
      <c r="A11" s="5" t="s">
        <v>364</v>
      </c>
      <c r="B11" s="5" t="s">
        <v>341</v>
      </c>
      <c r="C11" s="28" t="s">
        <v>365</v>
      </c>
      <c r="D11" s="5" t="s">
        <v>366</v>
      </c>
      <c r="E11" s="22" t="s">
        <v>367</v>
      </c>
    </row>
    <row r="12" customFormat="false" ht="15" hidden="false" customHeight="false" outlineLevel="0" collapsed="false">
      <c r="A12" s="5" t="s">
        <v>368</v>
      </c>
      <c r="B12" s="5" t="s">
        <v>341</v>
      </c>
      <c r="C12" s="28" t="s">
        <v>369</v>
      </c>
      <c r="D12" s="5" t="s">
        <v>370</v>
      </c>
      <c r="E12" s="22" t="s">
        <v>371</v>
      </c>
    </row>
    <row r="13" customFormat="false" ht="15" hidden="false" customHeight="false" outlineLevel="0" collapsed="false">
      <c r="A13" s="5" t="s">
        <v>372</v>
      </c>
      <c r="B13" s="5" t="s">
        <v>341</v>
      </c>
      <c r="C13" s="28" t="s">
        <v>373</v>
      </c>
      <c r="D13" s="5" t="s">
        <v>374</v>
      </c>
      <c r="E13" s="22" t="s">
        <v>375</v>
      </c>
    </row>
    <row r="14" customFormat="false" ht="23.85" hidden="false" customHeight="false" outlineLevel="0" collapsed="false">
      <c r="A14" s="5" t="s">
        <v>376</v>
      </c>
      <c r="B14" s="5" t="s">
        <v>341</v>
      </c>
      <c r="C14" s="28" t="s">
        <v>377</v>
      </c>
      <c r="D14" s="5" t="s">
        <v>343</v>
      </c>
      <c r="E14" s="22" t="s">
        <v>378</v>
      </c>
    </row>
    <row r="15" customFormat="false" ht="23.85" hidden="false" customHeight="false" outlineLevel="0" collapsed="false">
      <c r="A15" s="5" t="s">
        <v>379</v>
      </c>
      <c r="B15" s="5" t="s">
        <v>341</v>
      </c>
      <c r="C15" s="28" t="s">
        <v>380</v>
      </c>
      <c r="D15" s="5" t="s">
        <v>343</v>
      </c>
      <c r="E15" s="5" t="s">
        <v>381</v>
      </c>
    </row>
    <row r="16" customFormat="false" ht="23.85" hidden="false" customHeight="false" outlineLevel="0" collapsed="false">
      <c r="A16" s="5" t="s">
        <v>382</v>
      </c>
      <c r="B16" s="5" t="s">
        <v>341</v>
      </c>
      <c r="C16" s="28" t="s">
        <v>383</v>
      </c>
      <c r="D16" s="5" t="s">
        <v>343</v>
      </c>
      <c r="E16" s="22" t="s">
        <v>384</v>
      </c>
    </row>
    <row r="17" customFormat="false" ht="15" hidden="false" customHeight="false" outlineLevel="0" collapsed="false">
      <c r="A17" s="5" t="s">
        <v>385</v>
      </c>
      <c r="B17" s="5" t="s">
        <v>341</v>
      </c>
      <c r="C17" s="28" t="s">
        <v>386</v>
      </c>
      <c r="D17" s="5" t="s">
        <v>343</v>
      </c>
      <c r="E17" s="22" t="s">
        <v>387</v>
      </c>
    </row>
    <row r="18" customFormat="false" ht="35.05" hidden="false" customHeight="false" outlineLevel="0" collapsed="false">
      <c r="A18" s="5" t="s">
        <v>388</v>
      </c>
      <c r="B18" s="5" t="s">
        <v>341</v>
      </c>
      <c r="C18" s="28" t="s">
        <v>389</v>
      </c>
      <c r="D18" s="5" t="s">
        <v>343</v>
      </c>
      <c r="E18" s="22" t="s">
        <v>390</v>
      </c>
    </row>
    <row r="19" customFormat="false" ht="46.25" hidden="false" customHeight="false" outlineLevel="0" collapsed="false">
      <c r="A19" s="5" t="s">
        <v>391</v>
      </c>
      <c r="B19" s="5" t="s">
        <v>341</v>
      </c>
      <c r="C19" s="28" t="s">
        <v>392</v>
      </c>
      <c r="D19" s="5" t="s">
        <v>343</v>
      </c>
      <c r="E19" s="22" t="s">
        <v>393</v>
      </c>
    </row>
    <row r="20" customFormat="false" ht="23.85" hidden="false" customHeight="false" outlineLevel="0" collapsed="false">
      <c r="A20" s="5" t="s">
        <v>394</v>
      </c>
      <c r="B20" s="5" t="s">
        <v>341</v>
      </c>
      <c r="C20" s="28" t="s">
        <v>395</v>
      </c>
      <c r="D20" s="5" t="s">
        <v>396</v>
      </c>
      <c r="E20" s="22" t="s">
        <v>397</v>
      </c>
    </row>
    <row r="21" customFormat="false" ht="23.85" hidden="false" customHeight="false" outlineLevel="0" collapsed="false">
      <c r="A21" s="5" t="s">
        <v>398</v>
      </c>
      <c r="B21" s="5" t="s">
        <v>341</v>
      </c>
      <c r="C21" s="28" t="s">
        <v>399</v>
      </c>
      <c r="D21" s="5" t="s">
        <v>400</v>
      </c>
      <c r="E21" s="22" t="s">
        <v>401</v>
      </c>
    </row>
    <row r="22" customFormat="false" ht="23.85" hidden="false" customHeight="false" outlineLevel="0" collapsed="false">
      <c r="A22" s="5" t="s">
        <v>402</v>
      </c>
      <c r="B22" s="5" t="s">
        <v>341</v>
      </c>
      <c r="C22" s="28" t="s">
        <v>403</v>
      </c>
      <c r="D22" s="5" t="s">
        <v>404</v>
      </c>
      <c r="E22" s="22" t="s">
        <v>405</v>
      </c>
    </row>
    <row r="23" customFormat="false" ht="15" hidden="false" customHeight="false" outlineLevel="0" collapsed="false">
      <c r="A23" s="5" t="s">
        <v>406</v>
      </c>
      <c r="B23" s="5" t="s">
        <v>341</v>
      </c>
      <c r="C23" s="28" t="s">
        <v>407</v>
      </c>
      <c r="D23" s="5" t="s">
        <v>408</v>
      </c>
      <c r="E23" s="22" t="s">
        <v>409</v>
      </c>
    </row>
    <row r="24" customFormat="false" ht="15" hidden="false" customHeight="false" outlineLevel="0" collapsed="false">
      <c r="A24" s="5" t="s">
        <v>410</v>
      </c>
      <c r="B24" s="5" t="s">
        <v>411</v>
      </c>
      <c r="C24" s="28" t="s">
        <v>412</v>
      </c>
      <c r="D24" s="5" t="s">
        <v>343</v>
      </c>
      <c r="E24" s="22" t="s">
        <v>344</v>
      </c>
    </row>
    <row r="25" customFormat="false" ht="15" hidden="false" customHeight="false" outlineLevel="0" collapsed="false">
      <c r="A25" s="5" t="s">
        <v>413</v>
      </c>
      <c r="B25" s="5" t="s">
        <v>411</v>
      </c>
      <c r="C25" s="28" t="s">
        <v>414</v>
      </c>
      <c r="D25" s="5" t="s">
        <v>350</v>
      </c>
      <c r="E25" s="22" t="s">
        <v>351</v>
      </c>
    </row>
    <row r="26" customFormat="false" ht="15" hidden="false" customHeight="false" outlineLevel="0" collapsed="false">
      <c r="A26" s="5" t="s">
        <v>415</v>
      </c>
      <c r="B26" s="5" t="s">
        <v>411</v>
      </c>
      <c r="C26" s="28" t="s">
        <v>416</v>
      </c>
      <c r="D26" s="5" t="s">
        <v>366</v>
      </c>
      <c r="E26" s="22" t="s">
        <v>367</v>
      </c>
    </row>
    <row r="27" customFormat="false" ht="23.85" hidden="false" customHeight="false" outlineLevel="0" collapsed="false">
      <c r="A27" s="5" t="s">
        <v>417</v>
      </c>
      <c r="B27" s="5" t="s">
        <v>411</v>
      </c>
      <c r="C27" s="28" t="s">
        <v>418</v>
      </c>
      <c r="D27" s="5" t="s">
        <v>354</v>
      </c>
      <c r="E27" s="22" t="s">
        <v>355</v>
      </c>
    </row>
    <row r="28" customFormat="false" ht="15" hidden="false" customHeight="false" outlineLevel="0" collapsed="false">
      <c r="A28" s="5" t="s">
        <v>419</v>
      </c>
      <c r="B28" s="5" t="s">
        <v>411</v>
      </c>
      <c r="C28" s="28" t="s">
        <v>420</v>
      </c>
      <c r="D28" s="5" t="s">
        <v>343</v>
      </c>
      <c r="E28" s="22" t="s">
        <v>390</v>
      </c>
    </row>
    <row r="29" customFormat="false" ht="15" hidden="false" customHeight="false" outlineLevel="0" collapsed="false">
      <c r="A29" s="5" t="s">
        <v>421</v>
      </c>
      <c r="B29" s="5" t="s">
        <v>411</v>
      </c>
      <c r="C29" s="28" t="s">
        <v>422</v>
      </c>
      <c r="D29" s="5" t="s">
        <v>343</v>
      </c>
      <c r="E29" s="22" t="s">
        <v>393</v>
      </c>
    </row>
    <row r="30" customFormat="false" ht="15" hidden="false" customHeight="false" outlineLevel="0" collapsed="false">
      <c r="A30" s="5" t="s">
        <v>423</v>
      </c>
      <c r="B30" s="5" t="s">
        <v>411</v>
      </c>
      <c r="C30" s="28" t="s">
        <v>424</v>
      </c>
      <c r="D30" s="5" t="s">
        <v>425</v>
      </c>
      <c r="E30" s="22" t="s">
        <v>426</v>
      </c>
    </row>
    <row r="31" customFormat="false" ht="23.85" hidden="false" customHeight="false" outlineLevel="0" collapsed="false">
      <c r="A31" s="5" t="s">
        <v>427</v>
      </c>
      <c r="B31" s="5" t="s">
        <v>411</v>
      </c>
      <c r="C31" s="28" t="s">
        <v>428</v>
      </c>
      <c r="D31" s="5" t="s">
        <v>400</v>
      </c>
      <c r="E31" s="22" t="s">
        <v>401</v>
      </c>
    </row>
    <row r="32" customFormat="false" ht="23.85" hidden="false" customHeight="false" outlineLevel="0" collapsed="false">
      <c r="A32" s="5" t="s">
        <v>429</v>
      </c>
      <c r="B32" s="5" t="s">
        <v>411</v>
      </c>
      <c r="C32" s="28" t="s">
        <v>430</v>
      </c>
      <c r="D32" s="5" t="s">
        <v>431</v>
      </c>
      <c r="E32" s="22" t="s">
        <v>432</v>
      </c>
    </row>
    <row r="33" customFormat="false" ht="15" hidden="false" customHeight="false" outlineLevel="0" collapsed="false">
      <c r="A33" s="5" t="s">
        <v>433</v>
      </c>
      <c r="B33" s="5" t="s">
        <v>411</v>
      </c>
      <c r="C33" s="28" t="s">
        <v>434</v>
      </c>
      <c r="D33" s="5" t="s">
        <v>435</v>
      </c>
      <c r="E33" s="22" t="s">
        <v>436</v>
      </c>
    </row>
    <row r="34" customFormat="false" ht="23.85" hidden="false" customHeight="false" outlineLevel="0" collapsed="false">
      <c r="A34" s="5" t="s">
        <v>437</v>
      </c>
      <c r="B34" s="5" t="s">
        <v>411</v>
      </c>
      <c r="C34" s="28" t="s">
        <v>438</v>
      </c>
      <c r="D34" s="5" t="s">
        <v>439</v>
      </c>
      <c r="E34" s="22" t="s">
        <v>440</v>
      </c>
    </row>
    <row r="35" customFormat="false" ht="15" hidden="false" customHeight="false" outlineLevel="0" collapsed="false">
      <c r="A35" s="5" t="s">
        <v>441</v>
      </c>
      <c r="B35" s="5" t="s">
        <v>411</v>
      </c>
      <c r="C35" s="28" t="s">
        <v>442</v>
      </c>
      <c r="D35" s="5" t="s">
        <v>443</v>
      </c>
      <c r="E35" s="22" t="s">
        <v>444</v>
      </c>
    </row>
    <row r="36" customFormat="false" ht="23.85" hidden="false" customHeight="false" outlineLevel="0" collapsed="false">
      <c r="A36" s="5" t="s">
        <v>445</v>
      </c>
      <c r="B36" s="5" t="s">
        <v>411</v>
      </c>
      <c r="C36" s="28" t="s">
        <v>446</v>
      </c>
      <c r="D36" s="5" t="s">
        <v>447</v>
      </c>
      <c r="E36" s="22" t="s">
        <v>448</v>
      </c>
    </row>
    <row r="37" customFormat="false" ht="23.85" hidden="false" customHeight="false" outlineLevel="0" collapsed="false">
      <c r="A37" s="5" t="s">
        <v>449</v>
      </c>
      <c r="B37" s="5" t="s">
        <v>411</v>
      </c>
      <c r="C37" s="28" t="s">
        <v>450</v>
      </c>
      <c r="D37" s="5" t="s">
        <v>425</v>
      </c>
      <c r="E37" s="22" t="s">
        <v>451</v>
      </c>
    </row>
    <row r="38" customFormat="false" ht="15" hidden="false" customHeight="false" outlineLevel="0" collapsed="false">
      <c r="A38" s="5" t="s">
        <v>452</v>
      </c>
      <c r="B38" s="5" t="s">
        <v>411</v>
      </c>
      <c r="C38" s="28" t="s">
        <v>453</v>
      </c>
      <c r="D38" s="5" t="s">
        <v>454</v>
      </c>
      <c r="E38" s="22" t="s">
        <v>455</v>
      </c>
    </row>
    <row r="39" customFormat="false" ht="23.85" hidden="false" customHeight="false" outlineLevel="0" collapsed="false">
      <c r="A39" s="5" t="s">
        <v>456</v>
      </c>
      <c r="B39" s="5" t="s">
        <v>411</v>
      </c>
      <c r="C39" s="28" t="s">
        <v>457</v>
      </c>
      <c r="D39" s="5" t="s">
        <v>458</v>
      </c>
      <c r="E39" s="22" t="s">
        <v>459</v>
      </c>
    </row>
    <row r="40" customFormat="false" ht="23.85" hidden="false" customHeight="false" outlineLevel="0" collapsed="false">
      <c r="A40" s="5" t="s">
        <v>460</v>
      </c>
      <c r="B40" s="5" t="s">
        <v>411</v>
      </c>
      <c r="C40" s="28" t="s">
        <v>461</v>
      </c>
      <c r="D40" s="5" t="s">
        <v>374</v>
      </c>
      <c r="E40" s="22" t="s">
        <v>462</v>
      </c>
    </row>
    <row r="41" customFormat="false" ht="15" hidden="false" customHeight="false" outlineLevel="0" collapsed="false">
      <c r="A41" s="5" t="s">
        <v>463</v>
      </c>
      <c r="B41" s="5" t="s">
        <v>411</v>
      </c>
      <c r="C41" s="28" t="s">
        <v>464</v>
      </c>
      <c r="D41" s="5" t="s">
        <v>465</v>
      </c>
      <c r="E41" s="22" t="s">
        <v>466</v>
      </c>
    </row>
    <row r="42" customFormat="false" ht="15" hidden="false" customHeight="false" outlineLevel="0" collapsed="false">
      <c r="A42" s="5" t="s">
        <v>467</v>
      </c>
      <c r="B42" s="5" t="s">
        <v>411</v>
      </c>
      <c r="C42" s="28" t="s">
        <v>468</v>
      </c>
      <c r="D42" s="5" t="s">
        <v>343</v>
      </c>
      <c r="E42" s="5" t="s">
        <v>381</v>
      </c>
    </row>
    <row r="43" customFormat="false" ht="15" hidden="false" customHeight="false" outlineLevel="0" collapsed="false">
      <c r="A43" s="5" t="s">
        <v>469</v>
      </c>
      <c r="B43" s="5" t="s">
        <v>411</v>
      </c>
      <c r="C43" s="28" t="s">
        <v>470</v>
      </c>
      <c r="D43" s="5" t="s">
        <v>343</v>
      </c>
      <c r="E43" s="22" t="s">
        <v>387</v>
      </c>
    </row>
    <row r="44" customFormat="false" ht="23.85" hidden="false" customHeight="false" outlineLevel="0" collapsed="false">
      <c r="A44" s="5" t="s">
        <v>471</v>
      </c>
      <c r="B44" s="5" t="s">
        <v>411</v>
      </c>
      <c r="C44" s="28" t="s">
        <v>472</v>
      </c>
      <c r="D44" s="5" t="s">
        <v>473</v>
      </c>
      <c r="E44" s="22" t="s">
        <v>378</v>
      </c>
    </row>
    <row r="45" customFormat="false" ht="15" hidden="false" customHeight="false" outlineLevel="0" collapsed="false">
      <c r="A45" s="5" t="s">
        <v>474</v>
      </c>
      <c r="B45" s="5" t="s">
        <v>411</v>
      </c>
      <c r="C45" s="28" t="s">
        <v>475</v>
      </c>
      <c r="D45" s="5" t="s">
        <v>362</v>
      </c>
      <c r="E45" s="22" t="s">
        <v>363</v>
      </c>
    </row>
    <row r="46" customFormat="false" ht="23.85" hidden="false" customHeight="false" outlineLevel="0" collapsed="false">
      <c r="A46" s="5" t="s">
        <v>476</v>
      </c>
      <c r="B46" s="5" t="s">
        <v>411</v>
      </c>
      <c r="C46" s="28" t="s">
        <v>477</v>
      </c>
      <c r="D46" s="5" t="s">
        <v>478</v>
      </c>
      <c r="E46" s="22" t="s">
        <v>479</v>
      </c>
    </row>
    <row r="47" customFormat="false" ht="35.05" hidden="false" customHeight="false" outlineLevel="0" collapsed="false">
      <c r="A47" s="5" t="s">
        <v>480</v>
      </c>
      <c r="B47" s="5" t="s">
        <v>411</v>
      </c>
      <c r="C47" s="28" t="s">
        <v>481</v>
      </c>
      <c r="D47" s="5" t="s">
        <v>396</v>
      </c>
      <c r="E47" s="22" t="s">
        <v>397</v>
      </c>
    </row>
    <row r="48" customFormat="false" ht="35.05" hidden="false" customHeight="false" outlineLevel="0" collapsed="false">
      <c r="A48" s="5" t="s">
        <v>482</v>
      </c>
      <c r="B48" s="5" t="s">
        <v>411</v>
      </c>
      <c r="C48" s="28" t="s">
        <v>483</v>
      </c>
      <c r="D48" s="5" t="s">
        <v>484</v>
      </c>
      <c r="E48" s="22" t="s">
        <v>485</v>
      </c>
    </row>
    <row r="49" customFormat="false" ht="23.85" hidden="false" customHeight="false" outlineLevel="0" collapsed="false">
      <c r="A49" s="5" t="s">
        <v>486</v>
      </c>
      <c r="B49" s="5" t="s">
        <v>411</v>
      </c>
      <c r="C49" s="28" t="s">
        <v>487</v>
      </c>
      <c r="D49" s="5" t="s">
        <v>488</v>
      </c>
      <c r="E49" s="22" t="s">
        <v>489</v>
      </c>
    </row>
    <row r="50" customFormat="false" ht="23.85" hidden="false" customHeight="false" outlineLevel="0" collapsed="false">
      <c r="A50" s="5" t="s">
        <v>490</v>
      </c>
      <c r="B50" s="5" t="s">
        <v>411</v>
      </c>
      <c r="C50" s="28" t="s">
        <v>491</v>
      </c>
      <c r="D50" s="5" t="s">
        <v>492</v>
      </c>
      <c r="E50" s="22" t="s">
        <v>493</v>
      </c>
    </row>
    <row r="51" customFormat="false" ht="23.85" hidden="false" customHeight="false" outlineLevel="0" collapsed="false">
      <c r="A51" s="5" t="s">
        <v>494</v>
      </c>
      <c r="B51" s="5" t="s">
        <v>411</v>
      </c>
      <c r="C51" s="28" t="s">
        <v>495</v>
      </c>
      <c r="D51" s="5" t="s">
        <v>496</v>
      </c>
      <c r="E51" s="22" t="s">
        <v>497</v>
      </c>
    </row>
    <row r="52" customFormat="false" ht="15" hidden="false" customHeight="false" outlineLevel="0" collapsed="false">
      <c r="A52" s="5" t="s">
        <v>498</v>
      </c>
      <c r="B52" s="5" t="s">
        <v>411</v>
      </c>
      <c r="C52" s="28" t="s">
        <v>499</v>
      </c>
      <c r="D52" s="5" t="s">
        <v>500</v>
      </c>
      <c r="E52" s="22" t="s">
        <v>501</v>
      </c>
    </row>
    <row r="53" customFormat="false" ht="23.85" hidden="false" customHeight="false" outlineLevel="0" collapsed="false">
      <c r="A53" s="5" t="s">
        <v>502</v>
      </c>
      <c r="B53" s="5" t="s">
        <v>411</v>
      </c>
      <c r="C53" s="28" t="s">
        <v>503</v>
      </c>
      <c r="D53" s="5" t="s">
        <v>343</v>
      </c>
      <c r="E53" s="22" t="s">
        <v>384</v>
      </c>
    </row>
    <row r="54" customFormat="false" ht="23.85" hidden="false" customHeight="false" outlineLevel="0" collapsed="false">
      <c r="A54" s="5" t="s">
        <v>504</v>
      </c>
      <c r="B54" s="5" t="s">
        <v>411</v>
      </c>
      <c r="C54" s="28" t="s">
        <v>505</v>
      </c>
      <c r="D54" s="5" t="s">
        <v>488</v>
      </c>
      <c r="E54" s="22" t="s">
        <v>506</v>
      </c>
    </row>
    <row r="55" customFormat="false" ht="15" hidden="false" customHeight="false" outlineLevel="0" collapsed="false">
      <c r="A55" s="5" t="s">
        <v>507</v>
      </c>
      <c r="B55" s="5" t="s">
        <v>508</v>
      </c>
      <c r="C55" s="28" t="s">
        <v>342</v>
      </c>
      <c r="D55" s="5" t="s">
        <v>343</v>
      </c>
      <c r="E55" s="22" t="s">
        <v>344</v>
      </c>
    </row>
    <row r="56" customFormat="false" ht="15" hidden="false" customHeight="false" outlineLevel="0" collapsed="false">
      <c r="A56" s="5" t="s">
        <v>509</v>
      </c>
      <c r="B56" s="5" t="s">
        <v>508</v>
      </c>
      <c r="C56" s="28" t="s">
        <v>346</v>
      </c>
      <c r="D56" s="5" t="s">
        <v>343</v>
      </c>
      <c r="E56" s="22" t="s">
        <v>510</v>
      </c>
    </row>
    <row r="57" customFormat="false" ht="23.85" hidden="false" customHeight="false" outlineLevel="0" collapsed="false">
      <c r="A57" s="5" t="s">
        <v>511</v>
      </c>
      <c r="B57" s="5" t="s">
        <v>508</v>
      </c>
      <c r="C57" s="28" t="s">
        <v>512</v>
      </c>
      <c r="D57" s="5" t="s">
        <v>350</v>
      </c>
      <c r="E57" s="22" t="s">
        <v>351</v>
      </c>
    </row>
    <row r="58" customFormat="false" ht="15" hidden="false" customHeight="false" outlineLevel="0" collapsed="false">
      <c r="A58" s="5" t="s">
        <v>513</v>
      </c>
      <c r="B58" s="5" t="s">
        <v>508</v>
      </c>
      <c r="C58" s="28" t="s">
        <v>514</v>
      </c>
      <c r="D58" s="5" t="s">
        <v>366</v>
      </c>
      <c r="E58" s="22" t="s">
        <v>367</v>
      </c>
    </row>
    <row r="59" customFormat="false" ht="23.85" hidden="false" customHeight="false" outlineLevel="0" collapsed="false">
      <c r="A59" s="5" t="s">
        <v>515</v>
      </c>
      <c r="B59" s="5" t="s">
        <v>508</v>
      </c>
      <c r="C59" s="28" t="s">
        <v>516</v>
      </c>
      <c r="D59" s="5" t="s">
        <v>354</v>
      </c>
      <c r="E59" s="22" t="s">
        <v>355</v>
      </c>
    </row>
    <row r="60" customFormat="false" ht="23.85" hidden="false" customHeight="false" outlineLevel="0" collapsed="false">
      <c r="A60" s="5" t="s">
        <v>517</v>
      </c>
      <c r="B60" s="5" t="s">
        <v>508</v>
      </c>
      <c r="C60" s="28" t="s">
        <v>518</v>
      </c>
      <c r="D60" s="5" t="s">
        <v>374</v>
      </c>
      <c r="E60" s="22" t="s">
        <v>375</v>
      </c>
    </row>
    <row r="61" customFormat="false" ht="15" hidden="false" customHeight="false" outlineLevel="0" collapsed="false">
      <c r="A61" s="5" t="s">
        <v>519</v>
      </c>
      <c r="B61" s="5" t="s">
        <v>508</v>
      </c>
      <c r="C61" s="28" t="s">
        <v>520</v>
      </c>
      <c r="D61" s="5" t="s">
        <v>521</v>
      </c>
      <c r="E61" s="22" t="s">
        <v>522</v>
      </c>
    </row>
    <row r="62" customFormat="false" ht="23.85" hidden="false" customHeight="false" outlineLevel="0" collapsed="false">
      <c r="A62" s="5" t="s">
        <v>523</v>
      </c>
      <c r="B62" s="5" t="s">
        <v>508</v>
      </c>
      <c r="C62" s="28" t="s">
        <v>524</v>
      </c>
      <c r="D62" s="5" t="s">
        <v>525</v>
      </c>
      <c r="E62" s="22" t="s">
        <v>397</v>
      </c>
    </row>
    <row r="63" customFormat="false" ht="23.85" hidden="false" customHeight="false" outlineLevel="0" collapsed="false">
      <c r="A63" s="5" t="s">
        <v>526</v>
      </c>
      <c r="B63" s="5" t="s">
        <v>508</v>
      </c>
      <c r="C63" s="28" t="s">
        <v>527</v>
      </c>
      <c r="D63" s="5" t="s">
        <v>525</v>
      </c>
      <c r="E63" s="22" t="s">
        <v>528</v>
      </c>
    </row>
    <row r="64" customFormat="false" ht="23.85" hidden="false" customHeight="false" outlineLevel="0" collapsed="false">
      <c r="A64" s="5" t="s">
        <v>529</v>
      </c>
      <c r="B64" s="5" t="s">
        <v>508</v>
      </c>
      <c r="C64" s="28" t="s">
        <v>530</v>
      </c>
      <c r="D64" s="5" t="s">
        <v>496</v>
      </c>
      <c r="E64" s="22" t="s">
        <v>531</v>
      </c>
    </row>
    <row r="65" customFormat="false" ht="23.85" hidden="false" customHeight="false" outlineLevel="0" collapsed="false">
      <c r="A65" s="5" t="s">
        <v>532</v>
      </c>
      <c r="B65" s="5" t="s">
        <v>508</v>
      </c>
      <c r="C65" s="28" t="s">
        <v>533</v>
      </c>
      <c r="D65" s="5" t="s">
        <v>492</v>
      </c>
      <c r="E65" s="22" t="s">
        <v>534</v>
      </c>
    </row>
    <row r="66" customFormat="false" ht="15" hidden="false" customHeight="false" outlineLevel="0" collapsed="false">
      <c r="A66" s="5" t="s">
        <v>535</v>
      </c>
      <c r="B66" s="5" t="s">
        <v>508</v>
      </c>
      <c r="C66" s="28" t="s">
        <v>536</v>
      </c>
      <c r="D66" s="5" t="s">
        <v>488</v>
      </c>
      <c r="E66" s="22" t="s">
        <v>537</v>
      </c>
    </row>
    <row r="67" customFormat="false" ht="23.85" hidden="false" customHeight="false" outlineLevel="0" collapsed="false">
      <c r="A67" s="5" t="s">
        <v>538</v>
      </c>
      <c r="B67" s="5" t="s">
        <v>508</v>
      </c>
      <c r="C67" s="28" t="s">
        <v>539</v>
      </c>
      <c r="D67" s="5" t="s">
        <v>540</v>
      </c>
      <c r="E67" s="22" t="s">
        <v>541</v>
      </c>
    </row>
    <row r="68" customFormat="false" ht="23.85" hidden="false" customHeight="false" outlineLevel="0" collapsed="false">
      <c r="A68" s="5" t="s">
        <v>542</v>
      </c>
      <c r="B68" s="5" t="s">
        <v>508</v>
      </c>
      <c r="C68" s="28" t="s">
        <v>543</v>
      </c>
      <c r="D68" s="5" t="s">
        <v>544</v>
      </c>
      <c r="E68" s="22" t="s">
        <v>545</v>
      </c>
    </row>
    <row r="69" customFormat="false" ht="35.05" hidden="false" customHeight="false" outlineLevel="0" collapsed="false">
      <c r="A69" s="5" t="s">
        <v>546</v>
      </c>
      <c r="B69" s="5" t="s">
        <v>508</v>
      </c>
      <c r="C69" s="28" t="s">
        <v>547</v>
      </c>
      <c r="D69" s="5" t="s">
        <v>488</v>
      </c>
      <c r="E69" s="22" t="s">
        <v>548</v>
      </c>
    </row>
    <row r="70" customFormat="false" ht="23.85" hidden="false" customHeight="false" outlineLevel="0" collapsed="false">
      <c r="A70" s="5" t="s">
        <v>549</v>
      </c>
      <c r="B70" s="5" t="s">
        <v>508</v>
      </c>
      <c r="C70" s="28" t="s">
        <v>550</v>
      </c>
      <c r="D70" s="5" t="s">
        <v>343</v>
      </c>
      <c r="E70" s="22" t="s">
        <v>378</v>
      </c>
    </row>
    <row r="71" customFormat="false" ht="23.85" hidden="false" customHeight="false" outlineLevel="0" collapsed="false">
      <c r="A71" s="5" t="s">
        <v>551</v>
      </c>
      <c r="B71" s="5" t="s">
        <v>508</v>
      </c>
      <c r="C71" s="28" t="s">
        <v>552</v>
      </c>
      <c r="D71" s="5" t="s">
        <v>488</v>
      </c>
      <c r="E71" s="22" t="s">
        <v>553</v>
      </c>
    </row>
    <row r="72" customFormat="false" ht="23.85" hidden="false" customHeight="false" outlineLevel="0" collapsed="false">
      <c r="A72" s="5" t="s">
        <v>554</v>
      </c>
      <c r="B72" s="5" t="s">
        <v>508</v>
      </c>
      <c r="C72" s="28" t="s">
        <v>555</v>
      </c>
      <c r="D72" s="5" t="s">
        <v>358</v>
      </c>
      <c r="E72" s="22" t="s">
        <v>556</v>
      </c>
    </row>
    <row r="73" customFormat="false" ht="15" hidden="false" customHeight="false" outlineLevel="0" collapsed="false">
      <c r="A73" s="5" t="s">
        <v>557</v>
      </c>
      <c r="B73" s="5" t="s">
        <v>508</v>
      </c>
      <c r="C73" s="28" t="s">
        <v>558</v>
      </c>
      <c r="D73" s="5" t="s">
        <v>559</v>
      </c>
      <c r="E73" s="22" t="s">
        <v>560</v>
      </c>
    </row>
    <row r="74" customFormat="false" ht="23.85" hidden="false" customHeight="false" outlineLevel="0" collapsed="false">
      <c r="A74" s="5" t="s">
        <v>561</v>
      </c>
      <c r="B74" s="5" t="s">
        <v>508</v>
      </c>
      <c r="C74" s="28" t="s">
        <v>562</v>
      </c>
      <c r="D74" s="5" t="s">
        <v>563</v>
      </c>
      <c r="E74" s="22" t="s">
        <v>564</v>
      </c>
    </row>
    <row r="75" customFormat="false" ht="35.05" hidden="false" customHeight="false" outlineLevel="0" collapsed="false">
      <c r="A75" s="5" t="s">
        <v>565</v>
      </c>
      <c r="B75" s="5" t="s">
        <v>508</v>
      </c>
      <c r="C75" s="28" t="s">
        <v>566</v>
      </c>
      <c r="D75" s="5" t="s">
        <v>343</v>
      </c>
      <c r="E75" s="5" t="s">
        <v>381</v>
      </c>
    </row>
    <row r="76" customFormat="false" ht="23.85" hidden="false" customHeight="false" outlineLevel="0" collapsed="false">
      <c r="A76" s="5" t="s">
        <v>567</v>
      </c>
      <c r="B76" s="5" t="s">
        <v>508</v>
      </c>
      <c r="C76" s="28" t="s">
        <v>568</v>
      </c>
      <c r="D76" s="5" t="s">
        <v>343</v>
      </c>
      <c r="E76" s="22" t="s">
        <v>384</v>
      </c>
    </row>
    <row r="77" customFormat="false" ht="23.85" hidden="false" customHeight="false" outlineLevel="0" collapsed="false">
      <c r="A77" s="5" t="s">
        <v>569</v>
      </c>
      <c r="B77" s="5" t="s">
        <v>508</v>
      </c>
      <c r="C77" s="28" t="s">
        <v>570</v>
      </c>
      <c r="D77" s="5" t="s">
        <v>571</v>
      </c>
      <c r="E77" s="22" t="s">
        <v>572</v>
      </c>
    </row>
    <row r="78" customFormat="false" ht="15" hidden="false" customHeight="false" outlineLevel="0" collapsed="false">
      <c r="A78" s="5" t="s">
        <v>573</v>
      </c>
      <c r="B78" s="5" t="s">
        <v>508</v>
      </c>
      <c r="C78" s="28" t="s">
        <v>574</v>
      </c>
      <c r="D78" s="5" t="s">
        <v>575</v>
      </c>
      <c r="E78" s="22" t="s">
        <v>576</v>
      </c>
    </row>
    <row r="79" customFormat="false" ht="23.85" hidden="false" customHeight="false" outlineLevel="0" collapsed="false">
      <c r="A79" s="5" t="s">
        <v>577</v>
      </c>
      <c r="B79" s="5" t="s">
        <v>508</v>
      </c>
      <c r="C79" s="28" t="s">
        <v>578</v>
      </c>
      <c r="D79" s="5" t="s">
        <v>343</v>
      </c>
      <c r="E79" s="22" t="s">
        <v>390</v>
      </c>
    </row>
    <row r="80" customFormat="false" ht="46.25" hidden="false" customHeight="false" outlineLevel="0" collapsed="false">
      <c r="A80" s="5" t="s">
        <v>579</v>
      </c>
      <c r="B80" s="5" t="s">
        <v>508</v>
      </c>
      <c r="C80" s="28" t="s">
        <v>580</v>
      </c>
      <c r="D80" s="5" t="s">
        <v>343</v>
      </c>
      <c r="E80" s="22" t="s">
        <v>393</v>
      </c>
    </row>
    <row r="81" customFormat="false" ht="23.85" hidden="false" customHeight="false" outlineLevel="0" collapsed="false">
      <c r="A81" s="5" t="s">
        <v>581</v>
      </c>
      <c r="B81" s="5" t="s">
        <v>508</v>
      </c>
      <c r="C81" s="28" t="s">
        <v>582</v>
      </c>
      <c r="D81" s="5" t="s">
        <v>583</v>
      </c>
      <c r="E81" s="22" t="s">
        <v>401</v>
      </c>
    </row>
    <row r="82" customFormat="false" ht="23.85" hidden="false" customHeight="false" outlineLevel="0" collapsed="false">
      <c r="A82" s="5" t="s">
        <v>584</v>
      </c>
      <c r="B82" s="5" t="s">
        <v>508</v>
      </c>
      <c r="C82" s="28" t="s">
        <v>585</v>
      </c>
      <c r="D82" s="5" t="s">
        <v>586</v>
      </c>
      <c r="E82" s="22" t="s">
        <v>587</v>
      </c>
    </row>
    <row r="83" customFormat="false" ht="15" hidden="false" customHeight="false" outlineLevel="0" collapsed="false">
      <c r="A83" s="5" t="s">
        <v>588</v>
      </c>
      <c r="B83" s="5" t="s">
        <v>508</v>
      </c>
      <c r="C83" s="28" t="s">
        <v>589</v>
      </c>
      <c r="D83" s="5" t="s">
        <v>343</v>
      </c>
      <c r="E83" s="22" t="s">
        <v>384</v>
      </c>
    </row>
    <row r="84" customFormat="false" ht="23.85" hidden="false" customHeight="false" outlineLevel="0" collapsed="false">
      <c r="A84" s="5" t="s">
        <v>590</v>
      </c>
      <c r="B84" s="5" t="s">
        <v>508</v>
      </c>
      <c r="C84" s="28" t="s">
        <v>591</v>
      </c>
      <c r="D84" s="5" t="s">
        <v>488</v>
      </c>
      <c r="E84" s="22" t="s">
        <v>592</v>
      </c>
    </row>
    <row r="85" customFormat="false" ht="15" hidden="false" customHeight="false" outlineLevel="0" collapsed="false">
      <c r="A85" s="5" t="s">
        <v>593</v>
      </c>
      <c r="B85" s="5" t="s">
        <v>594</v>
      </c>
      <c r="C85" s="28" t="s">
        <v>595</v>
      </c>
      <c r="D85" s="5" t="s">
        <v>343</v>
      </c>
      <c r="E85" s="22" t="s">
        <v>344</v>
      </c>
    </row>
    <row r="86" customFormat="false" ht="15" hidden="false" customHeight="false" outlineLevel="0" collapsed="false">
      <c r="A86" s="5" t="s">
        <v>596</v>
      </c>
      <c r="B86" s="5" t="s">
        <v>594</v>
      </c>
      <c r="C86" s="28" t="s">
        <v>597</v>
      </c>
      <c r="D86" s="5" t="s">
        <v>350</v>
      </c>
      <c r="E86" s="22" t="s">
        <v>351</v>
      </c>
    </row>
    <row r="87" customFormat="false" ht="15" hidden="false" customHeight="false" outlineLevel="0" collapsed="false">
      <c r="A87" s="5" t="s">
        <v>598</v>
      </c>
      <c r="B87" s="5" t="s">
        <v>594</v>
      </c>
      <c r="C87" s="28" t="s">
        <v>599</v>
      </c>
      <c r="D87" s="5" t="s">
        <v>366</v>
      </c>
      <c r="E87" s="22" t="s">
        <v>367</v>
      </c>
    </row>
    <row r="88" customFormat="false" ht="15" hidden="false" customHeight="false" outlineLevel="0" collapsed="false">
      <c r="A88" s="5" t="s">
        <v>600</v>
      </c>
      <c r="B88" s="5" t="s">
        <v>594</v>
      </c>
      <c r="C88" s="28" t="s">
        <v>601</v>
      </c>
      <c r="D88" s="5" t="s">
        <v>362</v>
      </c>
      <c r="E88" s="22" t="s">
        <v>363</v>
      </c>
    </row>
    <row r="89" customFormat="false" ht="15" hidden="false" customHeight="false" outlineLevel="0" collapsed="false">
      <c r="A89" s="5" t="s">
        <v>602</v>
      </c>
      <c r="B89" s="5" t="s">
        <v>594</v>
      </c>
      <c r="C89" s="28" t="s">
        <v>603</v>
      </c>
      <c r="D89" s="5" t="s">
        <v>343</v>
      </c>
      <c r="E89" s="22" t="s">
        <v>390</v>
      </c>
    </row>
    <row r="90" customFormat="false" ht="15" hidden="false" customHeight="false" outlineLevel="0" collapsed="false">
      <c r="A90" s="5" t="s">
        <v>604</v>
      </c>
      <c r="B90" s="5" t="s">
        <v>594</v>
      </c>
      <c r="C90" s="28" t="s">
        <v>422</v>
      </c>
      <c r="D90" s="5" t="s">
        <v>343</v>
      </c>
      <c r="E90" s="22" t="s">
        <v>393</v>
      </c>
    </row>
    <row r="91" customFormat="false" ht="15" hidden="false" customHeight="false" outlineLevel="0" collapsed="false">
      <c r="A91" s="5" t="s">
        <v>605</v>
      </c>
      <c r="B91" s="5" t="s">
        <v>594</v>
      </c>
      <c r="C91" s="28" t="s">
        <v>606</v>
      </c>
      <c r="D91" s="5" t="s">
        <v>343</v>
      </c>
      <c r="E91" s="5" t="s">
        <v>607</v>
      </c>
    </row>
    <row r="92" customFormat="false" ht="15" hidden="false" customHeight="false" outlineLevel="0" collapsed="false">
      <c r="A92" s="5" t="s">
        <v>608</v>
      </c>
      <c r="B92" s="5" t="s">
        <v>594</v>
      </c>
      <c r="C92" s="28" t="s">
        <v>609</v>
      </c>
      <c r="D92" s="5" t="s">
        <v>473</v>
      </c>
      <c r="E92" s="22" t="s">
        <v>378</v>
      </c>
    </row>
    <row r="93" customFormat="false" ht="15" hidden="false" customHeight="false" outlineLevel="0" collapsed="false">
      <c r="A93" s="5" t="s">
        <v>610</v>
      </c>
      <c r="B93" s="5" t="s">
        <v>594</v>
      </c>
      <c r="C93" s="28" t="s">
        <v>611</v>
      </c>
      <c r="D93" s="5" t="s">
        <v>612</v>
      </c>
      <c r="E93" s="22" t="s">
        <v>613</v>
      </c>
    </row>
    <row r="94" customFormat="false" ht="15" hidden="false" customHeight="false" outlineLevel="0" collapsed="false">
      <c r="A94" s="5" t="s">
        <v>614</v>
      </c>
      <c r="B94" s="5" t="s">
        <v>594</v>
      </c>
      <c r="C94" s="28" t="s">
        <v>615</v>
      </c>
      <c r="D94" s="5" t="s">
        <v>492</v>
      </c>
      <c r="E94" s="22" t="s">
        <v>534</v>
      </c>
    </row>
    <row r="95" customFormat="false" ht="15" hidden="false" customHeight="false" outlineLevel="0" collapsed="false">
      <c r="A95" s="5" t="s">
        <v>616</v>
      </c>
      <c r="B95" s="5" t="s">
        <v>594</v>
      </c>
      <c r="C95" s="28" t="s">
        <v>617</v>
      </c>
      <c r="D95" s="5" t="s">
        <v>435</v>
      </c>
      <c r="E95" s="22" t="s">
        <v>618</v>
      </c>
    </row>
    <row r="96" customFormat="false" ht="15" hidden="false" customHeight="false" outlineLevel="0" collapsed="false">
      <c r="A96" s="5" t="s">
        <v>619</v>
      </c>
      <c r="B96" s="5" t="s">
        <v>594</v>
      </c>
      <c r="C96" s="28" t="s">
        <v>620</v>
      </c>
      <c r="D96" s="5" t="s">
        <v>621</v>
      </c>
      <c r="E96" s="22" t="s">
        <v>622</v>
      </c>
    </row>
    <row r="97" customFormat="false" ht="15" hidden="false" customHeight="false" outlineLevel="0" collapsed="false">
      <c r="A97" s="5" t="s">
        <v>623</v>
      </c>
      <c r="B97" s="5" t="s">
        <v>594</v>
      </c>
      <c r="C97" s="28" t="s">
        <v>624</v>
      </c>
      <c r="D97" s="5" t="s">
        <v>625</v>
      </c>
      <c r="E97" s="22" t="s">
        <v>626</v>
      </c>
    </row>
    <row r="98" customFormat="false" ht="23.85" hidden="false" customHeight="false" outlineLevel="0" collapsed="false">
      <c r="A98" s="5" t="s">
        <v>627</v>
      </c>
      <c r="B98" s="5" t="s">
        <v>594</v>
      </c>
      <c r="C98" s="28" t="s">
        <v>628</v>
      </c>
      <c r="D98" s="5" t="s">
        <v>629</v>
      </c>
      <c r="E98" s="22" t="s">
        <v>630</v>
      </c>
    </row>
    <row r="99" customFormat="false" ht="23.85" hidden="false" customHeight="false" outlineLevel="0" collapsed="false">
      <c r="A99" s="5" t="s">
        <v>631</v>
      </c>
      <c r="B99" s="5" t="s">
        <v>594</v>
      </c>
      <c r="C99" s="28" t="s">
        <v>632</v>
      </c>
      <c r="D99" s="5" t="s">
        <v>633</v>
      </c>
      <c r="E99" s="22" t="s">
        <v>634</v>
      </c>
    </row>
    <row r="100" customFormat="false" ht="15" hidden="false" customHeight="false" outlineLevel="0" collapsed="false">
      <c r="A100" s="5" t="s">
        <v>635</v>
      </c>
      <c r="B100" s="5" t="s">
        <v>594</v>
      </c>
      <c r="C100" s="28" t="s">
        <v>636</v>
      </c>
      <c r="D100" s="5" t="s">
        <v>559</v>
      </c>
      <c r="E100" s="22" t="s">
        <v>637</v>
      </c>
    </row>
    <row r="101" customFormat="false" ht="15" hidden="false" customHeight="false" outlineLevel="0" collapsed="false">
      <c r="A101" s="5" t="s">
        <v>638</v>
      </c>
      <c r="B101" s="5" t="s">
        <v>594</v>
      </c>
      <c r="C101" s="28" t="s">
        <v>639</v>
      </c>
      <c r="D101" s="5" t="s">
        <v>640</v>
      </c>
      <c r="E101" s="22" t="s">
        <v>641</v>
      </c>
    </row>
    <row r="102" customFormat="false" ht="15" hidden="false" customHeight="false" outlineLevel="0" collapsed="false">
      <c r="A102" s="5" t="s">
        <v>642</v>
      </c>
      <c r="B102" s="5" t="s">
        <v>594</v>
      </c>
      <c r="C102" s="28" t="s">
        <v>643</v>
      </c>
      <c r="D102" s="5" t="s">
        <v>575</v>
      </c>
      <c r="E102" s="22" t="s">
        <v>644</v>
      </c>
    </row>
    <row r="103" customFormat="false" ht="15" hidden="false" customHeight="false" outlineLevel="0" collapsed="false">
      <c r="A103" s="5" t="s">
        <v>645</v>
      </c>
      <c r="B103" s="5" t="s">
        <v>594</v>
      </c>
      <c r="C103" s="28" t="s">
        <v>646</v>
      </c>
      <c r="D103" s="5" t="s">
        <v>488</v>
      </c>
      <c r="E103" s="22" t="s">
        <v>647</v>
      </c>
    </row>
    <row r="104" customFormat="false" ht="15" hidden="false" customHeight="false" outlineLevel="0" collapsed="false">
      <c r="A104" s="5" t="s">
        <v>648</v>
      </c>
      <c r="B104" s="5" t="s">
        <v>594</v>
      </c>
      <c r="C104" s="28" t="s">
        <v>649</v>
      </c>
      <c r="D104" s="5" t="s">
        <v>650</v>
      </c>
      <c r="E104" s="22" t="s">
        <v>651</v>
      </c>
    </row>
    <row r="105" customFormat="false" ht="15" hidden="false" customHeight="false" outlineLevel="0" collapsed="false">
      <c r="A105" s="5" t="s">
        <v>652</v>
      </c>
      <c r="B105" s="5" t="s">
        <v>594</v>
      </c>
      <c r="C105" s="28" t="s">
        <v>653</v>
      </c>
      <c r="D105" s="5" t="s">
        <v>488</v>
      </c>
      <c r="E105" s="22" t="s">
        <v>654</v>
      </c>
    </row>
    <row r="106" customFormat="false" ht="15" hidden="false" customHeight="false" outlineLevel="0" collapsed="false">
      <c r="A106" s="5" t="s">
        <v>655</v>
      </c>
      <c r="B106" s="5" t="s">
        <v>594</v>
      </c>
      <c r="C106" s="28" t="s">
        <v>656</v>
      </c>
      <c r="D106" s="5" t="s">
        <v>488</v>
      </c>
      <c r="E106" s="22" t="s">
        <v>657</v>
      </c>
    </row>
    <row r="107" customFormat="false" ht="23.85" hidden="false" customHeight="false" outlineLevel="0" collapsed="false">
      <c r="A107" s="5" t="s">
        <v>658</v>
      </c>
      <c r="B107" s="5" t="s">
        <v>594</v>
      </c>
      <c r="C107" s="28" t="s">
        <v>659</v>
      </c>
      <c r="D107" s="5" t="s">
        <v>496</v>
      </c>
      <c r="E107" s="22" t="s">
        <v>660</v>
      </c>
    </row>
    <row r="108" customFormat="false" ht="15" hidden="false" customHeight="false" outlineLevel="0" collapsed="false">
      <c r="A108" s="5" t="s">
        <v>661</v>
      </c>
      <c r="B108" s="5" t="s">
        <v>594</v>
      </c>
      <c r="C108" s="28" t="s">
        <v>662</v>
      </c>
      <c r="D108" s="5" t="s">
        <v>575</v>
      </c>
      <c r="E108" s="22" t="s">
        <v>663</v>
      </c>
    </row>
    <row r="109" customFormat="false" ht="15" hidden="false" customHeight="false" outlineLevel="0" collapsed="false">
      <c r="A109" s="5" t="s">
        <v>664</v>
      </c>
      <c r="B109" s="5" t="s">
        <v>594</v>
      </c>
      <c r="C109" s="28" t="s">
        <v>665</v>
      </c>
      <c r="D109" s="5" t="s">
        <v>650</v>
      </c>
      <c r="E109" s="22" t="s">
        <v>666</v>
      </c>
    </row>
    <row r="110" customFormat="false" ht="15" hidden="false" customHeight="false" outlineLevel="0" collapsed="false">
      <c r="A110" s="5" t="s">
        <v>667</v>
      </c>
      <c r="B110" s="5" t="s">
        <v>594</v>
      </c>
      <c r="C110" s="28" t="s">
        <v>668</v>
      </c>
      <c r="D110" s="5" t="s">
        <v>575</v>
      </c>
      <c r="E110" s="22" t="s">
        <v>669</v>
      </c>
    </row>
    <row r="111" customFormat="false" ht="23.85" hidden="false" customHeight="false" outlineLevel="0" collapsed="false">
      <c r="A111" s="5" t="s">
        <v>670</v>
      </c>
      <c r="B111" s="5" t="s">
        <v>594</v>
      </c>
      <c r="C111" s="28" t="s">
        <v>671</v>
      </c>
      <c r="D111" s="5" t="s">
        <v>374</v>
      </c>
      <c r="E111" s="22" t="s">
        <v>375</v>
      </c>
    </row>
    <row r="112" customFormat="false" ht="23.85" hidden="false" customHeight="false" outlineLevel="0" collapsed="false">
      <c r="A112" s="5" t="s">
        <v>672</v>
      </c>
      <c r="B112" s="5" t="s">
        <v>594</v>
      </c>
      <c r="C112" s="28" t="s">
        <v>673</v>
      </c>
      <c r="D112" s="5" t="s">
        <v>396</v>
      </c>
      <c r="E112" s="22" t="s">
        <v>397</v>
      </c>
    </row>
    <row r="113" customFormat="false" ht="23.85" hidden="false" customHeight="false" outlineLevel="0" collapsed="false">
      <c r="A113" s="5" t="s">
        <v>674</v>
      </c>
      <c r="B113" s="5" t="s">
        <v>594</v>
      </c>
      <c r="C113" s="28" t="s">
        <v>675</v>
      </c>
      <c r="D113" s="5" t="s">
        <v>400</v>
      </c>
      <c r="E113" s="22" t="s">
        <v>401</v>
      </c>
    </row>
    <row r="114" customFormat="false" ht="23.85" hidden="false" customHeight="false" outlineLevel="0" collapsed="false">
      <c r="A114" s="5" t="s">
        <v>676</v>
      </c>
      <c r="B114" s="5" t="s">
        <v>594</v>
      </c>
      <c r="C114" s="28" t="s">
        <v>677</v>
      </c>
      <c r="D114" s="5" t="s">
        <v>343</v>
      </c>
      <c r="E114" s="22" t="s">
        <v>384</v>
      </c>
    </row>
    <row r="115" customFormat="false" ht="15" hidden="false" customHeight="false" outlineLevel="0" collapsed="false">
      <c r="A115" s="5" t="s">
        <v>678</v>
      </c>
      <c r="B115" s="5" t="s">
        <v>679</v>
      </c>
      <c r="C115" s="28" t="s">
        <v>680</v>
      </c>
      <c r="D115" s="5" t="s">
        <v>343</v>
      </c>
      <c r="E115" s="22" t="s">
        <v>344</v>
      </c>
    </row>
    <row r="116" customFormat="false" ht="23.85" hidden="false" customHeight="false" outlineLevel="0" collapsed="false">
      <c r="A116" s="5" t="s">
        <v>681</v>
      </c>
      <c r="B116" s="5" t="s">
        <v>679</v>
      </c>
      <c r="C116" s="28" t="s">
        <v>682</v>
      </c>
      <c r="D116" s="5" t="s">
        <v>350</v>
      </c>
      <c r="E116" s="22" t="s">
        <v>351</v>
      </c>
    </row>
    <row r="117" customFormat="false" ht="23.85" hidden="false" customHeight="false" outlineLevel="0" collapsed="false">
      <c r="A117" s="5" t="s">
        <v>683</v>
      </c>
      <c r="B117" s="5" t="s">
        <v>679</v>
      </c>
      <c r="C117" s="28" t="s">
        <v>684</v>
      </c>
      <c r="D117" s="5" t="s">
        <v>362</v>
      </c>
      <c r="E117" s="22" t="s">
        <v>363</v>
      </c>
    </row>
    <row r="118" customFormat="false" ht="15" hidden="false" customHeight="false" outlineLevel="0" collapsed="false">
      <c r="A118" s="5" t="s">
        <v>685</v>
      </c>
      <c r="B118" s="5" t="s">
        <v>679</v>
      </c>
      <c r="C118" s="28" t="s">
        <v>686</v>
      </c>
      <c r="D118" s="5" t="s">
        <v>366</v>
      </c>
      <c r="E118" s="22" t="s">
        <v>367</v>
      </c>
    </row>
    <row r="119" customFormat="false" ht="23.85" hidden="false" customHeight="false" outlineLevel="0" collapsed="false">
      <c r="A119" s="5" t="s">
        <v>687</v>
      </c>
      <c r="B119" s="5" t="s">
        <v>679</v>
      </c>
      <c r="C119" s="28" t="s">
        <v>688</v>
      </c>
      <c r="D119" s="5" t="s">
        <v>343</v>
      </c>
      <c r="E119" s="22" t="s">
        <v>378</v>
      </c>
    </row>
    <row r="120" customFormat="false" ht="35.05" hidden="false" customHeight="false" outlineLevel="0" collapsed="false">
      <c r="A120" s="5" t="s">
        <v>689</v>
      </c>
      <c r="B120" s="5" t="s">
        <v>679</v>
      </c>
      <c r="C120" s="28" t="s">
        <v>690</v>
      </c>
      <c r="D120" s="5" t="s">
        <v>343</v>
      </c>
      <c r="E120" s="22" t="s">
        <v>691</v>
      </c>
    </row>
    <row r="121" customFormat="false" ht="23.85" hidden="false" customHeight="false" outlineLevel="0" collapsed="false">
      <c r="A121" s="5" t="s">
        <v>692</v>
      </c>
      <c r="B121" s="5" t="s">
        <v>679</v>
      </c>
      <c r="C121" s="28" t="s">
        <v>693</v>
      </c>
      <c r="D121" s="5" t="s">
        <v>694</v>
      </c>
      <c r="E121" s="22" t="s">
        <v>695</v>
      </c>
    </row>
    <row r="122" customFormat="false" ht="23.85" hidden="false" customHeight="false" outlineLevel="0" collapsed="false">
      <c r="A122" s="5" t="s">
        <v>696</v>
      </c>
      <c r="B122" s="5" t="s">
        <v>679</v>
      </c>
      <c r="C122" s="28" t="s">
        <v>697</v>
      </c>
      <c r="D122" s="5" t="s">
        <v>343</v>
      </c>
      <c r="E122" s="22" t="s">
        <v>698</v>
      </c>
    </row>
    <row r="123" customFormat="false" ht="15" hidden="false" customHeight="false" outlineLevel="0" collapsed="false">
      <c r="A123" s="5" t="s">
        <v>699</v>
      </c>
      <c r="B123" s="5" t="s">
        <v>679</v>
      </c>
      <c r="C123" s="28" t="s">
        <v>700</v>
      </c>
      <c r="D123" s="5" t="s">
        <v>343</v>
      </c>
      <c r="E123" s="22" t="s">
        <v>701</v>
      </c>
    </row>
    <row r="124" customFormat="false" ht="23.85" hidden="false" customHeight="false" outlineLevel="0" collapsed="false">
      <c r="A124" s="5" t="s">
        <v>702</v>
      </c>
      <c r="B124" s="5" t="s">
        <v>679</v>
      </c>
      <c r="C124" s="28" t="s">
        <v>703</v>
      </c>
      <c r="D124" s="5" t="s">
        <v>343</v>
      </c>
      <c r="E124" s="22" t="s">
        <v>704</v>
      </c>
    </row>
    <row r="125" customFormat="false" ht="23.85" hidden="false" customHeight="false" outlineLevel="0" collapsed="false">
      <c r="A125" s="5" t="s">
        <v>705</v>
      </c>
      <c r="B125" s="5" t="s">
        <v>679</v>
      </c>
      <c r="C125" s="28" t="s">
        <v>706</v>
      </c>
      <c r="D125" s="5" t="s">
        <v>343</v>
      </c>
      <c r="E125" s="22" t="s">
        <v>707</v>
      </c>
    </row>
    <row r="126" customFormat="false" ht="15" hidden="false" customHeight="false" outlineLevel="0" collapsed="false">
      <c r="A126" s="5" t="s">
        <v>708</v>
      </c>
      <c r="B126" s="5" t="s">
        <v>679</v>
      </c>
      <c r="C126" s="28" t="s">
        <v>709</v>
      </c>
      <c r="D126" s="5" t="s">
        <v>710</v>
      </c>
      <c r="E126" s="22" t="s">
        <v>711</v>
      </c>
    </row>
    <row r="127" customFormat="false" ht="23.85" hidden="false" customHeight="false" outlineLevel="0" collapsed="false">
      <c r="A127" s="5" t="s">
        <v>712</v>
      </c>
      <c r="B127" s="5" t="s">
        <v>679</v>
      </c>
      <c r="C127" s="28" t="s">
        <v>713</v>
      </c>
      <c r="D127" s="5" t="s">
        <v>625</v>
      </c>
      <c r="E127" s="22" t="s">
        <v>714</v>
      </c>
    </row>
    <row r="128" customFormat="false" ht="23.85" hidden="false" customHeight="false" outlineLevel="0" collapsed="false">
      <c r="A128" s="5" t="s">
        <v>715</v>
      </c>
      <c r="B128" s="5" t="s">
        <v>679</v>
      </c>
      <c r="C128" s="28" t="s">
        <v>716</v>
      </c>
      <c r="D128" s="5" t="s">
        <v>496</v>
      </c>
      <c r="E128" s="22" t="s">
        <v>531</v>
      </c>
    </row>
    <row r="129" customFormat="false" ht="35.05" hidden="false" customHeight="false" outlineLevel="0" collapsed="false">
      <c r="A129" s="5" t="s">
        <v>717</v>
      </c>
      <c r="B129" s="5" t="s">
        <v>679</v>
      </c>
      <c r="C129" s="28" t="s">
        <v>718</v>
      </c>
      <c r="D129" s="5" t="s">
        <v>719</v>
      </c>
      <c r="E129" s="22" t="s">
        <v>720</v>
      </c>
    </row>
    <row r="130" customFormat="false" ht="35.05" hidden="false" customHeight="false" outlineLevel="0" collapsed="false">
      <c r="A130" s="5" t="s">
        <v>721</v>
      </c>
      <c r="B130" s="5" t="s">
        <v>679</v>
      </c>
      <c r="C130" s="28" t="s">
        <v>722</v>
      </c>
      <c r="D130" s="5" t="s">
        <v>343</v>
      </c>
      <c r="E130" s="22" t="s">
        <v>393</v>
      </c>
    </row>
    <row r="131" customFormat="false" ht="23.85" hidden="false" customHeight="false" outlineLevel="0" collapsed="false">
      <c r="A131" s="5" t="s">
        <v>723</v>
      </c>
      <c r="B131" s="5" t="s">
        <v>679</v>
      </c>
      <c r="C131" s="28" t="s">
        <v>724</v>
      </c>
      <c r="D131" s="5" t="s">
        <v>343</v>
      </c>
      <c r="E131" s="22" t="s">
        <v>390</v>
      </c>
    </row>
    <row r="132" customFormat="false" ht="23.85" hidden="false" customHeight="false" outlineLevel="0" collapsed="false">
      <c r="A132" s="5" t="s">
        <v>725</v>
      </c>
      <c r="B132" s="5" t="s">
        <v>679</v>
      </c>
      <c r="C132" s="28" t="s">
        <v>726</v>
      </c>
      <c r="D132" s="5" t="s">
        <v>400</v>
      </c>
      <c r="E132" s="22" t="s">
        <v>401</v>
      </c>
    </row>
    <row r="133" customFormat="false" ht="23.85" hidden="false" customHeight="false" outlineLevel="0" collapsed="false">
      <c r="A133" s="5" t="s">
        <v>727</v>
      </c>
      <c r="B133" s="5" t="s">
        <v>679</v>
      </c>
      <c r="C133" s="28" t="s">
        <v>728</v>
      </c>
      <c r="D133" s="5" t="s">
        <v>396</v>
      </c>
      <c r="E133" s="22" t="s">
        <v>397</v>
      </c>
    </row>
    <row r="134" customFormat="false" ht="23.85" hidden="false" customHeight="false" outlineLevel="0" collapsed="false">
      <c r="A134" s="5" t="s">
        <v>729</v>
      </c>
      <c r="B134" s="5" t="s">
        <v>679</v>
      </c>
      <c r="C134" s="28" t="s">
        <v>730</v>
      </c>
      <c r="D134" s="5" t="s">
        <v>731</v>
      </c>
      <c r="E134" s="22" t="s">
        <v>732</v>
      </c>
    </row>
    <row r="135" customFormat="false" ht="23.85" hidden="false" customHeight="false" outlineLevel="0" collapsed="false">
      <c r="A135" s="5" t="s">
        <v>733</v>
      </c>
      <c r="B135" s="5" t="s">
        <v>679</v>
      </c>
      <c r="C135" s="28" t="s">
        <v>734</v>
      </c>
      <c r="D135" s="5" t="s">
        <v>735</v>
      </c>
      <c r="E135" s="22" t="s">
        <v>736</v>
      </c>
    </row>
    <row r="136" customFormat="false" ht="23.85" hidden="false" customHeight="false" outlineLevel="0" collapsed="false">
      <c r="A136" s="5" t="s">
        <v>737</v>
      </c>
      <c r="B136" s="5" t="s">
        <v>679</v>
      </c>
      <c r="C136" s="28" t="s">
        <v>738</v>
      </c>
      <c r="D136" s="5" t="s">
        <v>343</v>
      </c>
      <c r="E136" s="22" t="s">
        <v>384</v>
      </c>
    </row>
    <row r="137" customFormat="false" ht="35.05" hidden="false" customHeight="false" outlineLevel="0" collapsed="false">
      <c r="A137" s="5" t="s">
        <v>739</v>
      </c>
      <c r="B137" s="5" t="s">
        <v>740</v>
      </c>
      <c r="C137" s="28" t="s">
        <v>741</v>
      </c>
      <c r="D137" s="5" t="s">
        <v>343</v>
      </c>
      <c r="E137" s="22" t="s">
        <v>344</v>
      </c>
    </row>
    <row r="138" customFormat="false" ht="35.05" hidden="false" customHeight="false" outlineLevel="0" collapsed="false">
      <c r="A138" s="5" t="s">
        <v>742</v>
      </c>
      <c r="B138" s="5" t="s">
        <v>740</v>
      </c>
      <c r="C138" s="28" t="s">
        <v>743</v>
      </c>
      <c r="D138" s="5" t="s">
        <v>343</v>
      </c>
      <c r="E138" s="22" t="s">
        <v>390</v>
      </c>
    </row>
    <row r="139" customFormat="false" ht="23.85" hidden="false" customHeight="false" outlineLevel="0" collapsed="false">
      <c r="A139" s="5" t="s">
        <v>744</v>
      </c>
      <c r="B139" s="5" t="s">
        <v>740</v>
      </c>
      <c r="C139" s="28" t="s">
        <v>745</v>
      </c>
      <c r="D139" s="5" t="s">
        <v>374</v>
      </c>
      <c r="E139" s="22" t="s">
        <v>375</v>
      </c>
    </row>
    <row r="140" customFormat="false" ht="23.85" hidden="false" customHeight="false" outlineLevel="0" collapsed="false">
      <c r="A140" s="5" t="s">
        <v>746</v>
      </c>
      <c r="B140" s="5" t="s">
        <v>740</v>
      </c>
      <c r="C140" s="28" t="s">
        <v>747</v>
      </c>
      <c r="D140" s="5" t="s">
        <v>396</v>
      </c>
      <c r="E140" s="22" t="s">
        <v>397</v>
      </c>
    </row>
    <row r="141" customFormat="false" ht="35.05" hidden="false" customHeight="false" outlineLevel="0" collapsed="false">
      <c r="A141" s="5" t="s">
        <v>748</v>
      </c>
      <c r="B141" s="5" t="s">
        <v>740</v>
      </c>
      <c r="C141" s="28" t="s">
        <v>749</v>
      </c>
      <c r="D141" s="5" t="s">
        <v>366</v>
      </c>
      <c r="E141" s="22" t="s">
        <v>367</v>
      </c>
    </row>
    <row r="142" customFormat="false" ht="35.05" hidden="false" customHeight="false" outlineLevel="0" collapsed="false">
      <c r="A142" s="5" t="s">
        <v>750</v>
      </c>
      <c r="B142" s="5" t="s">
        <v>740</v>
      </c>
      <c r="C142" s="28" t="s">
        <v>751</v>
      </c>
      <c r="D142" s="5" t="s">
        <v>350</v>
      </c>
      <c r="E142" s="22" t="s">
        <v>351</v>
      </c>
    </row>
    <row r="143" customFormat="false" ht="23.85" hidden="false" customHeight="false" outlineLevel="0" collapsed="false">
      <c r="A143" s="5" t="s">
        <v>752</v>
      </c>
      <c r="B143" s="5" t="s">
        <v>740</v>
      </c>
      <c r="C143" s="28" t="s">
        <v>753</v>
      </c>
      <c r="D143" s="5" t="s">
        <v>362</v>
      </c>
      <c r="E143" s="22" t="s">
        <v>363</v>
      </c>
    </row>
    <row r="144" customFormat="false" ht="46.25" hidden="false" customHeight="false" outlineLevel="0" collapsed="false">
      <c r="A144" s="5" t="s">
        <v>754</v>
      </c>
      <c r="B144" s="5" t="s">
        <v>740</v>
      </c>
      <c r="C144" s="28" t="s">
        <v>755</v>
      </c>
      <c r="D144" s="5" t="s">
        <v>343</v>
      </c>
      <c r="E144" s="22" t="s">
        <v>393</v>
      </c>
    </row>
    <row r="145" customFormat="false" ht="23.85" hidden="false" customHeight="false" outlineLevel="0" collapsed="false">
      <c r="A145" s="5" t="s">
        <v>756</v>
      </c>
      <c r="B145" s="5" t="s">
        <v>740</v>
      </c>
      <c r="C145" s="28" t="s">
        <v>757</v>
      </c>
      <c r="D145" s="5" t="s">
        <v>400</v>
      </c>
      <c r="E145" s="22" t="s">
        <v>401</v>
      </c>
    </row>
    <row r="146" customFormat="false" ht="35.05" hidden="false" customHeight="false" outlineLevel="0" collapsed="false">
      <c r="A146" s="5" t="s">
        <v>758</v>
      </c>
      <c r="B146" s="5" t="s">
        <v>740</v>
      </c>
      <c r="C146" s="28" t="s">
        <v>759</v>
      </c>
      <c r="D146" s="5" t="s">
        <v>496</v>
      </c>
      <c r="E146" s="22" t="s">
        <v>760</v>
      </c>
    </row>
    <row r="147" customFormat="false" ht="15" hidden="false" customHeight="false" outlineLevel="0" collapsed="false">
      <c r="A147" s="5" t="s">
        <v>761</v>
      </c>
      <c r="B147" s="5" t="s">
        <v>740</v>
      </c>
      <c r="C147" s="28" t="s">
        <v>762</v>
      </c>
      <c r="D147" s="5" t="s">
        <v>763</v>
      </c>
      <c r="E147" s="22" t="s">
        <v>764</v>
      </c>
    </row>
    <row r="148" customFormat="false" ht="46.25" hidden="false" customHeight="false" outlineLevel="0" collapsed="false">
      <c r="A148" s="5" t="s">
        <v>765</v>
      </c>
      <c r="B148" s="5" t="s">
        <v>740</v>
      </c>
      <c r="C148" s="28" t="s">
        <v>766</v>
      </c>
      <c r="D148" s="5" t="s">
        <v>343</v>
      </c>
      <c r="E148" s="5" t="s">
        <v>381</v>
      </c>
    </row>
    <row r="149" customFormat="false" ht="23.85" hidden="false" customHeight="false" outlineLevel="0" collapsed="false">
      <c r="A149" s="5" t="s">
        <v>767</v>
      </c>
      <c r="B149" s="5" t="s">
        <v>740</v>
      </c>
      <c r="C149" s="28" t="s">
        <v>768</v>
      </c>
      <c r="D149" s="5" t="s">
        <v>343</v>
      </c>
      <c r="E149" s="22" t="s">
        <v>378</v>
      </c>
    </row>
    <row r="150" customFormat="false" ht="35.05" hidden="false" customHeight="false" outlineLevel="0" collapsed="false">
      <c r="A150" s="5" t="s">
        <v>769</v>
      </c>
      <c r="B150" s="5" t="s">
        <v>740</v>
      </c>
      <c r="C150" s="28" t="s">
        <v>770</v>
      </c>
      <c r="D150" s="5" t="s">
        <v>343</v>
      </c>
      <c r="E150" s="22" t="s">
        <v>384</v>
      </c>
    </row>
    <row r="151" customFormat="false" ht="23.85" hidden="false" customHeight="false" outlineLevel="0" collapsed="false">
      <c r="A151" s="5" t="s">
        <v>771</v>
      </c>
      <c r="B151" s="5" t="s">
        <v>740</v>
      </c>
      <c r="C151" s="28" t="s">
        <v>772</v>
      </c>
      <c r="D151" s="5" t="s">
        <v>343</v>
      </c>
      <c r="E151" s="22" t="s">
        <v>387</v>
      </c>
    </row>
    <row r="152" customFormat="false" ht="23.85" hidden="false" customHeight="false" outlineLevel="0" collapsed="false">
      <c r="A152" s="5" t="s">
        <v>773</v>
      </c>
      <c r="B152" s="5" t="s">
        <v>740</v>
      </c>
      <c r="C152" s="28" t="s">
        <v>774</v>
      </c>
      <c r="D152" s="5" t="s">
        <v>343</v>
      </c>
      <c r="E152" s="22" t="s">
        <v>775</v>
      </c>
    </row>
    <row r="153" customFormat="false" ht="46.25" hidden="false" customHeight="false" outlineLevel="0" collapsed="false">
      <c r="A153" s="5" t="s">
        <v>776</v>
      </c>
      <c r="B153" s="5" t="s">
        <v>740</v>
      </c>
      <c r="C153" s="28" t="s">
        <v>777</v>
      </c>
      <c r="D153" s="5" t="s">
        <v>778</v>
      </c>
      <c r="E153" s="22" t="s">
        <v>378</v>
      </c>
    </row>
    <row r="154" customFormat="false" ht="35.05" hidden="false" customHeight="false" outlineLevel="0" collapsed="false">
      <c r="A154" s="5" t="s">
        <v>779</v>
      </c>
      <c r="B154" s="5" t="s">
        <v>740</v>
      </c>
      <c r="C154" s="28" t="s">
        <v>780</v>
      </c>
      <c r="D154" s="5" t="s">
        <v>778</v>
      </c>
      <c r="E154" s="5" t="s">
        <v>781</v>
      </c>
    </row>
    <row r="155" customFormat="false" ht="35.05" hidden="false" customHeight="false" outlineLevel="0" collapsed="false">
      <c r="A155" s="5" t="s">
        <v>782</v>
      </c>
      <c r="B155" s="5" t="s">
        <v>740</v>
      </c>
      <c r="C155" s="28" t="s">
        <v>783</v>
      </c>
      <c r="D155" s="5" t="s">
        <v>784</v>
      </c>
      <c r="E155" s="22" t="s">
        <v>785</v>
      </c>
    </row>
    <row r="156" customFormat="false" ht="35.05" hidden="false" customHeight="false" outlineLevel="0" collapsed="false">
      <c r="A156" s="5" t="s">
        <v>786</v>
      </c>
      <c r="B156" s="5" t="s">
        <v>740</v>
      </c>
      <c r="C156" s="28" t="s">
        <v>787</v>
      </c>
      <c r="D156" s="5" t="s">
        <v>454</v>
      </c>
      <c r="E156" s="22" t="s">
        <v>788</v>
      </c>
    </row>
    <row r="157" customFormat="false" ht="35.05" hidden="false" customHeight="false" outlineLevel="0" collapsed="false">
      <c r="A157" s="5" t="s">
        <v>789</v>
      </c>
      <c r="B157" s="5" t="s">
        <v>740</v>
      </c>
      <c r="C157" s="28" t="s">
        <v>790</v>
      </c>
      <c r="D157" s="5" t="s">
        <v>778</v>
      </c>
      <c r="E157" s="22" t="s">
        <v>791</v>
      </c>
    </row>
    <row r="158" customFormat="false" ht="23.85" hidden="false" customHeight="false" outlineLevel="0" collapsed="false">
      <c r="A158" s="5" t="s">
        <v>792</v>
      </c>
      <c r="B158" s="5" t="s">
        <v>740</v>
      </c>
      <c r="C158" s="28" t="s">
        <v>793</v>
      </c>
      <c r="D158" s="5" t="s">
        <v>778</v>
      </c>
      <c r="E158" s="22" t="s">
        <v>794</v>
      </c>
    </row>
    <row r="159" customFormat="false" ht="35.05" hidden="false" customHeight="false" outlineLevel="0" collapsed="false">
      <c r="A159" s="5" t="s">
        <v>795</v>
      </c>
      <c r="B159" s="5" t="s">
        <v>740</v>
      </c>
      <c r="C159" s="28" t="s">
        <v>796</v>
      </c>
      <c r="D159" s="5" t="s">
        <v>797</v>
      </c>
      <c r="E159" s="22" t="s">
        <v>798</v>
      </c>
    </row>
    <row r="160" customFormat="false" ht="35.05" hidden="false" customHeight="false" outlineLevel="0" collapsed="false">
      <c r="A160" s="5" t="s">
        <v>799</v>
      </c>
      <c r="B160" s="5" t="s">
        <v>740</v>
      </c>
      <c r="C160" s="28" t="s">
        <v>800</v>
      </c>
      <c r="D160" s="5" t="s">
        <v>801</v>
      </c>
      <c r="E160" s="22" t="s">
        <v>802</v>
      </c>
    </row>
    <row r="161" customFormat="false" ht="23.85" hidden="false" customHeight="false" outlineLevel="0" collapsed="false">
      <c r="A161" s="5" t="s">
        <v>803</v>
      </c>
      <c r="B161" s="5" t="s">
        <v>740</v>
      </c>
      <c r="C161" s="28" t="s">
        <v>804</v>
      </c>
      <c r="D161" s="5" t="s">
        <v>778</v>
      </c>
      <c r="E161" s="22" t="s">
        <v>805</v>
      </c>
    </row>
    <row r="162" customFormat="false" ht="23.85" hidden="false" customHeight="false" outlineLevel="0" collapsed="false">
      <c r="A162" s="5" t="s">
        <v>806</v>
      </c>
      <c r="B162" s="5" t="s">
        <v>740</v>
      </c>
      <c r="C162" s="28" t="s">
        <v>807</v>
      </c>
      <c r="D162" s="5" t="s">
        <v>801</v>
      </c>
      <c r="E162" s="22" t="s">
        <v>808</v>
      </c>
    </row>
    <row r="163" customFormat="false" ht="35.05" hidden="false" customHeight="false" outlineLevel="0" collapsed="false">
      <c r="A163" s="5" t="s">
        <v>809</v>
      </c>
      <c r="B163" s="5" t="s">
        <v>740</v>
      </c>
      <c r="C163" s="28" t="s">
        <v>810</v>
      </c>
      <c r="D163" s="5" t="s">
        <v>343</v>
      </c>
      <c r="E163" s="22" t="s">
        <v>510</v>
      </c>
    </row>
    <row r="164" customFormat="false" ht="35.05" hidden="false" customHeight="false" outlineLevel="0" collapsed="false">
      <c r="A164" s="5" t="s">
        <v>811</v>
      </c>
      <c r="B164" s="5" t="s">
        <v>740</v>
      </c>
      <c r="C164" s="28" t="s">
        <v>812</v>
      </c>
      <c r="D164" s="5" t="s">
        <v>447</v>
      </c>
      <c r="E164" s="22" t="s">
        <v>813</v>
      </c>
    </row>
    <row r="165" customFormat="false" ht="35.05" hidden="false" customHeight="false" outlineLevel="0" collapsed="false">
      <c r="A165" s="5" t="s">
        <v>814</v>
      </c>
      <c r="B165" s="5" t="s">
        <v>740</v>
      </c>
      <c r="C165" s="28" t="s">
        <v>815</v>
      </c>
      <c r="D165" s="5" t="s">
        <v>443</v>
      </c>
      <c r="E165" s="22" t="s">
        <v>816</v>
      </c>
    </row>
    <row r="166" customFormat="false" ht="35.05" hidden="false" customHeight="false" outlineLevel="0" collapsed="false">
      <c r="A166" s="5" t="s">
        <v>817</v>
      </c>
      <c r="B166" s="5" t="s">
        <v>740</v>
      </c>
      <c r="C166" s="28" t="s">
        <v>818</v>
      </c>
      <c r="D166" s="5" t="s">
        <v>425</v>
      </c>
      <c r="E166" s="22" t="s">
        <v>819</v>
      </c>
    </row>
    <row r="167" customFormat="false" ht="35.05" hidden="false" customHeight="false" outlineLevel="0" collapsed="false">
      <c r="A167" s="5" t="s">
        <v>820</v>
      </c>
      <c r="B167" s="5" t="s">
        <v>740</v>
      </c>
      <c r="C167" s="28" t="s">
        <v>821</v>
      </c>
      <c r="D167" s="5" t="s">
        <v>822</v>
      </c>
      <c r="E167" s="22" t="s">
        <v>823</v>
      </c>
    </row>
    <row r="168" customFormat="false" ht="35.05" hidden="false" customHeight="false" outlineLevel="0" collapsed="false">
      <c r="A168" s="5" t="s">
        <v>824</v>
      </c>
      <c r="B168" s="5" t="s">
        <v>740</v>
      </c>
      <c r="C168" s="28" t="s">
        <v>825</v>
      </c>
      <c r="D168" s="5" t="s">
        <v>826</v>
      </c>
      <c r="E168" s="22" t="s">
        <v>827</v>
      </c>
    </row>
    <row r="169" customFormat="false" ht="35.05" hidden="false" customHeight="false" outlineLevel="0" collapsed="false">
      <c r="A169" s="5" t="s">
        <v>828</v>
      </c>
      <c r="B169" s="5" t="s">
        <v>740</v>
      </c>
      <c r="C169" s="28" t="s">
        <v>829</v>
      </c>
      <c r="D169" s="5" t="s">
        <v>343</v>
      </c>
      <c r="E169" s="22" t="s">
        <v>830</v>
      </c>
    </row>
    <row r="170" customFormat="false" ht="35.05" hidden="false" customHeight="false" outlineLevel="0" collapsed="false">
      <c r="A170" s="5" t="s">
        <v>831</v>
      </c>
      <c r="B170" s="5" t="s">
        <v>740</v>
      </c>
      <c r="C170" s="28" t="s">
        <v>832</v>
      </c>
      <c r="D170" s="5" t="s">
        <v>343</v>
      </c>
      <c r="E170" s="22" t="s">
        <v>833</v>
      </c>
    </row>
    <row r="171" customFormat="false" ht="35.05" hidden="false" customHeight="false" outlineLevel="0" collapsed="false">
      <c r="A171" s="5" t="s">
        <v>834</v>
      </c>
      <c r="B171" s="5" t="s">
        <v>740</v>
      </c>
      <c r="C171" s="28" t="s">
        <v>835</v>
      </c>
      <c r="D171" s="5" t="s">
        <v>439</v>
      </c>
      <c r="E171" s="22" t="s">
        <v>836</v>
      </c>
    </row>
  </sheetData>
  <hyperlinks>
    <hyperlink ref="E5" r:id="rId1" display="https://www.sec.gov/Archives/edgar/data/0000001800/000162828026066601/abt-2026q3xexhibitx991.htm"/>
    <hyperlink ref="E6" r:id="rId2" display="https://www.sec.gov/Archives/edgar/data/0000001800/000162828026066601/abt-20261021.htm"/>
    <hyperlink ref="E7" r:id="rId3" display="https://www.sec.gov/Archives/edgar/data/1800/000162828026050134/abt-20260630.htm"/>
    <hyperlink ref="E8" r:id="rId4" display="https://www.sec.gov/Archives/edgar/data/1800/000162828026048377/abt-2026q2xexhibitx991.htm"/>
    <hyperlink ref="E9" r:id="rId5" display="https://www.sec.gov/Archives/edgar/data/1800/000162828026025365/abt-2026q1xexhibitx991.htm"/>
    <hyperlink ref="E10" r:id="rId6" display="https://www.sec.gov/Archives/edgar/data/1800/000162828026002982/abt-2025q4xexhibitx991.htm"/>
    <hyperlink ref="E11" r:id="rId7" display="https://www.sec.gov/Archives/edgar/data/1800/000162828026010185/abt-20251231.htm"/>
    <hyperlink ref="E12" r:id="rId8" display="https://www.sec.gov/Archives/edgar/data/1800/000162828026028357/abt-20260331.htm"/>
    <hyperlink ref="E13" r:id="rId9" display="https://www.sec.gov/Archives/edgar/data/0000001800/000110465926099247/tm2623675d1_ex99-1.htm"/>
    <hyperlink ref="E14" r:id="rId10" display="https://api.nasdaq.com/api/analyst/ABT/earnings-forecast"/>
    <hyperlink ref="E16" r:id="rId11" display="https://api.twelvedata.com/quote?symbol=ABT"/>
    <hyperlink ref="E17" r:id="rId12" display="https://data.sec.gov/api/xbrl/companyfacts/CIK0000001800.json"/>
    <hyperlink ref="E18" r:id="rId13" display="https://www.sec.gov/Archives/edgar/data/0000001800/000110465926117587/tm2627971d1_ex99-1.htm"/>
    <hyperlink ref="E19" r:id="rId14" display="https://www.investing.com/news/transcripts/earnings-call-transcript-abbott-q3-2026-results-show-growth-but-shares-fall-93CH-4963517"/>
    <hyperlink ref="E20" r:id="rId15" display="https://oag.ca.gov/news/press-releases/attorney-general-bonta-us-coalition-secure-385-million-settlement-abbott-over"/>
    <hyperlink ref="E21" r:id="rId16" display="https://www.medtechdive.com/news/cms-final-rule-diabetes-competitive-bidding/806719/"/>
    <hyperlink ref="E22" r:id="rId17" display="https://www.foodingredientsfirst.com/news/abbott-completes-separation-of-research-based-pharmaceuticals-business.html"/>
    <hyperlink ref="E23" r:id="rId18" display="https://www.sec.gov/Archives/edgar/data/0001551152/000104746914001154/a2217723z10-k.htm"/>
    <hyperlink ref="E24" r:id="rId19" display="https://www.sec.gov/Archives/edgar/data/0000001800/000162828026066601/abt-2026q3xexhibitx991.htm"/>
    <hyperlink ref="E25" r:id="rId20" display="https://www.sec.gov/Archives/edgar/data/1800/000162828026050134/abt-20260630.htm"/>
    <hyperlink ref="E26" r:id="rId21" display="https://www.sec.gov/Archives/edgar/data/1800/000162828026010185/abt-20251231.htm"/>
    <hyperlink ref="E27" r:id="rId22" display="https://www.sec.gov/Archives/edgar/data/1800/000162828026048377/abt-2026q2xexhibitx991.htm"/>
    <hyperlink ref="E28" r:id="rId23" display="https://www.sec.gov/Archives/edgar/data/0000001800/000110465926117587/tm2627971d1_ex99-1.htm"/>
    <hyperlink ref="E29" r:id="rId24" display="https://www.investing.com/news/transcripts/earnings-call-transcript-abbott-q3-2026-results-show-growth-but-shares-fall-93CH-4963517"/>
    <hyperlink ref="E30" r:id="rId25" display="https://www.sec.gov/Archives/edgar/data/0001093557/000109355726000142/dxcm06302026-exhibit991.htm"/>
    <hyperlink ref="E31" r:id="rId26" display="https://www.medtechdive.com/news/cms-final-rule-diabetes-competitive-bidding/806719/"/>
    <hyperlink ref="E32" r:id="rId27" display="https://www.cms.gov/newsroom/fact-sheets/durable-medical-equipment-prosthetics-orthotics-supplies-competitive-bidding-program-updates"/>
    <hyperlink ref="E33" r:id="rId28" display="https://qsight.guidepoint.com/blog/inside-the-pulsed-field-ablation-market-2026/"/>
    <hyperlink ref="E34" r:id="rId29" display="https://www.sec.gov/Archives/edgar/data/0000200406/000020040626000189/a2026q3exhibit991.htm"/>
    <hyperlink ref="E35" r:id="rId30" display="https://news.bostonscientific.com/2026-07-29-Boston-Scientific-announces-results-for-second-quarter-2026"/>
    <hyperlink ref="E36" r:id="rId31" display="https://finviz.com/news/387222/medtronic-reports-first-quarter-fiscal-2027-results-delivers-broad-based-portfolio-performance-and-raises-fiscal-2027-guidance"/>
    <hyperlink ref="E37" r:id="rId32" display="https://www.1stoncology.com/blog/?p=112527"/>
    <hyperlink ref="E38" r:id="rId33" display="https://www.mddionline.com/business/china-market-squashes-siemens-healthineers-2026-potential-spin-off-on-the-horizon"/>
    <hyperlink ref="E39" r:id="rId34" display="https://www.biospectrumindia.com/news/16/28658/indian-pharma-market-records-13-5-value-growth-volume-growth-rises-to-3-in-september-2026.html"/>
    <hyperlink ref="E40" r:id="rId35" display="https://news.bgov.com/litigation/abbott-will-pay-670-million-to-end-2-000-infant-formula-claims"/>
    <hyperlink ref="E41" r:id="rId36" display="https://www.industrial-production-worldwide.com/news/nestle-reports-sales-chf-213-billion-first-quarter-2026"/>
    <hyperlink ref="E43" r:id="rId37" display="https://data.sec.gov/api/xbrl/companyfacts/CIK0000001800.json"/>
    <hyperlink ref="E44" r:id="rId38" display="https://api.nasdaq.com/api/analyst/ABT/earnings-forecast"/>
    <hyperlink ref="E45" r:id="rId39" display="https://www.sec.gov/Archives/edgar/data/1800/000162828026002982/abt-2025q4xexhibitx991.htm"/>
    <hyperlink ref="E46" r:id="rId40" display="https://www.millerandzois.com/products-liability/amp/formula-nec-lawsuit/nec"/>
    <hyperlink ref="E47" r:id="rId41" display="https://oag.ca.gov/news/press-releases/attorney-general-bonta-us-coalition-secure-385-million-settlement-abbott-over"/>
    <hyperlink ref="E48" r:id="rId42" display="https://www.dlapiper.com/en/insights/publications/2025/12/cms-dmepos-competitive-bidding-program-redux"/>
    <hyperlink ref="E49" r:id="rId43" display="https://www.michbio.org/news/medical-device-industry-watches-key-deadlines-in-federal-tariff-investigation"/>
    <hyperlink ref="E50" r:id="rId44" display="https://manufacturingchemist.com/abbott-hit-with-multiple-fda-complaints-warning-letter"/>
    <hyperlink ref="E51" r:id="rId45" display="https://www.fox29.com/news/some-freestyle-libre-3-freestyle-libre-3-sensors-recalled"/>
    <hyperlink ref="E52" r:id="rId46" display="https://finviz.com/news/399830/dexcom-schedules-third-quarter-2026-earnings-release-and-conference-call-for-october-29-2026-at-4-30-pm-eastern-time"/>
    <hyperlink ref="E53" r:id="rId47" display="https://api.twelvedata.com/quote?symbol=ABT"/>
    <hyperlink ref="E54" r:id="rId48" display="https://www.medtechdive.com/news/dexcom-seeks-expanded-medicare-coverage-of-cgms-for-type-2-diabetes/812223/"/>
    <hyperlink ref="E55" r:id="rId49" display="https://www.sec.gov/Archives/edgar/data/0000001800/000162828026066601/abt-2026q3xexhibitx991.htm"/>
    <hyperlink ref="E56" r:id="rId50" display="https://www.sec.gov/Archives/edgar/data/1800/000162828026066601/abt-20261021.htm"/>
    <hyperlink ref="E57" r:id="rId51" display="https://www.sec.gov/Archives/edgar/data/1800/000162828026050134/abt-20260630.htm"/>
    <hyperlink ref="E58" r:id="rId52" display="https://www.sec.gov/Archives/edgar/data/1800/000162828026010185/abt-20251231.htm"/>
    <hyperlink ref="E59" r:id="rId53" display="https://www.sec.gov/Archives/edgar/data/1800/000162828026048377/abt-2026q2xexhibitx991.htm"/>
    <hyperlink ref="E60" r:id="rId54" display="https://www.sec.gov/Archives/edgar/data/0000001800/000110465926099247/tm2623675d1_ex99-1.htm"/>
    <hyperlink ref="E61" r:id="rId55" display="https://www.newstribune.com/news/2026/may/07/court-upholds-495-million-verdict-against-abbott/"/>
    <hyperlink ref="E62" r:id="rId56" display="https://oag.ca.gov/news/press-releases/attorney-general-bonta-us-coalition-secure-385-million-settlement-abbott-over"/>
    <hyperlink ref="E63" r:id="rId57" display="https://www.foodsafetynews.com/2026/09/abbott-hit-with-almost-390-million-to-settle-false-claims-allegation-about-infant-formula/"/>
    <hyperlink ref="E64" r:id="rId58" display="https://www.ktvu.com/news/some-freestyle-libre-3-freestyle-libre-3-sensors-recalled"/>
    <hyperlink ref="E65" r:id="rId59" display="https://www.mddionline.com/regulatory-quality/fda-hits-abbott-with-warning-letter-over-freestyle-libre-cgms"/>
    <hyperlink ref="E66" r:id="rId60" display="https://www.aboutlawsuits.com/freestyle-libre-3-lawsuit/freestyle-libre-3-class-action-lawsuit-abbott-sold-defective-glucose-monitors/"/>
    <hyperlink ref="E67" r:id="rId61" display="https://www.webull.ca/news-detail/15441024838353920"/>
    <hyperlink ref="E68" r:id="rId62" display="https://www.tipranks.com/news/the-fly/abbott-pricing-in-higher-nec-liability-than-expected-says-jefferies"/>
    <hyperlink ref="E69" r:id="rId63" display="https://seekingalpha.com/article/4846632-abbott-laboratories-not-passing-test-after-buying-test-maker-exact-sciences"/>
    <hyperlink ref="E70" r:id="rId64" display="https://api.nasdaq.com/api/analyst/ABT/earnings-forecast"/>
    <hyperlink ref="E71" r:id="rId65" display="https://www.medtechdive.com/news/dexcom-abbott-await-medicare-coverage-expansion-for-cgms/828775/"/>
    <hyperlink ref="E72" r:id="rId66" display="https://medtechdive.com/news/abbott-lowers-earnings-forecast-after-21b-exact-sciences-buy/817708/"/>
    <hyperlink ref="E73" r:id="rId67" display="https://www.law360.com/articles/2505659"/>
    <hyperlink ref="E74" r:id="rId68" display="https://akrostec.com/indices/OBCI/events/2026-03-24t00-00-00z-abbott-laboratories-abt-other-037934a8"/>
    <hyperlink ref="E76" r:id="rId69" display="https://api.twelvedata.com/quote?symbol=ABT"/>
    <hyperlink ref="E77" r:id="rId70" display="https://www.medtechdive.com/news/guardant-colon-cancer-blood-test-results/710529/"/>
    <hyperlink ref="E78" r:id="rId71" display="https://www.hudson-labs.com/research/abbott-q3-2026-earnings-preview-abt-revenue-guidance-key-drivers"/>
    <hyperlink ref="E79" r:id="rId72" display="https://www.sec.gov/Archives/edgar/data/0000001800/000110465926117587/tm2627971d1_ex99-1.htm"/>
    <hyperlink ref="E80" r:id="rId73" display="https://www.investing.com/news/transcripts/earnings-call-transcript-abbott-q3-2026-results-show-growth-but-shares-fall-93CH-4963517"/>
    <hyperlink ref="E81" r:id="rId74" display="https://www.medtechdive.com/news/cms-final-rule-diabetes-competitive-bidding/806719/"/>
    <hyperlink ref="E82" r:id="rId75" display="https://www.mddionline.com/medical-device-regulations/trump-finds-new-way-to-tariff-medical-devices-via-section-232"/>
    <hyperlink ref="E83" r:id="rId76" display="https://api.twelvedata.com/quote?symbol=ABT"/>
    <hyperlink ref="E84" r:id="rId77" display="https://www.aol.com/news/patients-alarmed-glucose-monitors-used-161940272.html"/>
    <hyperlink ref="E85" r:id="rId78" display="https://www.sec.gov/Archives/edgar/data/0000001800/000162828026066601/abt-2026q3xexhibitx991.htm"/>
    <hyperlink ref="E86" r:id="rId79" display="https://www.sec.gov/Archives/edgar/data/1800/000162828026050134/abt-20260630.htm"/>
    <hyperlink ref="E87" r:id="rId80" display="https://www.sec.gov/Archives/edgar/data/1800/000162828026010185/abt-20251231.htm"/>
    <hyperlink ref="E88" r:id="rId81" display="https://www.sec.gov/Archives/edgar/data/1800/000162828026002982/abt-2025q4xexhibitx991.htm"/>
    <hyperlink ref="E89" r:id="rId82" display="https://www.sec.gov/Archives/edgar/data/0000001800/000110465926117587/tm2627971d1_ex99-1.htm"/>
    <hyperlink ref="E90" r:id="rId83" display="https://www.investing.com/news/transcripts/earnings-call-transcript-abbott-q3-2026-results-show-growth-but-shares-fall-93CH-4963517"/>
    <hyperlink ref="E92" r:id="rId84" display="https://api.nasdaq.com/api/analyst/ABT/earnings-forecast"/>
    <hyperlink ref="E93" r:id="rId85" display="https://www.sec.gov/Archives/edgar/data/0001093557/000109355726000072/dxcm3312026-exhibit991.htm"/>
    <hyperlink ref="E94" r:id="rId86" display="https://www.mddionline.com/regulatory-quality/fda-hits-abbott-with-warning-letter-over-freestyle-libre-cgms"/>
    <hyperlink ref="E95" r:id="rId87" display="https://247wallst.com/investing/2026/06/25/buy-hold-or-sell-tech-compression-dragged-abbott-labs-under-91-but-1-massive-diabetes-catalyst-makes-it-a-screaming-buy/"/>
    <hyperlink ref="E96" r:id="rId88" display="https://www.tikr.com/blog/abbott-stock-down-38-in-2026-does-the-23-billion-exact-sciences-acquisition-change-the-math"/>
    <hyperlink ref="E97" r:id="rId89" display="https://finance.yahoo.com/markets/stocks/articles/abbott-price-prediction-where-stock-114911281.html"/>
    <hyperlink ref="E98" r:id="rId90" display="https://seekingalpha.com/article/4893904-abbott-laboratories-buying-healthcare-giant-on-sale"/>
    <hyperlink ref="E99" r:id="rId91" display="https://pluang.com/en/news-feed/abbott-abt-tiga-supercycle-dan-penilaian-rendah-10-tahun"/>
    <hyperlink ref="E100" r:id="rId92" display="https://seekingalpha.com/article/4919753-abbott-laboratories-q2-earnings-preview-a-contrarian-buy-opportunity-worth-considering"/>
    <hyperlink ref="E101" r:id="rId93" display="https://mwm.ai/de/apps/lingo-by-abbott/1670445335"/>
    <hyperlink ref="E102" r:id="rId94" display="https://www.similarweb.com/app/google/com.abbott.adc.freestyle.libre.au/"/>
    <hyperlink ref="E103" r:id="rId95" display="https://meddeviceguide.com/blog/fda-cgm-recalls-maude-dexcom-abbott-teardown"/>
    <hyperlink ref="E104" r:id="rId96" display="https://forum.breakthrought1d.org/t/freestyle-libre-2-3-dexcom-g7/72770"/>
    <hyperlink ref="E105" r:id="rId97" display="https://connect.mayoclinic.org/comment/1454721/"/>
    <hyperlink ref="E106" r:id="rId98" display="https://www.harrismartin.com/publications/4/drugs/articles/79071/abbott-sued-in-wake-of-continuous-glucose-monitor-recall/"/>
    <hyperlink ref="E107" r:id="rId99" display="https://www.medicaldevice-network.com/news/dexcom-reports-2025-revenue-of-4-bn-yet-2026-outlook-lags-analyst-expectations/"/>
    <hyperlink ref="E108" r:id="rId100" display="https://www.earningswhispers.com/stocks/abt"/>
    <hyperlink ref="E109" r:id="rId101" display="https://wearablebeat.com/articles/abbott-lingo-review-two-weeks-with-the-otc-glucose-biosensor/"/>
    <hyperlink ref="E110" r:id="rId102" display="https://www.walmart.com/ip/16919521087"/>
    <hyperlink ref="E111" r:id="rId103" display="https://www.sec.gov/Archives/edgar/data/0000001800/000110465926099247/tm2623675d1_ex99-1.htm"/>
    <hyperlink ref="E112" r:id="rId104" display="https://oag.ca.gov/news/press-releases/attorney-general-bonta-us-coalition-secure-385-million-settlement-abbott-over"/>
    <hyperlink ref="E113" r:id="rId105" display="https://www.medtechdive.com/news/cms-final-rule-diabetes-competitive-bidding/806719/"/>
    <hyperlink ref="E114" r:id="rId106" display="https://api.twelvedata.com/quote?symbol=ABT"/>
    <hyperlink ref="E115" r:id="rId107" display="https://www.sec.gov/Archives/edgar/data/0000001800/000162828026066601/abt-2026q3xexhibitx991.htm"/>
    <hyperlink ref="E116" r:id="rId108" display="https://www.sec.gov/Archives/edgar/data/1800/000162828026050134/abt-20260630.htm"/>
    <hyperlink ref="E117" r:id="rId109" display="https://www.sec.gov/Archives/edgar/data/1800/000162828026002982/abt-2025q4xexhibitx991.htm"/>
    <hyperlink ref="E118" r:id="rId110" display="https://www.sec.gov/Archives/edgar/data/1800/000162828026010185/abt-20251231.htm"/>
    <hyperlink ref="E119" r:id="rId111" display="https://api.nasdaq.com/api/analyst/ABT/earnings-forecast"/>
    <hyperlink ref="E120" r:id="rId112" display="https://bigdata.com"/>
    <hyperlink ref="E121" r:id="rId113" display="https://www.suredividend.com/wp-content/uploads/2026/04/ABT-2026-04-25.pdf"/>
    <hyperlink ref="E122" r:id="rId114" display="https://api.twelvedata.com/time_series?symbol=ABT&amp;interval=1month&amp;outputsize=320"/>
    <hyperlink ref="E123" r:id="rId115" display="https://polymarket.com/event/us-recession-by-end-of-2027-20260807185409760"/>
    <hyperlink ref="E124" r:id="rId116" display="https://polymarket.com/event/fed-decision-in-december-20260729232808632"/>
    <hyperlink ref="E125" r:id="rId117" display="https://polymarket.com/event/what-will-fed-rate-hit-before-2027"/>
    <hyperlink ref="E126" r:id="rId118" display="https://econbrowser.com/archives/2026/03/betting-on-recession-2026-up-to-32-fm-21-pre-war"/>
    <hyperlink ref="E127" r:id="rId119" display="https://www.trefis.com/stock/abt/articles/596816/why-is-abbott-stock-trending-lower/2026-04-17"/>
    <hyperlink ref="E128" r:id="rId120" display="https://www.ktvu.com/news/some-freestyle-libre-3-freestyle-libre-3-sensors-recalled"/>
    <hyperlink ref="E129" r:id="rId121" display="https://www.newstribune.com/news/2026/aug/23/abbott-laboratories-to-pay-670m-to-settle-cases/"/>
    <hyperlink ref="E130" r:id="rId122" display="https://www.investing.com/news/transcripts/earnings-call-transcript-abbott-q3-2026-results-show-growth-but-shares-fall-93CH-4963517"/>
    <hyperlink ref="E131" r:id="rId123" display="https://www.sec.gov/Archives/edgar/data/0000001800/000110465926117587/tm2627971d1_ex99-1.htm"/>
    <hyperlink ref="E132" r:id="rId124" display="https://www.medtechdive.com/news/cms-final-rule-diabetes-competitive-bidding/806719/"/>
    <hyperlink ref="E133" r:id="rId125" display="https://oag.ca.gov/news/press-releases/attorney-general-bonta-us-coalition-secure-385-million-settlement-abbott-over"/>
    <hyperlink ref="E134" r:id="rId126" display="https://japan.hl.com/images/pdf/2022-spin-off-transaction-study-1-1.pdf"/>
    <hyperlink ref="E135" r:id="rId127" display="https://www.sec.gov/Archives/edgar/data/1800/000104746913000015/a2212294zex-99_1.htm"/>
    <hyperlink ref="E136" r:id="rId128" display="https://api.twelvedata.com/quote?symbol=ABT"/>
    <hyperlink ref="E137" r:id="rId129" display="https://www.sec.gov/Archives/edgar/data/0000001800/000162828026066601/abt-2026q3xexhibitx991.htm"/>
    <hyperlink ref="E138" r:id="rId130" display="https://www.sec.gov/Archives/edgar/data/0000001800/000110465926117587/tm2627971d1_ex99-1.htm"/>
    <hyperlink ref="E139" r:id="rId131" display="https://www.sec.gov/Archives/edgar/data/0000001800/000110465926099247/tm2623675d1_ex99-1.htm"/>
    <hyperlink ref="E140" r:id="rId132" display="https://oag.ca.gov/news/press-releases/attorney-general-bonta-us-coalition-secure-385-million-settlement-abbott-over"/>
    <hyperlink ref="E141" r:id="rId133" display="https://www.sec.gov/Archives/edgar/data/1800/000162828026010185/abt-20251231.htm"/>
    <hyperlink ref="E142" r:id="rId134" display="https://www.sec.gov/Archives/edgar/data/1800/000162828026050134/abt-20260630.htm"/>
    <hyperlink ref="E143" r:id="rId135" display="https://www.sec.gov/Archives/edgar/data/1800/000162828026002982/abt-2025q4xexhibitx991.htm"/>
    <hyperlink ref="E144" r:id="rId136" display="https://www.investing.com/news/transcripts/earnings-call-transcript-abbott-q3-2026-results-show-growth-but-shares-fall-93CH-4963517"/>
    <hyperlink ref="E145" r:id="rId137" display="https://www.medtechdive.com/news/cms-final-rule-diabetes-competitive-bidding/806719/"/>
    <hyperlink ref="E146" r:id="rId138" display="https://www.fda.gov/medical-devices/medical-device-recalls-and-early-alerts/glucose-monitor-sensor-recall-abbott-diabetes-care-removes-certain-freestyle-libre-3-and-freestyle"/>
    <hyperlink ref="E147" r:id="rId139" display="https://www.aha.org/news/headline/2026-02-04-fda-issues-most-serious-recall-certain-glucose-monitor-sensors"/>
    <hyperlink ref="E149" r:id="rId140" display="https://api.nasdaq.com/api/analyst/ABT/earnings-forecast"/>
    <hyperlink ref="E150" r:id="rId141" display="https://api.twelvedata.com/quote?symbol=ABT"/>
    <hyperlink ref="E151" r:id="rId142" display="https://data.sec.gov/api/xbrl/companyfacts/CIK0000001800.json"/>
    <hyperlink ref="E152" r:id="rId143" display="https://www.sec.gov/Archives/edgar/data/1800/000110465926117587/"/>
    <hyperlink ref="E153" r:id="rId144" display="https://api.nasdaq.com/api/analyst/ABT/earnings-forecast"/>
    <hyperlink ref="E155" r:id="rId145" display="https://corporate.webassets.siemens-healthineers.com/27e870939440c820/5d24c103f324/Vara-Consensus---Siemens-Healthineeres-Earnings-Estimates-2026-08-27.xlsx"/>
    <hyperlink ref="E156" r:id="rId146" display="https://corporate.webassets.siemens-healthineers.com/2637d4a46dbcd161/a3335cc16ed1/siemens-healthineers-Q3_FY2026_Earnings-Release-and-Financial-Results.pdf"/>
    <hyperlink ref="E157" r:id="rId147" display="https://www.marketscreener.com/quote/stock/SIEMENS-HEALTHINEERS-AG-42379342/finances/"/>
    <hyperlink ref="E158" r:id="rId148" display="https://www.marketscreener.com/quote/stock/TERUMO-CORPORATION-6491240/finances/"/>
    <hyperlink ref="E159" r:id="rId149" display="https://www.terumo.com/system/files/document/2026-10/Press%20Release_20261008_E.pdf"/>
    <hyperlink ref="E160" r:id="rId150" display="https://www.terumo.com/system/files/document/2026-08/FinancialResults_27Q1_E.pdf"/>
    <hyperlink ref="E161" r:id="rId151" display="https://www.marketscreener.com/quote/stock/OLYMPUS-CORPORATION-6491236/finances/"/>
    <hyperlink ref="E162" r:id="rId152" display="https://www.olympus-global.com/ir/data/brief/pdf/03_presentation_Q1FY2027_en.pdf"/>
    <hyperlink ref="E163" r:id="rId153" display="https://www.sec.gov/Archives/edgar/data/1800/000162828026066601/abt-20261021.htm"/>
    <hyperlink ref="E164" r:id="rId154" display="https://www.sec.gov/Archives/edgar/data/1613103/000162828026059697/exhibit991-fy27q1earningsr.htm"/>
    <hyperlink ref="E165" r:id="rId155" display="https://www.sec.gov/Archives/edgar/data/885725/000088572526000051/q22026earningsrelease.htm"/>
    <hyperlink ref="E166" r:id="rId156" display="https://www.sec.gov/Archives/edgar/data/310764/000031076426000048/sykex991earningsq22026.htm"/>
    <hyperlink ref="E167" r:id="rId157" display="https://www.sec.gov/Archives/edgar/data/10795/000162828026053790/ex9916302026.htm"/>
    <hyperlink ref="E168" r:id="rId158" display="https://www.sec.gov/Archives/edgar/data/1136869/000119312526333761/zbh-ex99_1.htm"/>
    <hyperlink ref="E169" r:id="rId159" display="https://www.sec.gov/Archives/edgar/data/97745/000009774526000173/q32026earnings8kex99_1.htm"/>
    <hyperlink ref="E170" r:id="rId160" display="https://www.sec.gov/Archives/edgar/data/313616/000031361626000201/dhr-20261021xex991.htm"/>
    <hyperlink ref="E171" r:id="rId161" display="https://www.sec.gov/Archives/edgar/data/200406/000020040626000189/a2026q3exhibit991.ht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2026-10-30T22:15:54Z</dcterms:created>
  <dc:creator>openpyxl</dc:creator>
  <dc:description/>
  <dc:language>en-US</dc:language>
  <cp:lastModifiedBy/>
  <dcterms:modified xsi:type="dcterms:W3CDTF">2026-10-30T22:15:54Z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