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<sst xmlns="http://schemas.openxmlformats.org/spreadsheetml/2006/main" count="1188" uniqueCount="815">
  <si>
    <t xml:space="preserve">NVDA 12-month price target model</t>
  </si>
  <si>
    <t xml:space="preserve">Close 2026-10-30 · agents' research 2026-10-26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</si>
  <si>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</si>
  <si>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</si>
  <si>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</si>
  <si>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</si>
  <si>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</si>
  <si>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</si>
  <si>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</si>
  <si>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</si>
  <si>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</si>
  <si>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</si>
  <si>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</si>
  <si>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</si>
  <si>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51 analysts, https://stockanalysis.com/stocks/nvda/forecast/ as of 2026-10-30</t>
  </si>
  <si>
    <t xml:space="preserve">Use supervisor ladder (1 = yes)</t>
  </si>
  <si>
    <t xml:space="preserve">Supervisor confidence: low; its ladder replaces the agents' mean only when high</t>
  </si>
  <si>
    <t xml:space="preserve">Platt log shift of the agents' curve</t>
  </si>
  <si>
    <t xml:space="preserve">combine.py: P(close &gt;= spot) 0.768 Platt-scaled (a = 1.732) to 0.768,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</si>
  <si>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</si>
  <si>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</si>
  <si>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</si>
  <si>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2026-10-30;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</si>
  <si>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</si>
  <si>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</si>
  <si>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</si>
  <si>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</si>
  <si>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</si>
  <si>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</si>
  <si>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</si>
  <si>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</si>
  <si>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</si>
  <si>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 4</t>
  </si>
  <si>
    <t xml:space="preserve">Agent 5</t>
  </si>
  <si>
    <t xml:space="preserve">Agents' average</t>
  </si>
  <si>
    <t xml:space="preserve">Agents' median</t>
  </si>
  <si>
    <t xml:space="preserve">Supervisor's reconciled research target (12m)</t>
  </si>
  <si>
    <t xml:space="preserve">Model update 2026-10-26 (update): SBC counted as a cost (Kilian card 2026-10-27 17:12Z "Expense it on NVDA now"): gm and opex now include SBC (NVIDIA non-GAAP basis), fcf_conv on after-SBC net income, and the P/E exit multiple re-set on the same as-published basis (peer median 30.12x, own 15.09x, k = 0.8: 17.33x, was 16.73x ex-SBC). Research target (12m) $263.97 -&gt; $262.70 (engine: P/E (ntm) $281.75 x 0.6; FCF yield (ntm) $234.12 x 0.4; scenarios bear $160.19 / base $262.70 / bull $376.02, median $260.62). Multiples and values quoted in the older text below are superseded by these. EXIT k=0.8 RE-SET 2026-10-26 (Kilian card 12:16Z: exit = peer median x (own / median)^0.8): P/E 16.0x -&gt; 16.73x. Research target (12m) $256.65 -&gt; $263.97 (engine: multiple: P/E (ntm) $279.54 x 0.6; multiple: FCF yield (ntm) $240.61 x 0.4; scenarios bear $160.87 / base $263.97 / bull $377.93, median $261.88). Multiples and values quoted in the older text below are superseded by these. Model update 2026-10-23 (update): peer set refreshed to Kilian's approved AVGO, AMD, MRVL, TSM (ANET networking context only; China/Korea/India excluded); P/E kept at 16.0x vs the 18.48x AVGO/TSM anchor and 27.34x 4-peer median (ex-SBC basis), so the engine value is unchanged at 256.65, +21.7% vs the 2026-10-23 close of 210.96 (256.65 / 210.96 - 1). Base-round (2026-10-05, spot $236.88) supervisor reasoning, kept for the record: P/E leg: consistent Oct-2027 NTM EPS (Q3 FY28-Q2 FY29) $17.1 = H2 FY28 consensus $8.90 + H1 FY29 ~$8.5 (FY29 +13-15%), less ~2% for memory-cost GM risk; x 16x = $274, weight 60%. FCF leg: $17.1 x 23.9B shares = $409B NI x 72% = $12.3/share at a 5.0% yield = $246, plus ~$1/share true net cash = $247, weight 40%. Blend ~$263 (+11% vs the 10-05 spot $236.88; +24.7% vs 210.96). Agent mean is $266 and median $260. The gap to the mean is agent_4's 17x / 4.5% yield.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</si>
  <si>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</si>
  <si>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</si>
  <si>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</si>
  <si>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</si>
  <si>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</si>
  <si>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</si>
  <si>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</si>
  <si>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</si>
  <si>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</si>
  <si>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</si>
  <si>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</si>
  <si>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</si>
  <si>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</si>
  <si>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</si>
  <si>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noise floor (2 x 1M IV))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</si>
  <si>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</si>
  <si>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</si>
  <si>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</si>
  <si>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</si>
  <si>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</si>
  <si>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</si>
  <si>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</si>
  <si>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</si>
  <si>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</si>
  <si>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</si>
  <si>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</si>
  <si>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</si>
  <si>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</si>
  <si>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</si>
  <si>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</si>
  <si>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</si>
  <si>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</si>
  <si>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</si>
  <si>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</si>
  <si>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NVDA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</si>
  <si>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</si>
  <si>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</si>
  <si>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</si>
  <si>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</si>
  <si>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</si>
  <si>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</si>
  <si>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</si>
  <si>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</si>
  <si>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</si>
  <si>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</si>
  <si>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</si>
  <si>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NVDA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</si>
  <si>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</si>
  <si>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</si>
  <si>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</si>
  <si>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</si>
  <si>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</si>
  <si>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</si>
  <si>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</si>
  <si>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</si>
  <si>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</si>
  <si>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</si>
  <si>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</si>
  <si>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</si>
  <si>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</si>
  <si>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</si>
  <si>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</si>
  <si>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</si>
  <si>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</si>
  <si>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</si>
  <si>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NVDA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</si>
  <si>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</si>
  <si>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</si>
  <si>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</si>
  <si>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</si>
  <si>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</si>
  <si>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</si>
  <si>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</si>
  <si>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</si>
  <si>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P/E</t>
  </si>
  <si>
    <t xml:space="preserve">Consistent NTM EPS at Oct-2027 (Q3 FY28-Q2 FY29) ~$17.5 x 16x; break-even 13.5x</t>
  </si>
  <si>
    <t xml:space="preserve">FCF yield</t>
  </si>
  <si>
    <t xml:space="preserve">NTM FCF ~$300B (72% of ~$416B NI) at 5.0% yield + $23.2B net cash + $34.2B haircut equity stakes, 23.8B shares</t>
  </si>
  <si>
    <t xml:space="preserve">Blended value</t>
  </si>
  <si>
    <t xml:space="preserve">Stated research target (12m)</t>
  </si>
  <si>
    <t xml:space="preserve">Blend of 16x consistent-basis NTM EPS at Oct-2027 (Q3 FY28-Q2 FY29 ~$17.5) = $280 (60%) and a 5.0% FCF yield on ~$300B NTM FCF plus $57B of net cash and haircut equity stakes over 23.8B shares = $255 (40%); blended ~$270. Break-even multiple on $17.5 is 13.5x, so 16x already absorbs ~17% further de-rating from today's 19.3-19.5x.</t>
  </si>
  <si>
    <t xml:space="preserve">Oct-2027 NTM EPS (Q3 FY28-Q2 FY29, same window as today's 19.3-19.5x) $16.9 x 16x</t>
  </si>
  <si>
    <t xml:space="preserve">NTM NI $16.9 x 23.9B shares = $404B; 72% conversion = $291B FCF = $12.2/share; 5.0% yield = $243; + ~$2/share net cash</t>
  </si>
  <si>
    <t xml:space="preserve">Blend of P/E (Oct-2027 NTM EPS, Q3 FY28-Q2 FY29, $16.9 x 16x = $270, weight 0.6) and FCF yield (NTM NI $404B x 72% conversion = ~$12.2 FCF/share at a 5.0% yield = $243 plus ~$2/share net cash = $245, weight 0.4), giving ~$260 (+10%). Down from $287: FCF conversion cut from 90% to 72% after the supervisor's filing check, FY29 growth cut from +18% to +13% because Big-4 2027 capex consensus is only +28%, and the horizon multiple lowered from 17x to 16x.</t>
  </si>
  <si>
    <t xml:space="preserve">Horizon NTM EPS (Q3 FY28-Q2 FY29) $16.7 x 16x = $267.7, + $2.35/share net cash, haircut equity stakes, less expected guarantee and commitment losses</t>
  </si>
  <si>
    <t xml:space="preserve">$399B NTM NI x 70% conversion = $279B / 23.9B shares = $11.68/share at 5.0% yield = $233.6, + $2.35</t>
  </si>
  <si>
    <t xml:space="preserve">other</t>
  </si>
  <si>
    <t xml:space="preserve">Mid-cycle EPS $13.6 (avg FY27-29E) x 16x = $217.6, + $2.35</t>
  </si>
  <si>
    <t xml:space="preserve">Blend of horizon P/E (consistent Q3 FY28-Q2 FY29 NTM EPS $16.7 x 16x + $2.35 balance-sheet/contingent adjustment = $270, 50%), FCF yield ($16.7 x 70% conversion = $11.7/share at 5.0% + $2.35 = $236, 30%) and mid-cycle EPS ($13.6 x 16x + $2.35 = $220, 20%) = ~$250.</t>
  </si>
  <si>
    <t xml:space="preserve">NTM EPS on a consistent basis (Q3 FY28 to Q2 FY29, the same window as today's 19.3-19.7x) about $17.5 x 17x = $297.5</t>
  </si>
  <si>
    <t xml:space="preserve">NTM FCF/share at horizon $13.1 (75% conversion of $17.5 EPS) / 4.5% yield = $291.7, plus ~$1/share true net cash ($23.2B / ~24B shares) = ~$293</t>
  </si>
  <si>
    <t xml:space="preserve">Blend, 12 months out: 60% P/E (consistent-basis NTM EPS at Oct-2027 of ~$17.5 x 17x = $297.5) and 40% FCF yield (NTM FCF ~$13.1/share at 75% conversion / 4.5% yield + ~$1 net cash = $293). Gives ~$296, down from $303. The 17x is 2.5 turns below today's ~19.5x NTM; break-even for a flat year is ~13.5x.</t>
  </si>
  <si>
    <t xml:space="preserve">Oct-2027 NTM EPS on the same window as today's 19.3-19.7x (Q3 FY28-Q2 FY29) $16.7 x 16x forward P/E</t>
  </si>
  <si>
    <t xml:space="preserve">Oct-2027 NTM NI ~$399B ($16.7 x 23.9B) x 75% FCF conversion = ~$299B (~$12.5/share) / 5.5% required yield = $228 + ~$1/share net cash = $230</t>
  </si>
  <si>
    <t xml:space="preserve">Mid-cycle (cycle-adjusted) EPS $13 x 20x: assumes AI-capex digestion lowers normalised earnings below peak consensus</t>
  </si>
  <si>
    <t xml:space="preserve">Blend of P/E (consistent-window Oct-2027 NTM EPS $16.7 x 16x = $267, w0.5), FCF yield ($16.7 x 23.9B x 75% conversion at 5.5% + $1 net cash = $230, w0.3) and mid-cycle EPS $13 x 20x = $260 (w0.2): ~$255 for Oct 2027. The 16x is the same multiple used in the base scenario.</t>
  </si>
  <si>
    <t xml:space="preserve">NVDA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</si>
  <si>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</si>
  <si>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</si>
  <si>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</si>
  <si>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</si>
  <si>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</si>
  <si>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</si>
  <si>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</si>
  <si>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2027 brings capex digestion signals (2028 hyperscaler capex flat), memory-cost squeeze takes GM to ~70%, receivables/financing worries grow and equity stakes mark down; consistent-basis NTM EPS falls to ~$14 (FY29 down) and the market pays ~10.5x. About 8.3x today's consensus horizon EPS.</t>
  </si>
  <si>
    <t xml:space="preserve">FY28 roughly delivers ~$15.5-16 EPS on the Rubin ramp (+70% revenue, GM 72-73%, verified in the call transcript); growth visibly decelerates into FY29 so the multiple compresses to ~15.5x on ~$17.5 consistent NTM EPS; stock grinds up ~13%.</t>
  </si>
  <si>
    <t xml:space="preserve">Demand stays above supply into 2028, horizon NTM EPS rises to ~$20 (FY29 +25%+), receivables normalize and the market holds ~18.5x, still below AVGO/TSM today.</t>
  </si>
  <si>
    <t xml:space="preserve">2027 capex digestion: Big-4 capex growth already slows to ~+28% in 2027 on consensus and hyperscalers are debt-funding capex (FactSet); 2028 orders slow, Meta/Google/AWS ASICs take share (TrendForce), AMD Helios wins; GM stuck ~71% as HBM costs on $279B of commitments bite. NTM EPS ~$13.5 x 12x (peak-cycle multiple) = ~$162-165.</t>
  </si>
  <si>
    <t xml:space="preserve">FY28 delivers ~70% growth as guided (TrendForce NVL72 value +214% in 2027), price hikes partly offset HBM costs, but FY29 growth decelerates to low-teens and the multiple compresses to ~15.5-16x. NTM EPS ~$16.9 x ~15.7x = ~$265: earnings growth outruns compression.</t>
  </si>
  <si>
    <t xml:space="preserve">2027 capex beats the $935B Big-4 consensus toward the $1.3-1.45T bank/TrendForce views, CoWoS demand +93% and HBM sold out translate into FY29 growth of 25%+ and margins back to mid-70s; NTM EPS ~$19.5 x 19x (back near the AVGO/TSM anchor) = ~$370.</t>
  </si>
  <si>
    <t xml:space="preserve">During 2027 hyperscalers, FCF-negative (17), signal 2028 capex flattening; ASIC share gains (23) and lender skepticism on GPU residual values (13) cap pricing; GM stuck near 71% (6); conversion stays ~40% as extended terms and customer financing grow (29). Horizon NTM EPS falls to ~$13 and the market applies ~12x (between MU and TSM) -&gt; ~$155. The guarantee and the $94B of customer-linked stakes become a narrative overhang even though the direct expected cost is ~$1/share at worst.</t>
  </si>
  <si>
    <t xml:space="preserve">FY28 delivers ~+65% revenue and ~$15 EPS; FY29 seen at low-teens growth; consistent NTM EPS ~$16.7 at ~15.3x (another ~4 turns of compression) plus ~$2 of balance sheet -&gt; ~$258, a high-single-digit gain where de-rating eats most of the earnings growth.</t>
  </si>
  <si>
    <t xml:space="preserve">Supply-constrained demand lets FY28 beat +70% with GM back at 73%; NTM EPS ~$19.5 at ~18.3x as Rubin extends the lead and conversion normalises -&gt; ~$360.</t>
  </si>
  <si>
    <t xml:space="preserve">By mid-2027 an AI capex digestion is visible: hyperscalers guide CY2028 capex flat, ASIC share gains (TPU, Trainium, MTIA) show up in inference, memory costs hold GM near 70%, and receivables (DSO 60, five customers ~70% of AR) and the $279B supply commitments turn into a write-down or pull-in story; higher rates (10Y ~5.3%) make the de-rating sharper. NTM EPS about $13.75 at a MU-style peak-cycle 12x. This is the EPS-break case the supervisor identifies as the one that matters, not plain compression.</t>
  </si>
  <si>
    <t xml:space="preserve">FY28 roughly delivers the ~70% supply-constrained guide (verified in the transcript) and GM settles at 72-73%, but by late 2027 the debate moves to FY29 growth of 20-25%. Compression continues to ~16x on ~$17 consistent-basis NTM EPS. Earnings growth beats multiple compression, so the stock grinds higher, as it did this year (+25% while EPS doubled).</t>
  </si>
  <si>
    <t xml:space="preserve">Checkable trigger: the formal FY28 outlook in late-Feb 2027 is at or above +75% (vs the ~70% preliminary), DSO falls back below 50 days by the Q1 FY28 print (May 2027), and the Q2 FY28 call (Aug 2027) points to FY29 growth of 30%+. Then the multiple holds ~20x (inside the AVGO/TSM ~20.6x cluster, no premium) on ~$20 NTM EPS. Trimmed from 21-22x / $425 / 23% because the supervisor flagged it as the panel's most generous and the SemiAnalysis upside claim is unverified at source.</t>
  </si>
  <si>
    <t xml:space="preserve">AI-capex digestion: hyperscalers (most FCF-negative in 2027, consensus capex growth already slowing to ~+22%) slow 2028 orders, memory costs push GM toward 70%, ASICs take share. Horizon NTM EPS falls to ~$12.5 and the multiple de-rates to ~12x, as cyclical semis do when estimates roll over: ~$150 (-37%), in line with NVDA's 2018 and 2022 drawdowns.</t>
  </si>
  <si>
    <t xml:space="preserve">FY28 delivers (~+70% revenue, EPS ~$15.7), FY29 grows ~15%; consistent-window NTM EPS ~$16.7. The multiple compresses another 3.5 turns to 16x (same multiple as the fair value) as growth decelerates and the 10Y stays ~5%+: ~$267 (+13%). Break-even is ~14.2x on this EPS, so the base case needs EPS delivery, not a re-rating.</t>
  </si>
  <si>
    <t xml:space="preserve">Supply-constrained demand extends into FY29 (capex nearer Goldman's $1.1-1.4T), price hikes hold GM at 73%+, rates ease; NTM EPS ~$19 at ~18x (still below today's 19.5x and the AVGO/TSM anchor): ~$342 (+44%).</t>
  </si>
  <si>
    <t xml:space="preserve">Average</t>
  </si>
  <si>
    <t xml:space="preserve">NVDA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</si>
  <si>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</si>
  <si>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</si>
  <si>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</si>
  <si>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</si>
  <si>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</si>
  <si>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</si>
  <si>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</si>
  <si>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Round 2. Primary documents show an extraordinary ramp: Q2 FY27 revenue $96.2B (+106% y/y), non-GAAP EPS $2.22, Q3 guide $108B, and a call guide of ~70% FY28 revenue growth, supply-constrained, with GM settling at 72-73% (verified verbatim by the supervisor). Bottom-up FY28 EPS ~$15.6 matches consensus $15.7. The supervisor found two errors that I verified and fixed: (1) net cash is $23.2B, not $66B: I re-read the 10-Q balance sheet and $42.8B of 'marketable securities' are equity stakes (Level 1 $32.0B, Level 2 $10.8B, mostly locked up); I now add them separately at a 50% haircut, plus non-marketable stakes ($51.2B) at 75%; (2) my horizon NTM EPS was shifted one quarter; on the consistent Q3 FY28-Q2 FY29 window (verified quarterly consensus $2.47/$2.73/$3.17/$3.63 for the current NTM, so H2 FY28 = $8.90) it is ~$17.5, slightly above my round-1 $17.3 because my round-1 build had decelerated quarters too sharply. Today's 19.3x is on $12.00-12.25; the 17x and 14.8x quotes are later windows, so I compress from 19.3x not 17x. I keep 16x (not the supervisor's 16.5x) because by the horizon estimate growth itself decelerates; break-even is 13.5x, so 16x embeds ~2.5 turns of compression. Fair value $270 (+14%), up from $267: the EPS-window fix (+$3 on P/E leg) outweighs the net-cash cut (-$1.8/share before adding back haircut stakes). Scenarios 145/268/370 at 25/50/25 (mean ~$263). Ladder is a 50/50 blend of a lognormal (median $253, sigma 0.42, above 38% realized vol for cycle/event risk) and a scenario mixture, with fat left tail kept: P(&gt;= spot) 59.4%. No option data used; priors not opened.</t>
  </si>
  <si>
    <t xml:space="preserve">$145 (~-39%, ~8.3x consistent-basis Oct-2027 NTM EPS of $17.5 and ~9x FY28 consensus, below the 52-week low of $164) would imply the market expects FY29 earnings to fall materially: hyperscaler capex cuts, order push-outs that strand the $279B supply commitments, a credit problem in the extended-term receivables, or the $105B lease-guarantee cap being called. Ordinary 38% vol rarely takes a name 25% below its 52-week low without a fundamental break.</t>
  </si>
  <si>
    <t xml:space="preserve">• Durability past FY28: today's 19.3-19.5x NTM (Q3 FY27-Q2 FY28, $12.00-12.25) is a decade low; a flat year needs only ~13.5x on $17.5 horizon EPS, so the outcome turns on EPS delivery, not re-rating. FY28 EPS range $9.80-$18.75 shows wide disagreement.
• Working capital: receivables $63.1B (DSO 60 vs 45 prior quarter), payment terms up to one year, five customers = 70% of receivables; Q2 OCF $24.1B vs non-GAAP NI $54.0B.
• Supply commitments jumped to $279B from $119B, mostly memory; GM guided down to 71-72% in Q4 and 72-73% in FY28.
• Customer financing/circularity: $25B of committed future equity investments, $23.7B of H1 equity gains flowing through GAAP EPS.
• Hyperscaler capex affordability (Meta FCF thinning, component inflation) and custom-ASIC share (AVGO, MRVL).
• Equity stakes: $42.8B marketable plus $51.2B non-marketable equity securities (10-Q), mostly AI-ecosystem companies under lock-ups; marks flow through GAAP EPS and are not cash.</t>
  </si>
  <si>
    <t xml:space="preserve">• a fact: Net cash $66B → Net cash $23.2B; equity stakes $42.8B marketable + $51.2B non-marketable counted separately at 50%/75% haircuts ($34.2B) (Supervisor finding, verified in 10-Q balance sheet and fair-value note (marketable equity securities $42,783M).)
• a method: P/E: $17.3 NTM (Q4 FY28-Q3 FY29) x 16x = $277 → P/E: $17.5 NTM (Q3 FY28-Q2 FY29) x 16x = $280; break-even 13.5x stated (Supervisor: horizon window must match the basis of today's 19.3x; verified quarterly consensus (H2 FY28 = $8.90). My round-1 quarterly build was also too steeply decelerated.)
• a method: FCF yield $252 (with $66B net cash) → FCF yield $255 ($300B FCF at 5.0% + $57.4B cash and haircut stakes) (Net-cash correction and consistent NTM EPS; added explicit note that 5.0% yield is ~13.9x P/E-equivalent (deliberate working-capital penalty).)
• fair value: 267 → 270 (Net effect of the two corrections above; kept 16x rather than supervisor's 16.5x (my view: estimate deceleration by the horizon removes the support that made past compression estimate-driven).)
• a scenario: base $265, bull $365 → base $268, bull $370 (Re-anchored on consistent-basis $17.5 NTM EPS (15.5x base, 18.5x on $20 bull).)
• P(close &gt;= K): 237: 0.584, 261: 0.478, 284: 0.383, 320: 0.262, 355: 0.180 → 237: 0.594, 261: 0.492, 284: 0.396, 320: 0.274, 355: 0.187 (Small upward shift from higher fair value/scenarios; tails unchanged.)
• thesis break: $145 (~9x FY28 EPS) → $145 unchanged, restated as ~8.3x consistent Oct-2027 NTM EPS; adds $105B guarantee cap as a break trigger (Supervisor key_drivers (10-Q contingent liability) and EPS-basis fix.)
• a fact: FOMC 'early November' → FOMC decision 2026-10-28 (Supervisor correction; added as dated catalyst. 1-month ladder unchanged since the event was already priced in as a modest vol bump.)</t>
  </si>
  <si>
    <t xml:space="preserve">Round 2. The supervisor's fact checks changed three things for me. (1) FCF conversion: the CFO commentary (re-read via sec.gov) shows Q2 FY27 FCF $21.3B vs non-GAAP NI $54.0B (39%) and H1 FCF $69.9B (~70%), DSO 60; my 90% was unsupported, so I use 72%, and the industry lane explains why it stays low: supply commitments jumped to $279B, mostly memory, ~$267B due by FY29 (TrendForce/Fool), so prepayments and inventory keep absorbing cash. FCF leg falls from $284 to $245. (2) Peer anchor: I now say plainly that I anchor on AVGO/TSM (20.57x), not the 36.7x median (which lacked AMAT), and I drop the separate concentration discount the supervisor said should not be stacked. (3) New lane evidence: IO Fund puts Big-4 2027 capex consensus at $934.5B vs $732.5B guided for 2026 (+28%), well below the '$1.3T' six-hyperscaler figure I leaned on in round 1 (TrendForce has ~$1.3T for the top nine CSPs, a wider set, seen only in a search snippet). TrendForce (Aug 28) still sees NVL72 rack value $710B in 2027 (+214%), so FY28 ~+70% looks safe, but growth into FY29 should decelerate harder, and ASICs are growing faster than GPUs. I cut FY29 EPS growth to +13% and the horizon multiple to 16x (~22% below the anchor, justified by the growth gap). Horizon NTM EPS (consistent Q3 FY28-Q2 FY29 window) $16.9 x 16x = $270; FCF $245; blend $260 (+10%), slightly below the supervisor's $274 because of my lower FY29 growth. Scenarios: bear $165/25% (EPS $13.5 x 12x), base $265/50%, bull $370/25%, each with ~19-24% log dispersion. The mixture gives median ~$263 and P(&gt;= spot) 0.62; tails fattened slightly beyond the lognormal mixture. Compression remains a drag on upside, not the main risk: the supervisor's break-even is ~13.5x, so losses need an EPS break, which is my bear case. 1-month ladder is symmetric at ~11% monthly vol because no NVDA print falls in the window. Limits: TrendForce ASIC-share and nine-CSP capex figures are search snippets (not used as sole support for any number); Bloomberg/CNBC were snippets in round 1. Context only: 61-analyst mean target $327.70.</t>
  </si>
  <si>
    <t xml:space="preserve">$165 is just below the 52-week low ($164.27), ~30% below spot, ~13.5x current NTM EPS ($12.25), ~10.4x FY28 consensus and ~9.8x my Oct-2027 NTM EPS. Pure multiple compression should not get there while consensus holds (the supervisor's flat-year break-even is ~13.5x horizon EPS), so trading there would mean FY28/FY29 EPS is being cut: hyperscaler capex guides for 2027-28 cut, order push-outs visible at Dell/TSMC CoWoS, a step change in ASIC share, gross margin well below the 71-72% trough, or a receivables/guarantee credit event. It coincides with my bear scenario on purpose.</t>
  </si>
  <si>
    <t xml:space="preserve">• Durability of hyperscaler capex into 2028: Big-4 2027 consensus only +28% ($934.5B) while bank/TrendForce views run to $1.3-1.45T; capex exceeds operating cash flow and is debt-funded (FactSet).
• Custom ASIC and AMD share: ASICs grew ~45% vs GPUs ~16% in 2026 per TrendForce (snippet), Meta accelerates its own ASICs in 2027, Google sells TPUs to Anthropic/Meta, AMD Helios at OpenAI/Anthropic/Microsoft.
• Cash conversion: Q2 FCF was 39% of NI (DSO 60, terms up to a year) and $279B of supply commitments, mostly memory, fall due by FY29.
• Gross margin path: HBM ASPs +50-79% in 2027 vs NVDA's &gt;15% price increases.
• How far multiple compression runs: ~40x (2025) to ~25x (Apr-2026) to ~19.5x NTM now, estimate-driven; a flat year needs ~13.5x on horizon EPS.</t>
  </si>
  <si>
    <t xml:space="preserve">• a fact: FCF conversion 90% of NI → 72% (Supervisor finding, confirmed in CFO commentary: Q2 FCF $21.3B vs $54.0B non-GAAP NI (39%), H1 ~70%, DSO 60; $279B memory-heavy supply commitments keep working capital heavy.)
• a method: FCF yield $284 (5.5% yield, 90% conversion, $4/sh net cash) → FCF yield $245 (5.0% yield, 72% conversion, $2/sh net cash) (Corrected conversion; yield set ~20x FCF near the AVGO/TSM anchor; net cash rebuilt from the $23.2B true figure net of equity-investment commitments.)
• a fact: Hyperscaler 2027 capex ~$1.3T (+~70%) → Big-4 consensus $934.5B (+28% on $732.5B) (New lane evidence (IO Fund); supervisor flagged the $1.3T as single-sourced. TrendForce's ~$1.3T covers nine CSPs.)
• a method: P/E $289 (NTM EPS $17.0 x 17x, FY29 +18%) → P/E $270 (NTM EPS $16.9 x 16x, FY29 +13%) (Lower FY29 growth from the slower capex consensus and ASIC share gains; multiple set ~22% below the AVGO/TSM anchor on the horizon growth gap, without stacking a concentration discount (supervisor comps_review). EPS window unchanged (supervisor confirmed it is consistent).)
• fair value: 287 → 260 (Both legs above. I am below the supervisor's $274 because I expect harder FY29 deceleration; I agree with its 72-75% conversion range.)
• a scenario: bear $168/25%, base $280/50%, bull $400/25% → bear $165/25%, base $265/50%, bull $370/25% (Base follows the new EPS and multiple; bull trimmed because bull EPS needs capex well above the Big-4 consensus.)
• P(close &gt;= K): K=237 0.65, 261 0.56, 284 0.465, 320 0.33, 355 0.225, 415 0.115, 474 0.05 → K=237 0.623, 261 0.512, 284 0.408, 320 0.272, 355 0.178, 415 0.085, 474 0.035 (Lower fair value and scenario prices; lower strikes nearly unchanged (bear case and thesis break unchanged).)
• thesis break: 165 → 165 (unchanged) (Still below the 52-week low and ~9.8x horizon EPS; supervisor's $160 is close, and its break-even analysis supports that only an EPS cut gets here.)
• a fact: Peer median 36.7x presented as the benchmark → Anchor stated as AVGO/TSM 20.57x; 11-peer median reported, not used; AMAT absent from my set (Supervisor feedback_for_agents.)</t>
  </si>
  <si>
    <t xml:space="preserve">Round 2. The supervisor's checks changed three things. (1) NTM basis: today's 19.3-19.7x is on Q3 FY27-Q2 FY28; I restate horizon EPS on Q3 FY28-Q2 FY29 = $8.50 + $8.2 = $16.7 (round 1: $16.35 shifted). (2) FCF conversion: the CFO commentary shows Q2 FCF $21.3B vs $54-60B NI and H1 FCF $69.9B (~70%), so 85% becomes 70%. (3) The 'historical floor 17-20x' I leaned on was discounted, so I re-anchor the multiple on AVGO/TSM (20.57x) with a ~22% discount for contractual vendor-financing items and take 16x rather than 17x. I fixed my EV/EBITDA comps label (trailing, not forward; not used in valuation). As asked, I quantified the contingent book per share from the 10-Q: net cash +$0.97, stakes at 50% +$1.97, guarantee expected loss -$0.28 (cap $4.39), commitments -$0.31, net +$2.35; the guarantee covers the reletting shortfall on OpenAI default and only starts in FY29, so its value hit is small and its real weight is as a signal of financed demand. New skeptic-lane checks found nothing alarming: September Form 4s show Huang's tax withholding and a gift, not open-market sales, and CFO 10b5-1 sales of ~36k shares; litigation is unaccrued. Fair value falls from $261 to ~$250. Why a skeptic still sees a flat-to-up base: a flat year needs ~14.2x on my EPS, a ~27% de-rating from 19.5x that only an EPS break would bring, so the downside case is the bear (EPS ~$13 at ~12x, 25%), not plain compression. Scenarios $155/25%, $258/50%, $360/25% give mean ~$258, median ~$254; the ladder is a lognormal mixture (sigmas 17-24%) with a slightly fatter left tail than lognormal: P(&gt;=$237) 0.59, P(&lt;$166) 0.16. Net ladder change is small because the lower fair value is offset by the higher consistent-basis EPS. I disagree with the supervisor's 16.5x only modestly: I keep a lower 16x because the vendor-financing items are contractual and outlast the horizon.</t>
  </si>
  <si>
    <t xml:space="preserve">$160 is below the 52-week low ($164.27), ~13x today's NTM EPS ($12.00-12.25) and ~9.6x my consistent-basis Oct-2027 NTM EPS ($16.7). Compression alone cannot get there while EPS holds (a flat year already needs ~14.2x), so trading there would mean the FY28/FY29 EPS path is breaking: a hyperscaler capex cut, ASIC displacement, GM well below the 71-72% trough, or a customer credit event that shows in receivables or the OpenAI-linked guarantee.</t>
  </si>
  <si>
    <t xml:space="preserve">• Whether FY29 (CY2028) growth decelerates to low teens or stays 30%+; the horizon price is a bet on the market's FY29 view in Oct 2027.
• Cash conversion: Q2 FCF was only 36-39% of NI with DSO at 60 days on extended terms; whether that normalises or becomes structural vendor financing.
• Durability of hyperscaler capex with FCF turning negative at most US majors in 2027 and funding shifting to debt.
• Pace of ASIC share gains (TPU, Trainium, MTIA, OpenAI/Broadcom) in inference.
• GM path under memory cost inflation (72-73% FY28 vs ~75%).
• Contingent exposure: $105B guarantee cap ($4.39/share max, expected ~$0.3), $3.5B other guarantees, $25B equity commitments, $94B stakes marked to AI valuations. Small per share, but a read on demand quality.
• Whether multiple compression continues (my base, ~15-16x) or stops near today's ~19x.</t>
  </si>
  <si>
    <t xml:space="preserve">• fair value: 261 → 250 (FCF conversion cut to 70% (supervisor's Q2/H1 FCF check, CFO commentary), multiple 17x-&gt;16x after the 'historical floor' source was discounted, partly offset by consistent-basis NTM EPS and a +$2.35 balance-sheet adjustment.)
• a method: P/E: $16.35 x 17x = $278 → $16.7 x 16x + $2.35 = $270 (Supervisor: horizon EPS shifted one quarter vs today's NTM basis; 'floor 17-20x' claim discounted; asked to quantify contingent items per share.)
• a method: FCF yield: $12.7/share at 5% = $254 (85% conversion on FY28 NI) → $11.68/share at 5% + $2.35 = $236 (70% on NTM NI) (Supervisor: Q2 FCF 36-39% of NI; H1 ~70% (CFO commentary verified).)
• a method: mid-cycle: $13.6 x 17x = $231 → $13.6 x 16x + $2.35 = $220 (Same multiple change and balance-sheet adjustment.)
• a fact: EV/EBITDA comps labelled forward, median 44.8x → labelled trailing; not used in valuation (Supervisor comps_review correction.)
• a fact: $105B guarantee as narrative → max $4.39/share, expected loss ~$0.28/share, severe case ~$1.10/share (Supervisor asked to quantify; 10-Q and 8-K terms (effective from FY29, resale shortfall on default, ends on satisfactory OpenAI rating).)
• a fact: recent insider data not retrieved → Sep-2026 Form 4s: Huang tax withholding + gift, Kress 10b5-1 sales ~36k shares; no red flag (New skeptic-lane research.)
• a scenario: base: $255 → $258 (Restated on consistent NTM EPS $16.7 at ~15.3x plus $2.35 balance sheet.)
• P(close &gt;= K): 237: 0.585 / 261: 0.46 / 284: 0.35 / 320: 0.225 → 237: 0.59 / 261: 0.47 / 284: 0.36 / 320: 0.23 (Consistent-basis EPS and supervisor's break-even (~14x for a flat year) slightly outweigh the lower fair value; tails essentially unchanged.)
• P(close &gt;= K) 1-month: 236.88: 0.49 → 236.88: 0.48 (~12% run in three weeks to the 52-week high adds slight reversal risk; FOMC Oct 28 and midterms added to the window per supervisor.)
• thesis break: 160 → 160 (unchanged) (Still ~9.6x consistent NTM EPS; reached only via an EPS break.)</t>
  </si>
  <si>
    <t xml:space="preserve">Round 2 revision after the supervisor's fact-check. What changed: (1) FCF leg. The supervisor showed my 4.5% yield at 80% conversion valued the same earnings ~5% above my own P/E leg, and that Q2 conversion was 36-39% (CFO commentary: FCF $21.3B vs $59.7B GAAP NI; DSO 45 to 60; H1 FCF $69.9B). I cut conversion to 75%, kept a 4.5% yield (slightly stricter than the 4.41% that a 17x P/E implies at 75%) and added true net cash of $23.2B (~$1/share, excluding $42.8B of equity stakes per the 10-Q). FCF leg $311 to $293. (2) P/E leg unchanged: my NTM window (Q3 FY28-Q2 FY29) was confirmed consistent with today's 19.5x basis and $17.5 sits in the supervisor's consensus-based $17.4-17.8 range. I keep 17x rather than moving to the supervisor's 16.5x: compression has been estimate-driven, and I already take 2.5 turns off; the verified 5.26% 10Y stops me from assuming less. Fair value $303 to $296. (3) SemiAnalysis: I found the claim recapped by Yahoo (2026-06-30), but that is a press recap of the same X post, it predates the Q3 guide of $108B, and the SemiAnalysis newsletter itself (March) says only that supply, not demand, binds. It stays out of the numbers and out of the bull story. (4) Bull case tied to a checkable trigger (FY28 formal guide &gt;=75%, DSO &lt;50, FY29 30%+) and trimmed to $400 at 20%. Bear at $165/28%, base $272/52%. Scenario mean ~$268, median ~$263, below the $296 fair value because fair value assumes the base EPS path is delivered while the distribution carries a 28% EPS-break tail. Key frame from the supervisor that I accept: the stock is flat at ~13.5x consistent NTM EPS, so losing money needs an EPS break, not just compression; my bear tail is sized for that. Alt-data re-checked: H100 rental index flat over 4 weeks, +14% y/y, so no glut signal. Ladder is a mixture of lognormals (sigma 0.25/0.19/0.20) with a slightly fatter far-right tail; P(&gt;=237) falls 0.647 to 0.618 and upper strikes fall 2-4pp. 1-month ladder unchanged. Option-implied data and priors/ were not consulted; X was read only via snippets.</t>
  </si>
  <si>
    <t xml:space="preserve">$165 is just below the 52-week low ($164.27), about 10x my FY28 EPS of ~$16 and ~9.4x consistent-basis Oct-2027 NTM EPS, about 30% below today and well under the ~13.5x break-even multiple. At that level the market would most likely be pricing a failure of the ~70% FY28 guide (a hyperscaler capex cut, losses to ASICs, or customer financing stress in the extended receivables and guarantees), not ordinary 38%-vol noise. Unchanged in round 2: the supervisor's corrections move value by ~2%, not the break level.</t>
  </si>
  <si>
    <t xml:space="preserve">• Whether the market keeps compressing the multiple: forward P/E fell ~40x to ~19x in a year and the 15-18x 'mid-cycle' view is common in independent newsletters
• FY29 growth: the 2027 multiple will be set by the outlook for CY2028 AI capex, which nobody can see yet
• Earnings quality: extended payment terms (DSO 60), inventory $31.6B, $279B supply commitments and a $105B guarantee, so customer financing risk is concentrated in a few AI labs
• Whether working capital normalises: Q2 FCF was 36-39% of NI and the CFO's Q1 call for DSO to normalise did not happen; FCF conversion at the horizon (I use 75%) could stay near 50%, which would put the FCF leg near $200
• Memory-driven GM compression: management says prices are 'headed even higher into next year'
• ASIC share gains in inference (TPU, Trainium, MTIA, Maia), with projections that differ widely
• Supply: Rubin on TSMC N3 and HBM4 capacity limits upside but also cushions a demand air-pocket
• Rates: 10Y ~5.26% and a likely December hike are a multiple headwind, secondary to the 2027 capex path</t>
  </si>
  <si>
    <t xml:space="preserve">• a method: FCF yield $311 (80% conversion, 4.5% yield, no net cash) → FCF yield $293 (75% conversion, 4.5% yield, +$1/share net cash) (Supervisor feedback: FCF leg valued earnings ~5% above my P/E leg and Q2 conversion was ~40% (CFO commentary, 10-Q); net cash $23.2B per its 10-Q correction)
• fair value: 303 → 296 (FCF-leg correction above; P/E leg ($297.5) unchanged as its NTM basis was confirmed consistent)
• a fact: FCF conversion 80% → 75% (Q2 FY27 FCF/NI 36-39%, H1 ~70%, DSO 60 with terms up to one year; CFO's expected DSO normalisation did not happen)
• a fact: SemiAnalysis 20%-above-consensus cited as bull support → context only, excluded from numbers and scenarios (Supervisor source_review discounted it; my follow-up found only a press recap (Yahoo 2026-06-30) of the same post, predating the $108B Q3 guide)
• a scenario: bull $425 at 23% (21-22x on $20) → bull $400 at 20% (~20x on $20, explicit trigger) (Supervisor: most generous bull in the panel, tie to a checkable trigger; 20x stays inside the AVGO/TSM cluster)
• a scenario: base $275 at 50% → base $272 at 52% (Probability moved from the trimmed bull; price ~16x on ~$17 consistent-basis EPS)
• a scenario: bear $170 at 27% → bear $165 at 28% (Supervisor key driver: the risk that matters is an EPS break; verified 10Y ~5.26% and ~75% December-hike odds make a de-rating in that case sharper)
• P(close &gt;= K): 0.998 / 0.995 / 0.974 / 0.93 / 0.871 / 0.807 / 0.736 / 0.647 / 0.545 / 0.449 / 0.323 / 0.234 / 0.135 / 0.073 / 0.015 → 0.998 / 0.996 / 0.975 / 0.923 / 0.855 / 0.785 / 0.711 / 0.618 / 0.511 / 0.409 / 0.277 / 0.187 / 0.092 / 0.041 / 0.008 (Re-mixed lognormals on the revised scenarios; P(&gt;=237) 0.647 to 0.618, upper strikes down 2-4pp)
• thesis break: 165 → 165 (unchanged) (Corrections move value ~2%; $165 is still ~9.4x consistent NTM EPS, far below the ~13.5x break-even the supervisor computed)
• a fact: 1-month window events without FOMC date → FOMC 2026-10-28 added (~17% hike odds) (Supervisor flagged the Oct-28 FOMC date and verified the rate odds via DeFi Rate; 1-month ladder unchanged)</t>
  </si>
  <si>
    <t xml:space="preserve">Base rates first. NVDA's own 12-month forward returns since 2002: median +40%, P(down) 22%, P(&lt;-40%) 7%; in setups like today (prior year +10-45%, at a 52-week high, n=25) median +29%. That record is survivorship-biased for a $5.7T leader; the top-dog base rate (Arnott/Wu: largest companies trail their sector by ~4%/yr) and a ~7% market return pull the centre to roughly +5-12%. Round-2 corrections from the supervisor, all accepted: (1) my horizon NTM EPS used a window shifted one quarter forward; on the same Q3 FY28-Q2 FY29 window as today's 19.3-19.7x it is ~$16.7 after a 5% haircut (also FY29 growth trimmed to +15% given consensus 2027 capex growth of only ~+22%, src 27); (2) my fair value used 18x while my base scenario used 15x; I now use one multiple, 16x, in both; (3) FCF conversion of 85% is not supported (Q2 FY27 FCF 36-39% of NI, H1 ~70%), now 75%, with ~$1/share true net cash; (4) the 10Y at 5.24-5.28% is verified at Treasury (src 26) but it is the highest since 2007, not 2002; (5) the Fed-odds source was misattributed; the Dec-9 meeting-specific Kalshi contract shows ~70% for a 25bp hike (search-result snapshot; direct fetch 429) and DeFi Rate 72%, so the macro headwind stands; (6) I dropped the 'historical 17-20x floor' argument. On compression: it has been estimate-driven (FY28 EPS +24% in 90 days while the price rose), so it is real but has not hurt holders; I assume 3.5 more turns (to 16x), while a flat year needs ~14.2x on my EPS, a de-rating that likely needs an EPS break. Fair value $255 (P/E $267, FCF $230, mid-cycle $260) is below my round-1 $296. Scenarios: bear $150 (25%), base $267 (50%), bull $342 (25%, lowered from $370 to an 18x multiple). The ladder is a three-lognormal mixture (sigmas 0.25/0.20/0.18) plus a 5% wide tail component: mean ~$263, median ~$262, P(up) ~61%, P(&lt;$166) ~17%. The ladder sits slightly above the blended fair value because the FCF leg is a deliberately rate-harsh cross-check. Research limits: Kalshi returned 429 and Polymarket's December page was the 2025 market, so Fed odds rest on the Kalshi search snapshot and the DeFi Rate aggregator; the Moody's capex note returned 403. Peer forward EV/EBITDA is estimated from trailing figures and peer growth is 3-year CAGR.</t>
  </si>
  <si>
    <t xml:space="preserve">$165 is just above the 52-week low ($164.27) and ~10x the consistent-window Oct-2027 NTM EPS (~$16.7). Trading there would most likely mean FY28/FY29 earnings are being cut 25-30% (hyperscaler capex cut, memory-cost margin collapse, ASIC share loss), not 38%-vol noise or ordinary multiple compression, which in my base case stops near 16x.</t>
  </si>
  <si>
    <t xml:space="preserve">• Whether 2027 hyperscaler capex (~$1.3T across six, mostly FCF-negative) turns into a 2028 digestion
• How far the multiple compresses: NTM P/E fell from ~40x (2025) to ~25x (Apr-2026) to ~19.5x now, estimate-driven; a flat year needs ~14.2x on my horizon EPS
• Memory/HBM cost inflation versus NVDA's pricing power (Q4 GM 71-72%)
• ASIC share gains (Google TPU, Broadcom/Marvell custom silicon)
• China export policy
• Survivorship bias: NVDA's own 12m return history (median +40%) overstates what a $5.7T company can do
• Cash conversion: Q2 FY27 FCF was only 36-39% of net income (DSO 60, $279B supply commitments); if it stays low, FCF-based value is well below P/E-based value</t>
  </si>
  <si>
    <t xml:space="preserve">• fair value: 296 → 255 (Supervisor: inconsistent multiples (18x FV vs 15x base), shifted NTM window, unsupported 85% FCF conversion. Now 16x on consistent-window $16.7 EPS, 75% conversion, net cash $1/share.)
• a method: P/E: $17.5 x 18x = $315 → $16.7 x 16x = $267 (Consistent Q3 FY28-Q2 FY29 window (supervisor disagreement 3), FY29 growth trimmed to +15% on consensus 2027 capex growth of +22% (new src 27), one multiple across FV and scenarios (supervisor feedback).)
• a method: FCF yield: $289 (FY29 FCF $380B, 85% conversion) → $230 (NTM NI $399B x 75%, 5.5%, +$1 net cash) (Supervisor fact-check: Q2 FY27 FCF $21.3B vs NI $54-60B; consistent EPS window; net cash $23.2B.)
• a method: mid-cycle: $260 → $260 (unchanged; 20x now justified by AVGO/TSM anchor, not 'historical floor') (Supervisor discounted the '17-20x floor' claim.)
• a scenario: base: $262 at 15x on $17.5 → $267 at 16x on $16.7 (Single multiple with fair value; consistent EPS window.)
• a scenario: bull: $370 (19-20x on $19) → $342 (18x on $19) (Keeping the bull multiple below today's 19.5x and the AVGO/TSM anchor, consistent with the compression thesis.)
• P(close &gt;= K): 237: 0.624 / 261: 0.502 / 284: 0.39 / 355: 0.164 / 415: 0.073 → 237: 0.61 / 261: 0.506 / 284: 0.402 / 355: 0.149 / 415: 0.049 (Wider base component (sigma 0.20), lower bull price; centre roughly unchanged (median ~$262), thinner far-right tail.)
• P(close &gt;= K) 1-month: P(&gt;=236.88) 0.518 → 0.51, slightly fatter tails (Fed odds re-verified (src 14,15); no NVDA print in window; tails widened modestly for capex-guide risk.)
• thesis break: 165 → 165 (unchanged; reason restated on consistent EPS ~10x $16.7) (Consistent EPS window; level still marks an earnings cut, not compression.)
• a fact: 10Y history: highest since 2002 → highest since 2007 (level 5.24-5.28% verified) (Supervisor; Treasury daily par yields (src 26).)
• a fact: Fed-odds source: news.kalshi.com article → Kalshi KXFEDDECISION-26DEC (Dec 9 meeting, ~70% 25bp hike) and DeFi Rate aggregate 72% (Supervisor found the article was from Nov-2025 about a Dec-2025 cut; checked the contract directly (snapshot).)
• a fact: horizon P/E vs peer anchor: 18x, slightly below 20x cluster → 16x, ~22% below AVGO/TSM 20.6x (Supervisor comps_review at-scale anchor; argued in comps_summary.)</t>
  </si>
  <si>
    <t xml:space="preserve">NVDA supervisor</t>
  </si>
  <si>
    <t xml:space="preserve">Confidence: low. In round 2 the agents converged (fair value $250-296, P&gt;=spot 0.59-0.62), and my checks verified rather than overturned their inputs: peer multiples, the NTM basis, FY27 consensus and the Big-4 capex consensus. No disagreement I settled clearly moves the forecast, so I leave the ladder at the agents' mean.</t>
  </si>
  <si>
    <t xml:space="preserve">Summary</t>
  </si>
  <si>
    <t xml:space="preserve">EXIT k=0.8 RE-SET 2026-10-26 (Kilian card 12:16Z: exit = peer median x (own / median)^0.8): P/E 16.0x -&gt; 16.73x. Research target (12m) $256.65 -&gt; $263.97 (engine: multiple: P/E (ntm) $279.54 x 0.6; multiple: FCF yield (ntm) $240.61 x 0.4; scenarios bear $160.87 / base $263.97 / bull $377.93, median $261.88). Multiples and values quoted in the older text below are superseded by these. NVDA is on ~19.5x NTM EPS (Q3 FY27-Q2 FY28), a decade low. The 25x, 17x and 15x quotes are the same price on other EPS windows. In round 2 all five forecasters assume 2.5-3.5 more turns of compression (to 16-17x) and still reach fair values of $250-296. I reconcile to ~$263 with a ladder median of ~$261 and P(close &gt;= spot) of ~0.61. A flat year needs ~13.9x on Oct-2027 NTM EPS, a further ~29% de-rating that only an EPS break would cause, so compression evidence should not change a small buy. Size it for the capex-digestion tail, which NVDA shares with AVGO, GOOGL and VST, and note that conviction stays low because expected excess return barely covers NVDA's 38% volatility.</t>
  </si>
  <si>
    <t xml:space="preserve">Research target (12m)</t>
  </si>
  <si>
    <t xml:space="preserve">Key drivers</t>
  </si>
  <si>
    <t xml:space="preserve">• Big-4 hyperscaler capex (MSFT, GOOGL, AMZN, META), calendar year ~ NVIDIA fiscal year +1: 410 -&gt; 733/1,080/1,330 (estimate; quarterly, sum)
• NVIDIA Data Center revenue per $ of Big-4 capex (NVIDIA share of hyperscale AI capex plus the ACIE/neocloud/sovereign/lab demand that rides alongside it): 0.4725 -&gt; 0.532/0.5667/0.5579 (estimate; quarterly, wmean:hs_capex)
• Edge Computing revenue (Gaming, ProViz, Automotive, OEM &amp; other = total revenue less Data Center): 2.22e+04 -&gt; 2.907e+04/3.5e+04/4e+04 (estimate; quarterly, sum)
• Gross margin after SBC in cost of revenue (NVIDIA non-GAAP basis, which includes SBC from Q1 FY27): 0.7107 -&gt; 0.7364/0.72/0.72 (estimate; quarterly, wmean:hs_capex*dc_capture*1000+edge_rev)
• Operating expenses including SBC (R&amp;D + SG&amp;A, NVIDIA non-GAAP basis): 2.308e+04 -&gt; 3.505e+04/4.9e+04/5.88e+04 (estimate; quarterly, sum)
• FCF conversion: free cash flow / model net income (EBIT after SBC + net interest, after tax): 0.8691 -&gt; 0.71/0.72/0.72 (estimate; quarterly, mean)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</si>
  <si>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</si>
  <si>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</si>
  <si>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</si>
  <si>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</si>
  <si>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</si>
  <si>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Horizon multiple: 16x (four agents) vs 17x (agent_4)</t>
  </si>
  <si>
    <t xml:space="preserve">agent_1, agent_2, agent_3, agent_5 apply 16x to Oct-2027 NTM EPS; agent_4 keeps 17x and a 4.5% FCF yield, giving the panel-high $296 fair value.</t>
  </si>
  <si>
    <t xml:space="preserve">Superseded: live multiple 17.33x (k-rule on the as-published basis since Kilian card 2026-10-27 17:12Z), 9.1% below the 19.06x as-published AVGO/TSM anchor. Earlier text: Four agents reach 16x on different grounds (growth deceleration to low-teens, vendor-financing items, rates), all inside the 20.57x AVGO/TSM anchor less 22% (10-05 aggregator basis; 18.48x ex-SBC calendar NTM at 2026-10-23, 16x = -13.4%). agent_4's 17x rests on 'compression has been estimate-driven', which is true historically but does not hold once FY29 estimates themselves decelerate. No search can settle 16x vs 17x. It is worth ~$17/share on the P/E leg. I use 16x, which leaves agent_4 as the upside outlier, but I do not reweight it because its ladder (P&gt;=237 0.618) sits close to the mean.</t>
  </si>
  <si>
    <t xml:space="preserve">Base round 2026-10-05: stockanalysis "Forward PE" NVDA 19.34, AVGO 20.49, TSM 20.65 (re-fetched 2026-10-05), one aggregator basis for all three: time-weighted NTM on each company's consensus EPS as published (SBC kept), checked in comps_review_base_2026_10_05.basis; agents' own derivations. Superseded 2026-10-23 by the calendar-NTM ex-SBC anchor 18.48x (comps.at_scale_anchor_pe_ntm), on which 16.0x is 13.4% below the anchor.</t>
  </si>
  <si>
    <t xml:space="preserve">FY29 (CY2028) EPS growth and the 2027 hyperscaler capex base</t>
  </si>
  <si>
    <t xml:space="preserve">agent_3 +12%, agent_2 +13%, agent_1 and agent_5 +15%, agent_4 ~20-25%. The capex inputs differ: $934.5B Big-4 consensus (+28%, agent_2), +22% (agent_5, Goldman via Yahoo), ~$1.3T for six hyperscalers (S&amp;P via Fool) and ~$1.3T for nine CSPs (TrendForce).</t>
  </si>
  <si>
    <t xml:space="preserve">These are different universes, not conflicting facts. I confirmed the Big-4 2027 consensus of $934.5B (GOOGL $284.8B, AMZN $256.5B, MSFT $207.6B, META $185.6B) against 2026 guidance of ~$732.5B. Consensus has understated capex growth two years running (implied ~20%, actual &gt;50%), so +13-15% FY29 EPS growth is a fair centre and agent_4's 20-25% is the generous end. Horizon NTM EPS on a consistent basis is $16.7-17.5. My central figure is $17.1.</t>
  </si>
  <si>
    <t xml:space="preserve">IO Fund 'AI Capex to Hit $1 Trillion' (2026-08-05), seen in a search result; Fool/S&amp;P 2026-09-06.</t>
  </si>
  <si>
    <t xml:space="preserve">Which forward P/E NVDA is on today (19.3x vs 17x vs 15x vs 24-25x)</t>
  </si>
  <si>
    <t xml:space="preserve">Agents use 19.3-19.7x NTM. Press and data sites also quote ~17x, ~15x and 24-25x (GuruFocus).</t>
  </si>
  <si>
    <t xml:space="preserve">It is the same price on different EPS windows. At $236.88: current fiscal year FY27 ($9.31, half already reported) = 25.4x, which matches the 24-25x quoted in search (GuruFocus, not opened); next four unreported quarters ($12.00-12.25) = 19.3-19.7x; one quarter rolled (~$13.8) = ~17.2x; FY28 ($15.7) = 15.1x. None of these shows a new leg of compression.</t>
  </si>
  <si>
    <t xml:space="preserve">stockanalysis NVDA forecast FY27 EPS $9.31 (53 analysts); Fool 2026-09-30 quarterly table $2.47/$2.73/$3.17/$3.63 = $12.00. (A GuruFocus 24-25x figure seen in search could not be opened on 2026-10-27, HTTP 403; it is matched by the FY27-basis 25.4x above and feeds no number.)</t>
  </si>
  <si>
    <t xml:space="preserve">FCF leg: required yield and conversion</t>
  </si>
  <si>
    <t xml:space="preserve">Conversion: 70% (agent_3), 72% (agent_1, agent_2), 75% (agent_4, agent_5). Yield: 4.5% (agent_4), 5.0% (agent_1, agent_2, agent_3), 5.5% (agent_5). FCF legs run $230-293.</t>
  </si>
  <si>
    <t xml:space="preserve">All five now sit inside the filing-supported range (H1 FY27 ~70%, Q2 36-39%). The spread comes from the yield. agent_4's 4.5% equals its own 17x P/E, while the others deliberately charge more for working-capital risk. I use 72% and 5.0%: leg ~$247.</t>
  </si>
  <si>
    <t xml:space="preserve">NVIDIA Q2 FY27 CFO commentary: OCF $24.1B, FCF $21.3B, H1 FCF $69.9B, DSO 60.</t>
  </si>
  <si>
    <t xml:space="preserve">Thesis break ($145 vs $160-165)</t>
  </si>
  <si>
    <t xml:space="preserve">agent_1 $145; agent_3 $160; agent_2, agent_4, agent_5 $165.</t>
  </si>
  <si>
    <t xml:space="preserve">Everyone agrees the break is an EPS cut, not compression. $160 sits just below the 52-week low ($164.27) and at ~9.4x consistent horizon EPS. agent_1's $145 would accept a 25% fall before admitting the thesis is broken.</t>
  </si>
  <si>
    <t xml:space="preserve">52-week low $164.27 (agents, stockanalysis); break-even arithmetic below.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</si>
  <si>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</si>
  <si>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</si>
  <si>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</si>
  <si>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</si>
  <si>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</si>
  <si>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exit multiple (k=0.8 rule, Kilian card 2026-10-26 12:16Z)</t>
  </si>
  <si>
    <t xml:space="preserve">P/E 16.0x, FCF yield 0.05x</t>
  </si>
  <si>
    <t xml:space="preserve">P/E 16.73x, FCF yield 0.05x</t>
  </si>
  <si>
    <t xml:space="preserve">Exit = peer median x (own NTM multiple on the peers' basis / median)^0.8; research target (12m) $256.65 -&gt; $263.97. See inputs_detail and comps_summary (own_multiple, exit_k).</t>
  </si>
  <si>
    <t xml:space="preserve">fair value</t>
  </si>
  <si>
    <t xml:space="preserve">266.2</t>
  </si>
  <si>
    <t xml:space="preserve">263.0</t>
  </si>
  <si>
    <t xml:space="preserve">16x on consistent $17.1 EPS and a 72% / 5.0% FCF leg. agent_4's 17x / 4.5% yield is not supported against decelerating FY29 estimates.</t>
  </si>
  <si>
    <t xml:space="preserve">a fact: which forward P/E NVDA is on</t>
  </si>
  <si>
    <t xml:space="preserve">24-25x (GuruFocus) / 17x / 15x quoted alongside 19.5x</t>
  </si>
  <si>
    <t xml:space="preserve">19.5x NTM; 25.4x is the FY27 basis ($9.31), 17.2x the rolled window, 15.1x FY28</t>
  </si>
  <si>
    <t xml:space="preserve">stockanalysis FY27 consensus $9.31 and the Fool quarterly table reconcile all four figures to one price.</t>
  </si>
  <si>
    <t xml:space="preserve">a fact: 2027 capex consensus</t>
  </si>
  <si>
    <t xml:space="preserve">+22% (agent_5) vs +28% (agent_2) vs $1.3T</t>
  </si>
  <si>
    <t xml:space="preserve">Big-4 $934.5B (+28% on $732.5B); $1.3T covers six or nine spenders</t>
  </si>
  <si>
    <t xml:space="preserve">IO Fund breakdown by company (GOOGL $284.8B, AMZN $256.5B, MSFT $207.6B, META $185.6B).</t>
  </si>
  <si>
    <t xml:space="preserve">SBC treatment (Kilian card 2026-10-27 17:12Z "Expense it on NVDA now")</t>
  </si>
  <si>
    <t xml:space="preserve">sbc_treatment dilution: gm/opex ex-SBC, NTM EPS $16.71, P/E 16.73x on the ex-SBC peer basis, research target (12m) $263.97</t>
  </si>
  <si>
    <t xml:space="preserve">sbc_treatment cost: gm 0.7107 -&gt; 0.7366/0.72/0.72 and opex 23,076 -&gt; 35,050/49,000/58,800 incl. SBC, fcf_conv 0.869 -&gt; 0.71/0.72/0.72 on after-SBC NI, NTM EPS $16.26, P/E 17.33x (k-rule on the as-published basis), research target (12m) $262.70</t>
  </si>
  <si>
    <t xml:space="preserve">NVIDIA non-GAAP, Zacks consensus and all five agents count SBC as a cost; EPS and peer multiples must share one basis (METHOD.md: count SBC once, peers on the same basis).</t>
  </si>
  <si>
    <t xml:space="preserve">Citation audit ()</t>
  </si>
  <si>
    <t xml:space="preserve">{'item': 'fair_value.reason upside', 'frm': 'Blend ~$263 (+11%)', 'to': '+11% labelled as vs the 10-05 spot $236.88; current +21.7% (256.65) / +24.7% (263) vs 210.96', 'source': 'last close 2026-10-23 (Yahoo chart feed; comps[NVDA].pe_ntm)'}</t>
  </si>
  <si>
    <t xml:space="preserve">{'item': 'thesis_break_reason', 'frm': '~32% below spot; ~13.2x NTM; ~9.4x $17.1; flat year ~13.9x (10-05 spot)', 'to': '24.2% below 210.96; 11.4x $13.98 calendar NTM; 9.6x $16.71; flat year 12.6x', 'source': '10-23 close; comps[NVDA].pe_ntm; driver set P/E leg EPS $16.71 (model_engine check)'}</t>
  </si>
  <si>
    <t xml:space="preserve">{'item': 'sizing.reason', 'frm': 'expected ~+11%, 19.5x', 'to': 'labelled as 10-05 base figures; current +21.7%, 15.09x calendar NTM (14.80x ex-SBC)', 'source': '10-23 close; comps[NVDA].pe_ntm'}</t>
  </si>
  <si>
    <t xml:space="preserve">{'item': 'disagreements[0].evidence', 'frm': 'stockanalysis forward PE, basis unstated', 'to': 'basis stated (time-weighted NTM, consensus EPS as published) and superseded by the 18.48x ex-SBC anchor', 'source': 'comps_review_base_2026_10_05; comps.at_scale_anchor_pe_ntm'}</t>
  </si>
  <si>
    <t xml:space="preserve">{'item': 'comps_review.peers[].pe_ntm', 'from': 'ex-SBC: AVGO 17.42 / AMD 38.07 / MRVL 35.15 / TSM 19.53 / ANET 35.91 / NVDA 14.8 (as published in pe_ntm_as_published)', 'to': 'as published: AVGO 18.59 / AMD 40.71 / MRVL 43.77 / TSM 19.53 / ANET 38.14 / NVDA 15.09; ex-SBC kept as pe_ntm_ex_sbc_ref; basis text restated', 'source': 'Zacks consensus via Nasdaq.com (retrieved 2026-10-26) on the 2026-10-23 close; inputs_detail comps[SYM].pe_ntm'}</t>
  </si>
  <si>
    <t xml:space="preserve">{'item': 'comps_review.judgment / reconciled_horizon_multiple', 'from': '"Kept 16.0x"; 16.0', 'to': 'live 17.33x (k-rule, as published), -9.1% vs 19.06x anchor; 17.33', 'source': 'model.reconciled_inputs.horizon_multiples[P/E]; model_engine check 2026-10-27'}</t>
  </si>
  <si>
    <t xml:space="preserve">{'item': 'comps[AVGO|AMD|MRVL|TSM|ANET].pe_ntm derivation', 'from': '"EPS basis reconciliation (this set excludes SBC, sbc_treatment = dilution)"', 'to': 'as-published value used; ex-SBC re-base reworded as prior-basis reference only (values unchanged: 18.59 / 40.71 / 43.77 / 19.53 / 38.14)', 'source': 'Zacks consensus via Nasdaq.com (retrieved 2026-10-26) on the 2026-10-23 close; inputs_detail comps[SYM].pe_ntm'}</t>
  </si>
  <si>
    <t xml:space="preserve">{'item': 'comps[NVDA].pe_ntm label/confidence', 'from': '"re-based to this set\'s basis (SBC out)"; confidence medium (SBC add-back)', 'to': 'as published 15.09x is the set basis, ex-SBC 14.80x reference only; confidence high for 15.09x', 'source': 'Zacks consensus via Nasdaq.com (retrieved 2026-10-26) on the 2026-10-23 close; inputs_detail comps[SYM].pe_ntm'}</t>
  </si>
  <si>
    <t xml:space="preserve">{'item': 'comps.peer_median_pe_ntm / comps.at_scale_anchor_pe_ntm labels', 'from': '27.34x called "this set\'s ex-SBC basis"; anchor comparisons on 18.48x / 16.0x (-13.4%, -19.9%, -45.9%)', 'to': '30.12x and 19.06x as published, ex-SBC 27.34x / 18.48x reference only; 17.33/19.06-1 = -9.1%, 15.09/19.06-1 = -20.8%, 15.09/30.12-1 = -49.9%', 'source': 'Zacks consensus via Nasdaq.com (retrieved 2026-10-26) on the 2026-10-23 close; inputs_detail comps[SYM].pe_ntm'}</t>
  </si>
  <si>
    <t xml:space="preserve">{'item': 'driver:opex, driver:fcf_conv, driver:gm', 'from': 'estimate without confidence', 'to': "confidence medium (FY28-29 rest on the agents' median, non-filing evidence); arithmetic unchanged", 'source': '10-K FY2026, 10-Q Q2 FY2027, CFO Commentary Q2 FY27; agent files'}</t>
  </si>
  <si>
    <t xml:space="preserve">{'item': 'years.sbc_pct_rev basis', 'from': 'reported, no source', 'to': 'derived: TTM SBC 7,241 / TTM revenue 302,970 = 0.0239, fact ids F46/F6', 'source': 'SEC XBRL companyfacts CIK0001045810 (10-K 2026-02-25, 10-Q 2026-08-26)'}</t>
  </si>
  <si>
    <t xml:space="preserve">{'item': 'terminal.exit_ev_ebitda', 'from': '13.2 (16x x 0.84 x EBIT/EBITDA)', 'to': '14.3 (17.33 x 0.84 x ~0.982 = 14.30); no FV effect, dcf_weight 0', 'source': 'model.reconciled_inputs.horizon_multiples[P/E] 17.33x'}</t>
  </si>
  <si>
    <t xml:space="preserve">{'item': 'thesis_break_reason multiples', 'from': '9.6x $16.71 (160/16.71); flat year 12.6x (210.96/16.71)', 'to': '9.8x $16.26 (160/16.26 = 9.84); flat year 13.0x (210.96/16.26 = 12.97); 11.4x $13.976 and -24.2% unchanged', 'source': 'update.json / driver_build NTM EPS 16.259; model_engine check P/E leg 281.75 / 17.33'}</t>
  </si>
  <si>
    <t xml:space="preserve">{'item': 'sizing.reason upside', 'from': '+21.7% to the 256.65 research target (12m)', 'to': '+24.5% to the 262.70 research target (12m) (262.70/210.96 - 1 = 24.53%)', 'source': 'model_engine check 2026-10-27 (base 262.70); 2026-10-23 close 210.96'}</t>
  </si>
  <si>
    <t xml:space="preserve">{'item': 'changes (this round)', 'from': 'no entry for SBC-as-cost; last fair value 263.0', 'to': 'entry added: gm/opex/fcf_conv restated, NTM EPS $16.26, P/E 17.33x, research target $263.97 -&gt; $262.70', 'source': 'Kilian card 2026-10-27 17:12Z; model_engine check'}</t>
  </si>
  <si>
    <t xml:space="preserve">{'item': 'disagreements[0].resolution', 'from': '16x; 18.48x ex-SBC anchor, 16x = -13.4%', 'to': 'marked superseded: live 17.33x, -9.1% vs 19.06x as-published anchor', 'source': 'comps.at_scale_anchor_pe_ntm; horizon_multiples[P/E]'}</t>
  </si>
  <si>
    <t xml:space="preserve">{'item': 'GuruFocus NVDA forward PE 24.24', 'from': '24.24 cited (disagreements, sources[12])', 'to': 'figure removed (page would not open, HTTP 403); explanatory only, the 25.4x FY27-basis figure from stockanalysis stands in; feeds no number', 'source': 'https://stockanalysis.com/stocks/nvda/forecast/ (FY27 EPS $9.31)'}</t>
  </si>
  <si>
    <t xml:space="preserve">Sizing</t>
  </si>
  <si>
    <t xml:space="preserve">max weight pct</t>
  </si>
  <si>
    <t xml:space="preserve">confidence</t>
  </si>
  <si>
    <t xml:space="preserve">entry</t>
  </si>
  <si>
    <t xml:space="preserve">2 tranches over ~6 weeks: half now, half after the Oct 27-30 hyperscaler capex guides and the ~Nov 17 Q3 FY27 print</t>
  </si>
  <si>
    <t xml:space="preserve">overlap</t>
  </si>
  <si>
    <t xml:space="preserve">AVGO (same AI-accelerator and hyperscaler-capex driver; a direct competitor for the same budgets), GOOGL (a top customer whose capex is NVDA revenue and whose TPU competes), VST (AI data-center power, same capex cycle). About $1.46k of ~$2.34k invested already rides AI capex.</t>
  </si>
  <si>
    <t xml:space="preserve">reason</t>
  </si>
  <si>
    <t xml:space="preserve">Fact-checks found no thesis problem, and compression is mostly priced in (19.5x NTM at the 10-05 base; 15.09x calendar NTM at the 2026-10-23 close, 14.80x ex-SBC). But the downside scenario (2027-28 capex digestion with an EPS cut to ~12x) hits AVGO, GOOGL and VST at the same time, so ~5% (~$500) caps the AI-capex cluster at about a fifth of the portfolio. Liquidity is unlimited and there are no lock-up or listing issues. Event risk is concentrated in late October and mid-November, hence the staged entry. P(Sharpe beats SPY) is 0.47: an expected ~+11% at the 10-05 spot (now +24.5% to the 262.70 research target (12m) at the 10-23 close) at 38% vol gives a Sharpe of ~0.18-0.2, about the same as SPY's, so there is no clear edge. The 0.47 Sharpe-beat probability and the "low" label are the 10-05 base round's and were not re-scored in this peer-refresh update; sizing itself runs on the combined distribution (allocate.py), not on this text.</t>
  </si>
  <si>
    <t xml:space="preserve">conviction label before</t>
  </si>
  <si>
    <t xml:space="preserve">low</t>
  </si>
  <si>
    <t xml:space="preserve">conviction label reason</t>
  </si>
  <si>
    <t xml:space="preserve">Old scale. The Sharpe-beat probability of 0.47 is essentially no edge. Round-2 checks confirmed the fundamentals but added nothing that raises expected return, the ladder is unchanged from the agents' mean, and the AI-capex overlap with AVGO, GOOGL and VST adds concentration rather than diversification.</t>
  </si>
  <si>
    <t xml:space="preserve">NVDA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</si>
  <si>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</si>
  <si>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</si>
  <si>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</si>
  <si>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</si>
  <si>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</si>
  <si>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</si>
  <si>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agent_1</t>
  </si>
  <si>
    <t xml:space="preserve">NVIDIA Announces Financial Results for Second Quarter Fiscal 2027 (press release)</t>
  </si>
  <si>
    <t xml:space="preserve">2026-08-26</t>
  </si>
  <si>
    <t xml:space="preserve">https://nvidianews.nvidia.com/news/nvidia-announces-financial-results-for-second-quarter-fiscal-2027</t>
  </si>
  <si>
    <t xml:space="preserve">A1.2</t>
  </si>
  <si>
    <t xml:space="preserve">NVIDIA Form 10-Q, quarter ended July 26, 2026</t>
  </si>
  <si>
    <t xml:space="preserve">2026-08</t>
  </si>
  <si>
    <t xml:space="preserve">https://www.sec.gov/Archives/edgar/data/1045810/000104581026000075/nvda-20260726.htm</t>
  </si>
  <si>
    <t xml:space="preserve">A1.3</t>
  </si>
  <si>
    <t xml:space="preserve">NVIDIA CFO Commentary Q2 FY27 (8-K exhibit)</t>
  </si>
  <si>
    <t xml:space="preserve">https://www.sec.gov/Archives/edgar/data/0001045810/000104581026000073/q2fy27cfocommentary.htm</t>
  </si>
  <si>
    <t xml:space="preserve">A1.4</t>
  </si>
  <si>
    <t xml:space="preserve">NVIDIA Q2 FY2027 earnings call transcript</t>
  </si>
  <si>
    <t xml:space="preserve">https://www.fool.com/earnings/call-transcripts/2026/08/31/nvidia-nvda-q2-2027-earnings-call-transcript/</t>
  </si>
  <si>
    <t xml:space="preserve">A1.5</t>
  </si>
  <si>
    <t xml:space="preserve">NVIDIA Announces Financial Results for First Quarter Fiscal 2027</t>
  </si>
  <si>
    <t xml:space="preserve">2026-05-20</t>
  </si>
  <si>
    <t xml:space="preserve">https://nvidianews.nvidia.com/news/nvidia-announces-financial-results-for-first-quarter-fiscal-2027</t>
  </si>
  <si>
    <t xml:space="preserve">A1.6</t>
  </si>
  <si>
    <t xml:space="preserve">NVIDIA Announces Financial Results for Fourth Quarter and Fiscal 2026</t>
  </si>
  <si>
    <t xml:space="preserve">2026-02-25</t>
  </si>
  <si>
    <t xml:space="preserve">https://nvidianews.nvidia.com/news/nvidia-announces-financial-results-for-fourth-quarter-and-fiscal-2026</t>
  </si>
  <si>
    <t xml:space="preserve">A1.7</t>
  </si>
  <si>
    <t xml:space="preserve">Meta Reports Second Quarter 2026 Results (press release)</t>
  </si>
  <si>
    <t xml:space="preserve">2026-07-29</t>
  </si>
  <si>
    <t xml:space="preserve">https://investor.atmeta.com/investor-news/press-release-details/2026/Meta-Reports-Second-Quarter-2026-Results/default.aspx</t>
  </si>
  <si>
    <t xml:space="preserve">A1.8</t>
  </si>
  <si>
    <t xml:space="preserve">Microsoft FY2026 Q4 earnings call (capex, component pricing)</t>
  </si>
  <si>
    <t xml:space="preserve">https://www.microsoft.com/en-us/investor/events/fy-2026/earnings-fy-2026-q4</t>
  </si>
  <si>
    <t xml:space="preserve">A1.9</t>
  </si>
  <si>
    <t xml:space="preserve">Nvidia Stock Is at Its Cheapest Valuation Since 2015 - 24/7 Wall St.</t>
  </si>
  <si>
    <t xml:space="preserve">2026-09-29</t>
  </si>
  <si>
    <t xml:space="preserve">https://247wallst.com/investing/2026/09/29/nvidia-stock-is-at-its-cheapest-valuation-since-2015/</t>
  </si>
  <si>
    <t xml:space="preserve">A1.10</t>
  </si>
  <si>
    <t xml:space="preserve">stockanalysis.com statistics pages for NVDA and 12 peers (AVGO, AMD, TSM, MRVL, MU, ASML, ANET, QCOM, ARM, AMAT, LRCX, KLAC); URL pattern stockanalysis.com/stocks/&lt;ticker&gt;/statistics/</t>
  </si>
  <si>
    <t xml:space="preserve">2026-10-05</t>
  </si>
  <si>
    <t xml:space="preserve">https://stockanalysis.com/stocks/nvda/statistics/</t>
  </si>
  <si>
    <t xml:space="preserve">A1.11</t>
  </si>
  <si>
    <t xml:space="preserve">NVIDIA Q2 FY27 earnings date (Nov 17, 2026) - Wall Street Horizon calendar</t>
  </si>
  <si>
    <t xml:space="preserve">2026-10</t>
  </si>
  <si>
    <t xml:space="preserve">https://www.wallstreethorizon.com/nvidia-earnings-calendar</t>
  </si>
  <si>
    <t xml:space="preserve">A1.12</t>
  </si>
  <si>
    <t xml:space="preserve">Nvidia Stock Just Did Something for the First Time in 10 Years (Motley Fool, syndicated on AOL): quarterly consensus Q3 FY27 $2.47, Q4 $2.73, Q1 FY28 $3.17, Q2 FY28 $3.63; ~19x NTM</t>
  </si>
  <si>
    <t xml:space="preserve">2026-09-30</t>
  </si>
  <si>
    <t xml:space="preserve">https://www.aol.com/articles/nvidia-stock-just-did-something-112000000.html</t>
  </si>
  <si>
    <t xml:space="preserve">A2.1</t>
  </si>
  <si>
    <t xml:space="preserve">agent_2</t>
  </si>
  <si>
    <t xml:space="preserve">NVIDIA Announces Financial Results for Second Quarter Fiscal 2027</t>
  </si>
  <si>
    <t xml:space="preserve">A2.2</t>
  </si>
  <si>
    <t xml:space="preserve">Nvidia earnings takeaways: Huang forecasts 70% fiscal 2028 revenue growth (CNBC; search snippet, page 403 to fetch)</t>
  </si>
  <si>
    <t xml:space="preserve">https://www.cnbc.com/2026/08/26/nvidia-nvda-earnings-report-q2-2027-live-updates.html</t>
  </si>
  <si>
    <t xml:space="preserve">A2.3</t>
  </si>
  <si>
    <t xml:space="preserve">Nvidia Stock Just Did Something for the First Time in 10 Years (forward P/E decade low; quarterly consensus EPS)</t>
  </si>
  <si>
    <t xml:space="preserve">https://www.fool.com/investing/2026/09/30/nvidia-stock-just-did-something-for-the-first-time/</t>
  </si>
  <si>
    <t xml:space="preserve">A2.4</t>
  </si>
  <si>
    <t xml:space="preserve">Nvidia's P/E Ratio Falls Below 17x to Decade Low as Growth-Stock Halo Fades (NVDA vs SOX constituents)</t>
  </si>
  <si>
    <t xml:space="preserve">2026-09-22</t>
  </si>
  <si>
    <t xml:space="preserve">https://finance.biggo.com/news/7a58467f-3059-4b72-8dc4-0d2533fd3540</t>
  </si>
  <si>
    <t xml:space="preserve">A2.5</t>
  </si>
  <si>
    <t xml:space="preserve">NVIDIA (NVDA) statistics: forward PE, EV/EBITDA, net cash</t>
  </si>
  <si>
    <t xml:space="preserve">A2.6</t>
  </si>
  <si>
    <t xml:space="preserve">Yahoo Finance NVDA analysis: FY27/FY28 EPS and revenue consensus, revisions</t>
  </si>
  <si>
    <t xml:space="preserve">https://finance.yahoo.com/quote/NVDA/analysis/</t>
  </si>
  <si>
    <t xml:space="preserve">A2.7</t>
  </si>
  <si>
    <t xml:space="preserve">TSMC Revenue Rises 53% as AI Chip Demand Outstrips Supply (Bloomberg; headline/snippet)</t>
  </si>
  <si>
    <t xml:space="preserve">2026-09-10</t>
  </si>
  <si>
    <t xml:space="preserve">https://www.bloomberg.com/news/articles/2026-09-10/tsmc-revenue-rises-53-as-ai-chip-demand-outstrips-supply</t>
  </si>
  <si>
    <t xml:space="preserve">A2.8</t>
  </si>
  <si>
    <t xml:space="preserve">TrendForce: TSMC CoWoS supply-demand gap narrowing from 20% to 10% by end-2026</t>
  </si>
  <si>
    <t xml:space="preserve">2026-06-15</t>
  </si>
  <si>
    <t xml:space="preserve">https://www.trendforce.com/news/2026/06/15/news-tsmc-cowos-supply-demand-gap-reportedly-seen-narrowing-from-20-to-10-by-end-2026-as-capacity-expands/</t>
  </si>
  <si>
    <t xml:space="preserve">A2.9</t>
  </si>
  <si>
    <t xml:space="preserve">Micron fiscal Q4 2026 prepared remarks (HBM 2027 supply contracted, server units high-teens 2026/27, tight through FY28)</t>
  </si>
  <si>
    <t xml:space="preserve">https://s25.q4cdn.com/621799436/files/doc_financials/2026/q4/Q4-FY26-Prepared-Remarks.pdf</t>
  </si>
  <si>
    <t xml:space="preserve">A2.10</t>
  </si>
  <si>
    <t xml:space="preserve">Broadcom Q3 FY2026 results: AI semis $16.7B +221%, XPU 73% of AI revenue, Q4 AI guide $21.7B</t>
  </si>
  <si>
    <t xml:space="preserve">2026-09-09</t>
  </si>
  <si>
    <t xml:space="preserve">https://investors.broadcom.com/news-releases/news-release-details/broadcom-inc-announces-third-quarter-fiscal-year-2026-financial</t>
  </si>
  <si>
    <t xml:space="preserve">A2.11</t>
  </si>
  <si>
    <t xml:space="preserve">AMD launches Helios rack system, adds Microsoft as buyer (CNBC)</t>
  </si>
  <si>
    <t xml:space="preserve">2026-07-20</t>
  </si>
  <si>
    <t xml:space="preserve">https://www.cnbc.com/2026/07/20/amd-helios-microsoft-ai-nvidia.html</t>
  </si>
  <si>
    <t xml:space="preserve">A2.12</t>
  </si>
  <si>
    <t xml:space="preserve">Google has sold so much TPU capacity that its own researchers are queueing (Anthropic/Meta TPU deals)</t>
  </si>
  <si>
    <t xml:space="preserve">2026-09</t>
  </si>
  <si>
    <t xml:space="preserve">https://thenextweb.com/news/google-tpu-compute-internal-researchers-anthropic</t>
  </si>
  <si>
    <t xml:space="preserve">A2.13</t>
  </si>
  <si>
    <t xml:space="preserve">TrendForce: Nvidia reported 15% server price hike; HBM prices potentially +50% in 2027 (UBS +79%)</t>
  </si>
  <si>
    <t xml:space="preserve">2026-08-25</t>
  </si>
  <si>
    <t xml:space="preserve">https://www.trendforce.com/news/2026/08/25/news-nvidias-reported-15-server-hike-boosts-samsung-sk-hynix-with-hbm-prices-potentially-up-50-in-2027/</t>
  </si>
  <si>
    <t xml:space="preserve">A2.14</t>
  </si>
  <si>
    <t xml:space="preserve">Nvidia guides gross margin down to 74% in Q3, 71-72% low in Q4 FY27</t>
  </si>
  <si>
    <t xml:space="preserve">https://gamesreviews.com/news/08/nvidia-guides-gross-margin-down-to-74-in-q3-71-72-low-in-q4-fy27/</t>
  </si>
  <si>
    <t xml:space="preserve">A2.15</t>
  </si>
  <si>
    <t xml:space="preserve">Dell's AI server backlog surges to $95 billion (Q2 FY27 orders $60.9B)</t>
  </si>
  <si>
    <t xml:space="preserve">https://convergedigest.com/dell-ai-server-backlog-95-billion-q2-fy2027/</t>
  </si>
  <si>
    <t xml:space="preserve">A2.16</t>
  </si>
  <si>
    <t xml:space="preserve">FactSet: Hyperscalers tap external financing as AI capex outruns cash flow</t>
  </si>
  <si>
    <t xml:space="preserve">2026-07-23</t>
  </si>
  <si>
    <t xml:space="preserve">https://insight.factset.com/hyperscalers-tap-external-financing-as-ai-capex-outruns-cash-flow</t>
  </si>
  <si>
    <t xml:space="preserve">A2.17</t>
  </si>
  <si>
    <t xml:space="preserve">6 hyperscalers projected to spend $1.3 trillion on capex in 2027 (Motley Fool)</t>
  </si>
  <si>
    <t xml:space="preserve">2026-09-06</t>
  </si>
  <si>
    <t xml:space="preserve">https://www.fool.com/investing/2026/09/06/hyperscalers-driving-ai-capex-cash-flow/</t>
  </si>
  <si>
    <t xml:space="preserve">A2.18</t>
  </si>
  <si>
    <t xml:space="preserve">Polymarket: Largest company end of December 2026 (NVDA 85%, vol $7.73M)</t>
  </si>
  <si>
    <t xml:space="preserve">https://polymarket.com/event/largest-company-end-of-december-2026</t>
  </si>
  <si>
    <t xml:space="preserve">A2.19</t>
  </si>
  <si>
    <t xml:space="preserve">US export controls on Nvidia AI chips to China timeline (updated Sep 3, 2026)</t>
  </si>
  <si>
    <t xml:space="preserve">2026-09-03</t>
  </si>
  <si>
    <t xml:space="preserve">https://whatledto.com/events/nvidia-china-export-controls</t>
  </si>
  <si>
    <t xml:space="preserve">A2.20</t>
  </si>
  <si>
    <t xml:space="preserve">AVGO statistics</t>
  </si>
  <si>
    <t xml:space="preserve">https://stockanalysis.com/stocks/avgo/statistics/</t>
  </si>
  <si>
    <t xml:space="preserve">A2.21</t>
  </si>
  <si>
    <t xml:space="preserve">AMD statistics</t>
  </si>
  <si>
    <t xml:space="preserve">https://stockanalysis.com/stocks/amd/statistics/</t>
  </si>
  <si>
    <t xml:space="preserve">A2.22</t>
  </si>
  <si>
    <t xml:space="preserve">TSM statistics</t>
  </si>
  <si>
    <t xml:space="preserve">https://stockanalysis.com/stocks/tsm/statistics/</t>
  </si>
  <si>
    <t xml:space="preserve">A2.23</t>
  </si>
  <si>
    <t xml:space="preserve">MU statistics</t>
  </si>
  <si>
    <t xml:space="preserve">https://stockanalysis.com/stocks/mu/statistics/</t>
  </si>
  <si>
    <t xml:space="preserve">A2.24</t>
  </si>
  <si>
    <t xml:space="preserve">MRVL statistics</t>
  </si>
  <si>
    <t xml:space="preserve">https://stockanalysis.com/stocks/mrvl/statistics/</t>
  </si>
  <si>
    <t xml:space="preserve">A2.25</t>
  </si>
  <si>
    <t xml:space="preserve">QCOM statistics</t>
  </si>
  <si>
    <t xml:space="preserve">https://stockanalysis.com/stocks/qcom/statistics/</t>
  </si>
  <si>
    <t xml:space="preserve">A2.26</t>
  </si>
  <si>
    <t xml:space="preserve">ARM statistics</t>
  </si>
  <si>
    <t xml:space="preserve">https://stockanalysis.com/stocks/arm/statistics/</t>
  </si>
  <si>
    <t xml:space="preserve">A2.27</t>
  </si>
  <si>
    <t xml:space="preserve">ASML statistics</t>
  </si>
  <si>
    <t xml:space="preserve">https://stockanalysis.com/stocks/asml/statistics/</t>
  </si>
  <si>
    <t xml:space="preserve">A2.28</t>
  </si>
  <si>
    <t xml:space="preserve">ANET statistics</t>
  </si>
  <si>
    <t xml:space="preserve">https://stockanalysis.com/stocks/anet/statistics/</t>
  </si>
  <si>
    <t xml:space="preserve">A2.29</t>
  </si>
  <si>
    <t xml:space="preserve">KLAC statistics</t>
  </si>
  <si>
    <t xml:space="preserve">https://stockanalysis.com/stocks/klac/statistics/</t>
  </si>
  <si>
    <t xml:space="preserve">A2.30</t>
  </si>
  <si>
    <t xml:space="preserve">LRCX statistics</t>
  </si>
  <si>
    <t xml:space="preserve">https://stockanalysis.com/stocks/lrcx/statistics/</t>
  </si>
  <si>
    <t xml:space="preserve">A2.31</t>
  </si>
  <si>
    <t xml:space="preserve">NVDA analyst forecast: FY27 consensus, 61-analyst target mean $327.70 (low $180, high $515)</t>
  </si>
  <si>
    <t xml:space="preserve">https://stockanalysis.com/stocks/nvda/forecast/</t>
  </si>
  <si>
    <t xml:space="preserve">A2.32</t>
  </si>
  <si>
    <t xml:space="preserve">TSMC Q2 2026 earnings call transcript: 2026 growth outlook raised to ~40%+</t>
  </si>
  <si>
    <t xml:space="preserve">2026-07-16</t>
  </si>
  <si>
    <t xml:space="preserve">https://www.investing.com/news/transcripts/earnings-call-transcript-tsmc-lifts-2026-outlook-as-ai-demand-stays-hot-in-q2-2026-93CH-4794777</t>
  </si>
  <si>
    <t xml:space="preserve">A2.33</t>
  </si>
  <si>
    <t xml:space="preserve">NVIDIA CFO Commentary Q2 FY27 (8-K exhibit): OCF $24.1B, FCF $21.3B, H1 FCF $69.9B, DSO 60, AR $63.1B, supply commitments $279B</t>
  </si>
  <si>
    <t xml:space="preserve">A2.34</t>
  </si>
  <si>
    <t xml:space="preserve">IO Fund: AI capex to hit $1 trillion (Big-4 2027 capex consensus $934.5B; 2026 guidance $732.5B; GS/JPM views)</t>
  </si>
  <si>
    <t xml:space="preserve">2026-08-05</t>
  </si>
  <si>
    <t xml:space="preserve">https://io-fund.com/ai-stocks/ai-capex-1-trillion-estimates-too-low</t>
  </si>
  <si>
    <t xml:space="preserve">A2.35</t>
  </si>
  <si>
    <t xml:space="preserve">TrendForce: AI server shipments forecast raised to ~31% in 2026 as 90% surge in CSP capex; Meta to accelerate ASICs in 2027</t>
  </si>
  <si>
    <t xml:space="preserve">2026-08-03</t>
  </si>
  <si>
    <t xml:space="preserve">https://www.trendforce.com/presscenter/news/20260803-13161.html</t>
  </si>
  <si>
    <t xml:space="preserve">A2.36</t>
  </si>
  <si>
    <t xml:space="preserve">TrendForce: NVL72 output value to exceed US$710B in 2027 (+214%), rack shipments +50%</t>
  </si>
  <si>
    <t xml:space="preserve">2026-08-28</t>
  </si>
  <si>
    <t xml:space="preserve">https://www.trendforce.com/presscenter/news/20260828-13204.html</t>
  </si>
  <si>
    <t xml:space="preserve">A2.37</t>
  </si>
  <si>
    <t xml:space="preserve">TrendForce: NVIDIA supply commitments soar to $279B as memory costs surge</t>
  </si>
  <si>
    <t xml:space="preserve">2026-08-27</t>
  </si>
  <si>
    <t xml:space="preserve">https://www.trendforce.com/news/2026/08/27/news-nvidias-supply-commitments-soar-to-279b-as-memory-costs-surge-new-nvhbm-boosts-bandwidth-30-cuts-power-15/</t>
  </si>
  <si>
    <t xml:space="preserve">A3.1</t>
  </si>
  <si>
    <t xml:space="preserve">agent_3</t>
  </si>
  <si>
    <t xml:space="preserve">A3.2</t>
  </si>
  <si>
    <t xml:space="preserve">NVIDIA Form 10-Q for quarter ended July 26, 2026 (supply commitments, $105B SB Energy/OpenAI lease guarantee, AR concentration, securities class action)</t>
  </si>
  <si>
    <t xml:space="preserve">https://www.sec.gov/Archives/edgar/data/0001045810/000104581026000075/nvda-20260726.htm</t>
  </si>
  <si>
    <t xml:space="preserve">A3.3</t>
  </si>
  <si>
    <t xml:space="preserve">NVIDIA Q1 FY2027 press release (8-K exhibit)</t>
  </si>
  <si>
    <t xml:space="preserve">https://www.sec.gov/Archives/edgar/data/0001045810/000104581026000051/q1fy27pr.htm</t>
  </si>
  <si>
    <t xml:space="preserve">A3.4</t>
  </si>
  <si>
    <t xml:space="preserve">Nvidia Stock Just Did Something for the First Time in 10 Years (forward P/E ~19 vs ~32 historical average)</t>
  </si>
  <si>
    <t xml:space="preserve">A3.5</t>
  </si>
  <si>
    <t xml:space="preserve">Nvidia didn't like Wall Street's estimates. So it tried to reset them.</t>
  </si>
  <si>
    <t xml:space="preserve">2026-09-02</t>
  </si>
  <si>
    <t xml:space="preserve">https://finance.yahoo.com/technology/article/nvidia-didnt-like-wall-streets-estimates-so-it-tried-to-reset-them-122218541.html</t>
  </si>
  <si>
    <t xml:space="preserve">A3.6</t>
  </si>
  <si>
    <t xml:space="preserve">NVIDIA expects FY2028 revenue to grow ~70%, revises gross margin outlook to 72%-73%</t>
  </si>
  <si>
    <t xml:space="preserve">https://www.moomoo.com/community/feed/nvidia-expects-its-fiscal-2028-revenue-to-grow-by-approximately-117165165576198</t>
  </si>
  <si>
    <t xml:space="preserve">A3.7</t>
  </si>
  <si>
    <t xml:space="preserve">NVIDIA FY2028 EPS forecast / consensus (~$15.5-15.7, 39 up-revisions in 30 days)</t>
  </si>
  <si>
    <t xml:space="preserve">2026-09-14</t>
  </si>
  <si>
    <t xml:space="preserve">https://www.marketbeat.com/instant-alerts/estimates-nvidia-fy2028-eps-forecast-boosted-by-erste-group-bank-2026-09-14/</t>
  </si>
  <si>
    <t xml:space="preserve">A3.8</t>
  </si>
  <si>
    <t xml:space="preserve">NVDA key statistics (forward P/E 19.3, EV/EBITDA 28.0, short interest 1.27% of float)</t>
  </si>
  <si>
    <t xml:space="preserve">A3.9</t>
  </si>
  <si>
    <t xml:space="preserve">Peer statistics pages on stockanalysis.com: /stocks/{avgo,amd,tsm,mrvl,mu,anet,arm,asml,amat,lrcx,klac,qcom}/statistics/ (forward P/E, trailing EV/EBITDA, 3Y EPS growth forecast)</t>
  </si>
  <si>
    <t xml:space="preserve">A3.10</t>
  </si>
  <si>
    <t xml:space="preserve">Polymarket: Largest company end of December 2026 (NVDA 85%, vol ~$7.7M)</t>
  </si>
  <si>
    <t xml:space="preserve">A3.11</t>
  </si>
  <si>
    <t xml:space="preserve">Michael Burry, Cassandra Unchained: Short Thoughts July 8, 2026 - NVDA, Neos, Hyperscalers, Jevons Paradox, and Compression (paywalled; preview read)</t>
  </si>
  <si>
    <t xml:space="preserve">2026-07-08</t>
  </si>
  <si>
    <t xml:space="preserve">https://michaeljburry.substack.com/p/short-thoughts-july-8-2026-nvda-neos</t>
  </si>
  <si>
    <t xml:space="preserve">A3.12</t>
  </si>
  <si>
    <t xml:space="preserve">The $176 Billion Accounting Question at the Heart of the AI Boom</t>
  </si>
  <si>
    <t xml:space="preserve">2025-11</t>
  </si>
  <si>
    <t xml:space="preserve">https://davefriedman.substack.com/p/the-176-billion-accounting-question</t>
  </si>
  <si>
    <t xml:space="preserve">A3.13</t>
  </si>
  <si>
    <t xml:space="preserve">Nvidia's bet that its chips can finance the AI boom gets a Wall Street reality check (Bloomberg via BNN)</t>
  </si>
  <si>
    <t xml:space="preserve">2026-10-01</t>
  </si>
  <si>
    <t xml:space="preserve">https://bnnbloomberg.ca/business/artificial-intelligence/2026/10/01/nvidias-bet-that-its-chips-can-finance-the-ai-boom-gets-a-wall-street-reality-check</t>
  </si>
  <si>
    <t xml:space="preserve">A3.14</t>
  </si>
  <si>
    <t xml:space="preserve">Nvidia's $250B Guarantee for OpenAI Ohio Campus Proves Debt Markets Said No</t>
  </si>
  <si>
    <t xml:space="preserve">2026-07-27</t>
  </si>
  <si>
    <t xml:space="preserve">https://www.techtimes.com/articles/321652/20260727/nvidias-250b-guarantee-openai-ohio-campus-proves-debt-markets-said-no.htm</t>
  </si>
  <si>
    <t xml:space="preserve">A3.15</t>
  </si>
  <si>
    <t xml:space="preserve">Nvidia scales back funding guarantee for Ohio OpenAI data center, WSJ reports</t>
  </si>
  <si>
    <t xml:space="preserve">https://finance.yahoo.com/technology/ai/articles/nvidia-scales-back-250-billion-234356524.html</t>
  </si>
  <si>
    <t xml:space="preserve">A3.16</t>
  </si>
  <si>
    <t xml:space="preserve">Nvidia Invests $1.5B in SB Energy for OpenAI Ohio Data Center, Rejects Circular Financing Label (Seaport's Goldberg: 'bubble-like behavior')</t>
  </si>
  <si>
    <t xml:space="preserve">2026-08-17</t>
  </si>
  <si>
    <t xml:space="preserve">https://easternherald.com/2026/08/17/nvidia-sb-energy-openai-ohio-ai-data-center-investment/</t>
  </si>
  <si>
    <t xml:space="preserve">A3.17</t>
  </si>
  <si>
    <t xml:space="preserve">6 Hyperscalers Projected to Spend $1.3 Trillion on Capex in 2027; Only 1 Forecast to Have Positive FCF</t>
  </si>
  <si>
    <t xml:space="preserve">A3.18</t>
  </si>
  <si>
    <t xml:space="preserve">Nvidia locks in $25B of high-grade bonds (PitchBook)</t>
  </si>
  <si>
    <t xml:space="preserve">2026-06-17</t>
  </si>
  <si>
    <t xml:space="preserve">https://pitchbook.com/news/articles/nvidia-locks-in-25b-of-high-grade-bonds-adding-to-ai-sprint</t>
  </si>
  <si>
    <t xml:space="preserve">A3.19</t>
  </si>
  <si>
    <t xml:space="preserve">Nvidia Joins AI Borrowing Frenzy With $25 Billion Bond Sale (Bloomberg)</t>
  </si>
  <si>
    <t xml:space="preserve">https://www.bloomberg.com/news/articles/2026-06-15/nvidia-kicks-off-first-high-grade-bond-offering-since-2021</t>
  </si>
  <si>
    <t xml:space="preserve">A3.20</t>
  </si>
  <si>
    <t xml:space="preserve">NVIDIA Form 424B5 prospectus supplement, $25B notes 2028-2056</t>
  </si>
  <si>
    <t xml:space="preserve">2026-06-16</t>
  </si>
  <si>
    <t xml:space="preserve">https://www.sec.gov/Archives/edgar/data/0001045810/000119312526273139/d118718d424b5.htm</t>
  </si>
  <si>
    <t xml:space="preserve">A3.21</t>
  </si>
  <si>
    <t xml:space="preserve">NVIDIA trading down 1.6% on analyst downgrade (MarketBeat)</t>
  </si>
  <si>
    <t xml:space="preserve">2026-06-25</t>
  </si>
  <si>
    <t xml:space="preserve">https://www.marketbeat.com/instant-alerts/nvidia-nasdaqnvda-trading-down-16-on-analyst-downgrade-2026-06-25/</t>
  </si>
  <si>
    <t xml:space="preserve">A3.22</t>
  </si>
  <si>
    <t xml:space="preserve">TrendForce: NVIDIA's supply commitments soar to $279B as memory costs surge</t>
  </si>
  <si>
    <t xml:space="preserve">A3.23</t>
  </si>
  <si>
    <t xml:space="preserve">Custom Silicon Inflection 2026: hyperscaler ASICs vs NVIDIA GPU</t>
  </si>
  <si>
    <t xml:space="preserve">2026</t>
  </si>
  <si>
    <t xml:space="preserve">https://introl.com/blog/custom-silicon-inflection-2026-hyperscaler-asics-nvidia-gpu</t>
  </si>
  <si>
    <t xml:space="preserve">A3.24</t>
  </si>
  <si>
    <t xml:space="preserve">Cramer: Here are 5 bear cases for Nvidia (catalogue of short-seller arguments)</t>
  </si>
  <si>
    <t xml:space="preserve">2025-12-21</t>
  </si>
  <si>
    <t xml:space="preserve">https://www.cnbc.com/2025/12/21/cramer-here-are-5-bear-cases-for-nvidia-and-why-each-one-is-wrong.html</t>
  </si>
  <si>
    <t xml:space="preserve">A3.25</t>
  </si>
  <si>
    <t xml:space="preserve">Nvidia Stock: $302 Bull Case vs $152 Bear Case</t>
  </si>
  <si>
    <t xml:space="preserve">https://financefeeds.com/nvidia-nvda-stock-302-bull-case-152-bear-case/</t>
  </si>
  <si>
    <t xml:space="preserve">A3.26</t>
  </si>
  <si>
    <t xml:space="preserve">Nvidia CEO Jensen Huang begins sale of $925M worth of stock under 10b5-1 plan (2025 plan; latest insider data paywalled)</t>
  </si>
  <si>
    <t xml:space="preserve">2025-06</t>
  </si>
  <si>
    <t xml:space="preserve">https://www.tomshardware.com/tech-industry/nvidia-ceo-jensen-huang-begins-sale-of-usd925m-worth-of-nvidia-stock-sale-of-6-million-shares-barely-dents-his-usd123-billion-in-shares</t>
  </si>
  <si>
    <t xml:space="preserve">A3.27</t>
  </si>
  <si>
    <t xml:space="preserve">NVIDIA Q2 FY2027 earnings call: gross margins slump on memory costs (BigGo Finance)</t>
  </si>
  <si>
    <t xml:space="preserve">https://finance.biggo.com/news/US_NVDA_2026-08-26</t>
  </si>
  <si>
    <t xml:space="preserve">A3.28</t>
  </si>
  <si>
    <t xml:space="preserve">Nvidia earnings calendar (Q3 FY27 expected Nov 17, 2026)</t>
  </si>
  <si>
    <t xml:space="preserve">A3.29</t>
  </si>
  <si>
    <t xml:space="preserve">NVIDIA CFO Commentary Q2 FY27 (8-K exhibit): OCF $24.1B, FCF $21.3B, H1 OCF $74.4B / FCF $69.9B, DSO 60 on extended terms</t>
  </si>
  <si>
    <t xml:space="preserve">A3.30</t>
  </si>
  <si>
    <t xml:space="preserve">NVIDIA Form 4: Jensen Huang tax withholding at $212.17 (Sep 16) and 438,000-share gift (Sep 17), no 10b5-1 sale</t>
  </si>
  <si>
    <t xml:space="preserve">2026-09-18</t>
  </si>
  <si>
    <t xml:space="preserve">https://www.stocktitan.net/sec-filings/NVDA/form-4-nvidia-corp-insider-trading-activity-d553f5d26b67.html</t>
  </si>
  <si>
    <t xml:space="preserve">A3.31</t>
  </si>
  <si>
    <t xml:space="preserve">NVIDIA Form 4 filings index on EDGAR (CFO Kress 10b5-1 sales of 35,918 shares at $218-220, Sep 16-17, 2026)</t>
  </si>
  <si>
    <t xml:space="preserve">https://www.sec.gov/cgi-bin/browse-edgar?action=getcompany&amp;CIK=0001045810&amp;type=4</t>
  </si>
  <si>
    <t xml:space="preserve">A3.32</t>
  </si>
  <si>
    <t xml:space="preserve">NVIDIA Did Not Guarantee The Rent. It Guaranteed The Resale. (Global Data Center Hub)</t>
  </si>
  <si>
    <t xml:space="preserve">2026-08-24</t>
  </si>
  <si>
    <t xml:space="preserve">https://www.globaldatacenterhub.com/p/nvidia-did-not-guarantee-the-rent</t>
  </si>
  <si>
    <t xml:space="preserve">A3.33</t>
  </si>
  <si>
    <t xml:space="preserve">NVIDIA 8-K: SB Energy / OpenAI PORTS campus release</t>
  </si>
  <si>
    <t xml:space="preserve">https://www.sec.gov/Archives/edgar/data/0001045810/000104581026000069/sbeoainvidia-portsrelease.htm</t>
  </si>
  <si>
    <t xml:space="preserve">A3.34</t>
  </si>
  <si>
    <t xml:space="preserve">TIKR: NVIDIA Stock Is Down 18% in 2026. Is the AI Leader Finally Cheap? (insider sales ~$410.6M in 3 months, B200 rental -31%)</t>
  </si>
  <si>
    <t xml:space="preserve">2026-06-28</t>
  </si>
  <si>
    <t xml:space="preserve">https://www.tikr.com/blog/nvidia-stock-is-down-18-in-2026-is-the-ai-leader-finally-cheap</t>
  </si>
  <si>
    <t xml:space="preserve">A3.35</t>
  </si>
  <si>
    <t xml:space="preserve">Seeking Alpha: Nvidia: Downgrade To Hold As Earnings Fail To Push Price Higher</t>
  </si>
  <si>
    <t xml:space="preserve">https://seekingalpha.com/article/4912599-nvidia-downgrade-to-hold-as-earnings-fail-to-push-price-higher</t>
  </si>
  <si>
    <t xml:space="preserve">A4.1</t>
  </si>
  <si>
    <t xml:space="preserve">agent_4</t>
  </si>
  <si>
    <t xml:space="preserve">A4.2</t>
  </si>
  <si>
    <t xml:space="preserve">NVIDIA Q2 FY2027 earnings call corrected transcript (FactSet CallStreet)</t>
  </si>
  <si>
    <t xml:space="preserve">https://s201.q4cdn.com/141608511/files/content_files/TRANSCRIPT_-NVIDIA-Corp-NVDA-US-Q2-2027-Earnings-Call-26-August-2026-5_00-PM-ET.pdf</t>
  </si>
  <si>
    <t xml:space="preserve">A4.3</t>
  </si>
  <si>
    <t xml:space="preserve">NVDA: When 85% Growth Only Buys a 23x Multiple (Capital Blueprint Substack)</t>
  </si>
  <si>
    <t xml:space="preserve">2026-05-29</t>
  </si>
  <si>
    <t xml:space="preserve">https://capitalblueprint.substack.com/p/nvda-when-85-growth-only-buys-a-23x</t>
  </si>
  <si>
    <t xml:space="preserve">A4.4</t>
  </si>
  <si>
    <t xml:space="preserve">Nvidia Stock Just Did Something for the First Time in 10 Years (forward P/E at decade low)</t>
  </si>
  <si>
    <t xml:space="preserve">A4.5</t>
  </si>
  <si>
    <t xml:space="preserve">NVIDIA FY27 Q2: commitments and cash conversion beyond growth (AlphaGBM independent research)</t>
  </si>
  <si>
    <t xml:space="preserve">2026-09-11</t>
  </si>
  <si>
    <t xml:space="preserve">https://www.alphagbm.com/en/insights/nvda-fy2027-q2-commitments-cash-valuation-20260827</t>
  </si>
  <si>
    <t xml:space="preserve">A4.6</t>
  </si>
  <si>
    <t xml:space="preserve">Finsee on X: NVDA Q2 FY27 cash conversion and working capital flash warning signs (search snippet; X not fetched)</t>
  </si>
  <si>
    <t xml:space="preserve">https://x.com/Finsee_main/status/2092712935843864938</t>
  </si>
  <si>
    <t xml:space="preserve">A4.7</t>
  </si>
  <si>
    <t xml:space="preserve">Hudson Labs: Nvidia 10-Q Risks &amp; Red Flags Redline Q2 FY2027 (search snippet)</t>
  </si>
  <si>
    <t xml:space="preserve">https://www.hudson-labs.com/research/nvidia-q2-2027-earnings</t>
  </si>
  <si>
    <t xml:space="preserve">A4.8</t>
  </si>
  <si>
    <t xml:space="preserve">GPU Rental Price Index (getdeploying.com), week of 2026-10-05: H100 $3.40/hr median of 41 providers, flat over 4 weeks, +14% y/y; H200 $5.40; B200 $8.55 (re-checked in round 2)</t>
  </si>
  <si>
    <t xml:space="preserve">https://getdeploying.com/gpu-price-index</t>
  </si>
  <si>
    <t xml:space="preserve">A4.9</t>
  </si>
  <si>
    <t xml:space="preserve">GPU Rental Prices: H100, H200, B200 cost per hour (Mercatus GPU Index, search snippet)</t>
  </si>
  <si>
    <t xml:space="preserve">2026-09-13</t>
  </si>
  <si>
    <t xml:space="preserve">https://www.mercatus-ai.com/blog/gpu-rental-prices</t>
  </si>
  <si>
    <t xml:space="preserve">A4.10</t>
  </si>
  <si>
    <t xml:space="preserve">Polymarket: Largest Company end of December 2026</t>
  </si>
  <si>
    <t xml:space="preserve">A4.11</t>
  </si>
  <si>
    <t xml:space="preserve">Polymarket on X: 67% chance Nvidia remains the world's largest company at year end (earlier 2026 reading)</t>
  </si>
  <si>
    <t xml:space="preserve">https://x.com/Polymarket/status/2057200999853392329</t>
  </si>
  <si>
    <t xml:space="preserve">A4.12</t>
  </si>
  <si>
    <t xml:space="preserve">SemiAnalysis on X: Accelerator Model has NVDA DC compute revenue 20% above consensus for 2H FY2027 (search snippet; dated ~2026-06-30 per Yahoo recap; context only, not used in numbers)</t>
  </si>
  <si>
    <t xml:space="preserve">https://x.com/SemiAnalysis_/status/2071840399627288746</t>
  </si>
  <si>
    <t xml:space="preserve">A4.13</t>
  </si>
  <si>
    <t xml:space="preserve">Custom Silicon Inflection 2026: hyperscaler ASICs vs Nvidia GPU (Introl blog)</t>
  </si>
  <si>
    <t xml:space="preserve">A4.14</t>
  </si>
  <si>
    <t xml:space="preserve">NVDA P/E ratio current and historical (fullratio): 29.57 on 2026-10-02 vs 12-month average 38.56</t>
  </si>
  <si>
    <t xml:space="preserve">2026-10-02</t>
  </si>
  <si>
    <t xml:space="preserve">https://fullratio.com/stocks/nasdaq-nvda/pe-ratio</t>
  </si>
  <si>
    <t xml:space="preserve">A4.15</t>
  </si>
  <si>
    <t xml:space="preserve">stockanalysis.com statistics pages fetched 2026-10-05 for NVDA and peers (same path /stocks/{avgo,amd,tsm,mrvl,mu,asml,qcom,arm,anet,amat,lrcx,klac}/statistics/)</t>
  </si>
  <si>
    <t xml:space="preserve">A4.16</t>
  </si>
  <si>
    <t xml:space="preserve">Nvidia earnings calendar (Wall Street Horizon): Q3 FY27 report Nov 17, 2026</t>
  </si>
  <si>
    <t xml:space="preserve">A4.17</t>
  </si>
  <si>
    <t xml:space="preserve">NVIDIA CFO Commentary Q2 FY27 (8-K exhibit): OCF $24.1B, FCF $21.3B, AR $63.1B, DSO 60, inventory $31.6B</t>
  </si>
  <si>
    <t xml:space="preserve">A4.18</t>
  </si>
  <si>
    <t xml:space="preserve">NVIDIA Form 10-Q, quarter ended July 26, 2026 (marketable equity securities $42.8B; debt; guarantees)</t>
  </si>
  <si>
    <t xml:space="preserve">A4.19</t>
  </si>
  <si>
    <t xml:space="preserve">NVIDIA stock gains as SemiAnalysis sees H2 data center revenue 20% above consensus (Yahoo Finance)</t>
  </si>
  <si>
    <t xml:space="preserve">2026-06-30</t>
  </si>
  <si>
    <t xml:space="preserve">https://finance.yahoo.com/markets/stocks/articles/nvidia-stock-gains-semianalysis-sees-165152271.html</t>
  </si>
  <si>
    <t xml:space="preserve">A4.20</t>
  </si>
  <si>
    <t xml:space="preserve">The Great AI Silicon Shortage (SemiAnalysis newsletter): N3 logic is the binding constraint, AI ~60% of N3 in 2026 and up to 86% in 2027; CoWoS 'tight but easing'</t>
  </si>
  <si>
    <t xml:space="preserve">2026-03-12</t>
  </si>
  <si>
    <t xml:space="preserve">https://newsletter.semianalysis.com/p/the-great-ai-silicon-shortage</t>
  </si>
  <si>
    <t xml:space="preserve">A4.21</t>
  </si>
  <si>
    <t xml:space="preserve">Nvidia Promised $235 Billion in Buybacks. Last Quarter Its Free Cash Flow Was $21 Billion (Business Model Analyst): H1 FCF $69.9B vs $45.3B returned</t>
  </si>
  <si>
    <t xml:space="preserve">https://businessmodelanalyst.com/nvidia-235-billion-buyback-free-cash-flow/</t>
  </si>
  <si>
    <t xml:space="preserve">A4.22</t>
  </si>
  <si>
    <t xml:space="preserve">US Treasury Daily Par Yield Curve Rates, October 2026 (10Y 5.24% Oct 1, 5.28% Oct 2)</t>
  </si>
  <si>
    <t xml:space="preserve">https://home.treasury.gov/resource-center/data-chart-center/interest-rates/TextView?type=daily_treasury_yield_curve&amp;field_tdr_date_value_month=202610</t>
  </si>
  <si>
    <t xml:space="preserve">A4.23</t>
  </si>
  <si>
    <t xml:space="preserve">DeFi Rate: Fed decision odds aggregator (Kalshi 75.5c / Polymarket 76.5c December hike; Oct-28 hike 17%), snapshot 2026-10-05</t>
  </si>
  <si>
    <t xml:space="preserve">https://defirate.com/prediction-markets/fed-decision-odds/</t>
  </si>
  <si>
    <t xml:space="preserve">A5.1</t>
  </si>
  <si>
    <t xml:space="preserve">agent_5</t>
  </si>
  <si>
    <t xml:space="preserve">A5.2</t>
  </si>
  <si>
    <t xml:space="preserve">NVIDIA Q2 FY27 CFO Commentary (8-K exhibit)</t>
  </si>
  <si>
    <t xml:space="preserve">A5.3</t>
  </si>
  <si>
    <t xml:space="preserve">Prediction: Nvidia Stock Could Be Worth This Much by January 2028 (FY28 consensus EPS ~$15.5-15.7; 42 up / 0 down revisions in 30d)</t>
  </si>
  <si>
    <t xml:space="preserve">2026-09-12</t>
  </si>
  <si>
    <t xml:space="preserve">https://www.fool.com/investing/2026/09/12/predict-nvidia-stock-worth-this-much-2028/</t>
  </si>
  <si>
    <t xml:space="preserve">A5.4</t>
  </si>
  <si>
    <t xml:space="preserve">stockanalysis.com NVDA statistics (fwd P/E 19.34, EV/EBITDA 27.95, mkt cap $5.72T, EV $5.70T)</t>
  </si>
  <si>
    <t xml:space="preserve">A5.5</t>
  </si>
  <si>
    <t xml:space="preserve">stockanalysis.com statistics pages for AVGO, AMD, TSM, MRVL, MU, ASML, ARM, QCOM, AMAT, LRCX, KLAC, ANET (stockanalysis.com/stocks/&lt;ticker&gt;/statistics/)</t>
  </si>
  <si>
    <t xml:space="preserve">A5.6</t>
  </si>
  <si>
    <t xml:space="preserve">Nvidia Cuts Margin Outlook as Surging Memory Prices Raise Costs (Q4 GM 71-72%)</t>
  </si>
  <si>
    <t xml:space="preserve">https://www.thelec.net/news/articleView.html?idxno=13401</t>
  </si>
  <si>
    <t xml:space="preserve">A5.7</t>
  </si>
  <si>
    <t xml:space="preserve">Nvidia Confirms &gt;15% AI Server Price Hikes Driven by Soaring HBM Costs</t>
  </si>
  <si>
    <t xml:space="preserve">2026-08-23</t>
  </si>
  <si>
    <t xml:space="preserve">https://siliconanalysts.com/market/nvidia-confirms-15-ai-server-price-hikes-driven-by-soaring-hbm-costs-2026-08-23</t>
  </si>
  <si>
    <t xml:space="preserve">A5.8</t>
  </si>
  <si>
    <t xml:space="preserve">TipRanks NVDA earnings calendar (next report ~2026-11-17)</t>
  </si>
  <si>
    <t xml:space="preserve">https://www.tipranks.com/stocks/nvda/earnings</t>
  </si>
  <si>
    <t xml:space="preserve">A5.9</t>
  </si>
  <si>
    <t xml:space="preserve">Nvidia Stock Just Did Something for the First Time in 10 Years (fwd P/E ~19 on $12 NTM EPS; LT avg ~32; floor 17-20x)</t>
  </si>
  <si>
    <t xml:space="preserve">A5.10</t>
  </si>
  <si>
    <t xml:space="preserve">TIKR: NVIDIA P/E ratio history (NTM 24.97x in Apr-2026; 10y LTM low 16.98x, mean 64x)</t>
  </si>
  <si>
    <t xml:space="preserve">2026-04-26</t>
  </si>
  <si>
    <t xml:space="preserve">https://www.tikr.com/blog/nvidias-p-e-ratio-current-levels-historical-trends-and-outlook</t>
  </si>
  <si>
    <t xml:space="preserve">A5.11</t>
  </si>
  <si>
    <t xml:space="preserve">Nvidia's 5% Gain Masks a Collapsing P/E Ratio (fwd P/E from &gt;25x to &lt;17x mid-Sep)</t>
  </si>
  <si>
    <t xml:space="preserve">https://finance.biggo.com/news/644cc7df-d580-48f0-8003-f034f109afa7</t>
  </si>
  <si>
    <t xml:space="preserve">A5.12</t>
  </si>
  <si>
    <t xml:space="preserve">Nvidia Valuation Gets Surprising Take From Top Bank (DBS: 17x fwd vs Cisco ~100x)</t>
  </si>
  <si>
    <t xml:space="preserve">https://www.gurufocus.com/news/9109034/nvidia-valuation-gets-surprising-take-from-top-bank</t>
  </si>
  <si>
    <t xml:space="preserve">A5.13</t>
  </si>
  <si>
    <t xml:space="preserve">Polymarket: Largest Company end of December 2026 (NVDA 85%, vol $7.7M)</t>
  </si>
  <si>
    <t xml:space="preserve">A5.14</t>
  </si>
  <si>
    <t xml:space="preserve">DeFi Rate: Fed decision odds aggregating Kalshi/Polymarket, 2026-10-05: Oct 28 hold 83% / hike 17%; Dec 9 meeting hike 72% / hold 26%</t>
  </si>
  <si>
    <t xml:space="preserve">A5.15</t>
  </si>
  <si>
    <t xml:space="preserve">Kalshi market KXFEDDECISION-26DEC 'Fed decision in December?' (Dec 9, 2026 meeting; search-result snapshot ~70% +25bp hike, 3% &gt;25bp, 29% hold; direct fetch returned HTTP 429)</t>
  </si>
  <si>
    <t xml:space="preserve">https://kalshi.com/markets/kxfeddecision/fed-meeting/kxfeddecision-26dec</t>
  </si>
  <si>
    <t xml:space="preserve">A5.16</t>
  </si>
  <si>
    <t xml:space="preserve">CNBC: Kalshi traders see roughly 50% odds of a rate hike in 2026</t>
  </si>
  <si>
    <t xml:space="preserve">2026-07-09</t>
  </si>
  <si>
    <t xml:space="preserve">https://www.cnbc.com/2026/07/09/kalshi-traders-see-roughly-50percent-odds-of-a-rate-hike-in-2026-as-fed-is-split-on-policy.html</t>
  </si>
  <si>
    <t xml:space="preserve">A5.17</t>
  </si>
  <si>
    <t xml:space="preserve">Trading Economics: US 10Y yield 5.26% on 2026-10-05, +111bp y/y (highest since 2007, not 2002 as stated in round 1)</t>
  </si>
  <si>
    <t xml:space="preserve">https://tradingeconomics.com/united-states/government-bond-yield</t>
  </si>
  <si>
    <t xml:space="preserve">A5.18</t>
  </si>
  <si>
    <t xml:space="preserve">Peak Cheap: The AI Boom Isn't 2000, It's 2008 (cyclical multiples bottom at peak danger)</t>
  </si>
  <si>
    <t xml:space="preserve">2026-06-07</t>
  </si>
  <si>
    <t xml:space="preserve">https://www.groundbrkr.com/p/peak-cheap-the-ai-boom-isnt-2000</t>
  </si>
  <si>
    <t xml:space="preserve">A5.19</t>
  </si>
  <si>
    <t xml:space="preserve">Arnott &amp; Wu (Research Affiliates): Great Companies, Expensive Stocks</t>
  </si>
  <si>
    <t xml:space="preserve">https://advisoranalyst.com/2026/07/20/great-companies-expensive-stocks.html/</t>
  </si>
  <si>
    <t xml:space="preserve">A5.20</t>
  </si>
  <si>
    <t xml:space="preserve">Why companies become too big to succeed (Arnott/Wu top-dog study: sector leaders underperform ~4%/yr, 1952-2011)</t>
  </si>
  <si>
    <t xml:space="preserve">n/a</t>
  </si>
  <si>
    <t xml:space="preserve">https://www.cbsnews.com/news/why-companies-become-too-big-to-succeed/</t>
  </si>
  <si>
    <t xml:space="preserve">A5.21</t>
  </si>
  <si>
    <t xml:space="preserve">Harding Loevner: NVIDIA and the Cautionary Tale of Cisco Systems</t>
  </si>
  <si>
    <t xml:space="preserve">2024</t>
  </si>
  <si>
    <t xml:space="preserve">https://www.hardingloevner.com/insights/nvidia-and-the-cautionary-tale-of-cisco-systems/</t>
  </si>
  <si>
    <t xml:space="preserve">A5.22</t>
  </si>
  <si>
    <t xml:space="preserve">6 Hyperscalers Projected to Spend $1.3T on Capex in 2027 (S&amp;P Global); only 1 FCF-positive</t>
  </si>
  <si>
    <t xml:space="preserve">A5.23</t>
  </si>
  <si>
    <t xml:space="preserve">Manifold: Google/Amazon/Meta/Microsoft total capex 2027 (resolved N/A; consensus ~$1T)</t>
  </si>
  <si>
    <t xml:space="preserve">2026-05-21</t>
  </si>
  <si>
    <t xml:space="preserve">https://manifold.markets/Mad2live/google-amazon-meta-microsoft-total</t>
  </si>
  <si>
    <t xml:space="preserve">A5.24</t>
  </si>
  <si>
    <t xml:space="preserve">Twelve Data NVDA monthly closes 2001-11 to 2026-10 (own base-rate computation of 12m forward returns)</t>
  </si>
  <si>
    <t xml:space="preserve">https://twelvedata.com/</t>
  </si>
  <si>
    <t xml:space="preserve">A5.25</t>
  </si>
  <si>
    <t xml:space="preserve">Nvidia H200 Shipments to China Called 'Trivial' as Blackwell Loophole Draws Fire</t>
  </si>
  <si>
    <t xml:space="preserve">2026-07-15</t>
  </si>
  <si>
    <t xml:space="preserve">https://www.techtimes.com/articles/320544/20260715/nvidia-h200-shipments-china-called-trivial-blackwell-loophole-draws-fire.htm</t>
  </si>
  <si>
    <t xml:space="preserve">A5.26</t>
  </si>
  <si>
    <t xml:space="preserve">US Treasury Daily Par Yield Curve Rates, Oct 2026 (10Y 5.24% Oct 1, 5.28% Oct 2; 2Y 4.46%; 3M 4.11%)</t>
  </si>
  <si>
    <t xml:space="preserve">A5.27</t>
  </si>
  <si>
    <t xml:space="preserve">Goldman says consensus 2027 hyperscaler capex estimates are too conservative (consensus $920B, +22% vs +84% in 2026; GS $1.1-1.4T)</t>
  </si>
  <si>
    <t xml:space="preserve">2026-06-11</t>
  </si>
  <si>
    <t xml:space="preserve">https://finance.yahoo.com/sectors/technology/articles/goldman-says-consensus-2027-hyperscaler-140152065.html</t>
  </si>
  <si>
    <t xml:space="preserve">A5.28</t>
  </si>
  <si>
    <t xml:space="preserve">Kalshi market KXRATEHIKE-2026 'Number of rate hikes this year?' (search-result snapshot: 72% another hike before 2027)</t>
  </si>
  <si>
    <t xml:space="preserve">https://kalshi.com/markets/kxratehike/number-of-fed-rate-hikes/kxratehike-2026</t>
  </si>
  <si>
    <t xml:space="preserve">S.1</t>
  </si>
  <si>
    <t xml:space="preserve">supervisor</t>
  </si>
  <si>
    <t xml:space="preserve">stockanalysis NVDA statistics (forward PE 19.34, price $236.90, net cash $23.61B)</t>
  </si>
  <si>
    <t xml:space="preserve">S.2</t>
  </si>
  <si>
    <t xml:space="preserve">stockanalysis NVDA forecast (FY27 EPS $9.31, revenue $411.56B; 61-analyst target $327.70)</t>
  </si>
  <si>
    <t xml:space="preserve">S.3</t>
  </si>
  <si>
    <t xml:space="preserve">stockanalysis AVGO statistics (fwd PE 20.49)</t>
  </si>
  <si>
    <t xml:space="preserve">S.4</t>
  </si>
  <si>
    <t xml:space="preserve">stockanalysis TSM statistics (fwd PE 20.65; earnings Oct 15)</t>
  </si>
  <si>
    <t xml:space="preserve">S.5</t>
  </si>
  <si>
    <t xml:space="preserve">stockanalysis AMD statistics (fwd PE 57.21)</t>
  </si>
  <si>
    <t xml:space="preserve">S.6</t>
  </si>
  <si>
    <t xml:space="preserve">stockanalysis MRVL statistics (fwd PE 49.76)</t>
  </si>
  <si>
    <t xml:space="preserve">S.7</t>
  </si>
  <si>
    <t xml:space="preserve">stockanalysis ANET statistics (fwd PE 44.64)</t>
  </si>
  <si>
    <t xml:space="preserve">S.8</t>
  </si>
  <si>
    <t xml:space="preserve">stockanalysis ASML statistics (fwd PE 33.70)</t>
  </si>
  <si>
    <t xml:space="preserve">S.9</t>
  </si>
  <si>
    <t xml:space="preserve">stockanalysis TSM forecast (FY2026 EPS NT$107.89)</t>
  </si>
  <si>
    <t xml:space="preserve">https://stockanalysis.com/stocks/tsm/forecast/</t>
  </si>
  <si>
    <t xml:space="preserve">S.10</t>
  </si>
  <si>
    <t xml:space="preserve">stockanalysis AMD forecast (FY2026 EPS $7.58)</t>
  </si>
  <si>
    <t xml:space="preserve">https://stockanalysis.com/stocks/amd/forecast/</t>
  </si>
  <si>
    <t xml:space="preserve">S.11</t>
  </si>
  <si>
    <t xml:space="preserve">Nvidia Stock Just Did Something for the First Time in 10 Years (Fool; NTM $12.00 quarterly table)</t>
  </si>
  <si>
    <t xml:space="preserve">S.12</t>
  </si>
  <si>
    <t xml:space="preserve">IO Fund: AI Capex to Hit $1 Trillion (Big-4 2027 consensus $934.5B)</t>
  </si>
  <si>
    <t xml:space="preserve">S.13</t>
  </si>
  <si>
    <t xml:space="preserve">GuruFocus NVDA forward PE page (not opened: HTTP 403 on 2026-10-27; no figure from it is used)</t>
  </si>
  <si>
    <t xml:space="preserve">2026-09-28</t>
  </si>
  <si>
    <t xml:space="preserve">https://www.gurufocus.com/term/forward-pe-ratio/NVDA</t>
  </si>
  <si>
    <t xml:space="preserve">S.14</t>
  </si>
  <si>
    <t xml:space="preserve">NVIDIA CFO Commentary Q2 FY27</t>
  </si>
  <si>
    <t xml:space="preserve">S.15</t>
  </si>
  <si>
    <t xml:space="preserve">Nasdaq.com analyst earnings forecast, NVIDIA (Zacks consensus EPS by fiscal year; snapshot data/estimates/NVDA.json)</t>
  </si>
  <si>
    <t xml:space="preserve">2026-10-26</t>
  </si>
  <si>
    <t xml:space="preserve">https://api.nasdaq.com/api/analyst/NVDA/earnings-forecast</t>
  </si>
  <si>
    <t xml:space="preserve">S.16</t>
  </si>
  <si>
    <t xml:space="preserve">Nasdaq.com analyst earnings forecast, Broadcom (Zacks consensus EPS by fiscal year; snapshot data/estimates/AVGO.json)</t>
  </si>
  <si>
    <t xml:space="preserve">https://api.nasdaq.com/api/analyst/AVGO/earnings-forecast</t>
  </si>
  <si>
    <t xml:space="preserve">S.17</t>
  </si>
  <si>
    <t xml:space="preserve">Nasdaq.com analyst earnings forecast, Advanced Micro Devices (Zacks consensus EPS by fiscal year; snapshot data/estimates/AMD.json)</t>
  </si>
  <si>
    <t xml:space="preserve">https://api.nasdaq.com/api/analyst/AMD/earnings-forecast</t>
  </si>
  <si>
    <t xml:space="preserve">S.18</t>
  </si>
  <si>
    <t xml:space="preserve">Nasdaq.com analyst earnings forecast, Marvell Technology (Zacks consensus EPS by fiscal year; snapshot data/estimates/MRVL.json)</t>
  </si>
  <si>
    <t xml:space="preserve">https://api.nasdaq.com/api/analyst/MRVL/earnings-forecast</t>
  </si>
  <si>
    <t xml:space="preserve">S.19</t>
  </si>
  <si>
    <t xml:space="preserve">Nasdaq.com analyst earnings forecast, Taiwan Semiconductor (ADR) (Zacks consensus EPS by fiscal year; snapshot data/estimates/TSM.json)</t>
  </si>
  <si>
    <t xml:space="preserve">https://api.nasdaq.com/api/analyst/TSM/earnings-forecast</t>
  </si>
  <si>
    <t xml:space="preserve">S.20</t>
  </si>
  <si>
    <t xml:space="preserve">Nasdaq.com analyst earnings forecast, Arista Networks (Zacks consensus EPS by fiscal year; snapshot data/estimates/ANET.json)</t>
  </si>
  <si>
    <t xml:space="preserve">https://api.nasdaq.com/api/analyst/ANET/earnings-forecast</t>
  </si>
  <si>
    <t xml:space="preserve">S.21</t>
  </si>
  <si>
    <t xml:space="preserve">Yahoo Finance chart feed, TSM ADR last close 2026-10-23 (USD)</t>
  </si>
  <si>
    <t xml:space="preserve">2026-10-23</t>
  </si>
  <si>
    <t xml:space="preserve">https://query1.finance.yahoo.com/v8/finance/chart/TSM</t>
  </si>
  <si>
    <t xml:space="preserve">S.22</t>
  </si>
  <si>
    <t xml:space="preserve">Yahoo Finance chart feed, NVDA last close 2026-10-23 (USD)</t>
  </si>
  <si>
    <t xml:space="preserve">https://query1.finance.yahoo.com/v8/finance/chart/NVDA</t>
  </si>
  <si>
    <t xml:space="preserve">S.23</t>
  </si>
  <si>
    <t xml:space="preserve">NVIDIA Q2 FY27 press release (8-K Ex.99.1): non-GAAP no longer excludes SBC from Q1 FY27; SBC $2,027M; diluted shares 24,285M</t>
  </si>
  <si>
    <t xml:space="preserve">https://www.sec.gov/Archives/edgar/data/1045810/000104581026000073/q2fy27pr.htm</t>
  </si>
  <si>
    <t xml:space="preserve">S.24</t>
  </si>
  <si>
    <t xml:space="preserve">Broadcom Q3 FY26 press release (8-K Ex.99): non-GAAP excludes SBC and acquisition-related amortization</t>
  </si>
  <si>
    <t xml:space="preserve">https://www.sec.gov/Archives/edgar/data/1730168/000173016826000076/avgo-08022026x8kxex99.htm</t>
  </si>
  <si>
    <t xml:space="preserve">S.25</t>
  </si>
  <si>
    <t xml:space="preserve">AMD Q2 2026 press release (8-K Ex.99.1): non-GAAP excludes SBC and acquisition-related amortization</t>
  </si>
  <si>
    <t xml:space="preserve">2026-08-04</t>
  </si>
  <si>
    <t xml:space="preserve">https://www.sec.gov/Archives/edgar/data/2488/000000248826000121/q22026991.htm</t>
  </si>
  <si>
    <t xml:space="preserve">S.26</t>
  </si>
  <si>
    <t xml:space="preserve">Marvell Q2 FY27 press release (8-K Ex.99.1): non-GAAP excludes SBC and acquired-intangible amortization</t>
  </si>
  <si>
    <t xml:space="preserve">https://www.sec.gov/Archives/edgar/data/1835632/000183563226000022/q227_8kx812026ex-991.htm</t>
  </si>
  <si>
    <t xml:space="preserve">S.27</t>
  </si>
  <si>
    <t xml:space="preserve">Arista Q2 2026 press release (8-K Ex.99.1): non-GAAP excludes SBC and intangible amortization</t>
  </si>
  <si>
    <t xml:space="preserve">https://www.sec.gov/Archives/edgar/data/1596532/000159653226000174/ex991q226-earningsrelease.htm</t>
  </si>
  <si>
    <t xml:space="preserve">S.28</t>
  </si>
  <si>
    <t xml:space="preserve">TSMC 3Q26 results (6-K Ex.99.1): all figures TIFRS, no non-GAAP adjustments</t>
  </si>
  <si>
    <t xml:space="preserve">2026-10-15</t>
  </si>
  <si>
    <t xml:space="preserve">https://www.sec.gov/Archives/edgar/data/1046179/000104617926000726/a3q26e_withguidancexfinal.htm</t>
  </si>
  <si>
    <t xml:space="preserve">S.29</t>
  </si>
  <si>
    <t xml:space="preserve">TSMC 20-F FY2024 XBRL (SEC companyfacts): share-based payment expense NT$1,646.2M; profit attributable to owners NT$1,158,380.2M</t>
  </si>
  <si>
    <t xml:space="preserve">2025-04-17</t>
  </si>
  <si>
    <t xml:space="preserve">https://data.sec.gov/api/xbrl/companyfacts/CIK0001046179.json</t>
  </si>
  <si>
    <t xml:space="preserve">S.30</t>
  </si>
  <si>
    <t xml:space="preserve">Nasdaq.com earnings surprise (Zacks reported EPS by quarter) for NVDA, AVGO, AMD, MRVL, TSM, ANET; e.g. https://api.nasdaq.com/api/company/AVGO/earnings-surprise</t>
  </si>
  <si>
    <t xml:space="preserve">https://api.nasdaq.com/api/company/AVGO/earnings-surprise</t>
  </si>
  <si>
    <t xml:space="preserve">S.31</t>
  </si>
  <si>
    <t xml:space="preserve">Nasdaq.com earnings surprise (Zacks reported EPS), NVDA</t>
  </si>
  <si>
    <t xml:space="preserve">https://api.nasdaq.com/api/company/NVDA/earnings-surprise</t>
  </si>
  <si>
    <t xml:space="preserve">S.32</t>
  </si>
  <si>
    <t xml:space="preserve">Nasdaq.com earnings surprise (Zacks reported EPS), AMD</t>
  </si>
  <si>
    <t xml:space="preserve">https://api.nasdaq.com/api/company/AMD/earnings-surprise</t>
  </si>
  <si>
    <t xml:space="preserve">S.33</t>
  </si>
  <si>
    <t xml:space="preserve">Nasdaq.com earnings surprise (Zacks reported EPS), MRVL</t>
  </si>
  <si>
    <t xml:space="preserve">https://api.nasdaq.com/api/company/MRVL/earnings-surprise</t>
  </si>
  <si>
    <t xml:space="preserve">S.34</t>
  </si>
  <si>
    <t xml:space="preserve">Nasdaq.com earnings surprise (Zacks reported EPS), TSM</t>
  </si>
  <si>
    <t xml:space="preserve">https://api.nasdaq.com/api/company/TSM/earnings-surprise</t>
  </si>
  <si>
    <t xml:space="preserve">S.35</t>
  </si>
  <si>
    <t xml:space="preserve">Nasdaq.com earnings surprise (Zacks reported EPS), ANET</t>
  </si>
  <si>
    <t xml:space="preserve">https://api.nasdaq.com/api/company/ANET/earnings-surprise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</si>
</sst>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nvidianews.nvidia.com/news/nvidia-announces-financial-results-for-second-quarter-fiscal-2027" TargetMode="External"/><Relationship Id="rId2" Type="http://schemas.openxmlformats.org/officeDocument/2006/relationships/hyperlink" Target="https://www.sec.gov/Archives/edgar/data/1045810/000104581026000075/nvda-20260726.htm" TargetMode="External"/><Relationship Id="rId3" Type="http://schemas.openxmlformats.org/officeDocument/2006/relationships/hyperlink" Target="https://www.sec.gov/Archives/edgar/data/0001045810/000104581026000073/q2fy27cfocommentary.htm" TargetMode="External"/><Relationship Id="rId4" Type="http://schemas.openxmlformats.org/officeDocument/2006/relationships/hyperlink" Target="https://www.fool.com/earnings/call-transcripts/2026/08/31/nvidia-nvda-q2-2027-earnings-call-transcript/" TargetMode="External"/><Relationship Id="rId5" Type="http://schemas.openxmlformats.org/officeDocument/2006/relationships/hyperlink" Target="https://nvidianews.nvidia.com/news/nvidia-announces-financial-results-for-first-quarter-fiscal-2027" TargetMode="External"/><Relationship Id="rId6" Type="http://schemas.openxmlformats.org/officeDocument/2006/relationships/hyperlink" Target="https://nvidianews.nvidia.com/news/nvidia-announces-financial-results-for-fourth-quarter-and-fiscal-2026" TargetMode="External"/><Relationship Id="rId7" Type="http://schemas.openxmlformats.org/officeDocument/2006/relationships/hyperlink" Target="https://investor.atmeta.com/investor-news/press-release-details/2026/Meta-Reports-Second-Quarter-2026-Results/default.aspx" TargetMode="External"/><Relationship Id="rId8" Type="http://schemas.openxmlformats.org/officeDocument/2006/relationships/hyperlink" Target="https://www.microsoft.com/en-us/investor/events/fy-2026/earnings-fy-2026-q4" TargetMode="External"/><Relationship Id="rId9" Type="http://schemas.openxmlformats.org/officeDocument/2006/relationships/hyperlink" Target="https://247wallst.com/investing/2026/09/29/nvidia-stock-is-at-its-cheapest-valuation-since-2015/" TargetMode="External"/><Relationship Id="rId10" Type="http://schemas.openxmlformats.org/officeDocument/2006/relationships/hyperlink" Target="https://stockanalysis.com/stocks/nvda/statistics/" TargetMode="External"/><Relationship Id="rId11" Type="http://schemas.openxmlformats.org/officeDocument/2006/relationships/hyperlink" Target="https://www.wallstreethorizon.com/nvidia-earnings-calendar" TargetMode="External"/><Relationship Id="rId12" Type="http://schemas.openxmlformats.org/officeDocument/2006/relationships/hyperlink" Target="https://www.aol.com/articles/nvidia-stock-just-did-something-112000000.html" TargetMode="External"/><Relationship Id="rId13" Type="http://schemas.openxmlformats.org/officeDocument/2006/relationships/hyperlink" Target="https://nvidianews.nvidia.com/news/nvidia-announces-financial-results-for-second-quarter-fiscal-2027" TargetMode="External"/><Relationship Id="rId14" Type="http://schemas.openxmlformats.org/officeDocument/2006/relationships/hyperlink" Target="https://www.cnbc.com/2026/08/26/nvidia-nvda-earnings-report-q2-2027-live-updates.html" TargetMode="External"/><Relationship Id="rId15" Type="http://schemas.openxmlformats.org/officeDocument/2006/relationships/hyperlink" Target="https://www.fool.com/investing/2026/09/30/nvidia-stock-just-did-something-for-the-first-time/" TargetMode="External"/><Relationship Id="rId16" Type="http://schemas.openxmlformats.org/officeDocument/2006/relationships/hyperlink" Target="https://finance.biggo.com/news/7a58467f-3059-4b72-8dc4-0d2533fd3540" TargetMode="External"/><Relationship Id="rId17" Type="http://schemas.openxmlformats.org/officeDocument/2006/relationships/hyperlink" Target="https://stockanalysis.com/stocks/nvda/statistics/" TargetMode="External"/><Relationship Id="rId18" Type="http://schemas.openxmlformats.org/officeDocument/2006/relationships/hyperlink" Target="https://finance.yahoo.com/quote/NVDA/analysis/" TargetMode="External"/><Relationship Id="rId19" Type="http://schemas.openxmlformats.org/officeDocument/2006/relationships/hyperlink" Target="https://www.bloomberg.com/news/articles/2026-09-10/tsmc-revenue-rises-53-as-ai-chip-demand-outstrips-supply" TargetMode="External"/><Relationship Id="rId20" Type="http://schemas.openxmlformats.org/officeDocument/2006/relationships/hyperlink" Target="https://www.trendforce.com/news/2026/06/15/news-tsmc-cowos-supply-demand-gap-reportedly-seen-narrowing-from-20-to-10-by-end-2026-as-capacity-expands/" TargetMode="External"/><Relationship Id="rId21" Type="http://schemas.openxmlformats.org/officeDocument/2006/relationships/hyperlink" Target="https://s25.q4cdn.com/621799436/files/doc_financials/2026/q4/Q4-FY26-Prepared-Remarks.pdf" TargetMode="External"/><Relationship Id="rId22" Type="http://schemas.openxmlformats.org/officeDocument/2006/relationships/hyperlink" Target="https://investors.broadcom.com/news-releases/news-release-details/broadcom-inc-announces-third-quarter-fiscal-year-2026-financial" TargetMode="External"/><Relationship Id="rId23" Type="http://schemas.openxmlformats.org/officeDocument/2006/relationships/hyperlink" Target="https://www.cnbc.com/2026/07/20/amd-helios-microsoft-ai-nvidia.html" TargetMode="External"/><Relationship Id="rId24" Type="http://schemas.openxmlformats.org/officeDocument/2006/relationships/hyperlink" Target="https://thenextweb.com/news/google-tpu-compute-internal-researchers-anthropic" TargetMode="External"/><Relationship Id="rId25" Type="http://schemas.openxmlformats.org/officeDocument/2006/relationships/hyperlink" Target="https://www.trendforce.com/news/2026/08/25/news-nvidias-reported-15-server-hike-boosts-samsung-sk-hynix-with-hbm-prices-potentially-up-50-in-2027/" TargetMode="External"/><Relationship Id="rId26" Type="http://schemas.openxmlformats.org/officeDocument/2006/relationships/hyperlink" Target="https://gamesreviews.com/news/08/nvidia-guides-gross-margin-down-to-74-in-q3-71-72-low-in-q4-fy27/" TargetMode="External"/><Relationship Id="rId27" Type="http://schemas.openxmlformats.org/officeDocument/2006/relationships/hyperlink" Target="https://convergedigest.com/dell-ai-server-backlog-95-billion-q2-fy2027/" TargetMode="External"/><Relationship Id="rId28" Type="http://schemas.openxmlformats.org/officeDocument/2006/relationships/hyperlink" Target="https://insight.factset.com/hyperscalers-tap-external-financing-as-ai-capex-outruns-cash-flow" TargetMode="External"/><Relationship Id="rId29" Type="http://schemas.openxmlformats.org/officeDocument/2006/relationships/hyperlink" Target="https://www.fool.com/investing/2026/09/06/hyperscalers-driving-ai-capex-cash-flow/" TargetMode="External"/><Relationship Id="rId30" Type="http://schemas.openxmlformats.org/officeDocument/2006/relationships/hyperlink" Target="https://polymarket.com/event/largest-company-end-of-december-2026" TargetMode="External"/><Relationship Id="rId31" Type="http://schemas.openxmlformats.org/officeDocument/2006/relationships/hyperlink" Target="https://whatledto.com/events/nvidia-china-export-controls" TargetMode="External"/><Relationship Id="rId32" Type="http://schemas.openxmlformats.org/officeDocument/2006/relationships/hyperlink" Target="https://stockanalysis.com/stocks/avgo/statistics/" TargetMode="External"/><Relationship Id="rId33" Type="http://schemas.openxmlformats.org/officeDocument/2006/relationships/hyperlink" Target="https://stockanalysis.com/stocks/amd/statistics/" TargetMode="External"/><Relationship Id="rId34" Type="http://schemas.openxmlformats.org/officeDocument/2006/relationships/hyperlink" Target="https://stockanalysis.com/stocks/tsm/statistics/" TargetMode="External"/><Relationship Id="rId35" Type="http://schemas.openxmlformats.org/officeDocument/2006/relationships/hyperlink" Target="https://stockanalysis.com/stocks/mu/statistics/" TargetMode="External"/><Relationship Id="rId36" Type="http://schemas.openxmlformats.org/officeDocument/2006/relationships/hyperlink" Target="https://stockanalysis.com/stocks/mrvl/statistics/" TargetMode="External"/><Relationship Id="rId37" Type="http://schemas.openxmlformats.org/officeDocument/2006/relationships/hyperlink" Target="https://stockanalysis.com/stocks/qcom/statistics/" TargetMode="External"/><Relationship Id="rId38" Type="http://schemas.openxmlformats.org/officeDocument/2006/relationships/hyperlink" Target="https://stockanalysis.com/stocks/arm/statistics/" TargetMode="External"/><Relationship Id="rId39" Type="http://schemas.openxmlformats.org/officeDocument/2006/relationships/hyperlink" Target="https://stockanalysis.com/stocks/asml/statistics/" TargetMode="External"/><Relationship Id="rId40" Type="http://schemas.openxmlformats.org/officeDocument/2006/relationships/hyperlink" Target="https://stockanalysis.com/stocks/anet/statistics/" TargetMode="External"/><Relationship Id="rId41" Type="http://schemas.openxmlformats.org/officeDocument/2006/relationships/hyperlink" Target="https://stockanalysis.com/stocks/klac/statistics/" TargetMode="External"/><Relationship Id="rId42" Type="http://schemas.openxmlformats.org/officeDocument/2006/relationships/hyperlink" Target="https://stockanalysis.com/stocks/lrcx/statistics/" TargetMode="External"/><Relationship Id="rId43" Type="http://schemas.openxmlformats.org/officeDocument/2006/relationships/hyperlink" Target="https://stockanalysis.com/stocks/nvda/forecast/" TargetMode="External"/><Relationship Id="rId44" Type="http://schemas.openxmlformats.org/officeDocument/2006/relationships/hyperlink" Target="https://www.investing.com/news/transcripts/earnings-call-transcript-tsmc-lifts-2026-outlook-as-ai-demand-stays-hot-in-q2-2026-93CH-4794777" TargetMode="External"/><Relationship Id="rId45" Type="http://schemas.openxmlformats.org/officeDocument/2006/relationships/hyperlink" Target="https://www.sec.gov/Archives/edgar/data/0001045810/000104581026000073/q2fy27cfocommentary.htm" TargetMode="External"/><Relationship Id="rId46" Type="http://schemas.openxmlformats.org/officeDocument/2006/relationships/hyperlink" Target="https://io-fund.com/ai-stocks/ai-capex-1-trillion-estimates-too-low" TargetMode="External"/><Relationship Id="rId47" Type="http://schemas.openxmlformats.org/officeDocument/2006/relationships/hyperlink" Target="https://www.trendforce.com/presscenter/news/20260803-13161.html" TargetMode="External"/><Relationship Id="rId48" Type="http://schemas.openxmlformats.org/officeDocument/2006/relationships/hyperlink" Target="https://www.trendforce.com/presscenter/news/20260828-13204.html" TargetMode="External"/><Relationship Id="rId49" Type="http://schemas.openxmlformats.org/officeDocument/2006/relationships/hyperlink" Target="https://www.trendforce.com/news/2026/08/27/news-nvidias-supply-commitments-soar-to-279b-as-memory-costs-surge-new-nvhbm-boosts-bandwidth-30-cuts-power-15/" TargetMode="External"/><Relationship Id="rId50" Type="http://schemas.openxmlformats.org/officeDocument/2006/relationships/hyperlink" Target="https://nvidianews.nvidia.com/news/nvidia-announces-financial-results-for-second-quarter-fiscal-2027" TargetMode="External"/><Relationship Id="rId51" Type="http://schemas.openxmlformats.org/officeDocument/2006/relationships/hyperlink" Target="https://www.sec.gov/Archives/edgar/data/0001045810/000104581026000075/nvda-20260726.htm" TargetMode="External"/><Relationship Id="rId52" Type="http://schemas.openxmlformats.org/officeDocument/2006/relationships/hyperlink" Target="https://www.sec.gov/Archives/edgar/data/0001045810/000104581026000051/q1fy27pr.htm" TargetMode="External"/><Relationship Id="rId53" Type="http://schemas.openxmlformats.org/officeDocument/2006/relationships/hyperlink" Target="https://www.fool.com/investing/2026/09/30/nvidia-stock-just-did-something-for-the-first-time/" TargetMode="External"/><Relationship Id="rId54" Type="http://schemas.openxmlformats.org/officeDocument/2006/relationships/hyperlink" Target="https://finance.yahoo.com/technology/article/nvidia-didnt-like-wall-streets-estimates-so-it-tried-to-reset-them-122218541.html" TargetMode="External"/><Relationship Id="rId55" Type="http://schemas.openxmlformats.org/officeDocument/2006/relationships/hyperlink" Target="https://www.moomoo.com/community/feed/nvidia-expects-its-fiscal-2028-revenue-to-grow-by-approximately-117165165576198" TargetMode="External"/><Relationship Id="rId56" Type="http://schemas.openxmlformats.org/officeDocument/2006/relationships/hyperlink" Target="https://www.marketbeat.com/instant-alerts/estimates-nvidia-fy2028-eps-forecast-boosted-by-erste-group-bank-2026-09-14/" TargetMode="External"/><Relationship Id="rId57" Type="http://schemas.openxmlformats.org/officeDocument/2006/relationships/hyperlink" Target="https://stockanalysis.com/stocks/nvda/statistics/" TargetMode="External"/><Relationship Id="rId58" Type="http://schemas.openxmlformats.org/officeDocument/2006/relationships/hyperlink" Target="https://stockanalysis.com/stocks/avgo/statistics/" TargetMode="External"/><Relationship Id="rId59" Type="http://schemas.openxmlformats.org/officeDocument/2006/relationships/hyperlink" Target="https://polymarket.com/event/largest-company-end-of-december-2026" TargetMode="External"/><Relationship Id="rId60" Type="http://schemas.openxmlformats.org/officeDocument/2006/relationships/hyperlink" Target="https://michaeljburry.substack.com/p/short-thoughts-july-8-2026-nvda-neos" TargetMode="External"/><Relationship Id="rId61" Type="http://schemas.openxmlformats.org/officeDocument/2006/relationships/hyperlink" Target="https://davefriedman.substack.com/p/the-176-billion-accounting-question" TargetMode="External"/><Relationship Id="rId62" Type="http://schemas.openxmlformats.org/officeDocument/2006/relationships/hyperlink" Target="https://bnnbloomberg.ca/business/artificial-intelligence/2026/10/01/nvidias-bet-that-its-chips-can-finance-the-ai-boom-gets-a-wall-street-reality-check" TargetMode="External"/><Relationship Id="rId63" Type="http://schemas.openxmlformats.org/officeDocument/2006/relationships/hyperlink" Target="https://www.techtimes.com/articles/321652/20260727/nvidias-250b-guarantee-openai-ohio-campus-proves-debt-markets-said-no.htm" TargetMode="External"/><Relationship Id="rId64" Type="http://schemas.openxmlformats.org/officeDocument/2006/relationships/hyperlink" Target="https://finance.yahoo.com/technology/ai/articles/nvidia-scales-back-250-billion-234356524.html" TargetMode="External"/><Relationship Id="rId65" Type="http://schemas.openxmlformats.org/officeDocument/2006/relationships/hyperlink" Target="https://easternherald.com/2026/08/17/nvidia-sb-energy-openai-ohio-ai-data-center-investment/" TargetMode="External"/><Relationship Id="rId66" Type="http://schemas.openxmlformats.org/officeDocument/2006/relationships/hyperlink" Target="https://www.fool.com/investing/2026/09/06/hyperscalers-driving-ai-capex-cash-flow/" TargetMode="External"/><Relationship Id="rId67" Type="http://schemas.openxmlformats.org/officeDocument/2006/relationships/hyperlink" Target="https://pitchbook.com/news/articles/nvidia-locks-in-25b-of-high-grade-bonds-adding-to-ai-sprint" TargetMode="External"/><Relationship Id="rId68" Type="http://schemas.openxmlformats.org/officeDocument/2006/relationships/hyperlink" Target="https://www.bloomberg.com/news/articles/2026-06-15/nvidia-kicks-off-first-high-grade-bond-offering-since-2021" TargetMode="External"/><Relationship Id="rId69" Type="http://schemas.openxmlformats.org/officeDocument/2006/relationships/hyperlink" Target="https://www.sec.gov/Archives/edgar/data/0001045810/000119312526273139/d118718d424b5.htm" TargetMode="External"/><Relationship Id="rId70" Type="http://schemas.openxmlformats.org/officeDocument/2006/relationships/hyperlink" Target="https://www.marketbeat.com/instant-alerts/nvidia-nasdaqnvda-trading-down-16-on-analyst-downgrade-2026-06-25/" TargetMode="External"/><Relationship Id="rId71" Type="http://schemas.openxmlformats.org/officeDocument/2006/relationships/hyperlink" Target="https://www.trendforce.com/news/2026/08/27/news-nvidias-supply-commitments-soar-to-279b-as-memory-costs-surge-new-nvhbm-boosts-bandwidth-30-cuts-power-15/" TargetMode="External"/><Relationship Id="rId72" Type="http://schemas.openxmlformats.org/officeDocument/2006/relationships/hyperlink" Target="https://introl.com/blog/custom-silicon-inflection-2026-hyperscaler-asics-nvidia-gpu" TargetMode="External"/><Relationship Id="rId73" Type="http://schemas.openxmlformats.org/officeDocument/2006/relationships/hyperlink" Target="https://www.cnbc.com/2025/12/21/cramer-here-are-5-bear-cases-for-nvidia-and-why-each-one-is-wrong.html" TargetMode="External"/><Relationship Id="rId74" Type="http://schemas.openxmlformats.org/officeDocument/2006/relationships/hyperlink" Target="https://financefeeds.com/nvidia-nvda-stock-302-bull-case-152-bear-case/" TargetMode="External"/><Relationship Id="rId75" Type="http://schemas.openxmlformats.org/officeDocument/2006/relationships/hyperlink" Target="https://www.tomshardware.com/tech-industry/nvidia-ceo-jensen-huang-begins-sale-of-usd925m-worth-of-nvidia-stock-sale-of-6-million-shares-barely-dents-his-usd123-billion-in-shares" TargetMode="External"/><Relationship Id="rId76" Type="http://schemas.openxmlformats.org/officeDocument/2006/relationships/hyperlink" Target="https://finance.biggo.com/news/US_NVDA_2026-08-26" TargetMode="External"/><Relationship Id="rId77" Type="http://schemas.openxmlformats.org/officeDocument/2006/relationships/hyperlink" Target="https://www.wallstreethorizon.com/nvidia-earnings-calendar" TargetMode="External"/><Relationship Id="rId78" Type="http://schemas.openxmlformats.org/officeDocument/2006/relationships/hyperlink" Target="https://www.sec.gov/Archives/edgar/data/0001045810/000104581026000073/q2fy27cfocommentary.htm" TargetMode="External"/><Relationship Id="rId79" Type="http://schemas.openxmlformats.org/officeDocument/2006/relationships/hyperlink" Target="https://www.stocktitan.net/sec-filings/NVDA/form-4-nvidia-corp-insider-trading-activity-d553f5d26b67.html" TargetMode="External"/><Relationship Id="rId80" Type="http://schemas.openxmlformats.org/officeDocument/2006/relationships/hyperlink" Target="https://www.sec.gov/cgi-bin/browse-edgar?action=getcompany&amp;CIK=0001045810&amp;type=4" TargetMode="External"/><Relationship Id="rId81" Type="http://schemas.openxmlformats.org/officeDocument/2006/relationships/hyperlink" Target="https://www.globaldatacenterhub.com/p/nvidia-did-not-guarantee-the-rent" TargetMode="External"/><Relationship Id="rId82" Type="http://schemas.openxmlformats.org/officeDocument/2006/relationships/hyperlink" Target="https://www.sec.gov/Archives/edgar/data/0001045810/000104581026000069/sbeoainvidia-portsrelease.htm" TargetMode="External"/><Relationship Id="rId83" Type="http://schemas.openxmlformats.org/officeDocument/2006/relationships/hyperlink" Target="https://www.tikr.com/blog/nvidia-stock-is-down-18-in-2026-is-the-ai-leader-finally-cheap" TargetMode="External"/><Relationship Id="rId84" Type="http://schemas.openxmlformats.org/officeDocument/2006/relationships/hyperlink" Target="https://seekingalpha.com/article/4912599-nvidia-downgrade-to-hold-as-earnings-fail-to-push-price-higher" TargetMode="External"/><Relationship Id="rId85" Type="http://schemas.openxmlformats.org/officeDocument/2006/relationships/hyperlink" Target="https://nvidianews.nvidia.com/news/nvidia-announces-financial-results-for-second-quarter-fiscal-2027" TargetMode="External"/><Relationship Id="rId86" Type="http://schemas.openxmlformats.org/officeDocument/2006/relationships/hyperlink" Target="https://s201.q4cdn.com/141608511/files/content_files/TRANSCRIPT_-NVIDIA-Corp-NVDA-US-Q2-2027-Earnings-Call-26-August-2026-5_00-PM-ET.pdf" TargetMode="External"/><Relationship Id="rId87" Type="http://schemas.openxmlformats.org/officeDocument/2006/relationships/hyperlink" Target="https://capitalblueprint.substack.com/p/nvda-when-85-growth-only-buys-a-23x" TargetMode="External"/><Relationship Id="rId88" Type="http://schemas.openxmlformats.org/officeDocument/2006/relationships/hyperlink" Target="https://www.fool.com/investing/2026/09/30/nvidia-stock-just-did-something-for-the-first-time/" TargetMode="External"/><Relationship Id="rId89" Type="http://schemas.openxmlformats.org/officeDocument/2006/relationships/hyperlink" Target="https://www.alphagbm.com/en/insights/nvda-fy2027-q2-commitments-cash-valuation-20260827" TargetMode="External"/><Relationship Id="rId90" Type="http://schemas.openxmlformats.org/officeDocument/2006/relationships/hyperlink" Target="https://x.com/Finsee_main/status/2092712935843864938" TargetMode="External"/><Relationship Id="rId91" Type="http://schemas.openxmlformats.org/officeDocument/2006/relationships/hyperlink" Target="https://www.hudson-labs.com/research/nvidia-q2-2027-earnings" TargetMode="External"/><Relationship Id="rId92" Type="http://schemas.openxmlformats.org/officeDocument/2006/relationships/hyperlink" Target="https://getdeploying.com/gpu-price-index" TargetMode="External"/><Relationship Id="rId93" Type="http://schemas.openxmlformats.org/officeDocument/2006/relationships/hyperlink" Target="https://www.mercatus-ai.com/blog/gpu-rental-prices" TargetMode="External"/><Relationship Id="rId94" Type="http://schemas.openxmlformats.org/officeDocument/2006/relationships/hyperlink" Target="https://polymarket.com/event/largest-company-end-of-december-2026" TargetMode="External"/><Relationship Id="rId95" Type="http://schemas.openxmlformats.org/officeDocument/2006/relationships/hyperlink" Target="https://x.com/Polymarket/status/2057200999853392329" TargetMode="External"/><Relationship Id="rId96" Type="http://schemas.openxmlformats.org/officeDocument/2006/relationships/hyperlink" Target="https://x.com/SemiAnalysis_/status/2071840399627288746" TargetMode="External"/><Relationship Id="rId97" Type="http://schemas.openxmlformats.org/officeDocument/2006/relationships/hyperlink" Target="https://introl.com/blog/custom-silicon-inflection-2026-hyperscaler-asics-nvidia-gpu" TargetMode="External"/><Relationship Id="rId98" Type="http://schemas.openxmlformats.org/officeDocument/2006/relationships/hyperlink" Target="https://fullratio.com/stocks/nasdaq-nvda/pe-ratio" TargetMode="External"/><Relationship Id="rId99" Type="http://schemas.openxmlformats.org/officeDocument/2006/relationships/hyperlink" Target="https://stockanalysis.com/stocks/nvda/statistics/" TargetMode="External"/><Relationship Id="rId100" Type="http://schemas.openxmlformats.org/officeDocument/2006/relationships/hyperlink" Target="https://www.wallstreethorizon.com/nvidia-earnings-calendar" TargetMode="External"/><Relationship Id="rId101" Type="http://schemas.openxmlformats.org/officeDocument/2006/relationships/hyperlink" Target="https://www.sec.gov/Archives/edgar/data/0001045810/000104581026000073/q2fy27cfocommentary.htm" TargetMode="External"/><Relationship Id="rId102" Type="http://schemas.openxmlformats.org/officeDocument/2006/relationships/hyperlink" Target="https://www.sec.gov/Archives/edgar/data/1045810/000104581026000075/nvda-20260726.htm" TargetMode="External"/><Relationship Id="rId103" Type="http://schemas.openxmlformats.org/officeDocument/2006/relationships/hyperlink" Target="https://finance.yahoo.com/markets/stocks/articles/nvidia-stock-gains-semianalysis-sees-165152271.html" TargetMode="External"/><Relationship Id="rId104" Type="http://schemas.openxmlformats.org/officeDocument/2006/relationships/hyperlink" Target="https://newsletter.semianalysis.com/p/the-great-ai-silicon-shortage" TargetMode="External"/><Relationship Id="rId105" Type="http://schemas.openxmlformats.org/officeDocument/2006/relationships/hyperlink" Target="https://businessmodelanalyst.com/nvidia-235-billion-buyback-free-cash-flow/" TargetMode="External"/><Relationship Id="rId106" Type="http://schemas.openxmlformats.org/officeDocument/2006/relationships/hyperlink" Target="https://home.treasury.gov/resource-center/data-chart-center/interest-rates/TextView?type=daily_treasury_yield_curve&amp;field_tdr_date_value_month=202610" TargetMode="External"/><Relationship Id="rId107" Type="http://schemas.openxmlformats.org/officeDocument/2006/relationships/hyperlink" Target="https://defirate.com/prediction-markets/fed-decision-odds/" TargetMode="External"/><Relationship Id="rId108" Type="http://schemas.openxmlformats.org/officeDocument/2006/relationships/hyperlink" Target="https://nvidianews.nvidia.com/news/nvidia-announces-financial-results-for-second-quarter-fiscal-2027" TargetMode="External"/><Relationship Id="rId109" Type="http://schemas.openxmlformats.org/officeDocument/2006/relationships/hyperlink" Target="https://www.sec.gov/Archives/edgar/data/0001045810/000104581026000073/q2fy27cfocommentary.htm" TargetMode="External"/><Relationship Id="rId110" Type="http://schemas.openxmlformats.org/officeDocument/2006/relationships/hyperlink" Target="https://www.fool.com/investing/2026/09/12/predict-nvidia-stock-worth-this-much-2028/" TargetMode="External"/><Relationship Id="rId111" Type="http://schemas.openxmlformats.org/officeDocument/2006/relationships/hyperlink" Target="https://stockanalysis.com/stocks/nvda/statistics/" TargetMode="External"/><Relationship Id="rId112" Type="http://schemas.openxmlformats.org/officeDocument/2006/relationships/hyperlink" Target="https://stockanalysis.com/stocks/avgo/statistics/" TargetMode="External"/><Relationship Id="rId113" Type="http://schemas.openxmlformats.org/officeDocument/2006/relationships/hyperlink" Target="https://www.thelec.net/news/articleView.html?idxno=13401" TargetMode="External"/><Relationship Id="rId114" Type="http://schemas.openxmlformats.org/officeDocument/2006/relationships/hyperlink" Target="https://siliconanalysts.com/market/nvidia-confirms-15-ai-server-price-hikes-driven-by-soaring-hbm-costs-2026-08-23" TargetMode="External"/><Relationship Id="rId115" Type="http://schemas.openxmlformats.org/officeDocument/2006/relationships/hyperlink" Target="https://www.tipranks.com/stocks/nvda/earnings" TargetMode="External"/><Relationship Id="rId116" Type="http://schemas.openxmlformats.org/officeDocument/2006/relationships/hyperlink" Target="https://www.fool.com/investing/2026/09/30/nvidia-stock-just-did-something-for-the-first-time/" TargetMode="External"/><Relationship Id="rId117" Type="http://schemas.openxmlformats.org/officeDocument/2006/relationships/hyperlink" Target="https://www.tikr.com/blog/nvidias-p-e-ratio-current-levels-historical-trends-and-outlook" TargetMode="External"/><Relationship Id="rId118" Type="http://schemas.openxmlformats.org/officeDocument/2006/relationships/hyperlink" Target="https://finance.biggo.com/news/644cc7df-d580-48f0-8003-f034f109afa7" TargetMode="External"/><Relationship Id="rId119" Type="http://schemas.openxmlformats.org/officeDocument/2006/relationships/hyperlink" Target="https://www.gurufocus.com/news/9109034/nvidia-valuation-gets-surprising-take-from-top-bank" TargetMode="External"/><Relationship Id="rId120" Type="http://schemas.openxmlformats.org/officeDocument/2006/relationships/hyperlink" Target="https://polymarket.com/event/largest-company-end-of-december-2026" TargetMode="External"/><Relationship Id="rId121" Type="http://schemas.openxmlformats.org/officeDocument/2006/relationships/hyperlink" Target="https://defirate.com/prediction-markets/fed-decision-odds/" TargetMode="External"/><Relationship Id="rId122" Type="http://schemas.openxmlformats.org/officeDocument/2006/relationships/hyperlink" Target="https://kalshi.com/markets/kxfeddecision/fed-meeting/kxfeddecision-26dec" TargetMode="External"/><Relationship Id="rId123" Type="http://schemas.openxmlformats.org/officeDocument/2006/relationships/hyperlink" Target="https://www.cnbc.com/2026/07/09/kalshi-traders-see-roughly-50percent-odds-of-a-rate-hike-in-2026-as-fed-is-split-on-policy.html" TargetMode="External"/><Relationship Id="rId124" Type="http://schemas.openxmlformats.org/officeDocument/2006/relationships/hyperlink" Target="https://tradingeconomics.com/united-states/government-bond-yield" TargetMode="External"/><Relationship Id="rId125" Type="http://schemas.openxmlformats.org/officeDocument/2006/relationships/hyperlink" Target="https://www.groundbrkr.com/p/peak-cheap-the-ai-boom-isnt-2000" TargetMode="External"/><Relationship Id="rId126" Type="http://schemas.openxmlformats.org/officeDocument/2006/relationships/hyperlink" Target="https://advisoranalyst.com/2026/07/20/great-companies-expensive-stocks.html/" TargetMode="External"/><Relationship Id="rId127" Type="http://schemas.openxmlformats.org/officeDocument/2006/relationships/hyperlink" Target="https://www.cbsnews.com/news/why-companies-become-too-big-to-succeed/" TargetMode="External"/><Relationship Id="rId128" Type="http://schemas.openxmlformats.org/officeDocument/2006/relationships/hyperlink" Target="https://www.hardingloevner.com/insights/nvidia-and-the-cautionary-tale-of-cisco-systems/" TargetMode="External"/><Relationship Id="rId129" Type="http://schemas.openxmlformats.org/officeDocument/2006/relationships/hyperlink" Target="https://www.fool.com/investing/2026/09/06/hyperscalers-driving-ai-capex-cash-flow/" TargetMode="External"/><Relationship Id="rId130" Type="http://schemas.openxmlformats.org/officeDocument/2006/relationships/hyperlink" Target="https://manifold.markets/Mad2live/google-amazon-meta-microsoft-total" TargetMode="External"/><Relationship Id="rId131" Type="http://schemas.openxmlformats.org/officeDocument/2006/relationships/hyperlink" Target="https://twelvedata.com/" TargetMode="External"/><Relationship Id="rId132" Type="http://schemas.openxmlformats.org/officeDocument/2006/relationships/hyperlink" Target="https://www.techtimes.com/articles/320544/20260715/nvidia-h200-shipments-china-called-trivial-blackwell-loophole-draws-fire.htm" TargetMode="External"/><Relationship Id="rId133" Type="http://schemas.openxmlformats.org/officeDocument/2006/relationships/hyperlink" Target="https://home.treasury.gov/resource-center/data-chart-center/interest-rates/TextView?type=daily_treasury_yield_curve&amp;field_tdr_date_value_month=202610" TargetMode="External"/><Relationship Id="rId134" Type="http://schemas.openxmlformats.org/officeDocument/2006/relationships/hyperlink" Target="https://finance.yahoo.com/sectors/technology/articles/goldman-says-consensus-2027-hyperscaler-140152065.html" TargetMode="External"/><Relationship Id="rId135" Type="http://schemas.openxmlformats.org/officeDocument/2006/relationships/hyperlink" Target="https://kalshi.com/markets/kxratehike/number-of-fed-rate-hikes/kxratehike-2026" TargetMode="External"/><Relationship Id="rId136" Type="http://schemas.openxmlformats.org/officeDocument/2006/relationships/hyperlink" Target="https://stockanalysis.com/stocks/nvda/statistics/" TargetMode="External"/><Relationship Id="rId137" Type="http://schemas.openxmlformats.org/officeDocument/2006/relationships/hyperlink" Target="https://stockanalysis.com/stocks/nvda/forecast/" TargetMode="External"/><Relationship Id="rId138" Type="http://schemas.openxmlformats.org/officeDocument/2006/relationships/hyperlink" Target="https://stockanalysis.com/stocks/avgo/statistics/" TargetMode="External"/><Relationship Id="rId139" Type="http://schemas.openxmlformats.org/officeDocument/2006/relationships/hyperlink" Target="https://stockanalysis.com/stocks/tsm/statistics/" TargetMode="External"/><Relationship Id="rId140" Type="http://schemas.openxmlformats.org/officeDocument/2006/relationships/hyperlink" Target="https://stockanalysis.com/stocks/amd/statistics/" TargetMode="External"/><Relationship Id="rId141" Type="http://schemas.openxmlformats.org/officeDocument/2006/relationships/hyperlink" Target="https://stockanalysis.com/stocks/mrvl/statistics/" TargetMode="External"/><Relationship Id="rId142" Type="http://schemas.openxmlformats.org/officeDocument/2006/relationships/hyperlink" Target="https://stockanalysis.com/stocks/anet/statistics/" TargetMode="External"/><Relationship Id="rId143" Type="http://schemas.openxmlformats.org/officeDocument/2006/relationships/hyperlink" Target="https://stockanalysis.com/stocks/asml/statistics/" TargetMode="External"/><Relationship Id="rId144" Type="http://schemas.openxmlformats.org/officeDocument/2006/relationships/hyperlink" Target="https://stockanalysis.com/stocks/tsm/forecast/" TargetMode="External"/><Relationship Id="rId145" Type="http://schemas.openxmlformats.org/officeDocument/2006/relationships/hyperlink" Target="https://stockanalysis.com/stocks/amd/forecast/" TargetMode="External"/><Relationship Id="rId146" Type="http://schemas.openxmlformats.org/officeDocument/2006/relationships/hyperlink" Target="https://www.fool.com/investing/2026/09/30/nvidia-stock-just-did-something-for-the-first-time/" TargetMode="External"/><Relationship Id="rId147" Type="http://schemas.openxmlformats.org/officeDocument/2006/relationships/hyperlink" Target="https://io-fund.com/ai-stocks/ai-capex-1-trillion-estimates-too-low" TargetMode="External"/><Relationship Id="rId148" Type="http://schemas.openxmlformats.org/officeDocument/2006/relationships/hyperlink" Target="https://www.gurufocus.com/term/forward-pe-ratio/NVDA" TargetMode="External"/><Relationship Id="rId149" Type="http://schemas.openxmlformats.org/officeDocument/2006/relationships/hyperlink" Target="https://www.sec.gov/Archives/edgar/data/0001045810/000104581026000073/q2fy27cfocommentary.htm" TargetMode="External"/><Relationship Id="rId150" Type="http://schemas.openxmlformats.org/officeDocument/2006/relationships/hyperlink" Target="https://api.nasdaq.com/api/analyst/NVDA/earnings-forecast" TargetMode="External"/><Relationship Id="rId151" Type="http://schemas.openxmlformats.org/officeDocument/2006/relationships/hyperlink" Target="https://api.nasdaq.com/api/analyst/AVGO/earnings-forecast" TargetMode="External"/><Relationship Id="rId152" Type="http://schemas.openxmlformats.org/officeDocument/2006/relationships/hyperlink" Target="https://api.nasdaq.com/api/analyst/AMD/earnings-forecast" TargetMode="External"/><Relationship Id="rId153" Type="http://schemas.openxmlformats.org/officeDocument/2006/relationships/hyperlink" Target="https://api.nasdaq.com/api/analyst/MRVL/earnings-forecast" TargetMode="External"/><Relationship Id="rId154" Type="http://schemas.openxmlformats.org/officeDocument/2006/relationships/hyperlink" Target="https://api.nasdaq.com/api/analyst/TSM/earnings-forecast" TargetMode="External"/><Relationship Id="rId155" Type="http://schemas.openxmlformats.org/officeDocument/2006/relationships/hyperlink" Target="https://api.nasdaq.com/api/analyst/ANET/earnings-forecast" TargetMode="External"/><Relationship Id="rId156" Type="http://schemas.openxmlformats.org/officeDocument/2006/relationships/hyperlink" Target="https://query1.finance.yahoo.com/v8/finance/chart/TSM" TargetMode="External"/><Relationship Id="rId157" Type="http://schemas.openxmlformats.org/officeDocument/2006/relationships/hyperlink" Target="https://query1.finance.yahoo.com/v8/finance/chart/NVDA" TargetMode="External"/><Relationship Id="rId158" Type="http://schemas.openxmlformats.org/officeDocument/2006/relationships/hyperlink" Target="https://www.sec.gov/Archives/edgar/data/1045810/000104581026000073/q2fy27pr.htm" TargetMode="External"/><Relationship Id="rId159" Type="http://schemas.openxmlformats.org/officeDocument/2006/relationships/hyperlink" Target="https://www.sec.gov/Archives/edgar/data/1730168/000173016826000076/avgo-08022026x8kxex99.htm" TargetMode="External"/><Relationship Id="rId160" Type="http://schemas.openxmlformats.org/officeDocument/2006/relationships/hyperlink" Target="https://www.sec.gov/Archives/edgar/data/2488/000000248826000121/q22026991.htm" TargetMode="External"/><Relationship Id="rId161" Type="http://schemas.openxmlformats.org/officeDocument/2006/relationships/hyperlink" Target="https://www.sec.gov/Archives/edgar/data/1835632/000183563226000022/q227_8kx812026ex-991.htm" TargetMode="External"/><Relationship Id="rId162" Type="http://schemas.openxmlformats.org/officeDocument/2006/relationships/hyperlink" Target="https://www.sec.gov/Archives/edgar/data/1596532/000159653226000174/ex991q226-earningsrelease.htm" TargetMode="External"/><Relationship Id="rId163" Type="http://schemas.openxmlformats.org/officeDocument/2006/relationships/hyperlink" Target="https://www.sec.gov/Archives/edgar/data/1046179/000104617926000726/a3q26e_withguidancexfinal.htm" TargetMode="External"/><Relationship Id="rId164" Type="http://schemas.openxmlformats.org/officeDocument/2006/relationships/hyperlink" Target="https://data.sec.gov/api/xbrl/companyfacts/CIK0001046179.json" TargetMode="External"/><Relationship Id="rId165" Type="http://schemas.openxmlformats.org/officeDocument/2006/relationships/hyperlink" Target="https://api.nasdaq.com/api/company/AVGO/earnings-surprise" TargetMode="External"/><Relationship Id="rId166" Type="http://schemas.openxmlformats.org/officeDocument/2006/relationships/hyperlink" Target="https://api.nasdaq.com/api/company/NVDA/earnings-surprise" TargetMode="External"/><Relationship Id="rId167" Type="http://schemas.openxmlformats.org/officeDocument/2006/relationships/hyperlink" Target="https://api.nasdaq.com/api/company/AMD/earnings-surprise" TargetMode="External"/><Relationship Id="rId168" Type="http://schemas.openxmlformats.org/officeDocument/2006/relationships/hyperlink" Target="https://api.nasdaq.com/api/company/MRVL/earnings-surprise" TargetMode="External"/><Relationship Id="rId169" Type="http://schemas.openxmlformats.org/officeDocument/2006/relationships/hyperlink" Target="https://api.nasdaq.com/api/company/TSM/earnings-surprise" TargetMode="External"/><Relationship Id="rId170" Type="http://schemas.openxmlformats.org/officeDocument/2006/relationships/hyperlink" Target="https://api.nasdaq.com/api/company/ANET/earnings-surpri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204.64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315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160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0.4433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P$6:$P$20,MIN(MAX(IFERROR(MATCH(0.5,Distribution!$C$6:$C$20,-1),1),1),14)))/(INDEX(Distribution!$P$6:$P$20,MIN(MAX(IFERROR(MATCH(0.5,Distribution!$C$6:$C$20,-1),1),1),14)+1)-INDEX(Distribution!$P$6:$P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215.058155766749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Methods!C7</f>
        <v>270</v>
      </c>
      <c r="C18" s="13" t="n">
        <f aca="false">Methods!E7</f>
        <v>270</v>
      </c>
    </row>
    <row r="19" customFormat="false" ht="15" hidden="false" customHeight="false" outlineLevel="0" collapsed="false">
      <c r="A19" s="5" t="s">
        <v>30</v>
      </c>
      <c r="B19" s="13" t="n">
        <f aca="false">Methods!C11</f>
        <v>260</v>
      </c>
      <c r="C19" s="13" t="n">
        <f aca="false">Methods!E11</f>
        <v>260</v>
      </c>
    </row>
    <row r="20" customFormat="false" ht="15" hidden="false" customHeight="false" outlineLevel="0" collapsed="false">
      <c r="A20" s="5" t="s">
        <v>31</v>
      </c>
      <c r="B20" s="13" t="n">
        <f aca="false">Methods!C16</f>
        <v>249.8</v>
      </c>
      <c r="C20" s="13" t="n">
        <f aca="false">Methods!E16</f>
        <v>250</v>
      </c>
    </row>
    <row r="21" customFormat="false" ht="15" hidden="false" customHeight="false" outlineLevel="0" collapsed="false">
      <c r="A21" s="5" t="s">
        <v>32</v>
      </c>
      <c r="B21" s="13" t="n">
        <f aca="false">Methods!C20</f>
        <v>295.7</v>
      </c>
      <c r="C21" s="13" t="n">
        <f aca="false">Methods!E20</f>
        <v>296</v>
      </c>
    </row>
    <row r="22" customFormat="false" ht="15" hidden="false" customHeight="false" outlineLevel="0" collapsed="false">
      <c r="A22" s="5" t="s">
        <v>33</v>
      </c>
      <c r="B22" s="13" t="n">
        <f aca="false">Methods!C25</f>
        <v>254.5</v>
      </c>
      <c r="C22" s="13" t="n">
        <f aca="false">Methods!E25</f>
        <v>255</v>
      </c>
    </row>
    <row r="23" customFormat="false" ht="15" hidden="false" customHeight="false" outlineLevel="0" collapsed="false">
      <c r="A23" s="14" t="s">
        <v>34</v>
      </c>
      <c r="B23" s="15" t="n">
        <f aca="false">AVERAGE(B18:B22)</f>
        <v>266</v>
      </c>
      <c r="C23" s="15" t="n">
        <f aca="false">AVERAGE(C18:C22)</f>
        <v>266.2</v>
      </c>
    </row>
    <row r="24" customFormat="false" ht="15" hidden="false" customHeight="false" outlineLevel="0" collapsed="false">
      <c r="A24" s="5" t="s">
        <v>35</v>
      </c>
      <c r="B24" s="16" t="n">
        <f aca="false">MEDIAN(B18:B22)</f>
        <v>260</v>
      </c>
      <c r="C24" s="16" t="n">
        <f aca="false">MEDIAN(C18:C22)</f>
        <v>260</v>
      </c>
    </row>
    <row r="25" customFormat="false" ht="270.1" hidden="false" customHeight="false" outlineLevel="0" collapsed="false">
      <c r="A25" s="14" t="s">
        <v>36</v>
      </c>
      <c r="C25" s="17" t="n">
        <v>262.7</v>
      </c>
      <c r="D25" s="7" t="s">
        <v>37</v>
      </c>
    </row>
    <row r="26" customFormat="false" ht="15" hidden="false" customHeight="false" outlineLevel="0" collapsed="false">
      <c r="A26" s="5" t="s">
        <v>38</v>
      </c>
      <c r="C26" s="18" t="n">
        <f aca="false">C25/Spot-1</f>
        <v>0.283717748240813</v>
      </c>
    </row>
    <row r="28" customFormat="false" ht="15" hidden="false" customHeight="false" outlineLevel="0" collapsed="false">
      <c r="A28" s="3" t="s">
        <v>39</v>
      </c>
      <c r="B28" s="3" t="s">
        <v>40</v>
      </c>
      <c r="C28" s="3" t="s">
        <v>41</v>
      </c>
      <c r="D28" s="3" t="s">
        <v>42</v>
      </c>
    </row>
    <row r="29" customFormat="false" ht="15" hidden="false" customHeight="false" outlineLevel="0" collapsed="false">
      <c r="A29" s="5" t="s">
        <v>43</v>
      </c>
      <c r="B29" s="19" t="n">
        <f aca="false">EXP(INDEX(Distribution!$B$6:$B$20,MIN(MAX(IFERROR(MATCH(0.5,Distribution!$U$6:$U$20,-1),1),1),14))+(LN(MIN(MAX(0.5,0.0001),0.9999)/(1-MIN(MAX(0.5,0.0001),0.9999)))-INDEX(Distribution!$V$6:$V$20,MIN(MAX(IFERROR(MATCH(0.5,Distribution!$U$6:$U$20,-1),1),1),14)))/(INDEX(Distribution!$V$6:$V$20,MIN(MAX(IFERROR(MATCH(0.5,Distribution!$U$6:$U$20,-1),1),1),14)+1)-INDEX(Distribution!$V$6:$V$20,MIN(MAX(IFERROR(MATCH(0.5,Distribution!$U$6:$U$20,-1),1),1),14)))*(INDEX(Distribution!$B$6:$B$20,MIN(MAX(IFERROR(MATCH(0.5,Distribution!$U$6:$U$20,-1),1),1),14)+1)-INDEX(Distribution!$B$6:$B$20,MIN(MAX(IFERROR(MATCH(0.5,Distribution!$U$6:$U$20,-1),1),1),14))))</f>
        <v>229.825134007129</v>
      </c>
      <c r="C29" s="6" t="n">
        <v>235.9372</v>
      </c>
      <c r="D29" s="7" t="s">
        <v>44</v>
      </c>
    </row>
    <row r="30" customFormat="false" ht="15" hidden="false" customHeight="false" outlineLevel="0" collapsed="false">
      <c r="A30" s="5" t="s">
        <v>45</v>
      </c>
      <c r="B30" s="19" t="n">
        <f aca="false">EXP(INDEX(Distribution!$B$6:$B$20,MIN(MAX(IFERROR(MATCH(0.25,Distribution!$U$6:$U$20,-1),1),1),14))+(LN(MIN(MAX(0.25,0.0001),0.9999)/(1-MIN(MAX(0.25,0.0001),0.9999)))-INDEX(Distribution!$V$6:$V$20,MIN(MAX(IFERROR(MATCH(0.25,Distribution!$U$6:$U$20,-1),1),1),14)))/(INDEX(Distribution!$V$6:$V$20,MIN(MAX(IFERROR(MATCH(0.25,Distribution!$U$6:$U$20,-1),1),1),14)+1)-INDEX(Distribution!$V$6:$V$20,MIN(MAX(IFERROR(MATCH(0.25,Distribution!$U$6:$U$20,-1),1),1),14)))*(INDEX(Distribution!$B$6:$B$20,MIN(MAX(IFERROR(MATCH(0.25,Distribution!$U$6:$U$20,-1),1),1),14)+1)-INDEX(Distribution!$B$6:$B$20,MIN(MAX(IFERROR(MATCH(0.25,Distribution!$U$6:$U$20,-1),1),1),14))))</f>
        <v>297.685087415407</v>
      </c>
      <c r="C30" s="6" t="n">
        <v>241.1</v>
      </c>
      <c r="D30" s="7" t="s">
        <v>46</v>
      </c>
    </row>
    <row r="31" customFormat="false" ht="15" hidden="false" customHeight="false" outlineLevel="0" collapsed="false">
      <c r="A31" s="5" t="s">
        <v>47</v>
      </c>
      <c r="B31" s="19" t="n">
        <f aca="false">EXP(INDEX(Distribution!$B$6:$B$20,MIN(MAX(IFERROR(MATCH(0.85,Distribution!$U$6:$U$20,-1),1),1),14))+(LN(MIN(MAX(0.85,0.0001),0.9999)/(1-MIN(MAX(0.85,0.0001),0.9999)))-INDEX(Distribution!$V$6:$V$20,MIN(MAX(IFERROR(MATCH(0.85,Distribution!$U$6:$U$20,-1),1),1),14)))/(INDEX(Distribution!$V$6:$V$20,MIN(MAX(IFERROR(MATCH(0.85,Distribution!$U$6:$U$20,-1),1),1),14)+1)-INDEX(Distribution!$V$6:$V$20,MIN(MAX(IFERROR(MATCH(0.85,Distribution!$U$6:$U$20,-1),1),1),14)))*(INDEX(Distribution!$B$6:$B$20,MIN(MAX(IFERROR(MATCH(0.85,Distribution!$U$6:$U$20,-1),1),1),14)+1)-INDEX(Distribution!$B$6:$B$20,MIN(MAX(IFERROR(MATCH(0.85,Distribution!$U$6:$U$20,-1),1),1),14))))</f>
        <v>147.918559896169</v>
      </c>
      <c r="C31" s="6" t="n">
        <v>154.6085</v>
      </c>
      <c r="D31" s="7" t="s">
        <v>48</v>
      </c>
    </row>
    <row r="32" customFormat="false" ht="15" hidden="false" customHeight="false" outlineLevel="0" collapsed="false">
      <c r="A32" s="5" t="s">
        <v>49</v>
      </c>
      <c r="B32" s="16" t="n">
        <f aca="false">Spot*EXP(-2*IV30*SQRT(21/252))</f>
        <v>158.430017128157</v>
      </c>
      <c r="D32" s="7" t="s">
        <v>50</v>
      </c>
    </row>
    <row r="33" customFormat="false" ht="23.85" hidden="false" customHeight="false" outlineLevel="0" collapsed="false">
      <c r="A33" s="14" t="s">
        <v>51</v>
      </c>
      <c r="B33" s="20" t="n">
        <f aca="false">MIN(IF(AND(Thesis_Break&gt;0,Thesis_Break&lt;Spot),MAX(B31,Thesis_Break),B31),B32)</f>
        <v>158.430017128157</v>
      </c>
      <c r="C33" s="21" t="n">
        <v>158.43</v>
      </c>
      <c r="D33" s="7" t="s">
        <v>52</v>
      </c>
    </row>
    <row r="34" customFormat="false" ht="15" hidden="false" customHeight="false" outlineLevel="0" collapsed="false">
      <c r="A34" s="5" t="s">
        <v>53</v>
      </c>
      <c r="B34" s="18" t="n">
        <f aca="false">B29/Spot-1</f>
        <v>0.12307043592225</v>
      </c>
      <c r="C34" s="18" t="n">
        <f aca="false">C29/Spot-1</f>
        <v>0.152937842064113</v>
      </c>
    </row>
    <row r="35" customFormat="false" ht="15" hidden="false" customHeight="false" outlineLevel="0" collapsed="false">
      <c r="A35" s="5" t="s">
        <v>54</v>
      </c>
      <c r="C35" s="12" t="n">
        <v>0.6359</v>
      </c>
    </row>
    <row r="36" customFormat="false" ht="23.85" hidden="false" customHeight="false" outlineLevel="0" collapsed="false">
      <c r="A36" s="5" t="s">
        <v>55</v>
      </c>
      <c r="C36" s="6" t="n">
        <v>250.2265</v>
      </c>
      <c r="D36" s="7" t="s">
        <v>56</v>
      </c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15" hidden="false" customHeight="false" outlineLevel="0" collapsed="false">
      <c r="A39" s="22" t="s">
        <v>58</v>
      </c>
      <c r="D39" s="2" t="s">
        <v>59</v>
      </c>
    </row>
    <row r="40" customFormat="false" ht="15" hidden="false" customHeight="false" outlineLevel="0" collapsed="false">
      <c r="A40" s="22" t="s">
        <v>60</v>
      </c>
      <c r="D40" s="2" t="s">
        <v>61</v>
      </c>
    </row>
    <row r="41" customFormat="false" ht="15" hidden="false" customHeight="false" outlineLevel="0" collapsed="false">
      <c r="A41" s="22" t="s">
        <v>62</v>
      </c>
      <c r="D41" s="2" t="s">
        <v>63</v>
      </c>
    </row>
    <row r="42" customFormat="false" ht="15" hidden="false" customHeight="false" outlineLevel="0" collapsed="false">
      <c r="A42" s="22" t="s">
        <v>64</v>
      </c>
      <c r="D42" s="2" t="s">
        <v>65</v>
      </c>
    </row>
    <row r="43" customFormat="false" ht="15" hidden="false" customHeight="false" outlineLevel="0" collapsed="false">
      <c r="A43" s="22" t="s">
        <v>66</v>
      </c>
      <c r="D43" s="2" t="s">
        <v>67</v>
      </c>
    </row>
    <row r="44" customFormat="false" ht="15" hidden="false" customHeight="false" outlineLevel="0" collapsed="false">
      <c r="A44" s="22" t="s">
        <v>68</v>
      </c>
      <c r="D44" s="2" t="s">
        <v>69</v>
      </c>
    </row>
    <row r="45" customFormat="false" ht="15" hidden="false" customHeight="false" outlineLevel="0" collapsed="false">
      <c r="A45" s="22" t="s">
        <v>70</v>
      </c>
      <c r="D45" s="2" t="s">
        <v>71</v>
      </c>
    </row>
  </sheetData>
  <hyperlinks>
    <hyperlink ref="A39" location="'Assumptions'!A1" display="Assumptions"/>
    <hyperlink ref="A40" location="'Methods'!A1" display="Methods"/>
    <hyperlink ref="A41" location="'Scenarios'!A1" display="Scenarios"/>
    <hyperlink ref="A42" location="'Distribution'!A1" display="Distribution"/>
    <hyperlink ref="A43" location="'Reasoning'!A1" display="Reasoning"/>
    <hyperlink ref="A44" location="'Supervisor'!A1" display="Supervisor"/>
    <hyperlink ref="A45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23" t="s">
        <v>74</v>
      </c>
      <c r="B4" s="23" t="s">
        <v>75</v>
      </c>
      <c r="C4" s="23" t="s">
        <v>3</v>
      </c>
      <c r="D4" s="23" t="s">
        <v>66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</row>
    <row r="5" customFormat="false" ht="15" hidden="false" customHeight="false" outlineLevel="0" collapsed="false">
      <c r="A5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8" min="4" style="0" width="10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1" min="19" style="0" width="11"/>
    <col collapsed="false" customWidth="true" hidden="false" outlineLevel="0" max="22" min="22" style="0" width="9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5" customFormat="false" ht="23.85" hidden="false" customHeight="false" outlineLevel="0" collapsed="false">
      <c r="A5" s="23" t="s">
        <v>86</v>
      </c>
      <c r="B5" s="23" t="s">
        <v>87</v>
      </c>
      <c r="C5" s="23" t="s">
        <v>88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89</v>
      </c>
      <c r="J5" s="23" t="s">
        <v>68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95</v>
      </c>
      <c r="Q5" s="23" t="s">
        <v>96</v>
      </c>
      <c r="R5" s="23" t="s">
        <v>93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</row>
    <row r="6" customFormat="false" ht="15" hidden="false" customHeight="false" outlineLevel="0" collapsed="false">
      <c r="A6" s="6" t="n">
        <v>51.16</v>
      </c>
      <c r="B6" s="24" t="n">
        <f aca="false">LN(A6)</f>
        <v>3.93495797671064</v>
      </c>
      <c r="C6" s="25" t="n">
        <v>0.9998</v>
      </c>
      <c r="D6" s="25" t="n">
        <v>0.9964</v>
      </c>
      <c r="E6" s="25" t="n">
        <v>0.9962</v>
      </c>
      <c r="F6" s="25" t="n">
        <v>0.9974</v>
      </c>
      <c r="G6" s="25" t="n">
        <v>0.9984</v>
      </c>
      <c r="H6" s="25" t="n">
        <v>0.9995</v>
      </c>
      <c r="I6" s="24" t="n">
        <f aca="false">AVERAGE(D6:H6)</f>
        <v>0.99758</v>
      </c>
      <c r="J6" s="25" t="n">
        <v>0.998</v>
      </c>
      <c r="K6" s="24" t="n">
        <f aca="false">IF(AND(Sup_Used=1,ISNUMBER(J6)),J6,I6)</f>
        <v>0.99758</v>
      </c>
      <c r="L6" s="24" t="n">
        <f aca="false">LN(MIN(MAX(K6,0.0001),0.9999)/(1-MIN(MAX(K6,0.0001),0.9999)))</f>
        <v>6.02156480588075</v>
      </c>
      <c r="M6" s="16" t="n">
        <f aca="false">A6*EXP(-Platt_Shift)</f>
        <v>51.16</v>
      </c>
      <c r="N6" s="26" t="n">
        <f aca="false">MIN(MAX(IFERROR(MATCH(M6,Distribution!$A$6:$A$20,1),1),1),14)</f>
        <v>1</v>
      </c>
      <c r="O6" s="24" t="n">
        <f aca="false">1/(1+EXP(-(INDEX(Distribution!$L$6:$L$20,N6)+(LN(M6)-INDEX(Distribution!$B$6:$B$20,N6))/(INDEX(Distribution!$B$6:$B$20,N6+1)-INDEX(Distribution!$B$6:$B$20,N6))*(INDEX(Distribution!$L$6:$L$20,N6+1)-INDEX(Distribution!$L$6:$L$20,N6)))))</f>
        <v>0.99758</v>
      </c>
      <c r="P6" s="24" t="n">
        <f aca="false">LN(MIN(MAX(C6,0.0001),0.9999)/(1-MIN(MAX(C6,0.0001),0.9999)))</f>
        <v>8.51699317141368</v>
      </c>
      <c r="Q6" s="16" t="n">
        <f aca="false">IF(Analyst_Median&gt;0,A6*Market_Median/Analyst_Median,A6)</f>
        <v>34.9281753937361</v>
      </c>
      <c r="R6" s="26" t="n">
        <f aca="false">MIN(MAX(IFERROR(MATCH(Q6,Distribution!$A$6:$A$20,1),1),1),14)</f>
        <v>1</v>
      </c>
      <c r="S6" s="24" t="n">
        <f aca="false">1/(1+EXP(-(INDEX(Distribution!$P$6:$P$20,R6)+(LN(Q6)-INDEX(Distribution!$B$6:$B$20,R6))/(INDEX(Distribution!$B$6:$B$20,R6+1)-INDEX(Distribution!$B$6:$B$20,R6))*(INDEX(Distribution!$P$6:$P$20,R6+1)-INDEX(Distribution!$P$6:$P$20,R6)))))</f>
        <v>0.999989630198014</v>
      </c>
      <c r="T6" s="24" t="n">
        <f aca="false">W_Mkt*C6+W_Agents*O6</f>
        <v>0.9990674</v>
      </c>
      <c r="U6" s="27" t="n">
        <f aca="false">(1-W_Analyst)*T6+W_Analyst*S6</f>
        <v>0.9990674</v>
      </c>
      <c r="V6" s="24" t="n">
        <f aca="false">LN(MIN(MAX(U6,0.0001),0.9999)/(1-MIN(MAX(U6,0.0001),0.9999)))</f>
        <v>6.97660113844816</v>
      </c>
      <c r="W6" s="25" t="n">
        <v>0.9999</v>
      </c>
    </row>
    <row r="7" customFormat="false" ht="15" hidden="false" customHeight="false" outlineLevel="0" collapsed="false">
      <c r="A7" s="6" t="n">
        <v>81.86</v>
      </c>
      <c r="B7" s="24" t="n">
        <f aca="false">LN(A7)</f>
        <v>4.40501047106426</v>
      </c>
      <c r="C7" s="25" t="n">
        <v>0.9924</v>
      </c>
      <c r="D7" s="25" t="n">
        <v>0.9893</v>
      </c>
      <c r="E7" s="25" t="n">
        <v>0.9903</v>
      </c>
      <c r="F7" s="25" t="n">
        <v>0.9892</v>
      </c>
      <c r="G7" s="25" t="n">
        <v>0.9968</v>
      </c>
      <c r="H7" s="25" t="n">
        <v>0.9948</v>
      </c>
      <c r="I7" s="24" t="n">
        <f aca="false">AVERAGE(D7:H7)</f>
        <v>0.99208</v>
      </c>
      <c r="J7" s="25" t="n">
        <v>0.9922</v>
      </c>
      <c r="K7" s="24" t="n">
        <f aca="false">IF(AND(Sup_Used=1,ISNUMBER(J7)),J7,I7)</f>
        <v>0.99208</v>
      </c>
      <c r="L7" s="24" t="n">
        <f aca="false">LN(MIN(MAX(K7,0.0001),0.9999)/(1-MIN(MAX(K7,0.0001),0.9999)))</f>
        <v>4.83041254336818</v>
      </c>
      <c r="M7" s="16" t="n">
        <f aca="false">A7*EXP(-Platt_Shift)</f>
        <v>81.86</v>
      </c>
      <c r="N7" s="26" t="n">
        <f aca="false">MIN(MAX(IFERROR(MATCH(M7,Distribution!$A$6:$A$20,1),1),1),14)</f>
        <v>2</v>
      </c>
      <c r="O7" s="24" t="n">
        <f aca="false">1/(1+EXP(-(INDEX(Distribution!$L$6:$L$20,N7)+(LN(M7)-INDEX(Distribution!$B$6:$B$20,N7))/(INDEX(Distribution!$B$6:$B$20,N7+1)-INDEX(Distribution!$B$6:$B$20,N7))*(INDEX(Distribution!$L$6:$L$20,N7+1)-INDEX(Distribution!$L$6:$L$20,N7)))))</f>
        <v>0.99208</v>
      </c>
      <c r="P7" s="24" t="n">
        <f aca="false">LN(MIN(MAX(C7,0.0001),0.9999)/(1-MIN(MAX(C7,0.0001),0.9999)))</f>
        <v>4.87197800452535</v>
      </c>
      <c r="Q7" s="16" t="n">
        <f aca="false">IF(Analyst_Median&gt;0,A7*Market_Median/Analyst_Median,A7)</f>
        <v>55.8878115271938</v>
      </c>
      <c r="R7" s="26" t="n">
        <f aca="false">MIN(MAX(IFERROR(MATCH(Q7,Distribution!$A$6:$A$20,1),1),1),14)</f>
        <v>1</v>
      </c>
      <c r="S7" s="24" t="n">
        <f aca="false">1/(1+EXP(-(INDEX(Distribution!$P$6:$P$20,R7)+(LN(Q7)-INDEX(Distribution!$B$6:$B$20,R7))/(INDEX(Distribution!$B$6:$B$20,R7+1)-INDEX(Distribution!$B$6:$B$20,R7))*(INDEX(Distribution!$P$6:$P$20,R7+1)-INDEX(Distribution!$P$6:$P$20,R7)))))</f>
        <v>0.999603162630655</v>
      </c>
      <c r="T7" s="24" t="n">
        <f aca="false">W_Mkt*C7+W_Agents*O7</f>
        <v>0.9922944</v>
      </c>
      <c r="U7" s="27" t="n">
        <f aca="false">(1-W_Analyst)*T7+W_Analyst*S7</f>
        <v>0.9922944</v>
      </c>
      <c r="V7" s="24" t="n">
        <f aca="false">LN(MIN(MAX(U7,0.0001),0.9999)/(1-MIN(MAX(U7,0.0001),0.9999)))</f>
        <v>4.85807250019742</v>
      </c>
      <c r="W7" s="25" t="n">
        <v>0.9951</v>
      </c>
    </row>
    <row r="8" customFormat="false" ht="15" hidden="false" customHeight="false" outlineLevel="0" collapsed="false">
      <c r="A8" s="6" t="n">
        <v>102.32</v>
      </c>
      <c r="B8" s="24" t="n">
        <f aca="false">LN(A8)</f>
        <v>4.62810515727059</v>
      </c>
      <c r="C8" s="25" t="n">
        <v>0.9691</v>
      </c>
      <c r="D8" s="25" t="n">
        <v>0.9786</v>
      </c>
      <c r="E8" s="25" t="n">
        <v>0.9831</v>
      </c>
      <c r="F8" s="25" t="n">
        <v>0.9772</v>
      </c>
      <c r="G8" s="25" t="n">
        <v>0.9925</v>
      </c>
      <c r="H8" s="25" t="n">
        <v>0.982</v>
      </c>
      <c r="I8" s="24" t="n">
        <f aca="false">AVERAGE(D8:H8)</f>
        <v>0.98268</v>
      </c>
      <c r="J8" s="25" t="n">
        <v>0.9825</v>
      </c>
      <c r="K8" s="24" t="n">
        <f aca="false">IF(AND(Sup_Used=1,ISNUMBER(J8)),J8,I8)</f>
        <v>0.98268</v>
      </c>
      <c r="L8" s="24" t="n">
        <f aca="false">LN(MIN(MAX(K8,0.0001),0.9999)/(1-MIN(MAX(K8,0.0001),0.9999)))</f>
        <v>4.03842162993581</v>
      </c>
      <c r="M8" s="16" t="n">
        <f aca="false">A8*EXP(-Platt_Shift)</f>
        <v>102.32</v>
      </c>
      <c r="N8" s="26" t="n">
        <f aca="false">MIN(MAX(IFERROR(MATCH(M8,Distribution!$A$6:$A$20,1),1),1),14)</f>
        <v>3</v>
      </c>
      <c r="O8" s="24" t="n">
        <f aca="false">1/(1+EXP(-(INDEX(Distribution!$L$6:$L$20,N8)+(LN(M8)-INDEX(Distribution!$B$6:$B$20,N8))/(INDEX(Distribution!$B$6:$B$20,N8+1)-INDEX(Distribution!$B$6:$B$20,N8))*(INDEX(Distribution!$L$6:$L$20,N8+1)-INDEX(Distribution!$L$6:$L$20,N8)))))</f>
        <v>0.98268</v>
      </c>
      <c r="P8" s="24" t="n">
        <f aca="false">LN(MIN(MAX(C8,0.0001),0.9999)/(1-MIN(MAX(C8,0.0001),0.9999)))</f>
        <v>3.4456116218368</v>
      </c>
      <c r="Q8" s="16" t="n">
        <f aca="false">IF(Analyst_Median&gt;0,A8*Market_Median/Analyst_Median,A8)</f>
        <v>69.8563507874721</v>
      </c>
      <c r="R8" s="26" t="n">
        <f aca="false">MIN(MAX(IFERROR(MATCH(Q8,Distribution!$A$6:$A$20,1),1),1),14)</f>
        <v>1</v>
      </c>
      <c r="S8" s="24" t="n">
        <f aca="false">1/(1+EXP(-(INDEX(Distribution!$P$6:$P$20,R8)+(LN(Q8)-INDEX(Distribution!$B$6:$B$20,R8))/(INDEX(Distribution!$B$6:$B$20,R8+1)-INDEX(Distribution!$B$6:$B$20,R8))*(INDEX(Distribution!$P$6:$P$20,R8+1)-INDEX(Distribution!$P$6:$P$20,R8)))))</f>
        <v>0.99776572703179</v>
      </c>
      <c r="T8" s="24" t="n">
        <f aca="false">W_Mkt*C8+W_Agents*O8</f>
        <v>0.9735814</v>
      </c>
      <c r="U8" s="27" t="n">
        <f aca="false">(1-W_Analyst)*T8+W_Analyst*S8</f>
        <v>0.9735814</v>
      </c>
      <c r="V8" s="24" t="n">
        <f aca="false">LN(MIN(MAX(U8,0.0001),0.9999)/(1-MIN(MAX(U8,0.0001),0.9999)))</f>
        <v>3.60691312960468</v>
      </c>
      <c r="W8" s="25" t="n">
        <v>0.9795</v>
      </c>
    </row>
    <row r="9" customFormat="false" ht="15" hidden="false" customHeight="false" outlineLevel="0" collapsed="false">
      <c r="A9" s="6" t="n">
        <v>122.78</v>
      </c>
      <c r="B9" s="24" t="n">
        <f aca="false">LN(A9)</f>
        <v>4.81039413599935</v>
      </c>
      <c r="C9" s="25" t="n">
        <v>0.9207</v>
      </c>
      <c r="D9" s="25" t="n">
        <v>0.9492</v>
      </c>
      <c r="E9" s="25" t="n">
        <v>0.966</v>
      </c>
      <c r="F9" s="25" t="n">
        <v>0.9516</v>
      </c>
      <c r="G9" s="25" t="n">
        <v>0.968</v>
      </c>
      <c r="H9" s="25" t="n">
        <v>0.9445</v>
      </c>
      <c r="I9" s="24" t="n">
        <f aca="false">AVERAGE(D9:H9)</f>
        <v>0.95586</v>
      </c>
      <c r="J9" s="25" t="n">
        <v>0.956</v>
      </c>
      <c r="K9" s="24" t="n">
        <f aca="false">IF(AND(Sup_Used=1,ISNUMBER(J9)),J9,I9)</f>
        <v>0.95586</v>
      </c>
      <c r="L9" s="24" t="n">
        <f aca="false">LN(MIN(MAX(K9,0.0001),0.9999)/(1-MIN(MAX(K9,0.0001),0.9999)))</f>
        <v>3.07524505798427</v>
      </c>
      <c r="M9" s="16" t="n">
        <f aca="false">A9*EXP(-Platt_Shift)</f>
        <v>122.78</v>
      </c>
      <c r="N9" s="26" t="n">
        <f aca="false">MIN(MAX(IFERROR(MATCH(M9,Distribution!$A$6:$A$20,1),1),1),14)</f>
        <v>4</v>
      </c>
      <c r="O9" s="24" t="n">
        <f aca="false">1/(1+EXP(-(INDEX(Distribution!$L$6:$L$20,N9)+(LN(M9)-INDEX(Distribution!$B$6:$B$20,N9))/(INDEX(Distribution!$B$6:$B$20,N9+1)-INDEX(Distribution!$B$6:$B$20,N9))*(INDEX(Distribution!$L$6:$L$20,N9+1)-INDEX(Distribution!$L$6:$L$20,N9)))))</f>
        <v>0.95586</v>
      </c>
      <c r="P9" s="24" t="n">
        <f aca="false">LN(MIN(MAX(C9,0.0001),0.9999)/(1-MIN(MAX(C9,0.0001),0.9999)))</f>
        <v>2.451896121653</v>
      </c>
      <c r="Q9" s="16" t="n">
        <f aca="false">IF(Analyst_Median&gt;0,A9*Market_Median/Analyst_Median,A9)</f>
        <v>83.8248900477504</v>
      </c>
      <c r="R9" s="26" t="n">
        <f aca="false">MIN(MAX(IFERROR(MATCH(Q9,Distribution!$A$6:$A$20,1),1),1),14)</f>
        <v>2</v>
      </c>
      <c r="S9" s="24" t="n">
        <f aca="false">1/(1+EXP(-(INDEX(Distribution!$P$6:$P$20,R9)+(LN(Q9)-INDEX(Distribution!$B$6:$B$20,R9))/(INDEX(Distribution!$B$6:$B$20,R9+1)-INDEX(Distribution!$B$6:$B$20,R9))*(INDEX(Distribution!$P$6:$P$20,R9+1)-INDEX(Distribution!$P$6:$P$20,R9)))))</f>
        <v>0.9911664560702</v>
      </c>
      <c r="T9" s="24" t="n">
        <f aca="false">W_Mkt*C9+W_Agents*O9</f>
        <v>0.9323028</v>
      </c>
      <c r="U9" s="27" t="n">
        <f aca="false">(1-W_Analyst)*T9+W_Analyst*S9</f>
        <v>0.9323028</v>
      </c>
      <c r="V9" s="24" t="n">
        <f aca="false">LN(MIN(MAX(U9,0.0001),0.9999)/(1-MIN(MAX(U9,0.0001),0.9999)))</f>
        <v>2.62261283449681</v>
      </c>
      <c r="W9" s="25" t="n">
        <v>0.9449</v>
      </c>
    </row>
    <row r="10" customFormat="false" ht="15" hidden="false" customHeight="false" outlineLevel="0" collapsed="false">
      <c r="A10" s="6" t="n">
        <v>143.25</v>
      </c>
      <c r="B10" s="24" t="n">
        <f aca="false">LN(A10)</f>
        <v>4.96459135559485</v>
      </c>
      <c r="C10" s="25" t="n">
        <v>0.8466</v>
      </c>
      <c r="D10" s="25" t="n">
        <v>0.8969</v>
      </c>
      <c r="E10" s="25" t="n">
        <v>0.9293</v>
      </c>
      <c r="F10" s="25" t="n">
        <v>0.9021</v>
      </c>
      <c r="G10" s="25" t="n">
        <v>0.9201</v>
      </c>
      <c r="H10" s="25" t="n">
        <v>0.889</v>
      </c>
      <c r="I10" s="24" t="n">
        <f aca="false">AVERAGE(D10:H10)</f>
        <v>0.90748</v>
      </c>
      <c r="J10" s="25" t="n">
        <v>0.9071</v>
      </c>
      <c r="K10" s="24" t="n">
        <f aca="false">IF(AND(Sup_Used=1,ISNUMBER(J10)),J10,I10)</f>
        <v>0.90748</v>
      </c>
      <c r="L10" s="24" t="n">
        <f aca="false">LN(MIN(MAX(K10,0.0001),0.9999)/(1-MIN(MAX(K10,0.0001),0.9999)))</f>
        <v>2.28324668996542</v>
      </c>
      <c r="M10" s="16" t="n">
        <f aca="false">A10*EXP(-Platt_Shift)</f>
        <v>143.25</v>
      </c>
      <c r="N10" s="26" t="n">
        <f aca="false">MIN(MAX(IFERROR(MATCH(M10,Distribution!$A$6:$A$20,1),1),1),14)</f>
        <v>5</v>
      </c>
      <c r="O10" s="24" t="n">
        <f aca="false">1/(1+EXP(-(INDEX(Distribution!$L$6:$L$20,N10)+(LN(M10)-INDEX(Distribution!$B$6:$B$20,N10))/(INDEX(Distribution!$B$6:$B$20,N10+1)-INDEX(Distribution!$B$6:$B$20,N10))*(INDEX(Distribution!$L$6:$L$20,N10+1)-INDEX(Distribution!$L$6:$L$20,N10)))))</f>
        <v>0.90748</v>
      </c>
      <c r="P10" s="24" t="n">
        <f aca="false">LN(MIN(MAX(C10,0.0001),0.9999)/(1-MIN(MAX(C10,0.0001),0.9999)))</f>
        <v>1.70817943915367</v>
      </c>
      <c r="Q10" s="16" t="n">
        <f aca="false">IF(Analyst_Median&gt;0,A10*Market_Median/Analyst_Median,A10)</f>
        <v>97.800256551069</v>
      </c>
      <c r="R10" s="26" t="n">
        <f aca="false">MIN(MAX(IFERROR(MATCH(Q10,Distribution!$A$6:$A$20,1),1),1),14)</f>
        <v>2</v>
      </c>
      <c r="S10" s="24" t="n">
        <f aca="false">1/(1+EXP(-(INDEX(Distribution!$P$6:$P$20,R10)+(LN(Q10)-INDEX(Distribution!$B$6:$B$20,R10))/(INDEX(Distribution!$B$6:$B$20,R10+1)-INDEX(Distribution!$B$6:$B$20,R10))*(INDEX(Distribution!$P$6:$P$20,R10+1)-INDEX(Distribution!$P$6:$P$20,R10)))))</f>
        <v>0.976671145577264</v>
      </c>
      <c r="T10" s="24" t="n">
        <f aca="false">W_Mkt*C10+W_Agents*O10</f>
        <v>0.8666904</v>
      </c>
      <c r="U10" s="27" t="n">
        <f aca="false">(1-W_Analyst)*T10+W_Analyst*S10</f>
        <v>0.8666904</v>
      </c>
      <c r="V10" s="24" t="n">
        <f aca="false">LN(MIN(MAX(U10,0.0001),0.9999)/(1-MIN(MAX(U10,0.0001),0.9999)))</f>
        <v>1.8720075769859</v>
      </c>
      <c r="W10" s="25" t="n">
        <v>0.8888</v>
      </c>
    </row>
    <row r="11" customFormat="false" ht="15" hidden="false" customHeight="false" outlineLevel="0" collapsed="false">
      <c r="A11" s="6" t="n">
        <v>163.71</v>
      </c>
      <c r="B11" s="24" t="n">
        <f aca="false">LN(A11)</f>
        <v>5.09809656986625</v>
      </c>
      <c r="C11" s="25" t="n">
        <v>0.7537</v>
      </c>
      <c r="D11" s="25" t="n">
        <v>0.8375</v>
      </c>
      <c r="E11" s="25" t="n">
        <v>0.8753</v>
      </c>
      <c r="F11" s="25" t="n">
        <v>0.847</v>
      </c>
      <c r="G11" s="25" t="n">
        <v>0.8626</v>
      </c>
      <c r="H11" s="25" t="n">
        <v>0.833</v>
      </c>
      <c r="I11" s="24" t="n">
        <f aca="false">AVERAGE(D11:H11)</f>
        <v>0.85108</v>
      </c>
      <c r="J11" s="25" t="n">
        <v>0.8512</v>
      </c>
      <c r="K11" s="24" t="n">
        <f aca="false">IF(AND(Sup_Used=1,ISNUMBER(J11)),J11,I11)</f>
        <v>0.85108</v>
      </c>
      <c r="L11" s="24" t="n">
        <f aca="false">LN(MIN(MAX(K11,0.0001),0.9999)/(1-MIN(MAX(K11,0.0001),0.9999)))</f>
        <v>1.743096882201</v>
      </c>
      <c r="M11" s="16" t="n">
        <f aca="false">A11*EXP(-Platt_Shift)</f>
        <v>163.71</v>
      </c>
      <c r="N11" s="26" t="n">
        <f aca="false">MIN(MAX(IFERROR(MATCH(M11,Distribution!$A$6:$A$20,1),1),1),14)</f>
        <v>6</v>
      </c>
      <c r="O11" s="24" t="n">
        <f aca="false">1/(1+EXP(-(INDEX(Distribution!$L$6:$L$20,N11)+(LN(M11)-INDEX(Distribution!$B$6:$B$20,N11))/(INDEX(Distribution!$B$6:$B$20,N11+1)-INDEX(Distribution!$B$6:$B$20,N11))*(INDEX(Distribution!$L$6:$L$20,N11+1)-INDEX(Distribution!$L$6:$L$20,N11)))))</f>
        <v>0.85108</v>
      </c>
      <c r="P11" s="24" t="n">
        <f aca="false">LN(MIN(MAX(C11,0.0001),0.9999)/(1-MIN(MAX(C11,0.0001),0.9999)))</f>
        <v>1.11844410572293</v>
      </c>
      <c r="Q11" s="16" t="n">
        <f aca="false">IF(Analyst_Median&gt;0,A11*Market_Median/Analyst_Median,A11)</f>
        <v>111.768795811347</v>
      </c>
      <c r="R11" s="26" t="n">
        <f aca="false">MIN(MAX(IFERROR(MATCH(Q11,Distribution!$A$6:$A$20,1),1),1),14)</f>
        <v>3</v>
      </c>
      <c r="S11" s="24" t="n">
        <f aca="false">1/(1+EXP(-(INDEX(Distribution!$P$6:$P$20,R11)+(LN(Q11)-INDEX(Distribution!$B$6:$B$20,R11))/(INDEX(Distribution!$B$6:$B$20,R11+1)-INDEX(Distribution!$B$6:$B$20,R11))*(INDEX(Distribution!$P$6:$P$20,R11+1)-INDEX(Distribution!$P$6:$P$20,R11)))))</f>
        <v>0.950926215637194</v>
      </c>
      <c r="T11" s="24" t="n">
        <f aca="false">W_Mkt*C11+W_Agents*O11</f>
        <v>0.7858354</v>
      </c>
      <c r="U11" s="27" t="n">
        <f aca="false">(1-W_Analyst)*T11+W_Analyst*S11</f>
        <v>0.7858354</v>
      </c>
      <c r="V11" s="24" t="n">
        <f aca="false">LN(MIN(MAX(U11,0.0001),0.9999)/(1-MIN(MAX(U11,0.0001),0.9999)))</f>
        <v>1.30000247749135</v>
      </c>
      <c r="W11" s="25" t="n">
        <v>0.8141</v>
      </c>
    </row>
    <row r="12" customFormat="false" ht="15" hidden="false" customHeight="false" outlineLevel="0" collapsed="false">
      <c r="A12" s="6" t="n">
        <v>184.18</v>
      </c>
      <c r="B12" s="24" t="n">
        <f aca="false">LN(A12)</f>
        <v>5.21591354029322</v>
      </c>
      <c r="C12" s="25" t="n">
        <v>0.6517</v>
      </c>
      <c r="D12" s="25" t="n">
        <v>0.7777</v>
      </c>
      <c r="E12" s="25" t="n">
        <v>0.8163</v>
      </c>
      <c r="F12" s="25" t="n">
        <v>0.7915</v>
      </c>
      <c r="G12" s="25" t="n">
        <v>0.8031</v>
      </c>
      <c r="H12" s="25" t="n">
        <v>0.7803</v>
      </c>
      <c r="I12" s="24" t="n">
        <f aca="false">AVERAGE(D12:H12)</f>
        <v>0.79378</v>
      </c>
      <c r="J12" s="25" t="n">
        <v>0.7941</v>
      </c>
      <c r="K12" s="24" t="n">
        <f aca="false">IF(AND(Sup_Used=1,ISNUMBER(J12)),J12,I12)</f>
        <v>0.79378</v>
      </c>
      <c r="L12" s="24" t="n">
        <f aca="false">LN(MIN(MAX(K12,0.0001),0.9999)/(1-MIN(MAX(K12,0.0001),0.9999)))</f>
        <v>1.34786278467847</v>
      </c>
      <c r="M12" s="16" t="n">
        <f aca="false">A12*EXP(-Platt_Shift)</f>
        <v>184.18</v>
      </c>
      <c r="N12" s="26" t="n">
        <f aca="false">MIN(MAX(IFERROR(MATCH(M12,Distribution!$A$6:$A$20,1),1),1),14)</f>
        <v>7</v>
      </c>
      <c r="O12" s="24" t="n">
        <f aca="false">1/(1+EXP(-(INDEX(Distribution!$L$6:$L$20,N12)+(LN(M12)-INDEX(Distribution!$B$6:$B$20,N12))/(INDEX(Distribution!$B$6:$B$20,N12+1)-INDEX(Distribution!$B$6:$B$20,N12))*(INDEX(Distribution!$L$6:$L$20,N12+1)-INDEX(Distribution!$L$6:$L$20,N12)))))</f>
        <v>0.79378</v>
      </c>
      <c r="P12" s="24" t="n">
        <f aca="false">LN(MIN(MAX(C12,0.0001),0.9999)/(1-MIN(MAX(C12,0.0001),0.9999)))</f>
        <v>0.626520155966379</v>
      </c>
      <c r="Q12" s="16" t="n">
        <f aca="false">IF(Analyst_Median&gt;0,A12*Market_Median/Analyst_Median,A12)</f>
        <v>125.744162314666</v>
      </c>
      <c r="R12" s="26" t="n">
        <f aca="false">MIN(MAX(IFERROR(MATCH(Q12,Distribution!$A$6:$A$20,1),1),1),14)</f>
        <v>4</v>
      </c>
      <c r="S12" s="24" t="n">
        <f aca="false">1/(1+EXP(-(INDEX(Distribution!$P$6:$P$20,R12)+(LN(Q12)-INDEX(Distribution!$B$6:$B$20,R12))/(INDEX(Distribution!$B$6:$B$20,R12+1)-INDEX(Distribution!$B$6:$B$20,R12))*(INDEX(Distribution!$P$6:$P$20,R12+1)-INDEX(Distribution!$P$6:$P$20,R12)))))</f>
        <v>0.911882389802981</v>
      </c>
      <c r="T12" s="24" t="n">
        <f aca="false">W_Mkt*C12+W_Agents*O12</f>
        <v>0.6985864</v>
      </c>
      <c r="U12" s="27" t="n">
        <f aca="false">(1-W_Analyst)*T12+W_Analyst*S12</f>
        <v>0.6985864</v>
      </c>
      <c r="V12" s="24" t="n">
        <f aca="false">LN(MIN(MAX(U12,0.0001),0.9999)/(1-MIN(MAX(U12,0.0001),0.9999)))</f>
        <v>0.840575456741951</v>
      </c>
      <c r="W12" s="25" t="n">
        <v>0.7274</v>
      </c>
    </row>
    <row r="13" customFormat="false" ht="15" hidden="false" customHeight="false" outlineLevel="0" collapsed="false">
      <c r="A13" s="6" t="n">
        <v>204.64</v>
      </c>
      <c r="B13" s="24" t="n">
        <f aca="false">LN(A13)</f>
        <v>5.32125233783053</v>
      </c>
      <c r="C13" s="25" t="n">
        <v>0.5497</v>
      </c>
      <c r="D13" s="25" t="n">
        <v>0.7127</v>
      </c>
      <c r="E13" s="25" t="n">
        <v>0.7505</v>
      </c>
      <c r="F13" s="25" t="n">
        <v>0.7279</v>
      </c>
      <c r="G13" s="25" t="n">
        <v>0.7386</v>
      </c>
      <c r="H13" s="25" t="n">
        <v>0.7227</v>
      </c>
      <c r="I13" s="24" t="n">
        <f aca="false">AVERAGE(D13:H13)</f>
        <v>0.73048</v>
      </c>
      <c r="J13" s="25" t="n">
        <v>0.7305</v>
      </c>
      <c r="K13" s="24" t="n">
        <f aca="false">IF(AND(Sup_Used=1,ISNUMBER(J13)),J13,I13)</f>
        <v>0.73048</v>
      </c>
      <c r="L13" s="24" t="n">
        <f aca="false">LN(MIN(MAX(K13,0.0001),0.9999)/(1-MIN(MAX(K13,0.0001),0.9999)))</f>
        <v>0.997059253209787</v>
      </c>
      <c r="M13" s="16" t="n">
        <f aca="false">A13*EXP(-Platt_Shift)</f>
        <v>204.64</v>
      </c>
      <c r="N13" s="26" t="n">
        <f aca="false">MIN(MAX(IFERROR(MATCH(M13,Distribution!$A$6:$A$20,1),1),1),14)</f>
        <v>8</v>
      </c>
      <c r="O13" s="24" t="n">
        <f aca="false">1/(1+EXP(-(INDEX(Distribution!$L$6:$L$20,N13)+(LN(M13)-INDEX(Distribution!$B$6:$B$20,N13))/(INDEX(Distribution!$B$6:$B$20,N13+1)-INDEX(Distribution!$B$6:$B$20,N13))*(INDEX(Distribution!$L$6:$L$20,N13+1)-INDEX(Distribution!$L$6:$L$20,N13)))))</f>
        <v>0.73048</v>
      </c>
      <c r="P13" s="24" t="n">
        <f aca="false">LN(MIN(MAX(C13,0.0001),0.9999)/(1-MIN(MAX(C13,0.0001),0.9999)))</f>
        <v>0.199458647559089</v>
      </c>
      <c r="Q13" s="16" t="n">
        <f aca="false">IF(Analyst_Median&gt;0,A13*Market_Median/Analyst_Median,A13)</f>
        <v>139.712701574944</v>
      </c>
      <c r="R13" s="26" t="n">
        <f aca="false">MIN(MAX(IFERROR(MATCH(Q13,Distribution!$A$6:$A$20,1),1),1),14)</f>
        <v>4</v>
      </c>
      <c r="S13" s="24" t="n">
        <f aca="false">1/(1+EXP(-(INDEX(Distribution!$P$6:$P$20,R13)+(LN(Q13)-INDEX(Distribution!$B$6:$B$20,R13))/(INDEX(Distribution!$B$6:$B$20,R13+1)-INDEX(Distribution!$B$6:$B$20,R13))*(INDEX(Distribution!$P$6:$P$20,R13+1)-INDEX(Distribution!$P$6:$P$20,R13)))))</f>
        <v>0.861615557178401</v>
      </c>
      <c r="T13" s="24" t="n">
        <f aca="false">W_Mkt*C13+W_Agents*O13</f>
        <v>0.6093574</v>
      </c>
      <c r="U13" s="27" t="n">
        <f aca="false">(1-W_Analyst)*T13+W_Analyst*S13</f>
        <v>0.6093574</v>
      </c>
      <c r="V13" s="24" t="n">
        <f aca="false">LN(MIN(MAX(U13,0.0001),0.9999)/(1-MIN(MAX(U13,0.0001),0.9999)))</f>
        <v>0.44461188380806</v>
      </c>
      <c r="W13" s="25" t="n">
        <v>0.6359</v>
      </c>
    </row>
    <row r="14" customFormat="false" ht="15" hidden="false" customHeight="false" outlineLevel="0" collapsed="false">
      <c r="A14" s="6" t="n">
        <v>225.1</v>
      </c>
      <c r="B14" s="24" t="n">
        <f aca="false">LN(A14)</f>
        <v>5.41654474791269</v>
      </c>
      <c r="C14" s="25" t="n">
        <v>0.4543</v>
      </c>
      <c r="D14" s="25" t="n">
        <v>0.6392</v>
      </c>
      <c r="E14" s="25" t="n">
        <v>0.6727</v>
      </c>
      <c r="F14" s="25" t="n">
        <v>0.645</v>
      </c>
      <c r="G14" s="25" t="n">
        <v>0.6645</v>
      </c>
      <c r="H14" s="25" t="n">
        <v>0.6538</v>
      </c>
      <c r="I14" s="24" t="n">
        <f aca="false">AVERAGE(D14:H14)</f>
        <v>0.65504</v>
      </c>
      <c r="J14" s="25" t="n">
        <v>0.6549</v>
      </c>
      <c r="K14" s="24" t="n">
        <f aca="false">IF(AND(Sup_Used=1,ISNUMBER(J14)),J14,I14)</f>
        <v>0.65504</v>
      </c>
      <c r="L14" s="24" t="n">
        <f aca="false">LN(MIN(MAX(K14,0.0001),0.9999)/(1-MIN(MAX(K14,0.0001),0.9999)))</f>
        <v>0.641267834192347</v>
      </c>
      <c r="M14" s="16" t="n">
        <f aca="false">A14*EXP(-Platt_Shift)</f>
        <v>225.1</v>
      </c>
      <c r="N14" s="26" t="n">
        <f aca="false">MIN(MAX(IFERROR(MATCH(M14,Distribution!$A$6:$A$20,1),1),1),14)</f>
        <v>9</v>
      </c>
      <c r="O14" s="24" t="n">
        <f aca="false">1/(1+EXP(-(INDEX(Distribution!$L$6:$L$20,N14)+(LN(M14)-INDEX(Distribution!$B$6:$B$20,N14))/(INDEX(Distribution!$B$6:$B$20,N14+1)-INDEX(Distribution!$B$6:$B$20,N14))*(INDEX(Distribution!$L$6:$L$20,N14+1)-INDEX(Distribution!$L$6:$L$20,N14)))))</f>
        <v>0.65504</v>
      </c>
      <c r="P14" s="24" t="n">
        <f aca="false">LN(MIN(MAX(C14,0.0001),0.9999)/(1-MIN(MAX(C14,0.0001),0.9999)))</f>
        <v>-0.183311601426829</v>
      </c>
      <c r="Q14" s="16" t="n">
        <f aca="false">IF(Analyst_Median&gt;0,A14*Market_Median/Analyst_Median,A14)</f>
        <v>153.681240835223</v>
      </c>
      <c r="R14" s="26" t="n">
        <f aca="false">MIN(MAX(IFERROR(MATCH(Q14,Distribution!$A$6:$A$20,1),1),1),14)</f>
        <v>5</v>
      </c>
      <c r="S14" s="24" t="n">
        <f aca="false">1/(1+EXP(-(INDEX(Distribution!$P$6:$P$20,R14)+(LN(Q14)-INDEX(Distribution!$B$6:$B$20,R14))/(INDEX(Distribution!$B$6:$B$20,R14+1)-INDEX(Distribution!$B$6:$B$20,R14))*(INDEX(Distribution!$P$6:$P$20,R14+1)-INDEX(Distribution!$P$6:$P$20,R14)))))</f>
        <v>0.801816966399147</v>
      </c>
      <c r="T14" s="24" t="n">
        <f aca="false">W_Mkt*C14+W_Agents*O14</f>
        <v>0.5205442</v>
      </c>
      <c r="U14" s="27" t="n">
        <f aca="false">(1-W_Analyst)*T14+W_Analyst*S14</f>
        <v>0.5205442</v>
      </c>
      <c r="V14" s="24" t="n">
        <f aca="false">LN(MIN(MAX(U14,0.0001),0.9999)/(1-MIN(MAX(U14,0.0001),0.9999)))</f>
        <v>0.0822230920761855</v>
      </c>
      <c r="W14" s="25" t="n">
        <v>0.5457</v>
      </c>
    </row>
    <row r="15" customFormat="false" ht="15" hidden="false" customHeight="false" outlineLevel="0" collapsed="false">
      <c r="A15" s="6" t="n">
        <v>245.57</v>
      </c>
      <c r="B15" s="24" t="n">
        <f aca="false">LN(A15)</f>
        <v>5.50358203897496</v>
      </c>
      <c r="C15" s="25" t="n">
        <v>0.3694</v>
      </c>
      <c r="D15" s="25" t="n">
        <v>0.5569</v>
      </c>
      <c r="E15" s="25" t="n">
        <v>0.583</v>
      </c>
      <c r="F15" s="25" t="n">
        <v>0.5463</v>
      </c>
      <c r="G15" s="25" t="n">
        <v>0.5794</v>
      </c>
      <c r="H15" s="25" t="n">
        <v>0.5724</v>
      </c>
      <c r="I15" s="24" t="n">
        <f aca="false">AVERAGE(D15:H15)</f>
        <v>0.5676</v>
      </c>
      <c r="J15" s="25" t="n">
        <v>0.5675</v>
      </c>
      <c r="K15" s="24" t="n">
        <f aca="false">IF(AND(Sup_Used=1,ISNUMBER(J15)),J15,I15)</f>
        <v>0.5676</v>
      </c>
      <c r="L15" s="24" t="n">
        <f aca="false">LN(MIN(MAX(K15,0.0001),0.9999)/(1-MIN(MAX(K15,0.0001),0.9999)))</f>
        <v>0.272065859520834</v>
      </c>
      <c r="M15" s="16" t="n">
        <f aca="false">A15*EXP(-Platt_Shift)</f>
        <v>245.57</v>
      </c>
      <c r="N15" s="26" t="n">
        <f aca="false">MIN(MAX(IFERROR(MATCH(M15,Distribution!$A$6:$A$20,1),1),1),14)</f>
        <v>10</v>
      </c>
      <c r="O15" s="24" t="n">
        <f aca="false">1/(1+EXP(-(INDEX(Distribution!$L$6:$L$20,N15)+(LN(M15)-INDEX(Distribution!$B$6:$B$20,N15))/(INDEX(Distribution!$B$6:$B$20,N15+1)-INDEX(Distribution!$B$6:$B$20,N15))*(INDEX(Distribution!$L$6:$L$20,N15+1)-INDEX(Distribution!$L$6:$L$20,N15)))))</f>
        <v>0.5676</v>
      </c>
      <c r="P15" s="24" t="n">
        <f aca="false">LN(MIN(MAX(C15,0.0001),0.9999)/(1-MIN(MAX(C15,0.0001),0.9999)))</f>
        <v>-0.534791679345821</v>
      </c>
      <c r="Q15" s="16" t="n">
        <f aca="false">IF(Analyst_Median&gt;0,A15*Market_Median/Analyst_Median,A15)</f>
        <v>167.656607338541</v>
      </c>
      <c r="R15" s="26" t="n">
        <f aca="false">MIN(MAX(IFERROR(MATCH(Q15,Distribution!$A$6:$A$20,1),1),1),14)</f>
        <v>6</v>
      </c>
      <c r="S15" s="24" t="n">
        <f aca="false">1/(1+EXP(-(INDEX(Distribution!$P$6:$P$20,R15)+(LN(Q15)-INDEX(Distribution!$B$6:$B$20,R15))/(INDEX(Distribution!$B$6:$B$20,R15+1)-INDEX(Distribution!$B$6:$B$20,R15))*(INDEX(Distribution!$P$6:$P$20,R15+1)-INDEX(Distribution!$P$6:$P$20,R15)))))</f>
        <v>0.734774339377383</v>
      </c>
      <c r="T15" s="24" t="n">
        <f aca="false">W_Mkt*C15+W_Agents*O15</f>
        <v>0.434806</v>
      </c>
      <c r="U15" s="27" t="n">
        <f aca="false">(1-W_Analyst)*T15+W_Analyst*S15</f>
        <v>0.434806</v>
      </c>
      <c r="V15" s="24" t="n">
        <f aca="false">LN(MIN(MAX(U15,0.0001),0.9999)/(1-MIN(MAX(U15,0.0001),0.9999)))</f>
        <v>-0.262269080442908</v>
      </c>
      <c r="W15" s="25" t="n">
        <v>0.4611</v>
      </c>
    </row>
    <row r="16" customFormat="false" ht="15" hidden="false" customHeight="false" outlineLevel="0" collapsed="false">
      <c r="A16" s="6" t="n">
        <v>276.26</v>
      </c>
      <c r="B16" s="24" t="n">
        <f aca="false">LN(A16)</f>
        <v>5.62134245127181</v>
      </c>
      <c r="C16" s="25" t="n">
        <v>0.2644</v>
      </c>
      <c r="D16" s="25" t="n">
        <v>0.4269</v>
      </c>
      <c r="E16" s="25" t="n">
        <v>0.4416</v>
      </c>
      <c r="F16" s="25" t="n">
        <v>0.395</v>
      </c>
      <c r="G16" s="25" t="n">
        <v>0.4419</v>
      </c>
      <c r="H16" s="25" t="n">
        <v>0.4355</v>
      </c>
      <c r="I16" s="24" t="n">
        <f aca="false">AVERAGE(D16:H16)</f>
        <v>0.42818</v>
      </c>
      <c r="J16" s="25" t="n">
        <v>0.4281</v>
      </c>
      <c r="K16" s="24" t="n">
        <f aca="false">IF(AND(Sup_Used=1,ISNUMBER(J16)),J16,I16)</f>
        <v>0.42818</v>
      </c>
      <c r="L16" s="24" t="n">
        <f aca="false">LN(MIN(MAX(K16,0.0001),0.9999)/(1-MIN(MAX(K16,0.0001),0.9999)))</f>
        <v>-0.289280588622723</v>
      </c>
      <c r="M16" s="16" t="n">
        <f aca="false">A16*EXP(-Platt_Shift)</f>
        <v>276.26</v>
      </c>
      <c r="N16" s="26" t="n">
        <f aca="false">MIN(MAX(IFERROR(MATCH(M16,Distribution!$A$6:$A$20,1),1),1),14)</f>
        <v>11</v>
      </c>
      <c r="O16" s="24" t="n">
        <f aca="false">1/(1+EXP(-(INDEX(Distribution!$L$6:$L$20,N16)+(LN(M16)-INDEX(Distribution!$B$6:$B$20,N16))/(INDEX(Distribution!$B$6:$B$20,N16+1)-INDEX(Distribution!$B$6:$B$20,N16))*(INDEX(Distribution!$L$6:$L$20,N16+1)-INDEX(Distribution!$L$6:$L$20,N16)))))</f>
        <v>0.42818</v>
      </c>
      <c r="P16" s="24" t="n">
        <f aca="false">LN(MIN(MAX(C16,0.0001),0.9999)/(1-MIN(MAX(C16,0.0001),0.9999)))</f>
        <v>-1.02322338475263</v>
      </c>
      <c r="Q16" s="16" t="n">
        <f aca="false">IF(Analyst_Median&gt;0,A16*Market_Median/Analyst_Median,A16)</f>
        <v>188.609416228959</v>
      </c>
      <c r="R16" s="26" t="n">
        <f aca="false">MIN(MAX(IFERROR(MATCH(Q16,Distribution!$A$6:$A$20,1),1),1),14)</f>
        <v>7</v>
      </c>
      <c r="S16" s="24" t="n">
        <f aca="false">1/(1+EXP(-(INDEX(Distribution!$P$6:$P$20,R16)+(LN(Q16)-INDEX(Distribution!$B$6:$B$20,R16))/(INDEX(Distribution!$B$6:$B$20,R16+1)-INDEX(Distribution!$B$6:$B$20,R16))*(INDEX(Distribution!$P$6:$P$20,R16+1)-INDEX(Distribution!$P$6:$P$20,R16)))))</f>
        <v>0.629523640266614</v>
      </c>
      <c r="T16" s="24" t="n">
        <f aca="false">W_Mkt*C16+W_Agents*O16</f>
        <v>0.3184474</v>
      </c>
      <c r="U16" s="27" t="n">
        <f aca="false">(1-W_Analyst)*T16+W_Analyst*S16</f>
        <v>0.3184474</v>
      </c>
      <c r="V16" s="24" t="n">
        <f aca="false">LN(MIN(MAX(U16,0.0001),0.9999)/(1-MIN(MAX(U16,0.0001),0.9999)))</f>
        <v>-0.76091611860639</v>
      </c>
      <c r="W16" s="25" t="n">
        <v>0.3478</v>
      </c>
    </row>
    <row r="17" customFormat="false" ht="15" hidden="false" customHeight="false" outlineLevel="0" collapsed="false">
      <c r="A17" s="6" t="n">
        <v>306.96</v>
      </c>
      <c r="B17" s="24" t="n">
        <f aca="false">LN(A17)</f>
        <v>5.7267174459387</v>
      </c>
      <c r="C17" s="25" t="n">
        <v>0.1855</v>
      </c>
      <c r="D17" s="25" t="n">
        <v>0.3139</v>
      </c>
      <c r="E17" s="25" t="n">
        <v>0.3162</v>
      </c>
      <c r="F17" s="25" t="n">
        <v>0.2714</v>
      </c>
      <c r="G17" s="25" t="n">
        <v>0.3201</v>
      </c>
      <c r="H17" s="25" t="n">
        <v>0.3029</v>
      </c>
      <c r="I17" s="24" t="n">
        <f aca="false">AVERAGE(D17:H17)</f>
        <v>0.3049</v>
      </c>
      <c r="J17" s="25" t="n">
        <v>0.3051</v>
      </c>
      <c r="K17" s="24" t="n">
        <f aca="false">IF(AND(Sup_Used=1,ISNUMBER(J17)),J17,I17)</f>
        <v>0.3049</v>
      </c>
      <c r="L17" s="24" t="n">
        <f aca="false">LN(MIN(MAX(K17,0.0001),0.9999)/(1-MIN(MAX(K17,0.0001),0.9999)))</f>
        <v>-0.824071866112231</v>
      </c>
      <c r="M17" s="16" t="n">
        <f aca="false">A17*EXP(-Platt_Shift)</f>
        <v>306.96</v>
      </c>
      <c r="N17" s="26" t="n">
        <f aca="false">MIN(MAX(IFERROR(MATCH(M17,Distribution!$A$6:$A$20,1),1),1),14)</f>
        <v>12</v>
      </c>
      <c r="O17" s="24" t="n">
        <f aca="false">1/(1+EXP(-(INDEX(Distribution!$L$6:$L$20,N17)+(LN(M17)-INDEX(Distribution!$B$6:$B$20,N17))/(INDEX(Distribution!$B$6:$B$20,N17+1)-INDEX(Distribution!$B$6:$B$20,N17))*(INDEX(Distribution!$L$6:$L$20,N17+1)-INDEX(Distribution!$L$6:$L$20,N17)))))</f>
        <v>0.3049</v>
      </c>
      <c r="P17" s="24" t="n">
        <f aca="false">LN(MIN(MAX(C17,0.0001),0.9999)/(1-MIN(MAX(C17,0.0001),0.9999)))</f>
        <v>-1.47951954599461</v>
      </c>
      <c r="Q17" s="16" t="n">
        <f aca="false">IF(Analyst_Median&gt;0,A17*Market_Median/Analyst_Median,A17)</f>
        <v>209.569052362416</v>
      </c>
      <c r="R17" s="26" t="n">
        <f aca="false">MIN(MAX(IFERROR(MATCH(Q17,Distribution!$A$6:$A$20,1),1),1),14)</f>
        <v>8</v>
      </c>
      <c r="S17" s="24" t="n">
        <f aca="false">1/(1+EXP(-(INDEX(Distribution!$P$6:$P$20,R17)+(LN(Q17)-INDEX(Distribution!$B$6:$B$20,R17))/(INDEX(Distribution!$B$6:$B$20,R17+1)-INDEX(Distribution!$B$6:$B$20,R17))*(INDEX(Distribution!$P$6:$P$20,R17+1)-INDEX(Distribution!$P$6:$P$20,R17)))))</f>
        <v>0.525940452409871</v>
      </c>
      <c r="T17" s="24" t="n">
        <f aca="false">W_Mkt*C17+W_Agents*O17</f>
        <v>0.224902</v>
      </c>
      <c r="U17" s="27" t="n">
        <f aca="false">(1-W_Analyst)*T17+W_Analyst*S17</f>
        <v>0.224902</v>
      </c>
      <c r="V17" s="24" t="n">
        <f aca="false">LN(MIN(MAX(U17,0.0001),0.9999)/(1-MIN(MAX(U17,0.0001),0.9999)))</f>
        <v>-1.23732472120493</v>
      </c>
      <c r="W17" s="25" t="n">
        <v>0.2466</v>
      </c>
    </row>
    <row r="18" customFormat="false" ht="15" hidden="false" customHeight="false" outlineLevel="0" collapsed="false">
      <c r="A18" s="6" t="n">
        <v>358.12</v>
      </c>
      <c r="B18" s="24" t="n">
        <f aca="false">LN(A18)</f>
        <v>5.88086812576596</v>
      </c>
      <c r="C18" s="25" t="n">
        <v>0.0998</v>
      </c>
      <c r="D18" s="25" t="n">
        <v>0.1801</v>
      </c>
      <c r="E18" s="25" t="n">
        <v>0.1712</v>
      </c>
      <c r="F18" s="25" t="n">
        <v>0.1354</v>
      </c>
      <c r="G18" s="25" t="n">
        <v>0.1801</v>
      </c>
      <c r="H18" s="25" t="n">
        <v>0.1405</v>
      </c>
      <c r="I18" s="24" t="n">
        <f aca="false">AVERAGE(D18:H18)</f>
        <v>0.16146</v>
      </c>
      <c r="J18" s="25" t="n">
        <v>0.1619</v>
      </c>
      <c r="K18" s="24" t="n">
        <f aca="false">IF(AND(Sup_Used=1,ISNUMBER(J18)),J18,I18)</f>
        <v>0.16146</v>
      </c>
      <c r="L18" s="24" t="n">
        <f aca="false">LN(MIN(MAX(K18,0.0001),0.9999)/(1-MIN(MAX(K18,0.0001),0.9999)))</f>
        <v>-1.64740485039233</v>
      </c>
      <c r="M18" s="16" t="n">
        <f aca="false">A18*EXP(-Platt_Shift)</f>
        <v>358.12</v>
      </c>
      <c r="N18" s="26" t="n">
        <f aca="false">MIN(MAX(IFERROR(MATCH(M18,Distribution!$A$6:$A$20,1),1),1),14)</f>
        <v>13</v>
      </c>
      <c r="O18" s="24" t="n">
        <f aca="false">1/(1+EXP(-(INDEX(Distribution!$L$6:$L$20,N18)+(LN(M18)-INDEX(Distribution!$B$6:$B$20,N18))/(INDEX(Distribution!$B$6:$B$20,N18+1)-INDEX(Distribution!$B$6:$B$20,N18))*(INDEX(Distribution!$L$6:$L$20,N18+1)-INDEX(Distribution!$L$6:$L$20,N18)))))</f>
        <v>0.16146</v>
      </c>
      <c r="P18" s="24" t="n">
        <f aca="false">LN(MIN(MAX(C18,0.0001),0.9999)/(1-MIN(MAX(C18,0.0001),0.9999)))</f>
        <v>-2.19944877754141</v>
      </c>
      <c r="Q18" s="16" t="n">
        <f aca="false">IF(Analyst_Median&gt;0,A18*Market_Median/Analyst_Median,A18)</f>
        <v>244.497227756152</v>
      </c>
      <c r="R18" s="26" t="n">
        <f aca="false">MIN(MAX(IFERROR(MATCH(Q18,Distribution!$A$6:$A$20,1),1),1),14)</f>
        <v>9</v>
      </c>
      <c r="S18" s="24" t="n">
        <f aca="false">1/(1+EXP(-(INDEX(Distribution!$P$6:$P$20,R18)+(LN(Q18)-INDEX(Distribution!$B$6:$B$20,R18))/(INDEX(Distribution!$B$6:$B$20,R18+1)-INDEX(Distribution!$B$6:$B$20,R18))*(INDEX(Distribution!$P$6:$P$20,R18+1)-INDEX(Distribution!$P$6:$P$20,R18)))))</f>
        <v>0.373527825817895</v>
      </c>
      <c r="T18" s="24" t="n">
        <f aca="false">W_Mkt*C18+W_Agents*O18</f>
        <v>0.1201478</v>
      </c>
      <c r="U18" s="27" t="n">
        <f aca="false">(1-W_Analyst)*T18+W_Analyst*S18</f>
        <v>0.1201478</v>
      </c>
      <c r="V18" s="24" t="n">
        <f aca="false">LN(MIN(MAX(U18,0.0001),0.9999)/(1-MIN(MAX(U18,0.0001),0.9999)))</f>
        <v>-1.99103128725129</v>
      </c>
      <c r="W18" s="25" t="n">
        <v>0.1281</v>
      </c>
    </row>
    <row r="19" customFormat="false" ht="15" hidden="false" customHeight="false" outlineLevel="0" collapsed="false">
      <c r="A19" s="6" t="n">
        <v>409.28</v>
      </c>
      <c r="B19" s="24" t="n">
        <f aca="false">LN(A19)</f>
        <v>6.01439951839048</v>
      </c>
      <c r="C19" s="25" t="n">
        <v>0.0528</v>
      </c>
      <c r="D19" s="25" t="n">
        <v>0.0983</v>
      </c>
      <c r="E19" s="25" t="n">
        <v>0.091</v>
      </c>
      <c r="F19" s="25" t="n">
        <v>0.063</v>
      </c>
      <c r="G19" s="25" t="n">
        <v>0.0983</v>
      </c>
      <c r="H19" s="25" t="n">
        <v>0.0543</v>
      </c>
      <c r="I19" s="24" t="n">
        <f aca="false">AVERAGE(D19:H19)</f>
        <v>0.08098</v>
      </c>
      <c r="J19" s="25" t="n">
        <v>0.0809</v>
      </c>
      <c r="K19" s="24" t="n">
        <f aca="false">IF(AND(Sup_Used=1,ISNUMBER(J19)),J19,I19)</f>
        <v>0.08098</v>
      </c>
      <c r="L19" s="24" t="n">
        <f aca="false">LN(MIN(MAX(K19,0.0001),0.9999)/(1-MIN(MAX(K19,0.0001),0.9999)))</f>
        <v>-2.4291056743005</v>
      </c>
      <c r="M19" s="16" t="n">
        <f aca="false">A19*EXP(-Platt_Shift)</f>
        <v>409.28</v>
      </c>
      <c r="N19" s="26" t="n">
        <f aca="false">MIN(MAX(IFERROR(MATCH(M19,Distribution!$A$6:$A$20,1),1),1),14)</f>
        <v>14</v>
      </c>
      <c r="O19" s="24" t="n">
        <f aca="false">1/(1+EXP(-(INDEX(Distribution!$L$6:$L$20,N19)+(LN(M19)-INDEX(Distribution!$B$6:$B$20,N19))/(INDEX(Distribution!$B$6:$B$20,N19+1)-INDEX(Distribution!$B$6:$B$20,N19))*(INDEX(Distribution!$L$6:$L$20,N19+1)-INDEX(Distribution!$L$6:$L$20,N19)))))</f>
        <v>0.08098</v>
      </c>
      <c r="P19" s="24" t="n">
        <f aca="false">LN(MIN(MAX(C19,0.0001),0.9999)/(1-MIN(MAX(C19,0.0001),0.9999)))</f>
        <v>-2.88699907341753</v>
      </c>
      <c r="Q19" s="16" t="n">
        <f aca="false">IF(Analyst_Median&gt;0,A19*Market_Median/Analyst_Median,A19)</f>
        <v>279.425403149888</v>
      </c>
      <c r="R19" s="26" t="n">
        <f aca="false">MIN(MAX(IFERROR(MATCH(Q19,Distribution!$A$6:$A$20,1),1),1),14)</f>
        <v>11</v>
      </c>
      <c r="S19" s="24" t="n">
        <f aca="false">1/(1+EXP(-(INDEX(Distribution!$P$6:$P$20,R19)+(LN(Q19)-INDEX(Distribution!$B$6:$B$20,R19))/(INDEX(Distribution!$B$6:$B$20,R19+1)-INDEX(Distribution!$B$6:$B$20,R19))*(INDEX(Distribution!$P$6:$P$20,R19+1)-INDEX(Distribution!$P$6:$P$20,R19)))))</f>
        <v>0.254917095208119</v>
      </c>
      <c r="T19" s="24" t="n">
        <f aca="false">W_Mkt*C19+W_Agents*O19</f>
        <v>0.0620994</v>
      </c>
      <c r="U19" s="27" t="n">
        <f aca="false">(1-W_Analyst)*T19+W_Analyst*S19</f>
        <v>0.0620994</v>
      </c>
      <c r="V19" s="24" t="n">
        <f aca="false">LN(MIN(MAX(U19,0.0001),0.9999)/(1-MIN(MAX(U19,0.0001),0.9999)))</f>
        <v>-2.71490764618473</v>
      </c>
      <c r="W19" s="25" t="n">
        <v>0.0638</v>
      </c>
    </row>
    <row r="20" customFormat="false" ht="15" hidden="false" customHeight="false" outlineLevel="0" collapsed="false">
      <c r="A20" s="6" t="n">
        <v>511.6</v>
      </c>
      <c r="B20" s="24" t="n">
        <f aca="false">LN(A20)</f>
        <v>6.23754306970469</v>
      </c>
      <c r="C20" s="25" t="n">
        <v>0.0146</v>
      </c>
      <c r="D20" s="25" t="n">
        <v>0.0275</v>
      </c>
      <c r="E20" s="25" t="n">
        <v>0.0192</v>
      </c>
      <c r="F20" s="25" t="n">
        <v>0.0101</v>
      </c>
      <c r="G20" s="25" t="n">
        <v>0.0235</v>
      </c>
      <c r="H20" s="25" t="n">
        <v>0.01</v>
      </c>
      <c r="I20" s="24" t="n">
        <f aca="false">AVERAGE(D20:H20)</f>
        <v>0.01806</v>
      </c>
      <c r="J20" s="25" t="n">
        <v>0.0177</v>
      </c>
      <c r="K20" s="24" t="n">
        <f aca="false">IF(AND(Sup_Used=1,ISNUMBER(J20)),J20,I20)</f>
        <v>0.01806</v>
      </c>
      <c r="L20" s="24" t="n">
        <f aca="false">LN(MIN(MAX(K20,0.0001),0.9999)/(1-MIN(MAX(K20,0.0001),0.9999)))</f>
        <v>-3.99583065870262</v>
      </c>
      <c r="M20" s="16" t="n">
        <f aca="false">A20*EXP(-Platt_Shift)</f>
        <v>511.6</v>
      </c>
      <c r="N20" s="26" t="n">
        <f aca="false">MIN(MAX(IFERROR(MATCH(M20,Distribution!$A$6:$A$20,1),1),1),14)</f>
        <v>14</v>
      </c>
      <c r="O20" s="24" t="n">
        <f aca="false">1/(1+EXP(-(INDEX(Distribution!$L$6:$L$20,N20)+(LN(M20)-INDEX(Distribution!$B$6:$B$20,N20))/(INDEX(Distribution!$B$6:$B$20,N20+1)-INDEX(Distribution!$B$6:$B$20,N20))*(INDEX(Distribution!$L$6:$L$20,N20+1)-INDEX(Distribution!$L$6:$L$20,N20)))))</f>
        <v>0.01806</v>
      </c>
      <c r="P20" s="24" t="n">
        <f aca="false">LN(MIN(MAX(C20,0.0001),0.9999)/(1-MIN(MAX(C20,0.0001),0.9999)))</f>
        <v>-4.21202612139557</v>
      </c>
      <c r="Q20" s="16" t="n">
        <f aca="false">IF(Analyst_Median&gt;0,A20*Market_Median/Analyst_Median,A20)</f>
        <v>349.281753937361</v>
      </c>
      <c r="R20" s="26" t="n">
        <f aca="false">MIN(MAX(IFERROR(MATCH(Q20,Distribution!$A$6:$A$20,1),1),1),14)</f>
        <v>12</v>
      </c>
      <c r="S20" s="24" t="n">
        <f aca="false">1/(1+EXP(-(INDEX(Distribution!$P$6:$P$20,R20)+(LN(Q20)-INDEX(Distribution!$B$6:$B$20,R20))/(INDEX(Distribution!$B$6:$B$20,R20+1)-INDEX(Distribution!$B$6:$B$20,R20))*(INDEX(Distribution!$P$6:$P$20,R20+1)-INDEX(Distribution!$P$6:$P$20,R20)))))</f>
        <v>0.110785580215382</v>
      </c>
      <c r="T20" s="24" t="n">
        <f aca="false">W_Mkt*C20+W_Agents*O20</f>
        <v>0.0157418</v>
      </c>
      <c r="U20" s="27" t="n">
        <f aca="false">(1-W_Analyst)*T20+W_Analyst*S20</f>
        <v>0.0157418</v>
      </c>
      <c r="V20" s="24" t="n">
        <f aca="false">LN(MIN(MAX(U20,0.0001),0.9999)/(1-MIN(MAX(U20,0.0001),0.9999)))</f>
        <v>-4.13556866623222</v>
      </c>
      <c r="W20" s="25" t="n">
        <v>0.0149</v>
      </c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23.85" hidden="false" customHeight="false" outlineLevel="0" collapsed="false">
      <c r="A4" s="23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</row>
    <row r="5" customFormat="false" ht="15" hidden="false" customHeight="false" outlineLevel="0" collapsed="false">
      <c r="A5" s="5" t="s">
        <v>29</v>
      </c>
      <c r="B5" s="28" t="s">
        <v>112</v>
      </c>
      <c r="C5" s="6" t="n">
        <v>280</v>
      </c>
      <c r="D5" s="12" t="n">
        <v>0.6</v>
      </c>
      <c r="E5" s="16" t="n">
        <f aca="false">C5*D5</f>
        <v>168</v>
      </c>
      <c r="F5" s="28"/>
      <c r="G5" s="28" t="s">
        <v>113</v>
      </c>
    </row>
    <row r="6" customFormat="false" ht="23.85" hidden="false" customHeight="false" outlineLevel="0" collapsed="false">
      <c r="A6" s="5" t="s">
        <v>29</v>
      </c>
      <c r="B6" s="28" t="s">
        <v>114</v>
      </c>
      <c r="C6" s="6" t="n">
        <v>255</v>
      </c>
      <c r="D6" s="12" t="n">
        <v>0.4</v>
      </c>
      <c r="E6" s="16" t="n">
        <f aca="false">C6*D6</f>
        <v>102</v>
      </c>
      <c r="F6" s="28"/>
      <c r="G6" s="28" t="s">
        <v>115</v>
      </c>
    </row>
    <row r="7" customFormat="false" ht="46.25" hidden="false" customHeight="false" outlineLevel="0" collapsed="false">
      <c r="A7" s="29" t="s">
        <v>29</v>
      </c>
      <c r="B7" s="29" t="s">
        <v>116</v>
      </c>
      <c r="C7" s="30" t="n">
        <f aca="false">IF(SUM(D5:D6)&gt;0,SUMPRODUCT(C5:C6,D5:D6)/SUM(D5:D6),"")</f>
        <v>270</v>
      </c>
      <c r="D7" s="31" t="n">
        <f aca="false">SUM(D5:D6)</f>
        <v>1</v>
      </c>
      <c r="E7" s="32" t="n">
        <v>270</v>
      </c>
      <c r="F7" s="29" t="s">
        <v>117</v>
      </c>
      <c r="G7" s="33" t="s">
        <v>118</v>
      </c>
    </row>
    <row r="9" customFormat="false" ht="15" hidden="false" customHeight="false" outlineLevel="0" collapsed="false">
      <c r="A9" s="5" t="s">
        <v>30</v>
      </c>
      <c r="B9" s="28" t="s">
        <v>112</v>
      </c>
      <c r="C9" s="6" t="n">
        <v>270</v>
      </c>
      <c r="D9" s="12" t="n">
        <v>0.6</v>
      </c>
      <c r="E9" s="16" t="n">
        <f aca="false">C9*D9</f>
        <v>162</v>
      </c>
      <c r="F9" s="28"/>
      <c r="G9" s="28" t="s">
        <v>119</v>
      </c>
    </row>
    <row r="10" customFormat="false" ht="23.85" hidden="false" customHeight="false" outlineLevel="0" collapsed="false">
      <c r="A10" s="5" t="s">
        <v>30</v>
      </c>
      <c r="B10" s="28" t="s">
        <v>114</v>
      </c>
      <c r="C10" s="6" t="n">
        <v>245</v>
      </c>
      <c r="D10" s="12" t="n">
        <v>0.4</v>
      </c>
      <c r="E10" s="16" t="n">
        <f aca="false">C10*D10</f>
        <v>98</v>
      </c>
      <c r="F10" s="28"/>
      <c r="G10" s="28" t="s">
        <v>120</v>
      </c>
    </row>
    <row r="11" customFormat="false" ht="57.45" hidden="false" customHeight="false" outlineLevel="0" collapsed="false">
      <c r="A11" s="29" t="s">
        <v>30</v>
      </c>
      <c r="B11" s="29" t="s">
        <v>116</v>
      </c>
      <c r="C11" s="30" t="n">
        <f aca="false">IF(SUM(D9:D10)&gt;0,SUMPRODUCT(C9:C10,D9:D10)/SUM(D9:D10),"")</f>
        <v>260</v>
      </c>
      <c r="D11" s="31" t="n">
        <f aca="false">SUM(D9:D10)</f>
        <v>1</v>
      </c>
      <c r="E11" s="32" t="n">
        <v>260</v>
      </c>
      <c r="F11" s="29" t="s">
        <v>117</v>
      </c>
      <c r="G11" s="33" t="s">
        <v>121</v>
      </c>
    </row>
    <row r="13" customFormat="false" ht="23.85" hidden="false" customHeight="false" outlineLevel="0" collapsed="false">
      <c r="A13" s="5" t="s">
        <v>31</v>
      </c>
      <c r="B13" s="28" t="s">
        <v>112</v>
      </c>
      <c r="C13" s="6" t="n">
        <v>270</v>
      </c>
      <c r="D13" s="12" t="n">
        <v>0.5</v>
      </c>
      <c r="E13" s="16" t="n">
        <f aca="false">C13*D13</f>
        <v>135</v>
      </c>
      <c r="F13" s="28"/>
      <c r="G13" s="28" t="s">
        <v>122</v>
      </c>
    </row>
    <row r="14" customFormat="false" ht="15" hidden="false" customHeight="false" outlineLevel="0" collapsed="false">
      <c r="A14" s="5" t="s">
        <v>31</v>
      </c>
      <c r="B14" s="28" t="s">
        <v>114</v>
      </c>
      <c r="C14" s="6" t="n">
        <v>236</v>
      </c>
      <c r="D14" s="12" t="n">
        <v>0.3</v>
      </c>
      <c r="E14" s="16" t="n">
        <f aca="false">C14*D14</f>
        <v>70.8</v>
      </c>
      <c r="F14" s="28"/>
      <c r="G14" s="28" t="s">
        <v>123</v>
      </c>
    </row>
    <row r="15" customFormat="false" ht="15" hidden="false" customHeight="false" outlineLevel="0" collapsed="false">
      <c r="A15" s="5" t="s">
        <v>31</v>
      </c>
      <c r="B15" s="28" t="s">
        <v>124</v>
      </c>
      <c r="C15" s="6" t="n">
        <v>220</v>
      </c>
      <c r="D15" s="12" t="n">
        <v>0.2</v>
      </c>
      <c r="E15" s="16" t="n">
        <f aca="false">C15*D15</f>
        <v>44</v>
      </c>
      <c r="F15" s="28"/>
      <c r="G15" s="28" t="s">
        <v>125</v>
      </c>
    </row>
    <row r="16" customFormat="false" ht="35.05" hidden="false" customHeight="false" outlineLevel="0" collapsed="false">
      <c r="A16" s="29" t="s">
        <v>31</v>
      </c>
      <c r="B16" s="29" t="s">
        <v>116</v>
      </c>
      <c r="C16" s="30" t="n">
        <f aca="false">IF(SUM(D13:D15)&gt;0,SUMPRODUCT(C13:C15,D13:D15)/SUM(D13:D15),"")</f>
        <v>249.8</v>
      </c>
      <c r="D16" s="31" t="n">
        <f aca="false">SUM(D13:D15)</f>
        <v>1</v>
      </c>
      <c r="E16" s="32" t="n">
        <v>250</v>
      </c>
      <c r="F16" s="29" t="s">
        <v>117</v>
      </c>
      <c r="G16" s="33" t="s">
        <v>126</v>
      </c>
    </row>
    <row r="18" customFormat="false" ht="23.85" hidden="false" customHeight="false" outlineLevel="0" collapsed="false">
      <c r="A18" s="5" t="s">
        <v>32</v>
      </c>
      <c r="B18" s="28" t="s">
        <v>112</v>
      </c>
      <c r="C18" s="6" t="n">
        <v>297.5</v>
      </c>
      <c r="D18" s="12" t="n">
        <v>0.6</v>
      </c>
      <c r="E18" s="16" t="n">
        <f aca="false">C18*D18</f>
        <v>178.5</v>
      </c>
      <c r="F18" s="28"/>
      <c r="G18" s="28" t="s">
        <v>127</v>
      </c>
    </row>
    <row r="19" customFormat="false" ht="23.85" hidden="false" customHeight="false" outlineLevel="0" collapsed="false">
      <c r="A19" s="5" t="s">
        <v>32</v>
      </c>
      <c r="B19" s="28" t="s">
        <v>114</v>
      </c>
      <c r="C19" s="6" t="n">
        <v>293</v>
      </c>
      <c r="D19" s="12" t="n">
        <v>0.4</v>
      </c>
      <c r="E19" s="16" t="n">
        <f aca="false">C19*D19</f>
        <v>117.2</v>
      </c>
      <c r="F19" s="28"/>
      <c r="G19" s="28" t="s">
        <v>128</v>
      </c>
    </row>
    <row r="20" customFormat="false" ht="35.05" hidden="false" customHeight="false" outlineLevel="0" collapsed="false">
      <c r="A20" s="29" t="s">
        <v>32</v>
      </c>
      <c r="B20" s="29" t="s">
        <v>116</v>
      </c>
      <c r="C20" s="30" t="n">
        <f aca="false">IF(SUM(D18:D19)&gt;0,SUMPRODUCT(C18:C19,D18:D19)/SUM(D18:D19),"")</f>
        <v>295.7</v>
      </c>
      <c r="D20" s="31" t="n">
        <f aca="false">SUM(D18:D19)</f>
        <v>1</v>
      </c>
      <c r="E20" s="32" t="n">
        <v>296</v>
      </c>
      <c r="F20" s="29" t="s">
        <v>117</v>
      </c>
      <c r="G20" s="33" t="s">
        <v>129</v>
      </c>
    </row>
    <row r="22" customFormat="false" ht="15" hidden="false" customHeight="false" outlineLevel="0" collapsed="false">
      <c r="A22" s="5" t="s">
        <v>33</v>
      </c>
      <c r="B22" s="28" t="s">
        <v>112</v>
      </c>
      <c r="C22" s="6" t="n">
        <v>267</v>
      </c>
      <c r="D22" s="12" t="n">
        <v>0.5</v>
      </c>
      <c r="E22" s="16" t="n">
        <f aca="false">C22*D22</f>
        <v>133.5</v>
      </c>
      <c r="F22" s="28"/>
      <c r="G22" s="28" t="s">
        <v>130</v>
      </c>
    </row>
    <row r="23" customFormat="false" ht="23.85" hidden="false" customHeight="false" outlineLevel="0" collapsed="false">
      <c r="A23" s="5" t="s">
        <v>33</v>
      </c>
      <c r="B23" s="28" t="s">
        <v>114</v>
      </c>
      <c r="C23" s="6" t="n">
        <v>230</v>
      </c>
      <c r="D23" s="12" t="n">
        <v>0.3</v>
      </c>
      <c r="E23" s="16" t="n">
        <f aca="false">C23*D23</f>
        <v>69</v>
      </c>
      <c r="F23" s="28"/>
      <c r="G23" s="28" t="s">
        <v>131</v>
      </c>
    </row>
    <row r="24" customFormat="false" ht="23.85" hidden="false" customHeight="false" outlineLevel="0" collapsed="false">
      <c r="A24" s="5" t="s">
        <v>33</v>
      </c>
      <c r="B24" s="28" t="s">
        <v>124</v>
      </c>
      <c r="C24" s="6" t="n">
        <v>260</v>
      </c>
      <c r="D24" s="12" t="n">
        <v>0.2</v>
      </c>
      <c r="E24" s="16" t="n">
        <f aca="false">C24*D24</f>
        <v>52</v>
      </c>
      <c r="F24" s="28"/>
      <c r="G24" s="28" t="s">
        <v>132</v>
      </c>
    </row>
    <row r="25" customFormat="false" ht="35.05" hidden="false" customHeight="false" outlineLevel="0" collapsed="false">
      <c r="A25" s="29" t="s">
        <v>33</v>
      </c>
      <c r="B25" s="29" t="s">
        <v>116</v>
      </c>
      <c r="C25" s="30" t="n">
        <f aca="false">IF(SUM(D22:D24)&gt;0,SUMPRODUCT(C22:C24,D22:D24)/SUM(D22:D24),"")</f>
        <v>254.5</v>
      </c>
      <c r="D25" s="31" t="n">
        <f aca="false">SUM(D22:D24)</f>
        <v>1</v>
      </c>
      <c r="E25" s="32" t="n">
        <v>255</v>
      </c>
      <c r="F25" s="29" t="s">
        <v>117</v>
      </c>
      <c r="G25" s="33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23.85" hidden="false" customHeight="false" outlineLevel="0" collapsed="false">
      <c r="A4" s="23" t="s">
        <v>105</v>
      </c>
      <c r="B4" s="23" t="s">
        <v>136</v>
      </c>
      <c r="C4" s="23" t="s">
        <v>137</v>
      </c>
      <c r="D4" s="23" t="s">
        <v>138</v>
      </c>
      <c r="E4" s="23" t="s">
        <v>139</v>
      </c>
      <c r="F4" s="23" t="s">
        <v>140</v>
      </c>
      <c r="G4" s="23" t="s">
        <v>141</v>
      </c>
    </row>
    <row r="5" customFormat="false" ht="68.65" hidden="false" customHeight="false" outlineLevel="0" collapsed="false">
      <c r="A5" s="5" t="s">
        <v>29</v>
      </c>
      <c r="B5" s="6" t="n">
        <v>145</v>
      </c>
      <c r="C5" s="6" t="n">
        <v>268</v>
      </c>
      <c r="D5" s="6" t="n">
        <v>370</v>
      </c>
      <c r="E5" s="28" t="s">
        <v>142</v>
      </c>
      <c r="F5" s="28" t="s">
        <v>143</v>
      </c>
      <c r="G5" s="28" t="s">
        <v>144</v>
      </c>
    </row>
    <row r="6" customFormat="false" ht="79.85" hidden="false" customHeight="false" outlineLevel="0" collapsed="false">
      <c r="A6" s="5" t="s">
        <v>30</v>
      </c>
      <c r="B6" s="6" t="n">
        <v>165</v>
      </c>
      <c r="C6" s="6" t="n">
        <v>265</v>
      </c>
      <c r="D6" s="6" t="n">
        <v>370</v>
      </c>
      <c r="E6" s="28" t="s">
        <v>145</v>
      </c>
      <c r="F6" s="28" t="s">
        <v>146</v>
      </c>
      <c r="G6" s="28" t="s">
        <v>147</v>
      </c>
    </row>
    <row r="7" customFormat="false" ht="102.2" hidden="false" customHeight="false" outlineLevel="0" collapsed="false">
      <c r="A7" s="5" t="s">
        <v>31</v>
      </c>
      <c r="B7" s="6" t="n">
        <v>155</v>
      </c>
      <c r="C7" s="6" t="n">
        <v>258</v>
      </c>
      <c r="D7" s="6" t="n">
        <v>360</v>
      </c>
      <c r="E7" s="28" t="s">
        <v>148</v>
      </c>
      <c r="F7" s="28" t="s">
        <v>149</v>
      </c>
      <c r="G7" s="28" t="s">
        <v>150</v>
      </c>
    </row>
    <row r="8" customFormat="false" ht="102.2" hidden="false" customHeight="false" outlineLevel="0" collapsed="false">
      <c r="A8" s="5" t="s">
        <v>32</v>
      </c>
      <c r="B8" s="6" t="n">
        <v>165</v>
      </c>
      <c r="C8" s="6" t="n">
        <v>272</v>
      </c>
      <c r="D8" s="6" t="n">
        <v>400</v>
      </c>
      <c r="E8" s="28" t="s">
        <v>151</v>
      </c>
      <c r="F8" s="28" t="s">
        <v>152</v>
      </c>
      <c r="G8" s="28" t="s">
        <v>153</v>
      </c>
    </row>
    <row r="9" customFormat="false" ht="79.85" hidden="false" customHeight="false" outlineLevel="0" collapsed="false">
      <c r="A9" s="5" t="s">
        <v>33</v>
      </c>
      <c r="B9" s="6" t="n">
        <v>150</v>
      </c>
      <c r="C9" s="6" t="n">
        <v>267</v>
      </c>
      <c r="D9" s="6" t="n">
        <v>342</v>
      </c>
      <c r="E9" s="28" t="s">
        <v>154</v>
      </c>
      <c r="F9" s="28" t="s">
        <v>155</v>
      </c>
      <c r="G9" s="28" t="s">
        <v>156</v>
      </c>
    </row>
    <row r="10" customFormat="false" ht="15" hidden="false" customHeight="false" outlineLevel="0" collapsed="false">
      <c r="A10" s="14" t="s">
        <v>157</v>
      </c>
      <c r="B10" s="15" t="n">
        <f aca="false">AVERAGE(B5:B9)</f>
        <v>156</v>
      </c>
      <c r="C10" s="15" t="n">
        <f aca="false">AVERAGE(C5:C9)</f>
        <v>266</v>
      </c>
      <c r="D10" s="15" t="n">
        <f aca="false">AVERAGE(D5:D9)</f>
        <v>368.4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35.05" hidden="false" customHeight="false" outlineLevel="0" collapsed="false">
      <c r="A4" s="23" t="s">
        <v>105</v>
      </c>
      <c r="B4" s="23" t="s">
        <v>160</v>
      </c>
      <c r="C4" s="23" t="s">
        <v>161</v>
      </c>
      <c r="D4" s="23" t="s">
        <v>162</v>
      </c>
      <c r="E4" s="23" t="s">
        <v>66</v>
      </c>
      <c r="F4" s="23" t="s">
        <v>163</v>
      </c>
      <c r="G4" s="23" t="s">
        <v>164</v>
      </c>
      <c r="H4" s="23" t="s">
        <v>165</v>
      </c>
    </row>
    <row r="5" customFormat="false" ht="292.5" hidden="false" customHeight="false" outlineLevel="0" collapsed="false">
      <c r="A5" s="5" t="s">
        <v>29</v>
      </c>
      <c r="B5" s="6"/>
      <c r="C5" s="6" t="n">
        <v>270</v>
      </c>
      <c r="D5" s="6" t="n">
        <v>145</v>
      </c>
      <c r="E5" s="28" t="s">
        <v>166</v>
      </c>
      <c r="F5" s="28" t="s">
        <v>167</v>
      </c>
      <c r="G5" s="28" t="s">
        <v>168</v>
      </c>
      <c r="H5" s="28" t="s">
        <v>169</v>
      </c>
    </row>
    <row r="6" customFormat="false" ht="337.3" hidden="false" customHeight="false" outlineLevel="0" collapsed="false">
      <c r="A6" s="5" t="s">
        <v>30</v>
      </c>
      <c r="B6" s="6"/>
      <c r="C6" s="6" t="n">
        <v>260</v>
      </c>
      <c r="D6" s="6" t="n">
        <v>165</v>
      </c>
      <c r="E6" s="28" t="s">
        <v>170</v>
      </c>
      <c r="F6" s="28" t="s">
        <v>171</v>
      </c>
      <c r="G6" s="28" t="s">
        <v>172</v>
      </c>
      <c r="H6" s="28" t="s">
        <v>173</v>
      </c>
    </row>
    <row r="7" customFormat="false" ht="326.1" hidden="false" customHeight="false" outlineLevel="0" collapsed="false">
      <c r="A7" s="5" t="s">
        <v>31</v>
      </c>
      <c r="B7" s="6"/>
      <c r="C7" s="6" t="n">
        <v>250</v>
      </c>
      <c r="D7" s="6" t="n">
        <v>160</v>
      </c>
      <c r="E7" s="28" t="s">
        <v>174</v>
      </c>
      <c r="F7" s="28" t="s">
        <v>175</v>
      </c>
      <c r="G7" s="28" t="s">
        <v>176</v>
      </c>
      <c r="H7" s="28" t="s">
        <v>177</v>
      </c>
    </row>
    <row r="8" customFormat="false" ht="337.3" hidden="false" customHeight="false" outlineLevel="0" collapsed="false">
      <c r="A8" s="5" t="s">
        <v>32</v>
      </c>
      <c r="B8" s="6"/>
      <c r="C8" s="6" t="n">
        <v>296</v>
      </c>
      <c r="D8" s="6" t="n">
        <v>165</v>
      </c>
      <c r="E8" s="28" t="s">
        <v>178</v>
      </c>
      <c r="F8" s="28" t="s">
        <v>179</v>
      </c>
      <c r="G8" s="28" t="s">
        <v>180</v>
      </c>
      <c r="H8" s="28" t="s">
        <v>181</v>
      </c>
    </row>
    <row r="9" customFormat="false" ht="382.05" hidden="false" customHeight="false" outlineLevel="0" collapsed="false">
      <c r="A9" s="5" t="s">
        <v>33</v>
      </c>
      <c r="B9" s="6"/>
      <c r="C9" s="6" t="n">
        <v>255</v>
      </c>
      <c r="D9" s="6" t="n">
        <v>165</v>
      </c>
      <c r="E9" s="28" t="s">
        <v>182</v>
      </c>
      <c r="F9" s="28" t="s">
        <v>183</v>
      </c>
      <c r="G9" s="28" t="s">
        <v>184</v>
      </c>
      <c r="H9" s="28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4" customFormat="false" ht="68.65" hidden="false" customHeight="true" outlineLevel="0" collapsed="false">
      <c r="A4" s="14" t="s">
        <v>188</v>
      </c>
      <c r="B4" s="34" t="s">
        <v>189</v>
      </c>
      <c r="C4" s="34"/>
      <c r="D4" s="34"/>
    </row>
    <row r="5" customFormat="false" ht="113.4" hidden="false" customHeight="true" outlineLevel="0" collapsed="false">
      <c r="A5" s="14" t="s">
        <v>190</v>
      </c>
      <c r="B5" s="34" t="s">
        <v>37</v>
      </c>
      <c r="C5" s="34"/>
      <c r="D5" s="34"/>
    </row>
    <row r="6" customFormat="false" ht="79.85" hidden="false" customHeight="true" outlineLevel="0" collapsed="false">
      <c r="A6" s="14" t="s">
        <v>191</v>
      </c>
      <c r="B6" s="34" t="s">
        <v>192</v>
      </c>
      <c r="C6" s="34"/>
      <c r="D6" s="34"/>
    </row>
    <row r="8" customFormat="false" ht="15" hidden="false" customHeight="false" outlineLevel="0" collapsed="false">
      <c r="A8" s="35" t="s">
        <v>193</v>
      </c>
    </row>
    <row r="9" customFormat="false" ht="15" hidden="false" customHeight="false" outlineLevel="0" collapsed="false">
      <c r="A9" s="36" t="s">
        <v>194</v>
      </c>
      <c r="B9" s="36" t="s">
        <v>195</v>
      </c>
      <c r="C9" s="36" t="s">
        <v>196</v>
      </c>
      <c r="D9" s="36" t="s">
        <v>197</v>
      </c>
    </row>
    <row r="10" customFormat="false" ht="124.6" hidden="false" customHeight="false" outlineLevel="0" collapsed="false">
      <c r="A10" s="28" t="s">
        <v>198</v>
      </c>
      <c r="B10" s="28" t="s">
        <v>199</v>
      </c>
      <c r="C10" s="28" t="s">
        <v>200</v>
      </c>
      <c r="D10" s="28" t="s">
        <v>201</v>
      </c>
    </row>
    <row r="11" customFormat="false" ht="79.85" hidden="false" customHeight="false" outlineLevel="0" collapsed="false">
      <c r="A11" s="28" t="s">
        <v>202</v>
      </c>
      <c r="B11" s="28" t="s">
        <v>203</v>
      </c>
      <c r="C11" s="28" t="s">
        <v>204</v>
      </c>
      <c r="D11" s="28" t="s">
        <v>205</v>
      </c>
    </row>
    <row r="12" customFormat="false" ht="68.65" hidden="false" customHeight="false" outlineLevel="0" collapsed="false">
      <c r="A12" s="28" t="s">
        <v>206</v>
      </c>
      <c r="B12" s="28" t="s">
        <v>207</v>
      </c>
      <c r="C12" s="28" t="s">
        <v>208</v>
      </c>
      <c r="D12" s="28" t="s">
        <v>209</v>
      </c>
    </row>
    <row r="13" customFormat="false" ht="46.25" hidden="false" customHeight="false" outlineLevel="0" collapsed="false">
      <c r="A13" s="28" t="s">
        <v>210</v>
      </c>
      <c r="B13" s="28" t="s">
        <v>211</v>
      </c>
      <c r="C13" s="28" t="s">
        <v>212</v>
      </c>
      <c r="D13" s="28" t="s">
        <v>213</v>
      </c>
    </row>
    <row r="14" customFormat="false" ht="46.25" hidden="false" customHeight="false" outlineLevel="0" collapsed="false">
      <c r="A14" s="28" t="s">
        <v>214</v>
      </c>
      <c r="B14" s="28" t="s">
        <v>215</v>
      </c>
      <c r="C14" s="28" t="s">
        <v>216</v>
      </c>
      <c r="D14" s="28" t="s">
        <v>217</v>
      </c>
    </row>
    <row r="16" customFormat="false" ht="15" hidden="false" customHeight="false" outlineLevel="0" collapsed="false">
      <c r="A16" s="35" t="s">
        <v>218</v>
      </c>
    </row>
    <row r="17" customFormat="false" ht="15" hidden="false" customHeight="false" outlineLevel="0" collapsed="false">
      <c r="A17" s="36" t="s">
        <v>219</v>
      </c>
      <c r="B17" s="36" t="s">
        <v>220</v>
      </c>
      <c r="C17" s="36" t="s">
        <v>221</v>
      </c>
      <c r="D17" s="36" t="s">
        <v>222</v>
      </c>
    </row>
    <row r="18" customFormat="false" ht="35.05" hidden="false" customHeight="false" outlineLevel="0" collapsed="false">
      <c r="A18" s="28" t="s">
        <v>223</v>
      </c>
      <c r="B18" s="28" t="s">
        <v>224</v>
      </c>
      <c r="C18" s="28" t="s">
        <v>225</v>
      </c>
      <c r="D18" s="28" t="s">
        <v>226</v>
      </c>
    </row>
    <row r="19" customFormat="false" ht="35.05" hidden="false" customHeight="false" outlineLevel="0" collapsed="false">
      <c r="A19" s="28" t="s">
        <v>227</v>
      </c>
      <c r="B19" s="28" t="s">
        <v>228</v>
      </c>
      <c r="C19" s="28" t="s">
        <v>229</v>
      </c>
      <c r="D19" s="28" t="s">
        <v>230</v>
      </c>
    </row>
    <row r="20" customFormat="false" ht="23.85" hidden="false" customHeight="false" outlineLevel="0" collapsed="false">
      <c r="A20" s="28" t="s">
        <v>231</v>
      </c>
      <c r="B20" s="28" t="s">
        <v>232</v>
      </c>
      <c r="C20" s="28" t="s">
        <v>233</v>
      </c>
      <c r="D20" s="28" t="s">
        <v>234</v>
      </c>
    </row>
    <row r="21" customFormat="false" ht="23.85" hidden="false" customHeight="false" outlineLevel="0" collapsed="false">
      <c r="A21" s="28" t="s">
        <v>235</v>
      </c>
      <c r="B21" s="28" t="s">
        <v>236</v>
      </c>
      <c r="C21" s="28" t="s">
        <v>237</v>
      </c>
      <c r="D21" s="28" t="s">
        <v>238</v>
      </c>
    </row>
    <row r="22" customFormat="false" ht="46.25" hidden="false" customHeight="false" outlineLevel="0" collapsed="false">
      <c r="A22" s="28" t="s">
        <v>239</v>
      </c>
      <c r="B22" s="28" t="s">
        <v>240</v>
      </c>
      <c r="C22" s="28" t="s">
        <v>241</v>
      </c>
      <c r="D22" s="28" t="s">
        <v>242</v>
      </c>
    </row>
    <row r="24" customFormat="false" ht="15" hidden="false" customHeight="false" outlineLevel="0" collapsed="false">
      <c r="A24" s="35" t="s">
        <v>243</v>
      </c>
    </row>
    <row r="25" customFormat="false" ht="23.85" hidden="false" customHeight="true" outlineLevel="0" collapsed="false">
      <c r="B25" s="34" t="s">
        <v>244</v>
      </c>
      <c r="C25" s="34"/>
      <c r="D25" s="34"/>
    </row>
    <row r="26" customFormat="false" ht="23.85" hidden="false" customHeight="true" outlineLevel="0" collapsed="false">
      <c r="B26" s="34" t="s">
        <v>245</v>
      </c>
      <c r="C26" s="34"/>
      <c r="D26" s="34"/>
    </row>
    <row r="27" customFormat="false" ht="15" hidden="false" customHeight="true" outlineLevel="0" collapsed="false">
      <c r="B27" s="34" t="s">
        <v>246</v>
      </c>
      <c r="C27" s="34"/>
      <c r="D27" s="34"/>
    </row>
    <row r="28" customFormat="false" ht="23.85" hidden="false" customHeight="true" outlineLevel="0" collapsed="false">
      <c r="B28" s="34" t="s">
        <v>247</v>
      </c>
      <c r="C28" s="34"/>
      <c r="D28" s="34"/>
    </row>
    <row r="29" customFormat="false" ht="35.05" hidden="false" customHeight="true" outlineLevel="0" collapsed="false">
      <c r="B29" s="34" t="s">
        <v>248</v>
      </c>
      <c r="C29" s="34"/>
      <c r="D29" s="34"/>
    </row>
    <row r="30" customFormat="false" ht="23.85" hidden="false" customHeight="true" outlineLevel="0" collapsed="false">
      <c r="B30" s="34" t="s">
        <v>249</v>
      </c>
      <c r="C30" s="34"/>
      <c r="D30" s="34"/>
    </row>
    <row r="31" customFormat="false" ht="35.05" hidden="false" customHeight="true" outlineLevel="0" collapsed="false">
      <c r="B31" s="34" t="s">
        <v>250</v>
      </c>
      <c r="C31" s="34"/>
      <c r="D31" s="34"/>
    </row>
    <row r="32" customFormat="false" ht="23.85" hidden="false" customHeight="true" outlineLevel="0" collapsed="false">
      <c r="B32" s="34" t="s">
        <v>251</v>
      </c>
      <c r="C32" s="34"/>
      <c r="D32" s="34"/>
    </row>
    <row r="33" customFormat="false" ht="35.05" hidden="false" customHeight="true" outlineLevel="0" collapsed="false">
      <c r="B33" s="34" t="s">
        <v>252</v>
      </c>
      <c r="C33" s="34"/>
      <c r="D33" s="34"/>
    </row>
    <row r="34" customFormat="false" ht="23.85" hidden="false" customHeight="true" outlineLevel="0" collapsed="false">
      <c r="B34" s="34" t="s">
        <v>253</v>
      </c>
      <c r="C34" s="34"/>
      <c r="D34" s="34"/>
    </row>
    <row r="35" customFormat="false" ht="23.85" hidden="false" customHeight="true" outlineLevel="0" collapsed="false">
      <c r="B35" s="34" t="s">
        <v>254</v>
      </c>
      <c r="C35" s="34"/>
      <c r="D35" s="34"/>
    </row>
    <row r="36" customFormat="false" ht="15" hidden="false" customHeight="true" outlineLevel="0" collapsed="false">
      <c r="B36" s="34" t="s">
        <v>255</v>
      </c>
      <c r="C36" s="34"/>
      <c r="D36" s="34"/>
    </row>
    <row r="37" customFormat="false" ht="23.85" hidden="false" customHeight="true" outlineLevel="0" collapsed="false">
      <c r="B37" s="34" t="s">
        <v>256</v>
      </c>
      <c r="C37" s="34"/>
      <c r="D37" s="34"/>
    </row>
    <row r="38" customFormat="false" ht="23.85" hidden="false" customHeight="true" outlineLevel="0" collapsed="false">
      <c r="B38" s="34" t="s">
        <v>257</v>
      </c>
      <c r="C38" s="34"/>
      <c r="D38" s="34"/>
    </row>
    <row r="39" customFormat="false" ht="23.85" hidden="false" customHeight="true" outlineLevel="0" collapsed="false">
      <c r="B39" s="34" t="s">
        <v>258</v>
      </c>
      <c r="C39" s="34"/>
      <c r="D39" s="34"/>
    </row>
    <row r="40" customFormat="false" ht="23.85" hidden="false" customHeight="true" outlineLevel="0" collapsed="false">
      <c r="B40" s="34" t="s">
        <v>259</v>
      </c>
      <c r="C40" s="34"/>
      <c r="D40" s="34"/>
    </row>
    <row r="41" customFormat="false" ht="23.85" hidden="false" customHeight="true" outlineLevel="0" collapsed="false">
      <c r="B41" s="34" t="s">
        <v>260</v>
      </c>
      <c r="C41" s="34"/>
      <c r="D41" s="34"/>
    </row>
    <row r="43" customFormat="false" ht="15" hidden="false" customHeight="false" outlineLevel="0" collapsed="false">
      <c r="A43" s="35" t="s">
        <v>261</v>
      </c>
    </row>
    <row r="44" customFormat="false" ht="15" hidden="false" customHeight="false" outlineLevel="0" collapsed="false">
      <c r="A44" s="5" t="s">
        <v>262</v>
      </c>
      <c r="B44" s="28" t="n">
        <v>5</v>
      </c>
    </row>
    <row r="45" customFormat="false" ht="15" hidden="false" customHeight="false" outlineLevel="0" collapsed="false">
      <c r="A45" s="5" t="s">
        <v>263</v>
      </c>
      <c r="B45" s="28" t="n">
        <v>0.47</v>
      </c>
    </row>
    <row r="46" customFormat="false" ht="23.85" hidden="false" customHeight="false" outlineLevel="0" collapsed="false">
      <c r="A46" s="5" t="s">
        <v>264</v>
      </c>
      <c r="B46" s="28" t="s">
        <v>265</v>
      </c>
    </row>
    <row r="47" customFormat="false" ht="57.45" hidden="false" customHeight="false" outlineLevel="0" collapsed="false">
      <c r="A47" s="5" t="s">
        <v>266</v>
      </c>
      <c r="B47" s="28" t="s">
        <v>267</v>
      </c>
    </row>
    <row r="48" customFormat="false" ht="158.2" hidden="false" customHeight="false" outlineLevel="0" collapsed="false">
      <c r="A48" s="5" t="s">
        <v>268</v>
      </c>
      <c r="B48" s="28" t="s">
        <v>269</v>
      </c>
    </row>
    <row r="49" customFormat="false" ht="15" hidden="false" customHeight="false" outlineLevel="0" collapsed="false">
      <c r="A49" s="5" t="s">
        <v>270</v>
      </c>
      <c r="B49" s="28" t="s">
        <v>271</v>
      </c>
    </row>
    <row r="50" customFormat="false" ht="57.45" hidden="false" customHeight="false" outlineLevel="0" collapsed="false">
      <c r="A50" s="5" t="s">
        <v>272</v>
      </c>
      <c r="B50" s="28" t="s">
        <v>273</v>
      </c>
    </row>
  </sheetData>
  <mergeCells count="20">
    <mergeCell ref="B4:D4"/>
    <mergeCell ref="B5:D5"/>
    <mergeCell ref="B6:D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15" hidden="false" customHeight="false" outlineLevel="0" collapsed="false">
      <c r="A4" s="23" t="s">
        <v>74</v>
      </c>
      <c r="B4" s="23" t="s">
        <v>276</v>
      </c>
      <c r="C4" s="23" t="s">
        <v>277</v>
      </c>
      <c r="D4" s="23" t="s">
        <v>278</v>
      </c>
      <c r="E4" s="23" t="s">
        <v>279</v>
      </c>
    </row>
    <row r="5" customFormat="false" ht="15" hidden="false" customHeight="false" outlineLevel="0" collapsed="false">
      <c r="A5" s="5" t="s">
        <v>280</v>
      </c>
      <c r="B5" s="5" t="s">
        <v>281</v>
      </c>
      <c r="C5" s="28" t="s">
        <v>282</v>
      </c>
      <c r="D5" s="5" t="s">
        <v>283</v>
      </c>
      <c r="E5" s="22" t="s">
        <v>284</v>
      </c>
    </row>
    <row r="6" customFormat="false" ht="15" hidden="false" customHeight="false" outlineLevel="0" collapsed="false">
      <c r="A6" s="5" t="s">
        <v>285</v>
      </c>
      <c r="B6" s="5" t="s">
        <v>281</v>
      </c>
      <c r="C6" s="28" t="s">
        <v>286</v>
      </c>
      <c r="D6" s="5" t="s">
        <v>287</v>
      </c>
      <c r="E6" s="22" t="s">
        <v>288</v>
      </c>
    </row>
    <row r="7" customFormat="false" ht="15" hidden="false" customHeight="false" outlineLevel="0" collapsed="false">
      <c r="A7" s="5" t="s">
        <v>289</v>
      </c>
      <c r="B7" s="5" t="s">
        <v>281</v>
      </c>
      <c r="C7" s="28" t="s">
        <v>290</v>
      </c>
      <c r="D7" s="5" t="s">
        <v>283</v>
      </c>
      <c r="E7" s="22" t="s">
        <v>291</v>
      </c>
    </row>
    <row r="8" customFormat="false" ht="15" hidden="false" customHeight="false" outlineLevel="0" collapsed="false">
      <c r="A8" s="5" t="s">
        <v>292</v>
      </c>
      <c r="B8" s="5" t="s">
        <v>281</v>
      </c>
      <c r="C8" s="28" t="s">
        <v>293</v>
      </c>
      <c r="D8" s="5" t="s">
        <v>283</v>
      </c>
      <c r="E8" s="22" t="s">
        <v>294</v>
      </c>
    </row>
    <row r="9" customFormat="false" ht="15" hidden="false" customHeight="false" outlineLevel="0" collapsed="false">
      <c r="A9" s="5" t="s">
        <v>295</v>
      </c>
      <c r="B9" s="5" t="s">
        <v>281</v>
      </c>
      <c r="C9" s="28" t="s">
        <v>296</v>
      </c>
      <c r="D9" s="5" t="s">
        <v>297</v>
      </c>
      <c r="E9" s="22" t="s">
        <v>298</v>
      </c>
    </row>
    <row r="10" customFormat="false" ht="15" hidden="false" customHeight="false" outlineLevel="0" collapsed="false">
      <c r="A10" s="5" t="s">
        <v>299</v>
      </c>
      <c r="B10" s="5" t="s">
        <v>281</v>
      </c>
      <c r="C10" s="28" t="s">
        <v>300</v>
      </c>
      <c r="D10" s="5" t="s">
        <v>301</v>
      </c>
      <c r="E10" s="22" t="s">
        <v>302</v>
      </c>
    </row>
    <row r="11" customFormat="false" ht="15" hidden="false" customHeight="false" outlineLevel="0" collapsed="false">
      <c r="A11" s="5" t="s">
        <v>303</v>
      </c>
      <c r="B11" s="5" t="s">
        <v>281</v>
      </c>
      <c r="C11" s="28" t="s">
        <v>304</v>
      </c>
      <c r="D11" s="5" t="s">
        <v>305</v>
      </c>
      <c r="E11" s="22" t="s">
        <v>306</v>
      </c>
    </row>
    <row r="12" customFormat="false" ht="15" hidden="false" customHeight="false" outlineLevel="0" collapsed="false">
      <c r="A12" s="5" t="s">
        <v>307</v>
      </c>
      <c r="B12" s="5" t="s">
        <v>281</v>
      </c>
      <c r="C12" s="28" t="s">
        <v>308</v>
      </c>
      <c r="D12" s="5" t="s">
        <v>305</v>
      </c>
      <c r="E12" s="22" t="s">
        <v>309</v>
      </c>
    </row>
    <row r="13" customFormat="false" ht="15" hidden="false" customHeight="false" outlineLevel="0" collapsed="false">
      <c r="A13" s="5" t="s">
        <v>310</v>
      </c>
      <c r="B13" s="5" t="s">
        <v>281</v>
      </c>
      <c r="C13" s="28" t="s">
        <v>311</v>
      </c>
      <c r="D13" s="5" t="s">
        <v>312</v>
      </c>
      <c r="E13" s="22" t="s">
        <v>313</v>
      </c>
    </row>
    <row r="14" customFormat="false" ht="35.05" hidden="false" customHeight="false" outlineLevel="0" collapsed="false">
      <c r="A14" s="5" t="s">
        <v>314</v>
      </c>
      <c r="B14" s="5" t="s">
        <v>281</v>
      </c>
      <c r="C14" s="28" t="s">
        <v>315</v>
      </c>
      <c r="D14" s="5" t="s">
        <v>316</v>
      </c>
      <c r="E14" s="22" t="s">
        <v>317</v>
      </c>
    </row>
    <row r="15" customFormat="false" ht="15" hidden="false" customHeight="false" outlineLevel="0" collapsed="false">
      <c r="A15" s="5" t="s">
        <v>318</v>
      </c>
      <c r="B15" s="5" t="s">
        <v>281</v>
      </c>
      <c r="C15" s="28" t="s">
        <v>319</v>
      </c>
      <c r="D15" s="5" t="s">
        <v>320</v>
      </c>
      <c r="E15" s="22" t="s">
        <v>321</v>
      </c>
    </row>
    <row r="16" customFormat="false" ht="35.05" hidden="false" customHeight="false" outlineLevel="0" collapsed="false">
      <c r="A16" s="5" t="s">
        <v>322</v>
      </c>
      <c r="B16" s="5" t="s">
        <v>281</v>
      </c>
      <c r="C16" s="28" t="s">
        <v>323</v>
      </c>
      <c r="D16" s="5" t="s">
        <v>324</v>
      </c>
      <c r="E16" s="22" t="s">
        <v>325</v>
      </c>
    </row>
    <row r="17" customFormat="false" ht="15" hidden="false" customHeight="false" outlineLevel="0" collapsed="false">
      <c r="A17" s="5" t="s">
        <v>326</v>
      </c>
      <c r="B17" s="5" t="s">
        <v>327</v>
      </c>
      <c r="C17" s="28" t="s">
        <v>328</v>
      </c>
      <c r="D17" s="5" t="s">
        <v>283</v>
      </c>
      <c r="E17" s="22" t="s">
        <v>284</v>
      </c>
    </row>
    <row r="18" customFormat="false" ht="23.85" hidden="false" customHeight="false" outlineLevel="0" collapsed="false">
      <c r="A18" s="5" t="s">
        <v>329</v>
      </c>
      <c r="B18" s="5" t="s">
        <v>327</v>
      </c>
      <c r="C18" s="28" t="s">
        <v>330</v>
      </c>
      <c r="D18" s="5" t="s">
        <v>283</v>
      </c>
      <c r="E18" s="22" t="s">
        <v>331</v>
      </c>
    </row>
    <row r="19" customFormat="false" ht="23.85" hidden="false" customHeight="false" outlineLevel="0" collapsed="false">
      <c r="A19" s="5" t="s">
        <v>332</v>
      </c>
      <c r="B19" s="5" t="s">
        <v>327</v>
      </c>
      <c r="C19" s="28" t="s">
        <v>333</v>
      </c>
      <c r="D19" s="5" t="s">
        <v>324</v>
      </c>
      <c r="E19" s="22" t="s">
        <v>334</v>
      </c>
    </row>
    <row r="20" customFormat="false" ht="23.85" hidden="false" customHeight="false" outlineLevel="0" collapsed="false">
      <c r="A20" s="5" t="s">
        <v>335</v>
      </c>
      <c r="B20" s="5" t="s">
        <v>327</v>
      </c>
      <c r="C20" s="28" t="s">
        <v>336</v>
      </c>
      <c r="D20" s="5" t="s">
        <v>337</v>
      </c>
      <c r="E20" s="22" t="s">
        <v>338</v>
      </c>
    </row>
    <row r="21" customFormat="false" ht="15" hidden="false" customHeight="false" outlineLevel="0" collapsed="false">
      <c r="A21" s="5" t="s">
        <v>339</v>
      </c>
      <c r="B21" s="5" t="s">
        <v>327</v>
      </c>
      <c r="C21" s="28" t="s">
        <v>340</v>
      </c>
      <c r="D21" s="5" t="s">
        <v>316</v>
      </c>
      <c r="E21" s="22" t="s">
        <v>317</v>
      </c>
    </row>
    <row r="22" customFormat="false" ht="15" hidden="false" customHeight="false" outlineLevel="0" collapsed="false">
      <c r="A22" s="5" t="s">
        <v>341</v>
      </c>
      <c r="B22" s="5" t="s">
        <v>327</v>
      </c>
      <c r="C22" s="28" t="s">
        <v>342</v>
      </c>
      <c r="D22" s="5" t="s">
        <v>316</v>
      </c>
      <c r="E22" s="22" t="s">
        <v>343</v>
      </c>
    </row>
    <row r="23" customFormat="false" ht="23.85" hidden="false" customHeight="false" outlineLevel="0" collapsed="false">
      <c r="A23" s="5" t="s">
        <v>344</v>
      </c>
      <c r="B23" s="5" t="s">
        <v>327</v>
      </c>
      <c r="C23" s="28" t="s">
        <v>345</v>
      </c>
      <c r="D23" s="5" t="s">
        <v>346</v>
      </c>
      <c r="E23" s="22" t="s">
        <v>347</v>
      </c>
    </row>
    <row r="24" customFormat="false" ht="23.85" hidden="false" customHeight="false" outlineLevel="0" collapsed="false">
      <c r="A24" s="5" t="s">
        <v>348</v>
      </c>
      <c r="B24" s="5" t="s">
        <v>327</v>
      </c>
      <c r="C24" s="28" t="s">
        <v>349</v>
      </c>
      <c r="D24" s="5" t="s">
        <v>350</v>
      </c>
      <c r="E24" s="22" t="s">
        <v>351</v>
      </c>
    </row>
    <row r="25" customFormat="false" ht="23.85" hidden="false" customHeight="false" outlineLevel="0" collapsed="false">
      <c r="A25" s="5" t="s">
        <v>352</v>
      </c>
      <c r="B25" s="5" t="s">
        <v>327</v>
      </c>
      <c r="C25" s="28" t="s">
        <v>353</v>
      </c>
      <c r="D25" s="5" t="s">
        <v>324</v>
      </c>
      <c r="E25" s="22" t="s">
        <v>354</v>
      </c>
    </row>
    <row r="26" customFormat="false" ht="23.85" hidden="false" customHeight="false" outlineLevel="0" collapsed="false">
      <c r="A26" s="5" t="s">
        <v>355</v>
      </c>
      <c r="B26" s="5" t="s">
        <v>327</v>
      </c>
      <c r="C26" s="28" t="s">
        <v>356</v>
      </c>
      <c r="D26" s="5" t="s">
        <v>357</v>
      </c>
      <c r="E26" s="22" t="s">
        <v>358</v>
      </c>
    </row>
    <row r="27" customFormat="false" ht="15" hidden="false" customHeight="false" outlineLevel="0" collapsed="false">
      <c r="A27" s="5" t="s">
        <v>359</v>
      </c>
      <c r="B27" s="5" t="s">
        <v>327</v>
      </c>
      <c r="C27" s="28" t="s">
        <v>360</v>
      </c>
      <c r="D27" s="5" t="s">
        <v>361</v>
      </c>
      <c r="E27" s="22" t="s">
        <v>362</v>
      </c>
    </row>
    <row r="28" customFormat="false" ht="23.85" hidden="false" customHeight="false" outlineLevel="0" collapsed="false">
      <c r="A28" s="5" t="s">
        <v>363</v>
      </c>
      <c r="B28" s="5" t="s">
        <v>327</v>
      </c>
      <c r="C28" s="28" t="s">
        <v>364</v>
      </c>
      <c r="D28" s="5" t="s">
        <v>365</v>
      </c>
      <c r="E28" s="22" t="s">
        <v>366</v>
      </c>
    </row>
    <row r="29" customFormat="false" ht="23.85" hidden="false" customHeight="false" outlineLevel="0" collapsed="false">
      <c r="A29" s="5" t="s">
        <v>367</v>
      </c>
      <c r="B29" s="5" t="s">
        <v>327</v>
      </c>
      <c r="C29" s="28" t="s">
        <v>368</v>
      </c>
      <c r="D29" s="5" t="s">
        <v>369</v>
      </c>
      <c r="E29" s="22" t="s">
        <v>370</v>
      </c>
    </row>
    <row r="30" customFormat="false" ht="15" hidden="false" customHeight="false" outlineLevel="0" collapsed="false">
      <c r="A30" s="5" t="s">
        <v>371</v>
      </c>
      <c r="B30" s="5" t="s">
        <v>327</v>
      </c>
      <c r="C30" s="28" t="s">
        <v>372</v>
      </c>
      <c r="D30" s="5" t="s">
        <v>287</v>
      </c>
      <c r="E30" s="22" t="s">
        <v>373</v>
      </c>
    </row>
    <row r="31" customFormat="false" ht="15" hidden="false" customHeight="false" outlineLevel="0" collapsed="false">
      <c r="A31" s="5" t="s">
        <v>374</v>
      </c>
      <c r="B31" s="5" t="s">
        <v>327</v>
      </c>
      <c r="C31" s="28" t="s">
        <v>375</v>
      </c>
      <c r="D31" s="5" t="s">
        <v>287</v>
      </c>
      <c r="E31" s="22" t="s">
        <v>376</v>
      </c>
    </row>
    <row r="32" customFormat="false" ht="15" hidden="false" customHeight="false" outlineLevel="0" collapsed="false">
      <c r="A32" s="5" t="s">
        <v>377</v>
      </c>
      <c r="B32" s="5" t="s">
        <v>327</v>
      </c>
      <c r="C32" s="28" t="s">
        <v>378</v>
      </c>
      <c r="D32" s="5" t="s">
        <v>379</v>
      </c>
      <c r="E32" s="22" t="s">
        <v>380</v>
      </c>
    </row>
    <row r="33" customFormat="false" ht="15" hidden="false" customHeight="false" outlineLevel="0" collapsed="false">
      <c r="A33" s="5" t="s">
        <v>381</v>
      </c>
      <c r="B33" s="5" t="s">
        <v>327</v>
      </c>
      <c r="C33" s="28" t="s">
        <v>382</v>
      </c>
      <c r="D33" s="5" t="s">
        <v>383</v>
      </c>
      <c r="E33" s="22" t="s">
        <v>384</v>
      </c>
    </row>
    <row r="34" customFormat="false" ht="15" hidden="false" customHeight="false" outlineLevel="0" collapsed="false">
      <c r="A34" s="5" t="s">
        <v>385</v>
      </c>
      <c r="B34" s="5" t="s">
        <v>327</v>
      </c>
      <c r="C34" s="28" t="s">
        <v>386</v>
      </c>
      <c r="D34" s="5" t="s">
        <v>316</v>
      </c>
      <c r="E34" s="22" t="s">
        <v>387</v>
      </c>
    </row>
    <row r="35" customFormat="false" ht="15" hidden="false" customHeight="false" outlineLevel="0" collapsed="false">
      <c r="A35" s="5" t="s">
        <v>388</v>
      </c>
      <c r="B35" s="5" t="s">
        <v>327</v>
      </c>
      <c r="C35" s="28" t="s">
        <v>389</v>
      </c>
      <c r="D35" s="5" t="s">
        <v>390</v>
      </c>
      <c r="E35" s="22" t="s">
        <v>391</v>
      </c>
    </row>
    <row r="36" customFormat="false" ht="15" hidden="false" customHeight="false" outlineLevel="0" collapsed="false">
      <c r="A36" s="5" t="s">
        <v>392</v>
      </c>
      <c r="B36" s="5" t="s">
        <v>327</v>
      </c>
      <c r="C36" s="28" t="s">
        <v>393</v>
      </c>
      <c r="D36" s="5" t="s">
        <v>316</v>
      </c>
      <c r="E36" s="22" t="s">
        <v>394</v>
      </c>
    </row>
    <row r="37" customFormat="false" ht="15" hidden="false" customHeight="false" outlineLevel="0" collapsed="false">
      <c r="A37" s="5" t="s">
        <v>395</v>
      </c>
      <c r="B37" s="5" t="s">
        <v>327</v>
      </c>
      <c r="C37" s="28" t="s">
        <v>396</v>
      </c>
      <c r="D37" s="5" t="s">
        <v>316</v>
      </c>
      <c r="E37" s="22" t="s">
        <v>397</v>
      </c>
    </row>
    <row r="38" customFormat="false" ht="15" hidden="false" customHeight="false" outlineLevel="0" collapsed="false">
      <c r="A38" s="5" t="s">
        <v>398</v>
      </c>
      <c r="B38" s="5" t="s">
        <v>327</v>
      </c>
      <c r="C38" s="28" t="s">
        <v>399</v>
      </c>
      <c r="D38" s="5" t="s">
        <v>316</v>
      </c>
      <c r="E38" s="22" t="s">
        <v>400</v>
      </c>
    </row>
    <row r="39" customFormat="false" ht="15" hidden="false" customHeight="false" outlineLevel="0" collapsed="false">
      <c r="A39" s="5" t="s">
        <v>401</v>
      </c>
      <c r="B39" s="5" t="s">
        <v>327</v>
      </c>
      <c r="C39" s="28" t="s">
        <v>402</v>
      </c>
      <c r="D39" s="5" t="s">
        <v>316</v>
      </c>
      <c r="E39" s="22" t="s">
        <v>403</v>
      </c>
    </row>
    <row r="40" customFormat="false" ht="15" hidden="false" customHeight="false" outlineLevel="0" collapsed="false">
      <c r="A40" s="5" t="s">
        <v>404</v>
      </c>
      <c r="B40" s="5" t="s">
        <v>327</v>
      </c>
      <c r="C40" s="28" t="s">
        <v>405</v>
      </c>
      <c r="D40" s="5" t="s">
        <v>316</v>
      </c>
      <c r="E40" s="22" t="s">
        <v>406</v>
      </c>
    </row>
    <row r="41" customFormat="false" ht="15" hidden="false" customHeight="false" outlineLevel="0" collapsed="false">
      <c r="A41" s="5" t="s">
        <v>407</v>
      </c>
      <c r="B41" s="5" t="s">
        <v>327</v>
      </c>
      <c r="C41" s="28" t="s">
        <v>408</v>
      </c>
      <c r="D41" s="5" t="s">
        <v>316</v>
      </c>
      <c r="E41" s="22" t="s">
        <v>409</v>
      </c>
    </row>
    <row r="42" customFormat="false" ht="15" hidden="false" customHeight="false" outlineLevel="0" collapsed="false">
      <c r="A42" s="5" t="s">
        <v>410</v>
      </c>
      <c r="B42" s="5" t="s">
        <v>327</v>
      </c>
      <c r="C42" s="28" t="s">
        <v>411</v>
      </c>
      <c r="D42" s="5" t="s">
        <v>316</v>
      </c>
      <c r="E42" s="22" t="s">
        <v>412</v>
      </c>
    </row>
    <row r="43" customFormat="false" ht="15" hidden="false" customHeight="false" outlineLevel="0" collapsed="false">
      <c r="A43" s="5" t="s">
        <v>413</v>
      </c>
      <c r="B43" s="5" t="s">
        <v>327</v>
      </c>
      <c r="C43" s="28" t="s">
        <v>414</v>
      </c>
      <c r="D43" s="5" t="s">
        <v>316</v>
      </c>
      <c r="E43" s="22" t="s">
        <v>415</v>
      </c>
    </row>
    <row r="44" customFormat="false" ht="15" hidden="false" customHeight="false" outlineLevel="0" collapsed="false">
      <c r="A44" s="5" t="s">
        <v>416</v>
      </c>
      <c r="B44" s="5" t="s">
        <v>327</v>
      </c>
      <c r="C44" s="28" t="s">
        <v>417</v>
      </c>
      <c r="D44" s="5" t="s">
        <v>316</v>
      </c>
      <c r="E44" s="22" t="s">
        <v>418</v>
      </c>
    </row>
    <row r="45" customFormat="false" ht="15" hidden="false" customHeight="false" outlineLevel="0" collapsed="false">
      <c r="A45" s="5" t="s">
        <v>419</v>
      </c>
      <c r="B45" s="5" t="s">
        <v>327</v>
      </c>
      <c r="C45" s="28" t="s">
        <v>420</v>
      </c>
      <c r="D45" s="5" t="s">
        <v>316</v>
      </c>
      <c r="E45" s="22" t="s">
        <v>421</v>
      </c>
    </row>
    <row r="46" customFormat="false" ht="15" hidden="false" customHeight="false" outlineLevel="0" collapsed="false">
      <c r="A46" s="5" t="s">
        <v>422</v>
      </c>
      <c r="B46" s="5" t="s">
        <v>327</v>
      </c>
      <c r="C46" s="28" t="s">
        <v>423</v>
      </c>
      <c r="D46" s="5" t="s">
        <v>316</v>
      </c>
      <c r="E46" s="22" t="s">
        <v>424</v>
      </c>
    </row>
    <row r="47" customFormat="false" ht="23.85" hidden="false" customHeight="false" outlineLevel="0" collapsed="false">
      <c r="A47" s="5" t="s">
        <v>425</v>
      </c>
      <c r="B47" s="5" t="s">
        <v>327</v>
      </c>
      <c r="C47" s="28" t="s">
        <v>426</v>
      </c>
      <c r="D47" s="5" t="s">
        <v>316</v>
      </c>
      <c r="E47" s="22" t="s">
        <v>427</v>
      </c>
    </row>
    <row r="48" customFormat="false" ht="15" hidden="false" customHeight="false" outlineLevel="0" collapsed="false">
      <c r="A48" s="5" t="s">
        <v>428</v>
      </c>
      <c r="B48" s="5" t="s">
        <v>327</v>
      </c>
      <c r="C48" s="28" t="s">
        <v>429</v>
      </c>
      <c r="D48" s="5" t="s">
        <v>430</v>
      </c>
      <c r="E48" s="22" t="s">
        <v>431</v>
      </c>
    </row>
    <row r="49" customFormat="false" ht="23.85" hidden="false" customHeight="false" outlineLevel="0" collapsed="false">
      <c r="A49" s="5" t="s">
        <v>432</v>
      </c>
      <c r="B49" s="5" t="s">
        <v>327</v>
      </c>
      <c r="C49" s="28" t="s">
        <v>433</v>
      </c>
      <c r="D49" s="5" t="s">
        <v>283</v>
      </c>
      <c r="E49" s="22" t="s">
        <v>291</v>
      </c>
    </row>
    <row r="50" customFormat="false" ht="23.85" hidden="false" customHeight="false" outlineLevel="0" collapsed="false">
      <c r="A50" s="5" t="s">
        <v>434</v>
      </c>
      <c r="B50" s="5" t="s">
        <v>327</v>
      </c>
      <c r="C50" s="28" t="s">
        <v>435</v>
      </c>
      <c r="D50" s="5" t="s">
        <v>436</v>
      </c>
      <c r="E50" s="22" t="s">
        <v>437</v>
      </c>
    </row>
    <row r="51" customFormat="false" ht="23.85" hidden="false" customHeight="false" outlineLevel="0" collapsed="false">
      <c r="A51" s="5" t="s">
        <v>438</v>
      </c>
      <c r="B51" s="5" t="s">
        <v>327</v>
      </c>
      <c r="C51" s="28" t="s">
        <v>439</v>
      </c>
      <c r="D51" s="5" t="s">
        <v>440</v>
      </c>
      <c r="E51" s="22" t="s">
        <v>441</v>
      </c>
    </row>
    <row r="52" customFormat="false" ht="23.85" hidden="false" customHeight="false" outlineLevel="0" collapsed="false">
      <c r="A52" s="5" t="s">
        <v>442</v>
      </c>
      <c r="B52" s="5" t="s">
        <v>327</v>
      </c>
      <c r="C52" s="28" t="s">
        <v>443</v>
      </c>
      <c r="D52" s="5" t="s">
        <v>444</v>
      </c>
      <c r="E52" s="22" t="s">
        <v>445</v>
      </c>
    </row>
    <row r="53" customFormat="false" ht="15" hidden="false" customHeight="false" outlineLevel="0" collapsed="false">
      <c r="A53" s="5" t="s">
        <v>446</v>
      </c>
      <c r="B53" s="5" t="s">
        <v>327</v>
      </c>
      <c r="C53" s="28" t="s">
        <v>447</v>
      </c>
      <c r="D53" s="5" t="s">
        <v>448</v>
      </c>
      <c r="E53" s="22" t="s">
        <v>449</v>
      </c>
    </row>
    <row r="54" customFormat="false" ht="15" hidden="false" customHeight="false" outlineLevel="0" collapsed="false">
      <c r="A54" s="5" t="s">
        <v>450</v>
      </c>
      <c r="B54" s="5" t="s">
        <v>451</v>
      </c>
      <c r="C54" s="28" t="s">
        <v>328</v>
      </c>
      <c r="D54" s="5" t="s">
        <v>283</v>
      </c>
      <c r="E54" s="22" t="s">
        <v>284</v>
      </c>
    </row>
    <row r="55" customFormat="false" ht="23.85" hidden="false" customHeight="false" outlineLevel="0" collapsed="false">
      <c r="A55" s="5" t="s">
        <v>452</v>
      </c>
      <c r="B55" s="5" t="s">
        <v>451</v>
      </c>
      <c r="C55" s="28" t="s">
        <v>453</v>
      </c>
      <c r="D55" s="5" t="s">
        <v>448</v>
      </c>
      <c r="E55" s="22" t="s">
        <v>454</v>
      </c>
    </row>
    <row r="56" customFormat="false" ht="15" hidden="false" customHeight="false" outlineLevel="0" collapsed="false">
      <c r="A56" s="5" t="s">
        <v>455</v>
      </c>
      <c r="B56" s="5" t="s">
        <v>451</v>
      </c>
      <c r="C56" s="28" t="s">
        <v>456</v>
      </c>
      <c r="D56" s="5" t="s">
        <v>297</v>
      </c>
      <c r="E56" s="22" t="s">
        <v>457</v>
      </c>
    </row>
    <row r="57" customFormat="false" ht="23.85" hidden="false" customHeight="false" outlineLevel="0" collapsed="false">
      <c r="A57" s="5" t="s">
        <v>458</v>
      </c>
      <c r="B57" s="5" t="s">
        <v>451</v>
      </c>
      <c r="C57" s="28" t="s">
        <v>459</v>
      </c>
      <c r="D57" s="5" t="s">
        <v>324</v>
      </c>
      <c r="E57" s="22" t="s">
        <v>334</v>
      </c>
    </row>
    <row r="58" customFormat="false" ht="15" hidden="false" customHeight="false" outlineLevel="0" collapsed="false">
      <c r="A58" s="5" t="s">
        <v>460</v>
      </c>
      <c r="B58" s="5" t="s">
        <v>451</v>
      </c>
      <c r="C58" s="28" t="s">
        <v>461</v>
      </c>
      <c r="D58" s="5" t="s">
        <v>462</v>
      </c>
      <c r="E58" s="22" t="s">
        <v>463</v>
      </c>
    </row>
    <row r="59" customFormat="false" ht="23.85" hidden="false" customHeight="false" outlineLevel="0" collapsed="false">
      <c r="A59" s="5" t="s">
        <v>464</v>
      </c>
      <c r="B59" s="5" t="s">
        <v>451</v>
      </c>
      <c r="C59" s="28" t="s">
        <v>465</v>
      </c>
      <c r="D59" s="5" t="s">
        <v>448</v>
      </c>
      <c r="E59" s="22" t="s">
        <v>466</v>
      </c>
    </row>
    <row r="60" customFormat="false" ht="15" hidden="false" customHeight="false" outlineLevel="0" collapsed="false">
      <c r="A60" s="5" t="s">
        <v>467</v>
      </c>
      <c r="B60" s="5" t="s">
        <v>451</v>
      </c>
      <c r="C60" s="28" t="s">
        <v>468</v>
      </c>
      <c r="D60" s="5" t="s">
        <v>469</v>
      </c>
      <c r="E60" s="22" t="s">
        <v>470</v>
      </c>
    </row>
    <row r="61" customFormat="false" ht="15" hidden="false" customHeight="false" outlineLevel="0" collapsed="false">
      <c r="A61" s="5" t="s">
        <v>471</v>
      </c>
      <c r="B61" s="5" t="s">
        <v>451</v>
      </c>
      <c r="C61" s="28" t="s">
        <v>472</v>
      </c>
      <c r="D61" s="5" t="s">
        <v>316</v>
      </c>
      <c r="E61" s="22" t="s">
        <v>317</v>
      </c>
    </row>
    <row r="62" customFormat="false" ht="35.05" hidden="false" customHeight="false" outlineLevel="0" collapsed="false">
      <c r="A62" s="5" t="s">
        <v>473</v>
      </c>
      <c r="B62" s="5" t="s">
        <v>451</v>
      </c>
      <c r="C62" s="28" t="s">
        <v>474</v>
      </c>
      <c r="D62" s="5" t="s">
        <v>316</v>
      </c>
      <c r="E62" s="22" t="s">
        <v>394</v>
      </c>
    </row>
    <row r="63" customFormat="false" ht="15" hidden="false" customHeight="false" outlineLevel="0" collapsed="false">
      <c r="A63" s="5" t="s">
        <v>475</v>
      </c>
      <c r="B63" s="5" t="s">
        <v>451</v>
      </c>
      <c r="C63" s="28" t="s">
        <v>476</v>
      </c>
      <c r="D63" s="5" t="s">
        <v>316</v>
      </c>
      <c r="E63" s="22" t="s">
        <v>387</v>
      </c>
    </row>
    <row r="64" customFormat="false" ht="23.85" hidden="false" customHeight="false" outlineLevel="0" collapsed="false">
      <c r="A64" s="5" t="s">
        <v>477</v>
      </c>
      <c r="B64" s="5" t="s">
        <v>451</v>
      </c>
      <c r="C64" s="28" t="s">
        <v>478</v>
      </c>
      <c r="D64" s="5" t="s">
        <v>479</v>
      </c>
      <c r="E64" s="22" t="s">
        <v>480</v>
      </c>
    </row>
    <row r="65" customFormat="false" ht="15" hidden="false" customHeight="false" outlineLevel="0" collapsed="false">
      <c r="A65" s="5" t="s">
        <v>481</v>
      </c>
      <c r="B65" s="5" t="s">
        <v>451</v>
      </c>
      <c r="C65" s="28" t="s">
        <v>482</v>
      </c>
      <c r="D65" s="5" t="s">
        <v>483</v>
      </c>
      <c r="E65" s="22" t="s">
        <v>484</v>
      </c>
    </row>
    <row r="66" customFormat="false" ht="23.85" hidden="false" customHeight="false" outlineLevel="0" collapsed="false">
      <c r="A66" s="5" t="s">
        <v>485</v>
      </c>
      <c r="B66" s="5" t="s">
        <v>451</v>
      </c>
      <c r="C66" s="28" t="s">
        <v>486</v>
      </c>
      <c r="D66" s="5" t="s">
        <v>487</v>
      </c>
      <c r="E66" s="22" t="s">
        <v>488</v>
      </c>
    </row>
    <row r="67" customFormat="false" ht="15" hidden="false" customHeight="false" outlineLevel="0" collapsed="false">
      <c r="A67" s="5" t="s">
        <v>489</v>
      </c>
      <c r="B67" s="5" t="s">
        <v>451</v>
      </c>
      <c r="C67" s="28" t="s">
        <v>490</v>
      </c>
      <c r="D67" s="5" t="s">
        <v>491</v>
      </c>
      <c r="E67" s="22" t="s">
        <v>492</v>
      </c>
    </row>
    <row r="68" customFormat="false" ht="15" hidden="false" customHeight="false" outlineLevel="0" collapsed="false">
      <c r="A68" s="5" t="s">
        <v>493</v>
      </c>
      <c r="B68" s="5" t="s">
        <v>451</v>
      </c>
      <c r="C68" s="28" t="s">
        <v>494</v>
      </c>
      <c r="D68" s="5" t="s">
        <v>287</v>
      </c>
      <c r="E68" s="22" t="s">
        <v>495</v>
      </c>
    </row>
    <row r="69" customFormat="false" ht="23.85" hidden="false" customHeight="false" outlineLevel="0" collapsed="false">
      <c r="A69" s="5" t="s">
        <v>496</v>
      </c>
      <c r="B69" s="5" t="s">
        <v>451</v>
      </c>
      <c r="C69" s="28" t="s">
        <v>497</v>
      </c>
      <c r="D69" s="5" t="s">
        <v>498</v>
      </c>
      <c r="E69" s="22" t="s">
        <v>499</v>
      </c>
    </row>
    <row r="70" customFormat="false" ht="23.85" hidden="false" customHeight="false" outlineLevel="0" collapsed="false">
      <c r="A70" s="5" t="s">
        <v>500</v>
      </c>
      <c r="B70" s="5" t="s">
        <v>451</v>
      </c>
      <c r="C70" s="28" t="s">
        <v>501</v>
      </c>
      <c r="D70" s="5" t="s">
        <v>383</v>
      </c>
      <c r="E70" s="22" t="s">
        <v>384</v>
      </c>
    </row>
    <row r="71" customFormat="false" ht="15" hidden="false" customHeight="false" outlineLevel="0" collapsed="false">
      <c r="A71" s="5" t="s">
        <v>502</v>
      </c>
      <c r="B71" s="5" t="s">
        <v>451</v>
      </c>
      <c r="C71" s="28" t="s">
        <v>503</v>
      </c>
      <c r="D71" s="5" t="s">
        <v>504</v>
      </c>
      <c r="E71" s="22" t="s">
        <v>505</v>
      </c>
    </row>
    <row r="72" customFormat="false" ht="15" hidden="false" customHeight="false" outlineLevel="0" collapsed="false">
      <c r="A72" s="5" t="s">
        <v>506</v>
      </c>
      <c r="B72" s="5" t="s">
        <v>451</v>
      </c>
      <c r="C72" s="28" t="s">
        <v>507</v>
      </c>
      <c r="D72" s="5" t="s">
        <v>350</v>
      </c>
      <c r="E72" s="22" t="s">
        <v>508</v>
      </c>
    </row>
    <row r="73" customFormat="false" ht="15" hidden="false" customHeight="false" outlineLevel="0" collapsed="false">
      <c r="A73" s="5" t="s">
        <v>509</v>
      </c>
      <c r="B73" s="5" t="s">
        <v>451</v>
      </c>
      <c r="C73" s="28" t="s">
        <v>510</v>
      </c>
      <c r="D73" s="5" t="s">
        <v>511</v>
      </c>
      <c r="E73" s="22" t="s">
        <v>512</v>
      </c>
    </row>
    <row r="74" customFormat="false" ht="15" hidden="false" customHeight="false" outlineLevel="0" collapsed="false">
      <c r="A74" s="5" t="s">
        <v>513</v>
      </c>
      <c r="B74" s="5" t="s">
        <v>451</v>
      </c>
      <c r="C74" s="28" t="s">
        <v>514</v>
      </c>
      <c r="D74" s="5" t="s">
        <v>515</v>
      </c>
      <c r="E74" s="22" t="s">
        <v>516</v>
      </c>
    </row>
    <row r="75" customFormat="false" ht="15" hidden="false" customHeight="false" outlineLevel="0" collapsed="false">
      <c r="A75" s="5" t="s">
        <v>517</v>
      </c>
      <c r="B75" s="5" t="s">
        <v>451</v>
      </c>
      <c r="C75" s="28" t="s">
        <v>518</v>
      </c>
      <c r="D75" s="5" t="s">
        <v>448</v>
      </c>
      <c r="E75" s="22" t="s">
        <v>449</v>
      </c>
    </row>
    <row r="76" customFormat="false" ht="15" hidden="false" customHeight="false" outlineLevel="0" collapsed="false">
      <c r="A76" s="5" t="s">
        <v>519</v>
      </c>
      <c r="B76" s="5" t="s">
        <v>451</v>
      </c>
      <c r="C76" s="28" t="s">
        <v>520</v>
      </c>
      <c r="D76" s="5" t="s">
        <v>521</v>
      </c>
      <c r="E76" s="22" t="s">
        <v>522</v>
      </c>
    </row>
    <row r="77" customFormat="false" ht="15" hidden="false" customHeight="false" outlineLevel="0" collapsed="false">
      <c r="A77" s="5" t="s">
        <v>523</v>
      </c>
      <c r="B77" s="5" t="s">
        <v>451</v>
      </c>
      <c r="C77" s="28" t="s">
        <v>524</v>
      </c>
      <c r="D77" s="5" t="s">
        <v>525</v>
      </c>
      <c r="E77" s="22" t="s">
        <v>526</v>
      </c>
    </row>
    <row r="78" customFormat="false" ht="15" hidden="false" customHeight="false" outlineLevel="0" collapsed="false">
      <c r="A78" s="5" t="s">
        <v>527</v>
      </c>
      <c r="B78" s="5" t="s">
        <v>451</v>
      </c>
      <c r="C78" s="28" t="s">
        <v>528</v>
      </c>
      <c r="D78" s="5" t="s">
        <v>521</v>
      </c>
      <c r="E78" s="22" t="s">
        <v>529</v>
      </c>
    </row>
    <row r="79" customFormat="false" ht="23.85" hidden="false" customHeight="false" outlineLevel="0" collapsed="false">
      <c r="A79" s="5" t="s">
        <v>530</v>
      </c>
      <c r="B79" s="5" t="s">
        <v>451</v>
      </c>
      <c r="C79" s="28" t="s">
        <v>531</v>
      </c>
      <c r="D79" s="5" t="s">
        <v>532</v>
      </c>
      <c r="E79" s="22" t="s">
        <v>533</v>
      </c>
    </row>
    <row r="80" customFormat="false" ht="23.85" hidden="false" customHeight="false" outlineLevel="0" collapsed="false">
      <c r="A80" s="5" t="s">
        <v>534</v>
      </c>
      <c r="B80" s="5" t="s">
        <v>451</v>
      </c>
      <c r="C80" s="28" t="s">
        <v>535</v>
      </c>
      <c r="D80" s="5" t="s">
        <v>283</v>
      </c>
      <c r="E80" s="22" t="s">
        <v>536</v>
      </c>
    </row>
    <row r="81" customFormat="false" ht="15" hidden="false" customHeight="false" outlineLevel="0" collapsed="false">
      <c r="A81" s="5" t="s">
        <v>537</v>
      </c>
      <c r="B81" s="5" t="s">
        <v>451</v>
      </c>
      <c r="C81" s="28" t="s">
        <v>538</v>
      </c>
      <c r="D81" s="5" t="s">
        <v>320</v>
      </c>
      <c r="E81" s="22" t="s">
        <v>321</v>
      </c>
    </row>
    <row r="82" customFormat="false" ht="23.85" hidden="false" customHeight="false" outlineLevel="0" collapsed="false">
      <c r="A82" s="5" t="s">
        <v>539</v>
      </c>
      <c r="B82" s="5" t="s">
        <v>451</v>
      </c>
      <c r="C82" s="28" t="s">
        <v>540</v>
      </c>
      <c r="D82" s="5" t="s">
        <v>283</v>
      </c>
      <c r="E82" s="22" t="s">
        <v>291</v>
      </c>
    </row>
    <row r="83" customFormat="false" ht="23.85" hidden="false" customHeight="false" outlineLevel="0" collapsed="false">
      <c r="A83" s="5" t="s">
        <v>541</v>
      </c>
      <c r="B83" s="5" t="s">
        <v>451</v>
      </c>
      <c r="C83" s="28" t="s">
        <v>542</v>
      </c>
      <c r="D83" s="5" t="s">
        <v>543</v>
      </c>
      <c r="E83" s="22" t="s">
        <v>544</v>
      </c>
    </row>
    <row r="84" customFormat="false" ht="23.85" hidden="false" customHeight="false" outlineLevel="0" collapsed="false">
      <c r="A84" s="5" t="s">
        <v>545</v>
      </c>
      <c r="B84" s="5" t="s">
        <v>451</v>
      </c>
      <c r="C84" s="28" t="s">
        <v>546</v>
      </c>
      <c r="D84" s="5" t="s">
        <v>365</v>
      </c>
      <c r="E84" s="22" t="s">
        <v>547</v>
      </c>
    </row>
    <row r="85" customFormat="false" ht="23.85" hidden="false" customHeight="false" outlineLevel="0" collapsed="false">
      <c r="A85" s="5" t="s">
        <v>548</v>
      </c>
      <c r="B85" s="5" t="s">
        <v>451</v>
      </c>
      <c r="C85" s="28" t="s">
        <v>549</v>
      </c>
      <c r="D85" s="5" t="s">
        <v>550</v>
      </c>
      <c r="E85" s="22" t="s">
        <v>551</v>
      </c>
    </row>
    <row r="86" customFormat="false" ht="15" hidden="false" customHeight="false" outlineLevel="0" collapsed="false">
      <c r="A86" s="5" t="s">
        <v>552</v>
      </c>
      <c r="B86" s="5" t="s">
        <v>451</v>
      </c>
      <c r="C86" s="28" t="s">
        <v>553</v>
      </c>
      <c r="D86" s="5" t="s">
        <v>498</v>
      </c>
      <c r="E86" s="22" t="s">
        <v>554</v>
      </c>
    </row>
    <row r="87" customFormat="false" ht="23.85" hidden="false" customHeight="false" outlineLevel="0" collapsed="false">
      <c r="A87" s="5" t="s">
        <v>555</v>
      </c>
      <c r="B87" s="5" t="s">
        <v>451</v>
      </c>
      <c r="C87" s="28" t="s">
        <v>556</v>
      </c>
      <c r="D87" s="5" t="s">
        <v>557</v>
      </c>
      <c r="E87" s="22" t="s">
        <v>558</v>
      </c>
    </row>
    <row r="88" customFormat="false" ht="15" hidden="false" customHeight="false" outlineLevel="0" collapsed="false">
      <c r="A88" s="5" t="s">
        <v>559</v>
      </c>
      <c r="B88" s="5" t="s">
        <v>451</v>
      </c>
      <c r="C88" s="28" t="s">
        <v>560</v>
      </c>
      <c r="D88" s="5" t="s">
        <v>521</v>
      </c>
      <c r="E88" s="22" t="s">
        <v>561</v>
      </c>
    </row>
    <row r="89" customFormat="false" ht="15" hidden="false" customHeight="false" outlineLevel="0" collapsed="false">
      <c r="A89" s="5" t="s">
        <v>562</v>
      </c>
      <c r="B89" s="5" t="s">
        <v>563</v>
      </c>
      <c r="C89" s="28" t="s">
        <v>328</v>
      </c>
      <c r="D89" s="5" t="s">
        <v>283</v>
      </c>
      <c r="E89" s="22" t="s">
        <v>284</v>
      </c>
    </row>
    <row r="90" customFormat="false" ht="15" hidden="false" customHeight="false" outlineLevel="0" collapsed="false">
      <c r="A90" s="5" t="s">
        <v>564</v>
      </c>
      <c r="B90" s="5" t="s">
        <v>563</v>
      </c>
      <c r="C90" s="28" t="s">
        <v>565</v>
      </c>
      <c r="D90" s="5" t="s">
        <v>283</v>
      </c>
      <c r="E90" s="22" t="s">
        <v>566</v>
      </c>
    </row>
    <row r="91" customFormat="false" ht="15" hidden="false" customHeight="false" outlineLevel="0" collapsed="false">
      <c r="A91" s="5" t="s">
        <v>567</v>
      </c>
      <c r="B91" s="5" t="s">
        <v>563</v>
      </c>
      <c r="C91" s="28" t="s">
        <v>568</v>
      </c>
      <c r="D91" s="5" t="s">
        <v>569</v>
      </c>
      <c r="E91" s="22" t="s">
        <v>570</v>
      </c>
    </row>
    <row r="92" customFormat="false" ht="23.85" hidden="false" customHeight="false" outlineLevel="0" collapsed="false">
      <c r="A92" s="5" t="s">
        <v>571</v>
      </c>
      <c r="B92" s="5" t="s">
        <v>563</v>
      </c>
      <c r="C92" s="28" t="s">
        <v>572</v>
      </c>
      <c r="D92" s="5" t="s">
        <v>324</v>
      </c>
      <c r="E92" s="22" t="s">
        <v>334</v>
      </c>
    </row>
    <row r="93" customFormat="false" ht="23.85" hidden="false" customHeight="false" outlineLevel="0" collapsed="false">
      <c r="A93" s="5" t="s">
        <v>573</v>
      </c>
      <c r="B93" s="5" t="s">
        <v>563</v>
      </c>
      <c r="C93" s="28" t="s">
        <v>574</v>
      </c>
      <c r="D93" s="5" t="s">
        <v>575</v>
      </c>
      <c r="E93" s="22" t="s">
        <v>576</v>
      </c>
    </row>
    <row r="94" customFormat="false" ht="23.85" hidden="false" customHeight="false" outlineLevel="0" collapsed="false">
      <c r="A94" s="5" t="s">
        <v>577</v>
      </c>
      <c r="B94" s="5" t="s">
        <v>563</v>
      </c>
      <c r="C94" s="28" t="s">
        <v>578</v>
      </c>
      <c r="D94" s="5" t="s">
        <v>287</v>
      </c>
      <c r="E94" s="22" t="s">
        <v>579</v>
      </c>
    </row>
    <row r="95" customFormat="false" ht="15" hidden="false" customHeight="false" outlineLevel="0" collapsed="false">
      <c r="A95" s="5" t="s">
        <v>580</v>
      </c>
      <c r="B95" s="5" t="s">
        <v>563</v>
      </c>
      <c r="C95" s="28" t="s">
        <v>581</v>
      </c>
      <c r="D95" s="5" t="s">
        <v>287</v>
      </c>
      <c r="E95" s="22" t="s">
        <v>582</v>
      </c>
    </row>
    <row r="96" customFormat="false" ht="35.05" hidden="false" customHeight="false" outlineLevel="0" collapsed="false">
      <c r="A96" s="5" t="s">
        <v>583</v>
      </c>
      <c r="B96" s="5" t="s">
        <v>563</v>
      </c>
      <c r="C96" s="28" t="s">
        <v>584</v>
      </c>
      <c r="D96" s="5" t="s">
        <v>316</v>
      </c>
      <c r="E96" s="22" t="s">
        <v>585</v>
      </c>
    </row>
    <row r="97" customFormat="false" ht="23.85" hidden="false" customHeight="false" outlineLevel="0" collapsed="false">
      <c r="A97" s="5" t="s">
        <v>586</v>
      </c>
      <c r="B97" s="5" t="s">
        <v>563</v>
      </c>
      <c r="C97" s="28" t="s">
        <v>587</v>
      </c>
      <c r="D97" s="5" t="s">
        <v>588</v>
      </c>
      <c r="E97" s="22" t="s">
        <v>589</v>
      </c>
    </row>
    <row r="98" customFormat="false" ht="15" hidden="false" customHeight="false" outlineLevel="0" collapsed="false">
      <c r="A98" s="5" t="s">
        <v>590</v>
      </c>
      <c r="B98" s="5" t="s">
        <v>563</v>
      </c>
      <c r="C98" s="28" t="s">
        <v>591</v>
      </c>
      <c r="D98" s="5" t="s">
        <v>316</v>
      </c>
      <c r="E98" s="22" t="s">
        <v>387</v>
      </c>
    </row>
    <row r="99" customFormat="false" ht="23.85" hidden="false" customHeight="false" outlineLevel="0" collapsed="false">
      <c r="A99" s="5" t="s">
        <v>592</v>
      </c>
      <c r="B99" s="5" t="s">
        <v>563</v>
      </c>
      <c r="C99" s="28" t="s">
        <v>593</v>
      </c>
      <c r="D99" s="5" t="s">
        <v>521</v>
      </c>
      <c r="E99" s="22" t="s">
        <v>594</v>
      </c>
    </row>
    <row r="100" customFormat="false" ht="35.05" hidden="false" customHeight="false" outlineLevel="0" collapsed="false">
      <c r="A100" s="5" t="s">
        <v>595</v>
      </c>
      <c r="B100" s="5" t="s">
        <v>563</v>
      </c>
      <c r="C100" s="28" t="s">
        <v>596</v>
      </c>
      <c r="D100" s="5" t="s">
        <v>521</v>
      </c>
      <c r="E100" s="22" t="s">
        <v>597</v>
      </c>
    </row>
    <row r="101" customFormat="false" ht="15" hidden="false" customHeight="false" outlineLevel="0" collapsed="false">
      <c r="A101" s="5" t="s">
        <v>598</v>
      </c>
      <c r="B101" s="5" t="s">
        <v>563</v>
      </c>
      <c r="C101" s="28" t="s">
        <v>599</v>
      </c>
      <c r="D101" s="5" t="s">
        <v>521</v>
      </c>
      <c r="E101" s="22" t="s">
        <v>522</v>
      </c>
    </row>
    <row r="102" customFormat="false" ht="23.85" hidden="false" customHeight="false" outlineLevel="0" collapsed="false">
      <c r="A102" s="5" t="s">
        <v>600</v>
      </c>
      <c r="B102" s="5" t="s">
        <v>563</v>
      </c>
      <c r="C102" s="28" t="s">
        <v>601</v>
      </c>
      <c r="D102" s="5" t="s">
        <v>602</v>
      </c>
      <c r="E102" s="22" t="s">
        <v>603</v>
      </c>
    </row>
    <row r="103" customFormat="false" ht="23.85" hidden="false" customHeight="false" outlineLevel="0" collapsed="false">
      <c r="A103" s="5" t="s">
        <v>604</v>
      </c>
      <c r="B103" s="5" t="s">
        <v>563</v>
      </c>
      <c r="C103" s="28" t="s">
        <v>605</v>
      </c>
      <c r="D103" s="5" t="s">
        <v>316</v>
      </c>
      <c r="E103" s="22" t="s">
        <v>317</v>
      </c>
    </row>
    <row r="104" customFormat="false" ht="15" hidden="false" customHeight="false" outlineLevel="0" collapsed="false">
      <c r="A104" s="5" t="s">
        <v>606</v>
      </c>
      <c r="B104" s="5" t="s">
        <v>563</v>
      </c>
      <c r="C104" s="28" t="s">
        <v>607</v>
      </c>
      <c r="D104" s="5" t="s">
        <v>320</v>
      </c>
      <c r="E104" s="22" t="s">
        <v>321</v>
      </c>
    </row>
    <row r="105" customFormat="false" ht="23.85" hidden="false" customHeight="false" outlineLevel="0" collapsed="false">
      <c r="A105" s="5" t="s">
        <v>608</v>
      </c>
      <c r="B105" s="5" t="s">
        <v>563</v>
      </c>
      <c r="C105" s="28" t="s">
        <v>609</v>
      </c>
      <c r="D105" s="5" t="s">
        <v>283</v>
      </c>
      <c r="E105" s="22" t="s">
        <v>291</v>
      </c>
    </row>
    <row r="106" customFormat="false" ht="23.85" hidden="false" customHeight="false" outlineLevel="0" collapsed="false">
      <c r="A106" s="5" t="s">
        <v>610</v>
      </c>
      <c r="B106" s="5" t="s">
        <v>563</v>
      </c>
      <c r="C106" s="28" t="s">
        <v>611</v>
      </c>
      <c r="D106" s="5" t="s">
        <v>287</v>
      </c>
      <c r="E106" s="22" t="s">
        <v>288</v>
      </c>
    </row>
    <row r="107" customFormat="false" ht="23.85" hidden="false" customHeight="false" outlineLevel="0" collapsed="false">
      <c r="A107" s="5" t="s">
        <v>612</v>
      </c>
      <c r="B107" s="5" t="s">
        <v>563</v>
      </c>
      <c r="C107" s="28" t="s">
        <v>613</v>
      </c>
      <c r="D107" s="5" t="s">
        <v>614</v>
      </c>
      <c r="E107" s="22" t="s">
        <v>615</v>
      </c>
    </row>
    <row r="108" customFormat="false" ht="23.85" hidden="false" customHeight="false" outlineLevel="0" collapsed="false">
      <c r="A108" s="5" t="s">
        <v>616</v>
      </c>
      <c r="B108" s="5" t="s">
        <v>563</v>
      </c>
      <c r="C108" s="28" t="s">
        <v>617</v>
      </c>
      <c r="D108" s="5" t="s">
        <v>618</v>
      </c>
      <c r="E108" s="22" t="s">
        <v>619</v>
      </c>
    </row>
    <row r="109" customFormat="false" ht="23.85" hidden="false" customHeight="false" outlineLevel="0" collapsed="false">
      <c r="A109" s="5" t="s">
        <v>620</v>
      </c>
      <c r="B109" s="5" t="s">
        <v>563</v>
      </c>
      <c r="C109" s="28" t="s">
        <v>621</v>
      </c>
      <c r="D109" s="5" t="s">
        <v>365</v>
      </c>
      <c r="E109" s="22" t="s">
        <v>622</v>
      </c>
    </row>
    <row r="110" customFormat="false" ht="23.85" hidden="false" customHeight="false" outlineLevel="0" collapsed="false">
      <c r="A110" s="5" t="s">
        <v>623</v>
      </c>
      <c r="B110" s="5" t="s">
        <v>563</v>
      </c>
      <c r="C110" s="28" t="s">
        <v>624</v>
      </c>
      <c r="D110" s="5" t="s">
        <v>602</v>
      </c>
      <c r="E110" s="22" t="s">
        <v>625</v>
      </c>
    </row>
    <row r="111" customFormat="false" ht="23.85" hidden="false" customHeight="false" outlineLevel="0" collapsed="false">
      <c r="A111" s="5" t="s">
        <v>626</v>
      </c>
      <c r="B111" s="5" t="s">
        <v>563</v>
      </c>
      <c r="C111" s="28" t="s">
        <v>627</v>
      </c>
      <c r="D111" s="5" t="s">
        <v>316</v>
      </c>
      <c r="E111" s="22" t="s">
        <v>628</v>
      </c>
    </row>
    <row r="112" customFormat="false" ht="15" hidden="false" customHeight="false" outlineLevel="0" collapsed="false">
      <c r="A112" s="5" t="s">
        <v>629</v>
      </c>
      <c r="B112" s="5" t="s">
        <v>630</v>
      </c>
      <c r="C112" s="28" t="s">
        <v>328</v>
      </c>
      <c r="D112" s="5" t="s">
        <v>283</v>
      </c>
      <c r="E112" s="22" t="s">
        <v>284</v>
      </c>
    </row>
    <row r="113" customFormat="false" ht="15" hidden="false" customHeight="false" outlineLevel="0" collapsed="false">
      <c r="A113" s="5" t="s">
        <v>631</v>
      </c>
      <c r="B113" s="5" t="s">
        <v>630</v>
      </c>
      <c r="C113" s="28" t="s">
        <v>632</v>
      </c>
      <c r="D113" s="5" t="s">
        <v>283</v>
      </c>
      <c r="E113" s="22" t="s">
        <v>291</v>
      </c>
    </row>
    <row r="114" customFormat="false" ht="23.85" hidden="false" customHeight="false" outlineLevel="0" collapsed="false">
      <c r="A114" s="5" t="s">
        <v>633</v>
      </c>
      <c r="B114" s="5" t="s">
        <v>630</v>
      </c>
      <c r="C114" s="28" t="s">
        <v>634</v>
      </c>
      <c r="D114" s="5" t="s">
        <v>635</v>
      </c>
      <c r="E114" s="22" t="s">
        <v>636</v>
      </c>
    </row>
    <row r="115" customFormat="false" ht="23.85" hidden="false" customHeight="false" outlineLevel="0" collapsed="false">
      <c r="A115" s="5" t="s">
        <v>637</v>
      </c>
      <c r="B115" s="5" t="s">
        <v>630</v>
      </c>
      <c r="C115" s="28" t="s">
        <v>638</v>
      </c>
      <c r="D115" s="5" t="s">
        <v>316</v>
      </c>
      <c r="E115" s="22" t="s">
        <v>317</v>
      </c>
    </row>
    <row r="116" customFormat="false" ht="23.85" hidden="false" customHeight="false" outlineLevel="0" collapsed="false">
      <c r="A116" s="5" t="s">
        <v>639</v>
      </c>
      <c r="B116" s="5" t="s">
        <v>630</v>
      </c>
      <c r="C116" s="28" t="s">
        <v>640</v>
      </c>
      <c r="D116" s="5" t="s">
        <v>316</v>
      </c>
      <c r="E116" s="22" t="s">
        <v>394</v>
      </c>
    </row>
    <row r="117" customFormat="false" ht="15" hidden="false" customHeight="false" outlineLevel="0" collapsed="false">
      <c r="A117" s="5" t="s">
        <v>641</v>
      </c>
      <c r="B117" s="5" t="s">
        <v>630</v>
      </c>
      <c r="C117" s="28" t="s">
        <v>642</v>
      </c>
      <c r="D117" s="5" t="s">
        <v>287</v>
      </c>
      <c r="E117" s="22" t="s">
        <v>643</v>
      </c>
    </row>
    <row r="118" customFormat="false" ht="15" hidden="false" customHeight="false" outlineLevel="0" collapsed="false">
      <c r="A118" s="5" t="s">
        <v>644</v>
      </c>
      <c r="B118" s="5" t="s">
        <v>630</v>
      </c>
      <c r="C118" s="28" t="s">
        <v>645</v>
      </c>
      <c r="D118" s="5" t="s">
        <v>646</v>
      </c>
      <c r="E118" s="22" t="s">
        <v>647</v>
      </c>
    </row>
    <row r="119" customFormat="false" ht="15" hidden="false" customHeight="false" outlineLevel="0" collapsed="false">
      <c r="A119" s="5" t="s">
        <v>648</v>
      </c>
      <c r="B119" s="5" t="s">
        <v>630</v>
      </c>
      <c r="C119" s="28" t="s">
        <v>649</v>
      </c>
      <c r="D119" s="5" t="s">
        <v>320</v>
      </c>
      <c r="E119" s="22" t="s">
        <v>650</v>
      </c>
    </row>
    <row r="120" customFormat="false" ht="23.85" hidden="false" customHeight="false" outlineLevel="0" collapsed="false">
      <c r="A120" s="5" t="s">
        <v>651</v>
      </c>
      <c r="B120" s="5" t="s">
        <v>630</v>
      </c>
      <c r="C120" s="28" t="s">
        <v>652</v>
      </c>
      <c r="D120" s="5" t="s">
        <v>324</v>
      </c>
      <c r="E120" s="22" t="s">
        <v>334</v>
      </c>
    </row>
    <row r="121" customFormat="false" ht="23.85" hidden="false" customHeight="false" outlineLevel="0" collapsed="false">
      <c r="A121" s="5" t="s">
        <v>653</v>
      </c>
      <c r="B121" s="5" t="s">
        <v>630</v>
      </c>
      <c r="C121" s="28" t="s">
        <v>654</v>
      </c>
      <c r="D121" s="5" t="s">
        <v>655</v>
      </c>
      <c r="E121" s="22" t="s">
        <v>656</v>
      </c>
    </row>
    <row r="122" customFormat="false" ht="15" hidden="false" customHeight="false" outlineLevel="0" collapsed="false">
      <c r="A122" s="5" t="s">
        <v>657</v>
      </c>
      <c r="B122" s="5" t="s">
        <v>630</v>
      </c>
      <c r="C122" s="28" t="s">
        <v>658</v>
      </c>
      <c r="D122" s="5" t="s">
        <v>365</v>
      </c>
      <c r="E122" s="22" t="s">
        <v>659</v>
      </c>
    </row>
    <row r="123" customFormat="false" ht="15" hidden="false" customHeight="false" outlineLevel="0" collapsed="false">
      <c r="A123" s="5" t="s">
        <v>660</v>
      </c>
      <c r="B123" s="5" t="s">
        <v>630</v>
      </c>
      <c r="C123" s="28" t="s">
        <v>661</v>
      </c>
      <c r="D123" s="5" t="s">
        <v>316</v>
      </c>
      <c r="E123" s="22" t="s">
        <v>662</v>
      </c>
    </row>
    <row r="124" customFormat="false" ht="15" hidden="false" customHeight="false" outlineLevel="0" collapsed="false">
      <c r="A124" s="5" t="s">
        <v>663</v>
      </c>
      <c r="B124" s="5" t="s">
        <v>630</v>
      </c>
      <c r="C124" s="28" t="s">
        <v>664</v>
      </c>
      <c r="D124" s="5" t="s">
        <v>316</v>
      </c>
      <c r="E124" s="22" t="s">
        <v>387</v>
      </c>
    </row>
    <row r="125" customFormat="false" ht="23.85" hidden="false" customHeight="false" outlineLevel="0" collapsed="false">
      <c r="A125" s="5" t="s">
        <v>665</v>
      </c>
      <c r="B125" s="5" t="s">
        <v>630</v>
      </c>
      <c r="C125" s="28" t="s">
        <v>666</v>
      </c>
      <c r="D125" s="5" t="s">
        <v>316</v>
      </c>
      <c r="E125" s="22" t="s">
        <v>628</v>
      </c>
    </row>
    <row r="126" customFormat="false" ht="35.05" hidden="false" customHeight="false" outlineLevel="0" collapsed="false">
      <c r="A126" s="5" t="s">
        <v>667</v>
      </c>
      <c r="B126" s="5" t="s">
        <v>630</v>
      </c>
      <c r="C126" s="28" t="s">
        <v>668</v>
      </c>
      <c r="D126" s="5" t="s">
        <v>316</v>
      </c>
      <c r="E126" s="22" t="s">
        <v>669</v>
      </c>
    </row>
    <row r="127" customFormat="false" ht="15" hidden="false" customHeight="false" outlineLevel="0" collapsed="false">
      <c r="A127" s="5" t="s">
        <v>670</v>
      </c>
      <c r="B127" s="5" t="s">
        <v>630</v>
      </c>
      <c r="C127" s="28" t="s">
        <v>671</v>
      </c>
      <c r="D127" s="5" t="s">
        <v>672</v>
      </c>
      <c r="E127" s="22" t="s">
        <v>673</v>
      </c>
    </row>
    <row r="128" customFormat="false" ht="23.85" hidden="false" customHeight="false" outlineLevel="0" collapsed="false">
      <c r="A128" s="5" t="s">
        <v>674</v>
      </c>
      <c r="B128" s="5" t="s">
        <v>630</v>
      </c>
      <c r="C128" s="28" t="s">
        <v>675</v>
      </c>
      <c r="D128" s="5" t="s">
        <v>316</v>
      </c>
      <c r="E128" s="22" t="s">
        <v>676</v>
      </c>
    </row>
    <row r="129" customFormat="false" ht="23.85" hidden="false" customHeight="false" outlineLevel="0" collapsed="false">
      <c r="A129" s="5" t="s">
        <v>677</v>
      </c>
      <c r="B129" s="5" t="s">
        <v>630</v>
      </c>
      <c r="C129" s="28" t="s">
        <v>678</v>
      </c>
      <c r="D129" s="5" t="s">
        <v>679</v>
      </c>
      <c r="E129" s="22" t="s">
        <v>680</v>
      </c>
    </row>
    <row r="130" customFormat="false" ht="15" hidden="false" customHeight="false" outlineLevel="0" collapsed="false">
      <c r="A130" s="5" t="s">
        <v>681</v>
      </c>
      <c r="B130" s="5" t="s">
        <v>630</v>
      </c>
      <c r="C130" s="28" t="s">
        <v>682</v>
      </c>
      <c r="D130" s="5" t="s">
        <v>361</v>
      </c>
      <c r="E130" s="22" t="s">
        <v>683</v>
      </c>
    </row>
    <row r="131" customFormat="false" ht="23.85" hidden="false" customHeight="false" outlineLevel="0" collapsed="false">
      <c r="A131" s="5" t="s">
        <v>684</v>
      </c>
      <c r="B131" s="5" t="s">
        <v>630</v>
      </c>
      <c r="C131" s="28" t="s">
        <v>685</v>
      </c>
      <c r="D131" s="5" t="s">
        <v>686</v>
      </c>
      <c r="E131" s="22" t="s">
        <v>687</v>
      </c>
    </row>
    <row r="132" customFormat="false" ht="15" hidden="false" customHeight="false" outlineLevel="0" collapsed="false">
      <c r="A132" s="5" t="s">
        <v>688</v>
      </c>
      <c r="B132" s="5" t="s">
        <v>630</v>
      </c>
      <c r="C132" s="28" t="s">
        <v>689</v>
      </c>
      <c r="D132" s="5" t="s">
        <v>690</v>
      </c>
      <c r="E132" s="22" t="s">
        <v>691</v>
      </c>
    </row>
    <row r="133" customFormat="false" ht="23.85" hidden="false" customHeight="false" outlineLevel="0" collapsed="false">
      <c r="A133" s="5" t="s">
        <v>692</v>
      </c>
      <c r="B133" s="5" t="s">
        <v>630</v>
      </c>
      <c r="C133" s="28" t="s">
        <v>693</v>
      </c>
      <c r="D133" s="5" t="s">
        <v>383</v>
      </c>
      <c r="E133" s="22" t="s">
        <v>384</v>
      </c>
    </row>
    <row r="134" customFormat="false" ht="23.85" hidden="false" customHeight="false" outlineLevel="0" collapsed="false">
      <c r="A134" s="5" t="s">
        <v>694</v>
      </c>
      <c r="B134" s="5" t="s">
        <v>630</v>
      </c>
      <c r="C134" s="28" t="s">
        <v>695</v>
      </c>
      <c r="D134" s="5" t="s">
        <v>696</v>
      </c>
      <c r="E134" s="22" t="s">
        <v>697</v>
      </c>
    </row>
    <row r="135" customFormat="false" ht="23.85" hidden="false" customHeight="false" outlineLevel="0" collapsed="false">
      <c r="A135" s="5" t="s">
        <v>698</v>
      </c>
      <c r="B135" s="5" t="s">
        <v>630</v>
      </c>
      <c r="C135" s="28" t="s">
        <v>699</v>
      </c>
      <c r="D135" s="5" t="s">
        <v>316</v>
      </c>
      <c r="E135" s="22" t="s">
        <v>700</v>
      </c>
    </row>
    <row r="136" customFormat="false" ht="15" hidden="false" customHeight="false" outlineLevel="0" collapsed="false">
      <c r="A136" s="5" t="s">
        <v>701</v>
      </c>
      <c r="B136" s="5" t="s">
        <v>630</v>
      </c>
      <c r="C136" s="28" t="s">
        <v>702</v>
      </c>
      <c r="D136" s="5" t="s">
        <v>703</v>
      </c>
      <c r="E136" s="22" t="s">
        <v>704</v>
      </c>
    </row>
    <row r="137" customFormat="false" ht="23.85" hidden="false" customHeight="false" outlineLevel="0" collapsed="false">
      <c r="A137" s="5" t="s">
        <v>705</v>
      </c>
      <c r="B137" s="5" t="s">
        <v>630</v>
      </c>
      <c r="C137" s="28" t="s">
        <v>706</v>
      </c>
      <c r="D137" s="5" t="s">
        <v>602</v>
      </c>
      <c r="E137" s="22" t="s">
        <v>625</v>
      </c>
    </row>
    <row r="138" customFormat="false" ht="23.85" hidden="false" customHeight="false" outlineLevel="0" collapsed="false">
      <c r="A138" s="5" t="s">
        <v>707</v>
      </c>
      <c r="B138" s="5" t="s">
        <v>630</v>
      </c>
      <c r="C138" s="28" t="s">
        <v>708</v>
      </c>
      <c r="D138" s="5" t="s">
        <v>709</v>
      </c>
      <c r="E138" s="22" t="s">
        <v>710</v>
      </c>
    </row>
    <row r="139" customFormat="false" ht="23.85" hidden="false" customHeight="false" outlineLevel="0" collapsed="false">
      <c r="A139" s="5" t="s">
        <v>711</v>
      </c>
      <c r="B139" s="5" t="s">
        <v>630</v>
      </c>
      <c r="C139" s="28" t="s">
        <v>712</v>
      </c>
      <c r="D139" s="5" t="s">
        <v>316</v>
      </c>
      <c r="E139" s="22" t="s">
        <v>713</v>
      </c>
    </row>
    <row r="140" customFormat="false" ht="15" hidden="false" customHeight="false" outlineLevel="0" collapsed="false">
      <c r="A140" s="5" t="s">
        <v>714</v>
      </c>
      <c r="B140" s="5" t="s">
        <v>715</v>
      </c>
      <c r="C140" s="28" t="s">
        <v>716</v>
      </c>
      <c r="D140" s="5" t="s">
        <v>316</v>
      </c>
      <c r="E140" s="22" t="s">
        <v>317</v>
      </c>
    </row>
    <row r="141" customFormat="false" ht="23.85" hidden="false" customHeight="false" outlineLevel="0" collapsed="false">
      <c r="A141" s="5" t="s">
        <v>717</v>
      </c>
      <c r="B141" s="5" t="s">
        <v>715</v>
      </c>
      <c r="C141" s="28" t="s">
        <v>718</v>
      </c>
      <c r="D141" s="5" t="s">
        <v>316</v>
      </c>
      <c r="E141" s="22" t="s">
        <v>427</v>
      </c>
    </row>
    <row r="142" customFormat="false" ht="15" hidden="false" customHeight="false" outlineLevel="0" collapsed="false">
      <c r="A142" s="5" t="s">
        <v>719</v>
      </c>
      <c r="B142" s="5" t="s">
        <v>715</v>
      </c>
      <c r="C142" s="28" t="s">
        <v>720</v>
      </c>
      <c r="D142" s="5" t="s">
        <v>316</v>
      </c>
      <c r="E142" s="22" t="s">
        <v>394</v>
      </c>
    </row>
    <row r="143" customFormat="false" ht="15" hidden="false" customHeight="false" outlineLevel="0" collapsed="false">
      <c r="A143" s="5" t="s">
        <v>721</v>
      </c>
      <c r="B143" s="5" t="s">
        <v>715</v>
      </c>
      <c r="C143" s="28" t="s">
        <v>722</v>
      </c>
      <c r="D143" s="5" t="s">
        <v>316</v>
      </c>
      <c r="E143" s="22" t="s">
        <v>400</v>
      </c>
    </row>
    <row r="144" customFormat="false" ht="15" hidden="false" customHeight="false" outlineLevel="0" collapsed="false">
      <c r="A144" s="5" t="s">
        <v>723</v>
      </c>
      <c r="B144" s="5" t="s">
        <v>715</v>
      </c>
      <c r="C144" s="28" t="s">
        <v>724</v>
      </c>
      <c r="D144" s="5" t="s">
        <v>316</v>
      </c>
      <c r="E144" s="22" t="s">
        <v>397</v>
      </c>
    </row>
    <row r="145" customFormat="false" ht="15" hidden="false" customHeight="false" outlineLevel="0" collapsed="false">
      <c r="A145" s="5" t="s">
        <v>725</v>
      </c>
      <c r="B145" s="5" t="s">
        <v>715</v>
      </c>
      <c r="C145" s="28" t="s">
        <v>726</v>
      </c>
      <c r="D145" s="5" t="s">
        <v>316</v>
      </c>
      <c r="E145" s="22" t="s">
        <v>406</v>
      </c>
    </row>
    <row r="146" customFormat="false" ht="15" hidden="false" customHeight="false" outlineLevel="0" collapsed="false">
      <c r="A146" s="5" t="s">
        <v>727</v>
      </c>
      <c r="B146" s="5" t="s">
        <v>715</v>
      </c>
      <c r="C146" s="28" t="s">
        <v>728</v>
      </c>
      <c r="D146" s="5" t="s">
        <v>316</v>
      </c>
      <c r="E146" s="22" t="s">
        <v>418</v>
      </c>
    </row>
    <row r="147" customFormat="false" ht="15" hidden="false" customHeight="false" outlineLevel="0" collapsed="false">
      <c r="A147" s="5" t="s">
        <v>729</v>
      </c>
      <c r="B147" s="5" t="s">
        <v>715</v>
      </c>
      <c r="C147" s="28" t="s">
        <v>730</v>
      </c>
      <c r="D147" s="5" t="s">
        <v>316</v>
      </c>
      <c r="E147" s="22" t="s">
        <v>415</v>
      </c>
    </row>
    <row r="148" customFormat="false" ht="15" hidden="false" customHeight="false" outlineLevel="0" collapsed="false">
      <c r="A148" s="5" t="s">
        <v>731</v>
      </c>
      <c r="B148" s="5" t="s">
        <v>715</v>
      </c>
      <c r="C148" s="28" t="s">
        <v>732</v>
      </c>
      <c r="D148" s="5" t="s">
        <v>316</v>
      </c>
      <c r="E148" s="22" t="s">
        <v>733</v>
      </c>
    </row>
    <row r="149" customFormat="false" ht="15" hidden="false" customHeight="false" outlineLevel="0" collapsed="false">
      <c r="A149" s="5" t="s">
        <v>734</v>
      </c>
      <c r="B149" s="5" t="s">
        <v>715</v>
      </c>
      <c r="C149" s="28" t="s">
        <v>735</v>
      </c>
      <c r="D149" s="5" t="s">
        <v>316</v>
      </c>
      <c r="E149" s="22" t="s">
        <v>736</v>
      </c>
    </row>
    <row r="150" customFormat="false" ht="23.85" hidden="false" customHeight="false" outlineLevel="0" collapsed="false">
      <c r="A150" s="5" t="s">
        <v>737</v>
      </c>
      <c r="B150" s="5" t="s">
        <v>715</v>
      </c>
      <c r="C150" s="28" t="s">
        <v>738</v>
      </c>
      <c r="D150" s="5" t="s">
        <v>324</v>
      </c>
      <c r="E150" s="22" t="s">
        <v>334</v>
      </c>
    </row>
    <row r="151" customFormat="false" ht="15" hidden="false" customHeight="false" outlineLevel="0" collapsed="false">
      <c r="A151" s="5" t="s">
        <v>739</v>
      </c>
      <c r="B151" s="5" t="s">
        <v>715</v>
      </c>
      <c r="C151" s="28" t="s">
        <v>740</v>
      </c>
      <c r="D151" s="5" t="s">
        <v>436</v>
      </c>
      <c r="E151" s="22" t="s">
        <v>437</v>
      </c>
    </row>
    <row r="152" customFormat="false" ht="23.85" hidden="false" customHeight="false" outlineLevel="0" collapsed="false">
      <c r="A152" s="5" t="s">
        <v>741</v>
      </c>
      <c r="B152" s="5" t="s">
        <v>715</v>
      </c>
      <c r="C152" s="28" t="s">
        <v>742</v>
      </c>
      <c r="D152" s="5" t="s">
        <v>743</v>
      </c>
      <c r="E152" s="22" t="s">
        <v>744</v>
      </c>
    </row>
    <row r="153" customFormat="false" ht="15" hidden="false" customHeight="false" outlineLevel="0" collapsed="false">
      <c r="A153" s="5" t="s">
        <v>745</v>
      </c>
      <c r="B153" s="5" t="s">
        <v>715</v>
      </c>
      <c r="C153" s="28" t="s">
        <v>746</v>
      </c>
      <c r="D153" s="5" t="s">
        <v>283</v>
      </c>
      <c r="E153" s="22" t="s">
        <v>291</v>
      </c>
    </row>
    <row r="154" customFormat="false" ht="23.85" hidden="false" customHeight="false" outlineLevel="0" collapsed="false">
      <c r="A154" s="5" t="s">
        <v>747</v>
      </c>
      <c r="B154" s="5" t="s">
        <v>715</v>
      </c>
      <c r="C154" s="28" t="s">
        <v>748</v>
      </c>
      <c r="D154" s="5" t="s">
        <v>749</v>
      </c>
      <c r="E154" s="22" t="s">
        <v>750</v>
      </c>
    </row>
    <row r="155" customFormat="false" ht="23.85" hidden="false" customHeight="false" outlineLevel="0" collapsed="false">
      <c r="A155" s="5" t="s">
        <v>751</v>
      </c>
      <c r="B155" s="5" t="s">
        <v>715</v>
      </c>
      <c r="C155" s="28" t="s">
        <v>752</v>
      </c>
      <c r="D155" s="5" t="s">
        <v>749</v>
      </c>
      <c r="E155" s="22" t="s">
        <v>753</v>
      </c>
    </row>
    <row r="156" customFormat="false" ht="23.85" hidden="false" customHeight="false" outlineLevel="0" collapsed="false">
      <c r="A156" s="5" t="s">
        <v>754</v>
      </c>
      <c r="B156" s="5" t="s">
        <v>715</v>
      </c>
      <c r="C156" s="28" t="s">
        <v>755</v>
      </c>
      <c r="D156" s="5" t="s">
        <v>749</v>
      </c>
      <c r="E156" s="22" t="s">
        <v>756</v>
      </c>
    </row>
    <row r="157" customFormat="false" ht="23.85" hidden="false" customHeight="false" outlineLevel="0" collapsed="false">
      <c r="A157" s="5" t="s">
        <v>757</v>
      </c>
      <c r="B157" s="5" t="s">
        <v>715</v>
      </c>
      <c r="C157" s="28" t="s">
        <v>758</v>
      </c>
      <c r="D157" s="5" t="s">
        <v>749</v>
      </c>
      <c r="E157" s="22" t="s">
        <v>759</v>
      </c>
    </row>
    <row r="158" customFormat="false" ht="23.85" hidden="false" customHeight="false" outlineLevel="0" collapsed="false">
      <c r="A158" s="5" t="s">
        <v>760</v>
      </c>
      <c r="B158" s="5" t="s">
        <v>715</v>
      </c>
      <c r="C158" s="28" t="s">
        <v>761</v>
      </c>
      <c r="D158" s="5" t="s">
        <v>749</v>
      </c>
      <c r="E158" s="22" t="s">
        <v>762</v>
      </c>
    </row>
    <row r="159" customFormat="false" ht="23.85" hidden="false" customHeight="false" outlineLevel="0" collapsed="false">
      <c r="A159" s="5" t="s">
        <v>763</v>
      </c>
      <c r="B159" s="5" t="s">
        <v>715</v>
      </c>
      <c r="C159" s="28" t="s">
        <v>764</v>
      </c>
      <c r="D159" s="5" t="s">
        <v>749</v>
      </c>
      <c r="E159" s="22" t="s">
        <v>765</v>
      </c>
    </row>
    <row r="160" customFormat="false" ht="15" hidden="false" customHeight="false" outlineLevel="0" collapsed="false">
      <c r="A160" s="5" t="s">
        <v>766</v>
      </c>
      <c r="B160" s="5" t="s">
        <v>715</v>
      </c>
      <c r="C160" s="28" t="s">
        <v>767</v>
      </c>
      <c r="D160" s="5" t="s">
        <v>768</v>
      </c>
      <c r="E160" s="22" t="s">
        <v>769</v>
      </c>
    </row>
    <row r="161" customFormat="false" ht="15" hidden="false" customHeight="false" outlineLevel="0" collapsed="false">
      <c r="A161" s="5" t="s">
        <v>770</v>
      </c>
      <c r="B161" s="5" t="s">
        <v>715</v>
      </c>
      <c r="C161" s="28" t="s">
        <v>771</v>
      </c>
      <c r="D161" s="5" t="s">
        <v>768</v>
      </c>
      <c r="E161" s="22" t="s">
        <v>772</v>
      </c>
    </row>
    <row r="162" customFormat="false" ht="23.85" hidden="false" customHeight="false" outlineLevel="0" collapsed="false">
      <c r="A162" s="5" t="s">
        <v>773</v>
      </c>
      <c r="B162" s="5" t="s">
        <v>715</v>
      </c>
      <c r="C162" s="28" t="s">
        <v>774</v>
      </c>
      <c r="D162" s="5" t="s">
        <v>283</v>
      </c>
      <c r="E162" s="22" t="s">
        <v>775</v>
      </c>
    </row>
    <row r="163" customFormat="false" ht="23.85" hidden="false" customHeight="false" outlineLevel="0" collapsed="false">
      <c r="A163" s="5" t="s">
        <v>776</v>
      </c>
      <c r="B163" s="5" t="s">
        <v>715</v>
      </c>
      <c r="C163" s="28" t="s">
        <v>777</v>
      </c>
      <c r="D163" s="5" t="s">
        <v>462</v>
      </c>
      <c r="E163" s="22" t="s">
        <v>778</v>
      </c>
    </row>
    <row r="164" customFormat="false" ht="23.85" hidden="false" customHeight="false" outlineLevel="0" collapsed="false">
      <c r="A164" s="5" t="s">
        <v>779</v>
      </c>
      <c r="B164" s="5" t="s">
        <v>715</v>
      </c>
      <c r="C164" s="28" t="s">
        <v>780</v>
      </c>
      <c r="D164" s="5" t="s">
        <v>781</v>
      </c>
      <c r="E164" s="22" t="s">
        <v>782</v>
      </c>
    </row>
    <row r="165" customFormat="false" ht="23.85" hidden="false" customHeight="false" outlineLevel="0" collapsed="false">
      <c r="A165" s="5" t="s">
        <v>783</v>
      </c>
      <c r="B165" s="5" t="s">
        <v>715</v>
      </c>
      <c r="C165" s="28" t="s">
        <v>784</v>
      </c>
      <c r="D165" s="5" t="s">
        <v>448</v>
      </c>
      <c r="E165" s="22" t="s">
        <v>785</v>
      </c>
    </row>
    <row r="166" customFormat="false" ht="23.85" hidden="false" customHeight="false" outlineLevel="0" collapsed="false">
      <c r="A166" s="5" t="s">
        <v>786</v>
      </c>
      <c r="B166" s="5" t="s">
        <v>715</v>
      </c>
      <c r="C166" s="28" t="s">
        <v>787</v>
      </c>
      <c r="D166" s="5" t="s">
        <v>781</v>
      </c>
      <c r="E166" s="22" t="s">
        <v>788</v>
      </c>
    </row>
    <row r="167" customFormat="false" ht="15" hidden="false" customHeight="false" outlineLevel="0" collapsed="false">
      <c r="A167" s="5" t="s">
        <v>789</v>
      </c>
      <c r="B167" s="5" t="s">
        <v>715</v>
      </c>
      <c r="C167" s="28" t="s">
        <v>790</v>
      </c>
      <c r="D167" s="5" t="s">
        <v>791</v>
      </c>
      <c r="E167" s="22" t="s">
        <v>792</v>
      </c>
    </row>
    <row r="168" customFormat="false" ht="23.85" hidden="false" customHeight="false" outlineLevel="0" collapsed="false">
      <c r="A168" s="5" t="s">
        <v>793</v>
      </c>
      <c r="B168" s="5" t="s">
        <v>715</v>
      </c>
      <c r="C168" s="28" t="s">
        <v>794</v>
      </c>
      <c r="D168" s="5" t="s">
        <v>795</v>
      </c>
      <c r="E168" s="22" t="s">
        <v>796</v>
      </c>
    </row>
    <row r="169" customFormat="false" ht="35.05" hidden="false" customHeight="false" outlineLevel="0" collapsed="false">
      <c r="A169" s="5" t="s">
        <v>797</v>
      </c>
      <c r="B169" s="5" t="s">
        <v>715</v>
      </c>
      <c r="C169" s="28" t="s">
        <v>798</v>
      </c>
      <c r="D169" s="5" t="s">
        <v>749</v>
      </c>
      <c r="E169" s="22" t="s">
        <v>799</v>
      </c>
    </row>
    <row r="170" customFormat="false" ht="15" hidden="false" customHeight="false" outlineLevel="0" collapsed="false">
      <c r="A170" s="5" t="s">
        <v>800</v>
      </c>
      <c r="B170" s="5" t="s">
        <v>715</v>
      </c>
      <c r="C170" s="28" t="s">
        <v>801</v>
      </c>
      <c r="D170" s="5" t="s">
        <v>749</v>
      </c>
      <c r="E170" s="22" t="s">
        <v>802</v>
      </c>
    </row>
    <row r="171" customFormat="false" ht="15" hidden="false" customHeight="false" outlineLevel="0" collapsed="false">
      <c r="A171" s="5" t="s">
        <v>803</v>
      </c>
      <c r="B171" s="5" t="s">
        <v>715</v>
      </c>
      <c r="C171" s="28" t="s">
        <v>804</v>
      </c>
      <c r="D171" s="5" t="s">
        <v>749</v>
      </c>
      <c r="E171" s="22" t="s">
        <v>805</v>
      </c>
    </row>
    <row r="172" customFormat="false" ht="15" hidden="false" customHeight="false" outlineLevel="0" collapsed="false">
      <c r="A172" s="5" t="s">
        <v>806</v>
      </c>
      <c r="B172" s="5" t="s">
        <v>715</v>
      </c>
      <c r="C172" s="28" t="s">
        <v>807</v>
      </c>
      <c r="D172" s="5" t="s">
        <v>749</v>
      </c>
      <c r="E172" s="22" t="s">
        <v>808</v>
      </c>
    </row>
    <row r="173" customFormat="false" ht="15" hidden="false" customHeight="false" outlineLevel="0" collapsed="false">
      <c r="A173" s="5" t="s">
        <v>809</v>
      </c>
      <c r="B173" s="5" t="s">
        <v>715</v>
      </c>
      <c r="C173" s="28" t="s">
        <v>810</v>
      </c>
      <c r="D173" s="5" t="s">
        <v>749</v>
      </c>
      <c r="E173" s="22" t="s">
        <v>811</v>
      </c>
    </row>
    <row r="174" customFormat="false" ht="15" hidden="false" customHeight="false" outlineLevel="0" collapsed="false">
      <c r="A174" s="5" t="s">
        <v>812</v>
      </c>
      <c r="B174" s="5" t="s">
        <v>715</v>
      </c>
      <c r="C174" s="28" t="s">
        <v>813</v>
      </c>
      <c r="D174" s="5" t="s">
        <v>749</v>
      </c>
      <c r="E174" s="22" t="s">
        <v>814</v>
      </c>
    </row>
  </sheetData>
  <hyperlinks>
    <hyperlink ref="E5" r:id="rId1" display="https://nvidianews.nvidia.com/news/nvidia-announces-financial-results-for-second-quarter-fiscal-2027"/>
    <hyperlink ref="E6" r:id="rId2" display="https://www.sec.gov/Archives/edgar/data/1045810/000104581026000075/nvda-20260726.htm"/>
    <hyperlink ref="E7" r:id="rId3" display="https://www.sec.gov/Archives/edgar/data/0001045810/000104581026000073/q2fy27cfocommentary.htm"/>
    <hyperlink ref="E8" r:id="rId4" display="https://www.fool.com/earnings/call-transcripts/2026/08/31/nvidia-nvda-q2-2027-earnings-call-transcript/"/>
    <hyperlink ref="E9" r:id="rId5" display="https://nvidianews.nvidia.com/news/nvidia-announces-financial-results-for-first-quarter-fiscal-2027"/>
    <hyperlink ref="E10" r:id="rId6" display="https://nvidianews.nvidia.com/news/nvidia-announces-financial-results-for-fourth-quarter-and-fiscal-2026"/>
    <hyperlink ref="E11" r:id="rId7" display="https://investor.atmeta.com/investor-news/press-release-details/2026/Meta-Reports-Second-Quarter-2026-Results/default.aspx"/>
    <hyperlink ref="E12" r:id="rId8" display="https://www.microsoft.com/en-us/investor/events/fy-2026/earnings-fy-2026-q4"/>
    <hyperlink ref="E13" r:id="rId9" display="https://247wallst.com/investing/2026/09/29/nvidia-stock-is-at-its-cheapest-valuation-since-2015/"/>
    <hyperlink ref="E14" r:id="rId10" display="https://stockanalysis.com/stocks/nvda/statistics/"/>
    <hyperlink ref="E15" r:id="rId11" display="https://www.wallstreethorizon.com/nvidia-earnings-calendar"/>
    <hyperlink ref="E16" r:id="rId12" display="https://www.aol.com/articles/nvidia-stock-just-did-something-112000000.html"/>
    <hyperlink ref="E17" r:id="rId13" display="https://nvidianews.nvidia.com/news/nvidia-announces-financial-results-for-second-quarter-fiscal-2027"/>
    <hyperlink ref="E18" r:id="rId14" display="https://www.cnbc.com/2026/08/26/nvidia-nvda-earnings-report-q2-2027-live-updates.html"/>
    <hyperlink ref="E19" r:id="rId15" display="https://www.fool.com/investing/2026/09/30/nvidia-stock-just-did-something-for-the-first-time/"/>
    <hyperlink ref="E20" r:id="rId16" display="https://finance.biggo.com/news/7a58467f-3059-4b72-8dc4-0d2533fd3540"/>
    <hyperlink ref="E21" r:id="rId17" display="https://stockanalysis.com/stocks/nvda/statistics/"/>
    <hyperlink ref="E22" r:id="rId18" display="https://finance.yahoo.com/quote/NVDA/analysis/"/>
    <hyperlink ref="E23" r:id="rId19" display="https://www.bloomberg.com/news/articles/2026-09-10/tsmc-revenue-rises-53-as-ai-chip-demand-outstrips-supply"/>
    <hyperlink ref="E24" r:id="rId20" display="https://www.trendforce.com/news/2026/06/15/news-tsmc-cowos-supply-demand-gap-reportedly-seen-narrowing-from-20-to-10-by-end-2026-as-capacity-expands/"/>
    <hyperlink ref="E25" r:id="rId21" display="https://s25.q4cdn.com/621799436/files/doc_financials/2026/q4/Q4-FY26-Prepared-Remarks.pdf"/>
    <hyperlink ref="E26" r:id="rId22" display="https://investors.broadcom.com/news-releases/news-release-details/broadcom-inc-announces-third-quarter-fiscal-year-2026-financial"/>
    <hyperlink ref="E27" r:id="rId23" display="https://www.cnbc.com/2026/07/20/amd-helios-microsoft-ai-nvidia.html"/>
    <hyperlink ref="E28" r:id="rId24" display="https://thenextweb.com/news/google-tpu-compute-internal-researchers-anthropic"/>
    <hyperlink ref="E29" r:id="rId25" display="https://www.trendforce.com/news/2026/08/25/news-nvidias-reported-15-server-hike-boosts-samsung-sk-hynix-with-hbm-prices-potentially-up-50-in-2027/"/>
    <hyperlink ref="E30" r:id="rId26" display="https://gamesreviews.com/news/08/nvidia-guides-gross-margin-down-to-74-in-q3-71-72-low-in-q4-fy27/"/>
    <hyperlink ref="E31" r:id="rId27" display="https://convergedigest.com/dell-ai-server-backlog-95-billion-q2-fy2027/"/>
    <hyperlink ref="E32" r:id="rId28" display="https://insight.factset.com/hyperscalers-tap-external-financing-as-ai-capex-outruns-cash-flow"/>
    <hyperlink ref="E33" r:id="rId29" display="https://www.fool.com/investing/2026/09/06/hyperscalers-driving-ai-capex-cash-flow/"/>
    <hyperlink ref="E34" r:id="rId30" display="https://polymarket.com/event/largest-company-end-of-december-2026"/>
    <hyperlink ref="E35" r:id="rId31" display="https://whatledto.com/events/nvidia-china-export-controls"/>
    <hyperlink ref="E36" r:id="rId32" display="https://stockanalysis.com/stocks/avgo/statistics/"/>
    <hyperlink ref="E37" r:id="rId33" display="https://stockanalysis.com/stocks/amd/statistics/"/>
    <hyperlink ref="E38" r:id="rId34" display="https://stockanalysis.com/stocks/tsm/statistics/"/>
    <hyperlink ref="E39" r:id="rId35" display="https://stockanalysis.com/stocks/mu/statistics/"/>
    <hyperlink ref="E40" r:id="rId36" display="https://stockanalysis.com/stocks/mrvl/statistics/"/>
    <hyperlink ref="E41" r:id="rId37" display="https://stockanalysis.com/stocks/qcom/statistics/"/>
    <hyperlink ref="E42" r:id="rId38" display="https://stockanalysis.com/stocks/arm/statistics/"/>
    <hyperlink ref="E43" r:id="rId39" display="https://stockanalysis.com/stocks/asml/statistics/"/>
    <hyperlink ref="E44" r:id="rId40" display="https://stockanalysis.com/stocks/anet/statistics/"/>
    <hyperlink ref="E45" r:id="rId41" display="https://stockanalysis.com/stocks/klac/statistics/"/>
    <hyperlink ref="E46" r:id="rId42" display="https://stockanalysis.com/stocks/lrcx/statistics/"/>
    <hyperlink ref="E47" r:id="rId43" display="https://stockanalysis.com/stocks/nvda/forecast/"/>
    <hyperlink ref="E48" r:id="rId44" display="https://www.investing.com/news/transcripts/earnings-call-transcript-tsmc-lifts-2026-outlook-as-ai-demand-stays-hot-in-q2-2026-93CH-4794777"/>
    <hyperlink ref="E49" r:id="rId45" display="https://www.sec.gov/Archives/edgar/data/0001045810/000104581026000073/q2fy27cfocommentary.htm"/>
    <hyperlink ref="E50" r:id="rId46" display="https://io-fund.com/ai-stocks/ai-capex-1-trillion-estimates-too-low"/>
    <hyperlink ref="E51" r:id="rId47" display="https://www.trendforce.com/presscenter/news/20260803-13161.html"/>
    <hyperlink ref="E52" r:id="rId48" display="https://www.trendforce.com/presscenter/news/20260828-13204.html"/>
    <hyperlink ref="E53" r:id="rId49" display="https://www.trendforce.com/news/2026/08/27/news-nvidias-supply-commitments-soar-to-279b-as-memory-costs-surge-new-nvhbm-boosts-bandwidth-30-cuts-power-15/"/>
    <hyperlink ref="E54" r:id="rId50" display="https://nvidianews.nvidia.com/news/nvidia-announces-financial-results-for-second-quarter-fiscal-2027"/>
    <hyperlink ref="E55" r:id="rId51" display="https://www.sec.gov/Archives/edgar/data/0001045810/000104581026000075/nvda-20260726.htm"/>
    <hyperlink ref="E56" r:id="rId52" display="https://www.sec.gov/Archives/edgar/data/0001045810/000104581026000051/q1fy27pr.htm"/>
    <hyperlink ref="E57" r:id="rId53" display="https://www.fool.com/investing/2026/09/30/nvidia-stock-just-did-something-for-the-first-time/"/>
    <hyperlink ref="E58" r:id="rId54" display="https://finance.yahoo.com/technology/article/nvidia-didnt-like-wall-streets-estimates-so-it-tried-to-reset-them-122218541.html"/>
    <hyperlink ref="E59" r:id="rId55" display="https://www.moomoo.com/community/feed/nvidia-expects-its-fiscal-2028-revenue-to-grow-by-approximately-117165165576198"/>
    <hyperlink ref="E60" r:id="rId56" display="https://www.marketbeat.com/instant-alerts/estimates-nvidia-fy2028-eps-forecast-boosted-by-erste-group-bank-2026-09-14/"/>
    <hyperlink ref="E61" r:id="rId57" display="https://stockanalysis.com/stocks/nvda/statistics/"/>
    <hyperlink ref="E62" r:id="rId58" display="https://stockanalysis.com/stocks/avgo/statistics/"/>
    <hyperlink ref="E63" r:id="rId59" display="https://polymarket.com/event/largest-company-end-of-december-2026"/>
    <hyperlink ref="E64" r:id="rId60" display="https://michaeljburry.substack.com/p/short-thoughts-july-8-2026-nvda-neos"/>
    <hyperlink ref="E65" r:id="rId61" display="https://davefriedman.substack.com/p/the-176-billion-accounting-question"/>
    <hyperlink ref="E66" r:id="rId62" display="https://bnnbloomberg.ca/business/artificial-intelligence/2026/10/01/nvidias-bet-that-its-chips-can-finance-the-ai-boom-gets-a-wall-street-reality-check"/>
    <hyperlink ref="E67" r:id="rId63" display="https://www.techtimes.com/articles/321652/20260727/nvidias-250b-guarantee-openai-ohio-campus-proves-debt-markets-said-no.htm"/>
    <hyperlink ref="E68" r:id="rId64" display="https://finance.yahoo.com/technology/ai/articles/nvidia-scales-back-250-billion-234356524.html"/>
    <hyperlink ref="E69" r:id="rId65" display="https://easternherald.com/2026/08/17/nvidia-sb-energy-openai-ohio-ai-data-center-investment/"/>
    <hyperlink ref="E70" r:id="rId66" display="https://www.fool.com/investing/2026/09/06/hyperscalers-driving-ai-capex-cash-flow/"/>
    <hyperlink ref="E71" r:id="rId67" display="https://pitchbook.com/news/articles/nvidia-locks-in-25b-of-high-grade-bonds-adding-to-ai-sprint"/>
    <hyperlink ref="E72" r:id="rId68" display="https://www.bloomberg.com/news/articles/2026-06-15/nvidia-kicks-off-first-high-grade-bond-offering-since-2021"/>
    <hyperlink ref="E73" r:id="rId69" display="https://www.sec.gov/Archives/edgar/data/0001045810/000119312526273139/d118718d424b5.htm"/>
    <hyperlink ref="E74" r:id="rId70" display="https://www.marketbeat.com/instant-alerts/nvidia-nasdaqnvda-trading-down-16-on-analyst-downgrade-2026-06-25/"/>
    <hyperlink ref="E75" r:id="rId71" display="https://www.trendforce.com/news/2026/08/27/news-nvidias-supply-commitments-soar-to-279b-as-memory-costs-surge-new-nvhbm-boosts-bandwidth-30-cuts-power-15/"/>
    <hyperlink ref="E76" r:id="rId72" display="https://introl.com/blog/custom-silicon-inflection-2026-hyperscaler-asics-nvidia-gpu"/>
    <hyperlink ref="E77" r:id="rId73" display="https://www.cnbc.com/2025/12/21/cramer-here-are-5-bear-cases-for-nvidia-and-why-each-one-is-wrong.html"/>
    <hyperlink ref="E78" r:id="rId74" display="https://financefeeds.com/nvidia-nvda-stock-302-bull-case-152-bear-case/"/>
    <hyperlink ref="E79" r:id="rId75" display="https://www.tomshardware.com/tech-industry/nvidia-ceo-jensen-huang-begins-sale-of-usd925m-worth-of-nvidia-stock-sale-of-6-million-shares-barely-dents-his-usd123-billion-in-shares"/>
    <hyperlink ref="E80" r:id="rId76" display="https://finance.biggo.com/news/US_NVDA_2026-08-26"/>
    <hyperlink ref="E81" r:id="rId77" display="https://www.wallstreethorizon.com/nvidia-earnings-calendar"/>
    <hyperlink ref="E82" r:id="rId78" display="https://www.sec.gov/Archives/edgar/data/0001045810/000104581026000073/q2fy27cfocommentary.htm"/>
    <hyperlink ref="E83" r:id="rId79" display="https://www.stocktitan.net/sec-filings/NVDA/form-4-nvidia-corp-insider-trading-activity-d553f5d26b67.html"/>
    <hyperlink ref="E84" r:id="rId80" display="https://www.sec.gov/cgi-bin/browse-edgar?action=getcompany&amp;CIK=0001045810&amp;type=4"/>
    <hyperlink ref="E85" r:id="rId81" display="https://www.globaldatacenterhub.com/p/nvidia-did-not-guarantee-the-rent"/>
    <hyperlink ref="E86" r:id="rId82" display="https://www.sec.gov/Archives/edgar/data/0001045810/000104581026000069/sbeoainvidia-portsrelease.htm"/>
    <hyperlink ref="E87" r:id="rId83" display="https://www.tikr.com/blog/nvidia-stock-is-down-18-in-2026-is-the-ai-leader-finally-cheap"/>
    <hyperlink ref="E88" r:id="rId84" display="https://seekingalpha.com/article/4912599-nvidia-downgrade-to-hold-as-earnings-fail-to-push-price-higher"/>
    <hyperlink ref="E89" r:id="rId85" display="https://nvidianews.nvidia.com/news/nvidia-announces-financial-results-for-second-quarter-fiscal-2027"/>
    <hyperlink ref="E90" r:id="rId86" display="https://s201.q4cdn.com/141608511/files/content_files/TRANSCRIPT_-NVIDIA-Corp-NVDA-US-Q2-2027-Earnings-Call-26-August-2026-5_00-PM-ET.pdf"/>
    <hyperlink ref="E91" r:id="rId87" display="https://capitalblueprint.substack.com/p/nvda-when-85-growth-only-buys-a-23x"/>
    <hyperlink ref="E92" r:id="rId88" display="https://www.fool.com/investing/2026/09/30/nvidia-stock-just-did-something-for-the-first-time/"/>
    <hyperlink ref="E93" r:id="rId89" display="https://www.alphagbm.com/en/insights/nvda-fy2027-q2-commitments-cash-valuation-20260827"/>
    <hyperlink ref="E94" r:id="rId90" display="https://x.com/Finsee_main/status/2092712935843864938"/>
    <hyperlink ref="E95" r:id="rId91" display="https://www.hudson-labs.com/research/nvidia-q2-2027-earnings"/>
    <hyperlink ref="E96" r:id="rId92" display="https://getdeploying.com/gpu-price-index"/>
    <hyperlink ref="E97" r:id="rId93" display="https://www.mercatus-ai.com/blog/gpu-rental-prices"/>
    <hyperlink ref="E98" r:id="rId94" display="https://polymarket.com/event/largest-company-end-of-december-2026"/>
    <hyperlink ref="E99" r:id="rId95" display="https://x.com/Polymarket/status/2057200999853392329"/>
    <hyperlink ref="E100" r:id="rId96" display="https://x.com/SemiAnalysis_/status/2071840399627288746"/>
    <hyperlink ref="E101" r:id="rId97" display="https://introl.com/blog/custom-silicon-inflection-2026-hyperscaler-asics-nvidia-gpu"/>
    <hyperlink ref="E102" r:id="rId98" display="https://fullratio.com/stocks/nasdaq-nvda/pe-ratio"/>
    <hyperlink ref="E103" r:id="rId99" display="https://stockanalysis.com/stocks/nvda/statistics/"/>
    <hyperlink ref="E104" r:id="rId100" display="https://www.wallstreethorizon.com/nvidia-earnings-calendar"/>
    <hyperlink ref="E105" r:id="rId101" display="https://www.sec.gov/Archives/edgar/data/0001045810/000104581026000073/q2fy27cfocommentary.htm"/>
    <hyperlink ref="E106" r:id="rId102" display="https://www.sec.gov/Archives/edgar/data/1045810/000104581026000075/nvda-20260726.htm"/>
    <hyperlink ref="E107" r:id="rId103" display="https://finance.yahoo.com/markets/stocks/articles/nvidia-stock-gains-semianalysis-sees-165152271.html"/>
    <hyperlink ref="E108" r:id="rId104" display="https://newsletter.semianalysis.com/p/the-great-ai-silicon-shortage"/>
    <hyperlink ref="E109" r:id="rId105" display="https://businessmodelanalyst.com/nvidia-235-billion-buyback-free-cash-flow/"/>
    <hyperlink ref="E110" r:id="rId106" display="https://home.treasury.gov/resource-center/data-chart-center/interest-rates/TextView?type=daily_treasury_yield_curve&amp;field_tdr_date_value_month=202610"/>
    <hyperlink ref="E111" r:id="rId107" display="https://defirate.com/prediction-markets/fed-decision-odds/"/>
    <hyperlink ref="E112" r:id="rId108" display="https://nvidianews.nvidia.com/news/nvidia-announces-financial-results-for-second-quarter-fiscal-2027"/>
    <hyperlink ref="E113" r:id="rId109" display="https://www.sec.gov/Archives/edgar/data/0001045810/000104581026000073/q2fy27cfocommentary.htm"/>
    <hyperlink ref="E114" r:id="rId110" display="https://www.fool.com/investing/2026/09/12/predict-nvidia-stock-worth-this-much-2028/"/>
    <hyperlink ref="E115" r:id="rId111" display="https://stockanalysis.com/stocks/nvda/statistics/"/>
    <hyperlink ref="E116" r:id="rId112" display="https://stockanalysis.com/stocks/avgo/statistics/"/>
    <hyperlink ref="E117" r:id="rId113" display="https://www.thelec.net/news/articleView.html?idxno=13401"/>
    <hyperlink ref="E118" r:id="rId114" display="https://siliconanalysts.com/market/nvidia-confirms-15-ai-server-price-hikes-driven-by-soaring-hbm-costs-2026-08-23"/>
    <hyperlink ref="E119" r:id="rId115" display="https://www.tipranks.com/stocks/nvda/earnings"/>
    <hyperlink ref="E120" r:id="rId116" display="https://www.fool.com/investing/2026/09/30/nvidia-stock-just-did-something-for-the-first-time/"/>
    <hyperlink ref="E121" r:id="rId117" display="https://www.tikr.com/blog/nvidias-p-e-ratio-current-levels-historical-trends-and-outlook"/>
    <hyperlink ref="E122" r:id="rId118" display="https://finance.biggo.com/news/644cc7df-d580-48f0-8003-f034f109afa7"/>
    <hyperlink ref="E123" r:id="rId119" display="https://www.gurufocus.com/news/9109034/nvidia-valuation-gets-surprising-take-from-top-bank"/>
    <hyperlink ref="E124" r:id="rId120" display="https://polymarket.com/event/largest-company-end-of-december-2026"/>
    <hyperlink ref="E125" r:id="rId121" display="https://defirate.com/prediction-markets/fed-decision-odds/"/>
    <hyperlink ref="E126" r:id="rId122" display="https://kalshi.com/markets/kxfeddecision/fed-meeting/kxfeddecision-26dec"/>
    <hyperlink ref="E127" r:id="rId123" display="https://www.cnbc.com/2026/07/09/kalshi-traders-see-roughly-50percent-odds-of-a-rate-hike-in-2026-as-fed-is-split-on-policy.html"/>
    <hyperlink ref="E128" r:id="rId124" display="https://tradingeconomics.com/united-states/government-bond-yield"/>
    <hyperlink ref="E129" r:id="rId125" display="https://www.groundbrkr.com/p/peak-cheap-the-ai-boom-isnt-2000"/>
    <hyperlink ref="E130" r:id="rId126" display="https://advisoranalyst.com/2026/07/20/great-companies-expensive-stocks.html/"/>
    <hyperlink ref="E131" r:id="rId127" display="https://www.cbsnews.com/news/why-companies-become-too-big-to-succeed/"/>
    <hyperlink ref="E132" r:id="rId128" display="https://www.hardingloevner.com/insights/nvidia-and-the-cautionary-tale-of-cisco-systems/"/>
    <hyperlink ref="E133" r:id="rId129" display="https://www.fool.com/investing/2026/09/06/hyperscalers-driving-ai-capex-cash-flow/"/>
    <hyperlink ref="E134" r:id="rId130" display="https://manifold.markets/Mad2live/google-amazon-meta-microsoft-total"/>
    <hyperlink ref="E135" r:id="rId131" display="https://twelvedata.com/"/>
    <hyperlink ref="E136" r:id="rId132" display="https://www.techtimes.com/articles/320544/20260715/nvidia-h200-shipments-china-called-trivial-blackwell-loophole-draws-fire.htm"/>
    <hyperlink ref="E137" r:id="rId133" display="https://home.treasury.gov/resource-center/data-chart-center/interest-rates/TextView?type=daily_treasury_yield_curve&amp;field_tdr_date_value_month=202610"/>
    <hyperlink ref="E138" r:id="rId134" display="https://finance.yahoo.com/sectors/technology/articles/goldman-says-consensus-2027-hyperscaler-140152065.html"/>
    <hyperlink ref="E139" r:id="rId135" display="https://kalshi.com/markets/kxratehike/number-of-fed-rate-hikes/kxratehike-2026"/>
    <hyperlink ref="E140" r:id="rId136" display="https://stockanalysis.com/stocks/nvda/statistics/"/>
    <hyperlink ref="E141" r:id="rId137" display="https://stockanalysis.com/stocks/nvda/forecast/"/>
    <hyperlink ref="E142" r:id="rId138" display="https://stockanalysis.com/stocks/avgo/statistics/"/>
    <hyperlink ref="E143" r:id="rId139" display="https://stockanalysis.com/stocks/tsm/statistics/"/>
    <hyperlink ref="E144" r:id="rId140" display="https://stockanalysis.com/stocks/amd/statistics/"/>
    <hyperlink ref="E145" r:id="rId141" display="https://stockanalysis.com/stocks/mrvl/statistics/"/>
    <hyperlink ref="E146" r:id="rId142" display="https://stockanalysis.com/stocks/anet/statistics/"/>
    <hyperlink ref="E147" r:id="rId143" display="https://stockanalysis.com/stocks/asml/statistics/"/>
    <hyperlink ref="E148" r:id="rId144" display="https://stockanalysis.com/stocks/tsm/forecast/"/>
    <hyperlink ref="E149" r:id="rId145" display="https://stockanalysis.com/stocks/amd/forecast/"/>
    <hyperlink ref="E150" r:id="rId146" display="https://www.fool.com/investing/2026/09/30/nvidia-stock-just-did-something-for-the-first-time/"/>
    <hyperlink ref="E151" r:id="rId147" display="https://io-fund.com/ai-stocks/ai-capex-1-trillion-estimates-too-low"/>
    <hyperlink ref="E152" r:id="rId148" display="https://www.gurufocus.com/term/forward-pe-ratio/NVDA"/>
    <hyperlink ref="E153" r:id="rId149" display="https://www.sec.gov/Archives/edgar/data/0001045810/000104581026000073/q2fy27cfocommentary.htm"/>
    <hyperlink ref="E154" r:id="rId150" display="https://api.nasdaq.com/api/analyst/NVDA/earnings-forecast"/>
    <hyperlink ref="E155" r:id="rId151" display="https://api.nasdaq.com/api/analyst/AVGO/earnings-forecast"/>
    <hyperlink ref="E156" r:id="rId152" display="https://api.nasdaq.com/api/analyst/AMD/earnings-forecast"/>
    <hyperlink ref="E157" r:id="rId153" display="https://api.nasdaq.com/api/analyst/MRVL/earnings-forecast"/>
    <hyperlink ref="E158" r:id="rId154" display="https://api.nasdaq.com/api/analyst/TSM/earnings-forecast"/>
    <hyperlink ref="E159" r:id="rId155" display="https://api.nasdaq.com/api/analyst/ANET/earnings-forecast"/>
    <hyperlink ref="E160" r:id="rId156" display="https://query1.finance.yahoo.com/v8/finance/chart/TSM"/>
    <hyperlink ref="E161" r:id="rId157" display="https://query1.finance.yahoo.com/v8/finance/chart/NVDA"/>
    <hyperlink ref="E162" r:id="rId158" display="https://www.sec.gov/Archives/edgar/data/1045810/000104581026000073/q2fy27pr.htm"/>
    <hyperlink ref="E163" r:id="rId159" display="https://www.sec.gov/Archives/edgar/data/1730168/000173016826000076/avgo-08022026x8kxex99.htm"/>
    <hyperlink ref="E164" r:id="rId160" display="https://www.sec.gov/Archives/edgar/data/2488/000000248826000121/q22026991.htm"/>
    <hyperlink ref="E165" r:id="rId161" display="https://www.sec.gov/Archives/edgar/data/1835632/000183563226000022/q227_8kx812026ex-991.htm"/>
    <hyperlink ref="E166" r:id="rId162" display="https://www.sec.gov/Archives/edgar/data/1596532/000159653226000174/ex991q226-earningsrelease.htm"/>
    <hyperlink ref="E167" r:id="rId163" display="https://www.sec.gov/Archives/edgar/data/1046179/000104617926000726/a3q26e_withguidancexfinal.htm"/>
    <hyperlink ref="E168" r:id="rId164" display="https://data.sec.gov/api/xbrl/companyfacts/CIK0001046179.json"/>
    <hyperlink ref="E169" r:id="rId165" display="https://api.nasdaq.com/api/company/AVGO/earnings-surprise"/>
    <hyperlink ref="E170" r:id="rId166" display="https://api.nasdaq.com/api/company/NVDA/earnings-surprise"/>
    <hyperlink ref="E171" r:id="rId167" display="https://api.nasdaq.com/api/company/AMD/earnings-surprise"/>
    <hyperlink ref="E172" r:id="rId168" display="https://api.nasdaq.com/api/company/MRVL/earnings-surprise"/>
    <hyperlink ref="E173" r:id="rId169" display="https://api.nasdaq.com/api/company/TSM/earnings-surprise"/>
    <hyperlink ref="E174" r:id="rId170" display="https://api.nasdaq.com/api/company/ANET/earnings-surpri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2026-10-30T22:16:23Z</dcterms:created>
  <dc:creator>openpyxl</dc:creator>
  <dc:description/>
  <dc:language>en-US</dc:language>
  <cp:lastModifiedBy/>
  <dcterms:modified xsi:type="dcterms:W3CDTF">2026-10-30T22:16:23Z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