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<sst xmlns="http://schemas.openxmlformats.org/spreadsheetml/2006/main" count="1282" uniqueCount="860">
  <si>
    <t xml:space="preserve">GOOGL 12-month price target model</t>
  </si>
  <si>
    <t xml:space="preserve">Close 2026-10-30 · agents' research 2026-10-28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</si>
  <si>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</si>
  <si>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</si>
  <si>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</si>
  <si>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</si>
  <si>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</si>
  <si>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</si>
  <si>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</si>
  <si>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</si>
  <si>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</si>
  <si>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</si>
  <si>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</si>
  <si>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</si>
  <si>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49 analysts, https://stockanalysis.com/stocks/googl/forecast/ as of 2026-10-30</t>
  </si>
  <si>
    <t xml:space="preserve">Use supervisor ladder (1 = yes)</t>
  </si>
  <si>
    <t xml:space="preserve">Supervisor confidence: medium; its ladder replaces the agents' mean only when high</t>
  </si>
  <si>
    <t xml:space="preserve">Platt log shift of the agents' curve</t>
  </si>
  <si>
    <t xml:space="preserve">combine.py: P(close &gt;= spot) 0.634 Platt-scaled (a = 1.732) to 0.634,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</si>
  <si>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</si>
  <si>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</si>
  <si>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</si>
  <si>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</si>
  <si>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</si>
  <si>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</si>
  <si>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</si>
  <si>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</si>
  <si>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</si>
  <si>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</si>
  <si>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</si>
  <si>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</si>
  <si>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</si>
  <si>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</si>
  <si>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</si>
  <si>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</si>
  <si>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2026-10-28 (update): Q3 2026 rolled in from the release and call (10-Q not filed). Cloud beat the path ($30.7B vs ~$27.2B, backlog $561B) and lifts the 2027-28 Cloud path; Search (+12%) and Alphabet-level AI R&amp;D (-$7.66B) cut Services revenue and raise central costs; research target (12m) $321.16 -&gt; $329.15 (engine: P/E $338.79 x 0.5; SOTP $319.52 x 0.5; scenarios bear $212.77 / base $329.15 / bull $406.51, median $324.11). ANTHROPIC S-1 UPDATE 2026-10-27: Google's stake from the public S-1 cap table 7.36% at the IPO (was 11.28%), staged lock-up 11.50% (was 10.37%), carrying $81.20B (was $105B): Anthropic increment +$51.21B -&gt; +$25.35B, conglomerate overlay -$28.97B -&gt; -$26.38B; adjustments -$23.27B (-$1.87/share on each leg, 12,423M). Research target (12m) $323.03 -&gt; $321.16 (engine: P/E $332.28 x 0.5; SOTP $310.04 x 0.5; scenarios bear $207.66 / base $321.16 / bull $394.09, median $315.83). Write-up: file:///mnt/project-files/valuation/runs/2026-10-23/GOOGL/anthropic_stake_s1_2026-10-27.md | EXIT k=0.8 RE-SET 2026-10-26 (Kilian card 12:16Z: exit = peer median x (own / median)^0.8): P/E 20.8x -&gt; 21.2x. Research target (12m) $320.11 -&gt; $323.03 (engine: multiple: P/E (ntm) $334.15 x 0.5; sotp $311.91 x 0.5; scenarios bear $209.53 / base $323.03 / bull $395.97, median $317.65). Multiples and values quoted in the older text below are superseded by these. Model update 2026-10-23 (update): peer set refresh (Kilian 2026-10-26 06:07Z). P/E leg on the refreshed 5-name set's CY2027 median 20.8x (was 21.7x) and a new SOTP leg like AMZN's (Services 18.25x, Cloud 23.3x, Alphabet costs 18.25x, Other Bets 20.8x on CY2028E after-tax OI), 0.5 / 0.5, in place of the agents' cross-check leg; research target (12m) $320.11 = 0.5 x 328.31 + 0.5 x 311.91 (was $338.72). The rest of this text is the 10-06 round's reasoning (history; its $370 blend is superseded). 60% P/E + 40% cross-check, priced at the 2027-10-06 horizon. P/E leg: 21.7x (reconciled peer median, no premium) x CY2028E EPS of $17.54 (consensus $17.89 less $0.35 of extra D&amp;A from the standing view's capex base of consensus +10%) = $380.6. Add $14.97/share of net financial assets at the horizon ($185.6B / 12.40B diluted shares) for $395.6. Cross-check leg: the mean of the agents' SOTP/EV legs, with their unsourced -$15B H2-26 burn replaced by consensus FCF (citation gate 2026-10-06): $349.9 agent_1, $327.1 agent_2, $320.3 agent_3 = $332.4. Their factual inputs are verified in the 8-K; their segment growth and multiples are judgments that sit below consensus EBIT. Blend 0.6 x 395.6 + 0.4 x 332.4 = $370.3, about $370 (+6.4% vs $347.68). Corrections vs the agents: consensus basis $14.95 (agent_1), peer median 21.7x (all), CY2028 not NTM (agent_3), net cash included at the horizon on consensus FCF (agents 1-3), Polymarket/press items removed (agent_2's bull, agent_3's bear weight, the 10-02 +$4).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</si>
  <si>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</si>
  <si>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</si>
  <si>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</si>
  <si>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</si>
  <si>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</si>
  <si>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</si>
  <si>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</si>
  <si>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</si>
  <si>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</si>
  <si>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</si>
  <si>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</si>
  <si>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</si>
  <si>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</si>
  <si>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</si>
  <si>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noise floor (2 x 1M IV))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</si>
  <si>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</si>
  <si>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</si>
  <si>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</si>
  <si>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</si>
  <si>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</si>
  <si>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</si>
  <si>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</si>
  <si>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</si>
  <si>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</si>
  <si>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</si>
  <si>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</si>
  <si>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</si>
  <si>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</si>
  <si>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</si>
  <si>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</si>
  <si>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</si>
  <si>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</si>
  <si>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</si>
  <si>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</si>
  <si>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GOOGL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</si>
  <si>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</si>
  <si>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</si>
  <si>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</si>
  <si>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</si>
  <si>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</si>
  <si>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</si>
  <si>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</si>
  <si>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</si>
  <si>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</si>
  <si>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</si>
  <si>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</si>
  <si>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GOOGL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</si>
  <si>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</si>
  <si>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</si>
  <si>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</si>
  <si>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</si>
  <si>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</si>
  <si>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</si>
  <si>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</si>
  <si>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</si>
  <si>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</si>
  <si>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</si>
  <si>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</si>
  <si>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</si>
  <si>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</si>
  <si>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</si>
  <si>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</si>
  <si>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</si>
  <si>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</si>
  <si>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</si>
  <si>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GOOGL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</si>
  <si>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</si>
  <si>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</si>
  <si>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</si>
  <si>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</si>
  <si>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</si>
  <si>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</si>
  <si>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</si>
  <si>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</si>
  <si>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</si>
  <si>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At Oct 2027 the market prices CY2028 EPS. Consensus CY2028 EPS is $17.89 (MarketScreener); I trim about 5% for 2027-capex D&amp;A and use $17.0. The core multiple is 21x: inside the 10-peer range of 8.6-33.7x, about 7% above the peer median of 19.6x and below the mega-cap median of 24.4x. That gives $357, plus about $15/share of after-tax net financial assets (cash net of debt, SpaceX, non-marketable book) that consensus EPS does not capture. Total about $372.</t>
  </si>
  <si>
    <t xml:space="preserve">SOTP</t>
  </si>
  <si>
    <t xml:space="preserve">Services: 2027E OI $175B x (1-18%) x 20 = $2.87T. Cloud: 2027E revenue $150B x 7 = $1.05T. Other Bets/Waymo: $0.15T. Alphabet-level AI costs: -$23.2B x 0.82 x 20 = -$0.38T. Net financial assets: $0.24T, i.e. cash net of debt $40B + other equity $7B + SpaceX $94.1B x 0.85 + non-marketable $131.5B x 0.85. Total $3.93T / 12.30B = $319 today; rolled forward 9% to $348.</t>
  </si>
  <si>
    <t xml:space="preserve">Blended value</t>
  </si>
  <si>
    <t xml:space="preserve">Stated research target (12m)</t>
  </si>
  <si>
    <t xml:space="preserve">60% P/E plus 40% SOTP. The P/E leg is 21x core on CY2028E EPS of $17.0 (= $357), plus about $15/share of after-tax net financial assets, for $372. The SOTP leg is $348. The blend is about $362, against $361 on 2026-10-02.</t>
  </si>
  <si>
    <t xml:space="preserve">FY2028E core EPS $17.5 x 21.8x (peer median next-FY P/E) = $381.5, plus ~$17.8/share net financial assets = ~$399</t>
  </si>
  <si>
    <t xml:space="preserve">Services 2028E after-tax OI ~$164.7B x 18 = $2.96T; Cloud 2028E revenue ~$185B x 7 = $1.30T; Alphabet-level + Other Bets ~-$25.2B after tax x 18 = -$0.45T; net financial assets $0.22T; total ~$4.03T / 12.35B shares = ~$326</t>
  </si>
  <si>
    <t xml:space="preserve">Blend at the Oct-2027 horizon: forward P/E at the 11-peer median (21.8x) on FY2028E core EPS of $17.5 (consensus $17.89 less ~$0.4 for capex-file base-case D&amp;A) plus ~$17.8/share of net financial assets = $399 (weight 0.6), and a 2028E sum-of-the-parts (Services 18x after-tax OI, Cloud 7x 2028E sales, less capitalised Alphabet-level and Other Bets costs, plus net financial assets) = $326 (weight 0.4); blend ~$370.</t>
  </si>
  <si>
    <t xml:space="preserve">NTM EPS at Oct-27 $16.08 (consensus 2027 $14.95, 2028 $17.89 cut 8%) x 21.8x x (1-0.5% dilution) + $10.75 equity stakes</t>
  </si>
  <si>
    <t xml:space="preserve">EV/EBITDA</t>
  </si>
  <si>
    <t xml:space="preserve">10.5x x NTM EBITDA $361.8B = $3,799B EV + net cash $24.0B + equity stakes $132.8B = $3,956B / 12.35B shares</t>
  </si>
  <si>
    <t xml:space="preserve">Blend of P/E (65%) and EV/EBITDA (35%) priced at the 2027-10-06 horizon on NTM estimates. P/E: 21.8x x haircut NTM EPS $16.08 x 0.995 + $10.75/share haircut equity stakes = $360. EV/EBITDA: 10.5x x NTM EBITDA $361.8B + $156.7B non-operating assets, / 12.35B shares = $320. Blend = $346.</t>
  </si>
  <si>
    <t xml:space="preserve">GOOGL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</si>
  <si>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</si>
  <si>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</si>
  <si>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</si>
  <si>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</si>
  <si>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</si>
  <si>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</si>
  <si>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</si>
  <si>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The Q3 or Q4 print guides 2027 capex near $370B (the standing view's Big-4 high case of +86% y/y, applied to Alphabet's $200B 2026 midpoint). FCF stays negative and the market treats the 2026 equity, convert and $25B debt raises as overreach. Search growth slows from 17% to single digits as Q3 laps the 2025 acceleration and AI answers cannibalise clicks, and the DC Circuit tightens the Search remedies. The stock trades at about 15x core on $15 of CY2027 EPS plus reduced stake value.</t>
  </si>
  <si>
    <t xml:space="preserve">Cloud converts its backlog (2027 revenue about $150B at 30%+ margins) and Services grows low double digits. D&amp;A from about $295B of 2027 capex holds CY2028 EPS growth to about 12-13% ($17.0). The stock trades at 21x core plus about $15/share of stakes.</t>
  </si>
  <si>
    <t xml:space="preserve">TPU system sales land in 2027 as guided, Gemini 4 broadens from the Fairwind preview to GA and monetises across Search, the Gemini app and Cloud, and consensus CY2028 of $17.89 proves too low (about $19). The stock re-rates to about 24x core, the mega-cap median, plus stake re-marks. The capped calls limit convert dilution up to about $530.</t>
  </si>
  <si>
    <t xml:space="preserve">The Q3/Q4 2027 capex framework lands at or above the standing view's high case, D&amp;A drags FY2028 EPS to ~$15 (-16% vs consensus), Search growth slows toward high single digits as Meta, Amazon and AI assistants take incremental budgets, and the DC Circuit reopens default payments; ~16x core plus ~$14/share of stakes (deeper haircut) = ~$255.</t>
  </si>
  <si>
    <t xml:space="preserve">Cloud converts backlog (~$185B 2028E revenue) helped by external TPU sales, Search grows low double digits, ad-tech stays behavioural; 21.8x peer-median multiple on ~$17.5 FY2028 core EPS plus ~$17.8/share of financial assets, cross-checked by the $326 SOTP: ~$375.</t>
  </si>
  <si>
    <t xml:space="preserve">External TPU sales become a visible third engine, Cloud margins pass 40%, Gemini holds the top model slot (Polymarket 42.5% for end-2026), FY2028 EPS ~$19 and the multiple re-rates to ~25x (near the upper mega-cap peers) as capex intensity peaks; an Anthropic IPO (Polymarket 67% by Nov 30) re-marks the non-marketable book: ~25 x $19 + ~$22 = ~$495. [citation gate 2026-10-06: the Polymarket best-model and Anthropic-IPO odds are prediction-market prices and the stake re-mark is not in Alphabet's filings: not verified, not used in any supervisor number]</t>
  </si>
  <si>
    <t xml:space="preserve">AI-capex payback doubts deepen: the 2027 capex guide (consensus ~$301B) lands with Cloud growth slowing as third-party bridging capacity and depreciation squeeze margins. Anthropic-concentrated backlog [31] and circular financing [32] become the story. The ATM is drawn, search share keeps slipping (StatCounter 89.9% in Sep-26 [35]) and the DOJ cross-appeal keeps a structural search remedy alive. NTM EPS ~10% below my already-haircut $16.08 (~$14.5) at 17x (ORCL/NFLX level) + $10.75 stakes = ~$257. [citation gate 2026-10-06: [31]/[32] are press-only; context, not used in any supervisor number]</t>
  </si>
  <si>
    <t xml:space="preserve">Search grows low-teens and Cloud converts backlog, but depreciation caps margin expansion and FCF stays near zero through 2027. Equity issuance replaces buybacks. Multiple drifts from 23x to ~22x NTM: roughly flat over 12 months, in line with fair value ~$346.</t>
  </si>
  <si>
    <t xml:space="preserve">Consensus proves right or low: 2028 EPS ~$17.9, TPU external sales ramp in 2027 [10], Cloud margin keeps expanding (Q2 OI $8.8B on $24.8B revenue [1]), ATM left unused. 25x NTM consensus EPS $17.16 + $10.75 stakes = ~$440, near the $429 average analyst target [16].</t>
  </si>
  <si>
    <t xml:space="preserve">Average</t>
  </si>
  <si>
    <t xml:space="preserve">GOOGL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</si>
  <si>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</si>
  <si>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</si>
  <si>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</si>
  <si>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</si>
  <si>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</si>
  <si>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</si>
  <si>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</si>
  <si>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Delta refresh of my 2026-10-02 file. I re-checked filings first. EDGAR shows no 8-K, 10-Q or proxy since Aug 10; the only new filing is an Oct 2 Form 4. So I re-opened and confirmed every reported figure that feeds my fair value at source: the Q2 8-K, the 10-Q, the Q2 call transcript, and the June 5 and Aug 10 8-Ks. The only company releases are the Oct 6 Constellation PPA (890 MW of uprates, 20 years; a separate 2,700 MW, 15-year supply deal; first uprate 2028; cost undisclosed) and the Sep 30/Oct 1 Gemini 4 Argon preview (Fairwind-only, no GA date). Neither changes a 12-month number. Neither does the stock's move: +1.2% Oct 2-6, in line with QQQ's +1.3%. What did change is consensus. CY2027 EPS is now $15.10 (S&amp;P Global; 24/7 Wall St shows $14.47 to $15.10 in 90 days), against $14.84 in my last file. MarketScreener carries CY2028 at $17.89. I also built the 10-peer comp set my prior file lacked, on one CY2027 basis. Its median is 19.6x P/E and 11.9x EV/EBITDA; GOOGL is at 23.0x all-in and 22.0x core. I now apply 21x core, down from 21.5x and anchored to that peer set, to CY2028E EPS of $17.0 (consensus less about 5% for 2027-capex D&amp;A, sized from the standing capex view: Big-4 2027 base +47%), up from $16.5. With about $15/share of stakes, the P/E leg is $372. The SOTP is unchanged at $348. The blend is $362, against $361. The ladder uses median ≈ fair value $362 (+4%), a fat-tailed lognormal mixture (27% sigma at 70%, 40% at 30%, about 31% effective vs 32% realised), and P(≥ spot) of 0.55. The scenario mean is $368 (22/53/25 at $245/$368/$475), consistent with right skew. Thesis break stays $255. For one month, the Q3 print is about 97% inside the window, two-sided, centred at about $349. Lane: 9 of the 15 non-comp sources are primary (60%). The 30 data pages behind the comp table (3 per peer, required by the 2026-10-03 peer rule) are not counted. No option data was used.</t>
  </si>
  <si>
    <t xml:space="preserve">$255 is about 15.9x CY2027 consensus core EPS ($15.10, after about $15/share of after-tax stakes and net cash), below the 19.6x peer median and roughly at the cheapest non-de-rated peers (ORCL 14.8x, RDDT 15.4x). It is about 8% above the 52-week low of $235.84. At that level the market would be saying either that consensus is being cut (Search breaking under AI substitution or an adverse appellate ruling on default payments), or that the $513.9B Cloud backlog is not converting at margins near Q2's 35.6%. A capex guide alone, even at the high end, should take the stock to the high-$200s, not $255. Unchanged from 2026-10-02: the consensus rise (+1.8%) is too small to move it.</t>
  </si>
  <si>
    <t xml:space="preserve">• Size of 2027 capex (standing-view base about $295B for Alphabet; range about $240-370B) and the D&amp;A drag it puts on CY2028 EPS
• Search growth as Q3 laps the 2025 acceleration and AI answers spread, plus the Search remedies appeal
• Conversion and margin of the $513.9B Cloud backlog, including the third-party capacity bridge and TPU system sales
• Gemini 4 Argon reception and the timing of broad availability: limited preview only, no GA date
• Volatility in stake marks: $94.1B of restricted SpaceX and a $131.5B non-marketable book, mostly one private company
• Dilution from the ATM and mandatory converts, with buybacks suspended</t>
  </si>
  <si>
    <t xml:space="preserve">Delta refresh from 2026-10-02. No new filings. The Q3 print is now fixed for Oct 28, inside the 1-month window. The stock rose 1.2%, matching QQQ and the mega-cap peers, so price action since 10-02 carries no GOOGL-specific information. Industry read-through stays constructive for Cloud and TPU: the Constellation 20-year 890 MW uprate PPA plus 2,700 MW supply deal shows Alphabet contracting power years ahead (supplier-side confirmation of a long build-out, and a Gemini Enterprise customer win); Marvell's investor day lifted ASIC peers on the custom-silicon share thesis; Wells Fargo now sees $9.2B and $11.5B of external TPU sales in Q3/Q4. Gemini 4 Argon tops the Arena leaderboard and Polymarket moved Google to 42.5% for best model at end-2026. The ad side is unchanged: the last tracker (Tinuiti Q2) shows click-led Search growth with CPC +1%, and Meta and Amazon ads outgrew Search. Valuation: consensus FY27 rose to $14.95 and FY28 is verified at $17.89. I take $17.5 after a D&amp;A adjustment for the standing capex view (Alphabet 2027 capex ~10% above consensus). The new 11-peer set gives a 21.8x median next-FY P/E; GOOGL's ~22.1x core multiple is already at the median and its FY28 growth matches the mega-cap median, so I apply 21.8x with no premium: P/E leg $399. I corrected my SOTP to deduct unallocated costs and moved it to the 2028 horizon: $326. Blend 60/40 = $370 (+6.4%). Distribution: two-piece lognormal, median ~$366, sigma ~0.30 up / 0.34 down (realised vol 32%), with fatter tails for regulatory and capex outcomes. The scenario mean ($375) is close to the ladder mean (~$379). Thesis break $245 (~15x core FY27, Baidu-to-Netflix territory). Research limits: Alpha Vantage was rate-limited, Twelve Data estimates are paywalled, DCD and Benzinga returned 403, and the Tinuiti Q3 report is not yet out. I did not use Anthropic stake-size claims (not disclosed in Alphabet filings) in any number.</t>
  </si>
  <si>
    <t xml:space="preserve">$245 is ~15.2x FY2027 consensus core EPS ($14.95) after ~$17.8/share of financial assets, below every mega-cap peer (lowest ORCL 21.4x) and between Baidu (13.2x, flat revenue) and Netflix (17.8x). The market would be pricing Search as ex-growth, and $245 is ~4% above the 52-week low of $235.84. Industry signals that would accompany a fundamental break: Broadcom or Marvell cutting custom-ASIC/TPU outlooks or hyperscalers signalling digestion (an AI-demand air pocket that would also stall Cloud backlog conversion), search-ad trackers showing Google spend growth below ~5% with CPC falling, or an adverse DC Circuit ruling on default payments. Capex anxiety alone has not taken the stock there.</t>
  </si>
  <si>
    <t xml:space="preserve">• Size of the 2027 capex step-up (standing view ~$350B vs $285-357B consensus) and how long FCF stays near zero
• Search pricing: click-led growth with CPC +1% while Meta and Amazon ads grow faster
• External TPU sales: magnitude and margins (Wells Fargo $9.2B Q3) vs Broadcom/Marvell custom-silicon competition
• Value and timing of realisation of the $131.5B non-marketable book (Anthropic IPO odds) and the $94.1B SpaceX stake
• DC Circuit appeal on search distribution payments; EU/Poland publisher cases
• Whether Gemini keeps model leadership (Arena #1 today; Polymarket 42.5% for end-2026)</t>
  </si>
  <si>
    <t xml:space="preserve">Skeptic lane. Starting facts (filings): Q2-26 revenue $119.8B (+24%), operating income $40.8B, Cloud $24.8B (+82%) with $8.8B OI, Cloud backlog $513.9B [1][2]. What the consensus may be underweighting: (1) Earnings quality. H1-26 pretax income $216.2B includes $135.9B of equity-security gains (SpaceX IPO and other marks; $94.1B of SpaceX stock, mostly locked up [2][42]) [9][1], so trailing P/E of ~17x is misleading. On ex-gains consensus the stock is 23.2x CY27 [14]. (2) Cash. Q2 FCF -$5.9B, TTM $53.3B [1]. Consensus FCF is $8.4B in 2026 and -$36.7B in 2027 on capex of $201.7B and $301.0B [15], consistent with the standing AI-capex view (Alphabet 2027 consensus $285-357B) [40]. Purchase commitments jumped to $707B [3]. (3) Funding mix. Buybacks went from $13.2B in Q2-25 to zero [1]. Alphabet sold 58M Class A/C shares (net $20.5B) plus $10B to Berkshire, $19B of 6.25% mandatory convertibles, and set up a $40B ATM [4][5][6], plus $45B of bonds in Feb/Aug [7][8][39]. (4) Credit is pricing more risk. On like-for-like tenors, new-issue spreads widened from Feb to Aug: 10y T+63 -&gt; T+85, 40y T+95 -&gt; T+130, despite unchanged AA+/Aa2 ratings [7][8]. The Feb sterling deal included a 2126 century bond at gilts +120bp [41]. That is a mild, not alarming, signal. (5) Concentration and circularity. Anthropic reportedly accounts for over 40% of the backlog [31], and Google backstops financing of Anthropic's TPU purchases [32]. These are press reports (The Information, via Silicon UK), used here only to size bear-case probability, not as valuation inputs. (6) Sentiment is crowded: 0 sells and 4 holds out of 55 analysts; insiders sold ~$8.7M and bought $0 over 3 months [37]. Visible Form 4s are routine 10b5-1 or vesting [11][12][13], so this is not a red flag. Alt-data and markets: StatCounter puts Google at 89.94% of worldwide search in Sep-26 [35]. On Kalshi (via Octagon, Oct 2, week of Oct 5), 'Above 20.5%' Google share of OpenRouter text-model requests traded ~75% and 'Above 19.9%' 97%, with 30,430 contracts on the latter [36]. That reads as a solid but not dominant AI-model position. Privacy litigation remains a recurring cost (shareholder proponents cite a $425.7M privacy jury verdict [38]; PriceRunner $2.1B damages and the $5.2B EU Android payment in Q2-Q3 [3]). What weakens the bear case: the ad tech remedy decision rejected the AdX divestiture and imposed a 6-year behavioral decree [27][28][29][30], removing the largest structural legal tail. The balance sheet remains AA+. Operating momentum is real. Valuation: P/E (21.8x, between the all-peer median 19.8x and the US median 23.5x) on haircut NTM EPS gives $360. EV/EBITDA at the peer median (10.5x) gives $320. Blended fair value is $346, about 0.5% below spot. Scenarios: 257/348/440 at 25/50/25 (mean ~$348). The ladder is a lognormal mixture around those (sigma 0.22/0.17/0.17), giving a log-sd of ~0.27 and median ~$348. This is somewhat tighter than the 32% realized vol, because the realized figure includes the Mar-May 2026 re-rating (weekly close $274 in late March to a $408.61 high in May) [43], and wider than base-rate large-cap moves only in the left tail. Research limits: Twelve Data and Alpha Vantage estimate and statistics endpoints were plan-restricted, so consensus comes from MarketScreener and StockAnalysis. Seeking Alpha, Axios and some trade press were not fetchable.</t>
  </si>
  <si>
    <t xml:space="preserve">$255 is the bear-case value: ~17x a 10%-lower NTM EPS plus haircut stakes, and below the Mar-2026 trough ($274.34 weekly close [43]). Trading there would mean the market has stopped capitalizing the AI build-out at peer multiples. Likely causes: a 2027 capex guide with no matching Cloud/TPU revenue, an Anthropic-concentrated backlog wobble, a visible step-down in Search growth, or heavy ATM use. That is a fundamental re-rating, not ordinary 32%-vol noise around fair value $346.</t>
  </si>
  <si>
    <t xml:space="preserve">• Whether 2027 capex (consensus ~$301B, after ~$200B in 2026) earns a return before depreciation catches up. Consensus 2027 FCF is -$36.7B.
• Backlog quality: over 40% of the $514B Cloud backlog reportedly sits with Anthropic, which Google also funds (up to $40B) and whose TPU purchases Google helps finance.
• Per-share dilution path: $40B ATM, mandatory convertible preferred (converts May-2029), no buybacks since Q1-26.
• GAAP earnings quality: equity-security gains were $135.9B of $216.2B H1-26 pretax income (63%), so headline EPS and P/E (17.4x trailing) look cheaper than the operating business is.
• Search share erosion to chat assistants (StatCounter &lt;90% in Sep-26) versus record Search usage claimed by management.
• Search-case cross-appeal (DOJ seeking stronger remedies) and the EU DMA decision.
• Credit-market tolerance: new-issue spreads widened 16-35bp between the Feb-26 and Aug-26 deals despite AA+/Aa2 ratings.</t>
  </si>
  <si>
    <t xml:space="preserve">GOOGL supervisor</t>
  </si>
  <si>
    <t xml:space="preserve">Confidence: medium. My checks settled four disagreements that move the number: one consensus basis, a GAAP-consistent peer median (21.7x), agent_3's NTM/next-FY mismatch, and a consensus-based (not assumed) H2 cash path. Together they lift fair value about $10 above the agent mean ($359.3) and raise P(&gt;= spot) by about 2 points. The size is modest and agent_3's skeptic margin view remains a legitimate judgment, so this is not a 'high' update.</t>
  </si>
  <si>
    <t xml:space="preserve">Summary</t>
  </si>
  <si>
    <t xml:space="preserve">ANTHROPIC S-1 UPDATE 2026-10-27: Google's stake from the public S-1 cap table 7.36% at the IPO (was 11.28%), staged lock-up 11.50% (was 10.37%), carrying $81.20B (was $105B): Anthropic increment +$51.21B -&gt; +$25.35B, conglomerate overlay -$28.97B -&gt; -$26.38B; adjustments -$23.27B (-$1.87/share on each leg, 12,423M). Research target (12m) $323.03 -&gt; $321.16 (engine: P/E $332.28 x 0.5; SOTP $310.04 x 0.5; scenarios bear $207.66 / base $321.16 / bull $394.09, median $315.83); the $323.03 figures below are superseded. | EXIT k=0.8 RE-SET 2026-10-26 (Kilian card 12:16Z: exit = peer median x (own / median)^0.8): P/E 20.8x -&gt; 21.2x. Research target (12m) $320.11 -&gt; $323.03 (engine: multiple: P/E (ntm) $334.15 x 0.5; sotp $311.91 x 0.5; scenarios bear $209.53 / base $323.03 / bull $395.97, median $317.65). Multiples and values quoted in the older text below are superseded by these. Peer refresh 2026-10-26 (model update 2026-10-23): research target (12m) $320.11 (was $338.72; the $370 below is the 10-06 stated value, history): P/E 20.8x on the refreshed 5-name set, SOTP leg added at 0.5. Since 10-02 nothing fundamental is new: no filings. Alphabet confirmed the Q3 print for Oct 28 after the close, inside the 1-month window, and the stock moved +1.2%. Reconciling the three agents on one verified basis gives a fair value of $370 (+6.4%), up $4 from 10-02. The basis is CY27 EPS $14.95 and CY28 $17.89, an 11-peer GAAP-consistent median of 21.7x, and net cash rolled to the horizon on consensus FCF. The 10-02 Anthropic uplift is removed, and the blind agent's lower $346 comes from its skeptic judgment and a basis mismatch, not from different facts. Thesis break $250; P(close &gt;= spot in 12 months) 0.558. No add before the print: keep the staged third share for Oct 29 or later, and fix the staged entry's date and its $257B capex condition (consensus is $301B).</t>
  </si>
  <si>
    <t xml:space="preserve">Research target (12m)</t>
  </si>
  <si>
    <t xml:space="preserve">Key drivers</t>
  </si>
  <si>
    <t xml:space="preserve">• Google Search &amp; other paid clicks: 100 -&gt; 110.4/119.2/127.5 (estimate; quarterly, mean)
• Google Search &amp; other cost-per-click: 100 -&gt; 103.5/106.6/109.8 (estimate; quarterly, wmean:paid_clicks)
• Google Cloud backlog (remaining performance obligations) at the end of the period: 242.8 -&gt; 595.4/693.3/810.9 (estimate; quarterly, end)
• Google Cloud revenue / opening backlog: 0.6299 -&gt; 0.4527/0.3289/0.3392 (estimate; quarterly, mean)
• Capital expenditures (purchases of property and equipment): 91.45 -&gt; 196/301/339.5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</si>
  <si>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</si>
  <si>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</si>
  <si>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</si>
  <si>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</si>
  <si>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</si>
  <si>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CY2027 consensus EPS: $15.10 (agent_1) vs $14.95 (agents 2 and 3)</t>
  </si>
  <si>
    <t xml:space="preserve">agent_1 uses $15.10 (S&amp;P Global via stockanalysis; 24/7 Wall St). agents 2 and 3 use $14.95 (Yahoo; MarketScreener).</t>
  </si>
  <si>
    <t xml:space="preserve">Use $14.95. Alphabet's fiscal year is the calendar year, so both figures are CY2027; the gap is between vendors, not calendars. $14.95 shows at two sources on 2026-10-06 (Yahoo: 53 analysts; MarketScreener). The same MarketScreener page gives the CY2028 $17.89 used for the horizon, so EPS, capex and FCF all sit on one vendor basis. The stockanalysis page agent_1 cites hides 2027+ EPS behind 'Pro', so $15.10 cannot be seen there. 24/7 Wall St shows $15.1008 but names no vendor. The 1% gap is about $3/share at 21.7x and does not change the conclusion.</t>
  </si>
  <si>
    <t xml:space="preserve">Yahoo analysis page and MarketScreener finances page, both opened 2026-10-06; stockanalysis GOOGL forecast (2027 EPS shown as 'Pro'); 24/7 Wall St 2026-10-05.</t>
  </si>
  <si>
    <t xml:space="preserve">Peer set and median (19.6x / 21.8x / 19.8x)</t>
  </si>
  <si>
    <t xml:space="preserve">agent_1: 10 names, median 19.6x, on S&amp;P Global (stockanalysis) EPS. agent_2: 11 names, median 21.8x, MarketScreener fiscal year ending in 2027, not calendarized; includes BIDU, PINS, SPOT. agent_3: 10 names, median 19.8x, calendarized MarketScreener; includes TCEHY, BABA, BIDU.</t>
  </si>
  <si>
    <t xml:space="preserve">Reconciled set of 11 names on one basis: MarketScreener consensus calendarized to CY2027, P/E = 2026-10-06 close / CY2027 EPS. Median 21.7x; mega-cap five (MSFT, AMZN, META, AAPL, ORCL) 24.4x. agent_1's software and ads multiples use S&amp;P Global adjusted (ex-SBC) EPS while GOOGL's consensus includes SBC. Examples: ORCL FY27 adjusted $8.14 vs MarketScreener $6.643; CRM 14.0x vs 23.5x; RDDT 15.4x (adjusted $9.69) vs 21.1x. That biases agent_1's median down by about 2 turns. agent_2's MSFT 26.7x and ORCL 21.4x are fiscal-year multiples; calendarized they are 24.5x and 17.9x. China ADRs (regulatory/ADR discount), PINS (EPS $0.78 off a low base) and SPOT (EUR) are dropped as not comparable.</t>
  </si>
  <si>
    <t xml:space="preserve">MarketScreener finances pages for all 11 peers, opened 2026-10-06; stockanalysis ORCL/CRM/RDDT forecast pages (S&amp;P Global adjusted EPS).</t>
  </si>
  <si>
    <t xml:space="preserve">Horizon EPS: capex D&amp;A adjustment to CY2028 consensus ($17.0 / $17.5 / $16.46)</t>
  </si>
  <si>
    <t xml:space="preserve">agent_1 -5%, sized from a $295B 2027 capex base. agent_2 -$0.4, from the standing view's consensus +10%. agent_3 -8%, holding the EBIT margin flat as a skeptic.</t>
  </si>
  <si>
    <t xml:space="preserve">Use $17.54 ($17.89 - $0.35). The standing view's base case is consensus +10%. Verified consensus 2027 capex is $301.0B (MarketScreener), so the base is about $331B, $30B over consensus. At the call's ~60% servers / 40% DC mix that adds about $3.5-4B of pre-tax 2028 D&amp;A, roughly $0.3-0.35/share after tax on 12.4B shares. agent_1's $295B base is below the verified $301B consensus, so by its own logic it implies no haircut, not 5%. agent_3's -8% is a view against consensus (EBIT margin 35.3% in 2027 to 35.9% in 2028), not a correction; it is kept as the bear-case driver.</t>
  </si>
  <si>
    <t xml:space="preserve">MarketScreener GOOGL finances (capex 2027 $300,979M, 2028 $339,451M; EBIT 2027 $216,996M on sales $615,038M; 2028 $263,325M on $734,199M); standing capex view (base = consensus +10%); Q2 transcript ('continue to expect our CapEx to increase significantly in 2027').</t>
  </si>
  <si>
    <t xml:space="preserve">Net financial assets per share ($15 / $17.8 / $10.75)</t>
  </si>
  <si>
    <t xml:space="preserve">agents 1 and 2 net cash ~$40-42B after an assumed -$15B H2 burn, haircuts 15% and 20%. agent_3 stakes only in its P/E leg ($10.75), using the $124.3B measurement-alternative book with 25-50% haircuts.</t>
  </si>
  <si>
    <t xml:space="preserve">$15.0/share at the horizon (estimate). Cash and debt securities ($55.911B + $99.500B) less debt ($98.165B + $1.999B) = $55.2B at 6/30. Add consensus H2-26 FCF of +$4.2B: MarketScreener 2026 FCF $8.448B less H1 FCF of $4.261B (OCF $84.859B - capex $80.598B). The agents' -$15B H2 burn is unsourced. Add 0.75 x the 2027 consensus FCF of -$36.658B and deduct five quarters of common dividends ($0.22 x 12.23B) and preferred dividends (6.25% x $19.0B x 1.25 years). That gives about $17.0B of net cash at Oct 2027. Stakes: other marketable equity $7.06B x 0.85, SpaceX $94.1B x 0.75 and the $131.461B non-marketable line x 0.70, for $185.6B in total. Over 12.40B diluted shares that is $14.97. Net cash at the horizon is an estimate (see inputs_detail). The $14.1B long-term-restricted SpaceX block is in other non-current assets, not the non-marketable line, so there is no double count. agent_3's $124.3B is the measurement-alternative subset of the $131.461B line; both are 10-Q figures.</t>
  </si>
  <si>
    <t xml:space="preserve">10-Q (SpaceX $80.0B short-term / $14.1B long-term restricted; marketable equity $87.063B incl. the $80.0B; non-marketable $131.461B); XBRL company facts at 2026-06-30; MarketScreener FCF consensus.</t>
  </si>
  <si>
    <t xml:space="preserve">Multiple basis at the horizon (agent_3)</t>
  </si>
  <si>
    <t xml:space="preserve">agent_3 applies 21.8x, a CY2027 multiple measured today about 9 months ahead of the earnings midpoint, to an NTM base at Oct 2027 (0.25 x CY27 + 0.75 x CY28), about 6 months ahead.</t>
  </si>
  <si>
    <t xml:space="preserve">Like-for-like is the same next-calendar-year multiple on CY2028 at the horizon. On consensus, NTM ($17.16) is 4.1% below CY2028 ($17.89), so agent_3's P/E leg is about $15 low. The same correction was sent to agent_5 on 2026-10-02.</t>
  </si>
  <si>
    <t xml:space="preserve">Arithmetic: 0.25 x 14.95 + 0.75 x 17.89 = 17.155.</t>
  </si>
  <si>
    <t xml:space="preserve">Q3 report date and the 1-month window</t>
  </si>
  <si>
    <t xml:space="preserve">agent_2: confirmed Oct 28. agent_1: S&amp;P Global estimate of Oct 28, not yet announced (~97% inside). agent_3: late October, not announced.</t>
  </si>
  <si>
    <t xml:space="preserve">Confirmed: Wednesday 2026-10-28, call at 1:30pm PT (after the close), announced by Alphabet on 2026-10-06. It falls inside the window ending 2026-11-05, with six trading sessions of reaction (Oct 29 - Nov 5). Note: review_settings.json staged_entries.GOOGL says 'Q3 results (Oct 27)' with after = 2026-10-28. The print is after the close on Oct 28, so 'after' should be 2026-10-29 so that the second tranche is not bought before the print.</t>
  </si>
  <si>
    <t xml:space="preserve">abc.xyz press release 2026-10-06; EDGAR submissions (no 8-K, so the date release was not furnished on EDGAR).</t>
  </si>
  <si>
    <t xml:space="preserve">Unverified claims inside agents' numbers</t>
  </si>
  <si>
    <t xml:space="preserve">agent_2's bull case uses Polymarket (Anthropic IPO 67% by Nov 30; best-model 42.5%) and +$22 of stakes; its EPS choice leans on Wells Fargo TPU estimates (via Investing.com) as an offset. agent_3 sizes bear-case probability on a press report that Anthropic is &gt;40% of backlog. The 10-02 supervisor added +$4/share for an Anthropic IPO.</t>
  </si>
  <si>
    <t xml:space="preserve">All removed from every number here (hard rule). They stay as context only. My scenarios, ladder and fair value use only filing, transcript and consensus figures plus labelled judgments.</t>
  </si>
  <si>
    <t xml:space="preserve">None of these appear in Alphabet's 8-K, 10-Q or Q2 call transcript.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</si>
  <si>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</si>
  <si>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</si>
  <si>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</si>
  <si>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</si>
  <si>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</si>
  <si>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</si>
  <si>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P/E 20.8x</t>
  </si>
  <si>
    <t xml:space="preserve">P/E 21.2x</t>
  </si>
  <si>
    <t xml:space="preserve">Exit = peer median x (own NTM multiple on the peers' basis / median)^0.8; research target (12m) $320.11 -&gt; $323.03. See inputs_detail and comps_summary (own_multiple, exit_k).</t>
  </si>
  <si>
    <t xml:space="preserve">research target (12m)</t>
  </si>
  <si>
    <t xml:space="preserve">338.72</t>
  </si>
  <si>
    <t xml:space="preserve">320.11</t>
  </si>
  <si>
    <t xml:space="preserve">Peer refresh 2026-10-26: P/E 21.7x -&gt; 20.8x, SOTP leg replaces the agents' cross-check, weights 0.5 / 0.5.</t>
  </si>
  <si>
    <t xml:space="preserve">[10-06 history] P(close on 2027-10-06 &gt;= K) for K = 243-417</t>
  </si>
  <si>
    <t xml:space="preserve">[0.892, 0.796, 0.673, 0.537, 0.409, 0.294]</t>
  </si>
  <si>
    <t xml:space="preserve">[0.9, 0.81, 0.69, 0.558, 0.432, 0.318]</t>
  </si>
  <si>
    <t xml:space="preserve">Median moves to ~$364 from the agents' ~$358 because fair value is $370 vs the $359.3 mean, after correcting agent_3's NTM basis, agent_1's adjusted-EPS peer median and the unsourced H2 burn.</t>
  </si>
  <si>
    <t xml:space="preserve">[10-06 history] P(close on 2027-10-06 &gt;= K) for K = 469-869</t>
  </si>
  <si>
    <t xml:space="preserve">[0.171, 0.094, 0.036, 0.015, 0.004]</t>
  </si>
  <si>
    <t xml:space="preserve">[0.192, 0.11, 0.044, 0.018, 0.004]</t>
  </si>
  <si>
    <t xml:space="preserve">Same re-centring, with right-tail weight between agents 1-2 and agent_3. The bull case rests on CY28 EPS ~$19 at 24x, not on prediction markets.</t>
  </si>
  <si>
    <t xml:space="preserve">[10-06 history] fair value</t>
  </si>
  <si>
    <t xml:space="preserve">359.3</t>
  </si>
  <si>
    <t xml:space="preserve">370.0</t>
  </si>
  <si>
    <t xml:space="preserve">Reconciled P/E leg $395.6 (21.7x x $17.54 + $14.97) blended 60/40 with the agents' sourcing-corrected cross-check legs ($332.4).</t>
  </si>
  <si>
    <t xml:space="preserve">[10-06 history] thesis break</t>
  </si>
  <si>
    <t xml:space="preserve">251.7</t>
  </si>
  <si>
    <t xml:space="preserve">250.0</t>
  </si>
  <si>
    <t xml:space="preserve">15.7x core CY27 consensus, below every reconciled US mega-cap peer; unchanged from 10-02 and equal to the staged-entry cancel level.</t>
  </si>
  <si>
    <t xml:space="preserve">[10-06 history] fact: CY2027 consensus EPS (agent_1)</t>
  </si>
  <si>
    <t xml:space="preserve">15.1</t>
  </si>
  <si>
    <t xml:space="preserve">14.95</t>
  </si>
  <si>
    <t xml:space="preserve">Yahoo (53 analysts) and MarketScreener show $14.95 on 2026-10-06; the cited stockanalysis page hides 2027 EPS.</t>
  </si>
  <si>
    <t xml:space="preserve">[10-06 history] fact: peer median CY2027 P/E (agent_1 / agent_2 / agent_3)</t>
  </si>
  <si>
    <t xml:space="preserve">19.6 / 21.8 / 19.8</t>
  </si>
  <si>
    <t xml:space="preserve">21.7</t>
  </si>
  <si>
    <t xml:space="preserve">One 11-name set on calendarized MarketScreener (GAAP-consistent) EPS.</t>
  </si>
  <si>
    <t xml:space="preserve">[10-06 history] fact: horizon EPS basis (agent_3)</t>
  </si>
  <si>
    <t xml:space="preserve">16.08</t>
  </si>
  <si>
    <t xml:space="preserve">17.54</t>
  </si>
  <si>
    <t xml:space="preserve">Like-for-like is CY2028 at the horizon, not NTM; and the capex adjustment is -$0.35 (standing view consensus +10%), not -8%.</t>
  </si>
  <si>
    <t xml:space="preserve">[10-06 history] fact: CY2028E EPS used (agent_1)</t>
  </si>
  <si>
    <t xml:space="preserve">17.0</t>
  </si>
  <si>
    <t xml:space="preserve">The 5% haircut was sized from a $295B capex base below the verified $301.0B consensus.</t>
  </si>
  <si>
    <t xml:space="preserve">[10-06 history] fact: H2-2026 free cash flow (agents 1 and 2)</t>
  </si>
  <si>
    <t xml:space="preserve">-15.0</t>
  </si>
  <si>
    <t xml:space="preserve">4.2</t>
  </si>
  <si>
    <t xml:space="preserve">MarketScreener 2026 FCF $8.448B less H1 FCF of $4.261B ($84.859B OCF - $80.598B capex, 10-Q) ($B).</t>
  </si>
  <si>
    <t xml:space="preserve">[10-06 history] net financial assets per share (agents 1 / 2 / 3)</t>
  </si>
  <si>
    <t xml:space="preserve">15 / 17.8 / 10.75</t>
  </si>
  <si>
    <t xml:space="preserve">14.97</t>
  </si>
  <si>
    <t xml:space="preserve">Net cash rolled to Oct 2027 on consensus FCF ($17.0B) plus haircut stakes ($168.6B), over 12.40B shares.</t>
  </si>
  <si>
    <t xml:space="preserve">[10-06 history] fact: Q3 2026 report date (agents 1 and 3)</t>
  </si>
  <si>
    <t xml:space="preserve">not announced (S&amp;P estimate Oct 28 / 'late October')</t>
  </si>
  <si>
    <t xml:space="preserve">2026-10-28 after the close, confirmed</t>
  </si>
  <si>
    <t xml:space="preserve">Alphabet release 2026-10-06; inside the 1-month window.</t>
  </si>
  <si>
    <t xml:space="preserve">[10-06 history] removed: Anthropic IPO uplift (10-02 supervisor) and Polymarket/press inputs (agent_2 bull, agent_3 bear weight)</t>
  </si>
  <si>
    <t xml:space="preserve">4.0</t>
  </si>
  <si>
    <t xml:space="preserve">0.0</t>
  </si>
  <si>
    <t xml:space="preserve">Hard rule: prediction-market and press-only claims, not in Alphabet filings ($/share).</t>
  </si>
  <si>
    <t xml:space="preserve">Anthropic stake from the public S-1 (2026-10-26)</t>
  </si>
  <si>
    <t xml:space="preserve">S-1 share counts and lock-up schedule replace the press-based estimates; research target (12m) $323.03 -&gt; $321.16</t>
  </si>
  <si>
    <t xml:space="preserve">Citation audit (2026-10-28)</t>
  </si>
  <si>
    <t xml:space="preserve">{'item': 'peer prices AMZN / ORCL / CRM (labelled 2026-10-06)', 'from': '$251.40 / $142.48 / $229.79 (lagged MarketScreener page quotes)', 'to': '$256.29 / $144.77 / $224.99 (2026-10-06 closes); P/E 23.92 -&gt; 24.39, 17.59 -&gt; 17.87, 23.52 -&gt; 23.02; median 21.69 unchanged; mega-cap five 23.92 -&gt; 24.39', 'source': 'https://stockanalysis.com/stocks/amzn/history/ ; /orcl/history/ ; /crm/history/'}</t>
  </si>
  <si>
    <t xml:space="preserve">{'item': 'cross-check leg: unsourced -$15B H2-26 FCF burn inside agent_1 and agent_2 SOTPs; agent_2 omitted $1.999B current debt', 'from': 'agent_1 $348, agent_2 $326, mean $331.4', 'to': 'agent_1 $349.9, agent_2 $327.1, mean $332.4', 'source': 'https://www.marketscreener.com/quote/stock/ALPHABET-INC-24203373/finances/ (2026 FCF $8,448M); https://data.sec.gov/api/xbrl/companyfacts/CIK0001652044.json (H1 OCF $84,859M, capex $80,598M, LTD current $1,999M)'}</t>
  </si>
  <si>
    <t xml:space="preserve">{'item': 'fair value (unrounded blend)', 'from': 369.9, 'to': 370.3, 'source': 'arithmetic: 0.6 x 395.6 + 0.4 x 332.4; rounded value unchanged at $370'}</t>
  </si>
  <si>
    <t xml:space="preserve">{'item': 'cross-check multiple anchors (agent_1 S&amp;P-adjusted P/Es; agent_2 MarketScreener EV/Sales and BIDU; agent_3 MarketScreener EV/EBITDA)', 'from': 'agent_1 median 19.6x / META 21.2x; agent_2 ORCL 6.07x, MSFT 9.84x, BIDU 13.2x; agent_3 10.2x / 10.8x', 'to': "GAAP median 21.7x / META 21.7x; filing-based EV: ORCL 5.8x, MSFT 10.0x EV/sales, APP 13.9x floor; US-7 EV/EBITDA median 10.5x. Agents' multiples kept as judgments; leg values unchanged by this item", 'source': 'SEC XBRL companyfacts (peer 10-K/10-Q); MarketScreener consensus sales/EBITDA; Stock Analysis Oct 6 closes'}</t>
  </si>
  <si>
    <t xml:space="preserve">{'item': 'diluted shares derivation (mandatory preferred)', 'from': '~43M at the minimum rate added on top of 12,309M', 'to': '~54M at the maximum rate (stock below $355.11), of which 16M already in Q2 -&gt; +38M; total still ~12.40B', 'source': 'https://www.sec.gov/Archives/edgar/data/1652044/000119312526259830/d36818d8k.htm ; XBRL IncrementalCommonSharesAttributableToConversionOfPreferredStock Q2 = 16M'}</t>
  </si>
  <si>
    <t xml:space="preserve">{'item': 'capex D&amp;A adjustment arithmetic', 'from': "'$0.24 rounded up to $0.35'", 'to': '$0.24 (2027 excess) + up to $0.14 (2028 excess, half year) = $0.24-0.38; $0.35 kept as labelled judgment; server life 6 yrs per 10-K', 'source': 'https://www.sec.gov/Archives/edgar/data/1652044/000165204426000018/R11.htm'}</t>
  </si>
  <si>
    <t xml:space="preserve">{'item': 'sizing: GOOGL vol vs SPY', 'from': "'about twice' (no source); confidence 0.45", 'to': '2.8x (34.3% vs 12.4%, 6-month realized); confidence 0.43', 'source': 'https://stockanalysis.com/stocks/googl/history/ ; https://stockanalysis.com/etf/spy/history/ ; US Treasury par curve 2026-10-06 (1-yr 4.46%)'}</t>
  </si>
  <si>
    <t xml:space="preserve">{'item': 'one_month_reasoning: MSFT/META/AMZN report the same week; Q3 print brings first 2027 capex figure', 'from': 'stated as fact', 'to': 'peer-date claim removed (not verified at a company source); capex figure stated as likely (CFO: more details at a later date)', 'source': 'https://s206.q4cdn.com/479360582/files/doc_events/2026/Jul/22/2026_Q2_Earnings_Transcript.pdf'}</t>
  </si>
  <si>
    <t xml:space="preserve">{'item': 'net cash at horizon', 'from': 'embedded in the net-financial-assets derivation', 'to': 'separate inputs_detail entry, basis estimate, $17.0B with full arithmetic', 'source': 'https://data.sec.gov/api/xbrl/companyfacts/CIK0001652044.json'}</t>
  </si>
  <si>
    <t xml:space="preserve">{'item': "[citation gate 2026-10-27, Anthropic S-1] inputs_detail 'Anthropic stake estimate 2026-10-19: Google's investments in Anthropic (cost basis)' (mislabelled)", 'from': "~$23.6B, basis 'reported'", 'to': "~$23.6B, basis 'estimate', confidence medium-high, derivation 0.3 (press) + 2.0 + 1.3 + 10.0 + 10.0 = 23.6 (S-1 components $23.3B re-checked: 2023 NPA $500M + $750M + $750M; 2024 NPA ~$1.3B; G-2 38.6M x $259.1364; Series H $10.0B); value unchanged", 'source': 'https://www.sec.gov/Archives/edgar/data/2130357/000162828026067168/anthropicpbc-sx1.htm ; https://fortune.com/2026/07/22/anthropic-spacex-investments-google-earnings-biggest-ever-profit-quarter/'}</t>
  </si>
  <si>
    <t xml:space="preserve">{'item': "[citation gate 2026-10-27, Anthropic S-1] inputs_detail 'remaining items 2026-10-19: conglomerate overlay 10% on non-core stakes' variant_view (arithmetic)", 'from': 'Middle -$72.42B (-$5.86/share); heavy 0.25 x (289.68 + 91.29) = -$95.24B (-$7.71/share) on the pre-S-1 stake total', 'to': "On the current $263.82B stake total (after the 11.50% staged lock-up): middle 0.25 x 263.82 = -$65.96B (-$5.34/share); heavy 0.25 x (263.82 + 91.29) = -$88.78B (-$7.19/share); base 10% = -$26.38B (-$2.14/share on 12,350M). The shard's -$65.33B / -$88.15B were on the interim 261.32 total (14.36% lock-up)", 'source': 'arithmetic: Anthropic 82.19 + (131.461 - 81.20) x 0.70 + 60.37 + 6.00 + 70.56 + 9.52 = 263.82'}</t>
  </si>
  <si>
    <t xml:space="preserve">{'item': '[citation gate 2026-10-27, Anthropic S-1] fair_value.value and methods notes (arithmetic: stale after the S-1 update)', 'from': '$323.03; P/E $334.15 and SOTP $311.91, each with adjustments $24.57/share (305,240 / 12,423)', 'to': "$321.16 = 0.5 x P/E $332.28 + 0.5 x SOTP $310.04; adjustments $22.70/share (281,967 / 12,423: Anthropic +51,210 -&gt; +25,351.2, overlay -28,970 -&gt; -26,382.4, net -23,271); scenarios $207.66 / $321.16 / $394.09, median $315.83; matches model_engine.py check. The shard's interim $320.98 was before the staged lock-up (11.50% vs 14.36%)", 'source': 'python3 model_engine.py check runs/2026-10-23/GOOGL/supervisor.json (2026-10-27); S-1 Underwriting pp. 322-323 (https://www.sec.gov/Archives/edgar/data/2130357/000162828026067168/anthropicpbc-sx1.htm)'}</t>
  </si>
  <si>
    <t xml:space="preserve">{'item': '[citation gate 2026-10-27, Anthropic S-1] fair_value methods notes: adjustment total and SOTP wording', 'from': "P/E note 281,969 (listed adjustments sum to 280,267: the 1,700 gap unexplained); SOTP note '3,569.6B / 12,423 + $24.57 ... -$1.87/share -&gt; $310.04'", 'to': "281,967 as the engine resolves it (driver-linked net financial assets 187,300 vs the listed 185,600 add 1,700); SOTP note '$3,569.7B / 12,423 = $287.34 + $22.70 = $310.04'. Values unchanged", 'source': 'model_engine.resolve_drivers on supervisor.json (2026-10-27)'}</t>
  </si>
  <si>
    <t xml:space="preserve">{'item': '[citation gate 2026-10-27, Anthropic S-1] summary, model.reasoning, model.reconciled_inputs.structure_note', 'from': 'led with the 2026-10-26 exit k=0.8 line, research target $323.03 (no S-1 line)', 'to': 'S-1 update line prepended: research target (12m) $323.03 -&gt; $321.16 with the engine legs and scenarios; older text kept as history', 'source': 'fair_value.reason; changes[14]'}</t>
  </si>
  <si>
    <t xml:space="preserve">{'item': '[citation gate 2026-10-28, Q3 update] driver:capex FY2026 guide $195-205B (as of 2026-10-28)', 'from': 'cited to the Motley Fool transcript (source 65), which did not open', 'to': "cited to the Q3 call transcript on TradingKey (source 69: CFO 'Our full year 2026 CapEx guidance range of $195 billion to $205 billion remain unchanged') and Yahoo Finance call highlights (source 70); value unchanged", 'source': 'https://www.tradingkey.com/news/transcripts/262249599-tradingkey'}</t>
  </si>
  <si>
    <t xml:space="preserve">{'item': '[citation gate 2026-10-28, Q3 update] driver:capex FY2027-28 consensus wording', 'from': "MarketScreener's newer 308.0 / 352.4 'is within 3%'", 'to': '2.3% / 3.8% above the 300.979 / 339.451 kept (FY2028 3.8% above); values unchanged; confidence added', 'source': 'arithmetic; MarketScreener (source 67)'}</t>
  </si>
  <si>
    <t xml:space="preserve">{'item': '[citation gate 2026-10-28, Q3 update] Balance: net debt (inputs_detail)', 'from': "label 'net debt at 2026-06-30', basis reported, no confidence; value -$49,596M at 2026-09-30", 'to': "label 'net debt at 2026-09-30', basis estimate with the derivation (265,098 - 90,400 marketable equity carried as stakes - 125,102 = 49,596 net cash; plain -139,996 shown), confidence medium; value unchanged (the stakes are valued separately, counted once; engine value unchanged at $329.15 either way)", 'source': 'https://www.sec.gov/Archives/edgar/data/1652044/000165204426000080/googexhibit991q32026.htm ; https://www.tradingkey.com/news/transcripts/262249599-tradingkey'}</t>
  </si>
  <si>
    <t xml:space="preserve">{'item': '[citation gate 2026-10-28, Q3 update] fair_value.methods (P/E and SOTP legs)', 'from': 'P/E 332.28 (EPS $14.60, $22.70/sh, 12,423M); SOTP 310.04 (Services 157,420, Cloud 54,536, Alphabet costs 24,070): pre-Q3', 'to': 'P/E 338.79 (21.2 x $14.85 + $23.89/sh on 12,486.5M); SOTP 319.52 (Services 156,186, Cloud 63,976, Alphabet costs 28,220); blend 0.5/0.5 = $329.15 = fair_value.value', 'source': 'model_engine.py check (engine)'}</t>
  </si>
  <si>
    <t xml:space="preserve">{'item': '[citation gate 2026-10-28, Q3 update] SOTP: Services and Cloud CY2028E after-tax OI (inputs_detail)', 'from': '$157.4B / $54.5B (pre-Q3 margins 46%/39%, Alphabet-level -29,000, $14.60 / 12,423M)', 'to': '$156.2B / $64.0B (156,186 / 63,976 from driver_build; Alphabet-level -28,220; $14.85 / 12,486.5M); variant views recomputed (+$2.06 / -$4.10 on the research target (12m))', 'source': 'driver_build eval (engine)'}</t>
  </si>
  <si>
    <t xml:space="preserve">{'item': '[citation gate 2026-10-28, Q3 update] driver:paid_clicks confidence', 'from': 'estimate without a confidence', 'to': 'confidence added (medium); values unchanged', 'source': 'derivation as written (arithmetic checked at the gate)'}</t>
  </si>
  <si>
    <t xml:space="preserve">{'item': '[citation gate 2026-10-28, Q3 update] driver:cloud_backlog confidence', 'from': 'estimate without a confidence', 'to': 'confidence added (medium); values unchanged', 'source': 'derivation as written (arithmetic checked at the gate)'}</t>
  </si>
  <si>
    <t xml:space="preserve">{'item': '[citation gate 2026-10-28, Q3 update] driver:cloud_conv confidence', 'from': 'estimate without a confidence', 'to': 'confidence added (medium); values unchanged', 'source': 'derivation as written (arithmetic checked at the gate)'}</t>
  </si>
  <si>
    <t xml:space="preserve">{'item': '[citation gate 2026-10-28, Q3 update] Cloud SOTP peer set basis (MSFT, AMZN, ORCL)', 'from': 'ORCL 15.48x on the raw Zacks series (mixed basis: 5-24% above GAAP)', 'to': 'ORCL 17.57x re-based to GAAP-ex-marks (Zacks 8.148 / 1.135 = 7.179; range 16.2x-19.1x); median 23.3x (AMZN) unchanged, one basis for all three', 'source': 'comps_review.basis_check.per_row.ORCL (XBRL quarters); https://api.nasdaq.com/api/analyst/ORCL/earnings-forecast'}</t>
  </si>
  <si>
    <t xml:space="preserve">{'item': '[citation gate 2026-10-28, Q3 update] thesis_break_reason: 2026-10-28 after-hours price', 'from': '$292.81 (-9.9%), 17% above the break (Twelve Data quote page, did not open)', 'to': 'removed; the close $324.89 (Twelve Data daily series, 30% above the $250 break) kept; it fed no number', 'source': 'Twelve Data time series GOOGL 1day'}</t>
  </si>
  <si>
    <t xml:space="preserve">Sizing</t>
  </si>
  <si>
    <t xml:space="preserve">max weight pct</t>
  </si>
  <si>
    <t xml:space="preserve">confidence</t>
  </si>
  <si>
    <t xml:space="preserve">entry</t>
  </si>
  <si>
    <t xml:space="preserve">Do not buy more now. Hold the 2 shares bought at $339 and keep the staged third share for after the Oct 28 print. The print is after the close, so the earliest add is Oct 29. review_settings.json staged_entries.GOOGL says 'Q3 results (Oct 27)' with after = 2026-10-28, which would allow the add before the print; it should be 2026-10-29. Its condition 'no capex pre-guide far above ~$257B' is below the verified 2027 consensus of $301.0B (MarketScreener), so it would cancel the tranche on an in-line guide. A threshold near the standing view's base (~$330B) matches the analysis. Keep the $250 cancel level (= thesis break).</t>
  </si>
  <si>
    <t xml:space="preserve">overlap</t>
  </si>
  <si>
    <t xml:space="preserve">AVGO (Alphabet's TPU program is a main AVGO driver), NVDA (same AI-capex cycle; it moves on the same late-October hyperscaler guides), AMZN (open GTC limit buy; cloud, ads and capex), NFLX (YouTube competes for watch time). Not used to lower the number.</t>
  </si>
  <si>
    <t xml:space="preserve">reason</t>
  </si>
  <si>
    <t xml:space="preserve">Fair value is $370, about +6.4% (+6.7% with the $0.88 dividend), roughly market-like drift, while GOOGL's volatility is about 2.8x SPY's (6-month realized, Apr 7 - Oct 6 2026 daily closes: 34.3% vs 12.4%, Stock Analysis history pages; estimate). To beat SPY on Sharpe it needs about 2.8x SPY's excess return. With the 1-year Treasury at 4.46% (Treasury par curve, 2026-10-06) and a market-like expected excess of ~2.2% (6.65% - 4.46%), the hurdle is 4.46% + 2.76 x 2.19% = 10.5%, i.e. a close of ~$383 (347.68 x 1.105 - 0.88); the ladder gives P(&gt;= $383) = 0.43 (the same arithmetic at the earlier unsourced 'about twice' gives 0.45). The Oct 28 print is a two-sided event 3 weeks out, with the first 2027 capex number likely; buying before it adds event risk without a checked edge. Up to ~12% of the $10K book leaves room for the planned 3-share position (about 10% at $348).</t>
  </si>
  <si>
    <t xml:space="preserve">open flags</t>
  </si>
  <si>
    <t xml:space="preserve">[]</t>
  </si>
  <si>
    <t xml:space="preserve">vol source urls</t>
  </si>
  <si>
    <t xml:space="preserve">['https://stockanalysis.com/stocks/googl/history/', 'https://stockanalysis.com/etf/spy/history/', 'https://home.treasury.gov/resource-center/data-chart-center/interest-rates/daily-treasury-rates.csv/2026/all?type=daily_treasury_yield_curve&amp;field_tdr_date_value=2026&amp;page&amp;_format=csv']</t>
  </si>
  <si>
    <t xml:space="preserve">peer refresh 2026 10 26</t>
  </si>
  <si>
    <t xml:space="preserve">Sizing text below dates from 10-06 ($370 research value); the current research target (12m) is $320.11; adds follow review.py and the page as usual.</t>
  </si>
  <si>
    <t xml:space="preserve">GOOGL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</si>
  <si>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</si>
  <si>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</si>
  <si>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</si>
  <si>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</si>
  <si>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</si>
  <si>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</si>
  <si>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</si>
  <si>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Alphabet Q2 2026 results, 8-K Ex. 99.1: segment OI Services $39,544M / Cloud $8,814M / Other Bets -$1,799M / Alphabet-level -$5,789M; Cloud rev $24,768M; diluted shares 12,309M; FCF -$5,855M; $49.6B net equity raise (re-read 2026-10-06)</t>
  </si>
  <si>
    <t xml:space="preserve">2026-07-22</t>
  </si>
  <si>
    <t xml:space="preserve">https://www.sec.gov/Archives/edgar/data/1652044/000165204426000066/googexhibit991q22026.htm</t>
  </si>
  <si>
    <t xml:space="preserve">A1.2</t>
  </si>
  <si>
    <t xml:space="preserve">Alphabet Form 10-Q, Q2 2026: 12,230M shares at 2026-07-15; SpaceX $80.0B current + $14.1B non-current (restricted through Q3 2027); non-marketable securities $131,461M; cash $55,911M; marketable securities $186,563M incl. $87,063M equity; LTD $98,165M + $1,999M current; Cloud backlog $513.9B, just over 50% in 24 months; no buybacks in H1 (re-read 2026-10-06)</t>
  </si>
  <si>
    <t xml:space="preserve">2026-07-23</t>
  </si>
  <si>
    <t xml:space="preserve">https://www.sec.gov/Archives/edgar/data/1652044/000165204426000071/goog-20260630.htm</t>
  </si>
  <si>
    <t xml:space="preserve">A1.3</t>
  </si>
  <si>
    <t xml:space="preserve">Alphabet Q2 2026 earnings call transcript (CFO: 2027 capex to 'increase significantly'; Q3 lapping Search acceleration; third-party capacity 'modest margin pressure'; vast majority of TPU system-sale revenue in 2027; no further equity raises except ATM for SBC tax) (re-read 2026-10-06)</t>
  </si>
  <si>
    <t xml:space="preserve">https://s206.q4cdn.com/479360582/files/doc_events/2026/Jul/22/2026_Q2_Earnings_Transcript.pdf</t>
  </si>
  <si>
    <t xml:space="preserve">A1.4</t>
  </si>
  <si>
    <t xml:space="preserve">Alphabet 8-K: 6.25% Series A/B mandatory convertible preferred (167.5M depositary shares per series; min conversion rate 2.2520 / 2.2740) and capped calls (cap $532.6704 / $527.7974) (re-read 2026-10-06)</t>
  </si>
  <si>
    <t xml:space="preserve">2026-06-05</t>
  </si>
  <si>
    <t xml:space="preserve">https://www.sec.gov/Archives/edgar/data/1652044/000119312526259830/d36818d8k.htm</t>
  </si>
  <si>
    <t xml:space="preserve">A1.5</t>
  </si>
  <si>
    <t xml:space="preserve">Alphabet 8-K: closing of $25B USD senior notes (2026-08-10) (re-read 2026-10-06)</t>
  </si>
  <si>
    <t xml:space="preserve">2026-08-10</t>
  </si>
  <si>
    <t xml:space="preserve">https://www.sec.gov/Archives/edgar/data/1652044/000119312526342390/d171253d8k.htm</t>
  </si>
  <si>
    <t xml:space="preserve">A1.6</t>
  </si>
  <si>
    <t xml:space="preserve">EDGAR submissions for Alphabet (CIK 1652044): no 8-K, 10-Q or proxy since 2026-08-10; only Forms 4 (latest 2026-10-02) and 144 (2026-09-30)</t>
  </si>
  <si>
    <t xml:space="preserve">2026-10-06</t>
  </si>
  <si>
    <t xml:space="preserve">https://data.sec.gov/submissions/CIK0001652044.json</t>
  </si>
  <si>
    <t xml:space="preserve">A1.7</t>
  </si>
  <si>
    <t xml:space="preserve">Constellation release: Google and Constellation agreement - 890 MW of uprates at 11 units (20-yr PPA), separate 15-yr supply of 2,700 MW, &gt;$4.3B Constellation investment, first uprate by 2028, 5-yr Google Cloud/Gemini Enterprise agreement; no pricing disclosed</t>
  </si>
  <si>
    <t xml:space="preserve">https://www.constellationenergy.com/news/2026/10/google-and-constellation-announce-landmark-agreement-to-bring-890-mw-of-new-nuclear-capacity-to-pjm-grid.html</t>
  </si>
  <si>
    <t xml:space="preserve">A1.8</t>
  </si>
  <si>
    <t xml:space="preserve">Google Cloud Press Corner: same Google-Constellation release (Google's Head of Energy and Power quoted; no cost disclosed)</t>
  </si>
  <si>
    <t xml:space="preserve">https://www.googlecloudpresscorner.com/2026-10-06-Google-and-Constellation-Announce-Landmark-Agreement-to-Bring-890-MW-of-New-Nuclear-Capacity-to-PJM-Grid-as-Part-of-Long-Term-Power-Deal</t>
  </si>
  <si>
    <t xml:space="preserve">A1.9</t>
  </si>
  <si>
    <t xml:space="preserve">Google Japan blog: Gemini 4 Argon (Fairwind program first; $2/$10 per M tokens; no GA date)</t>
  </si>
  <si>
    <t xml:space="preserve">2026-10-01</t>
  </si>
  <si>
    <t xml:space="preserve">https://blog.google/intl/ja-jp/company-news/technology/gemini4argon/</t>
  </si>
  <si>
    <t xml:space="preserve">A1.10</t>
  </si>
  <si>
    <t xml:space="preserve">Standing AI-capex view (internal file, as of 2026-10-05): Big-4 2026 $733B, 2027 base $1,080B (low $880B / high $1,360B); Alphabet 2026 guide $195-205B</t>
  </si>
  <si>
    <t xml:space="preserve">2026-10-05</t>
  </si>
  <si>
    <t xml:space="preserve">file:///mnt/project-files/adhoc/nvda_customer_capex.md</t>
  </si>
  <si>
    <t xml:space="preserve">A1.11</t>
  </si>
  <si>
    <t xml:space="preserve">Stock Analysis: GOOGL forecast (S&amp;P Global consensus: FY2026 EPS $11.89, FY2027 $15.10, FY2027 revenue $615.0B; avg PT $429.36 from 61 analysts; Oct 3-6 actions: Wells Fargo $411-&gt;$417, Guggenheim $450, Cantor $420; close $347.68)</t>
  </si>
  <si>
    <t xml:space="preserve">https://stockanalysis.com/stocks/googl/forecast/</t>
  </si>
  <si>
    <t xml:space="preserve">A1.12</t>
  </si>
  <si>
    <t xml:space="preserve">Stock Analysis: GOOGL statistics (EV $4.13T, market cap $4.25T, 12.23B shares; S&amp;P Global data updated Oct 6, 2026)</t>
  </si>
  <si>
    <t xml:space="preserve">https://stockanalysis.com/stocks/googl/statistics/</t>
  </si>
  <si>
    <t xml:space="preserve">A1.13</t>
  </si>
  <si>
    <t xml:space="preserve">MarketScreener: Alphabet financial forecasts (EPS 2027e $14.95, 2028e $17.89; EBITDA 2027e $298,668M)</t>
  </si>
  <si>
    <t xml:space="preserve">https://www.marketscreener.com/quote/stock/ALPHABET-INC-24203373/finances/</t>
  </si>
  <si>
    <t xml:space="preserve">A1.14</t>
  </si>
  <si>
    <t xml:space="preserve">24/7 Wall St: FY2027 EPS estimate risen from $14.4741 to $15.1008 in 90 days; consensus PT $422.34</t>
  </si>
  <si>
    <t xml:space="preserve">https://247wallst.com/investing/2026/10/05/the-ai-boom-could-make-this-magnificent-7-stock-a-much-bigger-business/</t>
  </si>
  <si>
    <t xml:space="preserve">A1.15</t>
  </si>
  <si>
    <t xml:space="preserve">Stock Analysis: GOOGL price history (Oct 1 $338.24 -1.70%; Oct 2 $343.50; Oct 5 $346.47; Oct 6 $347.68)</t>
  </si>
  <si>
    <t xml:space="preserve">https://stockanalysis.com/stocks/googl/history/</t>
  </si>
  <si>
    <t xml:space="preserve">A1.16</t>
  </si>
  <si>
    <t xml:space="preserve">Stock Analysis: MSFT forecast (S&amp;P Global consensus EPS by fiscal year; close 529.3 on 2026-10-06)</t>
  </si>
  <si>
    <t xml:space="preserve">https://stockanalysis.com/stocks/msft/forecast/</t>
  </si>
  <si>
    <t xml:space="preserve">A1.17</t>
  </si>
  <si>
    <t xml:space="preserve">Stock Analysis: MSFT statistics (enterprise value)</t>
  </si>
  <si>
    <t xml:space="preserve">https://stockanalysis.com/stocks/msft/statistics/</t>
  </si>
  <si>
    <t xml:space="preserve">A1.18</t>
  </si>
  <si>
    <t xml:space="preserve">MarketScreener: Microsoft financial forecasts (EBITDA estimates by fiscal year)</t>
  </si>
  <si>
    <t xml:space="preserve">https://www.marketscreener.com/quote/stock/MICROSOFT-CORPORATION-4835/finances/</t>
  </si>
  <si>
    <t xml:space="preserve">A1.19</t>
  </si>
  <si>
    <t xml:space="preserve">Stock Analysis: AMZN forecast (S&amp;P Global consensus EPS by fiscal year; close 256.29 on 2026-10-06)</t>
  </si>
  <si>
    <t xml:space="preserve">https://stockanalysis.com/stocks/amzn/forecast/</t>
  </si>
  <si>
    <t xml:space="preserve">A1.20</t>
  </si>
  <si>
    <t xml:space="preserve">Stock Analysis: AMZN statistics (enterprise value)</t>
  </si>
  <si>
    <t xml:space="preserve">https://stockanalysis.com/stocks/amzn/statistics/</t>
  </si>
  <si>
    <t xml:space="preserve">A1.21</t>
  </si>
  <si>
    <t xml:space="preserve">MarketScreener: Amazon financial forecasts (EBITDA estimates by fiscal year)</t>
  </si>
  <si>
    <t xml:space="preserve">https://www.marketscreener.com/quote/stock/AMAZON-COM-INC-12864605/finances/</t>
  </si>
  <si>
    <t xml:space="preserve">A1.22</t>
  </si>
  <si>
    <t xml:space="preserve">Stock Analysis: META forecast (S&amp;P Global consensus EPS by fiscal year; close 738.88 on 2026-10-06)</t>
  </si>
  <si>
    <t xml:space="preserve">https://stockanalysis.com/stocks/meta/forecast/</t>
  </si>
  <si>
    <t xml:space="preserve">A1.23</t>
  </si>
  <si>
    <t xml:space="preserve">Stock Analysis: META statistics (enterprise value)</t>
  </si>
  <si>
    <t xml:space="preserve">https://stockanalysis.com/stocks/meta/statistics/</t>
  </si>
  <si>
    <t xml:space="preserve">A1.24</t>
  </si>
  <si>
    <t xml:space="preserve">MarketScreener: Meta Platforms financial forecasts (EBITDA estimates by fiscal year)</t>
  </si>
  <si>
    <t xml:space="preserve">https://www.marketscreener.com/quote/stock/META-PLATFORMS-INC-10547141/finances/</t>
  </si>
  <si>
    <t xml:space="preserve">A1.25</t>
  </si>
  <si>
    <t xml:space="preserve">Stock Analysis: AAPL forecast (S&amp;P Global consensus EPS by fiscal year; close 333.63 on 2026-10-06)</t>
  </si>
  <si>
    <t xml:space="preserve">https://stockanalysis.com/stocks/aapl/forecast/</t>
  </si>
  <si>
    <t xml:space="preserve">A1.26</t>
  </si>
  <si>
    <t xml:space="preserve">Stock Analysis: AAPL statistics (enterprise value)</t>
  </si>
  <si>
    <t xml:space="preserve">https://stockanalysis.com/stocks/aapl/statistics/</t>
  </si>
  <si>
    <t xml:space="preserve">A1.27</t>
  </si>
  <si>
    <t xml:space="preserve">MarketScreener: Apple financial forecasts (EBITDA estimates by fiscal year)</t>
  </si>
  <si>
    <t xml:space="preserve">https://www.marketscreener.com/quote/stock/APPLE-INC-4849/finances/</t>
  </si>
  <si>
    <t xml:space="preserve">A1.28</t>
  </si>
  <si>
    <t xml:space="preserve">Stock Analysis: ORCL forecast (S&amp;P Global consensus EPS by fiscal year; close 144.77 on 2026-10-06)</t>
  </si>
  <si>
    <t xml:space="preserve">https://stockanalysis.com/stocks/orcl/forecast/</t>
  </si>
  <si>
    <t xml:space="preserve">A1.29</t>
  </si>
  <si>
    <t xml:space="preserve">Stock Analysis: ORCL statistics (enterprise value)</t>
  </si>
  <si>
    <t xml:space="preserve">https://stockanalysis.com/stocks/orcl/statistics/</t>
  </si>
  <si>
    <t xml:space="preserve">A1.30</t>
  </si>
  <si>
    <t xml:space="preserve">MarketScreener: Oracle financial forecasts (EBITDA estimates by fiscal year)</t>
  </si>
  <si>
    <t xml:space="preserve">https://www.marketscreener.com/quote/stock/ORACLE-CORPORATION-40202078/finances/</t>
  </si>
  <si>
    <t xml:space="preserve">A1.31</t>
  </si>
  <si>
    <t xml:space="preserve">Stock Analysis: NFLX forecast (S&amp;P Global consensus EPS by fiscal year; close 68.69 on 2026-10-06)</t>
  </si>
  <si>
    <t xml:space="preserve">https://stockanalysis.com/stocks/nflx/forecast/</t>
  </si>
  <si>
    <t xml:space="preserve">A1.32</t>
  </si>
  <si>
    <t xml:space="preserve">Stock Analysis: NFLX statistics (enterprise value)</t>
  </si>
  <si>
    <t xml:space="preserve">https://stockanalysis.com/stocks/nflx/statistics/</t>
  </si>
  <si>
    <t xml:space="preserve">A1.33</t>
  </si>
  <si>
    <t xml:space="preserve">MarketScreener: Netflix financial forecasts (EBITDA estimates by fiscal year)</t>
  </si>
  <si>
    <t xml:space="preserve">https://www.marketscreener.com/quote/stock/NETFLIX-INC-44292425/finances/</t>
  </si>
  <si>
    <t xml:space="preserve">A1.34</t>
  </si>
  <si>
    <t xml:space="preserve">Stock Analysis: CRM forecast (S&amp;P Global consensus EPS by fiscal year; close 224.99 on 2026-10-06)</t>
  </si>
  <si>
    <t xml:space="preserve">https://stockanalysis.com/stocks/crm/forecast/</t>
  </si>
  <si>
    <t xml:space="preserve">A1.35</t>
  </si>
  <si>
    <t xml:space="preserve">Stock Analysis: CRM statistics (enterprise value)</t>
  </si>
  <si>
    <t xml:space="preserve">https://stockanalysis.com/stocks/crm/statistics/</t>
  </si>
  <si>
    <t xml:space="preserve">A1.36</t>
  </si>
  <si>
    <t xml:space="preserve">MarketScreener: Salesforce financial forecasts (EBITDA estimates by fiscal year)</t>
  </si>
  <si>
    <t xml:space="preserve">https://www.marketscreener.com/quote/stock/SALESFORCE-INC-12180/finances/</t>
  </si>
  <si>
    <t xml:space="preserve">A1.37</t>
  </si>
  <si>
    <t xml:space="preserve">Stock Analysis: NOW forecast (S&amp;P Global consensus EPS by fiscal year; close 137.97 on 2026-10-06)</t>
  </si>
  <si>
    <t xml:space="preserve">https://stockanalysis.com/stocks/now/forecast/</t>
  </si>
  <si>
    <t xml:space="preserve">A1.38</t>
  </si>
  <si>
    <t xml:space="preserve">Stock Analysis: NOW statistics (enterprise value)</t>
  </si>
  <si>
    <t xml:space="preserve">https://stockanalysis.com/stocks/now/statistics/</t>
  </si>
  <si>
    <t xml:space="preserve">A1.39</t>
  </si>
  <si>
    <t xml:space="preserve">MarketScreener: ServiceNow financial forecasts (EBITDA estimates by fiscal year)</t>
  </si>
  <si>
    <t xml:space="preserve">https://www.marketscreener.com/quote/stock/SERVICENOW-INC-10912979/finances/</t>
  </si>
  <si>
    <t xml:space="preserve">A1.40</t>
  </si>
  <si>
    <t xml:space="preserve">Stock Analysis: ADBE forecast (S&amp;P Global consensus EPS by fiscal year; close 238.12 on 2026-10-06)</t>
  </si>
  <si>
    <t xml:space="preserve">https://stockanalysis.com/stocks/adbe/forecast/</t>
  </si>
  <si>
    <t xml:space="preserve">A1.41</t>
  </si>
  <si>
    <t xml:space="preserve">Stock Analysis: ADBE statistics (enterprise value)</t>
  </si>
  <si>
    <t xml:space="preserve">https://stockanalysis.com/stocks/adbe/statistics/</t>
  </si>
  <si>
    <t xml:space="preserve">A1.42</t>
  </si>
  <si>
    <t xml:space="preserve">MarketScreener: Adobe financial forecasts (EBITDA estimates by fiscal year)</t>
  </si>
  <si>
    <t xml:space="preserve">https://www.marketscreener.com/quote/stock/ADOBE-INC-4844/finances/</t>
  </si>
  <si>
    <t xml:space="preserve">A1.43</t>
  </si>
  <si>
    <t xml:space="preserve">Stock Analysis: RDDT forecast (S&amp;P Global consensus EPS by fiscal year; close 148.95 on 2026-10-06)</t>
  </si>
  <si>
    <t xml:space="preserve">https://stockanalysis.com/stocks/rddt/forecast/</t>
  </si>
  <si>
    <t xml:space="preserve">A1.44</t>
  </si>
  <si>
    <t xml:space="preserve">Stock Analysis: RDDT statistics (enterprise value)</t>
  </si>
  <si>
    <t xml:space="preserve">https://stockanalysis.com/stocks/rddt/statistics/</t>
  </si>
  <si>
    <t xml:space="preserve">A1.45</t>
  </si>
  <si>
    <t xml:space="preserve">MarketScreener: Reddit financial forecasts (EBITDA estimates by fiscal year)</t>
  </si>
  <si>
    <t xml:space="preserve">https://www.marketscreener.com/quote/stock/REDDIT-INC-167442757/finances/</t>
  </si>
  <si>
    <t xml:space="preserve">A2.1</t>
  </si>
  <si>
    <t xml:space="preserve">agent_2</t>
  </si>
  <si>
    <t xml:space="preserve">Alphabet Q2 2026 earnings release (8-K Ex. 99.1): segment revenue and operating income, tax, cash flow, diluted shares</t>
  </si>
  <si>
    <t xml:space="preserve">A2.2</t>
  </si>
  <si>
    <t xml:space="preserve">Alphabet Form 10-Q, quarter ended June 30, 2026: cover share count, cash and marketable securities, SpaceX $80.0B + $14.1B, non-marketable securities $131,461M, long-term debt $98,165M, Cloud backlog $513.9B</t>
  </si>
  <si>
    <t xml:space="preserve">A2.3</t>
  </si>
  <si>
    <t xml:space="preserve">Alphabet Announces Date of Third Quarter 2026 Financial Results Conference Call (Wednesday, October 28, 1:30pm PT)</t>
  </si>
  <si>
    <t xml:space="preserve">https://abc.xyz/investor/news/news-details/2026/Alphabet-Announces-Date-of-Third-Quarter-2026-Financial-Results-Conference-Call-2026-8tpGZsLS6v/default.aspx</t>
  </si>
  <si>
    <t xml:space="preserve">A2.4</t>
  </si>
  <si>
    <t xml:space="preserve">EDGAR submissions for Alphabet (CIK 1652044): no 8-K or 10-Q filed 2026-10-02 to 2026-10-06, only Forms 4 and 144</t>
  </si>
  <si>
    <t xml:space="preserve">A2.5</t>
  </si>
  <si>
    <t xml:space="preserve">Constellation Energy (power supplier) press release: Google and Constellation announce 890 MW of new nuclear capacity via uprates at 11 units, 20-year PPA, $4.3B Constellation investment, first uprate 2028, plus 15-year 2,700 MW supply agreement and 5-year Google Cloud / Gemini Enterprise technology alliance</t>
  </si>
  <si>
    <t xml:space="preserve">A2.6</t>
  </si>
  <si>
    <t xml:space="preserve">Yahoo Finance GOOGL analysis: FY2027 EPS consensus $14.95 (53 analysts; 7/30/60/90 days ago $14.96/$14.88/$14.77/$14.54; 7 up / 1 down last 30 days); FY2027 revenue $615.04B; Q3 2026 EPS estimate $3.03</t>
  </si>
  <si>
    <t xml:space="preserve">https://finance.yahoo.com/quote/GOOGL/analysis/</t>
  </si>
  <si>
    <t xml:space="preserve">A2.7</t>
  </si>
  <si>
    <t xml:space="preserve">MarketScreener Alphabet finances: consensus EPS 2027 $14.95 / 2028 $17.89, sales 2027 $615.0B, EBITDA 2027 $298.7B, P/E 2027 23.2x, EV/Sales 2027 6.74x</t>
  </si>
  <si>
    <t xml:space="preserve">A2.8</t>
  </si>
  <si>
    <t xml:space="preserve">MarketScreener Microsoft finances: FY Jun-27 P/E 26.7x, EV/Sales 9.84x, sales $391.3B, EBITDA $239.5B, EPS FY26 $17.95 / FY27 $19.70 / FY28 $23.58</t>
  </si>
  <si>
    <t xml:space="preserve">A2.9</t>
  </si>
  <si>
    <t xml:space="preserve">MarketScreener Amazon finances: 2027 P/E 23.9x, EV/Sales 2.94x, sales $947.9B, EBITDA $273.5B, EPS 2026 $12.88 / 2027 $10.51 / 2028 $13.81</t>
  </si>
  <si>
    <t xml:space="preserve">A2.10</t>
  </si>
  <si>
    <t xml:space="preserve">MarketScreener Meta finances: 2027 P/E 21.8x, EV/Sales 6.37x, sales $306.5B, EBITDA $180.6B, EPS 2026 $31.17 / 2027 $34.07 / 2028 $39.47</t>
  </si>
  <si>
    <t xml:space="preserve">A2.11</t>
  </si>
  <si>
    <t xml:space="preserve">MarketScreener Oracle finances: FY May-27 P/E 21.4x, EV/Sales 6.07x, sales $90.45B, EBITDA $51.66B, EPS FY26 $5.83 / FY27 $6.64 / FY28 $9.14</t>
  </si>
  <si>
    <t xml:space="preserve">https://www.marketscreener.com/quote/stock/ORACLE-CORPORATION-13620698/finances/</t>
  </si>
  <si>
    <t xml:space="preserve">A2.12</t>
  </si>
  <si>
    <t xml:space="preserve">MarketScreener Apple finances: FY Sep-27 P/E 34.8x, EV/Sales 9.0x, sales $528.0B, EBITDA $180.1B, EPS FY26 $8.82 / FY27 $9.576 / FY28 $10.8</t>
  </si>
  <si>
    <t xml:space="preserve">A2.13</t>
  </si>
  <si>
    <t xml:space="preserve">MarketScreener Netflix finances: 2027 P/E 17.8x, EV/Sales 4.95x, sales $56.9B, EBITDA $20.0B, EPS 2026 $3.58 / 2027 $3.80 / 2028 $4.55</t>
  </si>
  <si>
    <t xml:space="preserve">A2.14</t>
  </si>
  <si>
    <t xml:space="preserve">MarketScreener AppLovin finances: 2027 P/E 14.1x, EV/Sales 8.66x, sales $10.25B, EBITDA $8.58B, EPS 2026 $15.66 / 2027 $20.00 / 2028 $25.09</t>
  </si>
  <si>
    <t xml:space="preserve">https://www.marketscreener.com/quote/stock/APPLOVIN-CORPORATION-121407289/finances/</t>
  </si>
  <si>
    <t xml:space="preserve">A2.15</t>
  </si>
  <si>
    <t xml:space="preserve">MarketScreener Reddit finances: 2027 P/E 21.3x, EV/Sales 5.49x, sales $4.46B, EBITDA $2.09B, EPS 2026 $5.378 / 2027 $7.068 / 2028 $8.851</t>
  </si>
  <si>
    <t xml:space="preserve">A2.16</t>
  </si>
  <si>
    <t xml:space="preserve">MarketScreener Pinterest finances: 2027 P/E 25.7x, EV/Sales 1.69x, sales $5.55B, EBITDA $1.70B, EPS 2026 $0.43 / 2027 $0.78 / 2028 $1.04</t>
  </si>
  <si>
    <t xml:space="preserve">https://www.marketscreener.com/quote/stock/PINTEREST-INC-57086058/finances/</t>
  </si>
  <si>
    <t xml:space="preserve">A2.17</t>
  </si>
  <si>
    <t xml:space="preserve">MarketScreener Baidu finances: 2027 P/E 13.2x, EV/Sales 1.31x, sales CNY135.0B, EBITDA CNY27.0B, EPS 2026 35.6 / 2027 44.18 / 2028 51.11 (CNY)</t>
  </si>
  <si>
    <t xml:space="preserve">https://www.marketscreener.com/quote/stock/BAIDU-INC-8563/finances/</t>
  </si>
  <si>
    <t xml:space="preserve">A2.18</t>
  </si>
  <si>
    <t xml:space="preserve">MarketScreener Spotify finances: 2027 P/E 27.6x, EV/Sales 3.45x, sales EUR22.3B, EBITDA EUR3.84B, EPS 2026 12.18 / 2027 15.62 / 2028 19.71 (EUR)</t>
  </si>
  <si>
    <t xml:space="preserve">https://www.marketscreener.com/quote/stock/SPOTIFY-TECHNOLOGY-S-A-42589613/finances/</t>
  </si>
  <si>
    <t xml:space="preserve">A2.19</t>
  </si>
  <si>
    <t xml:space="preserve">MarketScreener The Trade Desk finances (screened out of the peer set): sales 2026 $2.75B / 2027 $2.62B (declining), EPS 2026 $0.38 / 2027 $0.34, price $11.98</t>
  </si>
  <si>
    <t xml:space="preserve">https://www.marketscreener.com/quote/stock/THE-TRADE-DESK-INC-31370485/finances/</t>
  </si>
  <si>
    <t xml:space="preserve">A2.20</t>
  </si>
  <si>
    <t xml:space="preserve">Investing.com: Wells Fargo raises Alphabet target to $417 from $411 on TPU sales outlook (external TPU sales $9.2B Q3 / $11.5B Q4 2026; core Cloud +81% Q3; 2027 EPS to $15.17 from $14.94)</t>
  </si>
  <si>
    <t xml:space="preserve">https://investing.com/news/analyst-ratings/wells-fargo-raises-alphabet-stock-price-target-on-tpu-sales-outlook-93CH-4933882</t>
  </si>
  <si>
    <t xml:space="preserve">A2.21</t>
  </si>
  <si>
    <t xml:space="preserve">Arena text leaderboard (updated 2026-10-02): gemini-4-argon-high #1 at 1525, ahead of Anthropic models at 1501-1505</t>
  </si>
  <si>
    <t xml:space="preserve">2026-10-02</t>
  </si>
  <si>
    <t xml:space="preserve">https://arena.ai/leaderboard/text</t>
  </si>
  <si>
    <t xml:space="preserve">A2.22</t>
  </si>
  <si>
    <t xml:space="preserve">Polymarket 'Which company has best AI model end of 2026?' via gamma API, observed 2026-10-06: Google 42.5% (last 41%, 24h volume ~$23.7K), Anthropic 48.5%, OpenAI 5.65%; event volume ~$2.28M. End-of-October market: Google 67%</t>
  </si>
  <si>
    <t xml:space="preserve">https://gamma-api.polymarket.com/public-search?q=best%20AI%20model%20end%20of%202026</t>
  </si>
  <si>
    <t xml:space="preserve">A2.23</t>
  </si>
  <si>
    <t xml:space="preserve">Polymarket Anthropic IPO markets via gamma API, observed 2026-10-06: IPO by Oct 31 1.4%, by Nov 30 67%, by Dec 31 82.5% (event volume ~$4.45M); IPO closing market cap mode $2.0-2.25T</t>
  </si>
  <si>
    <t xml:space="preserve">https://gamma-api.polymarket.com/public-search?q=Anthropic%20IPO</t>
  </si>
  <si>
    <t xml:space="preserve">A2.24</t>
  </si>
  <si>
    <t xml:space="preserve">Yahoo Finance: Alphabet won in Washington (Judge Mehta dismissed Chegg and Penske Media AI-summary suits, Oct 1) and got charged in Warsaw (UOKiK, Oct 5)</t>
  </si>
  <si>
    <t xml:space="preserve">https://finance.yahoo.com/markets/stocks/articles/alphabet-won-washington-got-charged-144229447.html</t>
  </si>
  <si>
    <t xml:space="preserve">A2.25</t>
  </si>
  <si>
    <t xml:space="preserve">Motley Fool: Why Broadcom stock popped Tuesday morning (Marvell investor day: hyperscalers rely on ASICs for a growing share of compute; Marvell FY27 $12B / FY28 $20B revenue)</t>
  </si>
  <si>
    <t xml:space="preserve">https://www.fool.com/investing/2026/10/06/why-broadcom-stock-popped-tuesday-morning/</t>
  </si>
  <si>
    <t xml:space="preserve">A2.26</t>
  </si>
  <si>
    <t xml:space="preserve">Karooya: Tinuiti Q2 2026 Digital Ads Benchmark key highlights (Google search spend just under +14%, clicks +13%, CPC +1%)</t>
  </si>
  <si>
    <t xml:space="preserve">2026-08-11</t>
  </si>
  <si>
    <t xml:space="preserve">https://www.karooya.com/blog/?p=28214</t>
  </si>
  <si>
    <t xml:space="preserve">A2.27</t>
  </si>
  <si>
    <t xml:space="preserve">The Keyword: Big Tech Q2 2026 ad revenue (Meta +27%, Amazon ads +26%, Google Search +17%, YouTube +13%)</t>
  </si>
  <si>
    <t xml:space="preserve">2026-07-31</t>
  </si>
  <si>
    <t xml:space="preserve">https://www.thekeyword.co/news/big-tech-q2-2026-ad-revenue</t>
  </si>
  <si>
    <t xml:space="preserve">A2.28</t>
  </si>
  <si>
    <t xml:space="preserve">Twelve Data daily closes (via the Twelve Data time_series tool) 2026-10-02 vs 2026-10-06: GOOGL 343.50 -&gt; 347.70, META 728.08 -&gt; 739.19, MSFT 517.53 -&gt; 529.49, AMZN 251.52 -&gt; 256.33, AVGO 355.14 -&gt; 375.92, CEG 257.49 -&gt; 300.16, QQQ 749.58 -&gt; 759.61</t>
  </si>
  <si>
    <t xml:space="preserve">https://api.twelvedata.com/time_series?symbol=GOOGL,META,MSFT,AMZN,AVGO,CEG,QQQ&amp;interval=1day</t>
  </si>
  <si>
    <t xml:space="preserve">A2.29</t>
  </si>
  <si>
    <t xml:space="preserve">Standing AI capex view: AI data-center capex across NVIDIA's customer groups, 2026-2028 (Big-4 2027 base $1,080B, about 10% above a ~$0.98T consensus; Alphabet 2027 consensus $284.8B IO Fund / $357.0B S&amp;P; Alphabet 2026 guide $195-205B; 2027 'significantly increase')</t>
  </si>
  <si>
    <t xml:space="preserve">A2.30</t>
  </si>
  <si>
    <t xml:space="preserve">TradingKey: Alphabet stock forecast Oct 6 2026 (Gemini 4 Argon introduced Sept 30; Q3 consensus ~ $127B revenue, $3.04 EPS; Q2 capex $44.9B vs operating cash flow $39.1B)</t>
  </si>
  <si>
    <t xml:space="preserve">https://tradingkey.com/analysis/stocks/us-stocks/262201281-alphabet-googl-stock-forecast-october-6-2026</t>
  </si>
  <si>
    <t xml:space="preserve">A3.1</t>
  </si>
  <si>
    <t xml:space="preserve">agent_3</t>
  </si>
  <si>
    <t xml:space="preserve">Alphabet Q2 2026 earnings release (8-K Ex. 99.1)</t>
  </si>
  <si>
    <t xml:space="preserve">A3.2</t>
  </si>
  <si>
    <t xml:space="preserve">Alphabet Form 10-Q for quarter ended 2026-06-30</t>
  </si>
  <si>
    <t xml:space="preserve">A3.3</t>
  </si>
  <si>
    <t xml:space="preserve">Alphabet 10-Q Q2 2026, Note: Commitments and Contingencies (purchase commitments, legal matters)</t>
  </si>
  <si>
    <t xml:space="preserve">https://www.sec.gov/Archives/edgar/data/1652044/000165204426000071/R19.htm</t>
  </si>
  <si>
    <t xml:space="preserve">A3.4</t>
  </si>
  <si>
    <t xml:space="preserve">Alphabet 10-Q Q2 2026, Note: Stockholders' Equity (offerings, ATM, mandatory convertible preferred, buyback authorization)</t>
  </si>
  <si>
    <t xml:space="preserve">https://www.sec.gov/Archives/edgar/data/1652044/000165204426000071/R20.htm</t>
  </si>
  <si>
    <t xml:space="preserve">A3.5</t>
  </si>
  <si>
    <t xml:space="preserve">Alphabet 8-K: underwritten Class A/C offering, Berkshire Hathaway private placement, $40B ATM program</t>
  </si>
  <si>
    <t xml:space="preserve">2026-06-04</t>
  </si>
  <si>
    <t xml:space="preserve">https://www.sec.gov/Archives/edgar/data/1652044/000119312526257724/d83560d8k.htm</t>
  </si>
  <si>
    <t xml:space="preserve">A3.6</t>
  </si>
  <si>
    <t xml:space="preserve">Alphabet 424B5 prospectus supplement: Series B 6.25% Mandatory Convertible Preferred (use of proceeds, conversion terms)</t>
  </si>
  <si>
    <t xml:space="preserve">https://www.sec.gov/Archives/edgar/data/1652044/000119312526257702/d152175d424b5.htm</t>
  </si>
  <si>
    <t xml:space="preserve">A3.7</t>
  </si>
  <si>
    <t xml:space="preserve">Alphabet FWP pricing term sheet, $20B senior notes (spreads, ratings)</t>
  </si>
  <si>
    <t xml:space="preserve">2026-02-09</t>
  </si>
  <si>
    <t xml:space="preserve">https://www.sec.gov/Archives/edgar/data/1652044/000119312526043127/d297481dfwp.htm</t>
  </si>
  <si>
    <t xml:space="preserve">A3.8</t>
  </si>
  <si>
    <t xml:space="preserve">Alphabet FWP pricing term sheet, $25B senior notes (spreads, ratings)</t>
  </si>
  <si>
    <t xml:space="preserve">2026-08-06</t>
  </si>
  <si>
    <t xml:space="preserve">https://www.sec.gov/Archives/edgar/data/1652044/000119312526338750/d159970dfwp.htm</t>
  </si>
  <si>
    <t xml:space="preserve">A3.9</t>
  </si>
  <si>
    <t xml:space="preserve">SEC XBRL company facts for Alphabet (CIK 1652044): equity-security gains, pretax income, buybacks, cash, debt, shares</t>
  </si>
  <si>
    <t xml:space="preserve">https://data.sec.gov/api/xbrl/companyfacts/CIK0001652044.json</t>
  </si>
  <si>
    <t xml:space="preserve">A3.10</t>
  </si>
  <si>
    <t xml:space="preserve">Alphabet Q2 2026 earnings call transcript (Investing.com) [citation gate 2026-10-06: quotes used here re-verified in Alphabet's IR transcript PDF: https://s206.q4cdn.com/479360582/files/doc_events/2026/Jul/22/2026_Q2_Earnings_Transcript.pdf]</t>
  </si>
  <si>
    <t xml:space="preserve">https://www.investing.com/news/transcripts/earnings-call-transcript-alphabet-beats-q2-2026-estimates-shares-fall-on-capex-surge-93CH-4807140</t>
  </si>
  <si>
    <t xml:space="preserve">A3.11</t>
  </si>
  <si>
    <t xml:space="preserve">Form 4: J. Kent Walker (President, CLO) - GSU vesting, no 10b5-1 sale</t>
  </si>
  <si>
    <t xml:space="preserve">2026-09-29</t>
  </si>
  <si>
    <t xml:space="preserve">https://www.sec.gov/Archives/edgar/data/1652044/000119312526408019/xslF345X06/ownership.xml</t>
  </si>
  <si>
    <t xml:space="preserve">A3.12</t>
  </si>
  <si>
    <t xml:space="preserve">Form 4: Frances H. Arnold (director) - 83 Class C shares sold at $340.45 under 10b5-1 plan</t>
  </si>
  <si>
    <t xml:space="preserve">https://www.sec.gov/Archives/edgar/data/1652044/000119312526412669/xslF345X06/ownership.xml</t>
  </si>
  <si>
    <t xml:space="preserve">A3.13</t>
  </si>
  <si>
    <t xml:space="preserve">Form 144: Frances Arnold proposed sale of 83 Class C shares</t>
  </si>
  <si>
    <t xml:space="preserve">2026-09-30</t>
  </si>
  <si>
    <t xml:space="preserve">https://www.sec.gov/Archives/edgar/data/1652044/000192109426001058/xsl144X01/primary_doc.xml</t>
  </si>
  <si>
    <t xml:space="preserve">A3.14</t>
  </si>
  <si>
    <t xml:space="preserve">MarketScreener: Alphabet valuation table (consensus EPS, EBITDA, EV, P/E, EV/EBITDA by year)</t>
  </si>
  <si>
    <t xml:space="preserve">https://www.marketscreener.com/quote/stock/ALPHABET-INC-24203373/valuation/</t>
  </si>
  <si>
    <t xml:space="preserve">A3.15</t>
  </si>
  <si>
    <t xml:space="preserve">MarketScreener: Alphabet financial forecasts (consensus capex, FCF, EBIT, margins)</t>
  </si>
  <si>
    <t xml:space="preserve">A3.16</t>
  </si>
  <si>
    <t xml:space="preserve">StockAnalysis: GOOGL analyst forecast (FY26/FY27 EPS, price targets)</t>
  </si>
  <si>
    <t xml:space="preserve">A3.17</t>
  </si>
  <si>
    <t xml:space="preserve">MarketScreener: Microsoft valuation table</t>
  </si>
  <si>
    <t xml:space="preserve">https://www.marketscreener.com/quote/stock/MICROSOFT-CORPORATION-4835/valuation/</t>
  </si>
  <si>
    <t xml:space="preserve">A3.18</t>
  </si>
  <si>
    <t xml:space="preserve">MarketScreener: Amazon valuation table</t>
  </si>
  <si>
    <t xml:space="preserve">https://www.marketscreener.com/quote/stock/AMAZON-COM-INC-12864605/valuation/</t>
  </si>
  <si>
    <t xml:space="preserve">A3.19</t>
  </si>
  <si>
    <t xml:space="preserve">MarketScreener: Meta Platforms valuation table</t>
  </si>
  <si>
    <t xml:space="preserve">https://www.marketscreener.com/quote/stock/META-PLATFORMS-INC-10547141/valuation/</t>
  </si>
  <si>
    <t xml:space="preserve">A3.20</t>
  </si>
  <si>
    <t xml:space="preserve">MarketScreener: Apple valuation table</t>
  </si>
  <si>
    <t xml:space="preserve">https://www.marketscreener.com/quote/stock/APPLE-INC-4849/valuation/</t>
  </si>
  <si>
    <t xml:space="preserve">A3.21</t>
  </si>
  <si>
    <t xml:space="preserve">MarketScreener: Oracle valuation table</t>
  </si>
  <si>
    <t xml:space="preserve">https://www.marketscreener.com/quote/stock/ORACLE-CORPORATION-13620698/valuation/</t>
  </si>
  <si>
    <t xml:space="preserve">A3.22</t>
  </si>
  <si>
    <t xml:space="preserve">MarketScreener: Netflix valuation table</t>
  </si>
  <si>
    <t xml:space="preserve">https://www.marketscreener.com/quote/stock/NETFLIX-INC-44292425/valuation/</t>
  </si>
  <si>
    <t xml:space="preserve">A3.23</t>
  </si>
  <si>
    <t xml:space="preserve">MarketScreener: Tencent Holdings valuation table</t>
  </si>
  <si>
    <t xml:space="preserve">https://www.marketscreener.com/quote/stock/TENCENT-HOLDINGS-LIMITED-3045861/valuation/</t>
  </si>
  <si>
    <t xml:space="preserve">A3.24</t>
  </si>
  <si>
    <t xml:space="preserve">MarketScreener: Alibaba Group (ADR) valuation table</t>
  </si>
  <si>
    <t xml:space="preserve">https://www.marketscreener.com/quote/stock/ALIBABA-GROUP-HOLDING-LIM-17916677/valuation/</t>
  </si>
  <si>
    <t xml:space="preserve">A3.25</t>
  </si>
  <si>
    <t xml:space="preserve">MarketScreener: Baidu valuation table</t>
  </si>
  <si>
    <t xml:space="preserve">https://www.marketscreener.com/quote/stock/BAIDU-INC-8563/valuation/</t>
  </si>
  <si>
    <t xml:space="preserve">A3.26</t>
  </si>
  <si>
    <t xml:space="preserve">MarketScreener: Salesforce valuation table</t>
  </si>
  <si>
    <t xml:space="preserve">https://www.marketscreener.com/quote/stock/SALESFORCE-INC-12180/valuation/</t>
  </si>
  <si>
    <t xml:space="preserve">A3.27</t>
  </si>
  <si>
    <t xml:space="preserve">BusinessDay (Reuters): Google escapes breakup as US judge rejects forced sale of AdX</t>
  </si>
  <si>
    <t xml:space="preserve">2026-09-02</t>
  </si>
  <si>
    <t xml:space="preserve">https://www.businessday.co.za/world/international-companies/2026-09-02-google-escapes-breakup-as-us-judge-rejects-forced-sale-of-adx/</t>
  </si>
  <si>
    <t xml:space="preserve">A3.28</t>
  </si>
  <si>
    <t xml:space="preserve">PYMNTS/CPI: Google dodges ad tech breakup as judge imposes six-year oversight</t>
  </si>
  <si>
    <t xml:space="preserve">2026-09-17</t>
  </si>
  <si>
    <t xml:space="preserve">https://www.pymnts.com/cpi-posts/google-dodges-ad-tech-breakup-as-judge-imposes-six-year-oversight/</t>
  </si>
  <si>
    <t xml:space="preserve">A3.29</t>
  </si>
  <si>
    <t xml:space="preserve">StockAnalysis news: unsealed documents outline behavioral ad tech remedies</t>
  </si>
  <si>
    <t xml:space="preserve">https://stockanalysis.com/news/google-ad-tech-remedies-unsealed/</t>
  </si>
  <si>
    <t xml:space="preserve">A3.30</t>
  </si>
  <si>
    <t xml:space="preserve">Al Jazeera: US judge rejects bid to break up Google's ad business</t>
  </si>
  <si>
    <t xml:space="preserve">https://www.aljazeera.com/economy/2026/9/2/us-judge-rejects-bid-to-break-up-googles-ad-business</t>
  </si>
  <si>
    <t xml:space="preserve">A3.31</t>
  </si>
  <si>
    <t xml:space="preserve">Silicon UK: Anthropic commits $200bn to Google Cloud (&gt;40% of backlog, per The Information)</t>
  </si>
  <si>
    <t xml:space="preserve">2026-05-06</t>
  </si>
  <si>
    <t xml:space="preserve">https://www.silicon.co.uk/cloud/anthropic-google-cloud-629768</t>
  </si>
  <si>
    <t xml:space="preserve">A3.32</t>
  </si>
  <si>
    <t xml:space="preserve">Silicon UK: Blackstone eyes &gt;$36bn debt deal for Anthropic access to Google chips; Google backstopping financing</t>
  </si>
  <si>
    <t xml:space="preserve">2026-08-05</t>
  </si>
  <si>
    <t xml:space="preserve">https://www.silicon.co.uk/ai-2/blackstone-anthropic-debt-631021</t>
  </si>
  <si>
    <t xml:space="preserve">A3.33</t>
  </si>
  <si>
    <t xml:space="preserve">TIKR: Alphabet just raised $84.75B for AI - dilution and FCF bear case</t>
  </si>
  <si>
    <t xml:space="preserve">2026-06</t>
  </si>
  <si>
    <t xml:space="preserve">https://www.tikr.com/blog/alphabet-stock-just-raised-84-75-billion-for-ai-what-berkshires-10-billion-bet-means-for-investors</t>
  </si>
  <si>
    <t xml:space="preserve">A3.34</t>
  </si>
  <si>
    <t xml:space="preserve">DEV Community post: Alphabet fell 5% on good news - what the capex raise actually costs</t>
  </si>
  <si>
    <t xml:space="preserve">https://dev.to/ruslanaverin/alphabet-fell-5-on-good-news-what-the-capex-raise-actually-costs-30e1</t>
  </si>
  <si>
    <t xml:space="preserve">A3.35</t>
  </si>
  <si>
    <t xml:space="preserve">StatCounter: worldwide search engine market share, September 2026 (Google 89.94%)</t>
  </si>
  <si>
    <t xml:space="preserve">2026-10</t>
  </si>
  <si>
    <t xml:space="preserve">https://gs.statcounter.com/global-stats/search-engine-market-share</t>
  </si>
  <si>
    <t xml:space="preserve">A3.36</t>
  </si>
  <si>
    <t xml:space="preserve">Kalshi market 'Google market share this week' (OpenRouter text-model share), via Octagon AI</t>
  </si>
  <si>
    <t xml:space="preserve">https://www.octagonai.co/markets/science-and-technology/ai/google-market-share-this-week.md</t>
  </si>
  <si>
    <t xml:space="preserve">A3.37</t>
  </si>
  <si>
    <t xml:space="preserve">MarketBeat: GOOGL ratings breakdown and insider-trading summary</t>
  </si>
  <si>
    <t xml:space="preserve">https://www.marketbeat.com/instant-alerts/alphabet-nasdaqgoogl-rating-lowered-to-hold-at-wall-street-zen-2026-08-01/</t>
  </si>
  <si>
    <t xml:space="preserve">A3.38</t>
  </si>
  <si>
    <t xml:space="preserve">PX14A6G exempt solicitation (CMEI, RJI, Eko) on data-governance risk proposal, citing privacy verdict and fines</t>
  </si>
  <si>
    <t xml:space="preserve">2026-05-18</t>
  </si>
  <si>
    <t xml:space="preserve">https://www.sec.gov/Archives/edgar/data/1652044/000121465926006524/d518261px14a6g.htm</t>
  </si>
  <si>
    <t xml:space="preserve">A3.39</t>
  </si>
  <si>
    <t xml:space="preserve">Alphabet 8-K: closing of $25B senior notes offering (tranches through 2066)</t>
  </si>
  <si>
    <t xml:space="preserve">A3.40</t>
  </si>
  <si>
    <t xml:space="preserve">Standing view: AI data-center capex across NVIDIA customer groups 2026-2028 (internal file)</t>
  </si>
  <si>
    <t xml:space="preserve">/mnt/project-files/adhoc/nvda_customer_capex.md</t>
  </si>
  <si>
    <t xml:space="preserve">A3.41</t>
  </si>
  <si>
    <t xml:space="preserve">Alphabet FWP pricing term sheet, GBP notes incl. 6.125% 2126 century bond (gilts +120bp)</t>
  </si>
  <si>
    <t xml:space="preserve">2026-02-10</t>
  </si>
  <si>
    <t xml:space="preserve">https://www.sec.gov/Archives/edgar/data/1652044/000119312526044473/d37599dfwp.htm</t>
  </si>
  <si>
    <t xml:space="preserve">A3.42</t>
  </si>
  <si>
    <t xml:space="preserve">The Next Web: Google reveals it holds $94.1bn in SpaceX shares after the IPO (lock-ups, earnings-quality risk)</t>
  </si>
  <si>
    <t xml:space="preserve">https://thenextweb.com/news/google-94-billion-spacex-shares-ipo-stake</t>
  </si>
  <si>
    <t xml:space="preserve">A3.43</t>
  </si>
  <si>
    <t xml:space="preserve">Twelve Data weekly OHLC time series for GOOGL and SPCX</t>
  </si>
  <si>
    <t xml:space="preserve">https://api.twelvedata.com/time_series?symbol=GOOGL,SPCX&amp;interval=1week</t>
  </si>
  <si>
    <t xml:space="preserve">S.1</t>
  </si>
  <si>
    <t xml:space="preserve">supervisor</t>
  </si>
  <si>
    <t xml:space="preserve">S.2</t>
  </si>
  <si>
    <t xml:space="preserve">Alphabet Form 10-Q, quarter ended 2026-06-30</t>
  </si>
  <si>
    <t xml:space="preserve">S.3</t>
  </si>
  <si>
    <t xml:space="preserve">SEC XBRL company facts, Alphabet (CIK 1652044)</t>
  </si>
  <si>
    <t xml:space="preserve">S.4</t>
  </si>
  <si>
    <t xml:space="preserve">EDGAR submissions, Alphabet (no 8-K since 2026-08-10)</t>
  </si>
  <si>
    <t xml:space="preserve">S.5</t>
  </si>
  <si>
    <t xml:space="preserve">Alphabet Q2 2026 earnings call transcript (IR PDF)</t>
  </si>
  <si>
    <t xml:space="preserve">S.6</t>
  </si>
  <si>
    <t xml:space="preserve">Alphabet 8-K: mandatory convertible preferred and capped calls</t>
  </si>
  <si>
    <t xml:space="preserve">S.7</t>
  </si>
  <si>
    <t xml:space="preserve">Alphabet announces date of Q3 2026 results call (Oct 28, 1:30pm PT)</t>
  </si>
  <si>
    <t xml:space="preserve">S.8</t>
  </si>
  <si>
    <t xml:space="preserve">Yahoo Finance GOOGL analysis (consensus EPS, trend)</t>
  </si>
  <si>
    <t xml:space="preserve">S.9</t>
  </si>
  <si>
    <t xml:space="preserve">MarketScreener Alphabet finances (EPS, capex, FCF, EBIT, EBITDA consensus)</t>
  </si>
  <si>
    <t xml:space="preserve">S.10</t>
  </si>
  <si>
    <t xml:space="preserve">Stock Analysis GOOGL forecast (close $347.68; 2027+ EPS behind 'Pro')</t>
  </si>
  <si>
    <t xml:space="preserve">S.11</t>
  </si>
  <si>
    <t xml:space="preserve">24/7 Wall St: FY2027 EPS $14.4741 -&gt; $15.1008 in 90 days</t>
  </si>
  <si>
    <t xml:space="preserve">S.12</t>
  </si>
  <si>
    <t xml:space="preserve">Stock Analysis ORCL / CRM / RDDT forecasts (S&amp;P Global adjusted EPS)</t>
  </si>
  <si>
    <t xml:space="preserve">S.13</t>
  </si>
  <si>
    <t xml:space="preserve">Standing AI-capex view (internal, as of 2026-10-05)</t>
  </si>
  <si>
    <t xml:space="preserve">S.14</t>
  </si>
  <si>
    <t xml:space="preserve">MarketScreener Microsoft finances (consensus EPS, P/E)</t>
  </si>
  <si>
    <t xml:space="preserve">S.15</t>
  </si>
  <si>
    <t xml:space="preserve">MarketScreener Amazon finances (consensus EPS, P/E)</t>
  </si>
  <si>
    <t xml:space="preserve">S.16</t>
  </si>
  <si>
    <t xml:space="preserve">MarketScreener Meta Platforms finances (consensus EPS, P/E)</t>
  </si>
  <si>
    <t xml:space="preserve">S.17</t>
  </si>
  <si>
    <t xml:space="preserve">MarketScreener Apple finances (consensus EPS, P/E)</t>
  </si>
  <si>
    <t xml:space="preserve">S.18</t>
  </si>
  <si>
    <t xml:space="preserve">MarketScreener Oracle finances (consensus EPS, P/E)</t>
  </si>
  <si>
    <t xml:space="preserve">S.19</t>
  </si>
  <si>
    <t xml:space="preserve">MarketScreener Netflix finances (consensus EPS, P/E)</t>
  </si>
  <si>
    <t xml:space="preserve">S.20</t>
  </si>
  <si>
    <t xml:space="preserve">MarketScreener Salesforce finances (consensus EPS, P/E)</t>
  </si>
  <si>
    <t xml:space="preserve">S.21</t>
  </si>
  <si>
    <t xml:space="preserve">MarketScreener ServiceNow finances (consensus EPS, P/E)</t>
  </si>
  <si>
    <t xml:space="preserve">S.22</t>
  </si>
  <si>
    <t xml:space="preserve">MarketScreener Adobe finances (consensus EPS, P/E)</t>
  </si>
  <si>
    <t xml:space="preserve">S.23</t>
  </si>
  <si>
    <t xml:space="preserve">MarketScreener Reddit finances (consensus EPS, P/E)</t>
  </si>
  <si>
    <t xml:space="preserve">S.24</t>
  </si>
  <si>
    <t xml:space="preserve">MarketScreener AppLovin finances (consensus EPS, P/E)</t>
  </si>
  <si>
    <t xml:space="preserve">S.25</t>
  </si>
  <si>
    <t xml:space="preserve">Alphabet 10-K 2025, Note 1 (servers depreciated generally over six years)</t>
  </si>
  <si>
    <t xml:space="preserve">2026-02-05</t>
  </si>
  <si>
    <t xml:space="preserve">https://www.sec.gov/Archives/edgar/data/1652044/000165204426000018/R11.htm</t>
  </si>
  <si>
    <t xml:space="preserve">S.26</t>
  </si>
  <si>
    <t xml:space="preserve">Stock Analysis price history pages (2026-10-06 closes for GOOGL, SPY and the 11 peers)</t>
  </si>
  <si>
    <t xml:space="preserve">S.27</t>
  </si>
  <si>
    <t xml:space="preserve">SEC XBRL company facts for the 11 peers (10-K diluted GAAP EPS; 10-Q debt, cash, shares)</t>
  </si>
  <si>
    <t xml:space="preserve">https://data.sec.gov/api/xbrl/companyfacts/</t>
  </si>
  <si>
    <t xml:space="preserve">S.28</t>
  </si>
  <si>
    <t xml:space="preserve">US Treasury daily par yield curve 2026 (1-year 4.46% on 2026-10-06)</t>
  </si>
  <si>
    <t xml:space="preserve">https://home.treasury.gov/resource-center/data-chart-center/interest-rates/daily-treasury-rates.csv/2026/all?type=daily_treasury_yield_curve&amp;field_tdr_date_value=2026&amp;page&amp;_format=csv</t>
  </si>
  <si>
    <t xml:space="preserve">S.29</t>
  </si>
  <si>
    <t xml:space="preserve">Nasdaq.com analyst earnings forecast, MSFT (Zacks consensus EPS by fiscal year)</t>
  </si>
  <si>
    <t xml:space="preserve">2026-10-26</t>
  </si>
  <si>
    <t xml:space="preserve">https://api.nasdaq.com/api/analyst/MSFT/earnings-forecast</t>
  </si>
  <si>
    <t xml:space="preserve">S.30</t>
  </si>
  <si>
    <t xml:space="preserve">Nasdaq.com analyst earnings forecast, AMZN (Zacks consensus EPS by fiscal year)</t>
  </si>
  <si>
    <t xml:space="preserve">https://api.nasdaq.com/api/analyst/AMZN/earnings-forecast</t>
  </si>
  <si>
    <t xml:space="preserve">S.31</t>
  </si>
  <si>
    <t xml:space="preserve">Nasdaq.com analyst earnings forecast, META (Zacks consensus EPS by fiscal year)</t>
  </si>
  <si>
    <t xml:space="preserve">https://api.nasdaq.com/api/analyst/META/earnings-forecast</t>
  </si>
  <si>
    <t xml:space="preserve">S.32</t>
  </si>
  <si>
    <t xml:space="preserve">Nasdaq.com analyst earnings forecast, RDDT (Zacks consensus EPS by fiscal year)</t>
  </si>
  <si>
    <t xml:space="preserve">https://api.nasdaq.com/api/analyst/RDDT/earnings-forecast</t>
  </si>
  <si>
    <t xml:space="preserve">S.33</t>
  </si>
  <si>
    <t xml:space="preserve">Nasdaq.com analyst earnings forecast, APP (Zacks consensus EPS by fiscal year)</t>
  </si>
  <si>
    <t xml:space="preserve">https://api.nasdaq.com/api/analyst/APP/earnings-forecast</t>
  </si>
  <si>
    <t xml:space="preserve">S.34</t>
  </si>
  <si>
    <t xml:space="preserve">Nasdaq.com analyst earnings forecast, NFLX (Zacks consensus EPS by fiscal year)</t>
  </si>
  <si>
    <t xml:space="preserve">https://api.nasdaq.com/api/analyst/NFLX/earnings-forecast</t>
  </si>
  <si>
    <t xml:space="preserve">S.35</t>
  </si>
  <si>
    <t xml:space="preserve">Nasdaq.com analyst earnings forecast, ORCL (Zacks consensus EPS by fiscal year)</t>
  </si>
  <si>
    <t xml:space="preserve">https://api.nasdaq.com/api/analyst/ORCL/earnings-forecast</t>
  </si>
  <si>
    <t xml:space="preserve">S.36</t>
  </si>
  <si>
    <t xml:space="preserve">Peer comps table, GOOGL 2026-10-23 (peers.py: 2026-10-23 closes, Yahoo chart feed; SEC XBRL)</t>
  </si>
  <si>
    <t xml:space="preserve">file:///mnt/project-files/valuation/runs/2026-10-23/GOOGL/peers.md</t>
  </si>
  <si>
    <t xml:space="preserve">S.37</t>
  </si>
  <si>
    <t xml:space="preserve">Held-name peer refresh package (Kilian 2026-10-26 06:07Z: approved sets, country/regulatory exclusions, GOOGL SOTP spec)</t>
  </si>
  <si>
    <t xml:space="preserve">file:///mnt/project-files/valuation/peer_refresh_2026-10-26/README.md</t>
  </si>
  <si>
    <t xml:space="preserve">S.38</t>
  </si>
  <si>
    <t xml:space="preserve">Yahoo chart feed, MSFT (2026-10-23 close)</t>
  </si>
  <si>
    <t xml:space="preserve">2026-10-23</t>
  </si>
  <si>
    <t xml:space="preserve">https://query1.finance.yahoo.com/v8/finance/chart/MSFT</t>
  </si>
  <si>
    <t xml:space="preserve">S.39</t>
  </si>
  <si>
    <t xml:space="preserve">Yahoo chart feed, AMZN (2026-10-23 close)</t>
  </si>
  <si>
    <t xml:space="preserve">https://query1.finance.yahoo.com/v8/finance/chart/AMZN</t>
  </si>
  <si>
    <t xml:space="preserve">S.40</t>
  </si>
  <si>
    <t xml:space="preserve">Yahoo chart feed, META (2026-10-23 close)</t>
  </si>
  <si>
    <t xml:space="preserve">https://query1.finance.yahoo.com/v8/finance/chart/META</t>
  </si>
  <si>
    <t xml:space="preserve">S.41</t>
  </si>
  <si>
    <t xml:space="preserve">Yahoo chart feed, RDDT (2026-10-23 close)</t>
  </si>
  <si>
    <t xml:space="preserve">https://query1.finance.yahoo.com/v8/finance/chart/RDDT</t>
  </si>
  <si>
    <t xml:space="preserve">S.42</t>
  </si>
  <si>
    <t xml:space="preserve">Yahoo chart feed, APP (2026-10-23 close)</t>
  </si>
  <si>
    <t xml:space="preserve">https://query1.finance.yahoo.com/v8/finance/chart/APP</t>
  </si>
  <si>
    <t xml:space="preserve">S.43</t>
  </si>
  <si>
    <t xml:space="preserve">Yahoo chart feed, NFLX (2026-10-23 close)</t>
  </si>
  <si>
    <t xml:space="preserve">https://query1.finance.yahoo.com/v8/finance/chart/NFLX</t>
  </si>
  <si>
    <t xml:space="preserve">S.44</t>
  </si>
  <si>
    <t xml:space="preserve">Yahoo chart feed, ORCL (2026-10-23 close)</t>
  </si>
  <si>
    <t xml:space="preserve">https://query1.finance.yahoo.com/v8/finance/chart/ORCL</t>
  </si>
  <si>
    <t xml:space="preserve">S.45</t>
  </si>
  <si>
    <t xml:space="preserve">Nasdaq.com earnings-surprise pages (Zacks reported EPS by quarter) for MSFT AMZN META RDDT APP NFLX ORCL</t>
  </si>
  <si>
    <t xml:space="preserve">https://api.nasdaq.com/api/company/META/earnings-surprise</t>
  </si>
  <si>
    <t xml:space="preserve">S.46</t>
  </si>
  <si>
    <t xml:space="preserve">SEC XBRL companyfacts EarningsPerShareDiluted for the 7 peers (data.sec.gov/api/xbrl/companyfacts/CIK##########.json)</t>
  </si>
  <si>
    <t xml:space="preserve">https://data.sec.gov/api/xbrl/companyfacts/CIK0001326801.json</t>
  </si>
  <si>
    <t xml:space="preserve">S.47</t>
  </si>
  <si>
    <t xml:space="preserve">Oracle Q1 FY2027 results (8-K Ex. 99.1): GAAP EPS $1.56, non-GAAP EPS $1.92</t>
  </si>
  <si>
    <t xml:space="preserve">2026-09-10</t>
  </si>
  <si>
    <t xml:space="preserve">https://www.sec.gov/Archives/edgar/data/1341439/000119312526387905/orcl-ex99_1.htm</t>
  </si>
  <si>
    <t xml:space="preserve">S.48</t>
  </si>
  <si>
    <t xml:space="preserve">SEC XBRL companyfacts, Microsoft (CIK 789019): quarterly NetIncomeLoss, OtherNonoperatingIncomeExpense, tax, diluted shares, EPS</t>
  </si>
  <si>
    <t xml:space="preserve">https://data.sec.gov/api/xbrl/companyfacts/CIK0000789019.json</t>
  </si>
  <si>
    <t xml:space="preserve">S.49</t>
  </si>
  <si>
    <t xml:space="preserve">SEC XBRL companyfacts, Amazon (CIK 1018724)</t>
  </si>
  <si>
    <t xml:space="preserve">https://data.sec.gov/api/xbrl/companyfacts/CIK0001018724.json</t>
  </si>
  <si>
    <t xml:space="preserve">S.50</t>
  </si>
  <si>
    <t xml:space="preserve">SEC XBRL companyfacts, Oracle (CIK 1341439)</t>
  </si>
  <si>
    <t xml:space="preserve">https://data.sec.gov/api/xbrl/companyfacts/CIK0001341439.json</t>
  </si>
  <si>
    <t xml:space="preserve">S.51</t>
  </si>
  <si>
    <t xml:space="preserve">SEC XBRL companyfacts, RDDT</t>
  </si>
  <si>
    <t xml:space="preserve">https://data.sec.gov/api/xbrl/companyfacts/CIK0001713445.json</t>
  </si>
  <si>
    <t xml:space="preserve">S.52</t>
  </si>
  <si>
    <t xml:space="preserve">SEC XBRL companyfacts, APP</t>
  </si>
  <si>
    <t xml:space="preserve">https://data.sec.gov/api/xbrl/companyfacts/CIK0001751008.json</t>
  </si>
  <si>
    <t xml:space="preserve">S.53</t>
  </si>
  <si>
    <t xml:space="preserve">SEC XBRL companyfacts, NFLX</t>
  </si>
  <si>
    <t xml:space="preserve">https://data.sec.gov/api/xbrl/companyfacts/CIK0001065280.json</t>
  </si>
  <si>
    <t xml:space="preserve">S.54</t>
  </si>
  <si>
    <t xml:space="preserve">Nasdaq.com earnings-surprise, MSFT (Zacks reported EPS by quarter)</t>
  </si>
  <si>
    <t xml:space="preserve">https://api.nasdaq.com/api/company/MSFT/earnings-surprise</t>
  </si>
  <si>
    <t xml:space="preserve">S.55</t>
  </si>
  <si>
    <t xml:space="preserve">Nasdaq.com earnings-surprise, AMZN (Zacks reported EPS by quarter)</t>
  </si>
  <si>
    <t xml:space="preserve">https://api.nasdaq.com/api/company/AMZN/earnings-surprise</t>
  </si>
  <si>
    <t xml:space="preserve">S.56</t>
  </si>
  <si>
    <t xml:space="preserve">Nasdaq.com earnings-surprise, RDDT (Zacks reported EPS by quarter)</t>
  </si>
  <si>
    <t xml:space="preserve">https://api.nasdaq.com/api/company/RDDT/earnings-surprise</t>
  </si>
  <si>
    <t xml:space="preserve">S.57</t>
  </si>
  <si>
    <t xml:space="preserve">Nasdaq.com earnings-surprise, APP (Zacks reported EPS by quarter)</t>
  </si>
  <si>
    <t xml:space="preserve">https://api.nasdaq.com/api/company/APP/earnings-surprise</t>
  </si>
  <si>
    <t xml:space="preserve">S.58</t>
  </si>
  <si>
    <t xml:space="preserve">Nasdaq.com earnings-surprise, NFLX (Zacks reported EPS by quarter)</t>
  </si>
  <si>
    <t xml:space="preserve">https://api.nasdaq.com/api/company/NFLX/earnings-surprise</t>
  </si>
  <si>
    <t xml:space="preserve">S.59</t>
  </si>
  <si>
    <t xml:space="preserve">Nasdaq.com earnings-surprise, ORCL (Zacks reported EPS by quarter)</t>
  </si>
  <si>
    <t xml:space="preserve">https://api.nasdaq.com/api/company/ORCL/earnings-surprise</t>
  </si>
  <si>
    <t xml:space="preserve">S.60</t>
  </si>
  <si>
    <t xml:space="preserve">Anthropic, PBC Form S-1 (public), filed 2026-10-26: Notes 9-10 (convertible notes, preferred stock by series), MD&amp;A NPA tables, Initial Public Benefit Issuance, lock-up, Shares Eligible for Future Sale</t>
  </si>
  <si>
    <t xml:space="preserve">https://www.sec.gov/Archives/edgar/data/2130357/000162828026067168/anthropicpbc-sx1.htm</t>
  </si>
  <si>
    <t xml:space="preserve">S.61</t>
  </si>
  <si>
    <t xml:space="preserve">WSJ via Yahoo Finance 2026-10-26: Anthropic targets a debut the week of Nov. 16, raising $100B or more at $1.5T-$2T</t>
  </si>
  <si>
    <t xml:space="preserve">https://finance.yahoo.com/markets/stocks/articles/anthropic-publicly-files-ipo-ant-155552280.html</t>
  </si>
  <si>
    <t xml:space="preserve">S.62</t>
  </si>
  <si>
    <t xml:space="preserve">Alphabet Q3 2026 earnings release (8-K Ex. 99.1)</t>
  </si>
  <si>
    <t xml:space="preserve">2026-10-28</t>
  </si>
  <si>
    <t xml:space="preserve">https://www.sec.gov/Archives/edgar/data/1652044/000165204426000080/googexhibit991q32026.htm</t>
  </si>
  <si>
    <t xml:space="preserve">S.63</t>
  </si>
  <si>
    <t xml:space="preserve">Alphabet 8-K, 2026-10-28 (items 2.02, 9.01)</t>
  </si>
  <si>
    <t xml:space="preserve">https://www.sec.gov/Archives/edgar/data/1652044/000165204426000080/goog-20261028.htm</t>
  </si>
  <si>
    <t xml:space="preserve">S.64</t>
  </si>
  <si>
    <t xml:space="preserve">Alphabet Q3 2026 earnings slides (IR PDF)</t>
  </si>
  <si>
    <t xml:space="preserve">https://s206.q4cdn.com/479360582/files/doc_financials/2026/q3/2026q3-alphabet-earnings-slides.pdf</t>
  </si>
  <si>
    <t xml:space="preserve">S.65</t>
  </si>
  <si>
    <t xml:space="preserve">Alphabet Q3 2026 earnings call transcript (Motley Fool)</t>
  </si>
  <si>
    <t xml:space="preserve">2026-10-29</t>
  </si>
  <si>
    <t xml:space="preserve">https://www.fool.com/earnings/call-transcripts/2026/10/29/alphabet-googl-q3-2026-earnings-call-transcript/</t>
  </si>
  <si>
    <t xml:space="preserve">S.66</t>
  </si>
  <si>
    <t xml:space="preserve">Nasdaq.com analyst earnings forecast, GOOGL (Zacks consensus; still pre-print on 2026-10-29: Q3-26 $2.94, 14 estimates)</t>
  </si>
  <si>
    <t xml:space="preserve">https://api.nasdaq.com/api/analyst/GOOGL/earnings-forecast</t>
  </si>
  <si>
    <t xml:space="preserve">S.67</t>
  </si>
  <si>
    <t xml:space="preserve">MarketScreener Alphabet finances (viewed 2026-10-29; estimates pre-print, quote 2026-10-26)</t>
  </si>
  <si>
    <t xml:space="preserve">S.68</t>
  </si>
  <si>
    <t xml:space="preserve">Twelve Data GOOGL daily time series: 2026-10-28 close $324.89 (the quote page did not open at the gate; close checked on the Twelve Data time series)</t>
  </si>
  <si>
    <t xml:space="preserve">https://twelvedata.com/markets/stocks/GOOGL</t>
  </si>
  <si>
    <t xml:space="preserve">S.69</t>
  </si>
  <si>
    <t xml:space="preserve">Alphabet (GOOGL) Q3 2026 earnings call transcript (TradingKey): CFO Ashkenazi 'Our full year 2026 CapEx guidance range of $195 billion to $205 billion remain unchanged'; 'CapEx to increase significantly in 2027'; '$265.1 billion in cash and marketable securities ... includes $90.4 billion of marketable equity securities'</t>
  </si>
  <si>
    <t xml:space="preserve">https://www.tradingkey.com/news/transcripts/262249599-tradingkey</t>
  </si>
  <si>
    <t xml:space="preserve">S.70</t>
  </si>
  <si>
    <t xml:space="preserve">Yahoo Finance: Alphabet Q3 earnings call highlights ('Alphabet maintained its 2026 CapEx guidance of $195 billion to $205 billion')</t>
  </si>
  <si>
    <t xml:space="preserve">https://finance.yahoo.com/markets/stocks/articles/alphabet-q3-earnings-call-highlights-050416594.html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</si>
</sst>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1652044/000165204426000066/googexhibit991q22026.htm" TargetMode="External"/><Relationship Id="rId2" Type="http://schemas.openxmlformats.org/officeDocument/2006/relationships/hyperlink" Target="https://www.sec.gov/Archives/edgar/data/1652044/000165204426000071/goog-20260630.htm" TargetMode="External"/><Relationship Id="rId3" Type="http://schemas.openxmlformats.org/officeDocument/2006/relationships/hyperlink" Target="https://s206.q4cdn.com/479360582/files/doc_events/2026/Jul/22/2026_Q2_Earnings_Transcript.pdf" TargetMode="External"/><Relationship Id="rId4" Type="http://schemas.openxmlformats.org/officeDocument/2006/relationships/hyperlink" Target="https://www.sec.gov/Archives/edgar/data/1652044/000119312526259830/d36818d8k.htm" TargetMode="External"/><Relationship Id="rId5" Type="http://schemas.openxmlformats.org/officeDocument/2006/relationships/hyperlink" Target="https://www.sec.gov/Archives/edgar/data/1652044/000119312526342390/d171253d8k.htm" TargetMode="External"/><Relationship Id="rId6" Type="http://schemas.openxmlformats.org/officeDocument/2006/relationships/hyperlink" Target="https://data.sec.gov/submissions/CIK0001652044.json" TargetMode="External"/><Relationship Id="rId7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8" Type="http://schemas.openxmlformats.org/officeDocument/2006/relationships/hyperlink" Target="https://www.googlecloudpresscorner.com/2026-10-06-Google-and-Constellation-Announce-Landmark-Agreement-to-Bring-890-MW-of-New-Nuclear-Capacity-to-PJM-Grid-as-Part-of-Long-Term-Power-Deal" TargetMode="External"/><Relationship Id="rId9" Type="http://schemas.openxmlformats.org/officeDocument/2006/relationships/hyperlink" Target="https://blog.google/intl/ja-jp/company-news/technology/gemini4argon/" TargetMode="External"/><Relationship Id="rId10" Type="http://schemas.openxmlformats.org/officeDocument/2006/relationships/hyperlink" Target="https://stockanalysis.com/stocks/googl/forecast/" TargetMode="External"/><Relationship Id="rId11" Type="http://schemas.openxmlformats.org/officeDocument/2006/relationships/hyperlink" Target="https://stockanalysis.com/stocks/googl/statistics/" TargetMode="External"/><Relationship Id="rId12" Type="http://schemas.openxmlformats.org/officeDocument/2006/relationships/hyperlink" Target="https://www.marketscreener.com/quote/stock/ALPHABET-INC-24203373/finances/" TargetMode="External"/><Relationship Id="rId13" Type="http://schemas.openxmlformats.org/officeDocument/2006/relationships/hyperlink" Target="https://247wallst.com/investing/2026/10/05/the-ai-boom-could-make-this-magnificent-7-stock-a-much-bigger-business/" TargetMode="External"/><Relationship Id="rId14" Type="http://schemas.openxmlformats.org/officeDocument/2006/relationships/hyperlink" Target="https://stockanalysis.com/stocks/googl/history/" TargetMode="External"/><Relationship Id="rId15" Type="http://schemas.openxmlformats.org/officeDocument/2006/relationships/hyperlink" Target="https://stockanalysis.com/stocks/msft/forecast/" TargetMode="External"/><Relationship Id="rId16" Type="http://schemas.openxmlformats.org/officeDocument/2006/relationships/hyperlink" Target="https://stockanalysis.com/stocks/msft/statistics/" TargetMode="External"/><Relationship Id="rId17" Type="http://schemas.openxmlformats.org/officeDocument/2006/relationships/hyperlink" Target="https://www.marketscreener.com/quote/stock/MICROSOFT-CORPORATION-4835/finances/" TargetMode="External"/><Relationship Id="rId18" Type="http://schemas.openxmlformats.org/officeDocument/2006/relationships/hyperlink" Target="https://stockanalysis.com/stocks/amzn/forecast/" TargetMode="External"/><Relationship Id="rId19" Type="http://schemas.openxmlformats.org/officeDocument/2006/relationships/hyperlink" Target="https://stockanalysis.com/stocks/amzn/statistics/" TargetMode="External"/><Relationship Id="rId20" Type="http://schemas.openxmlformats.org/officeDocument/2006/relationships/hyperlink" Target="https://www.marketscreener.com/quote/stock/AMAZON-COM-INC-12864605/finances/" TargetMode="External"/><Relationship Id="rId21" Type="http://schemas.openxmlformats.org/officeDocument/2006/relationships/hyperlink" Target="https://stockanalysis.com/stocks/meta/forecast/" TargetMode="External"/><Relationship Id="rId22" Type="http://schemas.openxmlformats.org/officeDocument/2006/relationships/hyperlink" Target="https://stockanalysis.com/stocks/meta/statistics/" TargetMode="External"/><Relationship Id="rId23" Type="http://schemas.openxmlformats.org/officeDocument/2006/relationships/hyperlink" Target="https://www.marketscreener.com/quote/stock/META-PLATFORMS-INC-10547141/finances/" TargetMode="External"/><Relationship Id="rId24" Type="http://schemas.openxmlformats.org/officeDocument/2006/relationships/hyperlink" Target="https://stockanalysis.com/stocks/aapl/forecast/" TargetMode="External"/><Relationship Id="rId25" Type="http://schemas.openxmlformats.org/officeDocument/2006/relationships/hyperlink" Target="https://stockanalysis.com/stocks/aapl/statistics/" TargetMode="External"/><Relationship Id="rId26" Type="http://schemas.openxmlformats.org/officeDocument/2006/relationships/hyperlink" Target="https://www.marketscreener.com/quote/stock/APPLE-INC-4849/finances/" TargetMode="External"/><Relationship Id="rId27" Type="http://schemas.openxmlformats.org/officeDocument/2006/relationships/hyperlink" Target="https://stockanalysis.com/stocks/orcl/forecast/" TargetMode="External"/><Relationship Id="rId28" Type="http://schemas.openxmlformats.org/officeDocument/2006/relationships/hyperlink" Target="https://stockanalysis.com/stocks/orcl/statistics/" TargetMode="External"/><Relationship Id="rId29" Type="http://schemas.openxmlformats.org/officeDocument/2006/relationships/hyperlink" Target="https://www.marketscreener.com/quote/stock/ORACLE-CORPORATION-40202078/finances/" TargetMode="External"/><Relationship Id="rId30" Type="http://schemas.openxmlformats.org/officeDocument/2006/relationships/hyperlink" Target="https://stockanalysis.com/stocks/nflx/forecast/" TargetMode="External"/><Relationship Id="rId31" Type="http://schemas.openxmlformats.org/officeDocument/2006/relationships/hyperlink" Target="https://stockanalysis.com/stocks/nflx/statistics/" TargetMode="External"/><Relationship Id="rId32" Type="http://schemas.openxmlformats.org/officeDocument/2006/relationships/hyperlink" Target="https://www.marketscreener.com/quote/stock/NETFLIX-INC-44292425/finances/" TargetMode="External"/><Relationship Id="rId33" Type="http://schemas.openxmlformats.org/officeDocument/2006/relationships/hyperlink" Target="https://stockanalysis.com/stocks/crm/forecast/" TargetMode="External"/><Relationship Id="rId34" Type="http://schemas.openxmlformats.org/officeDocument/2006/relationships/hyperlink" Target="https://stockanalysis.com/stocks/crm/statistics/" TargetMode="External"/><Relationship Id="rId35" Type="http://schemas.openxmlformats.org/officeDocument/2006/relationships/hyperlink" Target="https://www.marketscreener.com/quote/stock/SALESFORCE-INC-12180/finances/" TargetMode="External"/><Relationship Id="rId36" Type="http://schemas.openxmlformats.org/officeDocument/2006/relationships/hyperlink" Target="https://stockanalysis.com/stocks/now/forecast/" TargetMode="External"/><Relationship Id="rId37" Type="http://schemas.openxmlformats.org/officeDocument/2006/relationships/hyperlink" Target="https://stockanalysis.com/stocks/now/statistics/" TargetMode="External"/><Relationship Id="rId38" Type="http://schemas.openxmlformats.org/officeDocument/2006/relationships/hyperlink" Target="https://www.marketscreener.com/quote/stock/SERVICENOW-INC-10912979/finances/" TargetMode="External"/><Relationship Id="rId39" Type="http://schemas.openxmlformats.org/officeDocument/2006/relationships/hyperlink" Target="https://stockanalysis.com/stocks/adbe/forecast/" TargetMode="External"/><Relationship Id="rId40" Type="http://schemas.openxmlformats.org/officeDocument/2006/relationships/hyperlink" Target="https://stockanalysis.com/stocks/adbe/statistics/" TargetMode="External"/><Relationship Id="rId41" Type="http://schemas.openxmlformats.org/officeDocument/2006/relationships/hyperlink" Target="https://www.marketscreener.com/quote/stock/ADOBE-INC-4844/finances/" TargetMode="External"/><Relationship Id="rId42" Type="http://schemas.openxmlformats.org/officeDocument/2006/relationships/hyperlink" Target="https://stockanalysis.com/stocks/rddt/forecast/" TargetMode="External"/><Relationship Id="rId43" Type="http://schemas.openxmlformats.org/officeDocument/2006/relationships/hyperlink" Target="https://stockanalysis.com/stocks/rddt/statistics/" TargetMode="External"/><Relationship Id="rId44" Type="http://schemas.openxmlformats.org/officeDocument/2006/relationships/hyperlink" Target="https://www.marketscreener.com/quote/stock/REDDIT-INC-167442757/finances/" TargetMode="External"/><Relationship Id="rId45" Type="http://schemas.openxmlformats.org/officeDocument/2006/relationships/hyperlink" Target="https://www.sec.gov/Archives/edgar/data/1652044/000165204426000066/googexhibit991q22026.htm" TargetMode="External"/><Relationship Id="rId46" Type="http://schemas.openxmlformats.org/officeDocument/2006/relationships/hyperlink" Target="https://www.sec.gov/Archives/edgar/data/1652044/000165204426000071/goog-20260630.htm" TargetMode="External"/><Relationship Id="rId47" Type="http://schemas.openxmlformats.org/officeDocument/2006/relationships/hyperlink" Target="https://abc.xyz/investor/news/news-details/2026/Alphabet-Announces-Date-of-Third-Quarter-2026-Financial-Results-Conference-Call-2026-8tpGZsLS6v/default.aspx" TargetMode="External"/><Relationship Id="rId48" Type="http://schemas.openxmlformats.org/officeDocument/2006/relationships/hyperlink" Target="https://data.sec.gov/submissions/CIK0001652044.json" TargetMode="External"/><Relationship Id="rId49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50" Type="http://schemas.openxmlformats.org/officeDocument/2006/relationships/hyperlink" Target="https://finance.yahoo.com/quote/GOOGL/analysis/" TargetMode="External"/><Relationship Id="rId51" Type="http://schemas.openxmlformats.org/officeDocument/2006/relationships/hyperlink" Target="https://www.marketscreener.com/quote/stock/ALPHABET-INC-24203373/finances/" TargetMode="External"/><Relationship Id="rId52" Type="http://schemas.openxmlformats.org/officeDocument/2006/relationships/hyperlink" Target="https://www.marketscreener.com/quote/stock/MICROSOFT-CORPORATION-4835/finances/" TargetMode="External"/><Relationship Id="rId53" Type="http://schemas.openxmlformats.org/officeDocument/2006/relationships/hyperlink" Target="https://www.marketscreener.com/quote/stock/AMAZON-COM-INC-12864605/finances/" TargetMode="External"/><Relationship Id="rId54" Type="http://schemas.openxmlformats.org/officeDocument/2006/relationships/hyperlink" Target="https://www.marketscreener.com/quote/stock/META-PLATFORMS-INC-10547141/finances/" TargetMode="External"/><Relationship Id="rId55" Type="http://schemas.openxmlformats.org/officeDocument/2006/relationships/hyperlink" Target="https://www.marketscreener.com/quote/stock/ORACLE-CORPORATION-13620698/finances/" TargetMode="External"/><Relationship Id="rId56" Type="http://schemas.openxmlformats.org/officeDocument/2006/relationships/hyperlink" Target="https://www.marketscreener.com/quote/stock/APPLE-INC-4849/finances/" TargetMode="External"/><Relationship Id="rId57" Type="http://schemas.openxmlformats.org/officeDocument/2006/relationships/hyperlink" Target="https://www.marketscreener.com/quote/stock/NETFLIX-INC-44292425/finances/" TargetMode="External"/><Relationship Id="rId58" Type="http://schemas.openxmlformats.org/officeDocument/2006/relationships/hyperlink" Target="https://www.marketscreener.com/quote/stock/APPLOVIN-CORPORATION-121407289/finances/" TargetMode="External"/><Relationship Id="rId59" Type="http://schemas.openxmlformats.org/officeDocument/2006/relationships/hyperlink" Target="https://www.marketscreener.com/quote/stock/REDDIT-INC-167442757/finances/" TargetMode="External"/><Relationship Id="rId60" Type="http://schemas.openxmlformats.org/officeDocument/2006/relationships/hyperlink" Target="https://www.marketscreener.com/quote/stock/PINTEREST-INC-57086058/finances/" TargetMode="External"/><Relationship Id="rId61" Type="http://schemas.openxmlformats.org/officeDocument/2006/relationships/hyperlink" Target="https://www.marketscreener.com/quote/stock/BAIDU-INC-8563/finances/" TargetMode="External"/><Relationship Id="rId62" Type="http://schemas.openxmlformats.org/officeDocument/2006/relationships/hyperlink" Target="https://www.marketscreener.com/quote/stock/SPOTIFY-TECHNOLOGY-S-A-42589613/finances/" TargetMode="External"/><Relationship Id="rId63" Type="http://schemas.openxmlformats.org/officeDocument/2006/relationships/hyperlink" Target="https://www.marketscreener.com/quote/stock/THE-TRADE-DESK-INC-31370485/finances/" TargetMode="External"/><Relationship Id="rId64" Type="http://schemas.openxmlformats.org/officeDocument/2006/relationships/hyperlink" Target="https://investing.com/news/analyst-ratings/wells-fargo-raises-alphabet-stock-price-target-on-tpu-sales-outlook-93CH-4933882" TargetMode="External"/><Relationship Id="rId65" Type="http://schemas.openxmlformats.org/officeDocument/2006/relationships/hyperlink" Target="https://arena.ai/leaderboard/text" TargetMode="External"/><Relationship Id="rId66" Type="http://schemas.openxmlformats.org/officeDocument/2006/relationships/hyperlink" Target="https://gamma-api.polymarket.com/public-search?q=best%20AI%20model%20end%20of%202026" TargetMode="External"/><Relationship Id="rId67" Type="http://schemas.openxmlformats.org/officeDocument/2006/relationships/hyperlink" Target="https://gamma-api.polymarket.com/public-search?q=Anthropic%20IPO" TargetMode="External"/><Relationship Id="rId68" Type="http://schemas.openxmlformats.org/officeDocument/2006/relationships/hyperlink" Target="https://finance.yahoo.com/markets/stocks/articles/alphabet-won-washington-got-charged-144229447.html" TargetMode="External"/><Relationship Id="rId69" Type="http://schemas.openxmlformats.org/officeDocument/2006/relationships/hyperlink" Target="https://www.fool.com/investing/2026/10/06/why-broadcom-stock-popped-tuesday-morning/" TargetMode="External"/><Relationship Id="rId70" Type="http://schemas.openxmlformats.org/officeDocument/2006/relationships/hyperlink" Target="https://www.karooya.com/blog/?p=28214" TargetMode="External"/><Relationship Id="rId71" Type="http://schemas.openxmlformats.org/officeDocument/2006/relationships/hyperlink" Target="https://www.thekeyword.co/news/big-tech-q2-2026-ad-revenue" TargetMode="External"/><Relationship Id="rId72" Type="http://schemas.openxmlformats.org/officeDocument/2006/relationships/hyperlink" Target="https://api.twelvedata.com/time_series?symbol=GOOGL,META,MSFT,AMZN,AVGO,CEG,QQQ&amp;interval=1day" TargetMode="External"/><Relationship Id="rId73" Type="http://schemas.openxmlformats.org/officeDocument/2006/relationships/hyperlink" Target="https://tradingkey.com/analysis/stocks/us-stocks/262201281-alphabet-googl-stock-forecast-october-6-2026" TargetMode="External"/><Relationship Id="rId74" Type="http://schemas.openxmlformats.org/officeDocument/2006/relationships/hyperlink" Target="https://www.sec.gov/Archives/edgar/data/1652044/000165204426000066/googexhibit991q22026.htm" TargetMode="External"/><Relationship Id="rId75" Type="http://schemas.openxmlformats.org/officeDocument/2006/relationships/hyperlink" Target="https://www.sec.gov/Archives/edgar/data/1652044/000165204426000071/goog-20260630.htm" TargetMode="External"/><Relationship Id="rId76" Type="http://schemas.openxmlformats.org/officeDocument/2006/relationships/hyperlink" Target="https://www.sec.gov/Archives/edgar/data/1652044/000165204426000071/R19.htm" TargetMode="External"/><Relationship Id="rId77" Type="http://schemas.openxmlformats.org/officeDocument/2006/relationships/hyperlink" Target="https://www.sec.gov/Archives/edgar/data/1652044/000165204426000071/R20.htm" TargetMode="External"/><Relationship Id="rId78" Type="http://schemas.openxmlformats.org/officeDocument/2006/relationships/hyperlink" Target="https://www.sec.gov/Archives/edgar/data/1652044/000119312526257724/d83560d8k.htm" TargetMode="External"/><Relationship Id="rId79" Type="http://schemas.openxmlformats.org/officeDocument/2006/relationships/hyperlink" Target="https://www.sec.gov/Archives/edgar/data/1652044/000119312526257702/d152175d424b5.htm" TargetMode="External"/><Relationship Id="rId80" Type="http://schemas.openxmlformats.org/officeDocument/2006/relationships/hyperlink" Target="https://www.sec.gov/Archives/edgar/data/1652044/000119312526043127/d297481dfwp.htm" TargetMode="External"/><Relationship Id="rId81" Type="http://schemas.openxmlformats.org/officeDocument/2006/relationships/hyperlink" Target="https://www.sec.gov/Archives/edgar/data/1652044/000119312526338750/d159970dfwp.htm" TargetMode="External"/><Relationship Id="rId82" Type="http://schemas.openxmlformats.org/officeDocument/2006/relationships/hyperlink" Target="https://data.sec.gov/api/xbrl/companyfacts/CIK0001652044.json" TargetMode="External"/><Relationship Id="rId83" Type="http://schemas.openxmlformats.org/officeDocument/2006/relationships/hyperlink" Target="https://www.investing.com/news/transcripts/earnings-call-transcript-alphabet-beats-q2-2026-estimates-shares-fall-on-capex-surge-93CH-4807140" TargetMode="External"/><Relationship Id="rId84" Type="http://schemas.openxmlformats.org/officeDocument/2006/relationships/hyperlink" Target="https://www.sec.gov/Archives/edgar/data/1652044/000119312526408019/xslF345X06/ownership.xml" TargetMode="External"/><Relationship Id="rId85" Type="http://schemas.openxmlformats.org/officeDocument/2006/relationships/hyperlink" Target="https://www.sec.gov/Archives/edgar/data/1652044/000119312526412669/xslF345X06/ownership.xml" TargetMode="External"/><Relationship Id="rId86" Type="http://schemas.openxmlformats.org/officeDocument/2006/relationships/hyperlink" Target="https://www.sec.gov/Archives/edgar/data/1652044/000192109426001058/xsl144X01/primary_doc.xml" TargetMode="External"/><Relationship Id="rId87" Type="http://schemas.openxmlformats.org/officeDocument/2006/relationships/hyperlink" Target="https://www.marketscreener.com/quote/stock/ALPHABET-INC-24203373/valuation/" TargetMode="External"/><Relationship Id="rId88" Type="http://schemas.openxmlformats.org/officeDocument/2006/relationships/hyperlink" Target="https://www.marketscreener.com/quote/stock/ALPHABET-INC-24203373/finances/" TargetMode="External"/><Relationship Id="rId89" Type="http://schemas.openxmlformats.org/officeDocument/2006/relationships/hyperlink" Target="https://stockanalysis.com/stocks/googl/forecast/" TargetMode="External"/><Relationship Id="rId90" Type="http://schemas.openxmlformats.org/officeDocument/2006/relationships/hyperlink" Target="https://www.marketscreener.com/quote/stock/MICROSOFT-CORPORATION-4835/valuation/" TargetMode="External"/><Relationship Id="rId91" Type="http://schemas.openxmlformats.org/officeDocument/2006/relationships/hyperlink" Target="https://www.marketscreener.com/quote/stock/AMAZON-COM-INC-12864605/valuation/" TargetMode="External"/><Relationship Id="rId92" Type="http://schemas.openxmlformats.org/officeDocument/2006/relationships/hyperlink" Target="https://www.marketscreener.com/quote/stock/META-PLATFORMS-INC-10547141/valuation/" TargetMode="External"/><Relationship Id="rId93" Type="http://schemas.openxmlformats.org/officeDocument/2006/relationships/hyperlink" Target="https://www.marketscreener.com/quote/stock/APPLE-INC-4849/valuation/" TargetMode="External"/><Relationship Id="rId94" Type="http://schemas.openxmlformats.org/officeDocument/2006/relationships/hyperlink" Target="https://www.marketscreener.com/quote/stock/ORACLE-CORPORATION-13620698/valuation/" TargetMode="External"/><Relationship Id="rId95" Type="http://schemas.openxmlformats.org/officeDocument/2006/relationships/hyperlink" Target="https://www.marketscreener.com/quote/stock/NETFLIX-INC-44292425/valuation/" TargetMode="External"/><Relationship Id="rId96" Type="http://schemas.openxmlformats.org/officeDocument/2006/relationships/hyperlink" Target="https://www.marketscreener.com/quote/stock/TENCENT-HOLDINGS-LIMITED-3045861/valuation/" TargetMode="External"/><Relationship Id="rId97" Type="http://schemas.openxmlformats.org/officeDocument/2006/relationships/hyperlink" Target="https://www.marketscreener.com/quote/stock/ALIBABA-GROUP-HOLDING-LIM-17916677/valuation/" TargetMode="External"/><Relationship Id="rId98" Type="http://schemas.openxmlformats.org/officeDocument/2006/relationships/hyperlink" Target="https://www.marketscreener.com/quote/stock/BAIDU-INC-8563/valuation/" TargetMode="External"/><Relationship Id="rId99" Type="http://schemas.openxmlformats.org/officeDocument/2006/relationships/hyperlink" Target="https://www.marketscreener.com/quote/stock/SALESFORCE-INC-12180/valuation/" TargetMode="External"/><Relationship Id="rId100" Type="http://schemas.openxmlformats.org/officeDocument/2006/relationships/hyperlink" Target="https://www.businessday.co.za/world/international-companies/2026-09-02-google-escapes-breakup-as-us-judge-rejects-forced-sale-of-adx/" TargetMode="External"/><Relationship Id="rId101" Type="http://schemas.openxmlformats.org/officeDocument/2006/relationships/hyperlink" Target="https://www.pymnts.com/cpi-posts/google-dodges-ad-tech-breakup-as-judge-imposes-six-year-oversight/" TargetMode="External"/><Relationship Id="rId102" Type="http://schemas.openxmlformats.org/officeDocument/2006/relationships/hyperlink" Target="https://stockanalysis.com/news/google-ad-tech-remedies-unsealed/" TargetMode="External"/><Relationship Id="rId103" Type="http://schemas.openxmlformats.org/officeDocument/2006/relationships/hyperlink" Target="https://www.aljazeera.com/economy/2026/9/2/us-judge-rejects-bid-to-break-up-googles-ad-business" TargetMode="External"/><Relationship Id="rId104" Type="http://schemas.openxmlformats.org/officeDocument/2006/relationships/hyperlink" Target="https://www.silicon.co.uk/cloud/anthropic-google-cloud-629768" TargetMode="External"/><Relationship Id="rId105" Type="http://schemas.openxmlformats.org/officeDocument/2006/relationships/hyperlink" Target="https://www.silicon.co.uk/ai-2/blackstone-anthropic-debt-631021" TargetMode="External"/><Relationship Id="rId106" Type="http://schemas.openxmlformats.org/officeDocument/2006/relationships/hyperlink" Target="https://www.tikr.com/blog/alphabet-stock-just-raised-84-75-billion-for-ai-what-berkshires-10-billion-bet-means-for-investors" TargetMode="External"/><Relationship Id="rId107" Type="http://schemas.openxmlformats.org/officeDocument/2006/relationships/hyperlink" Target="https://dev.to/ruslanaverin/alphabet-fell-5-on-good-news-what-the-capex-raise-actually-costs-30e1" TargetMode="External"/><Relationship Id="rId108" Type="http://schemas.openxmlformats.org/officeDocument/2006/relationships/hyperlink" Target="https://gs.statcounter.com/global-stats/search-engine-market-share" TargetMode="External"/><Relationship Id="rId109" Type="http://schemas.openxmlformats.org/officeDocument/2006/relationships/hyperlink" Target="https://www.octagonai.co/markets/science-and-technology/ai/google-market-share-this-week.md" TargetMode="External"/><Relationship Id="rId110" Type="http://schemas.openxmlformats.org/officeDocument/2006/relationships/hyperlink" Target="https://www.marketbeat.com/instant-alerts/alphabet-nasdaqgoogl-rating-lowered-to-hold-at-wall-street-zen-2026-08-01/" TargetMode="External"/><Relationship Id="rId111" Type="http://schemas.openxmlformats.org/officeDocument/2006/relationships/hyperlink" Target="https://www.sec.gov/Archives/edgar/data/1652044/000121465926006524/d518261px14a6g.htm" TargetMode="External"/><Relationship Id="rId112" Type="http://schemas.openxmlformats.org/officeDocument/2006/relationships/hyperlink" Target="https://www.sec.gov/Archives/edgar/data/1652044/000119312526342390/d171253d8k.htm" TargetMode="External"/><Relationship Id="rId113" Type="http://schemas.openxmlformats.org/officeDocument/2006/relationships/hyperlink" Target="https://www.sec.gov/Archives/edgar/data/1652044/000119312526044473/d37599dfwp.htm" TargetMode="External"/><Relationship Id="rId114" Type="http://schemas.openxmlformats.org/officeDocument/2006/relationships/hyperlink" Target="https://thenextweb.com/news/google-94-billion-spacex-shares-ipo-stake" TargetMode="External"/><Relationship Id="rId115" Type="http://schemas.openxmlformats.org/officeDocument/2006/relationships/hyperlink" Target="https://api.twelvedata.com/time_series?symbol=GOOGL,SPCX&amp;interval=1week" TargetMode="External"/><Relationship Id="rId116" Type="http://schemas.openxmlformats.org/officeDocument/2006/relationships/hyperlink" Target="https://www.sec.gov/Archives/edgar/data/1652044/000165204426000066/googexhibit991q22026.htm" TargetMode="External"/><Relationship Id="rId117" Type="http://schemas.openxmlformats.org/officeDocument/2006/relationships/hyperlink" Target="https://www.sec.gov/Archives/edgar/data/1652044/000165204426000071/goog-20260630.htm" TargetMode="External"/><Relationship Id="rId118" Type="http://schemas.openxmlformats.org/officeDocument/2006/relationships/hyperlink" Target="https://data.sec.gov/api/xbrl/companyfacts/CIK0001652044.json" TargetMode="External"/><Relationship Id="rId119" Type="http://schemas.openxmlformats.org/officeDocument/2006/relationships/hyperlink" Target="https://data.sec.gov/submissions/CIK0001652044.json" TargetMode="External"/><Relationship Id="rId120" Type="http://schemas.openxmlformats.org/officeDocument/2006/relationships/hyperlink" Target="https://s206.q4cdn.com/479360582/files/doc_events/2026/Jul/22/2026_Q2_Earnings_Transcript.pdf" TargetMode="External"/><Relationship Id="rId121" Type="http://schemas.openxmlformats.org/officeDocument/2006/relationships/hyperlink" Target="https://www.sec.gov/Archives/edgar/data/1652044/000119312526259830/d36818d8k.htm" TargetMode="External"/><Relationship Id="rId122" Type="http://schemas.openxmlformats.org/officeDocument/2006/relationships/hyperlink" Target="https://abc.xyz/investor/news/news-details/2026/Alphabet-Announces-Date-of-Third-Quarter-2026-Financial-Results-Conference-Call-2026-8tpGZsLS6v/default.aspx" TargetMode="External"/><Relationship Id="rId123" Type="http://schemas.openxmlformats.org/officeDocument/2006/relationships/hyperlink" Target="https://finance.yahoo.com/quote/GOOGL/analysis/" TargetMode="External"/><Relationship Id="rId124" Type="http://schemas.openxmlformats.org/officeDocument/2006/relationships/hyperlink" Target="https://www.marketscreener.com/quote/stock/ALPHABET-INC-24203373/finances/" TargetMode="External"/><Relationship Id="rId125" Type="http://schemas.openxmlformats.org/officeDocument/2006/relationships/hyperlink" Target="https://stockanalysis.com/stocks/googl/forecast/" TargetMode="External"/><Relationship Id="rId126" Type="http://schemas.openxmlformats.org/officeDocument/2006/relationships/hyperlink" Target="https://247wallst.com/investing/2026/10/05/the-ai-boom-could-make-this-magnificent-7-stock-a-much-bigger-business/" TargetMode="External"/><Relationship Id="rId127" Type="http://schemas.openxmlformats.org/officeDocument/2006/relationships/hyperlink" Target="https://stockanalysis.com/stocks/orcl/forecast/" TargetMode="External"/><Relationship Id="rId128" Type="http://schemas.openxmlformats.org/officeDocument/2006/relationships/hyperlink" Target="https://www.marketscreener.com/quote/stock/MICROSOFT-CORPORATION-4835/finances/" TargetMode="External"/><Relationship Id="rId129" Type="http://schemas.openxmlformats.org/officeDocument/2006/relationships/hyperlink" Target="https://www.marketscreener.com/quote/stock/AMAZON-COM-INC-12864605/finances/" TargetMode="External"/><Relationship Id="rId130" Type="http://schemas.openxmlformats.org/officeDocument/2006/relationships/hyperlink" Target="https://www.marketscreener.com/quote/stock/META-PLATFORMS-INC-10547141/finances/" TargetMode="External"/><Relationship Id="rId131" Type="http://schemas.openxmlformats.org/officeDocument/2006/relationships/hyperlink" Target="https://www.marketscreener.com/quote/stock/APPLE-INC-4849/finances/" TargetMode="External"/><Relationship Id="rId132" Type="http://schemas.openxmlformats.org/officeDocument/2006/relationships/hyperlink" Target="https://www.marketscreener.com/quote/stock/ORACLE-CORPORATION-13620698/finances/" TargetMode="External"/><Relationship Id="rId133" Type="http://schemas.openxmlformats.org/officeDocument/2006/relationships/hyperlink" Target="https://www.marketscreener.com/quote/stock/NETFLIX-INC-44292425/finances/" TargetMode="External"/><Relationship Id="rId134" Type="http://schemas.openxmlformats.org/officeDocument/2006/relationships/hyperlink" Target="https://www.marketscreener.com/quote/stock/SALESFORCE-INC-12180/finances/" TargetMode="External"/><Relationship Id="rId135" Type="http://schemas.openxmlformats.org/officeDocument/2006/relationships/hyperlink" Target="https://www.marketscreener.com/quote/stock/SERVICENOW-INC-10912979/finances/" TargetMode="External"/><Relationship Id="rId136" Type="http://schemas.openxmlformats.org/officeDocument/2006/relationships/hyperlink" Target="https://www.marketscreener.com/quote/stock/ADOBE-INC-4844/finances/" TargetMode="External"/><Relationship Id="rId137" Type="http://schemas.openxmlformats.org/officeDocument/2006/relationships/hyperlink" Target="https://www.marketscreener.com/quote/stock/REDDIT-INC-167442757/finances/" TargetMode="External"/><Relationship Id="rId138" Type="http://schemas.openxmlformats.org/officeDocument/2006/relationships/hyperlink" Target="https://www.marketscreener.com/quote/stock/APPLOVIN-CORPORATION-121407289/finances/" TargetMode="External"/><Relationship Id="rId139" Type="http://schemas.openxmlformats.org/officeDocument/2006/relationships/hyperlink" Target="https://www.sec.gov/Archives/edgar/data/1652044/000165204426000018/R11.htm" TargetMode="External"/><Relationship Id="rId140" Type="http://schemas.openxmlformats.org/officeDocument/2006/relationships/hyperlink" Target="https://stockanalysis.com/stocks/googl/history/" TargetMode="External"/><Relationship Id="rId141" Type="http://schemas.openxmlformats.org/officeDocument/2006/relationships/hyperlink" Target="https://data.sec.gov/api/xbrl/companyfacts/" TargetMode="External"/><Relationship Id="rId142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143" Type="http://schemas.openxmlformats.org/officeDocument/2006/relationships/hyperlink" Target="https://api.nasdaq.com/api/analyst/MSFT/earnings-forecast" TargetMode="External"/><Relationship Id="rId144" Type="http://schemas.openxmlformats.org/officeDocument/2006/relationships/hyperlink" Target="https://api.nasdaq.com/api/analyst/AMZN/earnings-forecast" TargetMode="External"/><Relationship Id="rId145" Type="http://schemas.openxmlformats.org/officeDocument/2006/relationships/hyperlink" Target="https://api.nasdaq.com/api/analyst/META/earnings-forecast" TargetMode="External"/><Relationship Id="rId146" Type="http://schemas.openxmlformats.org/officeDocument/2006/relationships/hyperlink" Target="https://api.nasdaq.com/api/analyst/RDDT/earnings-forecast" TargetMode="External"/><Relationship Id="rId147" Type="http://schemas.openxmlformats.org/officeDocument/2006/relationships/hyperlink" Target="https://api.nasdaq.com/api/analyst/APP/earnings-forecast" TargetMode="External"/><Relationship Id="rId148" Type="http://schemas.openxmlformats.org/officeDocument/2006/relationships/hyperlink" Target="https://api.nasdaq.com/api/analyst/NFLX/earnings-forecast" TargetMode="External"/><Relationship Id="rId149" Type="http://schemas.openxmlformats.org/officeDocument/2006/relationships/hyperlink" Target="https://api.nasdaq.com/api/analyst/ORCL/earnings-forecast" TargetMode="External"/><Relationship Id="rId150" Type="http://schemas.openxmlformats.org/officeDocument/2006/relationships/hyperlink" Target="https://query1.finance.yahoo.com/v8/finance/chart/MSFT" TargetMode="External"/><Relationship Id="rId151" Type="http://schemas.openxmlformats.org/officeDocument/2006/relationships/hyperlink" Target="https://query1.finance.yahoo.com/v8/finance/chart/AMZN" TargetMode="External"/><Relationship Id="rId152" Type="http://schemas.openxmlformats.org/officeDocument/2006/relationships/hyperlink" Target="https://query1.finance.yahoo.com/v8/finance/chart/META" TargetMode="External"/><Relationship Id="rId153" Type="http://schemas.openxmlformats.org/officeDocument/2006/relationships/hyperlink" Target="https://query1.finance.yahoo.com/v8/finance/chart/RDDT" TargetMode="External"/><Relationship Id="rId154" Type="http://schemas.openxmlformats.org/officeDocument/2006/relationships/hyperlink" Target="https://query1.finance.yahoo.com/v8/finance/chart/APP" TargetMode="External"/><Relationship Id="rId155" Type="http://schemas.openxmlformats.org/officeDocument/2006/relationships/hyperlink" Target="https://query1.finance.yahoo.com/v8/finance/chart/NFLX" TargetMode="External"/><Relationship Id="rId156" Type="http://schemas.openxmlformats.org/officeDocument/2006/relationships/hyperlink" Target="https://query1.finance.yahoo.com/v8/finance/chart/ORCL" TargetMode="External"/><Relationship Id="rId157" Type="http://schemas.openxmlformats.org/officeDocument/2006/relationships/hyperlink" Target="https://api.nasdaq.com/api/company/META/earnings-surprise" TargetMode="External"/><Relationship Id="rId158" Type="http://schemas.openxmlformats.org/officeDocument/2006/relationships/hyperlink" Target="https://data.sec.gov/api/xbrl/companyfacts/CIK0001326801.json" TargetMode="External"/><Relationship Id="rId159" Type="http://schemas.openxmlformats.org/officeDocument/2006/relationships/hyperlink" Target="https://www.sec.gov/Archives/edgar/data/1341439/000119312526387905/orcl-ex99_1.htm" TargetMode="External"/><Relationship Id="rId160" Type="http://schemas.openxmlformats.org/officeDocument/2006/relationships/hyperlink" Target="https://data.sec.gov/api/xbrl/companyfacts/CIK0000789019.json" TargetMode="External"/><Relationship Id="rId161" Type="http://schemas.openxmlformats.org/officeDocument/2006/relationships/hyperlink" Target="https://data.sec.gov/api/xbrl/companyfacts/CIK0001018724.json" TargetMode="External"/><Relationship Id="rId162" Type="http://schemas.openxmlformats.org/officeDocument/2006/relationships/hyperlink" Target="https://data.sec.gov/api/xbrl/companyfacts/CIK0001341439.json" TargetMode="External"/><Relationship Id="rId163" Type="http://schemas.openxmlformats.org/officeDocument/2006/relationships/hyperlink" Target="https://data.sec.gov/api/xbrl/companyfacts/CIK0001713445.json" TargetMode="External"/><Relationship Id="rId164" Type="http://schemas.openxmlformats.org/officeDocument/2006/relationships/hyperlink" Target="https://data.sec.gov/api/xbrl/companyfacts/CIK0001751008.json" TargetMode="External"/><Relationship Id="rId165" Type="http://schemas.openxmlformats.org/officeDocument/2006/relationships/hyperlink" Target="https://data.sec.gov/api/xbrl/companyfacts/CIK0001065280.json" TargetMode="External"/><Relationship Id="rId166" Type="http://schemas.openxmlformats.org/officeDocument/2006/relationships/hyperlink" Target="https://api.nasdaq.com/api/company/MSFT/earnings-surprise" TargetMode="External"/><Relationship Id="rId167" Type="http://schemas.openxmlformats.org/officeDocument/2006/relationships/hyperlink" Target="https://api.nasdaq.com/api/company/AMZN/earnings-surprise" TargetMode="External"/><Relationship Id="rId168" Type="http://schemas.openxmlformats.org/officeDocument/2006/relationships/hyperlink" Target="https://api.nasdaq.com/api/company/RDDT/earnings-surprise" TargetMode="External"/><Relationship Id="rId169" Type="http://schemas.openxmlformats.org/officeDocument/2006/relationships/hyperlink" Target="https://api.nasdaq.com/api/company/APP/earnings-surprise" TargetMode="External"/><Relationship Id="rId170" Type="http://schemas.openxmlformats.org/officeDocument/2006/relationships/hyperlink" Target="https://api.nasdaq.com/api/company/NFLX/earnings-surprise" TargetMode="External"/><Relationship Id="rId171" Type="http://schemas.openxmlformats.org/officeDocument/2006/relationships/hyperlink" Target="https://api.nasdaq.com/api/company/ORCL/earnings-surprise" TargetMode="External"/><Relationship Id="rId172" Type="http://schemas.openxmlformats.org/officeDocument/2006/relationships/hyperlink" Target="https://www.sec.gov/Archives/edgar/data/2130357/000162828026067168/anthropicpbc-sx1.htm" TargetMode="External"/><Relationship Id="rId173" Type="http://schemas.openxmlformats.org/officeDocument/2006/relationships/hyperlink" Target="https://finance.yahoo.com/markets/stocks/articles/anthropic-publicly-files-ipo-ant-155552280.html" TargetMode="External"/><Relationship Id="rId174" Type="http://schemas.openxmlformats.org/officeDocument/2006/relationships/hyperlink" Target="https://www.sec.gov/Archives/edgar/data/1652044/000165204426000080/googexhibit991q32026.htm" TargetMode="External"/><Relationship Id="rId175" Type="http://schemas.openxmlformats.org/officeDocument/2006/relationships/hyperlink" Target="https://www.sec.gov/Archives/edgar/data/1652044/000165204426000080/goog-20261028.htm" TargetMode="External"/><Relationship Id="rId176" Type="http://schemas.openxmlformats.org/officeDocument/2006/relationships/hyperlink" Target="https://s206.q4cdn.com/479360582/files/doc_financials/2026/q3/2026q3-alphabet-earnings-slides.pdf" TargetMode="External"/><Relationship Id="rId177" Type="http://schemas.openxmlformats.org/officeDocument/2006/relationships/hyperlink" Target="https://www.fool.com/earnings/call-transcripts/2026/10/29/alphabet-googl-q3-2026-earnings-call-transcript/" TargetMode="External"/><Relationship Id="rId178" Type="http://schemas.openxmlformats.org/officeDocument/2006/relationships/hyperlink" Target="https://api.nasdaq.com/api/analyst/GOOGL/earnings-forecast" TargetMode="External"/><Relationship Id="rId179" Type="http://schemas.openxmlformats.org/officeDocument/2006/relationships/hyperlink" Target="https://www.marketscreener.com/quote/stock/ALPHABET-INC-24203373/finances/" TargetMode="External"/><Relationship Id="rId180" Type="http://schemas.openxmlformats.org/officeDocument/2006/relationships/hyperlink" Target="https://twelvedata.com/markets/stocks/GOOGL" TargetMode="External"/><Relationship Id="rId181" Type="http://schemas.openxmlformats.org/officeDocument/2006/relationships/hyperlink" Target="https://www.tradingkey.com/news/transcripts/262249599-tradingkey" TargetMode="External"/><Relationship Id="rId182" Type="http://schemas.openxmlformats.org/officeDocument/2006/relationships/hyperlink" Target="https://finance.yahoo.com/markets/stocks/articles/alphabet-q3-earnings-call-highlights-050416594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279.84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400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250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0.3086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N$6:$N$20,MIN(MAX(IFERROR(MATCH(0.5,Distribution!$C$6:$C$20,-1),1),1),14)))/(INDEX(Distribution!$N$6:$N$20,MIN(MAX(IFERROR(MATCH(0.5,Distribution!$C$6:$C$20,-1),1),1),14)+1)-INDEX(Distribution!$N$6:$N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297.340659924349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Methods!C7</f>
        <v>362.4</v>
      </c>
      <c r="C18" s="13" t="n">
        <f aca="false">Methods!E7</f>
        <v>362</v>
      </c>
    </row>
    <row r="19" customFormat="false" ht="15" hidden="false" customHeight="false" outlineLevel="0" collapsed="false">
      <c r="A19" s="5" t="s">
        <v>30</v>
      </c>
      <c r="B19" s="13" t="n">
        <f aca="false">Methods!C11</f>
        <v>369.8</v>
      </c>
      <c r="C19" s="13" t="n">
        <f aca="false">Methods!E11</f>
        <v>370</v>
      </c>
    </row>
    <row r="20" customFormat="false" ht="15" hidden="false" customHeight="false" outlineLevel="0" collapsed="false">
      <c r="A20" s="5" t="s">
        <v>31</v>
      </c>
      <c r="B20" s="13" t="n">
        <f aca="false">Methods!C15</f>
        <v>345.845</v>
      </c>
      <c r="C20" s="13" t="n">
        <f aca="false">Methods!E15</f>
        <v>346</v>
      </c>
    </row>
    <row r="21" customFormat="false" ht="15" hidden="false" customHeight="false" outlineLevel="0" collapsed="false">
      <c r="A21" s="14" t="s">
        <v>32</v>
      </c>
      <c r="B21" s="15" t="n">
        <f aca="false">AVERAGE(B18:B20)</f>
        <v>359.348333333333</v>
      </c>
      <c r="C21" s="15" t="n">
        <f aca="false">AVERAGE(C18:C20)</f>
        <v>359.333333333333</v>
      </c>
    </row>
    <row r="22" customFormat="false" ht="15" hidden="false" customHeight="false" outlineLevel="0" collapsed="false">
      <c r="A22" s="5" t="s">
        <v>33</v>
      </c>
      <c r="B22" s="16" t="n">
        <f aca="false">MEDIAN(B18:B20)</f>
        <v>362.4</v>
      </c>
      <c r="C22" s="16" t="n">
        <f aca="false">MEDIAN(C18:C20)</f>
        <v>362</v>
      </c>
    </row>
    <row r="23" customFormat="false" ht="415.65" hidden="false" customHeight="false" outlineLevel="0" collapsed="false">
      <c r="A23" s="14" t="s">
        <v>34</v>
      </c>
      <c r="C23" s="17" t="n">
        <v>317.4896</v>
      </c>
      <c r="D23" s="7" t="s">
        <v>35</v>
      </c>
    </row>
    <row r="24" customFormat="false" ht="15" hidden="false" customHeight="false" outlineLevel="0" collapsed="false">
      <c r="A24" s="5" t="s">
        <v>36</v>
      </c>
      <c r="C24" s="18" t="n">
        <f aca="false">C23/Spot-1</f>
        <v>0.134539736992567</v>
      </c>
    </row>
    <row r="26" customFormat="false" ht="15" hidden="false" customHeight="false" outlineLevel="0" collapsed="false">
      <c r="A26" s="3" t="s">
        <v>37</v>
      </c>
      <c r="B26" s="3" t="s">
        <v>38</v>
      </c>
      <c r="C26" s="3" t="s">
        <v>39</v>
      </c>
      <c r="D26" s="3" t="s">
        <v>40</v>
      </c>
    </row>
    <row r="27" customFormat="false" ht="15" hidden="false" customHeight="false" outlineLevel="0" collapsed="false">
      <c r="A27" s="5" t="s">
        <v>41</v>
      </c>
      <c r="B27" s="19" t="n">
        <f aca="false">EXP(INDEX(Distribution!$B$6:$B$20,MIN(MAX(IFERROR(MATCH(0.5,Distribution!$S$6:$S$20,-1),1),1),14))+(LN(MIN(MAX(0.5,0.0001),0.9999)/(1-MIN(MAX(0.5,0.0001),0.9999)))-INDEX(Distribution!$T$6:$T$20,MIN(MAX(IFERROR(MATCH(0.5,Distribution!$S$6:$S$20,-1),1),1),14)))/(INDEX(Distribution!$T$6:$T$20,MIN(MAX(IFERROR(MATCH(0.5,Distribution!$S$6:$S$20,-1),1),1),14)+1)-INDEX(Distribution!$T$6:$T$20,MIN(MAX(IFERROR(MATCH(0.5,Distribution!$S$6:$S$20,-1),1),1),14)))*(INDEX(Distribution!$B$6:$B$20,MIN(MAX(IFERROR(MATCH(0.5,Distribution!$S$6:$S$20,-1),1),1),14)+1)-INDEX(Distribution!$B$6:$B$20,MIN(MAX(IFERROR(MATCH(0.5,Distribution!$S$6:$S$20,-1),1),1),14))))</f>
        <v>317.726761005299</v>
      </c>
      <c r="C27" s="6" t="n">
        <v>305.9226</v>
      </c>
      <c r="D27" s="7" t="s">
        <v>42</v>
      </c>
    </row>
    <row r="28" customFormat="false" ht="15" hidden="false" customHeight="false" outlineLevel="0" collapsed="false">
      <c r="A28" s="5" t="s">
        <v>43</v>
      </c>
      <c r="B28" s="19" t="n">
        <f aca="false">EXP(INDEX(Distribution!$B$6:$B$20,MIN(MAX(IFERROR(MATCH(0.25,Distribution!$S$6:$S$20,-1),1),1),14))+(LN(MIN(MAX(0.25,0.0001),0.9999)/(1-MIN(MAX(0.25,0.0001),0.9999)))-INDEX(Distribution!$T$6:$T$20,MIN(MAX(IFERROR(MATCH(0.25,Distribution!$S$6:$S$20,-1),1),1),14)))/(INDEX(Distribution!$T$6:$T$20,MIN(MAX(IFERROR(MATCH(0.25,Distribution!$S$6:$S$20,-1),1),1),14)+1)-INDEX(Distribution!$T$6:$T$20,MIN(MAX(IFERROR(MATCH(0.25,Distribution!$S$6:$S$20,-1),1),1),14)))*(INDEX(Distribution!$B$6:$B$20,MIN(MAX(IFERROR(MATCH(0.25,Distribution!$S$6:$S$20,-1),1),1),14)+1)-INDEX(Distribution!$B$6:$B$20,MIN(MAX(IFERROR(MATCH(0.25,Distribution!$S$6:$S$20,-1),1),1),14))))</f>
        <v>397.930890726312</v>
      </c>
      <c r="C28" s="6" t="n">
        <v>305.81</v>
      </c>
      <c r="D28" s="7" t="s">
        <v>44</v>
      </c>
    </row>
    <row r="29" customFormat="false" ht="15" hidden="false" customHeight="false" outlineLevel="0" collapsed="false">
      <c r="A29" s="5" t="s">
        <v>45</v>
      </c>
      <c r="B29" s="19" t="n">
        <f aca="false">EXP(INDEX(Distribution!$B$6:$B$20,MIN(MAX(IFERROR(MATCH(0.85,Distribution!$S$6:$S$20,-1),1),1),14))+(LN(MIN(MAX(0.85,0.0001),0.9999)/(1-MIN(MAX(0.85,0.0001),0.9999)))-INDEX(Distribution!$T$6:$T$20,MIN(MAX(IFERROR(MATCH(0.85,Distribution!$S$6:$S$20,-1),1),1),14)))/(INDEX(Distribution!$T$6:$T$20,MIN(MAX(IFERROR(MATCH(0.85,Distribution!$S$6:$S$20,-1),1),1),14)+1)-INDEX(Distribution!$T$6:$T$20,MIN(MAX(IFERROR(MATCH(0.85,Distribution!$S$6:$S$20,-1),1),1),14)))*(INDEX(Distribution!$B$6:$B$20,MIN(MAX(IFERROR(MATCH(0.85,Distribution!$S$6:$S$20,-1),1),1),14)+1)-INDEX(Distribution!$B$6:$B$20,MIN(MAX(IFERROR(MATCH(0.85,Distribution!$S$6:$S$20,-1),1),1),14))))</f>
        <v>220.187416960059</v>
      </c>
      <c r="C29" s="6" t="n">
        <v>215.5451</v>
      </c>
      <c r="D29" s="7" t="s">
        <v>46</v>
      </c>
    </row>
    <row r="30" customFormat="false" ht="15" hidden="false" customHeight="false" outlineLevel="0" collapsed="false">
      <c r="A30" s="5" t="s">
        <v>47</v>
      </c>
      <c r="B30" s="16" t="n">
        <f aca="false">Spot*EXP(-2*IV30*SQRT(21/252))</f>
        <v>234.170086850028</v>
      </c>
      <c r="D30" s="7" t="s">
        <v>48</v>
      </c>
    </row>
    <row r="31" customFormat="false" ht="23.85" hidden="false" customHeight="false" outlineLevel="0" collapsed="false">
      <c r="A31" s="14" t="s">
        <v>49</v>
      </c>
      <c r="B31" s="20" t="n">
        <f aca="false">MIN(IF(AND(Thesis_Break&gt;0,Thesis_Break&lt;Spot),MAX(B29,Thesis_Break),B29),B30)</f>
        <v>234.170086850028</v>
      </c>
      <c r="C31" s="21" t="n">
        <v>234.1701</v>
      </c>
      <c r="D31" s="7" t="s">
        <v>50</v>
      </c>
    </row>
    <row r="32" customFormat="false" ht="15" hidden="false" customHeight="false" outlineLevel="0" collapsed="false">
      <c r="A32" s="5" t="s">
        <v>51</v>
      </c>
      <c r="B32" s="18" t="n">
        <f aca="false">B27/Spot-1</f>
        <v>0.135387224861702</v>
      </c>
      <c r="C32" s="18" t="n">
        <f aca="false">C27/Spot-1</f>
        <v>0.0932054030874787</v>
      </c>
    </row>
    <row r="33" customFormat="false" ht="15" hidden="false" customHeight="false" outlineLevel="0" collapsed="false">
      <c r="A33" s="5" t="s">
        <v>52</v>
      </c>
      <c r="C33" s="12" t="n">
        <v>0.6038</v>
      </c>
    </row>
    <row r="34" customFormat="false" ht="23.85" hidden="false" customHeight="false" outlineLevel="0" collapsed="false">
      <c r="A34" s="5" t="s">
        <v>53</v>
      </c>
      <c r="C34" s="6" t="n">
        <v>314.8643</v>
      </c>
      <c r="D34" s="7" t="s">
        <v>54</v>
      </c>
    </row>
    <row r="36" customFormat="false" ht="15" hidden="false" customHeight="false" outlineLevel="0" collapsed="false">
      <c r="A36" s="3" t="s">
        <v>55</v>
      </c>
      <c r="B36" s="4"/>
      <c r="C36" s="4"/>
      <c r="D36" s="4"/>
    </row>
    <row r="37" customFormat="false" ht="15" hidden="false" customHeight="false" outlineLevel="0" collapsed="false">
      <c r="A37" s="22" t="s">
        <v>56</v>
      </c>
      <c r="D37" s="2" t="s">
        <v>57</v>
      </c>
    </row>
    <row r="38" customFormat="false" ht="15" hidden="false" customHeight="false" outlineLevel="0" collapsed="false">
      <c r="A38" s="22" t="s">
        <v>58</v>
      </c>
      <c r="D38" s="2" t="s">
        <v>59</v>
      </c>
    </row>
    <row r="39" customFormat="false" ht="15" hidden="false" customHeight="false" outlineLevel="0" collapsed="false">
      <c r="A39" s="22" t="s">
        <v>60</v>
      </c>
      <c r="D39" s="2" t="s">
        <v>61</v>
      </c>
    </row>
    <row r="40" customFormat="false" ht="15" hidden="false" customHeight="false" outlineLevel="0" collapsed="false">
      <c r="A40" s="22" t="s">
        <v>62</v>
      </c>
      <c r="D40" s="2" t="s">
        <v>63</v>
      </c>
    </row>
    <row r="41" customFormat="false" ht="15" hidden="false" customHeight="false" outlineLevel="0" collapsed="false">
      <c r="A41" s="22" t="s">
        <v>64</v>
      </c>
      <c r="D41" s="2" t="s">
        <v>65</v>
      </c>
    </row>
    <row r="42" customFormat="false" ht="15" hidden="false" customHeight="false" outlineLevel="0" collapsed="false">
      <c r="A42" s="22" t="s">
        <v>66</v>
      </c>
      <c r="D42" s="2" t="s">
        <v>67</v>
      </c>
    </row>
    <row r="43" customFormat="false" ht="15" hidden="false" customHeight="false" outlineLevel="0" collapsed="false">
      <c r="A43" s="22" t="s">
        <v>68</v>
      </c>
      <c r="D43" s="2" t="s">
        <v>69</v>
      </c>
    </row>
  </sheetData>
  <hyperlinks>
    <hyperlink ref="A37" location="'Assumptions'!A1" display="Assumptions"/>
    <hyperlink ref="A38" location="'Methods'!A1" display="Methods"/>
    <hyperlink ref="A39" location="'Scenarios'!A1" display="Scenarios"/>
    <hyperlink ref="A40" location="'Distribution'!A1" display="Distribution"/>
    <hyperlink ref="A41" location="'Reasoning'!A1" display="Reasoning"/>
    <hyperlink ref="A42" location="'Supervisor'!A1" display="Supervisor"/>
    <hyperlink ref="A43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23" t="s">
        <v>72</v>
      </c>
      <c r="B4" s="23" t="s">
        <v>73</v>
      </c>
      <c r="C4" s="23" t="s">
        <v>3</v>
      </c>
      <c r="D4" s="23" t="s">
        <v>64</v>
      </c>
      <c r="E4" s="23" t="s">
        <v>74</v>
      </c>
      <c r="F4" s="23" t="s">
        <v>75</v>
      </c>
      <c r="G4" s="23" t="s">
        <v>76</v>
      </c>
      <c r="H4" s="23" t="s">
        <v>77</v>
      </c>
      <c r="I4" s="23" t="s">
        <v>78</v>
      </c>
      <c r="J4" s="23" t="s">
        <v>79</v>
      </c>
      <c r="K4" s="23" t="s">
        <v>80</v>
      </c>
    </row>
    <row r="5" customFormat="false" ht="15" hidden="false" customHeight="false" outlineLevel="0" collapsed="false">
      <c r="A5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6" min="4" style="0" width="10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6"/>
    <col collapsed="false" customWidth="true" hidden="false" outlineLevel="0" max="19" min="17" style="0" width="11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5" customFormat="false" ht="23.85" hidden="false" customHeight="false" outlineLevel="0" collapsed="false">
      <c r="A5" s="23" t="s">
        <v>84</v>
      </c>
      <c r="B5" s="23" t="s">
        <v>85</v>
      </c>
      <c r="C5" s="23" t="s">
        <v>86</v>
      </c>
      <c r="D5" s="23" t="s">
        <v>29</v>
      </c>
      <c r="E5" s="23" t="s">
        <v>30</v>
      </c>
      <c r="F5" s="23" t="s">
        <v>31</v>
      </c>
      <c r="G5" s="23" t="s">
        <v>87</v>
      </c>
      <c r="H5" s="23" t="s">
        <v>66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91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</row>
    <row r="6" customFormat="false" ht="15" hidden="false" customHeight="false" outlineLevel="0" collapsed="false">
      <c r="A6" s="6" t="n">
        <v>69.96</v>
      </c>
      <c r="B6" s="24" t="n">
        <f aca="false">LN(A6)</f>
        <v>4.2479236501504</v>
      </c>
      <c r="C6" s="25" t="n">
        <v>1</v>
      </c>
      <c r="D6" s="25" t="n">
        <v>0.9983</v>
      </c>
      <c r="E6" s="25" t="n">
        <v>0.9983</v>
      </c>
      <c r="F6" s="25" t="n">
        <v>0.9983</v>
      </c>
      <c r="G6" s="24" t="n">
        <f aca="false">AVERAGE(D6:F6)</f>
        <v>0.9983</v>
      </c>
      <c r="H6" s="25" t="n">
        <v>0.9981</v>
      </c>
      <c r="I6" s="24" t="n">
        <f aca="false">IF(AND(Sup_Used=1,ISNUMBER(H6)),H6,G6)</f>
        <v>0.9983</v>
      </c>
      <c r="J6" s="24" t="n">
        <f aca="false">LN(MIN(MAX(I6,0.0001),0.9999)/(1-MIN(MAX(I6,0.0001),0.9999)))</f>
        <v>6.37542558128019</v>
      </c>
      <c r="K6" s="16" t="n">
        <f aca="false">A6*EXP(-Platt_Shift)</f>
        <v>69.96</v>
      </c>
      <c r="L6" s="26" t="n">
        <f aca="false">MIN(MAX(IFERROR(MATCH(K6,Distribution!$A$6:$A$20,1),1),1),14)</f>
        <v>1</v>
      </c>
      <c r="M6" s="24" t="n">
        <f aca="false">1/(1+EXP(-(INDEX(Distribution!$J$6:$J$20,L6)+(LN(K6)-INDEX(Distribution!$B$6:$B$20,L6))/(INDEX(Distribution!$B$6:$B$20,L6+1)-INDEX(Distribution!$B$6:$B$20,L6))*(INDEX(Distribution!$J$6:$J$20,L6+1)-INDEX(Distribution!$J$6:$J$20,L6)))))</f>
        <v>0.9983</v>
      </c>
      <c r="N6" s="24" t="n">
        <f aca="false">LN(MIN(MAX(C6,0.0001),0.9999)/(1-MIN(MAX(C6,0.0001),0.9999)))</f>
        <v>9.21024036697596</v>
      </c>
      <c r="O6" s="16" t="n">
        <f aca="false">IF(Analyst_Median&gt;0,A6*Market_Median/Analyst_Median,A6)</f>
        <v>52.0048814207686</v>
      </c>
      <c r="P6" s="26" t="n">
        <f aca="false">MIN(MAX(IFERROR(MATCH(O6,Distribution!$A$6:$A$20,1),1),1),14)</f>
        <v>1</v>
      </c>
      <c r="Q6" s="24" t="n">
        <f aca="false">1/(1+EXP(-(INDEX(Distribution!$N$6:$N$20,P6)+(LN(O6)-INDEX(Distribution!$B$6:$B$20,P6))/(INDEX(Distribution!$B$6:$B$20,P6+1)-INDEX(Distribution!$B$6:$B$20,P6))*(INDEX(Distribution!$N$6:$N$20,P6+1)-INDEX(Distribution!$N$6:$N$20,P6)))))</f>
        <v>0.999986556293998</v>
      </c>
      <c r="R6" s="24" t="n">
        <f aca="false">W_Mkt*C6+W_Agents*M6</f>
        <v>0.999439</v>
      </c>
      <c r="S6" s="27" t="n">
        <f aca="false">(1-W_Analyst)*R6+W_Analyst*Q6</f>
        <v>0.999439</v>
      </c>
      <c r="T6" s="24" t="n">
        <f aca="false">LN(MIN(MAX(S6,0.0001),0.9999)/(1-MIN(MAX(S6,0.0001),0.9999)))</f>
        <v>7.48522849502214</v>
      </c>
      <c r="U6" s="25" t="n">
        <v>0.9999</v>
      </c>
    </row>
    <row r="7" customFormat="false" ht="15" hidden="false" customHeight="false" outlineLevel="0" collapsed="false">
      <c r="A7" s="6" t="n">
        <v>111.94</v>
      </c>
      <c r="B7" s="24" t="n">
        <f aca="false">LN(A7)</f>
        <v>4.71796301346321</v>
      </c>
      <c r="C7" s="25" t="n">
        <v>0.9976</v>
      </c>
      <c r="D7" s="25" t="n">
        <v>0.9975</v>
      </c>
      <c r="E7" s="25" t="n">
        <v>0.9943</v>
      </c>
      <c r="F7" s="25" t="n">
        <v>0.9943</v>
      </c>
      <c r="G7" s="24" t="n">
        <f aca="false">AVERAGE(D7:F7)</f>
        <v>0.995366666666667</v>
      </c>
      <c r="H7" s="25" t="n">
        <v>0.9949</v>
      </c>
      <c r="I7" s="24" t="n">
        <f aca="false">IF(AND(Sup_Used=1,ISNUMBER(H7)),H7,G7)</f>
        <v>0.995366666666667</v>
      </c>
      <c r="J7" s="24" t="n">
        <f aca="false">LN(MIN(MAX(I7,0.0001),0.9999)/(1-MIN(MAX(I7,0.0001),0.9999)))</f>
        <v>5.36983462701993</v>
      </c>
      <c r="K7" s="16" t="n">
        <f aca="false">A7*EXP(-Platt_Shift)</f>
        <v>111.94</v>
      </c>
      <c r="L7" s="26" t="n">
        <f aca="false">MIN(MAX(IFERROR(MATCH(K7,Distribution!$A$6:$A$20,1),1),1),14)</f>
        <v>2</v>
      </c>
      <c r="M7" s="24" t="n">
        <f aca="false">1/(1+EXP(-(INDEX(Distribution!$J$6:$J$20,L7)+(LN(K7)-INDEX(Distribution!$B$6:$B$20,L7))/(INDEX(Distribution!$B$6:$B$20,L7+1)-INDEX(Distribution!$B$6:$B$20,L7))*(INDEX(Distribution!$J$6:$J$20,L7+1)-INDEX(Distribution!$J$6:$J$20,L7)))))</f>
        <v>0.995366666666667</v>
      </c>
      <c r="N7" s="24" t="n">
        <f aca="false">LN(MIN(MAX(C7,0.0001),0.9999)/(1-MIN(MAX(C7,0.0001),0.9999)))</f>
        <v>6.02988365701194</v>
      </c>
      <c r="O7" s="16" t="n">
        <f aca="false">IF(Analyst_Median&gt;0,A7*Market_Median/Analyst_Median,A7)</f>
        <v>83.210783679829</v>
      </c>
      <c r="P7" s="26" t="n">
        <f aca="false">MIN(MAX(IFERROR(MATCH(O7,Distribution!$A$6:$A$20,1),1),1),14)</f>
        <v>1</v>
      </c>
      <c r="Q7" s="24" t="n">
        <f aca="false">1/(1+EXP(-(INDEX(Distribution!$N$6:$N$20,P7)+(LN(O7)-INDEX(Distribution!$B$6:$B$20,P7))/(INDEX(Distribution!$B$6:$B$20,P7+1)-INDEX(Distribution!$B$6:$B$20,P7))*(INDEX(Distribution!$N$6:$N$20,P7+1)-INDEX(Distribution!$N$6:$N$20,P7)))))</f>
        <v>0.999676707382343</v>
      </c>
      <c r="R7" s="24" t="n">
        <f aca="false">W_Mkt*C7+W_Agents*M7</f>
        <v>0.996863</v>
      </c>
      <c r="S7" s="27" t="n">
        <f aca="false">(1-W_Analyst)*R7+W_Analyst*Q7</f>
        <v>0.996863</v>
      </c>
      <c r="T7" s="24" t="n">
        <f aca="false">LN(MIN(MAX(S7,0.0001),0.9999)/(1-MIN(MAX(S7,0.0001),0.9999)))</f>
        <v>5.76134641907468</v>
      </c>
      <c r="U7" s="25" t="n">
        <v>0.9982</v>
      </c>
    </row>
    <row r="8" customFormat="false" ht="15" hidden="false" customHeight="false" outlineLevel="0" collapsed="false">
      <c r="A8" s="6" t="n">
        <v>139.92</v>
      </c>
      <c r="B8" s="24" t="n">
        <f aca="false">LN(A8)</f>
        <v>4.94107083071035</v>
      </c>
      <c r="C8" s="25" t="n">
        <v>0.9851</v>
      </c>
      <c r="D8" s="25" t="n">
        <v>0.9969</v>
      </c>
      <c r="E8" s="25" t="n">
        <v>0.9898</v>
      </c>
      <c r="F8" s="25" t="n">
        <v>0.9898</v>
      </c>
      <c r="G8" s="24" t="n">
        <f aca="false">AVERAGE(D8:F8)</f>
        <v>0.992166666666667</v>
      </c>
      <c r="H8" s="25" t="n">
        <v>0.9918</v>
      </c>
      <c r="I8" s="24" t="n">
        <f aca="false">IF(AND(Sup_Used=1,ISNUMBER(H8)),H8,G8)</f>
        <v>0.992166666666667</v>
      </c>
      <c r="J8" s="24" t="n">
        <f aca="false">LN(MIN(MAX(I8,0.0001),0.9999)/(1-MIN(MAX(I8,0.0001),0.9999)))</f>
        <v>4.84150297144334</v>
      </c>
      <c r="K8" s="16" t="n">
        <f aca="false">A8*EXP(-Platt_Shift)</f>
        <v>139.92</v>
      </c>
      <c r="L8" s="26" t="n">
        <f aca="false">MIN(MAX(IFERROR(MATCH(K8,Distribution!$A$6:$A$20,1),1),1),14)</f>
        <v>3</v>
      </c>
      <c r="M8" s="24" t="n">
        <f aca="false">1/(1+EXP(-(INDEX(Distribution!$J$6:$J$20,L8)+(LN(K8)-INDEX(Distribution!$B$6:$B$20,L8))/(INDEX(Distribution!$B$6:$B$20,L8+1)-INDEX(Distribution!$B$6:$B$20,L8))*(INDEX(Distribution!$J$6:$J$20,L8+1)-INDEX(Distribution!$J$6:$J$20,L8)))))</f>
        <v>0.992166666666667</v>
      </c>
      <c r="N8" s="24" t="n">
        <f aca="false">LN(MIN(MAX(C8,0.0001),0.9999)/(1-MIN(MAX(C8,0.0001),0.9999)))</f>
        <v>4.19138194591022</v>
      </c>
      <c r="O8" s="16" t="n">
        <f aca="false">IF(Analyst_Median&gt;0,A8*Market_Median/Analyst_Median,A8)</f>
        <v>104.009762841537</v>
      </c>
      <c r="P8" s="26" t="n">
        <f aca="false">MIN(MAX(IFERROR(MATCH(O8,Distribution!$A$6:$A$20,1),1),1),14)</f>
        <v>1</v>
      </c>
      <c r="Q8" s="24" t="n">
        <f aca="false">1/(1+EXP(-(INDEX(Distribution!$N$6:$N$20,P8)+(LN(O8)-INDEX(Distribution!$B$6:$B$20,P8))/(INDEX(Distribution!$B$6:$B$20,P8+1)-INDEX(Distribution!$B$6:$B$20,P8))*(INDEX(Distribution!$N$6:$N$20,P8+1)-INDEX(Distribution!$N$6:$N$20,P8)))))</f>
        <v>0.998538819655869</v>
      </c>
      <c r="R8" s="24" t="n">
        <f aca="false">W_Mkt*C8+W_Agents*M8</f>
        <v>0.987432</v>
      </c>
      <c r="S8" s="27" t="n">
        <f aca="false">(1-W_Analyst)*R8+W_Analyst*Q8</f>
        <v>0.987432</v>
      </c>
      <c r="T8" s="24" t="n">
        <f aca="false">LN(MIN(MAX(S8,0.0001),0.9999)/(1-MIN(MAX(S8,0.0001),0.9999)))</f>
        <v>4.36395373269146</v>
      </c>
      <c r="U8" s="25" t="n">
        <v>0.989</v>
      </c>
    </row>
    <row r="9" customFormat="false" ht="15" hidden="false" customHeight="false" outlineLevel="0" collapsed="false">
      <c r="A9" s="6" t="n">
        <v>167.9</v>
      </c>
      <c r="B9" s="24" t="n">
        <f aca="false">LN(A9)</f>
        <v>5.1233685640835</v>
      </c>
      <c r="C9" s="25" t="n">
        <v>0.9503</v>
      </c>
      <c r="D9" s="25" t="n">
        <v>0.9904</v>
      </c>
      <c r="E9" s="25" t="n">
        <v>0.9806</v>
      </c>
      <c r="F9" s="25" t="n">
        <v>0.9821</v>
      </c>
      <c r="G9" s="24" t="n">
        <f aca="false">AVERAGE(D9:F9)</f>
        <v>0.984366666666667</v>
      </c>
      <c r="H9" s="25" t="n">
        <v>0.9842</v>
      </c>
      <c r="I9" s="24" t="n">
        <f aca="false">IF(AND(Sup_Used=1,ISNUMBER(H9)),H9,G9)</f>
        <v>0.984366666666667</v>
      </c>
      <c r="J9" s="24" t="n">
        <f aca="false">LN(MIN(MAX(I9,0.0001),0.9999)/(1-MIN(MAX(I9,0.0001),0.9999)))</f>
        <v>4.14259306958558</v>
      </c>
      <c r="K9" s="16" t="n">
        <f aca="false">A9*EXP(-Platt_Shift)</f>
        <v>167.9</v>
      </c>
      <c r="L9" s="26" t="n">
        <f aca="false">MIN(MAX(IFERROR(MATCH(K9,Distribution!$A$6:$A$20,1),1),1),14)</f>
        <v>4</v>
      </c>
      <c r="M9" s="24" t="n">
        <f aca="false">1/(1+EXP(-(INDEX(Distribution!$J$6:$J$20,L9)+(LN(K9)-INDEX(Distribution!$B$6:$B$20,L9))/(INDEX(Distribution!$B$6:$B$20,L9+1)-INDEX(Distribution!$B$6:$B$20,L9))*(INDEX(Distribution!$J$6:$J$20,L9+1)-INDEX(Distribution!$J$6:$J$20,L9)))))</f>
        <v>0.984366666666667</v>
      </c>
      <c r="N9" s="24" t="n">
        <f aca="false">LN(MIN(MAX(C9,0.0001),0.9999)/(1-MIN(MAX(C9,0.0001),0.9999)))</f>
        <v>2.95077279111469</v>
      </c>
      <c r="O9" s="16" t="n">
        <f aca="false">IF(Analyst_Median&gt;0,A9*Market_Median/Analyst_Median,A9)</f>
        <v>124.808742003245</v>
      </c>
      <c r="P9" s="26" t="n">
        <f aca="false">MIN(MAX(IFERROR(MATCH(O9,Distribution!$A$6:$A$20,1),1),1),14)</f>
        <v>2</v>
      </c>
      <c r="Q9" s="24" t="n">
        <f aca="false">1/(1+EXP(-(INDEX(Distribution!$N$6:$N$20,P9)+(LN(O9)-INDEX(Distribution!$B$6:$B$20,P9))/(INDEX(Distribution!$B$6:$B$20,P9+1)-INDEX(Distribution!$B$6:$B$20,P9))*(INDEX(Distribution!$N$6:$N$20,P9+1)-INDEX(Distribution!$N$6:$N$20,P9)))))</f>
        <v>0.994136720007818</v>
      </c>
      <c r="R9" s="24" t="n">
        <f aca="false">W_Mkt*C9+W_Agents*M9</f>
        <v>0.961542</v>
      </c>
      <c r="S9" s="27" t="n">
        <f aca="false">(1-W_Analyst)*R9+W_Analyst*Q9</f>
        <v>0.961542</v>
      </c>
      <c r="T9" s="24" t="n">
        <f aca="false">LN(MIN(MAX(S9,0.0001),0.9999)/(1-MIN(MAX(S9,0.0001),0.9999)))</f>
        <v>3.21897150909369</v>
      </c>
      <c r="U9" s="25" t="n">
        <v>0.961</v>
      </c>
    </row>
    <row r="10" customFormat="false" ht="15" hidden="false" customHeight="false" outlineLevel="0" collapsed="false">
      <c r="A10" s="6" t="n">
        <v>195.89</v>
      </c>
      <c r="B10" s="24" t="n">
        <f aca="false">LN(A10)</f>
        <v>5.27755327719531</v>
      </c>
      <c r="C10" s="25" t="n">
        <v>0.8855</v>
      </c>
      <c r="D10" s="25" t="n">
        <v>0.9738</v>
      </c>
      <c r="E10" s="25" t="n">
        <v>0.9615</v>
      </c>
      <c r="F10" s="25" t="n">
        <v>0.9637</v>
      </c>
      <c r="G10" s="24" t="n">
        <f aca="false">AVERAGE(D10:F10)</f>
        <v>0.966333333333333</v>
      </c>
      <c r="H10" s="25" t="n">
        <v>0.9664</v>
      </c>
      <c r="I10" s="24" t="n">
        <f aca="false">IF(AND(Sup_Used=1,ISNUMBER(H10)),H10,G10)</f>
        <v>0.966333333333333</v>
      </c>
      <c r="J10" s="24" t="n">
        <f aca="false">LN(MIN(MAX(I10,0.0001),0.9999)/(1-MIN(MAX(I10,0.0001),0.9999)))</f>
        <v>3.3570006120804</v>
      </c>
      <c r="K10" s="16" t="n">
        <f aca="false">A10*EXP(-Platt_Shift)</f>
        <v>195.89</v>
      </c>
      <c r="L10" s="26" t="n">
        <f aca="false">MIN(MAX(IFERROR(MATCH(K10,Distribution!$A$6:$A$20,1),1),1),14)</f>
        <v>5</v>
      </c>
      <c r="M10" s="24" t="n">
        <f aca="false">1/(1+EXP(-(INDEX(Distribution!$J$6:$J$20,L10)+(LN(K10)-INDEX(Distribution!$B$6:$B$20,L10))/(INDEX(Distribution!$B$6:$B$20,L10+1)-INDEX(Distribution!$B$6:$B$20,L10))*(INDEX(Distribution!$J$6:$J$20,L10+1)-INDEX(Distribution!$J$6:$J$20,L10)))))</f>
        <v>0.966333333333334</v>
      </c>
      <c r="N10" s="24" t="n">
        <f aca="false">LN(MIN(MAX(C10,0.0001),0.9999)/(1-MIN(MAX(C10,0.0001),0.9999)))</f>
        <v>2.04557763422859</v>
      </c>
      <c r="O10" s="16" t="n">
        <f aca="false">IF(Analyst_Median&gt;0,A10*Market_Median/Analyst_Median,A10)</f>
        <v>145.615154681452</v>
      </c>
      <c r="P10" s="26" t="n">
        <f aca="false">MIN(MAX(IFERROR(MATCH(O10,Distribution!$A$6:$A$20,1),1),1),14)</f>
        <v>3</v>
      </c>
      <c r="Q10" s="24" t="n">
        <f aca="false">1/(1+EXP(-(INDEX(Distribution!$N$6:$N$20,P10)+(LN(O10)-INDEX(Distribution!$B$6:$B$20,P10))/(INDEX(Distribution!$B$6:$B$20,P10+1)-INDEX(Distribution!$B$6:$B$20,P10))*(INDEX(Distribution!$N$6:$N$20,P10+1)-INDEX(Distribution!$N$6:$N$20,P10)))))</f>
        <v>0.980542455531088</v>
      </c>
      <c r="R10" s="24" t="n">
        <f aca="false">W_Mkt*C10+W_Agents*M10</f>
        <v>0.912175</v>
      </c>
      <c r="S10" s="27" t="n">
        <f aca="false">(1-W_Analyst)*R10+W_Analyst*Q10</f>
        <v>0.912175</v>
      </c>
      <c r="T10" s="24" t="n">
        <f aca="false">LN(MIN(MAX(S10,0.0001),0.9999)/(1-MIN(MAX(S10,0.0001),0.9999)))</f>
        <v>2.3404856594796</v>
      </c>
      <c r="U10" s="25" t="n">
        <v>0.9054</v>
      </c>
    </row>
    <row r="11" customFormat="false" ht="15" hidden="false" customHeight="false" outlineLevel="0" collapsed="false">
      <c r="A11" s="6" t="n">
        <v>223.87</v>
      </c>
      <c r="B11" s="24" t="n">
        <f aca="false">LN(A11)</f>
        <v>5.41106552623979</v>
      </c>
      <c r="C11" s="25" t="n">
        <v>0.7934</v>
      </c>
      <c r="D11" s="25" t="n">
        <v>0.9397</v>
      </c>
      <c r="E11" s="25" t="n">
        <v>0.9245</v>
      </c>
      <c r="F11" s="25" t="n">
        <v>0.9279</v>
      </c>
      <c r="G11" s="24" t="n">
        <f aca="false">AVERAGE(D11:F11)</f>
        <v>0.9307</v>
      </c>
      <c r="H11" s="25" t="n">
        <v>0.9333</v>
      </c>
      <c r="I11" s="24" t="n">
        <f aca="false">IF(AND(Sup_Used=1,ISNUMBER(H11)),H11,G11)</f>
        <v>0.9307</v>
      </c>
      <c r="J11" s="24" t="n">
        <f aca="false">LN(MIN(MAX(I11,0.0001),0.9999)/(1-MIN(MAX(I11,0.0001),0.9999)))</f>
        <v>2.59749208499581</v>
      </c>
      <c r="K11" s="16" t="n">
        <f aca="false">A11*EXP(-Platt_Shift)</f>
        <v>223.87</v>
      </c>
      <c r="L11" s="26" t="n">
        <f aca="false">MIN(MAX(IFERROR(MATCH(K11,Distribution!$A$6:$A$20,1),1),1),14)</f>
        <v>6</v>
      </c>
      <c r="M11" s="24" t="n">
        <f aca="false">1/(1+EXP(-(INDEX(Distribution!$J$6:$J$20,L11)+(LN(K11)-INDEX(Distribution!$B$6:$B$20,L11))/(INDEX(Distribution!$B$6:$B$20,L11+1)-INDEX(Distribution!$B$6:$B$20,L11))*(INDEX(Distribution!$J$6:$J$20,L11+1)-INDEX(Distribution!$J$6:$J$20,L11)))))</f>
        <v>0.9307</v>
      </c>
      <c r="N11" s="24" t="n">
        <f aca="false">LN(MIN(MAX(C11,0.0001),0.9999)/(1-MIN(MAX(C11,0.0001),0.9999)))</f>
        <v>1.34554295139469</v>
      </c>
      <c r="O11" s="16" t="n">
        <f aca="false">IF(Analyst_Median&gt;0,A11*Market_Median/Analyst_Median,A11)</f>
        <v>166.41413384316</v>
      </c>
      <c r="P11" s="26" t="n">
        <f aca="false">MIN(MAX(IFERROR(MATCH(O11,Distribution!$A$6:$A$20,1),1),1),14)</f>
        <v>3</v>
      </c>
      <c r="Q11" s="24" t="n">
        <f aca="false">1/(1+EXP(-(INDEX(Distribution!$N$6:$N$20,P11)+(LN(O11)-INDEX(Distribution!$B$6:$B$20,P11))/(INDEX(Distribution!$B$6:$B$20,P11+1)-INDEX(Distribution!$B$6:$B$20,P11))*(INDEX(Distribution!$N$6:$N$20,P11+1)-INDEX(Distribution!$N$6:$N$20,P11)))))</f>
        <v>0.953080530385951</v>
      </c>
      <c r="R11" s="24" t="n">
        <f aca="false">W_Mkt*C11+W_Agents*M11</f>
        <v>0.838709</v>
      </c>
      <c r="S11" s="27" t="n">
        <f aca="false">(1-W_Analyst)*R11+W_Analyst*Q11</f>
        <v>0.838709</v>
      </c>
      <c r="T11" s="24" t="n">
        <f aca="false">LN(MIN(MAX(S11,0.0001),0.9999)/(1-MIN(MAX(S11,0.0001),0.9999)))</f>
        <v>1.64865361790357</v>
      </c>
      <c r="U11" s="25" t="n">
        <v>0.8215</v>
      </c>
    </row>
    <row r="12" customFormat="false" ht="15" hidden="false" customHeight="false" outlineLevel="0" collapsed="false">
      <c r="A12" s="6" t="n">
        <v>251.86</v>
      </c>
      <c r="B12" s="24" t="n">
        <f aca="false">LN(A12)</f>
        <v>5.5288733775777</v>
      </c>
      <c r="C12" s="25" t="n">
        <v>0.6839</v>
      </c>
      <c r="D12" s="25" t="n">
        <v>0.883</v>
      </c>
      <c r="E12" s="25" t="n">
        <v>0.8633</v>
      </c>
      <c r="F12" s="25" t="n">
        <v>0.8684</v>
      </c>
      <c r="G12" s="24" t="n">
        <f aca="false">AVERAGE(D12:F12)</f>
        <v>0.871566666666667</v>
      </c>
      <c r="H12" s="25" t="n">
        <v>0.8806</v>
      </c>
      <c r="I12" s="24" t="n">
        <f aca="false">IF(AND(Sup_Used=1,ISNUMBER(H12)),H12,G12)</f>
        <v>0.871566666666667</v>
      </c>
      <c r="J12" s="24" t="n">
        <f aca="false">LN(MIN(MAX(I12,0.0001),0.9999)/(1-MIN(MAX(I12,0.0001),0.9999)))</f>
        <v>1.91488239553241</v>
      </c>
      <c r="K12" s="16" t="n">
        <f aca="false">A12*EXP(-Platt_Shift)</f>
        <v>251.86</v>
      </c>
      <c r="L12" s="26" t="n">
        <f aca="false">MIN(MAX(IFERROR(MATCH(K12,Distribution!$A$6:$A$20,1),1),1),14)</f>
        <v>7</v>
      </c>
      <c r="M12" s="24" t="n">
        <f aca="false">1/(1+EXP(-(INDEX(Distribution!$J$6:$J$20,L12)+(LN(K12)-INDEX(Distribution!$B$6:$B$20,L12))/(INDEX(Distribution!$B$6:$B$20,L12+1)-INDEX(Distribution!$B$6:$B$20,L12))*(INDEX(Distribution!$J$6:$J$20,L12+1)-INDEX(Distribution!$J$6:$J$20,L12)))))</f>
        <v>0.871566666666667</v>
      </c>
      <c r="N12" s="24" t="n">
        <f aca="false">LN(MIN(MAX(C12,0.0001),0.9999)/(1-MIN(MAX(C12,0.0001),0.9999)))</f>
        <v>0.771753088882478</v>
      </c>
      <c r="O12" s="16" t="n">
        <f aca="false">IF(Analyst_Median&gt;0,A12*Market_Median/Analyst_Median,A12)</f>
        <v>187.220546521366</v>
      </c>
      <c r="P12" s="26" t="n">
        <f aca="false">MIN(MAX(IFERROR(MATCH(O12,Distribution!$A$6:$A$20,1),1),1),14)</f>
        <v>4</v>
      </c>
      <c r="Q12" s="24" t="n">
        <f aca="false">1/(1+EXP(-(INDEX(Distribution!$N$6:$N$20,P12)+(LN(O12)-INDEX(Distribution!$B$6:$B$20,P12))/(INDEX(Distribution!$B$6:$B$20,P12+1)-INDEX(Distribution!$B$6:$B$20,P12))*(INDEX(Distribution!$N$6:$N$20,P12+1)-INDEX(Distribution!$N$6:$N$20,P12)))))</f>
        <v>0.909810822920191</v>
      </c>
      <c r="R12" s="24" t="n">
        <f aca="false">W_Mkt*C12+W_Agents*M12</f>
        <v>0.74583</v>
      </c>
      <c r="S12" s="27" t="n">
        <f aca="false">(1-W_Analyst)*R12+W_Analyst*Q12</f>
        <v>0.74583</v>
      </c>
      <c r="T12" s="24" t="n">
        <f aca="false">LN(MIN(MAX(S12,0.0001),0.9999)/(1-MIN(MAX(S12,0.0001),0.9999)))</f>
        <v>1.07649435771561</v>
      </c>
      <c r="U12" s="25" t="n">
        <v>0.7171</v>
      </c>
    </row>
    <row r="13" customFormat="false" ht="15" hidden="false" customHeight="false" outlineLevel="0" collapsed="false">
      <c r="A13" s="6" t="n">
        <v>279.84</v>
      </c>
      <c r="B13" s="24" t="n">
        <f aca="false">LN(A13)</f>
        <v>5.63421801127029</v>
      </c>
      <c r="C13" s="25" t="n">
        <v>0.5694</v>
      </c>
      <c r="D13" s="25" t="n">
        <v>0.8032</v>
      </c>
      <c r="E13" s="25" t="n">
        <v>0.7846</v>
      </c>
      <c r="F13" s="25" t="n">
        <v>0.7836</v>
      </c>
      <c r="G13" s="24" t="n">
        <f aca="false">AVERAGE(D13:F13)</f>
        <v>0.790466666666667</v>
      </c>
      <c r="H13" s="25" t="n">
        <v>0.8044</v>
      </c>
      <c r="I13" s="24" t="n">
        <f aca="false">IF(AND(Sup_Used=1,ISNUMBER(H13)),H13,G13)</f>
        <v>0.790466666666667</v>
      </c>
      <c r="J13" s="24" t="n">
        <f aca="false">LN(MIN(MAX(I13,0.0001),0.9999)/(1-MIN(MAX(I13,0.0001),0.9999)))</f>
        <v>1.3277406526605</v>
      </c>
      <c r="K13" s="16" t="n">
        <f aca="false">A13*EXP(-Platt_Shift)</f>
        <v>279.84</v>
      </c>
      <c r="L13" s="26" t="n">
        <f aca="false">MIN(MAX(IFERROR(MATCH(K13,Distribution!$A$6:$A$20,1),1),1),14)</f>
        <v>8</v>
      </c>
      <c r="M13" s="24" t="n">
        <f aca="false">1/(1+EXP(-(INDEX(Distribution!$J$6:$J$20,L13)+(LN(K13)-INDEX(Distribution!$B$6:$B$20,L13))/(INDEX(Distribution!$B$6:$B$20,L13+1)-INDEX(Distribution!$B$6:$B$20,L13))*(INDEX(Distribution!$J$6:$J$20,L13+1)-INDEX(Distribution!$J$6:$J$20,L13)))))</f>
        <v>0.790466666666667</v>
      </c>
      <c r="N13" s="24" t="n">
        <f aca="false">LN(MIN(MAX(C13,0.0001),0.9999)/(1-MIN(MAX(C13,0.0001),0.9999)))</f>
        <v>0.279403589913675</v>
      </c>
      <c r="O13" s="16" t="n">
        <f aca="false">IF(Analyst_Median&gt;0,A13*Market_Median/Analyst_Median,A13)</f>
        <v>208.019525683075</v>
      </c>
      <c r="P13" s="26" t="n">
        <f aca="false">MIN(MAX(IFERROR(MATCH(O13,Distribution!$A$6:$A$20,1),1),1),14)</f>
        <v>5</v>
      </c>
      <c r="Q13" s="24" t="n">
        <f aca="false">1/(1+EXP(-(INDEX(Distribution!$N$6:$N$20,P13)+(LN(O13)-INDEX(Distribution!$B$6:$B$20,P13))/(INDEX(Distribution!$B$6:$B$20,P13+1)-INDEX(Distribution!$B$6:$B$20,P13))*(INDEX(Distribution!$N$6:$N$20,P13+1)-INDEX(Distribution!$N$6:$N$20,P13)))))</f>
        <v>0.849485529412194</v>
      </c>
      <c r="R13" s="24" t="n">
        <f aca="false">W_Mkt*C13+W_Agents*M13</f>
        <v>0.642352</v>
      </c>
      <c r="S13" s="27" t="n">
        <f aca="false">(1-W_Analyst)*R13+W_Analyst*Q13</f>
        <v>0.642352</v>
      </c>
      <c r="T13" s="24" t="n">
        <f aca="false">LN(MIN(MAX(S13,0.0001),0.9999)/(1-MIN(MAX(S13,0.0001),0.9999)))</f>
        <v>0.58558717756066</v>
      </c>
      <c r="U13" s="25" t="n">
        <v>0.6038</v>
      </c>
    </row>
    <row r="14" customFormat="false" ht="15" hidden="false" customHeight="false" outlineLevel="0" collapsed="false">
      <c r="A14" s="6" t="n">
        <v>307.82</v>
      </c>
      <c r="B14" s="24" t="n">
        <f aca="false">LN(A14)</f>
        <v>5.72951519655181</v>
      </c>
      <c r="C14" s="25" t="n">
        <v>0.4602</v>
      </c>
      <c r="D14" s="25" t="n">
        <v>0.7057</v>
      </c>
      <c r="E14" s="25" t="n">
        <v>0.6947</v>
      </c>
      <c r="F14" s="25" t="n">
        <v>0.6764</v>
      </c>
      <c r="G14" s="24" t="n">
        <f aca="false">AVERAGE(D14:F14)</f>
        <v>0.692266666666667</v>
      </c>
      <c r="H14" s="25" t="n">
        <v>0.7092</v>
      </c>
      <c r="I14" s="24" t="n">
        <f aca="false">IF(AND(Sup_Used=1,ISNUMBER(H14)),H14,G14)</f>
        <v>0.692266666666667</v>
      </c>
      <c r="J14" s="24" t="n">
        <f aca="false">LN(MIN(MAX(I14,0.0001),0.9999)/(1-MIN(MAX(I14,0.0001),0.9999)))</f>
        <v>0.810737630755936</v>
      </c>
      <c r="K14" s="16" t="n">
        <f aca="false">A14*EXP(-Platt_Shift)</f>
        <v>307.82</v>
      </c>
      <c r="L14" s="26" t="n">
        <f aca="false">MIN(MAX(IFERROR(MATCH(K14,Distribution!$A$6:$A$20,1),1),1),14)</f>
        <v>9</v>
      </c>
      <c r="M14" s="24" t="n">
        <f aca="false">1/(1+EXP(-(INDEX(Distribution!$J$6:$J$20,L14)+(LN(K14)-INDEX(Distribution!$B$6:$B$20,L14))/(INDEX(Distribution!$B$6:$B$20,L14+1)-INDEX(Distribution!$B$6:$B$20,L14))*(INDEX(Distribution!$J$6:$J$20,L14+1)-INDEX(Distribution!$J$6:$J$20,L14)))))</f>
        <v>0.692266666666667</v>
      </c>
      <c r="N14" s="24" t="n">
        <f aca="false">LN(MIN(MAX(C14,0.0001),0.9999)/(1-MIN(MAX(C14,0.0001),0.9999)))</f>
        <v>-0.159537522982639</v>
      </c>
      <c r="O14" s="16" t="n">
        <f aca="false">IF(Analyst_Median&gt;0,A14*Market_Median/Analyst_Median,A14)</f>
        <v>228.818504844783</v>
      </c>
      <c r="P14" s="26" t="n">
        <f aca="false">MIN(MAX(IFERROR(MATCH(O14,Distribution!$A$6:$A$20,1),1),1),14)</f>
        <v>6</v>
      </c>
      <c r="Q14" s="24" t="n">
        <f aca="false">1/(1+EXP(-(INDEX(Distribution!$N$6:$N$20,P14)+(LN(O14)-INDEX(Distribution!$B$6:$B$20,P14))/(INDEX(Distribution!$B$6:$B$20,P14+1)-INDEX(Distribution!$B$6:$B$20,P14))*(INDEX(Distribution!$N$6:$N$20,P14+1)-INDEX(Distribution!$N$6:$N$20,P14)))))</f>
        <v>0.775399480841304</v>
      </c>
      <c r="R14" s="24" t="n">
        <f aca="false">W_Mkt*C14+W_Agents*M14</f>
        <v>0.536782</v>
      </c>
      <c r="S14" s="27" t="n">
        <f aca="false">(1-W_Analyst)*R14+W_Analyst*Q14</f>
        <v>0.536782</v>
      </c>
      <c r="T14" s="24" t="n">
        <f aca="false">LN(MIN(MAX(S14,0.0001),0.9999)/(1-MIN(MAX(S14,0.0001),0.9999)))</f>
        <v>0.147394267446154</v>
      </c>
      <c r="U14" s="25" t="n">
        <v>0.4927</v>
      </c>
    </row>
    <row r="15" customFormat="false" ht="15" hidden="false" customHeight="false" outlineLevel="0" collapsed="false">
      <c r="A15" s="6" t="n">
        <v>335.81</v>
      </c>
      <c r="B15" s="24" t="n">
        <f aca="false">LN(A15)</f>
        <v>5.81654552383077</v>
      </c>
      <c r="C15" s="25" t="n">
        <v>0.3629</v>
      </c>
      <c r="D15" s="25" t="n">
        <v>0.599</v>
      </c>
      <c r="E15" s="25" t="n">
        <v>0.6002</v>
      </c>
      <c r="F15" s="25" t="n">
        <v>0.5537</v>
      </c>
      <c r="G15" s="24" t="n">
        <f aca="false">AVERAGE(D15:F15)</f>
        <v>0.5843</v>
      </c>
      <c r="H15" s="25" t="n">
        <v>0.6044</v>
      </c>
      <c r="I15" s="24" t="n">
        <f aca="false">IF(AND(Sup_Used=1,ISNUMBER(H15)),H15,G15)</f>
        <v>0.5843</v>
      </c>
      <c r="J15" s="24" t="n">
        <f aca="false">LN(MIN(MAX(I15,0.0001),0.9999)/(1-MIN(MAX(I15,0.0001),0.9999)))</f>
        <v>0.340450703301799</v>
      </c>
      <c r="K15" s="16" t="n">
        <f aca="false">A15*EXP(-Platt_Shift)</f>
        <v>335.81</v>
      </c>
      <c r="L15" s="26" t="n">
        <f aca="false">MIN(MAX(IFERROR(MATCH(K15,Distribution!$A$6:$A$20,1),1),1),14)</f>
        <v>10</v>
      </c>
      <c r="M15" s="24" t="n">
        <f aca="false">1/(1+EXP(-(INDEX(Distribution!$J$6:$J$20,L15)+(LN(K15)-INDEX(Distribution!$B$6:$B$20,L15))/(INDEX(Distribution!$B$6:$B$20,L15+1)-INDEX(Distribution!$B$6:$B$20,L15))*(INDEX(Distribution!$J$6:$J$20,L15+1)-INDEX(Distribution!$J$6:$J$20,L15)))))</f>
        <v>0.5843</v>
      </c>
      <c r="N15" s="24" t="n">
        <f aca="false">LN(MIN(MAX(C15,0.0001),0.9999)/(1-MIN(MAX(C15,0.0001),0.9999)))</f>
        <v>-0.562799314903418</v>
      </c>
      <c r="O15" s="16" t="n">
        <f aca="false">IF(Analyst_Median&gt;0,A15*Market_Median/Analyst_Median,A15)</f>
        <v>249.624917522989</v>
      </c>
      <c r="P15" s="26" t="n">
        <f aca="false">MIN(MAX(IFERROR(MATCH(O15,Distribution!$A$6:$A$20,1),1),1),14)</f>
        <v>6</v>
      </c>
      <c r="Q15" s="24" t="n">
        <f aca="false">1/(1+EXP(-(INDEX(Distribution!$N$6:$N$20,P15)+(LN(O15)-INDEX(Distribution!$B$6:$B$20,P15))/(INDEX(Distribution!$B$6:$B$20,P15+1)-INDEX(Distribution!$B$6:$B$20,P15))*(INDEX(Distribution!$N$6:$N$20,P15+1)-INDEX(Distribution!$N$6:$N$20,P15)))))</f>
        <v>0.693209854845875</v>
      </c>
      <c r="R15" s="24" t="n">
        <f aca="false">W_Mkt*C15+W_Agents*M15</f>
        <v>0.435962</v>
      </c>
      <c r="S15" s="27" t="n">
        <f aca="false">(1-W_Analyst)*R15+W_Analyst*Q15</f>
        <v>0.435962</v>
      </c>
      <c r="T15" s="24" t="n">
        <f aca="false">LN(MIN(MAX(S15,0.0001),0.9999)/(1-MIN(MAX(S15,0.0001),0.9999)))</f>
        <v>-0.257566541527501</v>
      </c>
      <c r="U15" s="25" t="n">
        <v>0.3674</v>
      </c>
    </row>
    <row r="16" customFormat="false" ht="15" hidden="false" customHeight="false" outlineLevel="0" collapsed="false">
      <c r="A16" s="6" t="n">
        <v>377.78</v>
      </c>
      <c r="B16" s="24" t="n">
        <f aca="false">LN(A16)</f>
        <v>5.93431201560367</v>
      </c>
      <c r="C16" s="25" t="n">
        <v>0.245</v>
      </c>
      <c r="D16" s="25" t="n">
        <v>0.4435</v>
      </c>
      <c r="E16" s="25" t="n">
        <v>0.4567</v>
      </c>
      <c r="F16" s="25" t="n">
        <v>0.3714</v>
      </c>
      <c r="G16" s="24" t="n">
        <f aca="false">AVERAGE(D16:F16)</f>
        <v>0.423866666666667</v>
      </c>
      <c r="H16" s="25" t="n">
        <v>0.4469</v>
      </c>
      <c r="I16" s="24" t="n">
        <f aca="false">IF(AND(Sup_Used=1,ISNUMBER(H16)),H16,G16)</f>
        <v>0.423866666666667</v>
      </c>
      <c r="J16" s="24" t="n">
        <f aca="false">LN(MIN(MAX(I16,0.0001),0.9999)/(1-MIN(MAX(I16,0.0001),0.9999)))</f>
        <v>-0.306920175021131</v>
      </c>
      <c r="K16" s="16" t="n">
        <f aca="false">A16*EXP(-Platt_Shift)</f>
        <v>377.78</v>
      </c>
      <c r="L16" s="26" t="n">
        <f aca="false">MIN(MAX(IFERROR(MATCH(K16,Distribution!$A$6:$A$20,1),1),1),14)</f>
        <v>11</v>
      </c>
      <c r="M16" s="24" t="n">
        <f aca="false">1/(1+EXP(-(INDEX(Distribution!$J$6:$J$20,L16)+(LN(K16)-INDEX(Distribution!$B$6:$B$20,L16))/(INDEX(Distribution!$B$6:$B$20,L16+1)-INDEX(Distribution!$B$6:$B$20,L16))*(INDEX(Distribution!$J$6:$J$20,L16+1)-INDEX(Distribution!$J$6:$J$20,L16)))))</f>
        <v>0.423866666666667</v>
      </c>
      <c r="N16" s="24" t="n">
        <f aca="false">LN(MIN(MAX(C16,0.0001),0.9999)/(1-MIN(MAX(C16,0.0001),0.9999)))</f>
        <v>-1.1254595387043</v>
      </c>
      <c r="O16" s="16" t="n">
        <f aca="false">IF(Analyst_Median&gt;0,A16*Market_Median/Analyst_Median,A16)</f>
        <v>280.823386265551</v>
      </c>
      <c r="P16" s="26" t="n">
        <f aca="false">MIN(MAX(IFERROR(MATCH(O16,Distribution!$A$6:$A$20,1),1),1),14)</f>
        <v>8</v>
      </c>
      <c r="Q16" s="24" t="n">
        <f aca="false">1/(1+EXP(-(INDEX(Distribution!$N$6:$N$20,P16)+(LN(O16)-INDEX(Distribution!$B$6:$B$20,P16))/(INDEX(Distribution!$B$6:$B$20,P16+1)-INDEX(Distribution!$B$6:$B$20,P16))*(INDEX(Distribution!$N$6:$N$20,P16+1)-INDEX(Distribution!$N$6:$N$20,P16)))))</f>
        <v>0.565434044234498</v>
      </c>
      <c r="R16" s="24" t="n">
        <f aca="false">W_Mkt*C16+W_Agents*M16</f>
        <v>0.304026</v>
      </c>
      <c r="S16" s="27" t="n">
        <f aca="false">(1-W_Analyst)*R16+W_Analyst*Q16</f>
        <v>0.304026</v>
      </c>
      <c r="T16" s="24" t="n">
        <f aca="false">LN(MIN(MAX(S16,0.0001),0.9999)/(1-MIN(MAX(S16,0.0001),0.9999)))</f>
        <v>-0.828199079249971</v>
      </c>
      <c r="U16" s="25" t="n">
        <v>0.2176</v>
      </c>
    </row>
    <row r="17" customFormat="false" ht="15" hidden="false" customHeight="false" outlineLevel="0" collapsed="false">
      <c r="A17" s="6" t="n">
        <v>419.76</v>
      </c>
      <c r="B17" s="24" t="n">
        <f aca="false">LN(A17)</f>
        <v>6.03968311937846</v>
      </c>
      <c r="C17" s="25" t="n">
        <v>0.1601</v>
      </c>
      <c r="D17" s="25" t="n">
        <v>0.3111</v>
      </c>
      <c r="E17" s="25" t="n">
        <v>0.3249</v>
      </c>
      <c r="F17" s="25" t="n">
        <v>0.2213</v>
      </c>
      <c r="G17" s="24" t="n">
        <f aca="false">AVERAGE(D17:F17)</f>
        <v>0.285766666666667</v>
      </c>
      <c r="H17" s="25" t="n">
        <v>0.3099</v>
      </c>
      <c r="I17" s="24" t="n">
        <f aca="false">IF(AND(Sup_Used=1,ISNUMBER(H17)),H17,G17)</f>
        <v>0.285766666666667</v>
      </c>
      <c r="J17" s="24" t="n">
        <f aca="false">LN(MIN(MAX(I17,0.0001),0.9999)/(1-MIN(MAX(I17,0.0001),0.9999)))</f>
        <v>-0.91603407932197</v>
      </c>
      <c r="K17" s="16" t="n">
        <f aca="false">A17*EXP(-Platt_Shift)</f>
        <v>419.76</v>
      </c>
      <c r="L17" s="26" t="n">
        <f aca="false">MIN(MAX(IFERROR(MATCH(K17,Distribution!$A$6:$A$20,1),1),1),14)</f>
        <v>12</v>
      </c>
      <c r="M17" s="24" t="n">
        <f aca="false">1/(1+EXP(-(INDEX(Distribution!$J$6:$J$20,L17)+(LN(K17)-INDEX(Distribution!$B$6:$B$20,L17))/(INDEX(Distribution!$B$6:$B$20,L17+1)-INDEX(Distribution!$B$6:$B$20,L17))*(INDEX(Distribution!$J$6:$J$20,L17+1)-INDEX(Distribution!$J$6:$J$20,L17)))))</f>
        <v>0.285766666666667</v>
      </c>
      <c r="N17" s="24" t="n">
        <f aca="false">LN(MIN(MAX(C17,0.0001),0.9999)/(1-MIN(MAX(C17,0.0001),0.9999)))</f>
        <v>-1.65748421712891</v>
      </c>
      <c r="O17" s="16" t="n">
        <f aca="false">IF(Analyst_Median&gt;0,A17*Market_Median/Analyst_Median,A17)</f>
        <v>312.029288524612</v>
      </c>
      <c r="P17" s="26" t="n">
        <f aca="false">MIN(MAX(IFERROR(MATCH(O17,Distribution!$A$6:$A$20,1),1),1),14)</f>
        <v>9</v>
      </c>
      <c r="Q17" s="24" t="n">
        <f aca="false">1/(1+EXP(-(INDEX(Distribution!$N$6:$N$20,P17)+(LN(O17)-INDEX(Distribution!$B$6:$B$20,P17))/(INDEX(Distribution!$B$6:$B$20,P17+1)-INDEX(Distribution!$B$6:$B$20,P17))*(INDEX(Distribution!$N$6:$N$20,P17+1)-INDEX(Distribution!$N$6:$N$20,P17)))))</f>
        <v>0.444610727673557</v>
      </c>
      <c r="R17" s="24" t="n">
        <f aca="false">W_Mkt*C17+W_Agents*M17</f>
        <v>0.20157</v>
      </c>
      <c r="S17" s="27" t="n">
        <f aca="false">(1-W_Analyst)*R17+W_Analyst*Q17</f>
        <v>0.20157</v>
      </c>
      <c r="T17" s="24" t="n">
        <f aca="false">LN(MIN(MAX(S17,0.0001),0.9999)/(1-MIN(MAX(S17,0.0001),0.9999)))</f>
        <v>-1.37651058384146</v>
      </c>
      <c r="U17" s="25" t="n">
        <v>0.1268</v>
      </c>
    </row>
    <row r="18" customFormat="false" ht="15" hidden="false" customHeight="false" outlineLevel="0" collapsed="false">
      <c r="A18" s="6" t="n">
        <v>489.72</v>
      </c>
      <c r="B18" s="24" t="n">
        <f aca="false">LN(A18)</f>
        <v>6.19383379920572</v>
      </c>
      <c r="C18" s="25" t="n">
        <v>0.0751</v>
      </c>
      <c r="D18" s="25" t="n">
        <v>0.159</v>
      </c>
      <c r="E18" s="25" t="n">
        <v>0.1678</v>
      </c>
      <c r="F18" s="25" t="n">
        <v>0.0773</v>
      </c>
      <c r="G18" s="24" t="n">
        <f aca="false">AVERAGE(D18:F18)</f>
        <v>0.1347</v>
      </c>
      <c r="H18" s="25" t="n">
        <v>0.1543</v>
      </c>
      <c r="I18" s="24" t="n">
        <f aca="false">IF(AND(Sup_Used=1,ISNUMBER(H18)),H18,G18)</f>
        <v>0.1347</v>
      </c>
      <c r="J18" s="24" t="n">
        <f aca="false">LN(MIN(MAX(I18,0.0001),0.9999)/(1-MIN(MAX(I18,0.0001),0.9999)))</f>
        <v>-1.86002618419637</v>
      </c>
      <c r="K18" s="16" t="n">
        <f aca="false">A18*EXP(-Platt_Shift)</f>
        <v>489.72</v>
      </c>
      <c r="L18" s="26" t="n">
        <f aca="false">MIN(MAX(IFERROR(MATCH(K18,Distribution!$A$6:$A$20,1),1),1),14)</f>
        <v>13</v>
      </c>
      <c r="M18" s="24" t="n">
        <f aca="false">1/(1+EXP(-(INDEX(Distribution!$J$6:$J$20,L18)+(LN(K18)-INDEX(Distribution!$B$6:$B$20,L18))/(INDEX(Distribution!$B$6:$B$20,L18+1)-INDEX(Distribution!$B$6:$B$20,L18))*(INDEX(Distribution!$J$6:$J$20,L18+1)-INDEX(Distribution!$J$6:$J$20,L18)))))</f>
        <v>0.1347</v>
      </c>
      <c r="N18" s="24" t="n">
        <f aca="false">LN(MIN(MAX(C18,0.0001),0.9999)/(1-MIN(MAX(C18,0.0001),0.9999)))</f>
        <v>-2.51086506479013</v>
      </c>
      <c r="O18" s="16" t="n">
        <f aca="false">IF(Analyst_Median&gt;0,A18*Market_Median/Analyst_Median,A18)</f>
        <v>364.03416994538</v>
      </c>
      <c r="P18" s="26" t="n">
        <f aca="false">MIN(MAX(IFERROR(MATCH(O18,Distribution!$A$6:$A$20,1),1),1),14)</f>
        <v>10</v>
      </c>
      <c r="Q18" s="24" t="n">
        <f aca="false">1/(1+EXP(-(INDEX(Distribution!$N$6:$N$20,P18)+(LN(O18)-INDEX(Distribution!$B$6:$B$20,P18))/(INDEX(Distribution!$B$6:$B$20,P18+1)-INDEX(Distribution!$B$6:$B$20,P18))*(INDEX(Distribution!$N$6:$N$20,P18+1)-INDEX(Distribution!$N$6:$N$20,P18)))))</f>
        <v>0.279211689735936</v>
      </c>
      <c r="R18" s="24" t="n">
        <f aca="false">W_Mkt*C18+W_Agents*M18</f>
        <v>0.094768</v>
      </c>
      <c r="S18" s="27" t="n">
        <f aca="false">(1-W_Analyst)*R18+W_Analyst*Q18</f>
        <v>0.094768</v>
      </c>
      <c r="T18" s="24" t="n">
        <f aca="false">LN(MIN(MAX(S18,0.0001),0.9999)/(1-MIN(MAX(S18,0.0001),0.9999)))</f>
        <v>-2.25675946490351</v>
      </c>
      <c r="U18" s="25" t="n">
        <v>0.0547</v>
      </c>
    </row>
    <row r="19" customFormat="false" ht="15" hidden="false" customHeight="false" outlineLevel="0" collapsed="false">
      <c r="A19" s="6" t="n">
        <v>559.68</v>
      </c>
      <c r="B19" s="24" t="n">
        <f aca="false">LN(A19)</f>
        <v>6.32736519183024</v>
      </c>
      <c r="C19" s="25" t="n">
        <v>0.0341</v>
      </c>
      <c r="D19" s="25" t="n">
        <v>0.0778</v>
      </c>
      <c r="E19" s="25" t="n">
        <v>0.0819</v>
      </c>
      <c r="F19" s="25" t="n">
        <v>0.0228</v>
      </c>
      <c r="G19" s="24" t="n">
        <f aca="false">AVERAGE(D19:F19)</f>
        <v>0.0608333333333333</v>
      </c>
      <c r="H19" s="25" t="n">
        <v>0.073</v>
      </c>
      <c r="I19" s="24" t="n">
        <f aca="false">IF(AND(Sup_Used=1,ISNUMBER(H19)),H19,G19)</f>
        <v>0.0608333333333333</v>
      </c>
      <c r="J19" s="24" t="n">
        <f aca="false">LN(MIN(MAX(I19,0.0001),0.9999)/(1-MIN(MAX(I19,0.0001),0.9999)))</f>
        <v>-2.73685507289139</v>
      </c>
      <c r="K19" s="16" t="n">
        <f aca="false">A19*EXP(-Platt_Shift)</f>
        <v>559.68</v>
      </c>
      <c r="L19" s="26" t="n">
        <f aca="false">MIN(MAX(IFERROR(MATCH(K19,Distribution!$A$6:$A$20,1),1),1),14)</f>
        <v>14</v>
      </c>
      <c r="M19" s="24" t="n">
        <f aca="false">1/(1+EXP(-(INDEX(Distribution!$J$6:$J$20,L19)+(LN(K19)-INDEX(Distribution!$B$6:$B$20,L19))/(INDEX(Distribution!$B$6:$B$20,L19+1)-INDEX(Distribution!$B$6:$B$20,L19))*(INDEX(Distribution!$J$6:$J$20,L19+1)-INDEX(Distribution!$J$6:$J$20,L19)))))</f>
        <v>0.0608333333333333</v>
      </c>
      <c r="N19" s="24" t="n">
        <f aca="false">LN(MIN(MAX(C19,0.0001),0.9999)/(1-MIN(MAX(C19,0.0001),0.9999)))</f>
        <v>-3.34376292489578</v>
      </c>
      <c r="O19" s="16" t="n">
        <f aca="false">IF(Analyst_Median&gt;0,A19*Market_Median/Analyst_Median,A19)</f>
        <v>416.039051366149</v>
      </c>
      <c r="P19" s="26" t="n">
        <f aca="false">MIN(MAX(IFERROR(MATCH(O19,Distribution!$A$6:$A$20,1),1),1),14)</f>
        <v>11</v>
      </c>
      <c r="Q19" s="24" t="n">
        <f aca="false">1/(1+EXP(-(INDEX(Distribution!$N$6:$N$20,P19)+(LN(O19)-INDEX(Distribution!$B$6:$B$20,P19))/(INDEX(Distribution!$B$6:$B$20,P19+1)-INDEX(Distribution!$B$6:$B$20,P19))*(INDEX(Distribution!$N$6:$N$20,P19+1)-INDEX(Distribution!$N$6:$N$20,P19)))))</f>
        <v>0.166238003742476</v>
      </c>
      <c r="R19" s="24" t="n">
        <f aca="false">W_Mkt*C19+W_Agents*M19</f>
        <v>0.042922</v>
      </c>
      <c r="S19" s="27" t="n">
        <f aca="false">(1-W_Analyst)*R19+W_Analyst*Q19</f>
        <v>0.042922</v>
      </c>
      <c r="T19" s="24" t="n">
        <f aca="false">LN(MIN(MAX(S19,0.0001),0.9999)/(1-MIN(MAX(S19,0.0001),0.9999)))</f>
        <v>-3.10450037783453</v>
      </c>
      <c r="U19" s="25" t="n">
        <v>0.0246</v>
      </c>
    </row>
    <row r="20" customFormat="false" ht="15" hidden="false" customHeight="false" outlineLevel="0" collapsed="false">
      <c r="A20" s="6" t="n">
        <v>699.6</v>
      </c>
      <c r="B20" s="24" t="n">
        <f aca="false">LN(A20)</f>
        <v>6.55050874314445</v>
      </c>
      <c r="C20" s="25" t="n">
        <v>0.0068</v>
      </c>
      <c r="D20" s="25" t="n">
        <v>0.0201</v>
      </c>
      <c r="E20" s="25" t="n">
        <v>0.0192</v>
      </c>
      <c r="F20" s="25" t="n">
        <v>0.0029</v>
      </c>
      <c r="G20" s="24" t="n">
        <f aca="false">AVERAGE(D20:F20)</f>
        <v>0.0140666666666667</v>
      </c>
      <c r="H20" s="25" t="n">
        <v>0.0172</v>
      </c>
      <c r="I20" s="24" t="n">
        <f aca="false">IF(AND(Sup_Used=1,ISNUMBER(H20)),H20,G20)</f>
        <v>0.0140666666666667</v>
      </c>
      <c r="J20" s="24" t="n">
        <f aca="false">LN(MIN(MAX(I20,0.0001),0.9999)/(1-MIN(MAX(I20,0.0001),0.9999)))</f>
        <v>-4.2497808066907</v>
      </c>
      <c r="K20" s="16" t="n">
        <f aca="false">A20*EXP(-Platt_Shift)</f>
        <v>699.6</v>
      </c>
      <c r="L20" s="26" t="n">
        <f aca="false">MIN(MAX(IFERROR(MATCH(K20,Distribution!$A$6:$A$20,1),1),1),14)</f>
        <v>14</v>
      </c>
      <c r="M20" s="24" t="n">
        <f aca="false">1/(1+EXP(-(INDEX(Distribution!$J$6:$J$20,L20)+(LN(K20)-INDEX(Distribution!$B$6:$B$20,L20))/(INDEX(Distribution!$B$6:$B$20,L20+1)-INDEX(Distribution!$B$6:$B$20,L20))*(INDEX(Distribution!$J$6:$J$20,L20+1)-INDEX(Distribution!$J$6:$J$20,L20)))))</f>
        <v>0.0140666666666667</v>
      </c>
      <c r="N20" s="24" t="n">
        <f aca="false">LN(MIN(MAX(C20,0.0001),0.9999)/(1-MIN(MAX(C20,0.0001),0.9999)))</f>
        <v>-4.98400944145195</v>
      </c>
      <c r="O20" s="16" t="n">
        <f aca="false">IF(Analyst_Median&gt;0,A20*Market_Median/Analyst_Median,A20)</f>
        <v>520.048814207686</v>
      </c>
      <c r="P20" s="26" t="n">
        <f aca="false">MIN(MAX(IFERROR(MATCH(O20,Distribution!$A$6:$A$20,1),1),1),14)</f>
        <v>13</v>
      </c>
      <c r="Q20" s="24" t="n">
        <f aca="false">1/(1+EXP(-(INDEX(Distribution!$N$6:$N$20,P20)+(LN(O20)-INDEX(Distribution!$B$6:$B$20,P20))/(INDEX(Distribution!$B$6:$B$20,P20+1)-INDEX(Distribution!$B$6:$B$20,P20))*(INDEX(Distribution!$N$6:$N$20,P20+1)-INDEX(Distribution!$N$6:$N$20,P20)))))</f>
        <v>0.0528666309194968</v>
      </c>
      <c r="R20" s="24" t="n">
        <f aca="false">W_Mkt*C20+W_Agents*M20</f>
        <v>0.009198</v>
      </c>
      <c r="S20" s="27" t="n">
        <f aca="false">(1-W_Analyst)*R20+W_Analyst*Q20</f>
        <v>0.009198</v>
      </c>
      <c r="T20" s="24" t="n">
        <f aca="false">LN(MIN(MAX(S20,0.0001),0.9999)/(1-MIN(MAX(S20,0.0001),0.9999)))</f>
        <v>-4.67952864706629</v>
      </c>
      <c r="U20" s="25" t="n">
        <v>0.005</v>
      </c>
    </row>
    <row r="22" customFormat="false" ht="15" hidden="false" customHeight="false" outlineLevel="0" collapsed="false">
      <c r="A22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3.85" hidden="false" customHeight="false" outlineLevel="0" collapsed="false">
      <c r="A4" s="23" t="s">
        <v>103</v>
      </c>
      <c r="B4" s="23" t="s">
        <v>104</v>
      </c>
      <c r="C4" s="23" t="s">
        <v>105</v>
      </c>
      <c r="D4" s="23" t="s">
        <v>106</v>
      </c>
      <c r="E4" s="23" t="s">
        <v>107</v>
      </c>
      <c r="F4" s="23" t="s">
        <v>108</v>
      </c>
      <c r="G4" s="23" t="s">
        <v>109</v>
      </c>
    </row>
    <row r="5" customFormat="false" ht="57.45" hidden="false" customHeight="false" outlineLevel="0" collapsed="false">
      <c r="A5" s="5" t="s">
        <v>29</v>
      </c>
      <c r="B5" s="28" t="s">
        <v>110</v>
      </c>
      <c r="C5" s="6" t="n">
        <v>372</v>
      </c>
      <c r="D5" s="12" t="n">
        <v>0.6</v>
      </c>
      <c r="E5" s="16" t="n">
        <f aca="false">C5*D5</f>
        <v>223.2</v>
      </c>
      <c r="F5" s="28"/>
      <c r="G5" s="28" t="s">
        <v>111</v>
      </c>
    </row>
    <row r="6" customFormat="false" ht="46.25" hidden="false" customHeight="false" outlineLevel="0" collapsed="false">
      <c r="A6" s="5" t="s">
        <v>29</v>
      </c>
      <c r="B6" s="28" t="s">
        <v>112</v>
      </c>
      <c r="C6" s="6" t="n">
        <v>348</v>
      </c>
      <c r="D6" s="12" t="n">
        <v>0.4</v>
      </c>
      <c r="E6" s="16" t="n">
        <f aca="false">C6*D6</f>
        <v>139.2</v>
      </c>
      <c r="F6" s="28"/>
      <c r="G6" s="28" t="s">
        <v>113</v>
      </c>
    </row>
    <row r="7" customFormat="false" ht="35.05" hidden="false" customHeight="false" outlineLevel="0" collapsed="false">
      <c r="A7" s="29" t="s">
        <v>29</v>
      </c>
      <c r="B7" s="29" t="s">
        <v>114</v>
      </c>
      <c r="C7" s="30" t="n">
        <f aca="false">IF(SUM(D5:D6)&gt;0,SUMPRODUCT(C5:C6,D5:D6)/SUM(D5:D6),"")</f>
        <v>362.4</v>
      </c>
      <c r="D7" s="31" t="n">
        <f aca="false">SUM(D5:D6)</f>
        <v>1</v>
      </c>
      <c r="E7" s="32" t="n">
        <v>362</v>
      </c>
      <c r="F7" s="29" t="s">
        <v>115</v>
      </c>
      <c r="G7" s="33" t="s">
        <v>116</v>
      </c>
    </row>
    <row r="9" customFormat="false" ht="23.85" hidden="false" customHeight="false" outlineLevel="0" collapsed="false">
      <c r="A9" s="5" t="s">
        <v>30</v>
      </c>
      <c r="B9" s="28" t="s">
        <v>110</v>
      </c>
      <c r="C9" s="6" t="n">
        <v>399</v>
      </c>
      <c r="D9" s="12" t="n">
        <v>0.6</v>
      </c>
      <c r="E9" s="16" t="n">
        <f aca="false">C9*D9</f>
        <v>239.4</v>
      </c>
      <c r="F9" s="28"/>
      <c r="G9" s="28" t="s">
        <v>117</v>
      </c>
    </row>
    <row r="10" customFormat="false" ht="35.05" hidden="false" customHeight="false" outlineLevel="0" collapsed="false">
      <c r="A10" s="5" t="s">
        <v>30</v>
      </c>
      <c r="B10" s="28" t="s">
        <v>112</v>
      </c>
      <c r="C10" s="6" t="n">
        <v>326</v>
      </c>
      <c r="D10" s="12" t="n">
        <v>0.4</v>
      </c>
      <c r="E10" s="16" t="n">
        <f aca="false">C10*D10</f>
        <v>130.4</v>
      </c>
      <c r="F10" s="28"/>
      <c r="G10" s="28" t="s">
        <v>118</v>
      </c>
    </row>
    <row r="11" customFormat="false" ht="46.25" hidden="false" customHeight="false" outlineLevel="0" collapsed="false">
      <c r="A11" s="29" t="s">
        <v>30</v>
      </c>
      <c r="B11" s="29" t="s">
        <v>114</v>
      </c>
      <c r="C11" s="30" t="n">
        <f aca="false">IF(SUM(D9:D10)&gt;0,SUMPRODUCT(C9:C10,D9:D10)/SUM(D9:D10),"")</f>
        <v>369.8</v>
      </c>
      <c r="D11" s="31" t="n">
        <f aca="false">SUM(D9:D10)</f>
        <v>1</v>
      </c>
      <c r="E11" s="32" t="n">
        <v>370</v>
      </c>
      <c r="F11" s="29" t="s">
        <v>115</v>
      </c>
      <c r="G11" s="33" t="s">
        <v>119</v>
      </c>
    </row>
    <row r="13" customFormat="false" ht="23.85" hidden="false" customHeight="false" outlineLevel="0" collapsed="false">
      <c r="A13" s="5" t="s">
        <v>31</v>
      </c>
      <c r="B13" s="28" t="s">
        <v>110</v>
      </c>
      <c r="C13" s="6" t="n">
        <v>359.6</v>
      </c>
      <c r="D13" s="12" t="n">
        <v>0.65</v>
      </c>
      <c r="E13" s="16" t="n">
        <f aca="false">C13*D13</f>
        <v>233.74</v>
      </c>
      <c r="F13" s="28"/>
      <c r="G13" s="28" t="s">
        <v>120</v>
      </c>
    </row>
    <row r="14" customFormat="false" ht="23.85" hidden="false" customHeight="false" outlineLevel="0" collapsed="false">
      <c r="A14" s="5" t="s">
        <v>31</v>
      </c>
      <c r="B14" s="28" t="s">
        <v>121</v>
      </c>
      <c r="C14" s="6" t="n">
        <v>320.3</v>
      </c>
      <c r="D14" s="12" t="n">
        <v>0.35</v>
      </c>
      <c r="E14" s="16" t="n">
        <f aca="false">C14*D14</f>
        <v>112.105</v>
      </c>
      <c r="F14" s="28"/>
      <c r="G14" s="28" t="s">
        <v>122</v>
      </c>
    </row>
    <row r="15" customFormat="false" ht="35.05" hidden="false" customHeight="false" outlineLevel="0" collapsed="false">
      <c r="A15" s="29" t="s">
        <v>31</v>
      </c>
      <c r="B15" s="29" t="s">
        <v>114</v>
      </c>
      <c r="C15" s="30" t="n">
        <f aca="false">IF(SUM(D13:D14)&gt;0,SUMPRODUCT(C13:C14,D13:D14)/SUM(D13:D14),"")</f>
        <v>345.845</v>
      </c>
      <c r="D15" s="31" t="n">
        <f aca="false">SUM(D13:D14)</f>
        <v>1</v>
      </c>
      <c r="E15" s="32" t="n">
        <v>346</v>
      </c>
      <c r="F15" s="29" t="s">
        <v>115</v>
      </c>
      <c r="G15" s="3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3.85" hidden="false" customHeight="false" outlineLevel="0" collapsed="false">
      <c r="A4" s="23" t="s">
        <v>103</v>
      </c>
      <c r="B4" s="23" t="s">
        <v>126</v>
      </c>
      <c r="C4" s="23" t="s">
        <v>127</v>
      </c>
      <c r="D4" s="23" t="s">
        <v>128</v>
      </c>
      <c r="E4" s="23" t="s">
        <v>129</v>
      </c>
      <c r="F4" s="23" t="s">
        <v>130</v>
      </c>
      <c r="G4" s="23" t="s">
        <v>131</v>
      </c>
    </row>
    <row r="5" customFormat="false" ht="102.2" hidden="false" customHeight="false" outlineLevel="0" collapsed="false">
      <c r="A5" s="5" t="s">
        <v>29</v>
      </c>
      <c r="B5" s="6" t="n">
        <v>245</v>
      </c>
      <c r="C5" s="6" t="n">
        <v>368</v>
      </c>
      <c r="D5" s="6" t="n">
        <v>475</v>
      </c>
      <c r="E5" s="28" t="s">
        <v>132</v>
      </c>
      <c r="F5" s="28" t="s">
        <v>133</v>
      </c>
      <c r="G5" s="28" t="s">
        <v>134</v>
      </c>
    </row>
    <row r="6" customFormat="false" ht="113.4" hidden="false" customHeight="false" outlineLevel="0" collapsed="false">
      <c r="A6" s="5" t="s">
        <v>30</v>
      </c>
      <c r="B6" s="6" t="n">
        <v>255</v>
      </c>
      <c r="C6" s="6" t="n">
        <v>375</v>
      </c>
      <c r="D6" s="6" t="n">
        <v>495</v>
      </c>
      <c r="E6" s="28" t="s">
        <v>135</v>
      </c>
      <c r="F6" s="28" t="s">
        <v>136</v>
      </c>
      <c r="G6" s="28" t="s">
        <v>137</v>
      </c>
    </row>
    <row r="7" customFormat="false" ht="124.6" hidden="false" customHeight="false" outlineLevel="0" collapsed="false">
      <c r="A7" s="5" t="s">
        <v>31</v>
      </c>
      <c r="B7" s="6" t="n">
        <v>257</v>
      </c>
      <c r="C7" s="6" t="n">
        <v>348</v>
      </c>
      <c r="D7" s="6" t="n">
        <v>440</v>
      </c>
      <c r="E7" s="28" t="s">
        <v>138</v>
      </c>
      <c r="F7" s="28" t="s">
        <v>139</v>
      </c>
      <c r="G7" s="28" t="s">
        <v>140</v>
      </c>
    </row>
    <row r="8" customFormat="false" ht="15" hidden="false" customHeight="false" outlineLevel="0" collapsed="false">
      <c r="A8" s="14" t="s">
        <v>141</v>
      </c>
      <c r="B8" s="15" t="n">
        <f aca="false">AVERAGE(B5:B7)</f>
        <v>252.333333333333</v>
      </c>
      <c r="C8" s="15" t="n">
        <f aca="false">AVERAGE(C5:C7)</f>
        <v>363.666666666667</v>
      </c>
      <c r="D8" s="15" t="n">
        <f aca="false">AVERAGE(D5:D7)</f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35.05" hidden="false" customHeight="false" outlineLevel="0" collapsed="false">
      <c r="A4" s="23" t="s">
        <v>103</v>
      </c>
      <c r="B4" s="23" t="s">
        <v>144</v>
      </c>
      <c r="C4" s="23" t="s">
        <v>145</v>
      </c>
      <c r="D4" s="23" t="s">
        <v>146</v>
      </c>
      <c r="E4" s="23" t="s">
        <v>64</v>
      </c>
      <c r="F4" s="23" t="s">
        <v>147</v>
      </c>
      <c r="G4" s="23" t="s">
        <v>148</v>
      </c>
      <c r="H4" s="23" t="s">
        <v>149</v>
      </c>
    </row>
    <row r="5" customFormat="false" ht="202.95" hidden="false" customHeight="false" outlineLevel="0" collapsed="false">
      <c r="A5" s="5" t="s">
        <v>29</v>
      </c>
      <c r="B5" s="6"/>
      <c r="C5" s="6" t="n">
        <v>362</v>
      </c>
      <c r="D5" s="6" t="n">
        <v>255</v>
      </c>
      <c r="E5" s="28" t="s">
        <v>150</v>
      </c>
      <c r="F5" s="28" t="s">
        <v>151</v>
      </c>
      <c r="G5" s="28" t="s">
        <v>152</v>
      </c>
      <c r="H5" s="28"/>
    </row>
    <row r="6" customFormat="false" ht="202.95" hidden="false" customHeight="false" outlineLevel="0" collapsed="false">
      <c r="A6" s="5" t="s">
        <v>30</v>
      </c>
      <c r="B6" s="6"/>
      <c r="C6" s="6" t="n">
        <v>370</v>
      </c>
      <c r="D6" s="6" t="n">
        <v>245</v>
      </c>
      <c r="E6" s="28" t="s">
        <v>153</v>
      </c>
      <c r="F6" s="28" t="s">
        <v>154</v>
      </c>
      <c r="G6" s="28" t="s">
        <v>155</v>
      </c>
      <c r="H6" s="28"/>
    </row>
    <row r="7" customFormat="false" ht="359.7" hidden="false" customHeight="false" outlineLevel="0" collapsed="false">
      <c r="A7" s="5" t="s">
        <v>31</v>
      </c>
      <c r="B7" s="6"/>
      <c r="C7" s="6" t="n">
        <v>346</v>
      </c>
      <c r="D7" s="6" t="n">
        <v>255</v>
      </c>
      <c r="E7" s="28" t="s">
        <v>156</v>
      </c>
      <c r="F7" s="28" t="s">
        <v>157</v>
      </c>
      <c r="G7" s="28" t="s">
        <v>158</v>
      </c>
      <c r="H7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13.4" hidden="false" customHeight="true" outlineLevel="0" collapsed="false">
      <c r="A4" s="14" t="s">
        <v>161</v>
      </c>
      <c r="B4" s="34" t="s">
        <v>162</v>
      </c>
      <c r="C4" s="34"/>
      <c r="D4" s="34"/>
    </row>
    <row r="5" customFormat="false" ht="169.4" hidden="false" customHeight="true" outlineLevel="0" collapsed="false">
      <c r="A5" s="14" t="s">
        <v>163</v>
      </c>
      <c r="B5" s="34" t="s">
        <v>35</v>
      </c>
      <c r="C5" s="34"/>
      <c r="D5" s="34"/>
    </row>
    <row r="6" customFormat="false" ht="57.45" hidden="false" customHeight="true" outlineLevel="0" collapsed="false">
      <c r="A6" s="14" t="s">
        <v>164</v>
      </c>
      <c r="B6" s="34" t="s">
        <v>165</v>
      </c>
      <c r="C6" s="34"/>
      <c r="D6" s="34"/>
    </row>
    <row r="8" customFormat="false" ht="15" hidden="false" customHeight="false" outlineLevel="0" collapsed="false">
      <c r="A8" s="35" t="s">
        <v>166</v>
      </c>
    </row>
    <row r="9" customFormat="false" ht="15" hidden="false" customHeight="false" outlineLevel="0" collapsed="false">
      <c r="A9" s="36" t="s">
        <v>167</v>
      </c>
      <c r="B9" s="36" t="s">
        <v>168</v>
      </c>
      <c r="C9" s="36" t="s">
        <v>169</v>
      </c>
      <c r="D9" s="36" t="s">
        <v>170</v>
      </c>
    </row>
    <row r="10" customFormat="false" ht="102.2" hidden="false" customHeight="false" outlineLevel="0" collapsed="false">
      <c r="A10" s="28" t="s">
        <v>171</v>
      </c>
      <c r="B10" s="28" t="s">
        <v>172</v>
      </c>
      <c r="C10" s="28" t="s">
        <v>173</v>
      </c>
      <c r="D10" s="28" t="s">
        <v>174</v>
      </c>
    </row>
    <row r="11" customFormat="false" ht="124.6" hidden="false" customHeight="false" outlineLevel="0" collapsed="false">
      <c r="A11" s="28" t="s">
        <v>175</v>
      </c>
      <c r="B11" s="28" t="s">
        <v>176</v>
      </c>
      <c r="C11" s="28" t="s">
        <v>177</v>
      </c>
      <c r="D11" s="28" t="s">
        <v>178</v>
      </c>
    </row>
    <row r="12" customFormat="false" ht="102.2" hidden="false" customHeight="false" outlineLevel="0" collapsed="false">
      <c r="A12" s="28" t="s">
        <v>179</v>
      </c>
      <c r="B12" s="28" t="s">
        <v>180</v>
      </c>
      <c r="C12" s="28" t="s">
        <v>181</v>
      </c>
      <c r="D12" s="28" t="s">
        <v>182</v>
      </c>
    </row>
    <row r="13" customFormat="false" ht="169.4" hidden="false" customHeight="false" outlineLevel="0" collapsed="false">
      <c r="A13" s="28" t="s">
        <v>183</v>
      </c>
      <c r="B13" s="28" t="s">
        <v>184</v>
      </c>
      <c r="C13" s="28" t="s">
        <v>185</v>
      </c>
      <c r="D13" s="28" t="s">
        <v>186</v>
      </c>
    </row>
    <row r="14" customFormat="false" ht="46.25" hidden="false" customHeight="false" outlineLevel="0" collapsed="false">
      <c r="A14" s="28" t="s">
        <v>187</v>
      </c>
      <c r="B14" s="28" t="s">
        <v>188</v>
      </c>
      <c r="C14" s="28" t="s">
        <v>189</v>
      </c>
      <c r="D14" s="28" t="s">
        <v>190</v>
      </c>
    </row>
    <row r="15" customFormat="false" ht="79.85" hidden="false" customHeight="false" outlineLevel="0" collapsed="false">
      <c r="A15" s="28" t="s">
        <v>191</v>
      </c>
      <c r="B15" s="28" t="s">
        <v>192</v>
      </c>
      <c r="C15" s="28" t="s">
        <v>193</v>
      </c>
      <c r="D15" s="28" t="s">
        <v>194</v>
      </c>
    </row>
    <row r="16" customFormat="false" ht="57.45" hidden="false" customHeight="false" outlineLevel="0" collapsed="false">
      <c r="A16" s="28" t="s">
        <v>195</v>
      </c>
      <c r="B16" s="28" t="s">
        <v>196</v>
      </c>
      <c r="C16" s="28" t="s">
        <v>197</v>
      </c>
      <c r="D16" s="28" t="s">
        <v>198</v>
      </c>
    </row>
    <row r="18" customFormat="false" ht="15" hidden="false" customHeight="false" outlineLevel="0" collapsed="false">
      <c r="A18" s="35" t="s">
        <v>199</v>
      </c>
    </row>
    <row r="19" customFormat="false" ht="15" hidden="false" customHeight="false" outlineLevel="0" collapsed="false">
      <c r="A19" s="36" t="s">
        <v>200</v>
      </c>
      <c r="B19" s="36" t="s">
        <v>201</v>
      </c>
      <c r="C19" s="36" t="s">
        <v>202</v>
      </c>
      <c r="D19" s="36" t="s">
        <v>203</v>
      </c>
    </row>
    <row r="20" customFormat="false" ht="35.05" hidden="false" customHeight="false" outlineLevel="0" collapsed="false">
      <c r="A20" s="28" t="s">
        <v>204</v>
      </c>
      <c r="B20" s="28" t="s">
        <v>205</v>
      </c>
      <c r="C20" s="28" t="s">
        <v>206</v>
      </c>
      <c r="D20" s="28" t="s">
        <v>207</v>
      </c>
    </row>
    <row r="21" customFormat="false" ht="23.85" hidden="false" customHeight="false" outlineLevel="0" collapsed="false">
      <c r="A21" s="28" t="s">
        <v>208</v>
      </c>
      <c r="B21" s="28" t="s">
        <v>209</v>
      </c>
      <c r="C21" s="28" t="s">
        <v>210</v>
      </c>
      <c r="D21" s="28" t="s">
        <v>211</v>
      </c>
    </row>
    <row r="22" customFormat="false" ht="46.25" hidden="false" customHeight="false" outlineLevel="0" collapsed="false">
      <c r="A22" s="28" t="s">
        <v>212</v>
      </c>
      <c r="B22" s="28" t="s">
        <v>213</v>
      </c>
      <c r="C22" s="28" t="s">
        <v>214</v>
      </c>
      <c r="D22" s="28" t="s">
        <v>215</v>
      </c>
    </row>
    <row r="23" customFormat="false" ht="35.05" hidden="false" customHeight="false" outlineLevel="0" collapsed="false">
      <c r="A23" s="28" t="s">
        <v>216</v>
      </c>
      <c r="B23" s="28" t="s">
        <v>217</v>
      </c>
      <c r="C23" s="28" t="s">
        <v>218</v>
      </c>
      <c r="D23" s="28" t="s">
        <v>219</v>
      </c>
    </row>
    <row r="24" customFormat="false" ht="35.05" hidden="false" customHeight="false" outlineLevel="0" collapsed="false">
      <c r="A24" s="28" t="s">
        <v>220</v>
      </c>
      <c r="B24" s="28" t="s">
        <v>221</v>
      </c>
      <c r="C24" s="28" t="s">
        <v>222</v>
      </c>
      <c r="D24" s="28" t="s">
        <v>223</v>
      </c>
    </row>
    <row r="25" customFormat="false" ht="35.05" hidden="false" customHeight="false" outlineLevel="0" collapsed="false">
      <c r="A25" s="28" t="s">
        <v>224</v>
      </c>
      <c r="B25" s="28" t="s">
        <v>225</v>
      </c>
      <c r="C25" s="28" t="s">
        <v>226</v>
      </c>
      <c r="D25" s="28" t="s">
        <v>227</v>
      </c>
    </row>
    <row r="26" customFormat="false" ht="23.85" hidden="false" customHeight="false" outlineLevel="0" collapsed="false">
      <c r="A26" s="28" t="s">
        <v>228</v>
      </c>
      <c r="B26" s="28" t="s">
        <v>229</v>
      </c>
      <c r="C26" s="28" t="s">
        <v>230</v>
      </c>
      <c r="D26" s="28" t="s">
        <v>231</v>
      </c>
    </row>
    <row r="27" customFormat="false" ht="35.05" hidden="false" customHeight="false" outlineLevel="0" collapsed="false">
      <c r="A27" s="28" t="s">
        <v>232</v>
      </c>
      <c r="B27" s="28" t="s">
        <v>233</v>
      </c>
      <c r="C27" s="28" t="s">
        <v>234</v>
      </c>
      <c r="D27" s="28" t="s">
        <v>235</v>
      </c>
    </row>
    <row r="28" customFormat="false" ht="35.05" hidden="false" customHeight="false" outlineLevel="0" collapsed="false">
      <c r="A28" s="28" t="s">
        <v>236</v>
      </c>
      <c r="B28" s="28" t="s">
        <v>237</v>
      </c>
      <c r="C28" s="28" t="s">
        <v>238</v>
      </c>
      <c r="D28" s="28" t="s">
        <v>239</v>
      </c>
    </row>
    <row r="29" customFormat="false" ht="23.85" hidden="false" customHeight="false" outlineLevel="0" collapsed="false">
      <c r="A29" s="28" t="s">
        <v>240</v>
      </c>
      <c r="B29" s="28" t="s">
        <v>241</v>
      </c>
      <c r="C29" s="28" t="s">
        <v>238</v>
      </c>
      <c r="D29" s="28" t="s">
        <v>242</v>
      </c>
    </row>
    <row r="30" customFormat="false" ht="23.85" hidden="false" customHeight="false" outlineLevel="0" collapsed="false">
      <c r="A30" s="28" t="s">
        <v>243</v>
      </c>
      <c r="B30" s="28" t="s">
        <v>244</v>
      </c>
      <c r="C30" s="28" t="s">
        <v>245</v>
      </c>
      <c r="D30" s="28" t="s">
        <v>246</v>
      </c>
    </row>
    <row r="31" customFormat="false" ht="23.85" hidden="false" customHeight="false" outlineLevel="0" collapsed="false">
      <c r="A31" s="28" t="s">
        <v>247</v>
      </c>
      <c r="B31" s="28" t="s">
        <v>248</v>
      </c>
      <c r="C31" s="28" t="s">
        <v>249</v>
      </c>
      <c r="D31" s="28" t="s">
        <v>250</v>
      </c>
    </row>
    <row r="32" customFormat="false" ht="23.85" hidden="false" customHeight="false" outlineLevel="0" collapsed="false">
      <c r="A32" s="28" t="s">
        <v>251</v>
      </c>
      <c r="B32" s="28" t="s">
        <v>252</v>
      </c>
      <c r="C32" s="28" t="s">
        <v>253</v>
      </c>
      <c r="D32" s="28" t="s">
        <v>254</v>
      </c>
    </row>
    <row r="33" customFormat="false" ht="46.25" hidden="false" customHeight="false" outlineLevel="0" collapsed="false">
      <c r="A33" s="28" t="s">
        <v>255</v>
      </c>
      <c r="B33" s="28" t="s">
        <v>256</v>
      </c>
      <c r="C33" s="28" t="s">
        <v>257</v>
      </c>
      <c r="D33" s="28" t="s">
        <v>258</v>
      </c>
    </row>
    <row r="34" customFormat="false" ht="23.85" hidden="false" customHeight="false" outlineLevel="0" collapsed="false">
      <c r="A34" s="28" t="s">
        <v>259</v>
      </c>
      <c r="B34" s="28"/>
      <c r="C34" s="28"/>
      <c r="D34" s="28" t="s">
        <v>260</v>
      </c>
    </row>
    <row r="36" customFormat="false" ht="15" hidden="false" customHeight="false" outlineLevel="0" collapsed="false">
      <c r="A36" s="35" t="s">
        <v>261</v>
      </c>
    </row>
    <row r="37" customFormat="false" ht="23.85" hidden="false" customHeight="true" outlineLevel="0" collapsed="false">
      <c r="B37" s="34" t="s">
        <v>262</v>
      </c>
      <c r="C37" s="34"/>
      <c r="D37" s="34"/>
    </row>
    <row r="38" customFormat="false" ht="35.05" hidden="false" customHeight="true" outlineLevel="0" collapsed="false">
      <c r="B38" s="34" t="s">
        <v>263</v>
      </c>
      <c r="C38" s="34"/>
      <c r="D38" s="34"/>
    </row>
    <row r="39" customFormat="false" ht="15" hidden="false" customHeight="true" outlineLevel="0" collapsed="false">
      <c r="B39" s="34" t="s">
        <v>264</v>
      </c>
      <c r="C39" s="34"/>
      <c r="D39" s="34"/>
    </row>
    <row r="40" customFormat="false" ht="35.05" hidden="false" customHeight="true" outlineLevel="0" collapsed="false">
      <c r="B40" s="34" t="s">
        <v>265</v>
      </c>
      <c r="C40" s="34"/>
      <c r="D40" s="34"/>
    </row>
    <row r="41" customFormat="false" ht="23.85" hidden="false" customHeight="true" outlineLevel="0" collapsed="false">
      <c r="B41" s="34" t="s">
        <v>266</v>
      </c>
      <c r="C41" s="34"/>
      <c r="D41" s="34"/>
    </row>
    <row r="42" customFormat="false" ht="23.85" hidden="false" customHeight="true" outlineLevel="0" collapsed="false">
      <c r="B42" s="34" t="s">
        <v>267</v>
      </c>
      <c r="C42" s="34"/>
      <c r="D42" s="34"/>
    </row>
    <row r="43" customFormat="false" ht="23.85" hidden="false" customHeight="true" outlineLevel="0" collapsed="false">
      <c r="B43" s="34" t="s">
        <v>268</v>
      </c>
      <c r="C43" s="34"/>
      <c r="D43" s="34"/>
    </row>
    <row r="44" customFormat="false" ht="23.85" hidden="false" customHeight="true" outlineLevel="0" collapsed="false">
      <c r="B44" s="34" t="s">
        <v>269</v>
      </c>
      <c r="C44" s="34"/>
      <c r="D44" s="34"/>
    </row>
    <row r="45" customFormat="false" ht="23.85" hidden="false" customHeight="true" outlineLevel="0" collapsed="false">
      <c r="B45" s="34" t="s">
        <v>270</v>
      </c>
      <c r="C45" s="34"/>
      <c r="D45" s="34"/>
    </row>
    <row r="46" customFormat="false" ht="46.25" hidden="false" customHeight="true" outlineLevel="0" collapsed="false">
      <c r="B46" s="34" t="s">
        <v>271</v>
      </c>
      <c r="C46" s="34"/>
      <c r="D46" s="34"/>
    </row>
    <row r="47" customFormat="false" ht="46.25" hidden="false" customHeight="true" outlineLevel="0" collapsed="false">
      <c r="B47" s="34" t="s">
        <v>272</v>
      </c>
      <c r="C47" s="34"/>
      <c r="D47" s="34"/>
    </row>
    <row r="48" customFormat="false" ht="46.25" hidden="false" customHeight="true" outlineLevel="0" collapsed="false">
      <c r="B48" s="34" t="s">
        <v>273</v>
      </c>
      <c r="C48" s="34"/>
      <c r="D48" s="34"/>
    </row>
    <row r="49" customFormat="false" ht="35.05" hidden="false" customHeight="true" outlineLevel="0" collapsed="false">
      <c r="B49" s="34" t="s">
        <v>274</v>
      </c>
      <c r="C49" s="34"/>
      <c r="D49" s="34"/>
    </row>
    <row r="50" customFormat="false" ht="23.85" hidden="false" customHeight="true" outlineLevel="0" collapsed="false">
      <c r="B50" s="34" t="s">
        <v>275</v>
      </c>
      <c r="C50" s="34"/>
      <c r="D50" s="34"/>
    </row>
    <row r="51" customFormat="false" ht="35.05" hidden="false" customHeight="true" outlineLevel="0" collapsed="false">
      <c r="B51" s="34" t="s">
        <v>276</v>
      </c>
      <c r="C51" s="34"/>
      <c r="D51" s="34"/>
    </row>
    <row r="52" customFormat="false" ht="23.85" hidden="false" customHeight="true" outlineLevel="0" collapsed="false">
      <c r="B52" s="34" t="s">
        <v>277</v>
      </c>
      <c r="C52" s="34"/>
      <c r="D52" s="34"/>
    </row>
    <row r="53" customFormat="false" ht="46.25" hidden="false" customHeight="true" outlineLevel="0" collapsed="false">
      <c r="B53" s="34" t="s">
        <v>278</v>
      </c>
      <c r="C53" s="34"/>
      <c r="D53" s="34"/>
    </row>
    <row r="54" customFormat="false" ht="35.05" hidden="false" customHeight="true" outlineLevel="0" collapsed="false">
      <c r="B54" s="34" t="s">
        <v>279</v>
      </c>
      <c r="C54" s="34"/>
      <c r="D54" s="34"/>
    </row>
    <row r="55" customFormat="false" ht="35.05" hidden="false" customHeight="true" outlineLevel="0" collapsed="false">
      <c r="B55" s="34" t="s">
        <v>280</v>
      </c>
      <c r="C55" s="34"/>
      <c r="D55" s="34"/>
    </row>
    <row r="56" customFormat="false" ht="23.85" hidden="false" customHeight="true" outlineLevel="0" collapsed="false">
      <c r="B56" s="34" t="s">
        <v>281</v>
      </c>
      <c r="C56" s="34"/>
      <c r="D56" s="34"/>
    </row>
    <row r="57" customFormat="false" ht="23.85" hidden="false" customHeight="true" outlineLevel="0" collapsed="false">
      <c r="B57" s="34" t="s">
        <v>282</v>
      </c>
      <c r="C57" s="34"/>
      <c r="D57" s="34"/>
    </row>
    <row r="58" customFormat="false" ht="23.85" hidden="false" customHeight="true" outlineLevel="0" collapsed="false">
      <c r="B58" s="34" t="s">
        <v>283</v>
      </c>
      <c r="C58" s="34"/>
      <c r="D58" s="34"/>
    </row>
    <row r="59" customFormat="false" ht="35.05" hidden="false" customHeight="true" outlineLevel="0" collapsed="false">
      <c r="B59" s="34" t="s">
        <v>284</v>
      </c>
      <c r="C59" s="34"/>
      <c r="D59" s="34"/>
    </row>
    <row r="60" customFormat="false" ht="23.85" hidden="false" customHeight="true" outlineLevel="0" collapsed="false">
      <c r="B60" s="34" t="s">
        <v>285</v>
      </c>
      <c r="C60" s="34"/>
      <c r="D60" s="34"/>
    </row>
    <row r="62" customFormat="false" ht="15" hidden="false" customHeight="false" outlineLevel="0" collapsed="false">
      <c r="A62" s="35" t="s">
        <v>286</v>
      </c>
    </row>
    <row r="63" customFormat="false" ht="15" hidden="false" customHeight="false" outlineLevel="0" collapsed="false">
      <c r="A63" s="5" t="s">
        <v>287</v>
      </c>
      <c r="B63" s="28" t="n">
        <v>12</v>
      </c>
    </row>
    <row r="64" customFormat="false" ht="15" hidden="false" customHeight="false" outlineLevel="0" collapsed="false">
      <c r="A64" s="5" t="s">
        <v>288</v>
      </c>
      <c r="B64" s="28" t="n">
        <v>0.43</v>
      </c>
    </row>
    <row r="65" customFormat="false" ht="102.2" hidden="false" customHeight="false" outlineLevel="0" collapsed="false">
      <c r="A65" s="5" t="s">
        <v>289</v>
      </c>
      <c r="B65" s="28" t="s">
        <v>290</v>
      </c>
    </row>
    <row r="66" customFormat="false" ht="46.25" hidden="false" customHeight="false" outlineLevel="0" collapsed="false">
      <c r="A66" s="5" t="s">
        <v>291</v>
      </c>
      <c r="B66" s="28" t="s">
        <v>292</v>
      </c>
    </row>
    <row r="67" customFormat="false" ht="147" hidden="false" customHeight="false" outlineLevel="0" collapsed="false">
      <c r="A67" s="5" t="s">
        <v>293</v>
      </c>
      <c r="B67" s="28" t="s">
        <v>294</v>
      </c>
    </row>
    <row r="68" customFormat="false" ht="15" hidden="false" customHeight="false" outlineLevel="0" collapsed="false">
      <c r="A68" s="5" t="s">
        <v>295</v>
      </c>
      <c r="B68" s="28" t="s">
        <v>296</v>
      </c>
    </row>
    <row r="69" customFormat="false" ht="68.65" hidden="false" customHeight="false" outlineLevel="0" collapsed="false">
      <c r="A69" s="5" t="s">
        <v>297</v>
      </c>
      <c r="B69" s="28" t="s">
        <v>298</v>
      </c>
    </row>
    <row r="70" customFormat="false" ht="35.05" hidden="false" customHeight="false" outlineLevel="0" collapsed="false">
      <c r="A70" s="5" t="s">
        <v>299</v>
      </c>
      <c r="B70" s="28" t="s">
        <v>300</v>
      </c>
    </row>
  </sheetData>
  <mergeCells count="27">
    <mergeCell ref="B4:D4"/>
    <mergeCell ref="B5:D5"/>
    <mergeCell ref="B6:D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23" t="s">
        <v>72</v>
      </c>
      <c r="B4" s="23" t="s">
        <v>303</v>
      </c>
      <c r="C4" s="23" t="s">
        <v>304</v>
      </c>
      <c r="D4" s="23" t="s">
        <v>305</v>
      </c>
      <c r="E4" s="23" t="s">
        <v>306</v>
      </c>
    </row>
    <row r="5" customFormat="false" ht="35.05" hidden="false" customHeight="false" outlineLevel="0" collapsed="false">
      <c r="A5" s="5" t="s">
        <v>307</v>
      </c>
      <c r="B5" s="5" t="s">
        <v>308</v>
      </c>
      <c r="C5" s="28" t="s">
        <v>309</v>
      </c>
      <c r="D5" s="5" t="s">
        <v>310</v>
      </c>
      <c r="E5" s="22" t="s">
        <v>311</v>
      </c>
    </row>
    <row r="6" customFormat="false" ht="57.45" hidden="false" customHeight="false" outlineLevel="0" collapsed="false">
      <c r="A6" s="5" t="s">
        <v>312</v>
      </c>
      <c r="B6" s="5" t="s">
        <v>308</v>
      </c>
      <c r="C6" s="28" t="s">
        <v>313</v>
      </c>
      <c r="D6" s="5" t="s">
        <v>314</v>
      </c>
      <c r="E6" s="22" t="s">
        <v>315</v>
      </c>
    </row>
    <row r="7" customFormat="false" ht="46.25" hidden="false" customHeight="false" outlineLevel="0" collapsed="false">
      <c r="A7" s="5" t="s">
        <v>316</v>
      </c>
      <c r="B7" s="5" t="s">
        <v>308</v>
      </c>
      <c r="C7" s="28" t="s">
        <v>317</v>
      </c>
      <c r="D7" s="5" t="s">
        <v>310</v>
      </c>
      <c r="E7" s="22" t="s">
        <v>318</v>
      </c>
    </row>
    <row r="8" customFormat="false" ht="35.05" hidden="false" customHeight="false" outlineLevel="0" collapsed="false">
      <c r="A8" s="5" t="s">
        <v>319</v>
      </c>
      <c r="B8" s="5" t="s">
        <v>308</v>
      </c>
      <c r="C8" s="28" t="s">
        <v>320</v>
      </c>
      <c r="D8" s="5" t="s">
        <v>321</v>
      </c>
      <c r="E8" s="22" t="s">
        <v>322</v>
      </c>
    </row>
    <row r="9" customFormat="false" ht="15" hidden="false" customHeight="false" outlineLevel="0" collapsed="false">
      <c r="A9" s="5" t="s">
        <v>323</v>
      </c>
      <c r="B9" s="5" t="s">
        <v>308</v>
      </c>
      <c r="C9" s="28" t="s">
        <v>324</v>
      </c>
      <c r="D9" s="5" t="s">
        <v>325</v>
      </c>
      <c r="E9" s="22" t="s">
        <v>326</v>
      </c>
    </row>
    <row r="10" customFormat="false" ht="23.85" hidden="false" customHeight="false" outlineLevel="0" collapsed="false">
      <c r="A10" s="5" t="s">
        <v>327</v>
      </c>
      <c r="B10" s="5" t="s">
        <v>308</v>
      </c>
      <c r="C10" s="28" t="s">
        <v>328</v>
      </c>
      <c r="D10" s="5" t="s">
        <v>329</v>
      </c>
      <c r="E10" s="22" t="s">
        <v>330</v>
      </c>
    </row>
    <row r="11" customFormat="false" ht="46.25" hidden="false" customHeight="false" outlineLevel="0" collapsed="false">
      <c r="A11" s="5" t="s">
        <v>331</v>
      </c>
      <c r="B11" s="5" t="s">
        <v>308</v>
      </c>
      <c r="C11" s="28" t="s">
        <v>332</v>
      </c>
      <c r="D11" s="5" t="s">
        <v>329</v>
      </c>
      <c r="E11" s="22" t="s">
        <v>333</v>
      </c>
    </row>
    <row r="12" customFormat="false" ht="23.85" hidden="false" customHeight="false" outlineLevel="0" collapsed="false">
      <c r="A12" s="5" t="s">
        <v>334</v>
      </c>
      <c r="B12" s="5" t="s">
        <v>308</v>
      </c>
      <c r="C12" s="28" t="s">
        <v>335</v>
      </c>
      <c r="D12" s="5" t="s">
        <v>329</v>
      </c>
      <c r="E12" s="22" t="s">
        <v>336</v>
      </c>
    </row>
    <row r="13" customFormat="false" ht="23.85" hidden="false" customHeight="false" outlineLevel="0" collapsed="false">
      <c r="A13" s="5" t="s">
        <v>337</v>
      </c>
      <c r="B13" s="5" t="s">
        <v>308</v>
      </c>
      <c r="C13" s="28" t="s">
        <v>338</v>
      </c>
      <c r="D13" s="5" t="s">
        <v>339</v>
      </c>
      <c r="E13" s="22" t="s">
        <v>340</v>
      </c>
    </row>
    <row r="14" customFormat="false" ht="23.85" hidden="false" customHeight="false" outlineLevel="0" collapsed="false">
      <c r="A14" s="5" t="s">
        <v>341</v>
      </c>
      <c r="B14" s="5" t="s">
        <v>308</v>
      </c>
      <c r="C14" s="28" t="s">
        <v>342</v>
      </c>
      <c r="D14" s="5" t="s">
        <v>343</v>
      </c>
      <c r="E14" s="5" t="s">
        <v>344</v>
      </c>
    </row>
    <row r="15" customFormat="false" ht="35.05" hidden="false" customHeight="false" outlineLevel="0" collapsed="false">
      <c r="A15" s="5" t="s">
        <v>345</v>
      </c>
      <c r="B15" s="5" t="s">
        <v>308</v>
      </c>
      <c r="C15" s="28" t="s">
        <v>346</v>
      </c>
      <c r="D15" s="5" t="s">
        <v>329</v>
      </c>
      <c r="E15" s="22" t="s">
        <v>347</v>
      </c>
    </row>
    <row r="16" customFormat="false" ht="23.85" hidden="false" customHeight="false" outlineLevel="0" collapsed="false">
      <c r="A16" s="5" t="s">
        <v>348</v>
      </c>
      <c r="B16" s="5" t="s">
        <v>308</v>
      </c>
      <c r="C16" s="28" t="s">
        <v>349</v>
      </c>
      <c r="D16" s="5" t="s">
        <v>329</v>
      </c>
      <c r="E16" s="22" t="s">
        <v>350</v>
      </c>
    </row>
    <row r="17" customFormat="false" ht="23.85" hidden="false" customHeight="false" outlineLevel="0" collapsed="false">
      <c r="A17" s="5" t="s">
        <v>351</v>
      </c>
      <c r="B17" s="5" t="s">
        <v>308</v>
      </c>
      <c r="C17" s="28" t="s">
        <v>352</v>
      </c>
      <c r="D17" s="5" t="s">
        <v>329</v>
      </c>
      <c r="E17" s="22" t="s">
        <v>353</v>
      </c>
    </row>
    <row r="18" customFormat="false" ht="23.85" hidden="false" customHeight="false" outlineLevel="0" collapsed="false">
      <c r="A18" s="5" t="s">
        <v>354</v>
      </c>
      <c r="B18" s="5" t="s">
        <v>308</v>
      </c>
      <c r="C18" s="28" t="s">
        <v>355</v>
      </c>
      <c r="D18" s="5" t="s">
        <v>343</v>
      </c>
      <c r="E18" s="22" t="s">
        <v>356</v>
      </c>
    </row>
    <row r="19" customFormat="false" ht="23.85" hidden="false" customHeight="false" outlineLevel="0" collapsed="false">
      <c r="A19" s="5" t="s">
        <v>357</v>
      </c>
      <c r="B19" s="5" t="s">
        <v>308</v>
      </c>
      <c r="C19" s="28" t="s">
        <v>358</v>
      </c>
      <c r="D19" s="5" t="s">
        <v>329</v>
      </c>
      <c r="E19" s="22" t="s">
        <v>359</v>
      </c>
    </row>
    <row r="20" customFormat="false" ht="23.85" hidden="false" customHeight="false" outlineLevel="0" collapsed="false">
      <c r="A20" s="5" t="s">
        <v>360</v>
      </c>
      <c r="B20" s="5" t="s">
        <v>308</v>
      </c>
      <c r="C20" s="28" t="s">
        <v>361</v>
      </c>
      <c r="D20" s="5" t="s">
        <v>329</v>
      </c>
      <c r="E20" s="22" t="s">
        <v>362</v>
      </c>
    </row>
    <row r="21" customFormat="false" ht="15" hidden="false" customHeight="false" outlineLevel="0" collapsed="false">
      <c r="A21" s="5" t="s">
        <v>363</v>
      </c>
      <c r="B21" s="5" t="s">
        <v>308</v>
      </c>
      <c r="C21" s="28" t="s">
        <v>364</v>
      </c>
      <c r="D21" s="5" t="s">
        <v>329</v>
      </c>
      <c r="E21" s="22" t="s">
        <v>365</v>
      </c>
    </row>
    <row r="22" customFormat="false" ht="15" hidden="false" customHeight="false" outlineLevel="0" collapsed="false">
      <c r="A22" s="5" t="s">
        <v>366</v>
      </c>
      <c r="B22" s="5" t="s">
        <v>308</v>
      </c>
      <c r="C22" s="28" t="s">
        <v>367</v>
      </c>
      <c r="D22" s="5" t="s">
        <v>329</v>
      </c>
      <c r="E22" s="22" t="s">
        <v>368</v>
      </c>
    </row>
    <row r="23" customFormat="false" ht="23.85" hidden="false" customHeight="false" outlineLevel="0" collapsed="false">
      <c r="A23" s="5" t="s">
        <v>369</v>
      </c>
      <c r="B23" s="5" t="s">
        <v>308</v>
      </c>
      <c r="C23" s="28" t="s">
        <v>370</v>
      </c>
      <c r="D23" s="5" t="s">
        <v>329</v>
      </c>
      <c r="E23" s="22" t="s">
        <v>371</v>
      </c>
    </row>
    <row r="24" customFormat="false" ht="15" hidden="false" customHeight="false" outlineLevel="0" collapsed="false">
      <c r="A24" s="5" t="s">
        <v>372</v>
      </c>
      <c r="B24" s="5" t="s">
        <v>308</v>
      </c>
      <c r="C24" s="28" t="s">
        <v>373</v>
      </c>
      <c r="D24" s="5" t="s">
        <v>329</v>
      </c>
      <c r="E24" s="22" t="s">
        <v>374</v>
      </c>
    </row>
    <row r="25" customFormat="false" ht="15" hidden="false" customHeight="false" outlineLevel="0" collapsed="false">
      <c r="A25" s="5" t="s">
        <v>375</v>
      </c>
      <c r="B25" s="5" t="s">
        <v>308</v>
      </c>
      <c r="C25" s="28" t="s">
        <v>376</v>
      </c>
      <c r="D25" s="5" t="s">
        <v>329</v>
      </c>
      <c r="E25" s="22" t="s">
        <v>377</v>
      </c>
    </row>
    <row r="26" customFormat="false" ht="23.85" hidden="false" customHeight="false" outlineLevel="0" collapsed="false">
      <c r="A26" s="5" t="s">
        <v>378</v>
      </c>
      <c r="B26" s="5" t="s">
        <v>308</v>
      </c>
      <c r="C26" s="28" t="s">
        <v>379</v>
      </c>
      <c r="D26" s="5" t="s">
        <v>329</v>
      </c>
      <c r="E26" s="22" t="s">
        <v>380</v>
      </c>
    </row>
    <row r="27" customFormat="false" ht="15" hidden="false" customHeight="false" outlineLevel="0" collapsed="false">
      <c r="A27" s="5" t="s">
        <v>381</v>
      </c>
      <c r="B27" s="5" t="s">
        <v>308</v>
      </c>
      <c r="C27" s="28" t="s">
        <v>382</v>
      </c>
      <c r="D27" s="5" t="s">
        <v>329</v>
      </c>
      <c r="E27" s="22" t="s">
        <v>383</v>
      </c>
    </row>
    <row r="28" customFormat="false" ht="15" hidden="false" customHeight="false" outlineLevel="0" collapsed="false">
      <c r="A28" s="5" t="s">
        <v>384</v>
      </c>
      <c r="B28" s="5" t="s">
        <v>308</v>
      </c>
      <c r="C28" s="28" t="s">
        <v>385</v>
      </c>
      <c r="D28" s="5" t="s">
        <v>329</v>
      </c>
      <c r="E28" s="22" t="s">
        <v>386</v>
      </c>
    </row>
    <row r="29" customFormat="false" ht="23.85" hidden="false" customHeight="false" outlineLevel="0" collapsed="false">
      <c r="A29" s="5" t="s">
        <v>387</v>
      </c>
      <c r="B29" s="5" t="s">
        <v>308</v>
      </c>
      <c r="C29" s="28" t="s">
        <v>388</v>
      </c>
      <c r="D29" s="5" t="s">
        <v>329</v>
      </c>
      <c r="E29" s="22" t="s">
        <v>389</v>
      </c>
    </row>
    <row r="30" customFormat="false" ht="15" hidden="false" customHeight="false" outlineLevel="0" collapsed="false">
      <c r="A30" s="5" t="s">
        <v>390</v>
      </c>
      <c r="B30" s="5" t="s">
        <v>308</v>
      </c>
      <c r="C30" s="28" t="s">
        <v>391</v>
      </c>
      <c r="D30" s="5" t="s">
        <v>329</v>
      </c>
      <c r="E30" s="22" t="s">
        <v>392</v>
      </c>
    </row>
    <row r="31" customFormat="false" ht="15" hidden="false" customHeight="false" outlineLevel="0" collapsed="false">
      <c r="A31" s="5" t="s">
        <v>393</v>
      </c>
      <c r="B31" s="5" t="s">
        <v>308</v>
      </c>
      <c r="C31" s="28" t="s">
        <v>394</v>
      </c>
      <c r="D31" s="5" t="s">
        <v>329</v>
      </c>
      <c r="E31" s="22" t="s">
        <v>395</v>
      </c>
    </row>
    <row r="32" customFormat="false" ht="23.85" hidden="false" customHeight="false" outlineLevel="0" collapsed="false">
      <c r="A32" s="5" t="s">
        <v>396</v>
      </c>
      <c r="B32" s="5" t="s">
        <v>308</v>
      </c>
      <c r="C32" s="28" t="s">
        <v>397</v>
      </c>
      <c r="D32" s="5" t="s">
        <v>329</v>
      </c>
      <c r="E32" s="22" t="s">
        <v>398</v>
      </c>
    </row>
    <row r="33" customFormat="false" ht="15" hidden="false" customHeight="false" outlineLevel="0" collapsed="false">
      <c r="A33" s="5" t="s">
        <v>399</v>
      </c>
      <c r="B33" s="5" t="s">
        <v>308</v>
      </c>
      <c r="C33" s="28" t="s">
        <v>400</v>
      </c>
      <c r="D33" s="5" t="s">
        <v>329</v>
      </c>
      <c r="E33" s="22" t="s">
        <v>401</v>
      </c>
    </row>
    <row r="34" customFormat="false" ht="15" hidden="false" customHeight="false" outlineLevel="0" collapsed="false">
      <c r="A34" s="5" t="s">
        <v>402</v>
      </c>
      <c r="B34" s="5" t="s">
        <v>308</v>
      </c>
      <c r="C34" s="28" t="s">
        <v>403</v>
      </c>
      <c r="D34" s="5" t="s">
        <v>329</v>
      </c>
      <c r="E34" s="22" t="s">
        <v>404</v>
      </c>
    </row>
    <row r="35" customFormat="false" ht="23.85" hidden="false" customHeight="false" outlineLevel="0" collapsed="false">
      <c r="A35" s="5" t="s">
        <v>405</v>
      </c>
      <c r="B35" s="5" t="s">
        <v>308</v>
      </c>
      <c r="C35" s="28" t="s">
        <v>406</v>
      </c>
      <c r="D35" s="5" t="s">
        <v>329</v>
      </c>
      <c r="E35" s="22" t="s">
        <v>407</v>
      </c>
    </row>
    <row r="36" customFormat="false" ht="15" hidden="false" customHeight="false" outlineLevel="0" collapsed="false">
      <c r="A36" s="5" t="s">
        <v>408</v>
      </c>
      <c r="B36" s="5" t="s">
        <v>308</v>
      </c>
      <c r="C36" s="28" t="s">
        <v>409</v>
      </c>
      <c r="D36" s="5" t="s">
        <v>329</v>
      </c>
      <c r="E36" s="22" t="s">
        <v>410</v>
      </c>
    </row>
    <row r="37" customFormat="false" ht="15" hidden="false" customHeight="false" outlineLevel="0" collapsed="false">
      <c r="A37" s="5" t="s">
        <v>411</v>
      </c>
      <c r="B37" s="5" t="s">
        <v>308</v>
      </c>
      <c r="C37" s="28" t="s">
        <v>412</v>
      </c>
      <c r="D37" s="5" t="s">
        <v>329</v>
      </c>
      <c r="E37" s="22" t="s">
        <v>413</v>
      </c>
    </row>
    <row r="38" customFormat="false" ht="23.85" hidden="false" customHeight="false" outlineLevel="0" collapsed="false">
      <c r="A38" s="5" t="s">
        <v>414</v>
      </c>
      <c r="B38" s="5" t="s">
        <v>308</v>
      </c>
      <c r="C38" s="28" t="s">
        <v>415</v>
      </c>
      <c r="D38" s="5" t="s">
        <v>329</v>
      </c>
      <c r="E38" s="22" t="s">
        <v>416</v>
      </c>
    </row>
    <row r="39" customFormat="false" ht="15" hidden="false" customHeight="false" outlineLevel="0" collapsed="false">
      <c r="A39" s="5" t="s">
        <v>417</v>
      </c>
      <c r="B39" s="5" t="s">
        <v>308</v>
      </c>
      <c r="C39" s="28" t="s">
        <v>418</v>
      </c>
      <c r="D39" s="5" t="s">
        <v>329</v>
      </c>
      <c r="E39" s="22" t="s">
        <v>419</v>
      </c>
    </row>
    <row r="40" customFormat="false" ht="15" hidden="false" customHeight="false" outlineLevel="0" collapsed="false">
      <c r="A40" s="5" t="s">
        <v>420</v>
      </c>
      <c r="B40" s="5" t="s">
        <v>308</v>
      </c>
      <c r="C40" s="28" t="s">
        <v>421</v>
      </c>
      <c r="D40" s="5" t="s">
        <v>329</v>
      </c>
      <c r="E40" s="22" t="s">
        <v>422</v>
      </c>
    </row>
    <row r="41" customFormat="false" ht="23.85" hidden="false" customHeight="false" outlineLevel="0" collapsed="false">
      <c r="A41" s="5" t="s">
        <v>423</v>
      </c>
      <c r="B41" s="5" t="s">
        <v>308</v>
      </c>
      <c r="C41" s="28" t="s">
        <v>424</v>
      </c>
      <c r="D41" s="5" t="s">
        <v>329</v>
      </c>
      <c r="E41" s="22" t="s">
        <v>425</v>
      </c>
    </row>
    <row r="42" customFormat="false" ht="15" hidden="false" customHeight="false" outlineLevel="0" collapsed="false">
      <c r="A42" s="5" t="s">
        <v>426</v>
      </c>
      <c r="B42" s="5" t="s">
        <v>308</v>
      </c>
      <c r="C42" s="28" t="s">
        <v>427</v>
      </c>
      <c r="D42" s="5" t="s">
        <v>329</v>
      </c>
      <c r="E42" s="22" t="s">
        <v>428</v>
      </c>
    </row>
    <row r="43" customFormat="false" ht="15" hidden="false" customHeight="false" outlineLevel="0" collapsed="false">
      <c r="A43" s="5" t="s">
        <v>429</v>
      </c>
      <c r="B43" s="5" t="s">
        <v>308</v>
      </c>
      <c r="C43" s="28" t="s">
        <v>430</v>
      </c>
      <c r="D43" s="5" t="s">
        <v>329</v>
      </c>
      <c r="E43" s="22" t="s">
        <v>431</v>
      </c>
    </row>
    <row r="44" customFormat="false" ht="23.85" hidden="false" customHeight="false" outlineLevel="0" collapsed="false">
      <c r="A44" s="5" t="s">
        <v>432</v>
      </c>
      <c r="B44" s="5" t="s">
        <v>308</v>
      </c>
      <c r="C44" s="28" t="s">
        <v>433</v>
      </c>
      <c r="D44" s="5" t="s">
        <v>329</v>
      </c>
      <c r="E44" s="22" t="s">
        <v>434</v>
      </c>
    </row>
    <row r="45" customFormat="false" ht="15" hidden="false" customHeight="false" outlineLevel="0" collapsed="false">
      <c r="A45" s="5" t="s">
        <v>435</v>
      </c>
      <c r="B45" s="5" t="s">
        <v>308</v>
      </c>
      <c r="C45" s="28" t="s">
        <v>436</v>
      </c>
      <c r="D45" s="5" t="s">
        <v>329</v>
      </c>
      <c r="E45" s="22" t="s">
        <v>437</v>
      </c>
    </row>
    <row r="46" customFormat="false" ht="15" hidden="false" customHeight="false" outlineLevel="0" collapsed="false">
      <c r="A46" s="5" t="s">
        <v>438</v>
      </c>
      <c r="B46" s="5" t="s">
        <v>308</v>
      </c>
      <c r="C46" s="28" t="s">
        <v>439</v>
      </c>
      <c r="D46" s="5" t="s">
        <v>329</v>
      </c>
      <c r="E46" s="22" t="s">
        <v>440</v>
      </c>
    </row>
    <row r="47" customFormat="false" ht="23.85" hidden="false" customHeight="false" outlineLevel="0" collapsed="false">
      <c r="A47" s="5" t="s">
        <v>441</v>
      </c>
      <c r="B47" s="5" t="s">
        <v>308</v>
      </c>
      <c r="C47" s="28" t="s">
        <v>442</v>
      </c>
      <c r="D47" s="5" t="s">
        <v>329</v>
      </c>
      <c r="E47" s="22" t="s">
        <v>443</v>
      </c>
    </row>
    <row r="48" customFormat="false" ht="15" hidden="false" customHeight="false" outlineLevel="0" collapsed="false">
      <c r="A48" s="5" t="s">
        <v>444</v>
      </c>
      <c r="B48" s="5" t="s">
        <v>308</v>
      </c>
      <c r="C48" s="28" t="s">
        <v>445</v>
      </c>
      <c r="D48" s="5" t="s">
        <v>329</v>
      </c>
      <c r="E48" s="22" t="s">
        <v>446</v>
      </c>
    </row>
    <row r="49" customFormat="false" ht="15" hidden="false" customHeight="false" outlineLevel="0" collapsed="false">
      <c r="A49" s="5" t="s">
        <v>447</v>
      </c>
      <c r="B49" s="5" t="s">
        <v>308</v>
      </c>
      <c r="C49" s="28" t="s">
        <v>448</v>
      </c>
      <c r="D49" s="5" t="s">
        <v>329</v>
      </c>
      <c r="E49" s="22" t="s">
        <v>449</v>
      </c>
    </row>
    <row r="50" customFormat="false" ht="23.85" hidden="false" customHeight="false" outlineLevel="0" collapsed="false">
      <c r="A50" s="5" t="s">
        <v>450</v>
      </c>
      <c r="B50" s="5" t="s">
        <v>451</v>
      </c>
      <c r="C50" s="28" t="s">
        <v>452</v>
      </c>
      <c r="D50" s="5" t="s">
        <v>310</v>
      </c>
      <c r="E50" s="22" t="s">
        <v>311</v>
      </c>
    </row>
    <row r="51" customFormat="false" ht="35.05" hidden="false" customHeight="false" outlineLevel="0" collapsed="false">
      <c r="A51" s="5" t="s">
        <v>453</v>
      </c>
      <c r="B51" s="5" t="s">
        <v>451</v>
      </c>
      <c r="C51" s="28" t="s">
        <v>454</v>
      </c>
      <c r="D51" s="5" t="s">
        <v>314</v>
      </c>
      <c r="E51" s="22" t="s">
        <v>315</v>
      </c>
    </row>
    <row r="52" customFormat="false" ht="23.85" hidden="false" customHeight="false" outlineLevel="0" collapsed="false">
      <c r="A52" s="5" t="s">
        <v>455</v>
      </c>
      <c r="B52" s="5" t="s">
        <v>451</v>
      </c>
      <c r="C52" s="28" t="s">
        <v>456</v>
      </c>
      <c r="D52" s="5" t="s">
        <v>329</v>
      </c>
      <c r="E52" s="22" t="s">
        <v>457</v>
      </c>
    </row>
    <row r="53" customFormat="false" ht="23.85" hidden="false" customHeight="false" outlineLevel="0" collapsed="false">
      <c r="A53" s="5" t="s">
        <v>458</v>
      </c>
      <c r="B53" s="5" t="s">
        <v>451</v>
      </c>
      <c r="C53" s="28" t="s">
        <v>459</v>
      </c>
      <c r="D53" s="5" t="s">
        <v>329</v>
      </c>
      <c r="E53" s="22" t="s">
        <v>330</v>
      </c>
    </row>
    <row r="54" customFormat="false" ht="46.25" hidden="false" customHeight="false" outlineLevel="0" collapsed="false">
      <c r="A54" s="5" t="s">
        <v>460</v>
      </c>
      <c r="B54" s="5" t="s">
        <v>451</v>
      </c>
      <c r="C54" s="28" t="s">
        <v>461</v>
      </c>
      <c r="D54" s="5" t="s">
        <v>329</v>
      </c>
      <c r="E54" s="22" t="s">
        <v>333</v>
      </c>
    </row>
    <row r="55" customFormat="false" ht="35.05" hidden="false" customHeight="false" outlineLevel="0" collapsed="false">
      <c r="A55" s="5" t="s">
        <v>462</v>
      </c>
      <c r="B55" s="5" t="s">
        <v>451</v>
      </c>
      <c r="C55" s="28" t="s">
        <v>463</v>
      </c>
      <c r="D55" s="5" t="s">
        <v>329</v>
      </c>
      <c r="E55" s="22" t="s">
        <v>464</v>
      </c>
    </row>
    <row r="56" customFormat="false" ht="23.85" hidden="false" customHeight="false" outlineLevel="0" collapsed="false">
      <c r="A56" s="5" t="s">
        <v>465</v>
      </c>
      <c r="B56" s="5" t="s">
        <v>451</v>
      </c>
      <c r="C56" s="28" t="s">
        <v>466</v>
      </c>
      <c r="D56" s="5" t="s">
        <v>329</v>
      </c>
      <c r="E56" s="22" t="s">
        <v>353</v>
      </c>
    </row>
    <row r="57" customFormat="false" ht="23.85" hidden="false" customHeight="false" outlineLevel="0" collapsed="false">
      <c r="A57" s="5" t="s">
        <v>467</v>
      </c>
      <c r="B57" s="5" t="s">
        <v>451</v>
      </c>
      <c r="C57" s="28" t="s">
        <v>468</v>
      </c>
      <c r="D57" s="5" t="s">
        <v>329</v>
      </c>
      <c r="E57" s="22" t="s">
        <v>368</v>
      </c>
    </row>
    <row r="58" customFormat="false" ht="23.85" hidden="false" customHeight="false" outlineLevel="0" collapsed="false">
      <c r="A58" s="5" t="s">
        <v>469</v>
      </c>
      <c r="B58" s="5" t="s">
        <v>451</v>
      </c>
      <c r="C58" s="28" t="s">
        <v>470</v>
      </c>
      <c r="D58" s="5" t="s">
        <v>329</v>
      </c>
      <c r="E58" s="22" t="s">
        <v>377</v>
      </c>
    </row>
    <row r="59" customFormat="false" ht="23.85" hidden="false" customHeight="false" outlineLevel="0" collapsed="false">
      <c r="A59" s="5" t="s">
        <v>471</v>
      </c>
      <c r="B59" s="5" t="s">
        <v>451</v>
      </c>
      <c r="C59" s="28" t="s">
        <v>472</v>
      </c>
      <c r="D59" s="5" t="s">
        <v>329</v>
      </c>
      <c r="E59" s="22" t="s">
        <v>386</v>
      </c>
    </row>
    <row r="60" customFormat="false" ht="23.85" hidden="false" customHeight="false" outlineLevel="0" collapsed="false">
      <c r="A60" s="5" t="s">
        <v>473</v>
      </c>
      <c r="B60" s="5" t="s">
        <v>451</v>
      </c>
      <c r="C60" s="28" t="s">
        <v>474</v>
      </c>
      <c r="D60" s="5" t="s">
        <v>329</v>
      </c>
      <c r="E60" s="22" t="s">
        <v>475</v>
      </c>
    </row>
    <row r="61" customFormat="false" ht="23.85" hidden="false" customHeight="false" outlineLevel="0" collapsed="false">
      <c r="A61" s="5" t="s">
        <v>476</v>
      </c>
      <c r="B61" s="5" t="s">
        <v>451</v>
      </c>
      <c r="C61" s="28" t="s">
        <v>477</v>
      </c>
      <c r="D61" s="5" t="s">
        <v>329</v>
      </c>
      <c r="E61" s="22" t="s">
        <v>395</v>
      </c>
    </row>
    <row r="62" customFormat="false" ht="23.85" hidden="false" customHeight="false" outlineLevel="0" collapsed="false">
      <c r="A62" s="5" t="s">
        <v>478</v>
      </c>
      <c r="B62" s="5" t="s">
        <v>451</v>
      </c>
      <c r="C62" s="28" t="s">
        <v>479</v>
      </c>
      <c r="D62" s="5" t="s">
        <v>329</v>
      </c>
      <c r="E62" s="22" t="s">
        <v>413</v>
      </c>
    </row>
    <row r="63" customFormat="false" ht="23.85" hidden="false" customHeight="false" outlineLevel="0" collapsed="false">
      <c r="A63" s="5" t="s">
        <v>480</v>
      </c>
      <c r="B63" s="5" t="s">
        <v>451</v>
      </c>
      <c r="C63" s="28" t="s">
        <v>481</v>
      </c>
      <c r="D63" s="5" t="s">
        <v>329</v>
      </c>
      <c r="E63" s="22" t="s">
        <v>482</v>
      </c>
    </row>
    <row r="64" customFormat="false" ht="23.85" hidden="false" customHeight="false" outlineLevel="0" collapsed="false">
      <c r="A64" s="5" t="s">
        <v>483</v>
      </c>
      <c r="B64" s="5" t="s">
        <v>451</v>
      </c>
      <c r="C64" s="28" t="s">
        <v>484</v>
      </c>
      <c r="D64" s="5" t="s">
        <v>329</v>
      </c>
      <c r="E64" s="22" t="s">
        <v>449</v>
      </c>
    </row>
    <row r="65" customFormat="false" ht="23.85" hidden="false" customHeight="false" outlineLevel="0" collapsed="false">
      <c r="A65" s="5" t="s">
        <v>485</v>
      </c>
      <c r="B65" s="5" t="s">
        <v>451</v>
      </c>
      <c r="C65" s="28" t="s">
        <v>486</v>
      </c>
      <c r="D65" s="5" t="s">
        <v>329</v>
      </c>
      <c r="E65" s="22" t="s">
        <v>487</v>
      </c>
    </row>
    <row r="66" customFormat="false" ht="23.85" hidden="false" customHeight="false" outlineLevel="0" collapsed="false">
      <c r="A66" s="5" t="s">
        <v>488</v>
      </c>
      <c r="B66" s="5" t="s">
        <v>451</v>
      </c>
      <c r="C66" s="28" t="s">
        <v>489</v>
      </c>
      <c r="D66" s="5" t="s">
        <v>329</v>
      </c>
      <c r="E66" s="22" t="s">
        <v>490</v>
      </c>
    </row>
    <row r="67" customFormat="false" ht="23.85" hidden="false" customHeight="false" outlineLevel="0" collapsed="false">
      <c r="A67" s="5" t="s">
        <v>491</v>
      </c>
      <c r="B67" s="5" t="s">
        <v>451</v>
      </c>
      <c r="C67" s="28" t="s">
        <v>492</v>
      </c>
      <c r="D67" s="5" t="s">
        <v>329</v>
      </c>
      <c r="E67" s="22" t="s">
        <v>493</v>
      </c>
    </row>
    <row r="68" customFormat="false" ht="23.85" hidden="false" customHeight="false" outlineLevel="0" collapsed="false">
      <c r="A68" s="5" t="s">
        <v>494</v>
      </c>
      <c r="B68" s="5" t="s">
        <v>451</v>
      </c>
      <c r="C68" s="28" t="s">
        <v>495</v>
      </c>
      <c r="D68" s="5" t="s">
        <v>329</v>
      </c>
      <c r="E68" s="22" t="s">
        <v>496</v>
      </c>
    </row>
    <row r="69" customFormat="false" ht="35.05" hidden="false" customHeight="false" outlineLevel="0" collapsed="false">
      <c r="A69" s="5" t="s">
        <v>497</v>
      </c>
      <c r="B69" s="5" t="s">
        <v>451</v>
      </c>
      <c r="C69" s="28" t="s">
        <v>498</v>
      </c>
      <c r="D69" s="5" t="s">
        <v>329</v>
      </c>
      <c r="E69" s="22" t="s">
        <v>499</v>
      </c>
    </row>
    <row r="70" customFormat="false" ht="23.85" hidden="false" customHeight="false" outlineLevel="0" collapsed="false">
      <c r="A70" s="5" t="s">
        <v>500</v>
      </c>
      <c r="B70" s="5" t="s">
        <v>451</v>
      </c>
      <c r="C70" s="28" t="s">
        <v>501</v>
      </c>
      <c r="D70" s="5" t="s">
        <v>502</v>
      </c>
      <c r="E70" s="22" t="s">
        <v>503</v>
      </c>
    </row>
    <row r="71" customFormat="false" ht="35.05" hidden="false" customHeight="false" outlineLevel="0" collapsed="false">
      <c r="A71" s="5" t="s">
        <v>504</v>
      </c>
      <c r="B71" s="5" t="s">
        <v>451</v>
      </c>
      <c r="C71" s="28" t="s">
        <v>505</v>
      </c>
      <c r="D71" s="5" t="s">
        <v>329</v>
      </c>
      <c r="E71" s="22" t="s">
        <v>506</v>
      </c>
    </row>
    <row r="72" customFormat="false" ht="35.05" hidden="false" customHeight="false" outlineLevel="0" collapsed="false">
      <c r="A72" s="5" t="s">
        <v>507</v>
      </c>
      <c r="B72" s="5" t="s">
        <v>451</v>
      </c>
      <c r="C72" s="28" t="s">
        <v>508</v>
      </c>
      <c r="D72" s="5" t="s">
        <v>329</v>
      </c>
      <c r="E72" s="22" t="s">
        <v>509</v>
      </c>
    </row>
    <row r="73" customFormat="false" ht="23.85" hidden="false" customHeight="false" outlineLevel="0" collapsed="false">
      <c r="A73" s="5" t="s">
        <v>510</v>
      </c>
      <c r="B73" s="5" t="s">
        <v>451</v>
      </c>
      <c r="C73" s="28" t="s">
        <v>511</v>
      </c>
      <c r="D73" s="5" t="s">
        <v>343</v>
      </c>
      <c r="E73" s="22" t="s">
        <v>512</v>
      </c>
    </row>
    <row r="74" customFormat="false" ht="35.05" hidden="false" customHeight="false" outlineLevel="0" collapsed="false">
      <c r="A74" s="5" t="s">
        <v>513</v>
      </c>
      <c r="B74" s="5" t="s">
        <v>451</v>
      </c>
      <c r="C74" s="28" t="s">
        <v>514</v>
      </c>
      <c r="D74" s="5" t="s">
        <v>329</v>
      </c>
      <c r="E74" s="22" t="s">
        <v>515</v>
      </c>
    </row>
    <row r="75" customFormat="false" ht="23.85" hidden="false" customHeight="false" outlineLevel="0" collapsed="false">
      <c r="A75" s="5" t="s">
        <v>516</v>
      </c>
      <c r="B75" s="5" t="s">
        <v>451</v>
      </c>
      <c r="C75" s="28" t="s">
        <v>517</v>
      </c>
      <c r="D75" s="5" t="s">
        <v>518</v>
      </c>
      <c r="E75" s="22" t="s">
        <v>519</v>
      </c>
    </row>
    <row r="76" customFormat="false" ht="23.85" hidden="false" customHeight="false" outlineLevel="0" collapsed="false">
      <c r="A76" s="5" t="s">
        <v>520</v>
      </c>
      <c r="B76" s="5" t="s">
        <v>451</v>
      </c>
      <c r="C76" s="28" t="s">
        <v>521</v>
      </c>
      <c r="D76" s="5" t="s">
        <v>522</v>
      </c>
      <c r="E76" s="22" t="s">
        <v>523</v>
      </c>
    </row>
    <row r="77" customFormat="false" ht="46.25" hidden="false" customHeight="false" outlineLevel="0" collapsed="false">
      <c r="A77" s="5" t="s">
        <v>524</v>
      </c>
      <c r="B77" s="5" t="s">
        <v>451</v>
      </c>
      <c r="C77" s="28" t="s">
        <v>525</v>
      </c>
      <c r="D77" s="5" t="s">
        <v>329</v>
      </c>
      <c r="E77" s="22" t="s">
        <v>526</v>
      </c>
    </row>
    <row r="78" customFormat="false" ht="46.25" hidden="false" customHeight="false" outlineLevel="0" collapsed="false">
      <c r="A78" s="5" t="s">
        <v>527</v>
      </c>
      <c r="B78" s="5" t="s">
        <v>451</v>
      </c>
      <c r="C78" s="28" t="s">
        <v>528</v>
      </c>
      <c r="D78" s="5" t="s">
        <v>343</v>
      </c>
      <c r="E78" s="5" t="s">
        <v>344</v>
      </c>
    </row>
    <row r="79" customFormat="false" ht="35.05" hidden="false" customHeight="false" outlineLevel="0" collapsed="false">
      <c r="A79" s="5" t="s">
        <v>529</v>
      </c>
      <c r="B79" s="5" t="s">
        <v>451</v>
      </c>
      <c r="C79" s="28" t="s">
        <v>530</v>
      </c>
      <c r="D79" s="5" t="s">
        <v>329</v>
      </c>
      <c r="E79" s="22" t="s">
        <v>531</v>
      </c>
    </row>
    <row r="80" customFormat="false" ht="15" hidden="false" customHeight="false" outlineLevel="0" collapsed="false">
      <c r="A80" s="5" t="s">
        <v>532</v>
      </c>
      <c r="B80" s="5" t="s">
        <v>533</v>
      </c>
      <c r="C80" s="28" t="s">
        <v>534</v>
      </c>
      <c r="D80" s="5" t="s">
        <v>310</v>
      </c>
      <c r="E80" s="22" t="s">
        <v>311</v>
      </c>
    </row>
    <row r="81" customFormat="false" ht="15" hidden="false" customHeight="false" outlineLevel="0" collapsed="false">
      <c r="A81" s="5" t="s">
        <v>535</v>
      </c>
      <c r="B81" s="5" t="s">
        <v>533</v>
      </c>
      <c r="C81" s="28" t="s">
        <v>536</v>
      </c>
      <c r="D81" s="5" t="s">
        <v>314</v>
      </c>
      <c r="E81" s="22" t="s">
        <v>315</v>
      </c>
    </row>
    <row r="82" customFormat="false" ht="23.85" hidden="false" customHeight="false" outlineLevel="0" collapsed="false">
      <c r="A82" s="5" t="s">
        <v>537</v>
      </c>
      <c r="B82" s="5" t="s">
        <v>533</v>
      </c>
      <c r="C82" s="28" t="s">
        <v>538</v>
      </c>
      <c r="D82" s="5" t="s">
        <v>314</v>
      </c>
      <c r="E82" s="22" t="s">
        <v>539</v>
      </c>
    </row>
    <row r="83" customFormat="false" ht="23.85" hidden="false" customHeight="false" outlineLevel="0" collapsed="false">
      <c r="A83" s="5" t="s">
        <v>540</v>
      </c>
      <c r="B83" s="5" t="s">
        <v>533</v>
      </c>
      <c r="C83" s="28" t="s">
        <v>541</v>
      </c>
      <c r="D83" s="5" t="s">
        <v>314</v>
      </c>
      <c r="E83" s="22" t="s">
        <v>542</v>
      </c>
    </row>
    <row r="84" customFormat="false" ht="23.85" hidden="false" customHeight="false" outlineLevel="0" collapsed="false">
      <c r="A84" s="5" t="s">
        <v>543</v>
      </c>
      <c r="B84" s="5" t="s">
        <v>533</v>
      </c>
      <c r="C84" s="28" t="s">
        <v>544</v>
      </c>
      <c r="D84" s="5" t="s">
        <v>545</v>
      </c>
      <c r="E84" s="22" t="s">
        <v>546</v>
      </c>
    </row>
    <row r="85" customFormat="false" ht="23.85" hidden="false" customHeight="false" outlineLevel="0" collapsed="false">
      <c r="A85" s="5" t="s">
        <v>547</v>
      </c>
      <c r="B85" s="5" t="s">
        <v>533</v>
      </c>
      <c r="C85" s="28" t="s">
        <v>548</v>
      </c>
      <c r="D85" s="5" t="s">
        <v>545</v>
      </c>
      <c r="E85" s="22" t="s">
        <v>549</v>
      </c>
    </row>
    <row r="86" customFormat="false" ht="15" hidden="false" customHeight="false" outlineLevel="0" collapsed="false">
      <c r="A86" s="5" t="s">
        <v>550</v>
      </c>
      <c r="B86" s="5" t="s">
        <v>533</v>
      </c>
      <c r="C86" s="28" t="s">
        <v>551</v>
      </c>
      <c r="D86" s="5" t="s">
        <v>552</v>
      </c>
      <c r="E86" s="22" t="s">
        <v>553</v>
      </c>
    </row>
    <row r="87" customFormat="false" ht="15" hidden="false" customHeight="false" outlineLevel="0" collapsed="false">
      <c r="A87" s="5" t="s">
        <v>554</v>
      </c>
      <c r="B87" s="5" t="s">
        <v>533</v>
      </c>
      <c r="C87" s="28" t="s">
        <v>555</v>
      </c>
      <c r="D87" s="5" t="s">
        <v>556</v>
      </c>
      <c r="E87" s="22" t="s">
        <v>557</v>
      </c>
    </row>
    <row r="88" customFormat="false" ht="23.85" hidden="false" customHeight="false" outlineLevel="0" collapsed="false">
      <c r="A88" s="5" t="s">
        <v>558</v>
      </c>
      <c r="B88" s="5" t="s">
        <v>533</v>
      </c>
      <c r="C88" s="28" t="s">
        <v>559</v>
      </c>
      <c r="D88" s="5" t="s">
        <v>329</v>
      </c>
      <c r="E88" s="22" t="s">
        <v>560</v>
      </c>
    </row>
    <row r="89" customFormat="false" ht="46.25" hidden="false" customHeight="false" outlineLevel="0" collapsed="false">
      <c r="A89" s="5" t="s">
        <v>561</v>
      </c>
      <c r="B89" s="5" t="s">
        <v>533</v>
      </c>
      <c r="C89" s="28" t="s">
        <v>562</v>
      </c>
      <c r="D89" s="5" t="s">
        <v>310</v>
      </c>
      <c r="E89" s="22" t="s">
        <v>563</v>
      </c>
    </row>
    <row r="90" customFormat="false" ht="15" hidden="false" customHeight="false" outlineLevel="0" collapsed="false">
      <c r="A90" s="5" t="s">
        <v>564</v>
      </c>
      <c r="B90" s="5" t="s">
        <v>533</v>
      </c>
      <c r="C90" s="28" t="s">
        <v>565</v>
      </c>
      <c r="D90" s="5" t="s">
        <v>566</v>
      </c>
      <c r="E90" s="22" t="s">
        <v>567</v>
      </c>
    </row>
    <row r="91" customFormat="false" ht="23.85" hidden="false" customHeight="false" outlineLevel="0" collapsed="false">
      <c r="A91" s="5" t="s">
        <v>568</v>
      </c>
      <c r="B91" s="5" t="s">
        <v>533</v>
      </c>
      <c r="C91" s="28" t="s">
        <v>569</v>
      </c>
      <c r="D91" s="5" t="s">
        <v>502</v>
      </c>
      <c r="E91" s="22" t="s">
        <v>570</v>
      </c>
    </row>
    <row r="92" customFormat="false" ht="15" hidden="false" customHeight="false" outlineLevel="0" collapsed="false">
      <c r="A92" s="5" t="s">
        <v>571</v>
      </c>
      <c r="B92" s="5" t="s">
        <v>533</v>
      </c>
      <c r="C92" s="28" t="s">
        <v>572</v>
      </c>
      <c r="D92" s="5" t="s">
        <v>573</v>
      </c>
      <c r="E92" s="22" t="s">
        <v>574</v>
      </c>
    </row>
    <row r="93" customFormat="false" ht="23.85" hidden="false" customHeight="false" outlineLevel="0" collapsed="false">
      <c r="A93" s="5" t="s">
        <v>575</v>
      </c>
      <c r="B93" s="5" t="s">
        <v>533</v>
      </c>
      <c r="C93" s="28" t="s">
        <v>576</v>
      </c>
      <c r="D93" s="5" t="s">
        <v>329</v>
      </c>
      <c r="E93" s="22" t="s">
        <v>577</v>
      </c>
    </row>
    <row r="94" customFormat="false" ht="15" hidden="false" customHeight="false" outlineLevel="0" collapsed="false">
      <c r="A94" s="5" t="s">
        <v>578</v>
      </c>
      <c r="B94" s="5" t="s">
        <v>533</v>
      </c>
      <c r="C94" s="28" t="s">
        <v>579</v>
      </c>
      <c r="D94" s="5" t="s">
        <v>329</v>
      </c>
      <c r="E94" s="22" t="s">
        <v>353</v>
      </c>
    </row>
    <row r="95" customFormat="false" ht="15" hidden="false" customHeight="false" outlineLevel="0" collapsed="false">
      <c r="A95" s="5" t="s">
        <v>580</v>
      </c>
      <c r="B95" s="5" t="s">
        <v>533</v>
      </c>
      <c r="C95" s="28" t="s">
        <v>581</v>
      </c>
      <c r="D95" s="5" t="s">
        <v>329</v>
      </c>
      <c r="E95" s="22" t="s">
        <v>347</v>
      </c>
    </row>
    <row r="96" customFormat="false" ht="15" hidden="false" customHeight="false" outlineLevel="0" collapsed="false">
      <c r="A96" s="5" t="s">
        <v>582</v>
      </c>
      <c r="B96" s="5" t="s">
        <v>533</v>
      </c>
      <c r="C96" s="28" t="s">
        <v>583</v>
      </c>
      <c r="D96" s="5" t="s">
        <v>329</v>
      </c>
      <c r="E96" s="22" t="s">
        <v>584</v>
      </c>
    </row>
    <row r="97" customFormat="false" ht="15" hidden="false" customHeight="false" outlineLevel="0" collapsed="false">
      <c r="A97" s="5" t="s">
        <v>585</v>
      </c>
      <c r="B97" s="5" t="s">
        <v>533</v>
      </c>
      <c r="C97" s="28" t="s">
        <v>586</v>
      </c>
      <c r="D97" s="5" t="s">
        <v>329</v>
      </c>
      <c r="E97" s="22" t="s">
        <v>587</v>
      </c>
    </row>
    <row r="98" customFormat="false" ht="15" hidden="false" customHeight="false" outlineLevel="0" collapsed="false">
      <c r="A98" s="5" t="s">
        <v>588</v>
      </c>
      <c r="B98" s="5" t="s">
        <v>533</v>
      </c>
      <c r="C98" s="28" t="s">
        <v>589</v>
      </c>
      <c r="D98" s="5" t="s">
        <v>329</v>
      </c>
      <c r="E98" s="22" t="s">
        <v>590</v>
      </c>
    </row>
    <row r="99" customFormat="false" ht="15" hidden="false" customHeight="false" outlineLevel="0" collapsed="false">
      <c r="A99" s="5" t="s">
        <v>591</v>
      </c>
      <c r="B99" s="5" t="s">
        <v>533</v>
      </c>
      <c r="C99" s="28" t="s">
        <v>592</v>
      </c>
      <c r="D99" s="5" t="s">
        <v>329</v>
      </c>
      <c r="E99" s="22" t="s">
        <v>593</v>
      </c>
    </row>
    <row r="100" customFormat="false" ht="15" hidden="false" customHeight="false" outlineLevel="0" collapsed="false">
      <c r="A100" s="5" t="s">
        <v>594</v>
      </c>
      <c r="B100" s="5" t="s">
        <v>533</v>
      </c>
      <c r="C100" s="28" t="s">
        <v>595</v>
      </c>
      <c r="D100" s="5" t="s">
        <v>329</v>
      </c>
      <c r="E100" s="22" t="s">
        <v>596</v>
      </c>
    </row>
    <row r="101" customFormat="false" ht="15" hidden="false" customHeight="false" outlineLevel="0" collapsed="false">
      <c r="A101" s="5" t="s">
        <v>597</v>
      </c>
      <c r="B101" s="5" t="s">
        <v>533</v>
      </c>
      <c r="C101" s="28" t="s">
        <v>598</v>
      </c>
      <c r="D101" s="5" t="s">
        <v>329</v>
      </c>
      <c r="E101" s="22" t="s">
        <v>599</v>
      </c>
    </row>
    <row r="102" customFormat="false" ht="15" hidden="false" customHeight="false" outlineLevel="0" collapsed="false">
      <c r="A102" s="5" t="s">
        <v>600</v>
      </c>
      <c r="B102" s="5" t="s">
        <v>533</v>
      </c>
      <c r="C102" s="28" t="s">
        <v>601</v>
      </c>
      <c r="D102" s="5" t="s">
        <v>329</v>
      </c>
      <c r="E102" s="22" t="s">
        <v>602</v>
      </c>
    </row>
    <row r="103" customFormat="false" ht="15" hidden="false" customHeight="false" outlineLevel="0" collapsed="false">
      <c r="A103" s="5" t="s">
        <v>603</v>
      </c>
      <c r="B103" s="5" t="s">
        <v>533</v>
      </c>
      <c r="C103" s="28" t="s">
        <v>604</v>
      </c>
      <c r="D103" s="5" t="s">
        <v>329</v>
      </c>
      <c r="E103" s="22" t="s">
        <v>605</v>
      </c>
    </row>
    <row r="104" customFormat="false" ht="15" hidden="false" customHeight="false" outlineLevel="0" collapsed="false">
      <c r="A104" s="5" t="s">
        <v>606</v>
      </c>
      <c r="B104" s="5" t="s">
        <v>533</v>
      </c>
      <c r="C104" s="28" t="s">
        <v>607</v>
      </c>
      <c r="D104" s="5" t="s">
        <v>329</v>
      </c>
      <c r="E104" s="22" t="s">
        <v>608</v>
      </c>
    </row>
    <row r="105" customFormat="false" ht="15" hidden="false" customHeight="false" outlineLevel="0" collapsed="false">
      <c r="A105" s="5" t="s">
        <v>609</v>
      </c>
      <c r="B105" s="5" t="s">
        <v>533</v>
      </c>
      <c r="C105" s="28" t="s">
        <v>610</v>
      </c>
      <c r="D105" s="5" t="s">
        <v>329</v>
      </c>
      <c r="E105" s="22" t="s">
        <v>611</v>
      </c>
    </row>
    <row r="106" customFormat="false" ht="23.85" hidden="false" customHeight="false" outlineLevel="0" collapsed="false">
      <c r="A106" s="5" t="s">
        <v>612</v>
      </c>
      <c r="B106" s="5" t="s">
        <v>533</v>
      </c>
      <c r="C106" s="28" t="s">
        <v>613</v>
      </c>
      <c r="D106" s="5" t="s">
        <v>614</v>
      </c>
      <c r="E106" s="22" t="s">
        <v>615</v>
      </c>
    </row>
    <row r="107" customFormat="false" ht="15" hidden="false" customHeight="false" outlineLevel="0" collapsed="false">
      <c r="A107" s="5" t="s">
        <v>616</v>
      </c>
      <c r="B107" s="5" t="s">
        <v>533</v>
      </c>
      <c r="C107" s="28" t="s">
        <v>617</v>
      </c>
      <c r="D107" s="5" t="s">
        <v>618</v>
      </c>
      <c r="E107" s="22" t="s">
        <v>619</v>
      </c>
    </row>
    <row r="108" customFormat="false" ht="15" hidden="false" customHeight="false" outlineLevel="0" collapsed="false">
      <c r="A108" s="5" t="s">
        <v>620</v>
      </c>
      <c r="B108" s="5" t="s">
        <v>533</v>
      </c>
      <c r="C108" s="28" t="s">
        <v>621</v>
      </c>
      <c r="D108" s="5" t="s">
        <v>618</v>
      </c>
      <c r="E108" s="22" t="s">
        <v>622</v>
      </c>
    </row>
    <row r="109" customFormat="false" ht="15" hidden="false" customHeight="false" outlineLevel="0" collapsed="false">
      <c r="A109" s="5" t="s">
        <v>623</v>
      </c>
      <c r="B109" s="5" t="s">
        <v>533</v>
      </c>
      <c r="C109" s="28" t="s">
        <v>624</v>
      </c>
      <c r="D109" s="5" t="s">
        <v>614</v>
      </c>
      <c r="E109" s="22" t="s">
        <v>625</v>
      </c>
    </row>
    <row r="110" customFormat="false" ht="23.85" hidden="false" customHeight="false" outlineLevel="0" collapsed="false">
      <c r="A110" s="5" t="s">
        <v>626</v>
      </c>
      <c r="B110" s="5" t="s">
        <v>533</v>
      </c>
      <c r="C110" s="28" t="s">
        <v>627</v>
      </c>
      <c r="D110" s="5" t="s">
        <v>628</v>
      </c>
      <c r="E110" s="22" t="s">
        <v>629</v>
      </c>
    </row>
    <row r="111" customFormat="false" ht="23.85" hidden="false" customHeight="false" outlineLevel="0" collapsed="false">
      <c r="A111" s="5" t="s">
        <v>630</v>
      </c>
      <c r="B111" s="5" t="s">
        <v>533</v>
      </c>
      <c r="C111" s="28" t="s">
        <v>631</v>
      </c>
      <c r="D111" s="5" t="s">
        <v>632</v>
      </c>
      <c r="E111" s="22" t="s">
        <v>633</v>
      </c>
    </row>
    <row r="112" customFormat="false" ht="15" hidden="false" customHeight="false" outlineLevel="0" collapsed="false">
      <c r="A112" s="5" t="s">
        <v>634</v>
      </c>
      <c r="B112" s="5" t="s">
        <v>533</v>
      </c>
      <c r="C112" s="28" t="s">
        <v>635</v>
      </c>
      <c r="D112" s="5" t="s">
        <v>636</v>
      </c>
      <c r="E112" s="22" t="s">
        <v>637</v>
      </c>
    </row>
    <row r="113" customFormat="false" ht="23.85" hidden="false" customHeight="false" outlineLevel="0" collapsed="false">
      <c r="A113" s="5" t="s">
        <v>638</v>
      </c>
      <c r="B113" s="5" t="s">
        <v>533</v>
      </c>
      <c r="C113" s="28" t="s">
        <v>639</v>
      </c>
      <c r="D113" s="5" t="s">
        <v>314</v>
      </c>
      <c r="E113" s="22" t="s">
        <v>640</v>
      </c>
    </row>
    <row r="114" customFormat="false" ht="23.85" hidden="false" customHeight="false" outlineLevel="0" collapsed="false">
      <c r="A114" s="5" t="s">
        <v>641</v>
      </c>
      <c r="B114" s="5" t="s">
        <v>533</v>
      </c>
      <c r="C114" s="28" t="s">
        <v>642</v>
      </c>
      <c r="D114" s="5" t="s">
        <v>643</v>
      </c>
      <c r="E114" s="22" t="s">
        <v>644</v>
      </c>
    </row>
    <row r="115" customFormat="false" ht="23.85" hidden="false" customHeight="false" outlineLevel="0" collapsed="false">
      <c r="A115" s="5" t="s">
        <v>645</v>
      </c>
      <c r="B115" s="5" t="s">
        <v>533</v>
      </c>
      <c r="C115" s="28" t="s">
        <v>646</v>
      </c>
      <c r="D115" s="5" t="s">
        <v>502</v>
      </c>
      <c r="E115" s="22" t="s">
        <v>647</v>
      </c>
    </row>
    <row r="116" customFormat="false" ht="15" hidden="false" customHeight="false" outlineLevel="0" collapsed="false">
      <c r="A116" s="5" t="s">
        <v>648</v>
      </c>
      <c r="B116" s="5" t="s">
        <v>533</v>
      </c>
      <c r="C116" s="28" t="s">
        <v>649</v>
      </c>
      <c r="D116" s="5" t="s">
        <v>329</v>
      </c>
      <c r="E116" s="22" t="s">
        <v>650</v>
      </c>
    </row>
    <row r="117" customFormat="false" ht="23.85" hidden="false" customHeight="false" outlineLevel="0" collapsed="false">
      <c r="A117" s="5" t="s">
        <v>651</v>
      </c>
      <c r="B117" s="5" t="s">
        <v>533</v>
      </c>
      <c r="C117" s="28" t="s">
        <v>652</v>
      </c>
      <c r="D117" s="5" t="s">
        <v>653</v>
      </c>
      <c r="E117" s="22" t="s">
        <v>654</v>
      </c>
    </row>
    <row r="118" customFormat="false" ht="15" hidden="false" customHeight="false" outlineLevel="0" collapsed="false">
      <c r="A118" s="5" t="s">
        <v>655</v>
      </c>
      <c r="B118" s="5" t="s">
        <v>533</v>
      </c>
      <c r="C118" s="28" t="s">
        <v>656</v>
      </c>
      <c r="D118" s="5" t="s">
        <v>325</v>
      </c>
      <c r="E118" s="22" t="s">
        <v>326</v>
      </c>
    </row>
    <row r="119" customFormat="false" ht="23.85" hidden="false" customHeight="false" outlineLevel="0" collapsed="false">
      <c r="A119" s="5" t="s">
        <v>657</v>
      </c>
      <c r="B119" s="5" t="s">
        <v>533</v>
      </c>
      <c r="C119" s="28" t="s">
        <v>658</v>
      </c>
      <c r="D119" s="5" t="s">
        <v>343</v>
      </c>
      <c r="E119" s="5" t="s">
        <v>659</v>
      </c>
    </row>
    <row r="120" customFormat="false" ht="23.85" hidden="false" customHeight="false" outlineLevel="0" collapsed="false">
      <c r="A120" s="5" t="s">
        <v>660</v>
      </c>
      <c r="B120" s="5" t="s">
        <v>533</v>
      </c>
      <c r="C120" s="28" t="s">
        <v>661</v>
      </c>
      <c r="D120" s="5" t="s">
        <v>662</v>
      </c>
      <c r="E120" s="22" t="s">
        <v>663</v>
      </c>
    </row>
    <row r="121" customFormat="false" ht="23.85" hidden="false" customHeight="false" outlineLevel="0" collapsed="false">
      <c r="A121" s="5" t="s">
        <v>664</v>
      </c>
      <c r="B121" s="5" t="s">
        <v>533</v>
      </c>
      <c r="C121" s="28" t="s">
        <v>665</v>
      </c>
      <c r="D121" s="5" t="s">
        <v>314</v>
      </c>
      <c r="E121" s="22" t="s">
        <v>666</v>
      </c>
    </row>
    <row r="122" customFormat="false" ht="15" hidden="false" customHeight="false" outlineLevel="0" collapsed="false">
      <c r="A122" s="5" t="s">
        <v>667</v>
      </c>
      <c r="B122" s="5" t="s">
        <v>533</v>
      </c>
      <c r="C122" s="28" t="s">
        <v>668</v>
      </c>
      <c r="D122" s="5" t="s">
        <v>329</v>
      </c>
      <c r="E122" s="22" t="s">
        <v>669</v>
      </c>
    </row>
    <row r="123" customFormat="false" ht="15" hidden="false" customHeight="false" outlineLevel="0" collapsed="false">
      <c r="A123" s="5" t="s">
        <v>670</v>
      </c>
      <c r="B123" s="5" t="s">
        <v>671</v>
      </c>
      <c r="C123" s="28" t="s">
        <v>534</v>
      </c>
      <c r="D123" s="5" t="s">
        <v>310</v>
      </c>
      <c r="E123" s="22" t="s">
        <v>311</v>
      </c>
    </row>
    <row r="124" customFormat="false" ht="15" hidden="false" customHeight="false" outlineLevel="0" collapsed="false">
      <c r="A124" s="5" t="s">
        <v>672</v>
      </c>
      <c r="B124" s="5" t="s">
        <v>671</v>
      </c>
      <c r="C124" s="28" t="s">
        <v>673</v>
      </c>
      <c r="D124" s="5" t="s">
        <v>314</v>
      </c>
      <c r="E124" s="22" t="s">
        <v>315</v>
      </c>
    </row>
    <row r="125" customFormat="false" ht="15" hidden="false" customHeight="false" outlineLevel="0" collapsed="false">
      <c r="A125" s="5" t="s">
        <v>674</v>
      </c>
      <c r="B125" s="5" t="s">
        <v>671</v>
      </c>
      <c r="C125" s="28" t="s">
        <v>675</v>
      </c>
      <c r="D125" s="5" t="s">
        <v>329</v>
      </c>
      <c r="E125" s="22" t="s">
        <v>560</v>
      </c>
    </row>
    <row r="126" customFormat="false" ht="15" hidden="false" customHeight="false" outlineLevel="0" collapsed="false">
      <c r="A126" s="5" t="s">
        <v>676</v>
      </c>
      <c r="B126" s="5" t="s">
        <v>671</v>
      </c>
      <c r="C126" s="28" t="s">
        <v>677</v>
      </c>
      <c r="D126" s="5" t="s">
        <v>329</v>
      </c>
      <c r="E126" s="22" t="s">
        <v>330</v>
      </c>
    </row>
    <row r="127" customFormat="false" ht="15" hidden="false" customHeight="false" outlineLevel="0" collapsed="false">
      <c r="A127" s="5" t="s">
        <v>678</v>
      </c>
      <c r="B127" s="5" t="s">
        <v>671</v>
      </c>
      <c r="C127" s="28" t="s">
        <v>679</v>
      </c>
      <c r="D127" s="5" t="s">
        <v>310</v>
      </c>
      <c r="E127" s="22" t="s">
        <v>318</v>
      </c>
    </row>
    <row r="128" customFormat="false" ht="15" hidden="false" customHeight="false" outlineLevel="0" collapsed="false">
      <c r="A128" s="5" t="s">
        <v>680</v>
      </c>
      <c r="B128" s="5" t="s">
        <v>671</v>
      </c>
      <c r="C128" s="28" t="s">
        <v>681</v>
      </c>
      <c r="D128" s="5" t="s">
        <v>321</v>
      </c>
      <c r="E128" s="22" t="s">
        <v>322</v>
      </c>
    </row>
    <row r="129" customFormat="false" ht="15" hidden="false" customHeight="false" outlineLevel="0" collapsed="false">
      <c r="A129" s="5" t="s">
        <v>682</v>
      </c>
      <c r="B129" s="5" t="s">
        <v>671</v>
      </c>
      <c r="C129" s="28" t="s">
        <v>683</v>
      </c>
      <c r="D129" s="5" t="s">
        <v>329</v>
      </c>
      <c r="E129" s="22" t="s">
        <v>457</v>
      </c>
    </row>
    <row r="130" customFormat="false" ht="15" hidden="false" customHeight="false" outlineLevel="0" collapsed="false">
      <c r="A130" s="5" t="s">
        <v>684</v>
      </c>
      <c r="B130" s="5" t="s">
        <v>671</v>
      </c>
      <c r="C130" s="28" t="s">
        <v>685</v>
      </c>
      <c r="D130" s="5" t="s">
        <v>329</v>
      </c>
      <c r="E130" s="22" t="s">
        <v>464</v>
      </c>
    </row>
    <row r="131" customFormat="false" ht="15" hidden="false" customHeight="false" outlineLevel="0" collapsed="false">
      <c r="A131" s="5" t="s">
        <v>686</v>
      </c>
      <c r="B131" s="5" t="s">
        <v>671</v>
      </c>
      <c r="C131" s="28" t="s">
        <v>687</v>
      </c>
      <c r="D131" s="5" t="s">
        <v>329</v>
      </c>
      <c r="E131" s="22" t="s">
        <v>353</v>
      </c>
    </row>
    <row r="132" customFormat="false" ht="15" hidden="false" customHeight="false" outlineLevel="0" collapsed="false">
      <c r="A132" s="5" t="s">
        <v>688</v>
      </c>
      <c r="B132" s="5" t="s">
        <v>671</v>
      </c>
      <c r="C132" s="28" t="s">
        <v>689</v>
      </c>
      <c r="D132" s="5" t="s">
        <v>329</v>
      </c>
      <c r="E132" s="22" t="s">
        <v>347</v>
      </c>
    </row>
    <row r="133" customFormat="false" ht="15" hidden="false" customHeight="false" outlineLevel="0" collapsed="false">
      <c r="A133" s="5" t="s">
        <v>690</v>
      </c>
      <c r="B133" s="5" t="s">
        <v>671</v>
      </c>
      <c r="C133" s="28" t="s">
        <v>691</v>
      </c>
      <c r="D133" s="5" t="s">
        <v>343</v>
      </c>
      <c r="E133" s="22" t="s">
        <v>356</v>
      </c>
    </row>
    <row r="134" customFormat="false" ht="15" hidden="false" customHeight="false" outlineLevel="0" collapsed="false">
      <c r="A134" s="5" t="s">
        <v>692</v>
      </c>
      <c r="B134" s="5" t="s">
        <v>671</v>
      </c>
      <c r="C134" s="28" t="s">
        <v>693</v>
      </c>
      <c r="D134" s="5" t="s">
        <v>329</v>
      </c>
      <c r="E134" s="22" t="s">
        <v>398</v>
      </c>
    </row>
    <row r="135" customFormat="false" ht="15" hidden="false" customHeight="false" outlineLevel="0" collapsed="false">
      <c r="A135" s="5" t="s">
        <v>694</v>
      </c>
      <c r="B135" s="5" t="s">
        <v>671</v>
      </c>
      <c r="C135" s="28" t="s">
        <v>695</v>
      </c>
      <c r="D135" s="5" t="s">
        <v>343</v>
      </c>
      <c r="E135" s="5" t="s">
        <v>344</v>
      </c>
    </row>
    <row r="136" customFormat="false" ht="15" hidden="false" customHeight="false" outlineLevel="0" collapsed="false">
      <c r="A136" s="5" t="s">
        <v>696</v>
      </c>
      <c r="B136" s="5" t="s">
        <v>671</v>
      </c>
      <c r="C136" s="28" t="s">
        <v>697</v>
      </c>
      <c r="D136" s="5" t="s">
        <v>329</v>
      </c>
      <c r="E136" s="22" t="s">
        <v>368</v>
      </c>
    </row>
    <row r="137" customFormat="false" ht="15" hidden="false" customHeight="false" outlineLevel="0" collapsed="false">
      <c r="A137" s="5" t="s">
        <v>698</v>
      </c>
      <c r="B137" s="5" t="s">
        <v>671</v>
      </c>
      <c r="C137" s="28" t="s">
        <v>699</v>
      </c>
      <c r="D137" s="5" t="s">
        <v>329</v>
      </c>
      <c r="E137" s="22" t="s">
        <v>377</v>
      </c>
    </row>
    <row r="138" customFormat="false" ht="15" hidden="false" customHeight="false" outlineLevel="0" collapsed="false">
      <c r="A138" s="5" t="s">
        <v>700</v>
      </c>
      <c r="B138" s="5" t="s">
        <v>671</v>
      </c>
      <c r="C138" s="28" t="s">
        <v>701</v>
      </c>
      <c r="D138" s="5" t="s">
        <v>329</v>
      </c>
      <c r="E138" s="22" t="s">
        <v>386</v>
      </c>
    </row>
    <row r="139" customFormat="false" ht="15" hidden="false" customHeight="false" outlineLevel="0" collapsed="false">
      <c r="A139" s="5" t="s">
        <v>702</v>
      </c>
      <c r="B139" s="5" t="s">
        <v>671</v>
      </c>
      <c r="C139" s="28" t="s">
        <v>703</v>
      </c>
      <c r="D139" s="5" t="s">
        <v>329</v>
      </c>
      <c r="E139" s="22" t="s">
        <v>395</v>
      </c>
    </row>
    <row r="140" customFormat="false" ht="15" hidden="false" customHeight="false" outlineLevel="0" collapsed="false">
      <c r="A140" s="5" t="s">
        <v>704</v>
      </c>
      <c r="B140" s="5" t="s">
        <v>671</v>
      </c>
      <c r="C140" s="28" t="s">
        <v>705</v>
      </c>
      <c r="D140" s="5" t="s">
        <v>329</v>
      </c>
      <c r="E140" s="22" t="s">
        <v>475</v>
      </c>
    </row>
    <row r="141" customFormat="false" ht="15" hidden="false" customHeight="false" outlineLevel="0" collapsed="false">
      <c r="A141" s="5" t="s">
        <v>706</v>
      </c>
      <c r="B141" s="5" t="s">
        <v>671</v>
      </c>
      <c r="C141" s="28" t="s">
        <v>707</v>
      </c>
      <c r="D141" s="5" t="s">
        <v>329</v>
      </c>
      <c r="E141" s="22" t="s">
        <v>413</v>
      </c>
    </row>
    <row r="142" customFormat="false" ht="15" hidden="false" customHeight="false" outlineLevel="0" collapsed="false">
      <c r="A142" s="5" t="s">
        <v>708</v>
      </c>
      <c r="B142" s="5" t="s">
        <v>671</v>
      </c>
      <c r="C142" s="28" t="s">
        <v>709</v>
      </c>
      <c r="D142" s="5" t="s">
        <v>329</v>
      </c>
      <c r="E142" s="22" t="s">
        <v>422</v>
      </c>
    </row>
    <row r="143" customFormat="false" ht="15" hidden="false" customHeight="false" outlineLevel="0" collapsed="false">
      <c r="A143" s="5" t="s">
        <v>710</v>
      </c>
      <c r="B143" s="5" t="s">
        <v>671</v>
      </c>
      <c r="C143" s="28" t="s">
        <v>711</v>
      </c>
      <c r="D143" s="5" t="s">
        <v>329</v>
      </c>
      <c r="E143" s="22" t="s">
        <v>431</v>
      </c>
    </row>
    <row r="144" customFormat="false" ht="15" hidden="false" customHeight="false" outlineLevel="0" collapsed="false">
      <c r="A144" s="5" t="s">
        <v>712</v>
      </c>
      <c r="B144" s="5" t="s">
        <v>671</v>
      </c>
      <c r="C144" s="28" t="s">
        <v>713</v>
      </c>
      <c r="D144" s="5" t="s">
        <v>329</v>
      </c>
      <c r="E144" s="22" t="s">
        <v>440</v>
      </c>
    </row>
    <row r="145" customFormat="false" ht="15" hidden="false" customHeight="false" outlineLevel="0" collapsed="false">
      <c r="A145" s="5" t="s">
        <v>714</v>
      </c>
      <c r="B145" s="5" t="s">
        <v>671</v>
      </c>
      <c r="C145" s="28" t="s">
        <v>715</v>
      </c>
      <c r="D145" s="5" t="s">
        <v>329</v>
      </c>
      <c r="E145" s="22" t="s">
        <v>449</v>
      </c>
    </row>
    <row r="146" customFormat="false" ht="15" hidden="false" customHeight="false" outlineLevel="0" collapsed="false">
      <c r="A146" s="5" t="s">
        <v>716</v>
      </c>
      <c r="B146" s="5" t="s">
        <v>671</v>
      </c>
      <c r="C146" s="28" t="s">
        <v>717</v>
      </c>
      <c r="D146" s="5" t="s">
        <v>329</v>
      </c>
      <c r="E146" s="22" t="s">
        <v>482</v>
      </c>
    </row>
    <row r="147" customFormat="false" ht="15" hidden="false" customHeight="false" outlineLevel="0" collapsed="false">
      <c r="A147" s="5" t="s">
        <v>718</v>
      </c>
      <c r="B147" s="5" t="s">
        <v>671</v>
      </c>
      <c r="C147" s="28" t="s">
        <v>719</v>
      </c>
      <c r="D147" s="5" t="s">
        <v>720</v>
      </c>
      <c r="E147" s="22" t="s">
        <v>721</v>
      </c>
    </row>
    <row r="148" customFormat="false" ht="23.85" hidden="false" customHeight="false" outlineLevel="0" collapsed="false">
      <c r="A148" s="5" t="s">
        <v>722</v>
      </c>
      <c r="B148" s="5" t="s">
        <v>671</v>
      </c>
      <c r="C148" s="28" t="s">
        <v>723</v>
      </c>
      <c r="D148" s="5" t="s">
        <v>329</v>
      </c>
      <c r="E148" s="22" t="s">
        <v>359</v>
      </c>
    </row>
    <row r="149" customFormat="false" ht="23.85" hidden="false" customHeight="false" outlineLevel="0" collapsed="false">
      <c r="A149" s="5" t="s">
        <v>724</v>
      </c>
      <c r="B149" s="5" t="s">
        <v>671</v>
      </c>
      <c r="C149" s="28" t="s">
        <v>725</v>
      </c>
      <c r="D149" s="5" t="s">
        <v>329</v>
      </c>
      <c r="E149" s="22" t="s">
        <v>726</v>
      </c>
    </row>
    <row r="150" customFormat="false" ht="15" hidden="false" customHeight="false" outlineLevel="0" collapsed="false">
      <c r="A150" s="5" t="s">
        <v>727</v>
      </c>
      <c r="B150" s="5" t="s">
        <v>671</v>
      </c>
      <c r="C150" s="28" t="s">
        <v>728</v>
      </c>
      <c r="D150" s="5" t="s">
        <v>329</v>
      </c>
      <c r="E150" s="22" t="s">
        <v>729</v>
      </c>
    </row>
    <row r="151" customFormat="false" ht="15" hidden="false" customHeight="false" outlineLevel="0" collapsed="false">
      <c r="A151" s="5" t="s">
        <v>730</v>
      </c>
      <c r="B151" s="5" t="s">
        <v>671</v>
      </c>
      <c r="C151" s="28" t="s">
        <v>731</v>
      </c>
      <c r="D151" s="5" t="s">
        <v>732</v>
      </c>
      <c r="E151" s="22" t="s">
        <v>733</v>
      </c>
    </row>
    <row r="152" customFormat="false" ht="15" hidden="false" customHeight="false" outlineLevel="0" collapsed="false">
      <c r="A152" s="5" t="s">
        <v>734</v>
      </c>
      <c r="B152" s="5" t="s">
        <v>671</v>
      </c>
      <c r="C152" s="28" t="s">
        <v>735</v>
      </c>
      <c r="D152" s="5" t="s">
        <v>732</v>
      </c>
      <c r="E152" s="22" t="s">
        <v>736</v>
      </c>
    </row>
    <row r="153" customFormat="false" ht="15" hidden="false" customHeight="false" outlineLevel="0" collapsed="false">
      <c r="A153" s="5" t="s">
        <v>737</v>
      </c>
      <c r="B153" s="5" t="s">
        <v>671</v>
      </c>
      <c r="C153" s="28" t="s">
        <v>738</v>
      </c>
      <c r="D153" s="5" t="s">
        <v>732</v>
      </c>
      <c r="E153" s="22" t="s">
        <v>739</v>
      </c>
    </row>
    <row r="154" customFormat="false" ht="15" hidden="false" customHeight="false" outlineLevel="0" collapsed="false">
      <c r="A154" s="5" t="s">
        <v>740</v>
      </c>
      <c r="B154" s="5" t="s">
        <v>671</v>
      </c>
      <c r="C154" s="28" t="s">
        <v>741</v>
      </c>
      <c r="D154" s="5" t="s">
        <v>732</v>
      </c>
      <c r="E154" s="22" t="s">
        <v>742</v>
      </c>
    </row>
    <row r="155" customFormat="false" ht="15" hidden="false" customHeight="false" outlineLevel="0" collapsed="false">
      <c r="A155" s="5" t="s">
        <v>743</v>
      </c>
      <c r="B155" s="5" t="s">
        <v>671</v>
      </c>
      <c r="C155" s="28" t="s">
        <v>744</v>
      </c>
      <c r="D155" s="5" t="s">
        <v>732</v>
      </c>
      <c r="E155" s="22" t="s">
        <v>745</v>
      </c>
    </row>
    <row r="156" customFormat="false" ht="15" hidden="false" customHeight="false" outlineLevel="0" collapsed="false">
      <c r="A156" s="5" t="s">
        <v>746</v>
      </c>
      <c r="B156" s="5" t="s">
        <v>671</v>
      </c>
      <c r="C156" s="28" t="s">
        <v>747</v>
      </c>
      <c r="D156" s="5" t="s">
        <v>732</v>
      </c>
      <c r="E156" s="22" t="s">
        <v>748</v>
      </c>
    </row>
    <row r="157" customFormat="false" ht="15" hidden="false" customHeight="false" outlineLevel="0" collapsed="false">
      <c r="A157" s="5" t="s">
        <v>749</v>
      </c>
      <c r="B157" s="5" t="s">
        <v>671</v>
      </c>
      <c r="C157" s="28" t="s">
        <v>750</v>
      </c>
      <c r="D157" s="5" t="s">
        <v>732</v>
      </c>
      <c r="E157" s="22" t="s">
        <v>751</v>
      </c>
    </row>
    <row r="158" customFormat="false" ht="23.85" hidden="false" customHeight="false" outlineLevel="0" collapsed="false">
      <c r="A158" s="5" t="s">
        <v>752</v>
      </c>
      <c r="B158" s="5" t="s">
        <v>671</v>
      </c>
      <c r="C158" s="28" t="s">
        <v>753</v>
      </c>
      <c r="D158" s="5" t="s">
        <v>732</v>
      </c>
      <c r="E158" s="5" t="s">
        <v>754</v>
      </c>
    </row>
    <row r="159" customFormat="false" ht="23.85" hidden="false" customHeight="false" outlineLevel="0" collapsed="false">
      <c r="A159" s="5" t="s">
        <v>755</v>
      </c>
      <c r="B159" s="5" t="s">
        <v>671</v>
      </c>
      <c r="C159" s="28" t="s">
        <v>756</v>
      </c>
      <c r="D159" s="5" t="s">
        <v>732</v>
      </c>
      <c r="E159" s="5" t="s">
        <v>757</v>
      </c>
    </row>
    <row r="160" customFormat="false" ht="15" hidden="false" customHeight="false" outlineLevel="0" collapsed="false">
      <c r="A160" s="5" t="s">
        <v>758</v>
      </c>
      <c r="B160" s="5" t="s">
        <v>671</v>
      </c>
      <c r="C160" s="28" t="s">
        <v>759</v>
      </c>
      <c r="D160" s="5" t="s">
        <v>760</v>
      </c>
      <c r="E160" s="22" t="s">
        <v>761</v>
      </c>
    </row>
    <row r="161" customFormat="false" ht="15" hidden="false" customHeight="false" outlineLevel="0" collapsed="false">
      <c r="A161" s="5" t="s">
        <v>762</v>
      </c>
      <c r="B161" s="5" t="s">
        <v>671</v>
      </c>
      <c r="C161" s="28" t="s">
        <v>763</v>
      </c>
      <c r="D161" s="5" t="s">
        <v>760</v>
      </c>
      <c r="E161" s="22" t="s">
        <v>764</v>
      </c>
    </row>
    <row r="162" customFormat="false" ht="15" hidden="false" customHeight="false" outlineLevel="0" collapsed="false">
      <c r="A162" s="5" t="s">
        <v>765</v>
      </c>
      <c r="B162" s="5" t="s">
        <v>671</v>
      </c>
      <c r="C162" s="28" t="s">
        <v>766</v>
      </c>
      <c r="D162" s="5" t="s">
        <v>760</v>
      </c>
      <c r="E162" s="22" t="s">
        <v>767</v>
      </c>
    </row>
    <row r="163" customFormat="false" ht="15" hidden="false" customHeight="false" outlineLevel="0" collapsed="false">
      <c r="A163" s="5" t="s">
        <v>768</v>
      </c>
      <c r="B163" s="5" t="s">
        <v>671</v>
      </c>
      <c r="C163" s="28" t="s">
        <v>769</v>
      </c>
      <c r="D163" s="5" t="s">
        <v>760</v>
      </c>
      <c r="E163" s="22" t="s">
        <v>770</v>
      </c>
    </row>
    <row r="164" customFormat="false" ht="15" hidden="false" customHeight="false" outlineLevel="0" collapsed="false">
      <c r="A164" s="5" t="s">
        <v>771</v>
      </c>
      <c r="B164" s="5" t="s">
        <v>671</v>
      </c>
      <c r="C164" s="28" t="s">
        <v>772</v>
      </c>
      <c r="D164" s="5" t="s">
        <v>760</v>
      </c>
      <c r="E164" s="22" t="s">
        <v>773</v>
      </c>
    </row>
    <row r="165" customFormat="false" ht="15" hidden="false" customHeight="false" outlineLevel="0" collapsed="false">
      <c r="A165" s="5" t="s">
        <v>774</v>
      </c>
      <c r="B165" s="5" t="s">
        <v>671</v>
      </c>
      <c r="C165" s="28" t="s">
        <v>775</v>
      </c>
      <c r="D165" s="5" t="s">
        <v>760</v>
      </c>
      <c r="E165" s="22" t="s">
        <v>776</v>
      </c>
    </row>
    <row r="166" customFormat="false" ht="15" hidden="false" customHeight="false" outlineLevel="0" collapsed="false">
      <c r="A166" s="5" t="s">
        <v>777</v>
      </c>
      <c r="B166" s="5" t="s">
        <v>671</v>
      </c>
      <c r="C166" s="28" t="s">
        <v>778</v>
      </c>
      <c r="D166" s="5" t="s">
        <v>760</v>
      </c>
      <c r="E166" s="22" t="s">
        <v>779</v>
      </c>
    </row>
    <row r="167" customFormat="false" ht="23.85" hidden="false" customHeight="false" outlineLevel="0" collapsed="false">
      <c r="A167" s="5" t="s">
        <v>780</v>
      </c>
      <c r="B167" s="5" t="s">
        <v>671</v>
      </c>
      <c r="C167" s="28" t="s">
        <v>781</v>
      </c>
      <c r="D167" s="5" t="s">
        <v>732</v>
      </c>
      <c r="E167" s="22" t="s">
        <v>782</v>
      </c>
    </row>
    <row r="168" customFormat="false" ht="23.85" hidden="false" customHeight="false" outlineLevel="0" collapsed="false">
      <c r="A168" s="5" t="s">
        <v>783</v>
      </c>
      <c r="B168" s="5" t="s">
        <v>671</v>
      </c>
      <c r="C168" s="28" t="s">
        <v>784</v>
      </c>
      <c r="D168" s="5" t="s">
        <v>732</v>
      </c>
      <c r="E168" s="22" t="s">
        <v>785</v>
      </c>
    </row>
    <row r="169" customFormat="false" ht="15" hidden="false" customHeight="false" outlineLevel="0" collapsed="false">
      <c r="A169" s="5" t="s">
        <v>786</v>
      </c>
      <c r="B169" s="5" t="s">
        <v>671</v>
      </c>
      <c r="C169" s="28" t="s">
        <v>787</v>
      </c>
      <c r="D169" s="5" t="s">
        <v>788</v>
      </c>
      <c r="E169" s="22" t="s">
        <v>789</v>
      </c>
    </row>
    <row r="170" customFormat="false" ht="23.85" hidden="false" customHeight="false" outlineLevel="0" collapsed="false">
      <c r="A170" s="5" t="s">
        <v>790</v>
      </c>
      <c r="B170" s="5" t="s">
        <v>671</v>
      </c>
      <c r="C170" s="28" t="s">
        <v>791</v>
      </c>
      <c r="D170" s="5" t="s">
        <v>732</v>
      </c>
      <c r="E170" s="22" t="s">
        <v>792</v>
      </c>
    </row>
    <row r="171" customFormat="false" ht="15" hidden="false" customHeight="false" outlineLevel="0" collapsed="false">
      <c r="A171" s="5" t="s">
        <v>793</v>
      </c>
      <c r="B171" s="5" t="s">
        <v>671</v>
      </c>
      <c r="C171" s="28" t="s">
        <v>794</v>
      </c>
      <c r="D171" s="5" t="s">
        <v>732</v>
      </c>
      <c r="E171" s="22" t="s">
        <v>795</v>
      </c>
    </row>
    <row r="172" customFormat="false" ht="15" hidden="false" customHeight="false" outlineLevel="0" collapsed="false">
      <c r="A172" s="5" t="s">
        <v>796</v>
      </c>
      <c r="B172" s="5" t="s">
        <v>671</v>
      </c>
      <c r="C172" s="28" t="s">
        <v>797</v>
      </c>
      <c r="D172" s="5" t="s">
        <v>732</v>
      </c>
      <c r="E172" s="22" t="s">
        <v>798</v>
      </c>
    </row>
    <row r="173" customFormat="false" ht="15" hidden="false" customHeight="false" outlineLevel="0" collapsed="false">
      <c r="A173" s="5" t="s">
        <v>799</v>
      </c>
      <c r="B173" s="5" t="s">
        <v>671</v>
      </c>
      <c r="C173" s="28" t="s">
        <v>800</v>
      </c>
      <c r="D173" s="5" t="s">
        <v>732</v>
      </c>
      <c r="E173" s="22" t="s">
        <v>801</v>
      </c>
    </row>
    <row r="174" customFormat="false" ht="15" hidden="false" customHeight="false" outlineLevel="0" collapsed="false">
      <c r="A174" s="5" t="s">
        <v>802</v>
      </c>
      <c r="B174" s="5" t="s">
        <v>671</v>
      </c>
      <c r="C174" s="28" t="s">
        <v>803</v>
      </c>
      <c r="D174" s="5" t="s">
        <v>732</v>
      </c>
      <c r="E174" s="22" t="s">
        <v>804</v>
      </c>
    </row>
    <row r="175" customFormat="false" ht="15" hidden="false" customHeight="false" outlineLevel="0" collapsed="false">
      <c r="A175" s="5" t="s">
        <v>805</v>
      </c>
      <c r="B175" s="5" t="s">
        <v>671</v>
      </c>
      <c r="C175" s="28" t="s">
        <v>806</v>
      </c>
      <c r="D175" s="5" t="s">
        <v>732</v>
      </c>
      <c r="E175" s="22" t="s">
        <v>807</v>
      </c>
    </row>
    <row r="176" customFormat="false" ht="15" hidden="false" customHeight="false" outlineLevel="0" collapsed="false">
      <c r="A176" s="5" t="s">
        <v>808</v>
      </c>
      <c r="B176" s="5" t="s">
        <v>671</v>
      </c>
      <c r="C176" s="28" t="s">
        <v>809</v>
      </c>
      <c r="D176" s="5" t="s">
        <v>732</v>
      </c>
      <c r="E176" s="22" t="s">
        <v>810</v>
      </c>
    </row>
    <row r="177" customFormat="false" ht="15" hidden="false" customHeight="false" outlineLevel="0" collapsed="false">
      <c r="A177" s="5" t="s">
        <v>811</v>
      </c>
      <c r="B177" s="5" t="s">
        <v>671</v>
      </c>
      <c r="C177" s="28" t="s">
        <v>812</v>
      </c>
      <c r="D177" s="5" t="s">
        <v>732</v>
      </c>
      <c r="E177" s="22" t="s">
        <v>813</v>
      </c>
    </row>
    <row r="178" customFormat="false" ht="15" hidden="false" customHeight="false" outlineLevel="0" collapsed="false">
      <c r="A178" s="5" t="s">
        <v>814</v>
      </c>
      <c r="B178" s="5" t="s">
        <v>671</v>
      </c>
      <c r="C178" s="28" t="s">
        <v>815</v>
      </c>
      <c r="D178" s="5" t="s">
        <v>732</v>
      </c>
      <c r="E178" s="22" t="s">
        <v>816</v>
      </c>
    </row>
    <row r="179" customFormat="false" ht="15" hidden="false" customHeight="false" outlineLevel="0" collapsed="false">
      <c r="A179" s="5" t="s">
        <v>817</v>
      </c>
      <c r="B179" s="5" t="s">
        <v>671</v>
      </c>
      <c r="C179" s="28" t="s">
        <v>818</v>
      </c>
      <c r="D179" s="5" t="s">
        <v>732</v>
      </c>
      <c r="E179" s="22" t="s">
        <v>819</v>
      </c>
    </row>
    <row r="180" customFormat="false" ht="15" hidden="false" customHeight="false" outlineLevel="0" collapsed="false">
      <c r="A180" s="5" t="s">
        <v>820</v>
      </c>
      <c r="B180" s="5" t="s">
        <v>671</v>
      </c>
      <c r="C180" s="28" t="s">
        <v>821</v>
      </c>
      <c r="D180" s="5" t="s">
        <v>732</v>
      </c>
      <c r="E180" s="22" t="s">
        <v>822</v>
      </c>
    </row>
    <row r="181" customFormat="false" ht="15" hidden="false" customHeight="false" outlineLevel="0" collapsed="false">
      <c r="A181" s="5" t="s">
        <v>823</v>
      </c>
      <c r="B181" s="5" t="s">
        <v>671</v>
      </c>
      <c r="C181" s="28" t="s">
        <v>824</v>
      </c>
      <c r="D181" s="5" t="s">
        <v>732</v>
      </c>
      <c r="E181" s="22" t="s">
        <v>825</v>
      </c>
    </row>
    <row r="182" customFormat="false" ht="35.05" hidden="false" customHeight="false" outlineLevel="0" collapsed="false">
      <c r="A182" s="5" t="s">
        <v>826</v>
      </c>
      <c r="B182" s="5" t="s">
        <v>671</v>
      </c>
      <c r="C182" s="28" t="s">
        <v>827</v>
      </c>
      <c r="D182" s="5" t="s">
        <v>732</v>
      </c>
      <c r="E182" s="22" t="s">
        <v>828</v>
      </c>
    </row>
    <row r="183" customFormat="false" ht="23.85" hidden="false" customHeight="false" outlineLevel="0" collapsed="false">
      <c r="A183" s="5" t="s">
        <v>829</v>
      </c>
      <c r="B183" s="5" t="s">
        <v>671</v>
      </c>
      <c r="C183" s="28" t="s">
        <v>830</v>
      </c>
      <c r="D183" s="5" t="s">
        <v>732</v>
      </c>
      <c r="E183" s="22" t="s">
        <v>831</v>
      </c>
    </row>
    <row r="184" customFormat="false" ht="15" hidden="false" customHeight="false" outlineLevel="0" collapsed="false">
      <c r="A184" s="5" t="s">
        <v>832</v>
      </c>
      <c r="B184" s="5" t="s">
        <v>671</v>
      </c>
      <c r="C184" s="28" t="s">
        <v>833</v>
      </c>
      <c r="D184" s="5" t="s">
        <v>834</v>
      </c>
      <c r="E184" s="22" t="s">
        <v>835</v>
      </c>
    </row>
    <row r="185" customFormat="false" ht="15" hidden="false" customHeight="false" outlineLevel="0" collapsed="false">
      <c r="A185" s="5" t="s">
        <v>836</v>
      </c>
      <c r="B185" s="5" t="s">
        <v>671</v>
      </c>
      <c r="C185" s="28" t="s">
        <v>837</v>
      </c>
      <c r="D185" s="5" t="s">
        <v>834</v>
      </c>
      <c r="E185" s="22" t="s">
        <v>838</v>
      </c>
    </row>
    <row r="186" customFormat="false" ht="15" hidden="false" customHeight="false" outlineLevel="0" collapsed="false">
      <c r="A186" s="5" t="s">
        <v>839</v>
      </c>
      <c r="B186" s="5" t="s">
        <v>671</v>
      </c>
      <c r="C186" s="28" t="s">
        <v>840</v>
      </c>
      <c r="D186" s="5" t="s">
        <v>834</v>
      </c>
      <c r="E186" s="22" t="s">
        <v>841</v>
      </c>
    </row>
    <row r="187" customFormat="false" ht="15" hidden="false" customHeight="false" outlineLevel="0" collapsed="false">
      <c r="A187" s="5" t="s">
        <v>842</v>
      </c>
      <c r="B187" s="5" t="s">
        <v>671</v>
      </c>
      <c r="C187" s="28" t="s">
        <v>843</v>
      </c>
      <c r="D187" s="5" t="s">
        <v>844</v>
      </c>
      <c r="E187" s="22" t="s">
        <v>845</v>
      </c>
    </row>
    <row r="188" customFormat="false" ht="23.85" hidden="false" customHeight="false" outlineLevel="0" collapsed="false">
      <c r="A188" s="5" t="s">
        <v>846</v>
      </c>
      <c r="B188" s="5" t="s">
        <v>671</v>
      </c>
      <c r="C188" s="28" t="s">
        <v>847</v>
      </c>
      <c r="D188" s="5" t="s">
        <v>844</v>
      </c>
      <c r="E188" s="22" t="s">
        <v>848</v>
      </c>
    </row>
    <row r="189" customFormat="false" ht="23.85" hidden="false" customHeight="false" outlineLevel="0" collapsed="false">
      <c r="A189" s="5" t="s">
        <v>849</v>
      </c>
      <c r="B189" s="5" t="s">
        <v>671</v>
      </c>
      <c r="C189" s="28" t="s">
        <v>850</v>
      </c>
      <c r="D189" s="5" t="s">
        <v>844</v>
      </c>
      <c r="E189" s="22" t="s">
        <v>353</v>
      </c>
    </row>
    <row r="190" customFormat="false" ht="23.85" hidden="false" customHeight="false" outlineLevel="0" collapsed="false">
      <c r="A190" s="5" t="s">
        <v>851</v>
      </c>
      <c r="B190" s="5" t="s">
        <v>671</v>
      </c>
      <c r="C190" s="28" t="s">
        <v>852</v>
      </c>
      <c r="D190" s="5" t="s">
        <v>834</v>
      </c>
      <c r="E190" s="22" t="s">
        <v>853</v>
      </c>
    </row>
    <row r="191" customFormat="false" ht="46.25" hidden="false" customHeight="false" outlineLevel="0" collapsed="false">
      <c r="A191" s="5" t="s">
        <v>854</v>
      </c>
      <c r="B191" s="5" t="s">
        <v>671</v>
      </c>
      <c r="C191" s="28" t="s">
        <v>855</v>
      </c>
      <c r="D191" s="5" t="s">
        <v>844</v>
      </c>
      <c r="E191" s="22" t="s">
        <v>856</v>
      </c>
    </row>
    <row r="192" customFormat="false" ht="23.85" hidden="false" customHeight="false" outlineLevel="0" collapsed="false">
      <c r="A192" s="5" t="s">
        <v>857</v>
      </c>
      <c r="B192" s="5" t="s">
        <v>671</v>
      </c>
      <c r="C192" s="28" t="s">
        <v>858</v>
      </c>
      <c r="D192" s="5" t="s">
        <v>844</v>
      </c>
      <c r="E192" s="22" t="s">
        <v>859</v>
      </c>
    </row>
  </sheetData>
  <hyperlinks>
    <hyperlink ref="E5" r:id="rId1" display="https://www.sec.gov/Archives/edgar/data/1652044/000165204426000066/googexhibit991q22026.htm"/>
    <hyperlink ref="E6" r:id="rId2" display="https://www.sec.gov/Archives/edgar/data/1652044/000165204426000071/goog-20260630.htm"/>
    <hyperlink ref="E7" r:id="rId3" display="https://s206.q4cdn.com/479360582/files/doc_events/2026/Jul/22/2026_Q2_Earnings_Transcript.pdf"/>
    <hyperlink ref="E8" r:id="rId4" display="https://www.sec.gov/Archives/edgar/data/1652044/000119312526259830/d36818d8k.htm"/>
    <hyperlink ref="E9" r:id="rId5" display="https://www.sec.gov/Archives/edgar/data/1652044/000119312526342390/d171253d8k.htm"/>
    <hyperlink ref="E10" r:id="rId6" display="https://data.sec.gov/submissions/CIK0001652044.json"/>
    <hyperlink ref="E11" r:id="rId7" display="https://www.constellationenergy.com/news/2026/10/google-and-constellation-announce-landmark-agreement-to-bring-890-mw-of-new-nuclear-capacity-to-pjm-grid.html"/>
    <hyperlink ref="E12" r:id="rId8" display="https://www.googlecloudpresscorner.com/2026-10-06-Google-and-Constellation-Announce-Landmark-Agreement-to-Bring-890-MW-of-New-Nuclear-Capacity-to-PJM-Grid-as-Part-of-Long-Term-Power-Deal"/>
    <hyperlink ref="E13" r:id="rId9" display="https://blog.google/intl/ja-jp/company-news/technology/gemini4argon/"/>
    <hyperlink ref="E15" r:id="rId10" display="https://stockanalysis.com/stocks/googl/forecast/"/>
    <hyperlink ref="E16" r:id="rId11" display="https://stockanalysis.com/stocks/googl/statistics/"/>
    <hyperlink ref="E17" r:id="rId12" display="https://www.marketscreener.com/quote/stock/ALPHABET-INC-24203373/finances/"/>
    <hyperlink ref="E18" r:id="rId13" display="https://247wallst.com/investing/2026/10/05/the-ai-boom-could-make-this-magnificent-7-stock-a-much-bigger-business/"/>
    <hyperlink ref="E19" r:id="rId14" display="https://stockanalysis.com/stocks/googl/history/"/>
    <hyperlink ref="E20" r:id="rId15" display="https://stockanalysis.com/stocks/msft/forecast/"/>
    <hyperlink ref="E21" r:id="rId16" display="https://stockanalysis.com/stocks/msft/statistics/"/>
    <hyperlink ref="E22" r:id="rId17" display="https://www.marketscreener.com/quote/stock/MICROSOFT-CORPORATION-4835/finances/"/>
    <hyperlink ref="E23" r:id="rId18" display="https://stockanalysis.com/stocks/amzn/forecast/"/>
    <hyperlink ref="E24" r:id="rId19" display="https://stockanalysis.com/stocks/amzn/statistics/"/>
    <hyperlink ref="E25" r:id="rId20" display="https://www.marketscreener.com/quote/stock/AMAZON-COM-INC-12864605/finances/"/>
    <hyperlink ref="E26" r:id="rId21" display="https://stockanalysis.com/stocks/meta/forecast/"/>
    <hyperlink ref="E27" r:id="rId22" display="https://stockanalysis.com/stocks/meta/statistics/"/>
    <hyperlink ref="E28" r:id="rId23" display="https://www.marketscreener.com/quote/stock/META-PLATFORMS-INC-10547141/finances/"/>
    <hyperlink ref="E29" r:id="rId24" display="https://stockanalysis.com/stocks/aapl/forecast/"/>
    <hyperlink ref="E30" r:id="rId25" display="https://stockanalysis.com/stocks/aapl/statistics/"/>
    <hyperlink ref="E31" r:id="rId26" display="https://www.marketscreener.com/quote/stock/APPLE-INC-4849/finances/"/>
    <hyperlink ref="E32" r:id="rId27" display="https://stockanalysis.com/stocks/orcl/forecast/"/>
    <hyperlink ref="E33" r:id="rId28" display="https://stockanalysis.com/stocks/orcl/statistics/"/>
    <hyperlink ref="E34" r:id="rId29" display="https://www.marketscreener.com/quote/stock/ORACLE-CORPORATION-40202078/finances/"/>
    <hyperlink ref="E35" r:id="rId30" display="https://stockanalysis.com/stocks/nflx/forecast/"/>
    <hyperlink ref="E36" r:id="rId31" display="https://stockanalysis.com/stocks/nflx/statistics/"/>
    <hyperlink ref="E37" r:id="rId32" display="https://www.marketscreener.com/quote/stock/NETFLIX-INC-44292425/finances/"/>
    <hyperlink ref="E38" r:id="rId33" display="https://stockanalysis.com/stocks/crm/forecast/"/>
    <hyperlink ref="E39" r:id="rId34" display="https://stockanalysis.com/stocks/crm/statistics/"/>
    <hyperlink ref="E40" r:id="rId35" display="https://www.marketscreener.com/quote/stock/SALESFORCE-INC-12180/finances/"/>
    <hyperlink ref="E41" r:id="rId36" display="https://stockanalysis.com/stocks/now/forecast/"/>
    <hyperlink ref="E42" r:id="rId37" display="https://stockanalysis.com/stocks/now/statistics/"/>
    <hyperlink ref="E43" r:id="rId38" display="https://www.marketscreener.com/quote/stock/SERVICENOW-INC-10912979/finances/"/>
    <hyperlink ref="E44" r:id="rId39" display="https://stockanalysis.com/stocks/adbe/forecast/"/>
    <hyperlink ref="E45" r:id="rId40" display="https://stockanalysis.com/stocks/adbe/statistics/"/>
    <hyperlink ref="E46" r:id="rId41" display="https://www.marketscreener.com/quote/stock/ADOBE-INC-4844/finances/"/>
    <hyperlink ref="E47" r:id="rId42" display="https://stockanalysis.com/stocks/rddt/forecast/"/>
    <hyperlink ref="E48" r:id="rId43" display="https://stockanalysis.com/stocks/rddt/statistics/"/>
    <hyperlink ref="E49" r:id="rId44" display="https://www.marketscreener.com/quote/stock/REDDIT-INC-167442757/finances/"/>
    <hyperlink ref="E50" r:id="rId45" display="https://www.sec.gov/Archives/edgar/data/1652044/000165204426000066/googexhibit991q22026.htm"/>
    <hyperlink ref="E51" r:id="rId46" display="https://www.sec.gov/Archives/edgar/data/1652044/000165204426000071/goog-20260630.htm"/>
    <hyperlink ref="E52" r:id="rId47" display="https://abc.xyz/investor/news/news-details/2026/Alphabet-Announces-Date-of-Third-Quarter-2026-Financial-Results-Conference-Call-2026-8tpGZsLS6v/default.aspx"/>
    <hyperlink ref="E53" r:id="rId48" display="https://data.sec.gov/submissions/CIK0001652044.json"/>
    <hyperlink ref="E54" r:id="rId49" display="https://www.constellationenergy.com/news/2026/10/google-and-constellation-announce-landmark-agreement-to-bring-890-mw-of-new-nuclear-capacity-to-pjm-grid.html"/>
    <hyperlink ref="E55" r:id="rId50" display="https://finance.yahoo.com/quote/GOOGL/analysis/"/>
    <hyperlink ref="E56" r:id="rId51" display="https://www.marketscreener.com/quote/stock/ALPHABET-INC-24203373/finances/"/>
    <hyperlink ref="E57" r:id="rId52" display="https://www.marketscreener.com/quote/stock/MICROSOFT-CORPORATION-4835/finances/"/>
    <hyperlink ref="E58" r:id="rId53" display="https://www.marketscreener.com/quote/stock/AMAZON-COM-INC-12864605/finances/"/>
    <hyperlink ref="E59" r:id="rId54" display="https://www.marketscreener.com/quote/stock/META-PLATFORMS-INC-10547141/finances/"/>
    <hyperlink ref="E60" r:id="rId55" display="https://www.marketscreener.com/quote/stock/ORACLE-CORPORATION-13620698/finances/"/>
    <hyperlink ref="E61" r:id="rId56" display="https://www.marketscreener.com/quote/stock/APPLE-INC-4849/finances/"/>
    <hyperlink ref="E62" r:id="rId57" display="https://www.marketscreener.com/quote/stock/NETFLIX-INC-44292425/finances/"/>
    <hyperlink ref="E63" r:id="rId58" display="https://www.marketscreener.com/quote/stock/APPLOVIN-CORPORATION-121407289/finances/"/>
    <hyperlink ref="E64" r:id="rId59" display="https://www.marketscreener.com/quote/stock/REDDIT-INC-167442757/finances/"/>
    <hyperlink ref="E65" r:id="rId60" display="https://www.marketscreener.com/quote/stock/PINTEREST-INC-57086058/finances/"/>
    <hyperlink ref="E66" r:id="rId61" display="https://www.marketscreener.com/quote/stock/BAIDU-INC-8563/finances/"/>
    <hyperlink ref="E67" r:id="rId62" display="https://www.marketscreener.com/quote/stock/SPOTIFY-TECHNOLOGY-S-A-42589613/finances/"/>
    <hyperlink ref="E68" r:id="rId63" display="https://www.marketscreener.com/quote/stock/THE-TRADE-DESK-INC-31370485/finances/"/>
    <hyperlink ref="E69" r:id="rId64" display="https://investing.com/news/analyst-ratings/wells-fargo-raises-alphabet-stock-price-target-on-tpu-sales-outlook-93CH-4933882"/>
    <hyperlink ref="E70" r:id="rId65" display="https://arena.ai/leaderboard/text"/>
    <hyperlink ref="E71" r:id="rId66" display="https://gamma-api.polymarket.com/public-search?q=best%20AI%20model%20end%20of%202026"/>
    <hyperlink ref="E72" r:id="rId67" display="https://gamma-api.polymarket.com/public-search?q=Anthropic%20IPO"/>
    <hyperlink ref="E73" r:id="rId68" display="https://finance.yahoo.com/markets/stocks/articles/alphabet-won-washington-got-charged-144229447.html"/>
    <hyperlink ref="E74" r:id="rId69" display="https://www.fool.com/investing/2026/10/06/why-broadcom-stock-popped-tuesday-morning/"/>
    <hyperlink ref="E75" r:id="rId70" display="https://www.karooya.com/blog/?p=28214"/>
    <hyperlink ref="E76" r:id="rId71" display="https://www.thekeyword.co/news/big-tech-q2-2026-ad-revenue"/>
    <hyperlink ref="E77" r:id="rId72" display="https://api.twelvedata.com/time_series?symbol=GOOGL,META,MSFT,AMZN,AVGO,CEG,QQQ&amp;interval=1day"/>
    <hyperlink ref="E79" r:id="rId73" display="https://tradingkey.com/analysis/stocks/us-stocks/262201281-alphabet-googl-stock-forecast-october-6-2026"/>
    <hyperlink ref="E80" r:id="rId74" display="https://www.sec.gov/Archives/edgar/data/1652044/000165204426000066/googexhibit991q22026.htm"/>
    <hyperlink ref="E81" r:id="rId75" display="https://www.sec.gov/Archives/edgar/data/1652044/000165204426000071/goog-20260630.htm"/>
    <hyperlink ref="E82" r:id="rId76" display="https://www.sec.gov/Archives/edgar/data/1652044/000165204426000071/R19.htm"/>
    <hyperlink ref="E83" r:id="rId77" display="https://www.sec.gov/Archives/edgar/data/1652044/000165204426000071/R20.htm"/>
    <hyperlink ref="E84" r:id="rId78" display="https://www.sec.gov/Archives/edgar/data/1652044/000119312526257724/d83560d8k.htm"/>
    <hyperlink ref="E85" r:id="rId79" display="https://www.sec.gov/Archives/edgar/data/1652044/000119312526257702/d152175d424b5.htm"/>
    <hyperlink ref="E86" r:id="rId80" display="https://www.sec.gov/Archives/edgar/data/1652044/000119312526043127/d297481dfwp.htm"/>
    <hyperlink ref="E87" r:id="rId81" display="https://www.sec.gov/Archives/edgar/data/1652044/000119312526338750/d159970dfwp.htm"/>
    <hyperlink ref="E88" r:id="rId82" display="https://data.sec.gov/api/xbrl/companyfacts/CIK0001652044.json"/>
    <hyperlink ref="E89" r:id="rId83" display="https://www.investing.com/news/transcripts/earnings-call-transcript-alphabet-beats-q2-2026-estimates-shares-fall-on-capex-surge-93CH-4807140"/>
    <hyperlink ref="E90" r:id="rId84" display="https://www.sec.gov/Archives/edgar/data/1652044/000119312526408019/xslF345X06/ownership.xml"/>
    <hyperlink ref="E91" r:id="rId85" display="https://www.sec.gov/Archives/edgar/data/1652044/000119312526412669/xslF345X06/ownership.xml"/>
    <hyperlink ref="E92" r:id="rId86" display="https://www.sec.gov/Archives/edgar/data/1652044/000192109426001058/xsl144X01/primary_doc.xml"/>
    <hyperlink ref="E93" r:id="rId87" display="https://www.marketscreener.com/quote/stock/ALPHABET-INC-24203373/valuation/"/>
    <hyperlink ref="E94" r:id="rId88" display="https://www.marketscreener.com/quote/stock/ALPHABET-INC-24203373/finances/"/>
    <hyperlink ref="E95" r:id="rId89" display="https://stockanalysis.com/stocks/googl/forecast/"/>
    <hyperlink ref="E96" r:id="rId90" display="https://www.marketscreener.com/quote/stock/MICROSOFT-CORPORATION-4835/valuation/"/>
    <hyperlink ref="E97" r:id="rId91" display="https://www.marketscreener.com/quote/stock/AMAZON-COM-INC-12864605/valuation/"/>
    <hyperlink ref="E98" r:id="rId92" display="https://www.marketscreener.com/quote/stock/META-PLATFORMS-INC-10547141/valuation/"/>
    <hyperlink ref="E99" r:id="rId93" display="https://www.marketscreener.com/quote/stock/APPLE-INC-4849/valuation/"/>
    <hyperlink ref="E100" r:id="rId94" display="https://www.marketscreener.com/quote/stock/ORACLE-CORPORATION-13620698/valuation/"/>
    <hyperlink ref="E101" r:id="rId95" display="https://www.marketscreener.com/quote/stock/NETFLIX-INC-44292425/valuation/"/>
    <hyperlink ref="E102" r:id="rId96" display="https://www.marketscreener.com/quote/stock/TENCENT-HOLDINGS-LIMITED-3045861/valuation/"/>
    <hyperlink ref="E103" r:id="rId97" display="https://www.marketscreener.com/quote/stock/ALIBABA-GROUP-HOLDING-LIM-17916677/valuation/"/>
    <hyperlink ref="E104" r:id="rId98" display="https://www.marketscreener.com/quote/stock/BAIDU-INC-8563/valuation/"/>
    <hyperlink ref="E105" r:id="rId99" display="https://www.marketscreener.com/quote/stock/SALESFORCE-INC-12180/valuation/"/>
    <hyperlink ref="E106" r:id="rId100" display="https://www.businessday.co.za/world/international-companies/2026-09-02-google-escapes-breakup-as-us-judge-rejects-forced-sale-of-adx/"/>
    <hyperlink ref="E107" r:id="rId101" display="https://www.pymnts.com/cpi-posts/google-dodges-ad-tech-breakup-as-judge-imposes-six-year-oversight/"/>
    <hyperlink ref="E108" r:id="rId102" display="https://stockanalysis.com/news/google-ad-tech-remedies-unsealed/"/>
    <hyperlink ref="E109" r:id="rId103" display="https://www.aljazeera.com/economy/2026/9/2/us-judge-rejects-bid-to-break-up-googles-ad-business"/>
    <hyperlink ref="E110" r:id="rId104" display="https://www.silicon.co.uk/cloud/anthropic-google-cloud-629768"/>
    <hyperlink ref="E111" r:id="rId105" display="https://www.silicon.co.uk/ai-2/blackstone-anthropic-debt-631021"/>
    <hyperlink ref="E112" r:id="rId106" display="https://www.tikr.com/blog/alphabet-stock-just-raised-84-75-billion-for-ai-what-berkshires-10-billion-bet-means-for-investors"/>
    <hyperlink ref="E113" r:id="rId107" display="https://dev.to/ruslanaverin/alphabet-fell-5-on-good-news-what-the-capex-raise-actually-costs-30e1"/>
    <hyperlink ref="E114" r:id="rId108" display="https://gs.statcounter.com/global-stats/search-engine-market-share"/>
    <hyperlink ref="E115" r:id="rId109" display="https://www.octagonai.co/markets/science-and-technology/ai/google-market-share-this-week.md"/>
    <hyperlink ref="E116" r:id="rId110" display="https://www.marketbeat.com/instant-alerts/alphabet-nasdaqgoogl-rating-lowered-to-hold-at-wall-street-zen-2026-08-01/"/>
    <hyperlink ref="E117" r:id="rId111" display="https://www.sec.gov/Archives/edgar/data/1652044/000121465926006524/d518261px14a6g.htm"/>
    <hyperlink ref="E118" r:id="rId112" display="https://www.sec.gov/Archives/edgar/data/1652044/000119312526342390/d171253d8k.htm"/>
    <hyperlink ref="E120" r:id="rId113" display="https://www.sec.gov/Archives/edgar/data/1652044/000119312526044473/d37599dfwp.htm"/>
    <hyperlink ref="E121" r:id="rId114" display="https://thenextweb.com/news/google-94-billion-spacex-shares-ipo-stake"/>
    <hyperlink ref="E122" r:id="rId115" display="https://api.twelvedata.com/time_series?symbol=GOOGL,SPCX&amp;interval=1week"/>
    <hyperlink ref="E123" r:id="rId116" display="https://www.sec.gov/Archives/edgar/data/1652044/000165204426000066/googexhibit991q22026.htm"/>
    <hyperlink ref="E124" r:id="rId117" display="https://www.sec.gov/Archives/edgar/data/1652044/000165204426000071/goog-20260630.htm"/>
    <hyperlink ref="E125" r:id="rId118" display="https://data.sec.gov/api/xbrl/companyfacts/CIK0001652044.json"/>
    <hyperlink ref="E126" r:id="rId119" display="https://data.sec.gov/submissions/CIK0001652044.json"/>
    <hyperlink ref="E127" r:id="rId120" display="https://s206.q4cdn.com/479360582/files/doc_events/2026/Jul/22/2026_Q2_Earnings_Transcript.pdf"/>
    <hyperlink ref="E128" r:id="rId121" display="https://www.sec.gov/Archives/edgar/data/1652044/000119312526259830/d36818d8k.htm"/>
    <hyperlink ref="E129" r:id="rId122" display="https://abc.xyz/investor/news/news-details/2026/Alphabet-Announces-Date-of-Third-Quarter-2026-Financial-Results-Conference-Call-2026-8tpGZsLS6v/default.aspx"/>
    <hyperlink ref="E130" r:id="rId123" display="https://finance.yahoo.com/quote/GOOGL/analysis/"/>
    <hyperlink ref="E131" r:id="rId124" display="https://www.marketscreener.com/quote/stock/ALPHABET-INC-24203373/finances/"/>
    <hyperlink ref="E132" r:id="rId125" display="https://stockanalysis.com/stocks/googl/forecast/"/>
    <hyperlink ref="E133" r:id="rId126" display="https://247wallst.com/investing/2026/10/05/the-ai-boom-could-make-this-magnificent-7-stock-a-much-bigger-business/"/>
    <hyperlink ref="E134" r:id="rId127" display="https://stockanalysis.com/stocks/orcl/forecast/"/>
    <hyperlink ref="E136" r:id="rId128" display="https://www.marketscreener.com/quote/stock/MICROSOFT-CORPORATION-4835/finances/"/>
    <hyperlink ref="E137" r:id="rId129" display="https://www.marketscreener.com/quote/stock/AMAZON-COM-INC-12864605/finances/"/>
    <hyperlink ref="E138" r:id="rId130" display="https://www.marketscreener.com/quote/stock/META-PLATFORMS-INC-10547141/finances/"/>
    <hyperlink ref="E139" r:id="rId131" display="https://www.marketscreener.com/quote/stock/APPLE-INC-4849/finances/"/>
    <hyperlink ref="E140" r:id="rId132" display="https://www.marketscreener.com/quote/stock/ORACLE-CORPORATION-13620698/finances/"/>
    <hyperlink ref="E141" r:id="rId133" display="https://www.marketscreener.com/quote/stock/NETFLIX-INC-44292425/finances/"/>
    <hyperlink ref="E142" r:id="rId134" display="https://www.marketscreener.com/quote/stock/SALESFORCE-INC-12180/finances/"/>
    <hyperlink ref="E143" r:id="rId135" display="https://www.marketscreener.com/quote/stock/SERVICENOW-INC-10912979/finances/"/>
    <hyperlink ref="E144" r:id="rId136" display="https://www.marketscreener.com/quote/stock/ADOBE-INC-4844/finances/"/>
    <hyperlink ref="E145" r:id="rId137" display="https://www.marketscreener.com/quote/stock/REDDIT-INC-167442757/finances/"/>
    <hyperlink ref="E146" r:id="rId138" display="https://www.marketscreener.com/quote/stock/APPLOVIN-CORPORATION-121407289/finances/"/>
    <hyperlink ref="E147" r:id="rId139" display="https://www.sec.gov/Archives/edgar/data/1652044/000165204426000018/R11.htm"/>
    <hyperlink ref="E148" r:id="rId140" display="https://stockanalysis.com/stocks/googl/history/"/>
    <hyperlink ref="E149" r:id="rId141" display="https://data.sec.gov/api/xbrl/companyfacts/"/>
    <hyperlink ref="E150" r:id="rId142" display="https://home.treasury.gov/resource-center/data-chart-center/interest-rates/daily-treasury-rates.csv/2026/all?type=daily_treasury_yield_curve&amp;field_tdr_date_value=2026&amp;page&amp;_format=csv"/>
    <hyperlink ref="E151" r:id="rId143" display="https://api.nasdaq.com/api/analyst/MSFT/earnings-forecast"/>
    <hyperlink ref="E152" r:id="rId144" display="https://api.nasdaq.com/api/analyst/AMZN/earnings-forecast"/>
    <hyperlink ref="E153" r:id="rId145" display="https://api.nasdaq.com/api/analyst/META/earnings-forecast"/>
    <hyperlink ref="E154" r:id="rId146" display="https://api.nasdaq.com/api/analyst/RDDT/earnings-forecast"/>
    <hyperlink ref="E155" r:id="rId147" display="https://api.nasdaq.com/api/analyst/APP/earnings-forecast"/>
    <hyperlink ref="E156" r:id="rId148" display="https://api.nasdaq.com/api/analyst/NFLX/earnings-forecast"/>
    <hyperlink ref="E157" r:id="rId149" display="https://api.nasdaq.com/api/analyst/ORCL/earnings-forecast"/>
    <hyperlink ref="E160" r:id="rId150" display="https://query1.finance.yahoo.com/v8/finance/chart/MSFT"/>
    <hyperlink ref="E161" r:id="rId151" display="https://query1.finance.yahoo.com/v8/finance/chart/AMZN"/>
    <hyperlink ref="E162" r:id="rId152" display="https://query1.finance.yahoo.com/v8/finance/chart/META"/>
    <hyperlink ref="E163" r:id="rId153" display="https://query1.finance.yahoo.com/v8/finance/chart/RDDT"/>
    <hyperlink ref="E164" r:id="rId154" display="https://query1.finance.yahoo.com/v8/finance/chart/APP"/>
    <hyperlink ref="E165" r:id="rId155" display="https://query1.finance.yahoo.com/v8/finance/chart/NFLX"/>
    <hyperlink ref="E166" r:id="rId156" display="https://query1.finance.yahoo.com/v8/finance/chart/ORCL"/>
    <hyperlink ref="E167" r:id="rId157" display="https://api.nasdaq.com/api/company/META/earnings-surprise"/>
    <hyperlink ref="E168" r:id="rId158" display="https://data.sec.gov/api/xbrl/companyfacts/CIK0001326801.json"/>
    <hyperlink ref="E169" r:id="rId159" display="https://www.sec.gov/Archives/edgar/data/1341439/000119312526387905/orcl-ex99_1.htm"/>
    <hyperlink ref="E170" r:id="rId160" display="https://data.sec.gov/api/xbrl/companyfacts/CIK0000789019.json"/>
    <hyperlink ref="E171" r:id="rId161" display="https://data.sec.gov/api/xbrl/companyfacts/CIK0001018724.json"/>
    <hyperlink ref="E172" r:id="rId162" display="https://data.sec.gov/api/xbrl/companyfacts/CIK0001341439.json"/>
    <hyperlink ref="E173" r:id="rId163" display="https://data.sec.gov/api/xbrl/companyfacts/CIK0001713445.json"/>
    <hyperlink ref="E174" r:id="rId164" display="https://data.sec.gov/api/xbrl/companyfacts/CIK0001751008.json"/>
    <hyperlink ref="E175" r:id="rId165" display="https://data.sec.gov/api/xbrl/companyfacts/CIK0001065280.json"/>
    <hyperlink ref="E176" r:id="rId166" display="https://api.nasdaq.com/api/company/MSFT/earnings-surprise"/>
    <hyperlink ref="E177" r:id="rId167" display="https://api.nasdaq.com/api/company/AMZN/earnings-surprise"/>
    <hyperlink ref="E178" r:id="rId168" display="https://api.nasdaq.com/api/company/RDDT/earnings-surprise"/>
    <hyperlink ref="E179" r:id="rId169" display="https://api.nasdaq.com/api/company/APP/earnings-surprise"/>
    <hyperlink ref="E180" r:id="rId170" display="https://api.nasdaq.com/api/company/NFLX/earnings-surprise"/>
    <hyperlink ref="E181" r:id="rId171" display="https://api.nasdaq.com/api/company/ORCL/earnings-surprise"/>
    <hyperlink ref="E182" r:id="rId172" display="https://www.sec.gov/Archives/edgar/data/2130357/000162828026067168/anthropicpbc-sx1.htm"/>
    <hyperlink ref="E183" r:id="rId173" display="https://finance.yahoo.com/markets/stocks/articles/anthropic-publicly-files-ipo-ant-155552280.html"/>
    <hyperlink ref="E184" r:id="rId174" display="https://www.sec.gov/Archives/edgar/data/1652044/000165204426000080/googexhibit991q32026.htm"/>
    <hyperlink ref="E185" r:id="rId175" display="https://www.sec.gov/Archives/edgar/data/1652044/000165204426000080/goog-20261028.htm"/>
    <hyperlink ref="E186" r:id="rId176" display="https://s206.q4cdn.com/479360582/files/doc_financials/2026/q3/2026q3-alphabet-earnings-slides.pdf"/>
    <hyperlink ref="E187" r:id="rId177" display="https://www.fool.com/earnings/call-transcripts/2026/10/29/alphabet-googl-q3-2026-earnings-call-transcript/"/>
    <hyperlink ref="E188" r:id="rId178" display="https://api.nasdaq.com/api/analyst/GOOGL/earnings-forecast"/>
    <hyperlink ref="E189" r:id="rId179" display="https://www.marketscreener.com/quote/stock/ALPHABET-INC-24203373/finances/"/>
    <hyperlink ref="E190" r:id="rId180" display="https://twelvedata.com/markets/stocks/GOOGL"/>
    <hyperlink ref="E191" r:id="rId181" display="https://www.tradingkey.com/news/transcripts/262249599-tradingkey"/>
    <hyperlink ref="E192" r:id="rId182" display="https://finance.yahoo.com/markets/stocks/articles/alphabet-q3-earnings-call-highlights-05041659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2026-10-30T22:16:12Z</dcterms:created>
  <dc:creator>openpyxl</dc:creator>
  <dc:description/>
  <dc:language>en-US</dc:language>
  <cp:lastModifiedBy/>
  <dcterms:modified xsi:type="dcterms:W3CDTF">2026-10-30T22:16:12Z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