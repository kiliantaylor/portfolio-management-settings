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Distribution" sheetId="3" state="visible" r:id="rId5"/>
    <sheet name="Methods" sheetId="4" state="visible" r:id="rId6"/>
    <sheet name="Scenarios" sheetId="5" state="visible" r:id="rId7"/>
    <sheet name="Reasoning" sheetId="6" state="visible" r:id="rId8"/>
    <sheet name="Supervisor" sheetId="7" state="visible" r:id="rId9"/>
    <sheet name="Sources" sheetId="8" state="visible" r:id="rId10"/>
  </sheets>
  <definedNames>
    <definedName function="false" hidden="false" name="Analyst_Median" vbProcedure="false">Summary!$B$9</definedName>
    <definedName function="false" hidden="false" name="IV30" vbProcedure="false">Summary!$B$13</definedName>
    <definedName function="false" hidden="false" name="Market_Median" vbProcedure="false">Summary!$B$15</definedName>
    <definedName function="false" hidden="false" name="Platt_Shift" vbProcedure="false">Summary!$B$11</definedName>
    <definedName function="false" hidden="false" name="Spot" vbProcedure="false">Summary!$B$5</definedName>
    <definedName function="false" hidden="false" name="Sup_Used" vbProcedure="false">Summary!$B$10</definedName>
    <definedName function="false" hidden="false" name="Thesis_Break" vbProcedure="false">Summary!$B$12</definedName>
    <definedName function="false" hidden="false" name="W_Agents" vbProcedure="false">Summary!$B$7</definedName>
    <definedName function="false" hidden="false" name="W_Analyst" vbProcedure="false">Summary!$B$8</definedName>
    <definedName function="false" hidden="false" name="W_Mkt" vbProcedure="false">Summary!$B$6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<sst xmlns="http://schemas.openxmlformats.org/spreadsheetml/2006/main" count="1273" uniqueCount="809">
  <si>
    <t xml:space="preserve">VST 12-month price target model</t>
  </si>
  <si>
    <t xml:space="preserve">Close 2026-10-30 · agents' research 2026-10-23 · horizon 2027-10-30. Blue = input you can change, black = formula, green = link to another sheet. Yellow = key assumption.</t>
  </si>
  <si>
    <t xml:space="preserve">Inputs</t>
  </si>
  <si>
    <t xml:space="preserve">Value</t>
  </si>
  <si>
    <t xml:space="preserve">Where it comes from</t>
  </si>
  <si>
    <t xml:space="preserve">Last close</t>
  </si>
  <si>
    <t xml:space="preserve">Close on 2026-10-30</t>
  </si>
  <si>
    <t xml:space="preserve">Weight: options market</t>
  </si>
  <si>
    <t xml:space="preserve">AIA Forecaster default (market 67%); flips to 33% when the option chain is thin</t>
  </si>
  <si>
    <t xml:space="preserve">Weight: agents</t>
  </si>
  <si>
    <t xml:space="preserve">AIA Forecaster default (agents 33%)</t>
  </si>
  <si>
    <t xml:space="preserve">Weight: analyst consensus</t>
  </si>
  <si>
    <t xml:space="preserve">Taken pro rata from the two above; 0 when there are no targets or in a special situation</t>
  </si>
  <si>
    <t xml:space="preserve">Analysts' median target</t>
  </si>
  <si>
    <t xml:space="preserve">21 analysts, https://stockanalysis.com/stocks/vst/forecast/ as of 2026-10-30</t>
  </si>
  <si>
    <t xml:space="preserve">Use supervisor ladder (1 = yes)</t>
  </si>
  <si>
    <t xml:space="preserve">Supervisor confidence: medium; its ladder replaces the agents' mean only when high</t>
  </si>
  <si>
    <t xml:space="preserve">Platt log shift of the agents' curve</t>
  </si>
  <si>
    <t xml:space="preserve">combine.py: P(close &gt;= spot) 0.560 Platt-scaled (a = 1.732) to 0.560, then the whole agents' curve is shifted in log price by this amount</t>
  </si>
  <si>
    <t xml:space="preserve">Thesis-break price (supervisor)</t>
  </si>
  <si>
    <t xml:space="preserve">Supervisor's reconciled thesis break (agents' values on the Reasoning sheet)</t>
  </si>
  <si>
    <t xml:space="preserve">30-day implied vol</t>
  </si>
  <si>
    <t xml:space="preserve">Cboe model-free 30D IV as of 2026-10-30; sets the stop noise floor (2 one-month moves)</t>
  </si>
  <si>
    <t xml:space="preserve">Options-market median</t>
  </si>
  <si>
    <t xml:space="preserve">Median of the options-implied distribution (Distribution sheet); the analyst curve is this curve re-centred on the analysts' median</t>
  </si>
  <si>
    <t xml:space="preserve">Research target (12m) per share</t>
  </si>
  <si>
    <t xml:space="preserve">Method blend</t>
  </si>
  <si>
    <t xml:space="preserve">Stated</t>
  </si>
  <si>
    <t xml:space="preserve">Note</t>
  </si>
  <si>
    <t xml:space="preserve">Agent 1</t>
  </si>
  <si>
    <t xml:space="preserve">Agent 2</t>
  </si>
  <si>
    <t xml:space="preserve">Agent 3</t>
  </si>
  <si>
    <t xml:space="preserve">Agent 4</t>
  </si>
  <si>
    <t xml:space="preserve">Agent 5</t>
  </si>
  <si>
    <t xml:space="preserve">Agents' average</t>
  </si>
  <si>
    <t xml:space="preserve">Agents' median</t>
  </si>
  <si>
    <t xml:space="preserve">Supervisor's reconciled research target (12m)</t>
  </si>
  <si>
    <t xml:space="preserve">Model update 2026-10-23 (update): peer set refresh (Kilian 2026-10-26 06:07Z); the IPP-only peer median fell from 10.6x to 10.06x NTM EV/EBITDA on the 10-23 close, so the horizon multiple moves 9.5x -&gt; 9.0x with the same 1.1x discount, and the engine value of the set goes from $159.66 to $147.67 (-7.5%). Nothing else in the set changed. No-DCF rule (Kilian 2026-10-21 13:50Z: no DCF leg for any researched name except the neoclouds), applied 2026-10-22: the engine re-run of the reconciled set without its 0.3 DCF leg gives $172.53 (runs/2026-10-14/VST/model_engine.json model_fair_value; was $166.03 with the DCF at $150.9). Original reason: Engine base horizon value of the reconciled set: 9.5x horizon NTM pre-SBC adjusted EBITDA ($8.42B = 0.21 x FY2027 $8.1B + 0.79 x FY2028 $8.5B) less $20.4B net debt and $2.49B preferred/NCI, plus $0.63B Cogentrix tax NPV, over 334.6M shares = $172.5 (weight 0.7); DCF at 9.0% WACC and 2.5% terminal growth = $150.9 (0.3). Changes from round 1 ($160.8): horizon net debt $20.8B -&gt; $20.4B (FCFbG to the horizon ~$6.0B, distributions ~$1.84B from the call's $3B plan) and terminal growth 2.0% -&gt; 2.5% (the DCF check; PJM risk counted once). Forecaster mean fair value $158.7 (range $153.9-162.8).</t>
  </si>
  <si>
    <t xml:space="preserve">Research target (12m) vs last close</t>
  </si>
  <si>
    <t xml:space="preserve">Levels</t>
  </si>
  <si>
    <t xml:space="preserve">This model</t>
  </si>
  <si>
    <t xml:space="preserve">Published</t>
  </si>
  <si>
    <t xml:space="preserve">How</t>
  </si>
  <si>
    <t xml:space="preserve">NTM target (median)</t>
  </si>
  <si>
    <t xml:space="preserve">Price with a 50% chance of closing above it on the horizon date</t>
  </si>
  <si>
    <t xml:space="preserve">Take-profit (75th percentile)</t>
  </si>
  <si>
    <t xml:space="preserve">25% chance of closing above</t>
  </si>
  <si>
    <t xml:space="preserve">15th percentile</t>
  </si>
  <si>
    <t xml:space="preserve">85% chance of closing above</t>
  </si>
  <si>
    <t xml:space="preserve">Stop noise floor</t>
  </si>
  <si>
    <t xml:space="preserve">Two one-month implied moves below the last close; the stop is never tighter than this</t>
  </si>
  <si>
    <t xml:space="preserve">Stop-loss</t>
  </si>
  <si>
    <t xml:space="preserve">Higher of the 15th percentile and the thesis break, capped at the noise floor (published basis: noise floor (2 x 1M IV))</t>
  </si>
  <si>
    <t xml:space="preserve">Target vs last close</t>
  </si>
  <si>
    <t xml:space="preserve">P(close above last)</t>
  </si>
  <si>
    <t xml:space="preserve">Expected price (mean)</t>
  </si>
  <si>
    <t xml:space="preserve">Mean of the blended distribution (combine.py integrates the full curve); above the median when right-skewed</t>
  </si>
  <si>
    <t xml:space="preserve">Sheets</t>
  </si>
  <si>
    <t xml:space="preserve">Assumptions</t>
  </si>
  <si>
    <t xml:space="preserve">The supervisor's table of every driver: each agent's value, reasoning and linked sources</t>
  </si>
  <si>
    <t xml:space="preserve">Methods</t>
  </si>
  <si>
    <t xml:space="preserve">Each agent's valuation methods, values and weights</t>
  </si>
  <si>
    <t xml:space="preserve">Scenarios</t>
  </si>
  <si>
    <t xml:space="preserve">Downside (10th pct) / base / upside (90th pct) price per agent</t>
  </si>
  <si>
    <t xml:space="preserve">Distribution</t>
  </si>
  <si>
    <t xml:space="preserve">The probability ladder and the blend, as formulas</t>
  </si>
  <si>
    <t xml:space="preserve">Reasoning</t>
  </si>
  <si>
    <t xml:space="preserve">Each agent's written reasoning, thesis break and what changed from round 1</t>
  </si>
  <si>
    <t xml:space="preserve">Supervisor</t>
  </si>
  <si>
    <t xml:space="preserve">Disagreements, fact-checks and changes</t>
  </si>
  <si>
    <t xml:space="preserve">Sources</t>
  </si>
  <si>
    <t xml:space="preserve">Every cited source with its link</t>
  </si>
  <si>
    <t xml:space="preserve">VST key assumptions, aggregated by the supervisor</t>
  </si>
  <si>
    <t xml:space="preserve">Each driver of the valuation: the supervisor's reconciled value (grey rows), then what each agent assumed, why, and its sources. Blue values are the agents' own numbers; blank means the agent did not use that driver.</t>
  </si>
  <si>
    <t xml:space="preserve">ID</t>
  </si>
  <si>
    <t xml:space="preserve">Assumption / who</t>
  </si>
  <si>
    <t xml:space="preserve">Source 1</t>
  </si>
  <si>
    <t xml:space="preserve">Source 2</t>
  </si>
  <si>
    <t xml:space="preserve">Source 3</t>
  </si>
  <si>
    <t xml:space="preserve">All sources</t>
  </si>
  <si>
    <t xml:space="preserve">Agents low</t>
  </si>
  <si>
    <t xml:space="preserve">Agents high</t>
  </si>
  <si>
    <t xml:space="preserve">Used in</t>
  </si>
  <si>
    <t xml:space="preserve">The supervisor has not aggregated this round yet (model_assumptions.json); see Methods and Reasoning.</t>
  </si>
  <si>
    <t xml:space="preserve">VST probability of closing at or above each price on 2027-10-30</t>
  </si>
  <si>
    <t xml:space="preserve">Each column is P(close &gt;= K). Agents' curve is Platt-shifted, blended with the options market, then analysts at W_Analyst (0 since 2026-10-05). Interpolation is linear in logit(p) vs log(K), as in combine.py.</t>
  </si>
  <si>
    <t xml:space="preserve">Price K</t>
  </si>
  <si>
    <t xml:space="preserve">ln K</t>
  </si>
  <si>
    <t xml:space="preserve">Options market</t>
  </si>
  <si>
    <t xml:space="preserve">Agents' mean</t>
  </si>
  <si>
    <t xml:space="preserve">Agents' curve used</t>
  </si>
  <si>
    <t xml:space="preserve">logit(used)</t>
  </si>
  <si>
    <t xml:space="preserve">K shifted</t>
  </si>
  <si>
    <t xml:space="preserve">seg</t>
  </si>
  <si>
    <t xml:space="preserve">Agents Platt-shifted</t>
  </si>
  <si>
    <t xml:space="preserve">logit(market)</t>
  </si>
  <si>
    <t xml:space="preserve">K re-centred</t>
  </si>
  <si>
    <t xml:space="preserve">Analyst curve</t>
  </si>
  <si>
    <t xml:space="preserve">Blend ex analysts</t>
  </si>
  <si>
    <t xml:space="preserve">Final blend</t>
  </si>
  <si>
    <t xml:space="preserve">logit(final)</t>
  </si>
  <si>
    <t xml:space="preserve">Published (combine.py)</t>
  </si>
  <si>
    <t xml:space="preserve">Agents' curves are their final-round answers (Reasoning sheet shows round 1). Market and published columns come from combine.py; the model reproduces the final blend within rounding (combine.py also enforces a non-increasing curve).</t>
  </si>
  <si>
    <t xml:space="preserve">VST valuation methods by agent</t>
  </si>
  <si>
    <t xml:space="preserve">Each agent's methods, the value per share and the weight it gave each. Blended value = weight-averaged methods; stated value = what the agent reported (it may round or add a deduction).</t>
  </si>
  <si>
    <t xml:space="preserve">Agent</t>
  </si>
  <si>
    <t xml:space="preserve">Method</t>
  </si>
  <si>
    <t xml:space="preserve">Value / share</t>
  </si>
  <si>
    <t xml:space="preserve">Weight</t>
  </si>
  <si>
    <t xml:space="preserve">Value x weight</t>
  </si>
  <si>
    <t xml:space="preserve">Calculation (assumption IDs on the Assumptions sheet)</t>
  </si>
  <si>
    <t xml:space="preserve">Inputs and reasoning</t>
  </si>
  <si>
    <t xml:space="preserve">EV/EBITDA</t>
  </si>
  <si>
    <t xml:space="preserve">NTM adj. EBITDA at horizon $8,414M x 9.5x = EV $79.9B - net debt $20.9B - preferred/NCI $2.49B + Cogentrix tax NPV $0.63B = $57.2B / 334.3M shares (incl. ~1.1M SBC shares) = $171.0</t>
  </si>
  <si>
    <t xml:space="preserve">DCF</t>
  </si>
  <si>
    <t xml:space="preserve">FY2026-29 FCFF (adj. EBITDA ~37% of revenue, capex 14%-&gt;9.5%, 20% tax, SBC as dilution not cost) discounted at 9.15%; Gordon terminal growth 2.0% after FY2029 (~86% of DCF value); exit-9.0x cross-check $153</t>
  </si>
  <si>
    <t xml:space="preserve">Blended value</t>
  </si>
  <si>
    <t xml:space="preserve">Stated research target (12m)</t>
  </si>
  <si>
    <t xml:space="preserve">Blend of 9.5x NTM adjusted (pre-SBC) EBITDA at the horizon ($8.41B, after Cogentrix and the Meta PPAs) = $171.0 (70%) and a DCF at 9.15% WACC with 2.0% Gordon growth = $140.9 (30%). Equals the standard engine's base horizon value of $161.96.</t>
  </si>
  <si>
    <t xml:space="preserve">NTM adj. EBITDA at 2027-10-14 $8.41B x 9.5x = EV $79.9B; - net debt incl. preferred $22.96B - minorities $0.01B + Cogentrix tax NPV $0.63B = equity $57.6B / 334.6M shares</t>
  </si>
  <si>
    <t xml:space="preserve">FY26-29 FCFF (adj. EBITDA $7.25B/$8.1B/$8.5B/$8.85B, D&amp;A 10.9%, capex 13.5%-&gt;11% of revenue, tax 21%, SBC as dilution), WACC 9.5%, Gordon g 2.0%, same bridge</t>
  </si>
  <si>
    <t xml:space="preserve">Engine base horizon value: 9.5x horizon NTM pre-SBC adjusted EBITDA $8.41B (0.21 x FY27 $8.1B + 0.79 x FY28 $8.5B) less $22.96B net debt incl. preferred, plus $0.63B Cogentrix tax NPV, over 334.6M shares = $172.11 (80%); DCF at 9.5% WACC / 2.0% g = $125.75 (20%). Blend $162.84.</t>
  </si>
  <si>
    <t xml:space="preserve">Horizon NTM pre-SBC adjusted EBITDA ~$8,416M (0.21 x FY27 $8,100M + 0.79 x FY28 $8,500M) x 9.25x = $77.85B EV; less net debt incl. preferred $23.0B and minorities $12M; plus Cogentrix tax NPV $700M x 0.9; / 335.1M shares = $165.5</t>
  </si>
  <si>
    <t xml:space="preserve">P/E</t>
  </si>
  <si>
    <t xml:space="preserve">Model's own horizon NTM EPS ~$11.43 (NOPAT ~$4.92B less after-tax interest 6% x 0.79 x $23.0B = $1.09B, / 335.1M) x 13.5x = $154.3, plus $1.88 Cogentrix tax NPV = $156.2</t>
  </si>
  <si>
    <t xml:space="preserve">FCFF FY2026-29 $3.28B, $4.05B, $4.87B, $4.94B (pre-SBC, SBC in share count); WACC 9.25%; Gordon g 2.0% (TV 86% of EV); net debt at horizon $23.0B; Cogentrix tax NPV $0.63B; 335.1M shares</t>
  </si>
  <si>
    <t xml:space="preserve">Blend of EV/EBITDA 9.25x on horizon-NTM pre-SBC adjusted EBITDA of ~$8.42B (peer basis) less $23.0B net debt incl. preferred and Cogentrix, plus $0.63B probability-weighted Cogentrix tax NPV, over 335.1M shares (SBC as dilution) = $165 (w 0.55); P/E 13.5x on the model's own NTM EPS of ~$11.43 = $156 (w 0.15); 9.25% WACC / 2% growth DCF = $131 (w 0.30): $153.9.</t>
  </si>
  <si>
    <t xml:space="preserve">NTM adjusted EBITDA at 2027-10-14 $8,257M x 9.5x = EV $78.44B - net debt $21.21B - preferred $2.48B + tax NPV $0.63B = $55.39B / 335.1M sh = $165.3</t>
  </si>
  <si>
    <t xml:space="preserve">Pre-SBC FCFF FY26-30 $3.13B/$3.87B/$4.42B/$4.56B/$4.78B; WACC 9.0%; Gordon g 2.5%; same equity bridge</t>
  </si>
  <si>
    <t xml:space="preserve">Blend of 9.5x NTM adjusted (pre-SBC) EV/EBITDA at the horizon ($8.26B = 0.21 x FY27 $8.12B + 0.79 x FY28 $8.29B) = $165.3 (60%) and a 5-year DCF at 9.0% WACC, 2.5% g = $138.22 (40%). Equity bridge: horizon net debt $21.21B (full Cogentrix outlay), preferred $2.48B, +$0.63B Cogentrix tax NPV, 335.1M shares (SBC as dilution).</t>
  </si>
  <si>
    <t xml:space="preserve">Horizon NTM adjusted EBITDA ~$8,414M x 9.25x = EV ~$77.8B; less net claims $22,250M and NCI $12M; plus $630M Cogentrix tax NPV; / 333.9M shares = $168.3</t>
  </si>
  <si>
    <t xml:space="preserve">FY2026-30 FCFF from revenue growth 10/11/5/4/3%, pre-SBC EBIT margin 26.2-27.2%, tax 21%, D&amp;A 11-10.5%, capex 14% -&gt; 11%; WACC 9.37%, g 2.5%; TV 82% of DCF; same equity bridge</t>
  </si>
  <si>
    <t xml:space="preserve">Blend of 9.25x horizon NTM adjusted (pre-SBC) EBITDA of ~$8.41B (0.21 x FY2027 $8.1B + 0.79 x FY2028 $8.5B) less $22.25B net debt incl. preferred and $12M NCI plus $0.63B Cogentrix tax NPV, over 333.9M shares = $168.3 (70%), and a 9.37% WACC / 2.5% growth DCF on pre-SBC FCFF with SBC as dilution = $142.2 (30%); engine base horizon value $160.48.</t>
  </si>
  <si>
    <t xml:space="preserve">VST cases by agent</t>
  </si>
  <si>
    <t xml:space="preserve">Base case = median; downside = 10th percentile, upside = 90th percentile (no probabilities; older rounds' bear/bull shown as downside/upside).</t>
  </si>
  <si>
    <t xml:space="preserve">Downside (P10)</t>
  </si>
  <si>
    <t xml:space="preserve">Base (median)</t>
  </si>
  <si>
    <t xml:space="preserve">Upside (P90)</t>
  </si>
  <si>
    <t xml:space="preserve">Downside story</t>
  </si>
  <si>
    <t xml:space="preserve">Base story</t>
  </si>
  <si>
    <t xml:space="preserve">Upside story</t>
  </si>
  <si>
    <t xml:space="preserve">ERCOT forwards stay weak and 2028 (only ~72% hedged) re-hedges lower; PJM moves toward a capped 'legacy' auction for existing generation after 2029/30; AI data-center capex follows the standing low case (2028 $1,265B vs $2,255B base), cutting contracting premiums and the AI-power multiple; FY2027-28 adj. EBITDA ~$0.8B below base (~$7.6B), multiple 8.0x (NRG-like), WACC +0.5pt.</t>
  </si>
  <si>
    <t xml:space="preserve">2027 lands at the low end of $7.4-7.8B plus ~$0.7B from Cogentrix and Meta (~$8.1B); PJM capacity flat at ~$325 through 2029/30; buybacks continue; 9.5x NTM adjusted EBITDA, with the DCF (9.15% WACC, 2.0% terminal growth) pricing post-2030 PJM/ERCOT risk.</t>
  </si>
  <si>
    <t xml:space="preserve">Tight PJM (max-gen alerts, shortfall below the reliability requirement) lifts energy and capacity prices and PJM's 2030/31+ design pays existing units uncapped long-term prices; Comanche Peak or other data-center contracts are signed; EBITDA reaches ~$9.4B NTM and the multiple rises to 10.5x.</t>
  </si>
  <si>
    <t xml:space="preserve">Nov-6 update puts 2027 below ~$7.9B incl. deals as ERCOT stays near $30/MWh with only ~72% of 2028 hedged; an AI-capex scare plus a &gt;5% 10-yr compress IPP multiples to ~7.75x NTM (below NRG); engine: growth -2pt, EBIT margin -3pt (~-$0.65B EBITDA), multiple -1.75x, WACC +0.75pt.</t>
  </si>
  <si>
    <t xml:space="preserve">2026 at/above $7.2B, 2027 ~$8.1B incl. Cogentrix/Meta, 2028 ~$8.5B as Comanche Peak AWS (energize end-2027) and Meta uprates ramp; PJM collar through 2029/30, no extension; 9.5x NTM adjusted EBITDA.</t>
  </si>
  <si>
    <t xml:space="preserve">Remaining ~3.1 GW nuclear (Beaver Valley, Comanche Peak unit 2) contracted at premium prices (GS: +3-9% to 2028 EBITDA), ERCOT tightens as 2027-28 load hooks up (CDR reserve margin falling), multiple re-rates to ~10.75x toward TLN/CEG; engine: growth +2pt, margin +1.5pt, multiple +1.25x.</t>
  </si>
  <si>
    <t xml:space="preserve">ERCOT stays near $30/MWh as 2028 hedges roll off, 2027 lands at or below the $7.4B low end ex-deals, PJM keeps a cap past 2029/30, rates stay above 5%, AI-capex sentiment weakens: margins -2.5pt, revenue growth -2pt, multiple ~8.0x, WACC +0.5pt. Engine value $106.</t>
  </si>
  <si>
    <t xml:space="preserve">2026 at/above midpoint, 2027 ~$8.1B incl. Cogentrix and Meta, 2028 ~$8.5B; 9.25x pre-SBC adjusted EBITDA, inside the peer range.</t>
  </si>
  <si>
    <t xml:space="preserve">ERCOT tightens as large loads connect after the Texas audit, further nuclear contracts at premiums (Comanche Peak, Beaver Valley), PJM lets the collar lapse after 2029/30; margins +2pt, multiple ~10.5x, near the peer median. Engine value $202.</t>
  </si>
  <si>
    <t xml:space="preserve">2027 standalone EBITDA slips below $7.4B as ERCOT forwards fall further and 2028 re-hedges lower; AI capex follows the standing view's low case (2028 $1,265B vs $2,255B base) and the AI-power multiple compresses to ~8x; rates stay high; PJM signals a cap or administrative design for 2030/31+; ~$96. Engine: growth -2pt, margin -2.5pt, multiple 8.0x, WACC 10%.</t>
  </si>
  <si>
    <t xml:space="preserve">2027 at the $7.4B low end + ~$0.7B Cogentrix/Meta = ~$8.1B adjusted; 2028 ~+2%; 9.5x NTM adjusted EBITDA; ~$154.</t>
  </si>
  <si>
    <t xml:space="preserve">ERCOT large-load energization and PJM scarcity lift 2028 EBITDA; further nuclear contracting (Beaver Valley uprates, further data-center contracts) re-rates the stock toward ~11x, still below CEG's 11.8x; ~$217. Engine: growth +2pt, margin +2pt, multiple 11.0x, WACC 8.5%.</t>
  </si>
  <si>
    <t xml:space="preserve">ERCOT stays soft as 2028 hedges roll off, the Nov 6 2027 update lands below $7.4B before deals, AI capex follows the low case and rates stay above 5%: ~7.75x on ~$7.9B horizon EBITDA, margins -2pt, WACC +0.5pt. Engine bear $107.2.</t>
  </si>
  <si>
    <t xml:space="preserve">2027 adj. EBITDA ~$8.1B (low end $7.4B + ~$0.7B Cogentrix/Meta), FY2028 ~$8.5B; 9.25x horizon NTM adjusted EBITDA; net claims ~$22.25B; 333.9M shares. Engine base $160.5.</t>
  </si>
  <si>
    <t xml:space="preserve">Comanche Peak and further hyperscaler contracts signed, PJM keeps RPM market-based after 2029/30, ERCOT load arrives 2027-28: 10.5x (~IPP median) on ~$9B EBITDA. Engine bull $209.3.</t>
  </si>
  <si>
    <t xml:space="preserve">Average</t>
  </si>
  <si>
    <t xml:space="preserve">VST each agent's reasoning</t>
  </si>
  <si>
    <t xml:space="preserve">Final round, with round 1 for comparison. Revisions list what each agent changed after the supervisor's feedback.</t>
  </si>
  <si>
    <t xml:space="preserve">Research target (12m) r1</t>
  </si>
  <si>
    <t xml:space="preserve">Research target (12m) r2</t>
  </si>
  <si>
    <t xml:space="preserve">Thesis break</t>
  </si>
  <si>
    <t xml:space="preserve">Thesis break reason</t>
  </si>
  <si>
    <t xml:space="preserve">Key uncertainties</t>
  </si>
  <si>
    <t xml:space="preserve">Revisions after feedback</t>
  </si>
  <si>
    <t xml:space="preserve">Round 2. Cause of the drop, now pinned: September CPI was released 2026-10-14 08:30 ET at +0.6% m/m and +3.7% y/y (core +0.3% m/m, +2.6% y/y; energy +5.2% m/m) (BLS, src 22), with the 10-yr at 5.21% (src 21). VST closed -6.5% with CEG -5.5%, TLN -6.2% and NRG -5.9%, against SPY -1.1% and XLU -0.3% (src 18). Vistra filed nothing (latest 8-K 2026-10-05, src 11). The move is sector-wide, a rates/AI-power factor sell-off, not company news, so fair value does not move because of it. Changes from round 1 (supervisor feedback, verified at the primaries): (1) SBC is now counted once, as dilution, on pre-SBC EBITDA like the peers; round 1 deducted it in FCFF and also added the shares. (2) WACC is 8.5% -&gt; 9.15%, on rf 5.21% and a 6.5% marginal debt cost (new 7.0-7.25% junior notes). (3) The DCF terminal is now Gordon 2.0% instead of a 9.0x exit, which was equivalent to ~2.35% growth and reused peer multiples: DCF $155 -&gt; $141. (4) The P/E leg is dropped. (5) The Cogentrix tax NPV now cites Vistra's own release (src 6), not The Fly. (6) The AI-capex low case (src 26) is added to the bear case and long-dated risks. New in-lane evidence: the 424B5 shows the junior notes may fund redemption of the 8.0%/7.0% preferred (claims-neutral, src 25); a 2026-07-15 PJM workshop presentation by the Ohio Energy Group proposes keeping the cap and floor on existing generation beyond 2029/30 (src 24). PJM's own answer leaves the 2030/31+ path to after its end-2026 stakeholder review (src 23), so I raise the PJM-cap probability from 0.35 to 0.4. Valuation: 9.5x NTM adjusted EBITDA of $8.41B = $171.0 (70%), DCF $140.9 (30%), fair value $162.0 (round 1 $165.0). Scenarios $110.6 / $162.0 / $212.4 at 25/50/25, lognormal mix with 30% within-scenario vol (~39% total), so the 12-month median is ~$158.7, ~4% above spot. Thesis break moves from $120 to $115, ~8.0x pro forma 2027 EBITDA. The sell-side median target of $210 (src 19) is near my bull case and was not used. About 8 follow-up searches/fetches; www.sec.gov pages were read via WebFetch, data.sec.gov JSON directly.</t>
  </si>
  <si>
    <t xml:space="preserve">At $115 the pro forma equity (115 x ~340.6M shares incl. the 5.0M Cogentrix shares = $39.2B) plus pro forma net debt ($19.16B + $2.3B cash + $1.5B assumed debt = $22.96B) and $2.49B preferred/NCI is ~$64.6B, ~8.0x the ~$8.1B 2027 base. That is ~0.9x below NRG (8.9x), the cheapest IPP, and near my bear value ($110.6); ordinary 50%-vol noise rarely gets there without news. Round 1's $120 used horizon claims ($23.4B) instead of today's pro forma claims ($25.4B), which understated EV; on the pro forma basis $120 is 8.2x. Likely causes: PJM adopting a cap or administrative price for existing generation in 2030/31+ (the open flag), 2027 guidance on Nov 6 well below ~$8.1B, or an ERCOT forward collapse the 94%/72% 2027-28 hedges cannot absorb. Status of the flag (not tripped): the ~$325/~$175 collar covers RPM auctions only through the 2029/2030 delivery year (PJM answer, ER26-1556, src 23); PJM will evaluate investment incentives with stakeholders by end-2026 and then set the RPM path for 2030/31+ (src 23); the 2026-09-29 FERC order suspended the Reliability Backstop Procurement to 2027-02-28 and opened a section 206 proceeding (src 12). No filing to extend the cap past 2029/30 exists (EDGAR/PJM checked 2026-10-14), but at the 2026-07-15 PJM market-design workshop the Ohio Energy Group proposed a 'Legacy Auction' that would keep the cap and floor beyond 2029/2030 on existing generation (src 24): a live stakeholder proposal, not a PJM position.</t>
  </si>
  <si>
    <t xml:space="preserve">• Size and persistence of ERCOT forward-price weakness; 2028 is only ~72% hedged
• PJM 2030/31+ capacity design: PJM's long-term market options vs a consumer push to keep caps on existing generation (src 23, 24); the backstop section 206 proceeding
• Timing of Cogentrix closing and its real 2027 EBITDA (~$550M implied by 7.25x)
• Data-center contracting at Comanche Peak and other sites while the Texas audit pauses interconnections; AI capex low case (src 26)
• Rates: 10-yr at 5.21% after a hot CPI; WACC 9.15% vs the ~8.3% the 9.5x multiple implies
• Group beta: VST moves with CEG/TLN/NRG and the AI-power trade (-6.5% on 2026-10-14 with no company news)</t>
  </si>
  <si>
    <t xml:space="preserve">• a fact: Cause of 2026-10-14 drop: sector-wide, no single trigger pinned → Sector-wide sell-off on the hot September CPI (08:30 ET: +0.6% m/m, core +0.3% m/m / +2.6% y/y, energy +5.2%), 10-yr 5.21%; no Vistra news (Supervisor 'missed' item; confirmed at BLS (src 22), FRED (src 21) and the EDGAR index (src 11))
• a method: sbc_treatment 'cost' (SBC deducted in FCFF and ~1M SBC shares added) → sbc_treatment 'dilution' on pre-SBC adjusted EBITDA/FCFF; ~1.1M SBC shares in 334.3M (Supervisor revisit: SBC was counted twice; peers' consensus adjusted EBITDA is pre-SBC (src 27))
• a method: WACC 8.5% (rf 5.24%, pre-tax debt 5.8%) → WACC 9.15% (rf 5.21%, beta 1.1, ERP 5%, marginal pre-tax debt 6.5%, preferred 7.5%) (Supervisor: 8.5% understated rates risk; new junior notes at 7.0-7.25% (src 9) show the marginal debt cost. I keep beta 1.1 / ERP 5% rather than the supervisor's 1.15 / 4.75%)
• a method: DCF $155.4 with 9.0x exit on FY2029 (weight 0.2) → DCF $140.9 with Gordon 2.0% (weight 0.3) (Supervisor asked for a Gordon cross-check: the 9.0x exit is ~2.35% perpetual growth at 9.15% and reuses peer multiples; 2.0% prices post-2030 PJM/ERCOT/AI-capex risk)
• a method: P/E 14x on $11.10 NTM EPS = $157.3 (weight 0.2) → dropped (weight 0); EV/EBITDA weight 0.6 -&gt; 0.7 (EPS was after SBC while shares carry SBC dilution; the only consensus cross-check (FMP, 1-2 analysts) was discounted by the supervisor; the leg added little beyond the same EBITDA)
• a fact: Cogentrix tax NPV sourced to The Fly → Vistra 8-K Ex. 99.1: '~$0.7 billion of net present value of expected tax benefits', ~7.25x 2027 Adj. EBITDA (Supervisor source review; opened and confirmed at the primary (src 6); value unchanged ($630M after 0.9 probability))
• fair value: 165.03 → 161.96 (WACC 9.15% and Gordon 2.0% DCF ($140.9 at 30%) partly offset by removing the SBC double count; EV/EBITDA leg unchanged at $171.0)
• a scenario: bear $118.69 / base $165.03 / bull $211.24 → bear $110.61 / base $161.96 / bull $212.35 (Engine rerun with the new WACC/terminal/SBC basis; bear story adds the AI-capex low case (src 26) and a capped PJM legacy auction (src 24))
• P(close &gt;= K): P(&gt;=152) 0.57, P(&gt;=122) 0.78, P(&gt;=183) 0.37; median $162.4 → P(&gt;=152) 0.544, P(&gt;=122) 0.748, P(&gt;=183) 0.354; median $158.7 (Lower scenario values (DCF at 9.15%, Gordon 2.0%); same 30% within-scenario vol)
• P(close &gt;= K): 1-month center $153.5, P(&gt;=152.2) 0.525 → 1-month center $153.0, P(&gt;=152.2) 0.515 (Cause is a live macro/rates factor (hot CPI) with the FOMC Oct 27-28 in the window, so less reversal is assumed)
• thesis break: 120 → 115 (Round 1 priced it on horizon claims ($23.4B); on today's pro forma claims ($25.4B incl. Cogentrix) $120 is 8.2x and $115 is ~8.0x the ~$8.1B 2027 base, ~0.9x below NRG and near my new $110.6 bear)
• a fact: PJM cap past 2029/30: p 0.35, no proposal found → p 0.4; PJM decides the 2030/31+ path after its end-2026 stakeholder review (src 23); a consumer group proposed keeping the cap/floor on existing generation beyond 2029/30 (src 24) (Supervisor resolution (p 0.4) plus my own primary find of the OEG workshop proposal; still not a PJM filing, so the flag is open, not tripped)
• a fact: $1.5B junior notes: debt and cash rise equally → Proceeds may redeem the 8.0% Series A / 7.0% Series B preferred after Oct/Dec 2026 resets (424B5, src 25); total claims unchanged (Supervisor said the 8-K does not state use of proceeds; the prospectus supplement does)</t>
  </si>
  <si>
    <t xml:space="preserve">Cause of today's drop (verified): BLS released September CPI at 08:30 ET 2026-10-14 (+0.6% m/m, +3.7% y/y; core +0.3% m/m, +2.6% y/y); Reuters reported an AI-infrastructure rout; the IPPs fell together (VST -6.7%, CEG -5.6%, TLN -6.2%, NRG -5.9%) while SPY fell ~1.2% and XLU ~0.4%; EDGAR shows no Vistra 8-K since 2026-10-05. So the move is sector-wide (AI-power factor) triggered by a market-wide macro print, not company news, and does not change fair value. PJM thesis-break flag: open, not tripped; I read PJM's ER26-1556 answer myself: a 'limited extension' through 2029/30, with the 2030/31+ path to be set after an end-2026 stakeholder evaluation; no filing to extend or lower the cap. Round-2 changes after the supervisor's review: Cogentrix's $3.8B now fully in the horizon bridge (net debt incl. preferred $22.96B, built from FCFbG guidance and the call's capital-allocation plan); FY2028 EBITDA cut from $9.0B (thin FMP consensus) to $8.5B; FY2027 raised to the sourced $8.1B (unsourced $0.2B haircut dropped); multiple 10.0x -&gt; 9.5x (below VST's ~9.9x today, 1.1x under the IPP median); P/E leg dropped; shares from the 335.6M cover count; SBC counted once as dilution; Cogentrix ~$0.7B tax NPV added (x0.9). Fair value $162.84 (EV/EBITDA $172.11 80%, DCF $125.75 20%). Scenarios: bear $98.74 (28%), base $162.84 (50%), bull $213.23 (22%), within-scenario sigma 17%; mixture median $157.7. Ladder = 80% that mixture + 20% a lognormal at the 50% realized vol around the same median, to keep fat tails. P(&gt;= $152) = 0.542. I keep the PJM-cap probability at 0.35 (supervisor 0.4): PJM itself framed the collar as limited and has not proposed anything for 2030/31; the risk is state pressure, which is real but undecided. Industry evidence: PJM short of capacity (2028/29 BRA at the cap, 6,831 MW short; Max Gen alerts and &gt;$1,000/MWh prices this week), FERC's 2026-10-09 rejection of IRAS/BYONC keeps capacity tight, hyperscalers keep contracting existing nuclear (Google-CEG), while ERCOT is soft (~$30/MWh; VST and NRG both flagged lower Texas prices; ~20.9 GW batteries).</t>
  </si>
  <si>
    <t xml:space="preserve">$118: ~22% below today and ~11% below the 52-week low ($132.66). Pro forma equity 118 x 340.6M (335.6M + 5.0M Cogentrix shares) = $40.2B + pro forma net debt $22.96B (19.16 + 2.3 cash + 1.5 assumed debt) + preferred $2.48B = EV ~$65.6B = 8.1x the $8.1B 2027 base, ~0.8x below NRG (8.9x), the cheapest IPP, and ~1.8x below VST's own ~9.9x today. Reaching it without a market-wide crash would mean something fundamental: (a) the Nov-6 or later update puts 2027 well below $8.1B (ERCOT structural oversupply), (b) PJM/FERC move to cap or administratively set 2030/31+ capacity prices, or states force re-regulation (the flagged trigger), or (c) hyperscaler AI capex cuts that erase the contracting premium. PJM cap status at 2026-10-14 (primary sources): the ~$325/~$175 collar covers only the 2028/29 and 2029/30 BRAs (FERC order 2026-04-28, ER26-1556); PJM's own answer calls it a 'limited extension' and says it will evaluate investment incentives with stakeholders by end-2026 and then 'determine the best path forward' for 2030/31 and beyond. No filing to extend or lower the cap past 2029/30 exists; NJ BPU (2026-10-01) is pushing a redesign. Flag open, not tripped. Slightly above the supervisor's $115 because my bear scenario (~$99) already assumes a 7.75x trough on lower EBITDA, and $118 still needs a multiple below every IPP on unchanged 2027 numbers.</t>
  </si>
  <si>
    <t xml:space="preserve">• ERCOT prices: ~$30/MWh, forwards 'meaningfully lower', 2028 only ~72% hedged; whether 2027-28 load hookups (Vistra sees 12-15 GW of real data-center load by 2030) tighten the market.
• Size and timing of the Nov-6 guidance update for 2027 and whether Cogentrix closes in time.
• PJM capacity design after DY 2029/30: collar expiry (upside, auctions clear at the cap with a 6.8 GW shortfall) vs a new cap or state-led redesign (PJM path set after end-2026 evaluation).
• Rates and the AI-power factor: today's -6.5 to -7% came with peers on a hot CPI print, not company news.
• Contracting of the remaining ~3.1 GW of nuclear and the price achieved vs the CEG-Google benchmark.
• Gas prices (Henry Hub $2.95 in Sep 2026) keep gas-set ERCOT prices low.</t>
  </si>
  <si>
    <t xml:space="preserve">• fair value: 180.62 → 162.84 (Supervisor: net-debt bridge omitted ~$1.9B of Cogentrix cost, FY2028 rested on thin consensus, 10.0x unjustified above VST's own multiple; all corrected below.)
• a method: EV/EBITDA: 193.09 (10.0x on $8.77B, engine bridge) → 172.11 (9.5x on $8.41B, stated horizon net debt $22.96B incl. preferred, +$0.63B tax NPV) (Supervisor findings on multiple, FY2028 and bridge; Cogentrix tax NPV verified in Vistra's release.)
• a method: P/E: 175.15 (15.5x x $11.30, weight 0.25) → dropped (Rested on FMP FY27/28 EPS consensus with 1-2 analysts (supervisor source_review discounted it).)
• a method: DCF: 139.83 (WACC 9.3%, weight 0.15) → 125.75 (WACC 9.5%, weight 0.2) (Lower FY2028/29 EBITDA, full Cogentrix cost in the bridge, WACC weights recomputed at market (70/30).)
• a fact: FY2027 adjusted EBITDA: $7.9B → $8.1B (The $0.2B ERCOT haircut had no sourced curve figure; supervisor confirmed $7.4B low end + ~$0.7B at the call transcript.)
• a fact: FY2028 adjusted EBITDA: $9.0B → $8.5B (No management figure; 72% hedged with lower ERCOT forwards; FMP consensus too thin (supervisor).)
• a fact: horizon net debt incl. preferred: ~$22.4B (engine bridge, 50% of Cogentrix counted) → $22.96B stated with derivation (Supervisor: engine prorated the FY2026 other_uses after the 2026-06-30 balance date.)
• a fact: shares: 339.2M now / 337.7M horizon → 335.6M now / 334.6M horizon (Supervisor: use the cover count (F103), not Q2 weighted diluted.)
• a fact: SBC basis: costed in FCFF and also in share count → dilution only, pre-SBC EBITDA like peers (Supervisor SBC-basis finding; Talen and Vistra adjusted EBITDA both add back stock comp (verified).)
• a scenario: bear 103 / base 181 / bull 239 (0.30/0.48/0.22) → bear 98.74 / base 162.84 / bull 213.23 (0.28/0.50/0.22) (Rebased on the corrected set; bear multiple 7.75x, bull 10.75x.)
• P(close &gt;= 152): 0.627 → 0.542 (Lower fair value and median ($157.7).)
• thesis break: 120 → 118 (Recomputed on pro forma EV and the $8.1B 2027 base (8.1x, below NRG); supervisor $115, I keep slightly higher as explained.)
• a fact: CPI consensus and FedWatch odds: 'core 2.5% expected', ~33% hike odds → removed (Not at a primary source (supervisor); only BLS actuals kept.)</t>
  </si>
  <si>
    <t xml:space="preserve">Round 2. Cause of the 2026-10-14 drop (verified, unchanged): VST -6.3% to $152.2 with no 8-K or release since 2026-10-05 (EDGAR); the AI-power/AI-infrastructure group sold off on the hot September CPI (BLS: +0.6% m/m, +3.7% y/y; core +0.3% m/m), 10-year ~5.2%: sector/market-wide, not company-specific, so it does not move fair value. PJM cap status (the thesis-break trigger), as of 2026-10-14: FERC accepted the ~$175 floor / ~$325 cap collar for 2028/29 and 2029/30 on 2026-04-28 (ER26-1556); PJM's answer limits it to auctions through 2029/30 and commits to a stakeholder evaluation by end-2026 before setting the 2030/31+ path; the 2026-09-29 FERC order (ER26-3380/EL26-108) accepted and suspended the Reliability Backstop to 2027-02-28 and opened a section 206 proceeding. No filing to extend the cap exists: flag open, not tripped. What changed after the supervisor's review: (1) SBC was counted twice (after-SBC EBITDA against pre-SBC peer multiples, plus SBC shares); I confirmed at source that Talen's and Vistra's adjusted EBITDA add back stock comp, and moved to pre-SBC EBITDA with SBC as dilution only. (2) Dropped the unsupported $0.1B 2027 haircut and the thin FMP 2028 consensus; 2027 $8.1B, 2028 $8.5B by my own build. (3) Added the Cogentrix ~$0.7B tax NPV, confirmed in Vistra's release, at 0.9 probability. (4) P/E leg now on the model's own EPS. (5) PJM post-2030 cap probability 0.5 -&gt; 0.45; I stay above the supervisor's 0.4 (see revisions). Fair value $153.9 (EV/EBITDA $165, P/E $156, DCF $131); scenarios $106/$154/$202 at 30/45/25; engine median $149.5. Skeptic findings still stand: 2027 is trending to the low end; 2028 is only ~72% hedged into lower ERCOT forwards; the balance sheet absorbs $3.8B of Cogentrix plus $1.5B of 7%+ hybrids at BBB-; BMO cut its target to $210 from $231 on Oct 5 (TIKR, context only). No short-seller report or sell rating found. Ladder: centred ~$151.7 (between the engine median and fair value, leaning to the 30% bear weight) with ~42-45% effective vol and fat tails, P(&gt;=152) 0.495. Round-2 follow-ups: 3 web searches/fetches plus 4 primary-document checks (Cogentrix release, Talen and Vistra Q2 reconciliations, Q3 date release, Fed calendar); PJM's 2029/30 parameters PDF could not be text-extracted here, so the December BRA date stays unconfirmed.</t>
  </si>
  <si>
    <t xml:space="preserve">At $112 the pro forma equity (112 x ~340.6M shares incl. the 5.0M Cogentrix shares = $38.1B) plus pro forma net debt and preferred (~$25.4B = $19.16B + $2.48B preferred + $3.8B Cogentrix cash and assumed debt) is ~$63.6B EV, ~7.85x the $8.1B 2027 base: ~1x below NRG (8.9x), the cheapest peer, and below my bear-case multiple. Reaching it outside a market-wide crash would most likely mean a fundamental break: PJM moving to cap or administratively set 2030/31+ capacity prices (no extension filed as of 2026-10-14; PJM's stakeholder evaluation runs to end-2026, then it sets the 2030/31+ path, ER26-1556 answer), 2027 guidance on Nov 6 well below $7.4B ex-deals, the Cogentrix deal failing, or a downgrade below investment grade. ~26% below spot and ~16% below the 52-week low ($132.66). I keep $112 rather than the supervisor's $115: both sit ~1x below NRG; at $115 an ordinary 1.5-sigma year with no fundamental news gets there more often.</t>
  </si>
  <si>
    <t xml:space="preserve">• Whether ERCOT ~$30/MWh pricing (batteries, solar, slower large-load interconnection under the Texas audit) is cyclical or structural.
• PJM post-2030 market design: political pressure (governors of Maryland and Pennsylvania, the White House ratepayer pledge) could keep or lower the ~$325/MW-day cap; PJM has not proposed one and argued in the RBP proceeding that further extending the price floor would be impermissible.
• Rates: 10-year at 5.19% and hot CPI raise the hurdle for a capital-intensive, ~$25B-debt name and for AI data-center builders whose demand underpins the bull case.
• Thin consensus: FMP quarterly estimates rest on 1-4 analysts; the 2027 EPS estimate was cut ~8% in 60 days to mid-September.
• Credit: issuer is only BBB- (Fitch) / IG at S&amp;P; new hybrids rated Ba2/BB/BB; more debt-funded M&amp;A or Helix calls could pressure ratings.
• Insider selling: the CFO sold 20,000 shares at $165 on 2026-10-07 and the Vistra Retail president 22,222 at ~$160.14 on 2026-10-06, both under 10b5-1 plans (Form 4s); not a strong signal on its own and not used in any number (aggregator insider totals dropped).</t>
  </si>
  <si>
    <t xml:space="preserve">• fair value: 147.97 → 153.87 (SBC counted once (pre-SBC EBITDA on the peers' basis, SBC as dilution: +~$3.5/share on the multiple leg), round-1 $0.1B 2027 haircut dropped, FMP-consensus P/E EPS replaced by the model's own EPS, Cogentrix tax NPV added (+$1.9/share); partly offset by FY2028 $8.6B -&gt; $8.5B (supervisor findings; Talen and Vistra releases).)
• a method: EV/EBITDA: 9.25x on after-SBC EBITDA $8.33B, w 0.5 = $161.15 → 9.25x on pre-SBC adjusted EBITDA $8.42B, w 0.55 = $165.46 (Supervisor: peers' NTM consensus EBITDA is pre-SBC; confirmed in Talen's Q2 reconciliation (stock comp added back) and Vistra's (non-cash compensation added back). I keep 9.25x rather than 9.5x: the horizon NTM is ~79% FY2028 (72% hedged, lower ERCOT forwards).)
• a method: P/E: 13.5x x $10.80 (FMP consensus less 10% haircut), w 0.2 = $145.8 → 13.5x x model EPS $11.43, w 0.15 = $156.19 (Supervisor discounted the FMP FY2028 consensus (1-2 analysts) and the Weiss EPS-cut figure is an aggregator claim; replaced by the engine's own earnings.)
• a method: DCF: 127.46 → 131.46 (FCFF now pre-SBC with SBC as dilution; 2027/2028 EBITDA $8.1B/$8.5B; Cogentrix tax NPV adjustment.)
• a fact: FY2027 adjusted EBITDA: $8.0B (incl. $0.1B skeptic haircut) → $8.1B (Supervisor: the haircut was a judgment with no new evidence; low end $7.4B + ~$0.7B deals (Q2 call).)
• a fact: FY2028 adjusted EBITDA: $8.6B (FMP consensus $9.63B less 11%) → $8.5B (built from 2027 + contracts - ERCOT roll-off) (Supervisor discounted the thin FMP 2028 consensus; rebuilt without it.)
• a fact: Cogentrix tax-benefit NPV: not counted → $700M x 0.9 adjustment (Supervisor finding, confirmed at Vistra's 2026-01-05 release (src 29).)
• a scenario: bear 102 / base 148 / bull 193 → bear 106 / base 154 / bull 202 (probabilities unchanged 0.30/0.45/0.25) (Same deltas on the corrected SBC basis; eps_pct deltas removed with the consensus EPS.)
• P(close &gt;= K): P(&gt;=152) 0.465, P(&gt;=167) 0.37, P(&gt;=183) 0.285 → P(&gt;=152) 0.495, P(&gt;=167) 0.395, P(&gt;=183) 0.30 (Higher fair value ($153.9) and engine median ($149.5); I centre near $151.7, keeping fat tails from 50% realized vol and the 30% bear weight.)
• thesis break: 112 → 112 (reason updated) (Recomputed pro forma: ~7.85x the $8.1B 2027 base, ~1x below NRG. Disagree with the supervisor's $115: keep a level ordinary volatility rarely reaches.)
• a fact: PJM post-2030 cap probability: 0.5 → 0.45 (Supervisor: PJM has not proposed a cap and argued further floor extension is impermissible. I stay above its 0.4 because the collar has been extended each time it was sought and Maryland/Pennsylvania and the White House pledge keep pressing for caps (src 4, 5, 6).)
• a fact: insider selling: MarketBeat $10.3M sold / $0.9M bought → two Form 4 sales only (CFO 20,000 at $165; retail president 22,222 at ~$160.14, 10b5-1) (Supervisor: aggregator data; kept out of numbers.)
• a fact: long-dated risks: 4 risks → 6 risks incl. nuclear-contracting upside and Helix (Supervisor long_dated_review flagged both as missing.)</t>
  </si>
  <si>
    <t xml:space="preserve">Round 2. Cause of the 2026-10-14 drop (unchanged, confirmed by the supervisor at BLS): VST -6.51% to $151.79 with CEG -5.45% and TLN -6.22% against SPY -1.07% and XLU -0.31% (Twelve Data), no Vistra news (EDGAR: the last 8-K, filed 2026-10-05, only extends the commodity-linked revolver to 2027-09-29). The trigger was the September CPI (BLS: +0.6% m/m, +3.7% y/y; core +0.3% m/m, +2.6% y/y), an AI-power/IPP sector move set off by a market-wide print, not company-specific. It followed a -6.35% day on Oct 8 after a +20.5% run (TIKR). PJM thesis-break flag: open, not tripped. The collar covers only the 2028/29 and 2029/30 BRAs and PJM will set the 2030/31+ path after an end-2026 stakeholder evaluation (PJM ER26-1556 answer, read at source); FERC's Oct 9 order rejected PJM's curtail-first large-load plan, keeping a 50 MW definition and a registry (MGRID, which relies on trade press; context only). I put 0.4 on a post-2030 cap or administrative design. Corrections from the supervisor, verified: (a) my engine bridge counted only half of the $3.8B Cogentrix outlay, so horizon net debt rises from $19.48B to $21.21B (stated directly; -$5.6/share); (b) the peer multiple now applies to pre-SBC adjusted EBITDA like the peers' consensus, with SBC counted once as dilution (+~$3/share); (c) the ~$0.7B Cogentrix tax-benefit NPV, confirmed in Vistra's release, is added at 90% (+$1.9/share); (d) the junior notes' use of proceeds is now quoted from the 424B2 ('some or all' of Series A/B), with claims carried at face; (e) WACC 9.0% from a marginal debt cost of ~6.4% (DCF -$4.1). I keep my own FY2028 at $8.29B (+2%), below the supervisor's ~$8.5B, because 2028 is only ~72% hedged into lower ERCOT forwards and no management figure exists. Fair value: 9.5x on $8.26B NTM = $165.3 (60%) and DCF $138.2 (40%) = $154.4 (round 1 $155.3). Polymarket odds, newsletter targets and the Zero Hedge uncapped-price figure are now context only and set no number. Long-dated risks now include the AI-capex low case (bear 8.0x) and nuclear-contracting upside. Ladder: engine mixture of lognormals at bear $95.7 / base $154.4 / bull $216.6 (25/50/25), 30% within-scenario vol; median ~$151.3, near today's $152.2. Thesis break $116 (~8.0x pro forma). Research limits: sec.gov refused the scripted fetch, so filings were read with WebFetch; X and Reddit were unreachable in round 1 and not retried.</t>
  </si>
  <si>
    <t xml:space="preserve">At $116 the pro forma equity (116 x 340.6M shares incl. the 5.0M Cogentrix shares = $39.5B) plus pro forma net debt (~$22.96B = $19.16B + $2.3B cash + $1.5B assumed debt) and $2.48B preferred is ~$64.9B, ~8.0x the ~$8.1B 2027 pro forma adjusted EBITDA: ~0.9x below NRG (8.9x), the cheapest IPP, and ~1.8x below VST's own ~9.8x today. Round 1's $120 used non-pro-forma claims (it is really ~8.2x, too close to NRG to signal a break). Trading there without a market-wide crash would most likely mean: (a) the Nov 6 update puts 2027 standalone well below $7.4B or 2028 re-hedges show a structural ERCOT reset; (b) PJM moves to cap or administratively set 2030/31+ capacity prices. Status 2026-10-14: the ~$325/~$175 collar covers only the 2028/29 and 2029/30 BRAs; PJM will complete its stakeholder evaluation by end-2026 and then set the 2030/31+ path (PJM ER26-1556 answer, 2026-04-06); no extension has been filed; flag open, not tripped; (c) an AI-capex bust along the standing view's low case. A rates/AI sentiment day like 2026-10-14 should not take it there.</t>
  </si>
  <si>
    <t xml:space="preserve">• ERCOT forward curves for 2027-28: 'meaningfully lower' than Oct-2025 per management, with 2028 only ~72% hedged.
• PJM's 2030/31+ capacity design: collar ends with 2029/30; PJM sets the path after its end-2026 stakeholder evaluation.
• AI-capex durability and rates: the stock trades as an AI/rates proxy (-6.5% on the hot September CPI, -6.35% on 2026-10-08).
• The Nov 6 guidance update and whether Cogentrix closes on time (TIKR: the 2027 update could slip if it has not closed).
• Texas and PJM-state data-center restrictions (prediction markets ~15-18% by end-2027, thin; context only).
• Sell-side mean targets (~$210-222) sit far above my value; independent newsletters cluster at $146-194 (context only).</t>
  </si>
  <si>
    <t xml:space="preserve">• fair value: 155.31 → 154.44 (Net-debt bridge fix (-$5.6/sh in the multiple leg), adjusted EBITDA basis (+~$3), Cogentrix tax NPV (+$1.9), WACC 9.0% (DCF -$4.1); supervisor findings on net debt, SBC basis and tax NPV, the last confirmed in Vistra's Cogentrix release.)
• a method: EV/EBITDA: 164.03 (9.5x on after-SBC EBITDA $8,106M) → 165.26 (9.5x on pre-SBC adjusted EBITDA $8,257M) (Supervisor: peers' NTM consensus EBITDA is pre-SBC; SBC now counted once as dilution.)
• a method: DCF: 142.24 (8.8% WACC) → 138.22 (9.0% WACC) (Higher net debt and a marginal cost of debt of ~6.4% (new 7.0-7.25% notes, 424B2) for refinancing risk the supervisor said I missed.)
• a fact: horizon net debt: $19,478M → $21,212M (Supervisor: the engine pro-rated the FY2026 $3.8B Cogentrix outlay 50% after the 2026-06-30 balance date; now stated in net_debt_horizon with the arithmetic.)
• a fact: Series A/B refinancing: junior notes 'refinance Series A/B' → 424B2: net proceeds for general corporate purposes including funding redemption of 'some or all' of Series A/B (Supervisor discounted the claim against the 8-K; confirmed the wording in the 424B2 itself. Claims unchanged.)
• a fact: diluted shares at horizon: 335.6M (flat) → 335.1M (Explicit build: +5.0M Cogentrix, +1.1M SBC dilution, -6.6M buybacks.)
• a scenario: bear 94.78 / base 155.31 / bull 218.99 → bear 95.67 / base 154.44 / bull 216.57 (Same deltas on the corrected set; bear story now carries the AI-capex low case; Polymarket and newsletter ranges no longer set deltas.)
• P(close &gt;= K): P(&gt;=152) 0.501, P(&gt;=183) 0.331, P(&gt;=228) 0.162 → P(&gt;=152) 0.496, P(&gt;=183) 0.325, P(&gt;=228) 0.157 (Engine mixture on the revised scenarios; median ~$151.3.)
• thesis break: 120 → 116 (Recomputed on pro forma claims (Cogentrix cash, debt and shares): $120 is ~8.2x, too close to NRG's 8.9x; $116 is ~8.0x.)
• a fact: long-dated risks: 3 risks (PJM p 0.35, ERCOT, Texas moratorium) → 7 risks incl. AI-capex low case, nuclear upside, refinancing, Helix; PJM p 0.4 (Supervisor flagged the missing AI-capex, nuclear, rates and Helix items; PJM's own answer confirms the 2030/31+ path is open.)
• a fact: prediction markets: Polymarket odds used in scenario derivation and risk probabilities → context only (Supervisor source_review: thin markets; probabilities are now my judgment.)</t>
  </si>
  <si>
    <t xml:space="preserve">Round 2. Anchor: 1y realized vol 50%, beta ~1.5; VST has traded from ~4-5x forward adj. EBITDA (pre-2024) to ~10-11x (2024-25 peaks) and ~9.8x NTM standalone today - base rates are context, not inputs. Fundamentals (company sources): 2026 adj. EBITDA guide $6.8-7.6B (at/above mid), 2027 trending to the $7.4B low end plus ~$0.7B Cogentrix/Meta = $8.1B; ~94% of 2027 and ~72% of 2028 hedged with ERCOT forwards lower; &gt;$10B available cash 2026-27, ~$3B to equity holders, $4.5-5B growth incl. Cogentrix and Helix. Changes after the supervisor's review: (1) SBC counted once - pre-SBC adjusted EBITDA like the peers, SBC as ~1M shares of dilution; (2) multiple 9.0x -&gt; 9.25x, now on the peers' basis; I stay 0.25x under VST's ~9.5x pro forma level because the horizon NTM is mostly the 72%-hedged 2028 and the post-2029/30 PJM design is nearer; (3) horizon claims $24.0B -&gt; $22.25B, rebuilt from management's prorated capital plan with only $0.5B of Helix calls (timing unpredictable per the CFO); (4) shares 333.1M -&gt; 333.9M; (5) +$0.63B Cogentrix tax-benefit NPV confirmed in Vistra's release; (6) P/E leg dropped because it rested on thin (1-2 analyst) FY2028 consensus. The preferred-refinancing claim is kept: the 424B2 use-of-proceeds section states it (the supervisor checked the 8-K, which does not), and total claims are unchanged either way. Fair value $160.5 (EV/EBITDA $168.3 x 0.7, DCF $142.2 x 0.3). PJM thesis-break status confirmed at PJM's ER26-1556 answer: collar through 2029/30 only, 2030/31+ path to be set after the end-2026 stakeholder review; not tripped. Today's -6.5% was macro/sector (hot CPI) and does not change value. Ladder: 25/50/25 lognormal mixture at the engine scenario values $108/$162/$211 with 27% within-scenario vol (total log-sd ~0.36, below the 50% realized vol because part of that is mean-reverting factor noise); median $158.1, P(&gt;=152) = 0.54.</t>
  </si>
  <si>
    <t xml:space="preserve">At $112 pro forma equity (112 x ~340.6M shares incl. the 5.0M Cogentrix shares = $38.1B) plus pro forma net claims (~$25.4B = $21.6B incl. preferred + $2.3B Cogentrix cash + $1.5B assumed debt) is ~$63.5B, ~7.8x the $8.1B 2027 base: ~1.1x below NRG (8.9x), the cheapest IPP, ~2x below VST's own ~9.8x today, and ~16% under the 52-week low ($132.66). That only makes sense if a fundamental leg breaks: (a) the flagged trigger, a PJM move to cap or administratively set capacity prices for 2030/31+ - status 2026-10-14: NOT tripped; the ~$325/~$175 collar covers RPM auctions only through 2029/2030 (PJM answer ER26-1556, source 31; FERC accepted 2026-04-28, source 16), PJM evaluates incentives with stakeholders by end-2026 and then sets the 2030/31+ path, and the Reliability Backstop Procurement was accepted and suspended to 2027-02-28 with a new FERC section 206 proceeding (source 18) - it procures new build rather than capping existing plants, and no filing to extend the cap was found; (b) the Nov 6 guidance update putting 2027 well below $8.1B including deals; or (c) a hyperscaler contract failing. I keep $112 rather than the supervisor's $115: at 50% realized vol, $115-130 is reachable on rates/AI-factor moves alone (the stock fell 6.5% today on CPI with no company news).</t>
  </si>
  <si>
    <t xml:space="preserve">• Size of the 2027 guidance update on Nov 6 (ERCOT forwards vs PJM strength and ~$0.7B from Cogentrix/Meta) and whether Cogentrix has closed by then
• PJM's 2030/31+ capacity design after the end-2026 stakeholder review (cap extension or administrative pricing = thesis break)
• FY2028 EBITDA with only ~72% hedged and lower ERCOT forwards: no management figure exists
• Rates: 10y above 5% and a possible Fed hike compress long-duration AI-power multiples (each 0.25x = ~$6/share)
• Timing and size of Helix capital calls (up to $1B, &gt;$500M milestone-dependent; management cannot predict timing)</t>
  </si>
  <si>
    <t xml:space="preserve">• fair value: 145.96 → 160.48 (Supervisor: SBC double-counted (after-SBC EBITDA at a pre-SBC peer multiple) and 9.0x below VST's own level without a persistence argument; now 9.25x on pre-SBC adjusted EBITDA with SBC as dilution, horizon claims rebuilt ($22.25B), +$0.63B Cogentrix tax NPV (confirmed at Vistra's 8-K Ex. 99.1), P/E leg dropped.)
• a method: EV/EBITDA 9.0x on ~$8.4B after-SBC EBITDA = $153.5 (w 0.5) → EV/EBITDA 9.25x on ~$8.41B pre-SBC adjusted EBITDA = $168.3 (w 0.7) (Supervisor finding on the EBITDA basis (peers' NTM consensus is pre-SBC adjusted; Talen excludes stock comp). I take 9.25x, not the supervisor's 9.5x: the horizon NTM is ~79% FY2028, only ~72% hedged vs ~94% for 2027, so a 0.25x discount to VST's pro forma ~9.5x today persists.)
• a method: P/E 14x on $10.10 = $141.4 (w 0.2) → dropped (Its EPS rested on FMP FY2028 consensus with 1-2 analysts, which the supervisor discounted; no verified replacement EPS.)
• a method: DCF $136.4 (after-SBC FCFF, w 0.3) → DCF $142.2 (pre-SBC FCFF, SBC as dilution, D&amp;A 11%/10.5%, w 0.3) (SBC counted once (supervisor); WACC 9.25% and g 2.5% kept as my own view. [citation gate 2026-10-14: WACC recomputed to 9.37% from these same inputs at the stated market weights (70/30); DCF $142.2])
• a fact: Net debt incl. preferred at horizon $24,000M; Helix $1.0B in FY2027 → $22,250M; Helix $0.5B (Supervisor: management cannot predict Helix capital calls (confirmed in the Q2 call, source 5). Rebuilt from management's capital plan prorated to the horizon; still within ~$1B of the supervisor's $23.3B.)
• a fact: Shares at horizon 333.1M (no SBC dilution) → 333.9M ($1.2B remaining authorization at ~$155 (-7.7M) + 5.0M Cogentrix shares + ~1.0M SBC dilution.)
• a fact: Junior notes refinance the preferred (unqualified) → Kept, worded as the 424B2 states it: proceeds 'to fund the redemption of some or all' of Series A/B preferred (Supervisor said the 2026-09-24 8-K does not state it; I confirmed it in the 424B2 Use of Proceeds section. Total claims are unchanged either way.)
• a scenario: bear $101.6 / base $146.0 / bull $193.4 → bear $107.2 / base $160.5 / bull $209.3 (Same deltas (bull +1.25x instead of +1.5x, to land at the ~10.5x IPP median) applied to the corrected base.)
• P(close &gt;= K): P(&gt;=152) 0.472, median $148 → P(&gt;=152) 0.542, median $158.1 (Higher fair value; round-1 base-rate rebound tilt removed (supervisor: base-rate statistics are context, not inputs).)
• P(close &gt;= K): 1-month median $153.7, sigma 14.5% → 1-month median $153.5, sigma 15.5% (Supervisor key driver: the rates/AI-power factor (FOMC Oct 27-28) and the Nov 6 guidance update set the 1-month spread; base-rate tilt dropped.)
• thesis break: 112 → 112 (kept) (Disagree with the supervisor's $115: at 50% vol, $115-130 is reachable on factor moves alone; $112 (~7.8x pro forma 2027 EBITDA) needs a fundamental break. PJM status rechecked at PJM's ER26-1556 answer: not tripped.)</t>
  </si>
  <si>
    <t xml:space="preserve">VST supervisor</t>
  </si>
  <si>
    <t xml:space="preserve">Confidence: medium. Round 2 settled the two remaining number-moving disagreements: the horizon claims bridge (now $22.9B, from the call's own allocation of the $10B), and the DCF gap. Every agent's DCF sits 15-27% below its multiple leg because three use 2.0% terminal growth that re-prices the PJM risk already in the multiple; fixing it lifts my fair value to $166.0 vs the $158.7 mean. That points the update up, but it is a method correction of ~2 points of probability at the centre, not a new fact about the business, so it is not 'high'.</t>
  </si>
  <si>
    <t xml:space="preserve">Summary</t>
  </si>
  <si>
    <t xml:space="preserve">Round 2 converged: all five now use the $8.1B 2027 base, pre-SBC EBITDA like the peers, the full Cogentrix cost and the verified tax NPV, with fair values of $154-163 (mean $158.7). Two corrections remain: horizon claims are ~$22.9B when built from FCFbG guidance and the call's capital plan, and the DCFs sit 15-27% below the multiples mainly because 2.0% terminal growth re-prices the PJM risk the 9.5x multiple already carries. With 2.5% terminal growth my reconciled fair value is $166.0 (DCF $150.9, -12.5% vs the multiple; WACC 9.0% vs 8.4% implied), so I nudge the ladder up ~2 points at the centre with medium confidence. The PJM post-2029/30 cap flag is open, not tripped; thesis break $115.</t>
  </si>
  <si>
    <t xml:space="preserve">Research target (12m)</t>
  </si>
  <si>
    <t xml:space="preserve">Key drivers</t>
  </si>
  <si>
    <t xml:space="preserve">• Generation volume (Texas + East + West): 208.2 -&gt; 221/239.8/242 (estimate; quarterly, sum)
• Realized generation revenue incl. hedges, PTC and retail transfer, ex capacity: 58.66 -&gt; 62.65/63.83/63.62 (estimate; quarterly, wmean:gen_twh)
• Realized fuel, purchased power and delivery cost (ex nuclear fuel amortization): 26.02 -&gt; 26/25.9/26 (estimate; quarterly, wmean:gen_twh)
• Net capacity revenue (sold less bought for retail load): 227 -&gt; 557/533.2/508.3 (estimate; quarterly, sum)
• Retail electricity sales volume: 139.1 -&gt; 131.3/133/134 (estimate; quarterly, sum)
• Retail Adjusted EBITDA per MWh sold: 11.66 -&gt; 11.6/11.6/11.6 (estimate; quarterly, wmean:retail_twh)</t>
  </si>
  <si>
    <t xml:space="preserve">Disagreements (final round)</t>
  </si>
  <si>
    <t xml:space="preserve">Topic</t>
  </si>
  <si>
    <t xml:space="preserve">Positions</t>
  </si>
  <si>
    <t xml:space="preserve">Resolution</t>
  </si>
  <si>
    <t xml:space="preserve">Evidence</t>
  </si>
  <si>
    <t xml:space="preserve">Horizon net claims (net debt + preferred) at 2027-10-14</t>
  </si>
  <si>
    <t xml:space="preserve">agent_5 $22.25B (prorates management's 'more than $10 billion of available cash' as cash generated); agent_2 $22.96B and agent_3 $23.0B (FCFbG-based); agent_1 $20.9B + $2.49B = $23.4B; agent_4 $21.21B + $2.48B = $23.69B (FCFF after its own 15%/14% capex less after-tax interest, not FCFbG guidance).</t>
  </si>
  <si>
    <t xml:space="preserve">$20.4B net debt + $2.49B preferred/NCI = $22.89B. The $10B is 'available cash', which management allocates to ~$3B equity holders, $4.5-5B growth and ~$2-2.5B still unallocated through YE2027; it exceeds FCFbG (2026 guidance midpoint $4.325B + 2027 ~$4.86B, my estimate = 8,100 x 4,325/7,200; only 2026 is guided), so agent_5 overstates deleveraging by ~$0.6B. agent_4's cash build is ~$0.8B below FCFbG guidance, so it overstates claims. Each $0.34B is ~$1/share.</t>
  </si>
  <si>
    <t xml:space="preserve">Q2 2026 call transcript (src 2, opened via Bigdata.com 2026-10-14): 'more than $10 billion of available cash in 2026 and 2027', '~$3 billion to our equity holders', '$4.5 billion-$5 billion to accretive growth', '$2 billion-$2.5 billion of additional cash available to allocate through year-end 2027'; Q2 release FCFbG guide $3,925-4,725M (src 1).</t>
  </si>
  <si>
    <t xml:space="preserve">DCF leg vs the multiples (new DCF check): terminal growth, WACC and DCF weight</t>
  </si>
  <si>
    <t xml:space="preserve">DCF legs $125.8 (agent_2, 9.5% / 2.0%, -27% vs its multiple leg, flagged by the engine), $131.5 (agent_3, 9.25% / 2.0%, -19.6%), $138.2 (agent_4, 9.0% / 2.5%, -16.4%), $140.9 (agent_1, 9.15% / 2.0%, -17.6%), $142.2 (agent_5, 9.37% / 2.5%, -15.5%); every agent's multiples imply a WACC of 8.0-8.6%. My round-1 set was also flagged (DCF $136.2, -20.5%).</t>
  </si>
  <si>
    <t xml:space="preserve">Fixed the cause in my set: terminal growth 2.0% -&gt; 2.5%. The 2.0% was chosen to price the post-2029/30 PJM design, which is already in the multiple discount, the flat FY2029-30 EBITDA and the bear case, so it counted that risk two or three times. DCF now $150.9 vs $172.5 (-12.5%); WACC 9.0% vs 8.4% implied (0.6pt). DCF keeps weight 0.3. See dcf_check.</t>
  </si>
  <si>
    <t xml:space="preserve">Engine check of the reconciled set (scratch copy) and of each agent file; BLS CPI +3.7% y/y, core +2.6% (src 5); OEG workshop proposal vs Brattle's $500-625 cap recommendation (src 19) show the PJM risk is two-sided.</t>
  </si>
  <si>
    <t xml:space="preserve">Horizon EV/EBITDA multiple: 9.25x (agents 3, 5) vs 9.5x (agents 1, 2, 4)</t>
  </si>
  <si>
    <t xml:space="preserve">All five now apply the multiple to pre-SBC adjusted EBITDA, the peers' basis. agents 3 and 5 take a further 0.25x for the 72%-hedged 2028 and the nearer PJM decision.</t>
  </si>
  <si>
    <t xml:space="preserve">9.5x kept: 1.1x below the 10.6x IPP median and ~0.3x below VST's own ~9.8x NTM today. The hedge level and PJM design are the reasons for that discount already; stacking another 0.25x counts them twice. Each 0.25x is ~$6/share.</t>
  </si>
  <si>
    <t xml:space="preserve">peers.md NTM EV/EBITDA CEG 11.8x, TLN 10.6x, NRG 8.9x (re-run secfacts.py trailing figures match the table); Q2 release hedges ~94% 2027 / ~72% 2028 (src 1).</t>
  </si>
  <si>
    <t xml:space="preserve">FY2028 adjusted EBITDA: $8.29B (agent_4) vs $8.5B (agents 1, 2, 3, 5)</t>
  </si>
  <si>
    <t xml:space="preserve">agent_4 grows revenue 3% with a slightly lower margin (+2.2% y/y); others +5% for a full year of Meta PPA delivery and Comanche Peak load, offset by ERCOT.</t>
  </si>
  <si>
    <t xml:space="preserve">$8.5B kept. No management or usable consensus figure exists (FMP FY2028 has 1-2 analysts); agent_4's lower figure comes from its revenue/margin parameterisation, not a sourced ERCOT curve. The gap is ~$0.17B x 0.79 x 9.5 = ~$3.8/share.</t>
  </si>
  <si>
    <t xml:space="preserve">Q2 release / call (src 1, 2): no 2028 figure; Comanche Peak data-center load targeted to energize end-2027.</t>
  </si>
  <si>
    <t xml:space="preserve">Thesis-break price $112-118</t>
  </si>
  <si>
    <t xml:space="preserve">agents 3 and 5 $112, agent_1 $115, agent_4 $116, agent_2 $118 (mean $114.6).</t>
  </si>
  <si>
    <t xml:space="preserve">$115 kept: ~8.0x the ~$8.1B 2027 base on pro forma claims, ~0.9x below NRG. agents 3/5's argument that $115-130 is reachable on factor moves alone is right, which is why the break is defined as the price plus a fundamental trigger (PJM 2030/31+ cap filing or 2027 guidance well below $8.1B).</t>
  </si>
  <si>
    <t xml:space="preserve">Pro forma EV at $115: 115 x 340.6M = $39.2B + $22.96B net debt + $2.49B preferred = $64.6B.</t>
  </si>
  <si>
    <t xml:space="preserve">PJM post-2029/30 cap probability 0.35-0.45</t>
  </si>
  <si>
    <t xml:space="preserve">agent_2 0.35; agents 1, 4, 5 0.4; agent_3 0.45.</t>
  </si>
  <si>
    <t xml:space="preserve">0.4 kept. I opened the OEG presentation agent_1 cites: a consumer-group stakeholder proposal (not a PJM filing) to keep the floor and cap 'beyond 2029/2030 on existing generation'. The same document cites Brattle's recommended RTO-wide cap of $500-625/MW-day, so a post-2030 'cap' need not sit at today's $325.</t>
  </si>
  <si>
    <t xml:space="preserve">OEG / Kurtz, PJM workshop 2026-07-15 (src 19); PJM ER26-1556 answer (src 7).</t>
  </si>
  <si>
    <t xml:space="preserve">Changes the supervisor made</t>
  </si>
  <si>
    <t xml:space="preserve">Item</t>
  </si>
  <si>
    <t xml:space="preserve">From</t>
  </si>
  <si>
    <t xml:space="preserve">To</t>
  </si>
  <si>
    <t xml:space="preserve">Why</t>
  </si>
  <si>
    <t xml:space="preserve">exit multiple (k=0.8 rule)</t>
  </si>
  <si>
    <t xml:space="preserve">EV/EBITDA 9.0x</t>
  </si>
  <si>
    <t xml:space="preserve">EV/EBITDA 9.0x (kept)</t>
  </si>
  <si>
    <t xml:space="preserve">Exit k=0.8 rule (2026-10-26 12:16Z) not applied to VST: Kilian card 2026-10-26 15:02Z 'Keep the argued 9.0x' (alternatives were 9.21x on standalone EBITDA, own 9.01x, and 8.32x on FMP consensus, own 7.93x). The ERCOT/PJM discount case stands in for the rule. Rejected version kept as *.exitk-rejected.</t>
  </si>
  <si>
    <t xml:space="preserve">fair value</t>
  </si>
  <si>
    <t xml:space="preserve">158.7</t>
  </si>
  <si>
    <t xml:space="preserve">166.03</t>
  </si>
  <si>
    <t xml:space="preserve">Reconciled set: 9.5x on pre-SBC EBITDA ($172.5, 0.7) and a DCF at 9.0% / 2.5% ($150.9, 0.3) with horizon claims of $22.9B; the forecaster mean carries DCFs 15-27% below their own multiples.</t>
  </si>
  <si>
    <t xml:space="preserve">P(close &gt;= K) for K = 91-304</t>
  </si>
  <si>
    <t xml:space="preserve">[0.9, 0.811, 0.719, 0.623, 0.524, 0.424, 0.328, 0.223, 0.144, 0.066, 0.03]</t>
  </si>
  <si>
    <t xml:space="preserve">[0.905, 0.825, 0.737, 0.643, 0.545, 0.445, 0.347, 0.238, 0.155, 0.071, 0.032]</t>
  </si>
  <si>
    <t xml:space="preserve">Centre moved up ~$3 (median ~$154.5 -&gt; ~$156.5), part of the way to the reconciled set's $162.5, for the DCF-terminal and claims-bridge corrections; the mean's left tail is kept.</t>
  </si>
  <si>
    <t xml:space="preserve">terminal growth in the reconciled DCF (agents 1, 2, 3 at 2.0%)</t>
  </si>
  <si>
    <t xml:space="preserve">0.02</t>
  </si>
  <si>
    <t xml:space="preserve">0.025</t>
  </si>
  <si>
    <t xml:space="preserve">DCF check: 2.0% re-priced the post-2029/30 PJM risk already in the multiple discount, the flat FY2029-30 EBITDA and the bear case.</t>
  </si>
  <si>
    <t xml:space="preserve">horizon net claims (net debt + preferred), $B</t>
  </si>
  <si>
    <t xml:space="preserve">[22.25, 22.96, 23.0, 23.39, 23.69]</t>
  </si>
  <si>
    <t xml:space="preserve">22.89</t>
  </si>
  <si>
    <t xml:space="preserve">Built from FCFbG guidance (~$6.0B to the horizon) and the call's capital plan (~$3B equity incl. H1 paid, $4.5-5B growth, $2-2.5B unallocated).</t>
  </si>
  <si>
    <t xml:space="preserve">a fact agent_5 got wrong: 'more than $10 billion of available cash' prorated as cash generated</t>
  </si>
  <si>
    <t xml:space="preserve">-6460</t>
  </si>
  <si>
    <t xml:space="preserve">-6000</t>
  </si>
  <si>
    <t xml:space="preserve">The call allocates the $10B to equity, growth and ~$2-2.5B unallocated; FCFbG is ~$9.2B over 2026-27 (2026 guidance midpoint $4,325M + 2027 estimate ~$4,860M = 8,100 x 4,325/7,200) (cash generated to the horizon, $M).</t>
  </si>
  <si>
    <t xml:space="preserve">horizon EV/EBITDA for agents 3 and 5</t>
  </si>
  <si>
    <t xml:space="preserve">9.25</t>
  </si>
  <si>
    <t xml:space="preserve">9.5</t>
  </si>
  <si>
    <t xml:space="preserve">The extra 0.25x restates the hedge/PJM reasons already in the 1.1x discount to the 10.6x IPP median.</t>
  </si>
  <si>
    <t xml:space="preserve">thesis break</t>
  </si>
  <si>
    <t xml:space="preserve">114.6</t>
  </si>
  <si>
    <t xml:space="preserve">115.0</t>
  </si>
  <si>
    <t xml:space="preserve">~8.0x the $8.1B 2027 base on pro forma claims, ~0.9x below NRG; with a fundamental trigger attached.</t>
  </si>
  <si>
    <t xml:space="preserve">Citation audit (2026-10-14)</t>
  </si>
  <si>
    <t xml:space="preserve">{'item': 'Net debt 2026-06-30 19,160 (reconciled set)', 'from': 'basis reported', 'to': 'basis estimate: 19,595 - 435 = 19,160 (value unchanged)', 'source': 'https://www.sec.gov/Archives/edgar/data/1692819/000169281926000019/vistra-20260630.htm'}</t>
  </si>
  <si>
    <t xml:space="preserve">{'item': 'Preferred stock + NCI 2,488 (reconciled set)', 'from': 'basis reported', 'to': 'basis estimate: 2,476 + 12 = 2,488 (value unchanged)', 'source': 'https://data.sec.gov/api/xbrl/companyfacts/CIK0001692819.json'}</t>
  </si>
  <si>
    <t xml:space="preserve">{'item': 'D&amp;A % revenue 11.0% (reconciled set)', 'from': 'basis guidance', 'to': 'basis estimate: 2,150 guided D&amp;A / ~19,520 estimated revenue (value unchanged)', 'source': 'https://www.sec.gov/Archives/edgar/data/1692819/000169281926000017/vistra-20260630xearningsre.htm'}</t>
  </si>
  <si>
    <t xml:space="preserve">{'item': 'Cogentrix tax-benefit NPV adjustment 700 x 0.9 (reconciled set)', 'from': 'basis reported', 'to': 'basis estimate: 700 reported x 0.9 judged closing probability = 630 (value unchanged)', 'source': 'https://www.sec.gov/Archives/edgar/data/1692819/000119312526002589/d62722dex991.htm'}</t>
  </si>
  <si>
    <t xml:space="preserve">{'item': "thesis_break_reason: agents' thesis-break range and mean", 'from': '$112-$120, mean $116.8', 'to': '$112-$118, mean $114.6 (thesis break $115 unchanged)', 'source': '/mnt/project-files/valuation/runs/2026-10-14/VST/agent_1..5.json thesis_break_price 115/118/112/116/112'}</t>
  </si>
  <si>
    <t xml:space="preserve">{'item': 'disagreements / changes / feedback: 2027 FCFbG ~$4.86B and ~$9.2B 2026-27 called guided', 'from': 'guidance', 'to': '2026 guidance midpoint 4,325 + 2027 estimate 8,100 x 4,325/7,200 = ~4,860 (values unchanged)', 'source': 'https://www.sec.gov/Archives/edgar/data/1692819/000169281926000017/vistra-20260630xearningsre.htm'}</t>
  </si>
  <si>
    <t xml:space="preserve">{'item': 'agent_1 net debt 2026-06-30 $19,160M (EV/EBITDA, DCF, model_inputs)', 'from': 'basis reported', 'to': 'basis estimate: 19,595 - 435 = 19,160', 'source': 'https://www.sec.gov/Archives/edgar/data/1692819/000169281926000019/vistra-20260630.htm'}</t>
  </si>
  <si>
    <t xml:space="preserve">{'item': 'agent_1 preferred + NCI $2,488M', 'from': 'basis reported', 'to': 'basis estimate: 2,476 + 12 = 2,488', 'source': 'https://data.sec.gov/api/xbrl/companyfacts/CIK0001692819.json'}</t>
  </si>
  <si>
    <t xml:space="preserve">{'item': 'agent_1 diluted shares at horizon (its own arithmetic: 335.6 - 7.42 + 5.0 + 1.12)', 'from': '334.6M', 'to': '334.3M', 'source': 'arithmetic of agent_1 inputs (F103, src 3, src 5, F46)'}</t>
  </si>
  <si>
    <t xml:space="preserve">{'item': 'agent_1 fair value (engine check, shares 334.3M)', 'from': 161.81, 'to': 161.96, 'source': 'model_engine.py check; EV/EBITDA 170.82 -&gt; 170.97, DCF 140.80 -&gt; 140.93; scenarios 110.51/161.81/212.16 -&gt; 110.61/161.96/212.35'}</t>
  </si>
  <si>
    <t xml:space="preserve">{'item': 'agent_2 FY2026 adjusted EBITDA $7.25B', 'from': 'basis guidance', 'to': 'basis estimate (inside $6.8-7.6B guidance; guided midpoint $7.2B)', 'source': 'https://www.sec.gov/Archives/edgar/data/1692819/000169281926000017/vistra-20260630xearningsre.htm'}</t>
  </si>
  <si>
    <t xml:space="preserve">{'item': 'agent_2 D&amp;A % revenue 10.9% (DCF, model_inputs)', 'from': 'basis guidance', 'to': 'basis estimate: 2,150 guided D&amp;A / ~19,700 estimated revenue', 'source': 'https://www.sec.gov/Archives/edgar/data/1692819/000169281926000017/vistra-20260630xearningsre.htm'}</t>
  </si>
  <si>
    <t xml:space="preserve">{'item': 'agent_2 minorities $12M', 'from': 'cited PreferredStockValue concept (src 25)', 'to': 'cited MinorityInterest concept (new src 38): $12M at 2026-06-30', 'source': 'https://data.sec.gov/api/xbrl/companyconcept/CIK0001692819/us-gaap/MinorityInterest.json'}</t>
  </si>
  <si>
    <t xml:space="preserve">{'item': 'agent_3 FY2026 adjusted EBITDA $7.3B (engine $7,301M)', 'from': 'basis guidance', 'to': 'basis estimate (inside $6.8-7.6B guidance; guided midpoint $7.2B)', 'source': 'https://www.sec.gov/Archives/edgar/data/1692819/000169281926000017/vistra-20260630xearningsre.htm'}</t>
  </si>
  <si>
    <t xml:space="preserve">{'item': 'agent_4 D&amp;A % revenue 11% (DCF)', 'from': 'basis guidance', 'to': 'basis estimate: 2,150 guided D&amp;A / ~19,500 estimated revenue', 'source': 'https://www.sec.gov/Archives/edgar/data/1692819/000169281926000017/vistra-20260630xearningsre.htm'}</t>
  </si>
  <si>
    <t xml:space="preserve">{'item': 'agent_4 SBC % revenue 0.7%', 'from': 'basis guidance', 'to': 'basis estimate: 137 non-cash comp / ~19,500 estimated revenue', 'source': 'https://www.sec.gov/Archives/edgar/data/1692819/000169281926000017/vistra-20260630xearningsre.htm'}</t>
  </si>
  <si>
    <t xml:space="preserve">{'item': 'agent_4 net debt at horizon (its own sum: 19,160 - 4,623 + 1,133 + 1,742 + 3,800)', 'from': '$21,232M', 'to': '$21,212M', 'source': 'arithmetic of agent_4 inputs (F105, F81, F98, src 20/21/31)'}</t>
  </si>
  <si>
    <t xml:space="preserve">{'item': 'agent_4 fair value (engine check, horizon net debt 21,212)', 'from': 154.38, 'to': 154.44, 'source': 'model_engine.py check; EV/EBITDA 165.20 -&gt; 165.26, DCF 138.16 -&gt; 138.22; scenarios 95.61/154.38/216.51 -&gt; 95.67/154.44/216.57'}</t>
  </si>
  <si>
    <t xml:space="preserve">{'item': 'agent_5 WACC (its own inputs: 0.70 x 11.19% + 0.30 x 5.135%)', 'from': '9.25%', 'to': '9.37%', 'source': 'arithmetic of agent_5 inputs (sources 6, 23, 26; mcap ~$51B / claims ~$22B)'}</t>
  </si>
  <si>
    <t xml:space="preserve">{'item': 'agent_5 fair value (engine check, WACC 9.37%)', 'from': 161.58, 'to': 160.48, 'source': 'model_engine.py check; DCF 145.91 -&gt; 142.22 (EV/EBITDA 168.30 unchanged); scenarios 108.06/161.58/210.57 -&gt; 107.24/160.48/209.29'}</t>
  </si>
  <si>
    <t xml:space="preserve">{'item': 'Forecaster mean fair value (fair_value.reason, summary, confidence_reason, changes[0].from)', 'from': 158.9, 'to': 158.7, 'source': 'agent fair values 161.96 / 162.84 / 153.87 / 154.44 / 160.48 after the agent arithmetic fixes'}</t>
  </si>
  <si>
    <t xml:space="preserve">{'item': 'dcf_check.agents, set_review, disagreements[1], changes[3], feedback: agent_1/4/5 figures', 'from': 'agent_1 DCF 140.8, agent_4 claims 23.71, agent_5 DCF 145.9 at 9.25% (-13.3%); DCF gaps 13-27%', 'to': 'agent_1 DCF 140.93, agent_4 claims 23.69, agent_5 DCF 142.22 at 9.37% (-15.5%); DCF gaps 15-27%', 'source': 'model_engine.py check of the corrected agent files'}</t>
  </si>
  <si>
    <t xml:space="preserve">Sizing</t>
  </si>
  <si>
    <t xml:space="preserve">open flags</t>
  </si>
  <si>
    <t xml:space="preserve">[]</t>
  </si>
  <si>
    <t xml:space="preserve">note</t>
  </si>
  <si>
    <t xml:space="preserve">No unresolved fact-check, accounting or credit flag. Watch items (not flags): PJM 2030/31+ design after the end-2026 review; Nov 6 guidance; Cogentrix closing (outside date 2026-12-31, extendable).</t>
  </si>
  <si>
    <t xml:space="preserve">VST sources</t>
  </si>
  <si>
    <t xml:space="preserve">Every source the forecasters and the supervisor cited. IDs: A1.3 = agent 1, source 3; S.2 = supervisor, source 2; X.4 = found by the supervisor for an assumption the agent left unsourced.</t>
  </si>
  <si>
    <t xml:space="preserve">Cited by</t>
  </si>
  <si>
    <t xml:space="preserve">Title</t>
  </si>
  <si>
    <t xml:space="preserve">Date</t>
  </si>
  <si>
    <t xml:space="preserve">Link</t>
  </si>
  <si>
    <t xml:space="preserve">A1.1</t>
  </si>
  <si>
    <t xml:space="preserve">agent_1</t>
  </si>
  <si>
    <t xml:space="preserve">Vistra Form 10-Q for quarter ended 2026-06-30 (fact pack F7-F105)</t>
  </si>
  <si>
    <t xml:space="preserve">2026-08-10</t>
  </si>
  <si>
    <t xml:space="preserve">https://www.sec.gov/Archives/edgar/data/1692819/000169281926000019/vistra-20260630.htm</t>
  </si>
  <si>
    <t xml:space="preserve">A1.2</t>
  </si>
  <si>
    <t xml:space="preserve">Vistra Form 10-K for FY2025 (fact pack F3, F36, F43)</t>
  </si>
  <si>
    <t xml:space="preserve">2026-02-27</t>
  </si>
  <si>
    <t xml:space="preserve">https://www.sec.gov/Archives/edgar/data/1692819/000169281926000006/vistra-20251231.htm</t>
  </si>
  <si>
    <t xml:space="preserve">A1.3</t>
  </si>
  <si>
    <t xml:space="preserve">Vistra Q2 2026 results news release (8-K Ex. 99.1): Q2 Ongoing Ops Adj. EBITDA $1,767M; 2026 guidance Adj. EBITDA $6,800-7,600M and Adj. FCFbG $3,925-4,725M reaffirmed; 2027 midpoint opportunity $7.4-7.8B (curves as of 2025-10-31, excludes Cogentrix and Meta PPAs); hedged ~100%/94%/72% of 2026/27/28 generation; ~336M shares; ~$1.2B buyback authorization left, to be used by YE2027</t>
  </si>
  <si>
    <t xml:space="preserve">2026-08-07</t>
  </si>
  <si>
    <t xml:space="preserve">https://www.sec.gov/Archives/edgar/data/1692819/000169281926000017/vistra-20260630xearningsre.htm</t>
  </si>
  <si>
    <t xml:space="preserve">A1.4</t>
  </si>
  <si>
    <t xml:space="preserve">Vistra Q2 2026 earnings call transcript (Quartr via Bigdata.com): 2026 at or above midpoint; 2027 'trending towards the lower end' of the $7.4-7.8B range because ERCOT forwards are 'meaningfully lower'; Cogentrix + Meta PPAs would add 'roughly $700 million' to the 2027 midpoint opportunity; guidance update for 2026/2027 planned on the Q3 call; RBP cap $555/MW-day discussed</t>
  </si>
  <si>
    <t xml:space="preserve">https://app.bigdata.com/documents/195B479A48CB63C52BC7051FD044E9A5</t>
  </si>
  <si>
    <t xml:space="preserve">A1.5</t>
  </si>
  <si>
    <t xml:space="preserve">Vistra 8-K: agreements to acquire Q-Generation (Cogentrix): ~$2.3B cash net of ~$1.5B assumed debt, 5,000,000 Vistra shares valued at $185, $2.0B bridge commitment; termination date after 2026-12-31</t>
  </si>
  <si>
    <t xml:space="preserve">2026-01-05</t>
  </si>
  <si>
    <t xml:space="preserve">https://www.sec.gov/Archives/edgar/data/1692819/000119312526002589/d62722d8k.htm</t>
  </si>
  <si>
    <t xml:space="preserve">A1.6</t>
  </si>
  <si>
    <t xml:space="preserve">Vistra press release (8-K Ex. 99.1), Acquisition of Cogentrix: ~5,500 MW; net purchase price ~$4.0B after '~$0.7 billion of net present value of expected tax benefits'; ~7.25x the 2027 expected Adjusted EBITDA contribution; close expected mid-to-late 2026</t>
  </si>
  <si>
    <t xml:space="preserve">https://www.sec.gov/Archives/edgar/data/1692819/000119312526002589/d62722dex991.htm</t>
  </si>
  <si>
    <t xml:space="preserve">A1.7</t>
  </si>
  <si>
    <t xml:space="preserve">Vistra 8-K (Reg FD): 20-year PPAs with Meta for 2,609 MW from Perry, Davis-Besse and Beaver Valley (2,176 MW operating, 433 MW uprates); operating delivery from late 2026, full by YE2027; +8-10% Adj. FCFbG accretion from operating MW, +5-7% from uprates</t>
  </si>
  <si>
    <t xml:space="preserve">2026-01-09</t>
  </si>
  <si>
    <t xml:space="preserve">https://www.sec.gov/Archives/edgar/data/1692819/000119312526008508/d20785d8k.htm</t>
  </si>
  <si>
    <t xml:space="preserve">A1.8</t>
  </si>
  <si>
    <t xml:space="preserve">Vistra 8-K: PJM 2028/2029 capacity auction, cleared ~10,924 MW at a weighted average $325.00/MW-day</t>
  </si>
  <si>
    <t xml:space="preserve">2026-07-14</t>
  </si>
  <si>
    <t xml:space="preserve">https://www.sec.gov/Archives/edgar/data/1692819/000114036126028454/ef20077988_8k.htm</t>
  </si>
  <si>
    <t xml:space="preserve">A1.9</t>
  </si>
  <si>
    <t xml:space="preserve">Vistra 8-K: $850M 7.000% Series A and $650M 7.250% Series B junior subordinated notes due 2057 issued</t>
  </si>
  <si>
    <t xml:space="preserve">2026-09-24</t>
  </si>
  <si>
    <t xml:space="preserve">https://www.sec.gov/Archives/edgar/data/1692819/000114036126037577/ef20082680_8k.htm</t>
  </si>
  <si>
    <t xml:space="preserve">A1.10</t>
  </si>
  <si>
    <t xml:space="preserve">Vistra 8-K: commodity-linked revolving credit facility maturity extended to 2027-09-29</t>
  </si>
  <si>
    <t xml:space="preserve">2026-10-05</t>
  </si>
  <si>
    <t xml:space="preserve">https://www.sec.gov/Archives/edgar/data/1692819/000114036126038468/ef20083016_8k.htm</t>
  </si>
  <si>
    <t xml:space="preserve">A1.11</t>
  </si>
  <si>
    <t xml:space="preserve">SEC EDGAR submissions index for Vistra (CIK 1692819), re-checked 2026-10-14: latest 8-K 2026-10-05 (revolver extension); only Forms 4 (10-07, 10-08) and 144 (10-06, 10-07) since</t>
  </si>
  <si>
    <t xml:space="preserve">2026-10-14</t>
  </si>
  <si>
    <t xml:space="preserve">https://data.sec.gov/submissions/CIK0001692819.json</t>
  </si>
  <si>
    <t xml:space="preserve">A1.12</t>
  </si>
  <si>
    <t xml:space="preserve">FERC order accepting PJM Reliability Backstop Procurement and suspending it five months to 2027-02-28 (196 FERC 61,245, ER26-3380/EL26-108); 2027/28 BRA cleared at temporary cap $333.44, 2028/29 BRA at temporary cap $325/MW-day; RBP average-price cap $555/MW-day; PJM states a price floor applies through the 2029/2030 delivery year; 2029/2030 BRA opens 2026-12-09</t>
  </si>
  <si>
    <t xml:space="preserve">2026-09-29</t>
  </si>
  <si>
    <t xml:space="preserve">https://www.pjm.com/pjmfiles/directory/etariff/FercOrders/9154/20260929-er26-3380-000.pdf</t>
  </si>
  <si>
    <t xml:space="preserve">A1.13</t>
  </si>
  <si>
    <t xml:space="preserve">SEC XBRL company facts for Vistra: preferred stock $2,476M and noncontrolling interests $12M at 2026-06-30; preferred dividends $192M in FY2025</t>
  </si>
  <si>
    <t xml:space="preserve">https://data.sec.gov/api/xbrl/companyfacts/CIK0001692819.json</t>
  </si>
  <si>
    <t xml:space="preserve">A1.14</t>
  </si>
  <si>
    <t xml:space="preserve">Vistra to Report Third Quarter Results on Nov. 6, 2026 (company release, reprinted by Finviz)</t>
  </si>
  <si>
    <t xml:space="preserve">https://finviz.com/news/396792/vistra-to-report-third-quarter-results-on-nov-6-2026</t>
  </si>
  <si>
    <t xml:space="preserve">A1.15</t>
  </si>
  <si>
    <t xml:space="preserve">MT Newswires / Utility Dive via Yahoo: FERC (Oct 9 order) rejects most of PJM's large-load IRAS plan; Jefferies says it may keep PJM capacity prices higher for longer, positive for IPPs</t>
  </si>
  <si>
    <t xml:space="preserve">2026-10-12</t>
  </si>
  <si>
    <t xml:space="preserve">https://app.bigdata.com/documents/C63BE3BF04F819C240ED64317683B85C</t>
  </si>
  <si>
    <t xml:space="preserve">A1.16</t>
  </si>
  <si>
    <t xml:space="preserve">Yahoo Finance (Bloomberg-sourced): PJM Maximum Generation Alert; Western hub spot $1,021/MWh on Oct 13; day-ahead for Oct 14 $295.83/MWh</t>
  </si>
  <si>
    <t xml:space="preserve">https://app.bigdata.com/documents/61616050C57A5D6A8F568E0ECC4902F5</t>
  </si>
  <si>
    <t xml:space="preserve">A1.17</t>
  </si>
  <si>
    <t xml:space="preserve">Fitch Ratings: Texas data center ratings can withstand temporary permitting pause (ERCOT/PUCT audit to finish by 2026-12-10)</t>
  </si>
  <si>
    <t xml:space="preserve">https://app.bigdata.com/documents/58F52A0DB88F57E03CA6701A8DAD93DB</t>
  </si>
  <si>
    <t xml:space="preserve">A1.18</t>
  </si>
  <si>
    <t xml:space="preserve">Twelve Data daily OHLC (connected data feed): 2026-10-13 vs 2026-10-14 closes VST 162.36-&gt;151.79 (-6.5%), CEG 295.79-&gt;279.66 (-5.5%), TLN 382.14-&gt;358.36 (-6.2%), NRG 107.18-&gt;100.88 (-5.9%), SPY 778.01-&gt;769.65 (-1.1%), QQQ 743.57-&gt;728.99 (-2.0%), XLU 41.87-&gt;41.74 (-0.3%) (late-session prints)</t>
  </si>
  <si>
    <t xml:space="preserve">https://twelvedata.com/</t>
  </si>
  <si>
    <t xml:space="preserve">A1.19</t>
  </si>
  <si>
    <t xml:space="preserve">Bigdata.com company tearsheet for Vistra (FMP consensus): quarterly EPS/EBITDA estimates Q4-2026 to Q4-2029 (1-4 analysts per quarter); price targets mean $215.23, median $210, range $169-298; 21 buy, 2 hold</t>
  </si>
  <si>
    <t xml:space="preserve">https://bigdata.com</t>
  </si>
  <si>
    <t xml:space="preserve">A1.20</t>
  </si>
  <si>
    <t xml:space="preserve">Run peer comps table peers.md (trailing from SEC filings, NTM from saved FMP consensus snapshot via Bigdata.com)</t>
  </si>
  <si>
    <t xml:space="preserve">/mnt/project-files/valuation/runs/2026-10-14/VST/peers.md</t>
  </si>
  <si>
    <t xml:space="preserve">A1.21</t>
  </si>
  <si>
    <t xml:space="preserve">FRED DGS10: 10-year Treasury constant maturity 5.21% on 2026-10-13 (5.24% on 10-09)</t>
  </si>
  <si>
    <t xml:space="preserve">2026-10-13</t>
  </si>
  <si>
    <t xml:space="preserve">https://fred.stlouisfed.org/series/DGS10</t>
  </si>
  <si>
    <t xml:space="preserve">A1.22</t>
  </si>
  <si>
    <t xml:space="preserve">BLS CPI news release, September 2026 (USDL-26-1574), 2026-10-14 08:30 ET: all items +0.6% m/m SA, +3.7% y/y; core +0.3% m/m, +2.6% y/y; energy +5.2% m/m</t>
  </si>
  <si>
    <t xml:space="preserve">https://www.bls.gov/news.release/cpi.nr0.htm</t>
  </si>
  <si>
    <t xml:space="preserve">A1.23</t>
  </si>
  <si>
    <t xml:space="preserve">PJM answer in FERC Docket ER26-1556-000: extend the ~$325/MW-day cap and ~$175/MW-day floor for all RPM auctions through the 2029/2030 delivery year; evaluate investment incentives with stakeholders by the end of 2026 and determine the RPM path beginning with the 2030/2031 delivery year</t>
  </si>
  <si>
    <t xml:space="preserve">2026-04-06</t>
  </si>
  <si>
    <t xml:space="preserve">https://www.pjm.com/-/media/DotCom/documents/ferc/filings/2026/20260406-er26-1556-000.pdf</t>
  </si>
  <si>
    <t xml:space="preserve">A1.24</t>
  </si>
  <si>
    <t xml:space="preserve">Ohio Energy Group (M. Kurtz) presentation at PJM 'Powering Reliability Through Market Design' workshop: bifurcated capacity market under PJM Path A Option 2; 'Legacy Auction' would 'maintain the existing price floor and price cap beyond 2029/2030 on existing generation', uncapped long-term auctions for new generation; a stakeholder proposal, not a PJM filing</t>
  </si>
  <si>
    <t xml:space="preserve">2026-07-15</t>
  </si>
  <si>
    <t xml:space="preserve">https://www.pjm.com/-/media/DotCom/committees-groups/workshops/prtmdw/2026/20260714/20260714-item-04b---bifurcated-capacity-market-under-pjm-path-a-option-2---michael-kurtz-presentation.pdf</t>
  </si>
  <si>
    <t xml:space="preserve">A1.25</t>
  </si>
  <si>
    <t xml:space="preserve">Vistra Operations 424B5 preliminary prospectus supplement, Series A/B junior subordinated notes due 2057: use of proceeds includes funding the redemption of some or all of Vistra's 8.0% Series A and 7.0% Series B preferred stock upon or after their reset dates in October and December 2026</t>
  </si>
  <si>
    <t xml:space="preserve">2026-09-10</t>
  </si>
  <si>
    <t xml:space="preserve">https://www.sec.gov/Archives/edgar/data/1692819/000114036126036130/ny20081693x2_424b5.htm</t>
  </si>
  <si>
    <t xml:space="preserve">A1.26</t>
  </si>
  <si>
    <t xml:space="preserve">Standing AI data-center capex view (nvda_customer_capex.md): ex-China customer AI capex 2028 low $1,265B / base $2,255B / high $3,160B</t>
  </si>
  <si>
    <t xml:space="preserve">/mnt/project-files/adhoc/nvda_customer_capex.md</t>
  </si>
  <si>
    <t xml:space="preserve">A1.27</t>
  </si>
  <si>
    <t xml:space="preserve">Talen Energy Q2 2026 results (8-K Ex. 99.1): Adj. EBITDA excludes unrealized commodity derivative gains/losses and stock compensation (peer EBITDA basis, as verified by the round-1 supervisor)</t>
  </si>
  <si>
    <t xml:space="preserve">2026-08-05</t>
  </si>
  <si>
    <t xml:space="preserve">https://www.sec.gov/Archives/edgar/data/0001622536/000162253626000065/a20260805q22026earningsrel.htm</t>
  </si>
  <si>
    <t xml:space="preserve">A1.28</t>
  </si>
  <si>
    <t xml:space="preserve">Federal Reserve FOMC meeting calendar: 2026 meetings Oct 27-28 and Dec 8-9</t>
  </si>
  <si>
    <t xml:space="preserve">https://www.federalreserve.gov/monetarypolicy/fomccalendars.htm</t>
  </si>
  <si>
    <t xml:space="preserve">A2.1</t>
  </si>
  <si>
    <t xml:space="preserve">agent_2</t>
  </si>
  <si>
    <t xml:space="preserve">Vistra Corp. Form 10-Q for quarter ended 2026-06-30 (SEC)</t>
  </si>
  <si>
    <t xml:space="preserve">A2.2</t>
  </si>
  <si>
    <t xml:space="preserve">Vistra Corp. Form 10-K for FY2025 (SEC)</t>
  </si>
  <si>
    <t xml:space="preserve">A2.3</t>
  </si>
  <si>
    <t xml:space="preserve">Vistra Q2 2026 results release (8-K Ex. 99.1): 2026 Adj. EBITDA guidance $6.8-7.6B and Adj. FCFbG $3.925-4.725B reaffirmed; 2027 midpoint opportunity $7.4-7.8B excluding Cogentrix and the Meta PPAs; hedged ~100%/94%/72% for 2026/27/28; non-cash compensation added back in Adjusted EBITDA ($35M Q2, $67M H1); 2026 guidance D&amp;A $2,150M incl. $423M nuclear fuel amortization; ~$1.2B buyback authorization left, to be completed by YE2027</t>
  </si>
  <si>
    <t xml:space="preserve">A2.4</t>
  </si>
  <si>
    <t xml:space="preserve">Vistra Q2 2026 earnings call transcript (Quartr via Bigdata.com): ERCOT forwards 'meaningfully lower'; 2027 'trending towards the lower end'; Cogentrix + Meta PPAs 'add roughly $700 million to our midpoint opportunity, absent any other impacts'; 2026 'at or above the midpoint'; ~$3B to equity holders 2026-27; ~$4.5-5B growth incl. Cogentrix, Permian peakers, Meta uprates, Oak Hill 2, Helix; $2-2.5B unallocated through YE2027; guidance update on Q3 call</t>
  </si>
  <si>
    <t xml:space="preserve">A2.5</t>
  </si>
  <si>
    <t xml:space="preserve">Bigdata.com company tearsheet for Vistra (FMP consensus; context only, not used in any number): FY27 EBITDA $8.10B, thin FY28 coverage; Q3 call 2026-11-06</t>
  </si>
  <si>
    <t xml:space="preserve">A2.6</t>
  </si>
  <si>
    <t xml:space="preserve">Run peer comps table peers.md (trailing from SEC filings; NTM from Bigdata.com FMP consensus snapshot)</t>
  </si>
  <si>
    <t xml:space="preserve">A2.7</t>
  </si>
  <si>
    <t xml:space="preserve">PJM news release: 2028/2029 Base Residual Auction clears at FERC-approved cap $325/MW-day, 6,831 MW short of reliability requirement</t>
  </si>
  <si>
    <t xml:space="preserve">https://www.pjm.com/-/media/DotCom/about-pjm/newsroom/2026-releases/20260714-pjm-capacity-auction-procures-138318-mw-of-generation-resources.pdf</t>
  </si>
  <si>
    <t xml:space="preserve">A2.8</t>
  </si>
  <si>
    <t xml:space="preserve">Troutman Pepper Energy Report: FERC accepts PJM capacity price collar extension (ER26-1556, order 2026-04-28; cap ~$325, floor ~$175 for 2028/29 and 2029/30)</t>
  </si>
  <si>
    <t xml:space="preserve">2026-05-13</t>
  </si>
  <si>
    <t xml:space="preserve">https://www.troutmanenergyreport.com/2026/05/ferc-accepts-pjm-capacity-market-price-collar-extension/</t>
  </si>
  <si>
    <t xml:space="preserve">A2.9</t>
  </si>
  <si>
    <t xml:space="preserve">Pennsylvania Governor: Shapiro secures federal support to extend PJM price cap for two more auctions</t>
  </si>
  <si>
    <t xml:space="preserve">2026-01-16</t>
  </si>
  <si>
    <t xml:space="preserve">https://www.pa.gov/governor/newsroom/2026-press-releases/gov-shapiro-secures-federal-support-to-extend-pjm-price-cap</t>
  </si>
  <si>
    <t xml:space="preserve">A2.10</t>
  </si>
  <si>
    <t xml:space="preserve">Maryland Governor: Maryland urges federal regulators to continue capacity auction price caps (through 2029/2030)</t>
  </si>
  <si>
    <t xml:space="preserve">2026-03-20</t>
  </si>
  <si>
    <t xml:space="preserve">https://governor.maryland.gov/news/press-releases/maryland-urges-federal-regulators-protect-ratepayers-continuing-energy-auction-price-caps</t>
  </si>
  <si>
    <t xml:space="preserve">A2.11</t>
  </si>
  <si>
    <t xml:space="preserve">Utility Dive: FERC rejects most of PJM's large load interconnection plan (IRAS, BYONC rejected; registry approved; Jefferies: positive for IPPs)</t>
  </si>
  <si>
    <t xml:space="preserve">https://www.utilitydive.com/news/ferc-pjm-large-load-interconnection-iras-byonc/832716/</t>
  </si>
  <si>
    <t xml:space="preserve">A2.12</t>
  </si>
  <si>
    <t xml:space="preserve">MGRID: FERC rejects PJM's curtail-first plan for new large loads (ER26-3515)</t>
  </si>
  <si>
    <t xml:space="preserve">2026-10-10</t>
  </si>
  <si>
    <t xml:space="preserve">https://mgrid.org/2026/10/10/ferc-rejects-pjms-curtail-first-plan-for-new-large-loads-and-keeps-only-the-50-mw-definition-and-a-registry/</t>
  </si>
  <si>
    <t xml:space="preserve">A2.13</t>
  </si>
  <si>
    <t xml:space="preserve">The Fly: Constellation, Talen slip as FERC suspends PJM Reliability Backstop Procurement to 2027-02-28</t>
  </si>
  <si>
    <t xml:space="preserve">2026-09-30</t>
  </si>
  <si>
    <t xml:space="preserve">https://app.bigdata.com/documents/229AE2B9DFBDE2A3D94844F89FAA9D22</t>
  </si>
  <si>
    <t xml:space="preserve">A2.14</t>
  </si>
  <si>
    <t xml:space="preserve">New Jersey BPU: report on strategic PJM market reforms (seasonal/prompt auction, longer-term contracting, state governance)</t>
  </si>
  <si>
    <t xml:space="preserve">2026-10-01</t>
  </si>
  <si>
    <t xml:space="preserve">https://app.bigdata.com/documents/512B45861B6B4DE8CB9D3E3AE55B32E9</t>
  </si>
  <si>
    <t xml:space="preserve">A2.15</t>
  </si>
  <si>
    <t xml:space="preserve">POWER Magazine: Google deal backs 890 MW of Constellation nuclear uprates at 11 PJM reactors; BYONC docket context</t>
  </si>
  <si>
    <t xml:space="preserve">2026-10-07</t>
  </si>
  <si>
    <t xml:space="preserve">https://app.bigdata.com/documents/0F8F0E96AAC2DBAB596146969CC7D2BF</t>
  </si>
  <si>
    <t xml:space="preserve">A2.16</t>
  </si>
  <si>
    <t xml:space="preserve">NRG Energy Q2 2026 earnings call transcript (Quartr via Bigdata.com): softer Texas load and power prices, PJM prices strengthened</t>
  </si>
  <si>
    <t xml:space="preserve">2026-08-04</t>
  </si>
  <si>
    <t xml:space="preserve">https://app.bigdata.com/documents/E36375CD872C6517CF73B35A57B7E8D7</t>
  </si>
  <si>
    <t xml:space="preserve">A2.17</t>
  </si>
  <si>
    <t xml:space="preserve">BKV Q2 2026 earnings call transcript (Benzinga via Bigdata.com): ERCOT record load &gt;91 GW, &gt;470 GW in ERCOT large-load queue</t>
  </si>
  <si>
    <t xml:space="preserve">2026-10-09</t>
  </si>
  <si>
    <t xml:space="preserve">https://app.bigdata.com/documents/D8AB24B44BF49E04D115430CA62CBC05</t>
  </si>
  <si>
    <t xml:space="preserve">A2.18</t>
  </si>
  <si>
    <t xml:space="preserve">Amperon: ERCOT market guide (record peak 91.1 GW on 2026-07-22, ~20.9 GW batteries, energy-only market)</t>
  </si>
  <si>
    <t xml:space="preserve">https://app.bigdata.com/documents/479EF4C0142E5F56C8E19F90E35A7639</t>
  </si>
  <si>
    <t xml:space="preserve">A2.19</t>
  </si>
  <si>
    <t xml:space="preserve">EIA Henry Hub natural gas spot price, monthly (Sep 2026 $2.95/MMBtu; Jan 2026 $7.72)</t>
  </si>
  <si>
    <t xml:space="preserve">https://www.eia.gov/dnav/ng/hist/rngwhhdm.htm</t>
  </si>
  <si>
    <t xml:space="preserve">A2.20</t>
  </si>
  <si>
    <t xml:space="preserve">BLS CPI news release, September 2026 (released 2026-10-14): CPI +0.6% m/m SA, +3.7% y/y; core +0.3% m/m, +2.6% y/y</t>
  </si>
  <si>
    <t xml:space="preserve">A2.21</t>
  </si>
  <si>
    <t xml:space="preserve">Reuters via Livemint: Red hot CPI report fuels AI rout (CoreWeave -16%, Oracle -9%, Dell -11%)</t>
  </si>
  <si>
    <t xml:space="preserve">https://app.bigdata.com/documents/2A052F276F126176E3059FE6955D29DE</t>
  </si>
  <si>
    <t xml:space="preserve">A2.22</t>
  </si>
  <si>
    <t xml:space="preserve">Twelve Data daily OHLC 2026-10-13/14 for VST, CEG, TLN, NRG, SPY, QQQ, XLU (VST -6.7%, CEG -5.6%, TLN -6.2%, NRG -5.9%, SPY -1.2%, XLU -0.4%)</t>
  </si>
  <si>
    <t xml:space="preserve">https://twelvedata.com</t>
  </si>
  <si>
    <t xml:space="preserve">A2.23</t>
  </si>
  <si>
    <t xml:space="preserve">SEC EDGAR filing index for Vistra (latest 8-K 2026-10-05; none on 2026-10-14)</t>
  </si>
  <si>
    <t xml:space="preserve">https://www.sec.gov/cgi-bin/browse-edgar?action=getcompany&amp;CIK=1692819&amp;type=&amp;dateb=&amp;owner=include&amp;count=10</t>
  </si>
  <si>
    <t xml:space="preserve">A2.24</t>
  </si>
  <si>
    <t xml:space="preserve">Vistra 8-K: $850M 7.000% Series A and $650M 7.250% Series B junior subordinated notes due 2057 (use of proceeds not stated)</t>
  </si>
  <si>
    <t xml:space="preserve">A2.25</t>
  </si>
  <si>
    <t xml:space="preserve">SEC XBRL company concept: Vistra PreferredStockValue $2,476M at 2026-06-30</t>
  </si>
  <si>
    <t xml:space="preserve">https://data.sec.gov/api/xbrl/companyconcept/CIK0001692819/us-gaap/PreferredStockValue.json</t>
  </si>
  <si>
    <t xml:space="preserve">A2.26</t>
  </si>
  <si>
    <t xml:space="preserve">AOL/TheStreet: Stock Market Today Oct 14, 2026 - 10-year Treasury yield 5.278% after CPI</t>
  </si>
  <si>
    <t xml:space="preserve">https://app.bigdata.com/documents/4DA1DA371F66D784B7D1796614D11E8B</t>
  </si>
  <si>
    <t xml:space="preserve">A2.27</t>
  </si>
  <si>
    <t xml:space="preserve">Yahoo Finance: Power prices top $1,000 on PJM as heat collides with fall plant maintenance</t>
  </si>
  <si>
    <t xml:space="preserve">A2.28</t>
  </si>
  <si>
    <t xml:space="preserve">BGE, Delmarva Power and Pepco call for more energy supply after PJM extends Maximum Generation Alert</t>
  </si>
  <si>
    <t xml:space="preserve">https://app.bigdata.com/documents/DA8CD67B716F2EC1311FDDE6F449AFED</t>
  </si>
  <si>
    <t xml:space="preserve">A2.29</t>
  </si>
  <si>
    <t xml:space="preserve">Yahoo Finance: Constellation Energy vs VST and TLN - forward P/E CEG 20.66x, VST 13.33x, TLN 9.94x, NRG 9.03x</t>
  </si>
  <si>
    <t xml:space="preserve">https://finance.yahoo.com/markets/stocks/articles/constellation-energy-ceg-vs-vst-164150765.html</t>
  </si>
  <si>
    <t xml:space="preserve">A2.30</t>
  </si>
  <si>
    <t xml:space="preserve">Standing AI capex input: NVDA customer capex low/base/high 2026-2028 (ex-China 2028 low $1,265B / base $2,255B)</t>
  </si>
  <si>
    <t xml:space="preserve">A2.31</t>
  </si>
  <si>
    <t xml:space="preserve">CNBC Pro: Goldman Sachs upgrades Vistra on Meta deal; ~3.1 GW nuclear left to contract, +3-9% to 2028 EBITDA at $85-100/MWh</t>
  </si>
  <si>
    <t xml:space="preserve">2026-02-06</t>
  </si>
  <si>
    <t xml:space="preserve">https://app.bigdata.com/documents/3D859B7916D966958AFF6DE06B1EA907</t>
  </si>
  <si>
    <t xml:space="preserve">A2.32</t>
  </si>
  <si>
    <t xml:space="preserve">Benzinga: Google bets 20 years on Constellation reactors - IPPs rally premarket</t>
  </si>
  <si>
    <t xml:space="preserve">2026-10-06</t>
  </si>
  <si>
    <t xml:space="preserve">https://app.bigdata.com/documents/19982ED2ECC043C6AE9BBC3BEF314B27</t>
  </si>
  <si>
    <t xml:space="preserve">A2.33</t>
  </si>
  <si>
    <t xml:space="preserve">PJM answer in ER26-1556-000: 'limited extension of the price collar' so the 2028/2029 and 2029/2030 BRAs can proceed; PJM to complete 'evaluation of investment incentives with stakeholders by the end of this year, and determine the best path forward with respect to the Reliability Pricing Model beginning with the 2030/2031 Delivery Year and beyond'</t>
  </si>
  <si>
    <t xml:space="preserve">A2.34</t>
  </si>
  <si>
    <t xml:space="preserve">Vistra press release (8-K Ex. 99.1): Cogentrix acquisition, net price ~$4.0B after ~$0.7B NPV of expected tax benefits; ~7.25x 2027 expected Adj. EBITDA contribution; ~$2.3B cash, ~$1.5B assumed debt, 5M shares at $185; ~5,500 MW; close expected mid-to-late 2026</t>
  </si>
  <si>
    <t xml:space="preserve">A2.35</t>
  </si>
  <si>
    <t xml:space="preserve">Talen Energy Q2 2026 results (8-K Ex. 99.1): 2026E Adj. EBITDA $2,025-2,225M; Adj. EBITDA adds back stock-based and other LTI compensation ($71M Q2) and unrealized commodity derivative losses ($211M Q2)</t>
  </si>
  <si>
    <t xml:space="preserve">A2.36</t>
  </si>
  <si>
    <t xml:space="preserve">Benzinga transcript of Vistra Q2 2026 call: Comanche Peak data-center project targeted to energize end-2027; ERCOT large-load queue (&gt;400 GW nominal) seen at 12-15 GW by 2030; load expected to hook up 2027-28</t>
  </si>
  <si>
    <t xml:space="preserve">https://app.bigdata.com/documents/D68326C84BC0BA8F28C13171FC0AED95</t>
  </si>
  <si>
    <t xml:space="preserve">A2.37</t>
  </si>
  <si>
    <t xml:space="preserve">Verse Enterprises (PubT): The Responsible Path to Power - cites ERCOT Dec-2025 CDR reserve margin 17.2% (2026) to 9.0% (2027), negative by 2028 absent new resources; Dallas Fed: data centers added &lt;$1/MWh to ERCOT prices so far</t>
  </si>
  <si>
    <t xml:space="preserve">https://app.bigdata.com/documents/790D89911C5EBEF0DD545A705E996973</t>
  </si>
  <si>
    <t xml:space="preserve">A2.38</t>
  </si>
  <si>
    <t xml:space="preserve">SEC XBRL company concept: Vistra MinorityInterest $12M at 2026-06-30 (10-Q accn 0001692819-26-000019)</t>
  </si>
  <si>
    <t xml:space="preserve">https://data.sec.gov/api/xbrl/companyconcept/CIK0001692819/us-gaap/MinorityInterest.json</t>
  </si>
  <si>
    <t xml:space="preserve">A3.1</t>
  </si>
  <si>
    <t xml:space="preserve">agent_3</t>
  </si>
  <si>
    <t xml:space="preserve">FERC order accepting PJM Reliability Backstop Procurement, Docket ER26-3380 / EL26-108 (196 FERC 61,245)</t>
  </si>
  <si>
    <t xml:space="preserve">A3.2</t>
  </si>
  <si>
    <t xml:space="preserve">PJM answer in ER26-1556 (price collar extension; RPM path for 2030/2031 to be decided after stakeholder review by end of 2026)</t>
  </si>
  <si>
    <t xml:space="preserve">A3.3</t>
  </si>
  <si>
    <t xml:space="preserve">Troutman Pepper Energy Report: FERC accepts PJM capacity market price collar extension</t>
  </si>
  <si>
    <t xml:space="preserve">A3.4</t>
  </si>
  <si>
    <t xml:space="preserve">Maryland Governor: Maryland urges federal regulators to protect ratepayers by continuing energy auction price caps</t>
  </si>
  <si>
    <t xml:space="preserve">A3.5</t>
  </si>
  <si>
    <t xml:space="preserve">Pennsylvania Governor: Shapiro secures extension of PJM price cap</t>
  </si>
  <si>
    <t xml:space="preserve">2026-02-12</t>
  </si>
  <si>
    <t xml:space="preserve">https://www.pa.gov/governor/newsroom/2026-press-releases/gov-shapiro-secures-extension-pjm-price-cap-saving-consumers--45</t>
  </si>
  <si>
    <t xml:space="preserve">A3.6</t>
  </si>
  <si>
    <t xml:space="preserve">Kleinman Center (UPenn): Ratepayer Protection Pledge, the White House's attempt to shield customers from data-center-driven price rises</t>
  </si>
  <si>
    <t xml:space="preserve">2026-05-28</t>
  </si>
  <si>
    <t xml:space="preserve">https://kleinmanenergy.upenn.edu/commentary/blog/ratepayer-protection-pledge-the-white-houses-attempt-to-shield-customers-from-rising-electricity-prices-caused-by-data-center-expansion/</t>
  </si>
  <si>
    <t xml:space="preserve">A3.7</t>
  </si>
  <si>
    <t xml:space="preserve">POWER Magazine: Abbott orders full audit of Texas data center interconnection queue, threatens to deny grid access</t>
  </si>
  <si>
    <t xml:space="preserve">https://powermag.com/abbott-orders-full-audit-of-texas-data-center-interconnection-queue-threatens-to-deny-grid-access/</t>
  </si>
  <si>
    <t xml:space="preserve">A3.8</t>
  </si>
  <si>
    <t xml:space="preserve">Vistra Operations FWP: $850M 7.000% Series A and $650M 7.250% Series B junior subordinated notes due 2057 (expected ratings Ba2/BB/BB)</t>
  </si>
  <si>
    <t xml:space="preserve">https://www.sec.gov/Archives/edgar/data/0001746576/000114036126036245/ef20081902_fwp.htm</t>
  </si>
  <si>
    <t xml:space="preserve">A3.9</t>
  </si>
  <si>
    <t xml:space="preserve">Vistra: Achieves investment-grade credit ratings from S&amp;P and Fitch (Fitch BBB-)</t>
  </si>
  <si>
    <t xml:space="preserve">2026-03-17</t>
  </si>
  <si>
    <t xml:space="preserve">https://investor.vistracorp.com/2026-03-17-Vistra-Achieves-Investment-Grade-Credit-Ratings-from-S-P-and-Fitch</t>
  </si>
  <si>
    <t xml:space="preserve">A3.10</t>
  </si>
  <si>
    <t xml:space="preserve">Vistra 8-K: Eleventh Amendment to Commodity-Linked Credit Agreement (revolver maturity extended to 2027-09-29)</t>
  </si>
  <si>
    <t xml:space="preserve">A3.11</t>
  </si>
  <si>
    <t xml:space="preserve">Form 4: CFO K. Moldovan sold 20,000 shares at $165 on 2026-10-07 (10b5-1 box checked)</t>
  </si>
  <si>
    <t xml:space="preserve">2026-10-08</t>
  </si>
  <si>
    <t xml:space="preserve">https://www.sec.gov/Archives/edgar/data/1692819/000194049426000008/xslF345X06/wk-form4_1791503079.xml</t>
  </si>
  <si>
    <t xml:space="preserve">A3.12</t>
  </si>
  <si>
    <t xml:space="preserve">Form 4: S. Hudson (President, Vistra Retail) sold 22,222 shares at $160.14 avg on 2026-10-06 (10b5-1)</t>
  </si>
  <si>
    <t xml:space="preserve">https://www.sec.gov/Archives/edgar/data/1692819/000172855326000008/xslF345X06/wk-form4_1791416355.xml</t>
  </si>
  <si>
    <t xml:space="preserve">A3.13</t>
  </si>
  <si>
    <t xml:space="preserve">SEC EDGAR submissions feed for Vistra (no 8-K filed 2026-10-06 to 2026-10-14; Form 144s 2026-10-06/07)</t>
  </si>
  <si>
    <t xml:space="preserve">A3.14</t>
  </si>
  <si>
    <t xml:space="preserve">MarketBeat: Vistra trading down 6.7%; insiders sold $10.3M and bought $0.9M over three months; consensus target $217.61</t>
  </si>
  <si>
    <t xml:space="preserve">https://www.marketbeat.com/instant-alerts/vistra-nysevst-trading-down-54-following-analyst-downgrade-2026-07-28/</t>
  </si>
  <si>
    <t xml:space="preserve">A3.15</t>
  </si>
  <si>
    <t xml:space="preserve">Weiss Ratings: Vistra (VST) down 5.0%, rated C (Hold); consensus 2027 EPS cut from $11.30 to $10.35 over 60 days</t>
  </si>
  <si>
    <t xml:space="preserve">2026-09-14</t>
  </si>
  <si>
    <t xml:space="preserve">https://weissratings.com/en/instant-news-alerts/vistra-corp-vst-down-5-0-should-i-dissolve-this-stake</t>
  </si>
  <si>
    <t xml:space="preserve">A3.16</t>
  </si>
  <si>
    <t xml:space="preserve">TIKR: Vistra stock fell 5% in a broad power selloff (bear case: ERCOT ~$30/MWh structural; ~8.96x NTM EV/EBITDA)</t>
  </si>
  <si>
    <t xml:space="preserve">2026-09-15</t>
  </si>
  <si>
    <t xml:space="preserve">https://www.tikr.com/blog/vistra-stock-fell-5-in-a-broad-power-selloff-heres-where-the-stock-could-go</t>
  </si>
  <si>
    <t xml:space="preserve">A3.17</t>
  </si>
  <si>
    <t xml:space="preserve">Insider Monkey via Yahoo Finance: CEG vs VST and TLN (short interest VST 3.72%, 111 hedge funds; VST forward P/E 13.33x)</t>
  </si>
  <si>
    <t xml:space="preserve">A3.18</t>
  </si>
  <si>
    <t xml:space="preserve">Vistra 10-K FY2025 (Cogentrix terms: ~$2.3B cash, ~$1.5B assumed debt, 5.0M shares; outside date 2026-12-31)</t>
  </si>
  <si>
    <t xml:space="preserve">A3.19</t>
  </si>
  <si>
    <t xml:space="preserve">Vistra 10-Q Q2 2026 (debt, cash, preferred stock $2,476M, shares outstanding)</t>
  </si>
  <si>
    <t xml:space="preserve">A3.20</t>
  </si>
  <si>
    <t xml:space="preserve">Vistra Q2 2026 earnings release (8-K Ex.99.1): 2026 guidance, 2027 midpoint opportunity, hedges, buybacks; Ongoing Operations Adjusted EBITDA reconciliation adds back non-cash compensation</t>
  </si>
  <si>
    <t xml:space="preserve">https://www.sec.gov/Archives/edgar/data/0001692819/000169281926000017/vistra-20260630xearningsre.htm</t>
  </si>
  <si>
    <t xml:space="preserve">A3.21</t>
  </si>
  <si>
    <t xml:space="preserve">Vistra Q2 2026 earnings call transcript (Quartr, via Bigdata.com https://bigdata.com)</t>
  </si>
  <si>
    <t xml:space="preserve">A3.22</t>
  </si>
  <si>
    <t xml:space="preserve">Reuters (via Livemint, Bigdata.com): Red hot CPI report fuels AI rout</t>
  </si>
  <si>
    <t xml:space="preserve">A3.23</t>
  </si>
  <si>
    <t xml:space="preserve">BLS CPI news release, September 2026 (CPI-U +0.6% m/m, +3.7% y/y)</t>
  </si>
  <si>
    <t xml:space="preserve">A3.24</t>
  </si>
  <si>
    <t xml:space="preserve">U.S. Treasury daily par yield curve (10-year 5.19% on 2026-10-14)</t>
  </si>
  <si>
    <t xml:space="preserve">https://home.treasury.gov/resource-center/data-chart-center/interest-rates/TextView?type=daily_treasury_yield_curve&amp;field_tdr_date_value=2026</t>
  </si>
  <si>
    <t xml:space="preserve">A3.25</t>
  </si>
  <si>
    <t xml:space="preserve">Twelve Data price series: VST, CEG, NVDA, QQQ daily (2026-10-12 to 10-14); VST and SPY weekly (104 weeks) for beta</t>
  </si>
  <si>
    <t xml:space="preserve">A3.26</t>
  </si>
  <si>
    <t xml:space="preserve">Bigdata.com company tearsheet, Vistra (FMP consensus quarterly EPS/EBITDA, price targets, ratings; Quartr calendar Q3 call 2026-11-06)</t>
  </si>
  <si>
    <t xml:space="preserve">A3.27</t>
  </si>
  <si>
    <t xml:space="preserve">Run peer table peers.md (trailing from SEC filings; NTM from Bigdata.com FMP consensus snapshot)</t>
  </si>
  <si>
    <t xml:space="preserve">A3.28</t>
  </si>
  <si>
    <t xml:space="preserve">AI data-center capex standing view (low/base/high 2026-2028)</t>
  </si>
  <si>
    <t xml:space="preserve">A3.29</t>
  </si>
  <si>
    <t xml:space="preserve">Vistra press release (8-K Ex. 99.1): acquisition of Cogentrix; net purchase price ~$4.0B = ~$2.3B cash + ~$0.9B stock (5M shares at $185) + ~$1.5B assumed debt less ~$0.7B NPV of expected tax benefits; ~7.25x 2027 expected Adj. EBITDA contribution</t>
  </si>
  <si>
    <t xml:space="preserve">A3.30</t>
  </si>
  <si>
    <t xml:space="preserve">Talen Energy Q2 2026 results (8-K Ex. 99.1): Adjusted EBITDA reconciliation adds back 'Stock-based and other long-term incentive compensation expense' ($71M Q2) and unrealized derivative losses ($211M Q2); 2026 Adj. EBITDA guidance $2,025-2,225M</t>
  </si>
  <si>
    <t xml:space="preserve">https://www.sec.gov/Archives/edgar/data/1622536/000162253626000065/a20260805q22026earningsrel.htm</t>
  </si>
  <si>
    <t xml:space="preserve">A3.31</t>
  </si>
  <si>
    <t xml:space="preserve">Vistra to Report Third Quarter Results on Nov. 6, 2026 (PR Newswire via Finviz): call and webcast 10 a.m. ET</t>
  </si>
  <si>
    <t xml:space="preserve">A3.32</t>
  </si>
  <si>
    <t xml:space="preserve">Federal Reserve FOMC meeting calendar: remaining 2026 meetings Oct 27-28 and Dec 8-9</t>
  </si>
  <si>
    <t xml:space="preserve">A3.33</t>
  </si>
  <si>
    <t xml:space="preserve">TIKR: Vistra stock fell 6% in a day after a 20% run; what the Nov 6 report needs to show (Oct 8 close $156.14, -6.35%; BMO target cut to $210 from $231 on Oct 5)</t>
  </si>
  <si>
    <t xml:space="preserve">https://www.tikr.com/blog/vistra-stock-fell-6-in-a-day-after-a-20-run-heres-what-its-november-6-report-needs-to-show</t>
  </si>
  <si>
    <t xml:space="preserve">A4.1</t>
  </si>
  <si>
    <t xml:space="preserve">agent_4</t>
  </si>
  <si>
    <t xml:space="preserve">Polymarket: Fed Decision in October? (Oct 28, 2026 FOMC) - No change 66.5%, +25bp 32.5%; event volume ~$39.5M; read via Polymarket public gamma API 2026-10-14 ~20:00Z</t>
  </si>
  <si>
    <t xml:space="preserve">https://polymarket.com/event/fed-decision-in-october-20260617190323537</t>
  </si>
  <si>
    <t xml:space="preserve">A4.2</t>
  </si>
  <si>
    <t xml:space="preserve">Polymarket: Fed Decision in December? (Dec 2026 FOMC) - +25bp 78.5% (market volume ~$0.87M), no change 18.5%; event volume ~$3.44M; read 2026-10-14</t>
  </si>
  <si>
    <t xml:space="preserve">https://polymarket.com/event/fed-decision-in-december-20260729232808632</t>
  </si>
  <si>
    <t xml:space="preserve">A4.3</t>
  </si>
  <si>
    <t xml:space="preserve">Polymarket: Texas enacts data center moratorium by...? - by 2026-12-31 2.55%, by 2027-06-30 14.5%, by 2027-12-31 15.5% (vol ~$471k), by 2028-12-31 34.5% (vol ~$60k); read 2026-10-14</t>
  </si>
  <si>
    <t xml:space="preserve">https://polymarket.com/event/texas-enacts-data-center-moratorium-by-20260928</t>
  </si>
  <si>
    <t xml:space="preserve">A4.4</t>
  </si>
  <si>
    <t xml:space="preserve">Polymarket: Indiana (PJM state) enacts data center moratorium by...? - by 2027-12-31 17.5% (vol ~$2.67M), by 2028-12-31 26.5%; read 2026-10-14</t>
  </si>
  <si>
    <t xml:space="preserve">https://polymarket.com/event/indiana-enacts-data-center-moratorium-by-20260929</t>
  </si>
  <si>
    <t xml:space="preserve">A4.5</t>
  </si>
  <si>
    <t xml:space="preserve">Polymarket: AI bubble burst by...? - in 2026 6.25% (vol ~$2.44M); by 2027-06-30 18.5% (thin, vol ~$21k); read 2026-10-14</t>
  </si>
  <si>
    <t xml:space="preserve">https://polymarket.com/event/ai-bubble-burst-by</t>
  </si>
  <si>
    <t xml:space="preserve">A4.6</t>
  </si>
  <si>
    <t xml:space="preserve">Polymarket: US recession by end of 2026? - 7.5% (vol ~$2.30M); read 2026-10-14</t>
  </si>
  <si>
    <t xml:space="preserve">https://polymarket.com/event/us-recession-by-end-of-2026</t>
  </si>
  <si>
    <t xml:space="preserve">A4.7</t>
  </si>
  <si>
    <t xml:space="preserve">The Shuffle Light (Substack): Vistra (VST): This Year's and Next Year's Profits Are Locked In... (prob-weighted ~$175, middle half $148-187; downside $62-148 in slow-energization case; 10y 5.29%, futures &gt;75% Dec hike; FERC rejected parts of PJM data-center rules Oct 9)</t>
  </si>
  <si>
    <t xml:space="preserve">https://theshufflelight.substack.com/p/vistra-vst-this-years-and-next-years</t>
  </si>
  <si>
    <t xml:space="preserve">A4.8</t>
  </si>
  <si>
    <t xml:space="preserve">Compounding Value / cycledesk (Substack): Vistra (VST): Peter Thiel and the Pelosis are both in it (DCF ~$146; bear/base/bull ~$105/$194/$277; CEO open-market buy 6,665 sh at ~$135.49; Thiel Macro 13F 372,755 sh)</t>
  </si>
  <si>
    <t xml:space="preserve">2026-09-20</t>
  </si>
  <si>
    <t xml:space="preserve">https://cycledesk.substack.com/p/vistra-vst-peter-thiel-and-the-pelosis</t>
  </si>
  <si>
    <t xml:space="preserve">A4.9</t>
  </si>
  <si>
    <t xml:space="preserve">My Stock Research (Substack): Full Deep Dive - Is #VST a BUY now at $140? (FCFbG yield ~9.2% on 2026E ~$4.3B; est. WACC ~8.9%; risks: ERCOT solar/battery, PJM policy, leverage)</t>
  </si>
  <si>
    <t xml:space="preserve">https://mystockresearch.substack.com/p/full-deep-dive-is-vst-a-buy-now-at</t>
  </si>
  <si>
    <t xml:space="preserve">A4.10</t>
  </si>
  <si>
    <t xml:space="preserve">Trefis: Your Vistra Stock Thesis Has One Loose End (2027 range built on Oct-31-2025 ERCOT curves; Q3 call is the test)</t>
  </si>
  <si>
    <t xml:space="preserve">https://www.trefis.com/stock/vst/articles/617550/your-vistra-stock-thesis-has-one-loose-end/2026-10-05</t>
  </si>
  <si>
    <t xml:space="preserve">A4.11</t>
  </si>
  <si>
    <t xml:space="preserve">TIKR blog: Vistra stock is down 27% this year but analysts haven't budged their targets (mean target $221.58 from 19 analysts; ERCOT forwards softened partly on battery buildout; mid-case $180 by 2030)</t>
  </si>
  <si>
    <t xml:space="preserve">2026-08-17</t>
  </si>
  <si>
    <t xml:space="preserve">https://www.tikr.com/blog/vistra-stock-is-down-27-this-year-but-analysts-havent-budged-their-targets</t>
  </si>
  <si>
    <t xml:space="preserve">A4.12</t>
  </si>
  <si>
    <t xml:space="preserve">Mad Money w/ Jim Cramer podcast transcript 10/13/26 (via Bigdata.com, https://bigdata.com): technician says VST gapped 145-&gt;151 and closed ~160 after the Google-Constellation deal; resistance ~170</t>
  </si>
  <si>
    <t xml:space="preserve">https://app.bigdata.com/documents/0B112356045C7AA960B032D84AA4BA8A?cnum=20</t>
  </si>
  <si>
    <t xml:space="preserve">A4.13</t>
  </si>
  <si>
    <t xml:space="preserve">Insider Monkey via Yahoo Finance (Bigdata.com): CEG vs VST and TLN - 13F hedge-fund holders VST 111 (from 106), short interest VST 3.72% of float</t>
  </si>
  <si>
    <t xml:space="preserve">https://app.bigdata.com/documents/6711A89A2E011AA52BD5A4EE81DAFAFB?cnum=6&amp;cnum=1&amp;cnum=7</t>
  </si>
  <si>
    <t xml:space="preserve">A4.14</t>
  </si>
  <si>
    <t xml:space="preserve">Zero Hedge: 'Deeply Flawed': Biggest US Grid Scraps Emergency Data Center Power Auction One Day After FERC Smackdown (2028/29 BRA would have cleared $554.72 without cap; data centers 38% of $16.4B)</t>
  </si>
  <si>
    <t xml:space="preserve">https://app.bigdata.com/documents/57882AE63D05CFCC6FB683B705B86C7E?cnum=3</t>
  </si>
  <si>
    <t xml:space="preserve">A4.15</t>
  </si>
  <si>
    <t xml:space="preserve">Zero Hedge: Google Plugs Into Constellation's Nuclear Reactors As PJM's 'Bring Your Own Power' Era Arrives (excluding unbacked loads from 2029/30 planning aims to lower capacity prices)</t>
  </si>
  <si>
    <t xml:space="preserve">https://app.bigdata.com/documents/0EEA103C3FAA7E4EECCB01989E119F4C?cnum=6</t>
  </si>
  <si>
    <t xml:space="preserve">A4.16</t>
  </si>
  <si>
    <t xml:space="preserve">Crypto Briefing (prediction-market analysis): PJM halts capacity auction plan amid FERC review, delay until February 28</t>
  </si>
  <si>
    <t xml:space="preserve">https://app.bigdata.com/documents/3DE69810F25B7A11589730488A2DF1F0?cnum=1</t>
  </si>
  <si>
    <t xml:space="preserve">A4.17</t>
  </si>
  <si>
    <t xml:space="preserve">Verse Enterprises white paper 'The Responsible Path to Power' (PubT via Bigdata.com): FERC partially approved PJM RBP filing on 2026-09-29; IRAS filing still pending</t>
  </si>
  <si>
    <t xml:space="preserve">https://app.bigdata.com/documents/790D89911C5EBEF0DD545A705E996973?cnum=54</t>
  </si>
  <si>
    <t xml:space="preserve">A4.18</t>
  </si>
  <si>
    <t xml:space="preserve">Dell'Oro Group (PR Newswire via Benzinga): Data Center Physical Infrastructure market +27% y/y to $14B in 2Q26; permitting/power the main brake, 'delays, not cancellations'</t>
  </si>
  <si>
    <t xml:space="preserve">https://app.bigdata.com/documents/64FDF1BED791CF4E2005FA9815855993?cnum=1</t>
  </si>
  <si>
    <t xml:space="preserve">A4.19</t>
  </si>
  <si>
    <t xml:space="preserve">Vistra careers (Workday public job board, queried 2026-10-14): 152 open postings, 70 matching 'nuclear', incl. Power Uprate Project engineers at Beaver Valley (Shippingport PA) and License Renewal Manager at Davis-Besse posted 2026-10-14</t>
  </si>
  <si>
    <t xml:space="preserve">https://vst.wd5.myworkdayjobs.com/en-US/vistra_careers</t>
  </si>
  <si>
    <t xml:space="preserve">A4.20</t>
  </si>
  <si>
    <t xml:space="preserve">Vistra 10-Q for quarter ended 2026-06-30 (preferred stock 2,476,066 sh x $1,000; Cogentrix terms $2.3B cash + ~$1.5B assumed debt + 5M shares, close late 2026; Meta PPAs 2,609 MW)</t>
  </si>
  <si>
    <t xml:space="preserve">A4.21</t>
  </si>
  <si>
    <t xml:space="preserve">Vistra Q2 2026 earnings release (8-K EX-99.1): 2026 Adj EBITDA guide $6.8-7.6B, FCFbG $3.925-4.725B, 2027 midpoint opportunity $7.4-7.8B, hedged ~100%/94%/72% for 2026/27/28, non-cash comp add-back $137M in 2026 guide, ~$1.2B buyback authorization left</t>
  </si>
  <si>
    <t xml:space="preserve">A4.22</t>
  </si>
  <si>
    <t xml:space="preserve">Vistra 10-K FY2025 (PJM capacity sold, net: 11,527 MW 2026/27, 10,566 MW 2027/28)</t>
  </si>
  <si>
    <t xml:space="preserve">A4.23</t>
  </si>
  <si>
    <t xml:space="preserve">Vistra Q2 2026 earnings call transcript (Quartr via Bigdata.com): 2027 'trending towards the lower end' of $7.4-7.8B; Cogentrix + Meta PPA premium add 'roughly $700 million'; guidance update on Q3 call</t>
  </si>
  <si>
    <t xml:space="preserve">A4.24</t>
  </si>
  <si>
    <t xml:space="preserve">Vistra Operations 424B2 prospectus supplement (2026-09-10): $850M 7.000% Series A and $650M 7.250% Series B junior subordinated notes due 2057; net proceeds ~$1.48B 'for general corporate purposes, including to make distributions to Vistra to fund the redemption of some or all' of the Series A and B preferred at their Oct/Dec 2026 reset dates</t>
  </si>
  <si>
    <t xml:space="preserve">https://www.sec.gov/Archives/edgar/data/1692819/000114036126036415/ny20081693x3_424b2.htm</t>
  </si>
  <si>
    <t xml:space="preserve">A4.25</t>
  </si>
  <si>
    <t xml:space="preserve">Form 4, James A. Burke (President and CEO): open-market purchases 2,200 sh at $135.99 (2026-08-31) and 4,465 sh at $135.25 (2026-09-01)</t>
  </si>
  <si>
    <t xml:space="preserve">2026-09-02</t>
  </si>
  <si>
    <t xml:space="preserve">https://www.sec.gov/Archives/edgar/data/1692819/000126840626000009/wk-form4_1788356308.xml</t>
  </si>
  <si>
    <t xml:space="preserve">A4.26</t>
  </si>
  <si>
    <t xml:space="preserve">PJM news release 2026-07-14: 2028/2029 BRA clears at FERC-approved cap $325/MW-day; collar set for four capacity auctions; 6,831 MW short of reliability requirement; next BRA (2029/2030) scheduled for December</t>
  </si>
  <si>
    <t xml:space="preserve">A4.27</t>
  </si>
  <si>
    <t xml:space="preserve">BLS Consumer Price Index - September 2026 (released 2026-10-14 8:30 ET): all items +0.6% m/m, +3.7% y/y; core +0.3% m/m, +2.6% y/y</t>
  </si>
  <si>
    <t xml:space="preserve">A4.28</t>
  </si>
  <si>
    <t xml:space="preserve">Twelve Data quotes, close 2026-10-14: VST 151.79 (-6.51% vs 162.36), CEG 279.66 (-5.45%), TLN 358.36 (-6.22%), SPY 769.65 (-1.07%), XLU 41.74 (-0.31%)</t>
  </si>
  <si>
    <t xml:space="preserve">A4.29</t>
  </si>
  <si>
    <t xml:space="preserve">US Treasury daily par yield curve: 2026-10-14 10-yr 5.19%, 30-yr 5.52% (10/13: 5.21%, 5.56%)</t>
  </si>
  <si>
    <t xml:space="preserve">A4.30</t>
  </si>
  <si>
    <t xml:space="preserve">Run peer table peers.md (trailing from SEC filings via secfacts.py; NTM from Bigdata.com company tearsheet consensus snapshot, provider FMP)</t>
  </si>
  <si>
    <t xml:space="preserve">A4.31</t>
  </si>
  <si>
    <t xml:space="preserve">Vistra press release (8-K Ex. 99.1), Acquisition of Cogentrix: net purchase price ~$4.0B after '~$0.7 billion of net present value of expected tax benefits'; ~$0.9B stock (5M shares at $185); ~$1.5B assumed debt; ~7.25x 2027 expected Adj. EBITDA contribution; close expected mid-to-late 2026</t>
  </si>
  <si>
    <t xml:space="preserve">A4.32</t>
  </si>
  <si>
    <t xml:space="preserve">PJM answer in ER26-1556-000: limited extension of the price collar so the 2028/2029 and 2029/2030 BRAs proceed; PJM to complete its 'evaluation of investment incentives with stakeholders by the end of this year, and determine the best path forward' for RPM 'beginning with the 2030/2031 Delivery Year and beyond'</t>
  </si>
  <si>
    <t xml:space="preserve">A4.33</t>
  </si>
  <si>
    <t xml:space="preserve">A4.34</t>
  </si>
  <si>
    <t xml:space="preserve">MGRID (independent grid blog, M. Holt): FERC rejects PJM's curtail-first plan for new large loads (ER26-3515, 2026-10-09), keeps only the 50 MW definition and a registry; no compliance deadline found; PJM reviewing (cites Utility Dive and a Substack analysis; did not read the order itself)</t>
  </si>
  <si>
    <t xml:space="preserve">A4.35</t>
  </si>
  <si>
    <t xml:space="preserve">TIKR blog: Vistra stock fell 6% in a day after a 20% run (2026-10-08: -6.35% to $156.14 after +20.5% from the Sep-30 close; CEG -4.85%; profit-taking and PJM regulatory uncertainty); Q3 consensus EBITDA ~$2.1B from 8 analysts; street mean target ~$210</t>
  </si>
  <si>
    <t xml:space="preserve">A5.1</t>
  </si>
  <si>
    <t xml:space="preserve">agent_5</t>
  </si>
  <si>
    <t xml:space="preserve">Vistra 10-Q for quarter ended 2026-06-30 (balance sheet: preferred stock $2,476M, NCI $12M; Cogentrix terms: ~$2.3B cash + ~$1.5B assumed debt + 5.0M shares; close expected late 2026)</t>
  </si>
  <si>
    <t xml:space="preserve">A5.2</t>
  </si>
  <si>
    <t xml:space="preserve">Vistra 10-K FY2025</t>
  </si>
  <si>
    <t xml:space="preserve">A5.3</t>
  </si>
  <si>
    <t xml:space="preserve">Vistra Q2 2026 earnings release (8-K exhibit): 2026 adj. EBITDA guide $6.8-7.6B, FCFbG $3.925-4.725B, 2027 midpoint opportunity $7.4-7.8B ex Cogentrix/Meta, ~336M shares, hedged ~94% 2027 / ~72% 2028</t>
  </si>
  <si>
    <t xml:space="preserve">A5.4</t>
  </si>
  <si>
    <t xml:space="preserve">Vistra FY2025 earnings release (8-K ex. 99.1): Ongoing Ops adj. EBITDA 2025 $5,912M, 2024 $5,643M; segment EBITDA (Texas $1,834M, East $2,282M)</t>
  </si>
  <si>
    <t xml:space="preserve">2026-02-26</t>
  </si>
  <si>
    <t xml:space="preserve">https://www.sec.gov/Archives/edgar/data/1692819/000119312526073364/d21122dex991.htm</t>
  </si>
  <si>
    <t xml:space="preserve">A5.5</t>
  </si>
  <si>
    <t xml:space="preserve">Vistra Q2 2026 earnings call transcript (Quartr via Bigdata.com): ERCOT 2027 forwards 'meaningfully lower', 2027 'trending towards the lower end', Cogentrix + Meta 'roughly $700 million' to the 2027 midpoint; 'more than $10 billion of available cash in 2026 and 2027'; ~$3B allocated to equity holders and ~$4.5-5B to growth incl. Cogentrix and Helix; ~$1.2B buyback authorization to exhaust no later than end-2027; Helix commitment up to $1B over time, &gt;$500M milestone-dependent, 'we cannot predict the amount or timing of any potential capital calls by Helix'; Comanche Peak energization targeted end-2027</t>
  </si>
  <si>
    <t xml:space="preserve">A5.6</t>
  </si>
  <si>
    <t xml:space="preserve">Vistra Operations 424B2: $850M 7.000% Series A and $650M 7.250% Series B junior subordinated notes due 2057; Use of Proceeds: net ~$1.48B for general corporate purposes, including distributions to Vistra 'to fund the redemption of some or all of Vistra's outstanding Series A Preferred Stock and Series B Preferred Stock' upon or after their Oct/Dec 2026 reset dates (verified 2026-10-14)</t>
  </si>
  <si>
    <t xml:space="preserve">A5.7</t>
  </si>
  <si>
    <t xml:space="preserve">SEC EDGAR submissions feed for Vistra (CIK 1692819): latest 8-K filed 2026-10-05 (credit agreement amendment); no 8-K on 2026-10-13/14</t>
  </si>
  <si>
    <t xml:space="preserve">A5.8</t>
  </si>
  <si>
    <t xml:space="preserve">BLS CPI news release, September 2026: CPI-U +0.6% m/m, +3.7% y/y; core +0.3% m/m, +2.6% y/y (released 2026-10-14)</t>
  </si>
  <si>
    <t xml:space="preserve">A5.9</t>
  </si>
  <si>
    <t xml:space="preserve">Reuters (via US News): 'Red hot CPI report fuels AI rout' - CoreWeave -16%, Nebius -11%, Oracle -9%, Dell -11% on rate-hike fears</t>
  </si>
  <si>
    <t xml:space="preserve">https://app.bigdata.com/documents/53254B64A4944D8B28E6F057E2AF4405</t>
  </si>
  <si>
    <t xml:space="preserve">A5.10</t>
  </si>
  <si>
    <t xml:space="preserve">AP (via Beloit Daily News): US stocks drop toward worst day since July; S&amp;P 500 -1.3%, Nasdaq -1.9%; hot inflation raises hike expectations, 'could slow the buildout of AI data centers'</t>
  </si>
  <si>
    <t xml:space="preserve">https://app.bigdata.com/documents/6BBA8103FC99591DEC2BFED96E6F71E7</t>
  </si>
  <si>
    <t xml:space="preserve">A5.11</t>
  </si>
  <si>
    <t xml:space="preserve">MT Newswires Sector Update: Energy (1:22 PM 2026-10-14): Dow Jones US Utilities Index -0.5%</t>
  </si>
  <si>
    <t xml:space="preserve">https://app.bigdata.com/documents/32739FC571DF59B5DAA7EC02EFDEBEDC</t>
  </si>
  <si>
    <t xml:space="preserve">A5.12</t>
  </si>
  <si>
    <t xml:space="preserve">Yahoo Finance chart API, 10y daily adjusted closes for VST, NRG, CEG, TLN (base-rate computations: 12m forward returns, post -6% day returns, 21d return quantiles; 2026-10-14 intraday moves VST -6.7%, CEG -5.6%, TLN -6.2%, NRG -5.9%)</t>
  </si>
  <si>
    <t xml:space="preserve">https://query1.finance.yahoo.com/v8/finance/chart/VST?range=10y&amp;interval=1d</t>
  </si>
  <si>
    <t xml:space="preserve">A5.13</t>
  </si>
  <si>
    <t xml:space="preserve">Polymarket 'Fed Decision in October?' (2026-10-14): no change 66.5%, +25bp hike 32.5% (hike market volume ~$9.2M; event ~$39.5M)</t>
  </si>
  <si>
    <t xml:space="preserve">A5.14</t>
  </si>
  <si>
    <t xml:space="preserve">Polymarket 'Another Fed rate hike in 2026?' (2026-10-14): Yes 85.5%, volume ~$0.76M</t>
  </si>
  <si>
    <t xml:space="preserve">https://polymarket.com/event/another-fed-rate-hike-in-2026</t>
  </si>
  <si>
    <t xml:space="preserve">A5.15</t>
  </si>
  <si>
    <t xml:space="preserve">Polymarket 'US recession by end of 2027?' (2026-10-14): Yes 33.5%, volume ~$11K (thin)</t>
  </si>
  <si>
    <t xml:space="preserve">https://polymarket.com/event/us-recession-by-end-of-2027-20260807185409760</t>
  </si>
  <si>
    <t xml:space="preserve">A5.16</t>
  </si>
  <si>
    <t xml:space="preserve">Troutman Pepper energy report: FERC accepts PJM capacity price collar extension (order 2026-04-28, ER26-1556): cap ~$325/MW-day, floor ~$175/MW-day for 2028/29 and 2029/30, 'time-limited'</t>
  </si>
  <si>
    <t xml:space="preserve">2026-05</t>
  </si>
  <si>
    <t xml:space="preserve">A5.17</t>
  </si>
  <si>
    <t xml:space="preserve">APPA Public Power: PJM 2028/29 BRA clears at $325/MW-day cap RTO-wide, 138,318 MW, 6,831 MW short of reliability requirement, $16.4B; 2029/30 BRA in December</t>
  </si>
  <si>
    <t xml:space="preserve">https://www.publicpower.org/periodical/article/pjm-capacity-auction-procures-138318-mw-generation-resources-capacity-price-comes-cap-325</t>
  </si>
  <si>
    <t xml:space="preserve">A5.18</t>
  </si>
  <si>
    <t xml:space="preserve">National Law Review: FERC accepts and suspends PJM Reliability Backstop Procurement (ER26-3380, 2026-09-29; $555/MW-day weighted cap, up to 15-yr terms; effective 2027-02-28 subject to paper hearing; PJM to refile by 2026-10-29; Members Committee 2026-10-22)</t>
  </si>
  <si>
    <t xml:space="preserve">https://app.bigdata.com/documents/8261A01736287F224411C346D3767603</t>
  </si>
  <si>
    <t xml:space="preserve">A5.19</t>
  </si>
  <si>
    <t xml:space="preserve">EUCI: PJM chided by federal energy officials over its emergency plan for new generating capacity (PJM to refile RBP by Oct 29; DOE statement Oct 7)</t>
  </si>
  <si>
    <t xml:space="preserve">https://www.euci.com/pjm-chided-by-federal-energy-officials-over-its-emergency-plan-for-new-generating-capacity/</t>
  </si>
  <si>
    <t xml:space="preserve">A5.20</t>
  </si>
  <si>
    <t xml:space="preserve">EIA Short-Term Energy Outlook, October 2026 (electricity): PJM wholesale prices +41% in 2026, -7% in 2027; commercial (incl. data centers) demand +2.8% in 2027</t>
  </si>
  <si>
    <t xml:space="preserve">https://www.eia.gov/outlooks/steo/report/elec_coal_renew.php</t>
  </si>
  <si>
    <t xml:space="preserve">A5.21</t>
  </si>
  <si>
    <t xml:space="preserve">Bigdata.com company tearsheet for Vistra (FMP consensus and key metrics), 2026-10-14: quarterly EPS/EBITDA consensus Q4'26-Q4'28 (1-4 analysts per quarter), price target median $210, 21 buy / 2 hold; FMP EV history (Q4 2023 EV $24.7B, Q4 2024 $63.0B, Q4 2025 $74.4B)</t>
  </si>
  <si>
    <t xml:space="preserve">A5.22</t>
  </si>
  <si>
    <t xml:space="preserve">Run peer table peers.md (trailing from SEC filings, NTM from saved Bigdata.com/FMP consensus snapshot)</t>
  </si>
  <si>
    <t xml:space="preserve">file:///mnt/project-files/valuation/runs/2026-10-14/VST/peers.md</t>
  </si>
  <si>
    <t xml:space="preserve">A5.23</t>
  </si>
  <si>
    <t xml:space="preserve">MT Newswires Sector Update: Financial Stocks (3:54 PM 2026-10-14): 10-year Treasury yield 5.19%; CPI details</t>
  </si>
  <si>
    <t xml:space="preserve">https://app.bigdata.com/documents/D616C916A66F3D3CE826FB8D7A08B48C</t>
  </si>
  <si>
    <t xml:space="preserve">A5.24</t>
  </si>
  <si>
    <t xml:space="preserve">World Nuclear News: DOE offers Vistra loan (conditional commitment up to $4.2B) for Beaver Valley, Davis-Besse, Perry uprates (433 MW) and modernisation</t>
  </si>
  <si>
    <t xml:space="preserve">https://world-nuclear-news.org/articles/doe-offers-vistra-loan-for-reactor-upgrades-and-uprates</t>
  </si>
  <si>
    <t xml:space="preserve">A5.25</t>
  </si>
  <si>
    <t xml:space="preserve">Standing AI capex view (nvda_customer_capex.md, as of 2026-10-05): customer AI capex ex-China base $1.225T 2026, $1.841T 2027, $2.255T 2028; low $1.39T 2027, $1.265T 2028</t>
  </si>
  <si>
    <t xml:space="preserve">file:///mnt/project-files/adhoc/nvda_customer_capex.md</t>
  </si>
  <si>
    <t xml:space="preserve">A5.26</t>
  </si>
  <si>
    <t xml:space="preserve">Yahoo Finance / Insight Guru: 'Is Vistra stock increasing your market risk?' - ~1.5x S&amp;P 500 sensitivity, 50% volatility, ERCOT forwards lower than Oct-2025 basis</t>
  </si>
  <si>
    <t xml:space="preserve">https://app.bigdata.com/documents/CA3971254C8FA984A2DFEC3BAFF984EB</t>
  </si>
  <si>
    <t xml:space="preserve">A5.27</t>
  </si>
  <si>
    <t xml:space="preserve">Nasdaq (Motley Fool): Vistra trades at 10.8x operating cash flow vs 10-year average of 12</t>
  </si>
  <si>
    <t xml:space="preserve">https://app.bigdata.com/documents/442E24FEEC4D36C5775BBE768A7F46CF</t>
  </si>
  <si>
    <t xml:space="preserve">A5.28</t>
  </si>
  <si>
    <t xml:space="preserve">Yahoo Finance: 'Vistra fell 6% in a day after a 20% run' - Oct 8 group drop on profit-taking/PJM uncertainty; consensus 2027 revenue down ~4% since June 30; Q3 report Nov 6</t>
  </si>
  <si>
    <t xml:space="preserve">https://app.bigdata.com/documents/288ABF4F3E7C0C1A5EEDF2D421ED56BE</t>
  </si>
  <si>
    <t xml:space="preserve">A5.29</t>
  </si>
  <si>
    <t xml:space="preserve">Benzinga: Google 20-year deal with Constellation (Oct 6) lifts IPPs; CEG +8%, VST +4% premarket</t>
  </si>
  <si>
    <t xml:space="preserve">A5.30</t>
  </si>
  <si>
    <t xml:space="preserve">Vistra 8-K Ex. 99.1: acquisition of Cogentrix (~5,500 MW, 10 gas plants): net purchase price ~$4.0B after '~$0.7 billion of net present value of expected tax benefits'; ~7.25x 2027 expected Adj. EBITDA contribution; 5 million shares at $185; close expected mid-to-late 2026</t>
  </si>
  <si>
    <t xml:space="preserve">A5.31</t>
  </si>
  <si>
    <t xml:space="preserve">PJM answer in FERC Docket ER26-1556-000: extend the ~$325/MW-day cap and ~$175/MW-day floor 'for all RPM Auctions through the 2029/2030 Delivery Years'; evaluate investment incentives with stakeholders 'by the end of this year' and determine the path for RPM 'beginning with the 2030/2031 Delivery Year and beyond'; cites concern about capacity prices 'directly impacting retail customers'</t>
  </si>
  <si>
    <t xml:space="preserve">S.1</t>
  </si>
  <si>
    <t xml:space="preserve">supervisor</t>
  </si>
  <si>
    <t xml:space="preserve">Vistra Q2 2026 results news release (8-K Ex. 99.1): 2026 guidance reaffirmed ($6.8-7.6B Adj. EBITDA, $3.925-4.725B Adj. FCFbG), 2027 midpoint opportunity $7.4-7.8B excl. Cogentrix and Meta PPAs, hedges ~100%/94%/72% for 2026/27/28, ~$1.2B buyback authorization left, non-cash comp $137M, 2026 D&amp;A $2,150M</t>
  </si>
  <si>
    <t xml:space="preserve">S.2</t>
  </si>
  <si>
    <t xml:space="preserve">Vistra Q2 2026 earnings call transcript (Quartr via Bigdata.com): CFO 'trending towards the lower end' of the 2027 $7.4-7.8B midpoint opportunity; Cogentrix + Meta 'roughly $700 million'; 'more than $10 billion of available cash in 2026 and 2027'; ~$3B to equity holders (buybacks, common and preferred dividends); ~$4.5-5B growth incl. Cogentrix and Helix; ~$2-2.5B additional cash available through YE2027; ~$1.2B buyback authorization to exhaust no later than end-2027, repurchases running ahead of pro rata</t>
  </si>
  <si>
    <t xml:space="preserve">S.3</t>
  </si>
  <si>
    <t xml:space="preserve">Vistra 8-K: agreements to acquire Q-Generation (Cogentrix): ~$2.3B cash, ~$1.5B assumed debt, 5,000,000 shares at $185; FERC, HSR, NH/TX/CT approvals; outside date after 2026-12-31 with two 90-day extensions</t>
  </si>
  <si>
    <t xml:space="preserve">S.4</t>
  </si>
  <si>
    <t xml:space="preserve">Vistra press release (8-K Ex. 99.1): Acquisition of Cogentrix, net price ~$4.0B after ~$0.7B NPV of expected tax benefits, ~7.25x 2027 expected Adj. EBITDA contribution, ~5,500 MW, close expected mid-to-late 2026</t>
  </si>
  <si>
    <t xml:space="preserve">S.5</t>
  </si>
  <si>
    <t xml:space="preserve">BLS CPI news release, September 2026 (USDL-26-1574), released 2026-10-14 08:30 ET: all items +0.6% m/m SA, +3.7% y/y; core +0.3% m/m, +2.6% y/y; energy +5.2% m/m, +20.4% y/y</t>
  </si>
  <si>
    <t xml:space="preserve">S.6</t>
  </si>
  <si>
    <t xml:space="preserve">FERC order accepting Reliability Backstop Procurement and establishing further procedures, 196 FERC 61,245, Docket Nos. ER26-3380-000 and EL26-108-000: accepted and suspended five months to effective 2027-02-28; new FPA 206 proceeding; $555/MW-day max willingness to pay; PJM states the price floor applies through the 2029/2030 delivery year</t>
  </si>
  <si>
    <t xml:space="preserve">S.7</t>
  </si>
  <si>
    <t xml:space="preserve">PJM answer in ER26-1556-000: extend the ~$325/MW-day cap and ~$175/MW-day floor for RPM auctions through the 2029/2030 delivery year; evaluate investment incentives with stakeholders by end of 2026 and determine the RPM path for 2030/2031 and beyond</t>
  </si>
  <si>
    <t xml:space="preserve">S.8</t>
  </si>
  <si>
    <t xml:space="preserve">Troutman Pepper Energy Report: FERC accepts PJM capacity market price collar extension (order 2026-04-28, ER26-1556; ~$325 cap / ~$175 floor for 2028/2029 and 2029/2030)</t>
  </si>
  <si>
    <t xml:space="preserve">S.9</t>
  </si>
  <si>
    <t xml:space="preserve">Vistra to Report Third Quarter Results on Nov. 6, 2026 (PR Newswire via Finviz): webcast 10:00 a.m. ET</t>
  </si>
  <si>
    <t xml:space="preserve">S.10</t>
  </si>
  <si>
    <t xml:space="preserve">FRED DGS10: 10-year Treasury constant maturity 5.21% on 2026-10-13</t>
  </si>
  <si>
    <t xml:space="preserve">S.11</t>
  </si>
  <si>
    <t xml:space="preserve">S.12</t>
  </si>
  <si>
    <t xml:space="preserve">Talen Energy Q2 2026 results (8-K Ex. 99.1): 2026 Adj. EBITDA guidance raised to $2,025-2,225M; Adj. EBITDA excludes unrealized commodity derivative gains/losses and stock comp</t>
  </si>
  <si>
    <t xml:space="preserve">S.13</t>
  </si>
  <si>
    <t xml:space="preserve">SEC XBRL company facts for Vistra: PreferredStockValue $2,476M and MinorityInterest $12M at 2026-06-30</t>
  </si>
  <si>
    <t xml:space="preserve">S.14</t>
  </si>
  <si>
    <t xml:space="preserve">Vistra 8-K: $850M 7.000% Series A and $650M 7.250% Series B junior subordinated notes due 2057, completed 2026-09-24 (use of proceeds not stated in the 8-K)</t>
  </si>
  <si>
    <t xml:space="preserve">S.15</t>
  </si>
  <si>
    <t xml:space="preserve">Vistra Form 10-Q for the quarter ended 2026-06-30 (fact pack F6, F33, F39, F46, F60, F97, F98, F103, F105)</t>
  </si>
  <si>
    <t xml:space="preserve">S.16</t>
  </si>
  <si>
    <t xml:space="preserve">Vistra Form 10-K for FY2025 (fact pack F3, F36, F43, F57, F64, F71)</t>
  </si>
  <si>
    <t xml:space="preserve">S.17</t>
  </si>
  <si>
    <t xml:space="preserve">Run peer table peers.md / peers.json (SEC filings + Bigdata.com company tearsheet analyst_estimates, provider FMP consensus, https://bigdata.com)</t>
  </si>
  <si>
    <t xml:space="preserve">S.18</t>
  </si>
  <si>
    <t xml:space="preserve">S.19</t>
  </si>
  <si>
    <t xml:space="preserve">Ohio Energy Group (M. Kurtz) presentation, PJM 'Powering Reliability Through Market Design' workshop, 2026-07-15: 'Legacy Auction ... Maintain the existing price floor and price cap beyond 2029/2030 on existing generation'; notes Brattle's Sixth VRR review (2025-04-09) recommended an RTO-wide cap of $500-625/MW-day</t>
  </si>
  <si>
    <t xml:space="preserve">S.20</t>
  </si>
  <si>
    <t xml:space="preserve">Vistra Operations 424B5 prospectus supplement, junior subordinated notes due 2057: use of proceeds may include redemption of some or all of the 8.0% Series A / 7.0% Series B preferred (claims-neutral)</t>
  </si>
</sst>
</file>

<file path=xl/styles.xml><?xml version="1.0" encoding="utf-8"?>
<styleSheet xmlns="http://schemas.openxmlformats.org/spreadsheetml/2006/main">
  <numFmts count="6">
    <numFmt numFmtId="164" formatCode="General"/>
    <numFmt numFmtId="165" formatCode="\$#,##0.00;&quot;($&quot;#,##0.00\);\-"/>
    <numFmt numFmtId="166" formatCode="0.0%;\(0.0%\);\-"/>
    <numFmt numFmtId="167" formatCode="0"/>
    <numFmt numFmtId="168" formatCode="0.0000"/>
    <numFmt numFmtId="169" formatCode="0.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6B6B6B"/>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
      <u val="single"/>
      <sz val="10"/>
      <color rgb="FF0000FF"/>
      <name val="Arial"/>
      <family val="0"/>
      <charset val="1"/>
    </font>
    <font>
      <b val="true"/>
      <sz val="10"/>
      <color rgb="FFFFFFFF"/>
      <name val="Arial"/>
      <family val="0"/>
      <charset val="1"/>
    </font>
    <font>
      <b val="true"/>
      <sz val="12"/>
      <color rgb="FF000000"/>
      <name val="Arial"/>
      <family val="0"/>
      <charset val="1"/>
    </font>
  </fonts>
  <fills count="6">
    <fill>
      <patternFill patternType="none"/>
    </fill>
    <fill>
      <patternFill patternType="gray125"/>
    </fill>
    <fill>
      <patternFill patternType="solid">
        <fgColor rgb="FFE5E7EB"/>
        <bgColor rgb="FFEAF3EA"/>
      </patternFill>
    </fill>
    <fill>
      <patternFill patternType="solid">
        <fgColor rgb="FFFFFF00"/>
        <bgColor rgb="FFFFFF00"/>
      </patternFill>
    </fill>
    <fill>
      <patternFill patternType="solid">
        <fgColor rgb="FFEAF3EA"/>
        <bgColor rgb="FFE5E7EB"/>
      </patternFill>
    </fill>
    <fill>
      <patternFill patternType="solid">
        <fgColor rgb="FF1F2937"/>
        <bgColor rgb="FF333300"/>
      </patternFill>
    </fill>
  </fills>
  <borders count="2">
    <border diagonalUp="false" diagonalDown="false">
      <left/>
      <right/>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3" borderId="0" xfId="0" applyFont="true" applyBorder="false" applyAlignment="true" applyProtection="false">
      <alignment horizontal="general" vertical="top" textRotation="0" wrapText="false" indent="0" shrinkToFit="false"/>
      <protection locked="true" hidden="false"/>
    </xf>
    <xf numFmtId="165" fontId="8" fillId="3"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5" fontId="7" fillId="4" borderId="0" xfId="0" applyFont="true" applyBorder="false" applyAlignment="true" applyProtection="false">
      <alignment horizontal="general" vertical="top" textRotation="0" wrapText="false" indent="0" shrinkToFit="false"/>
      <protection locked="true" hidden="false"/>
    </xf>
    <xf numFmtId="165" fontId="6" fillId="4"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9" fontId="7" fillId="4"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4"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3EA"/>
      <rgbColor rgb="FFE5E7EB"/>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hyperlink" Target="https://www.sec.gov/Archives/edgar/data/1692819/000169281926000019/vistra-20260630.htm" TargetMode="External"/><Relationship Id="rId2" Type="http://schemas.openxmlformats.org/officeDocument/2006/relationships/hyperlink" Target="https://www.sec.gov/Archives/edgar/data/1692819/000169281926000006/vistra-20251231.htm" TargetMode="External"/><Relationship Id="rId3" Type="http://schemas.openxmlformats.org/officeDocument/2006/relationships/hyperlink" Target="https://www.sec.gov/Archives/edgar/data/1692819/000169281926000017/vistra-20260630xearningsre.htm" TargetMode="External"/><Relationship Id="rId4" Type="http://schemas.openxmlformats.org/officeDocument/2006/relationships/hyperlink" Target="https://app.bigdata.com/documents/195B479A48CB63C52BC7051FD044E9A5" TargetMode="External"/><Relationship Id="rId5" Type="http://schemas.openxmlformats.org/officeDocument/2006/relationships/hyperlink" Target="https://www.sec.gov/Archives/edgar/data/1692819/000119312526002589/d62722d8k.htm" TargetMode="External"/><Relationship Id="rId6" Type="http://schemas.openxmlformats.org/officeDocument/2006/relationships/hyperlink" Target="https://www.sec.gov/Archives/edgar/data/1692819/000119312526002589/d62722dex991.htm" TargetMode="External"/><Relationship Id="rId7" Type="http://schemas.openxmlformats.org/officeDocument/2006/relationships/hyperlink" Target="https://www.sec.gov/Archives/edgar/data/1692819/000119312526008508/d20785d8k.htm" TargetMode="External"/><Relationship Id="rId8" Type="http://schemas.openxmlformats.org/officeDocument/2006/relationships/hyperlink" Target="https://www.sec.gov/Archives/edgar/data/1692819/000114036126028454/ef20077988_8k.htm" TargetMode="External"/><Relationship Id="rId9" Type="http://schemas.openxmlformats.org/officeDocument/2006/relationships/hyperlink" Target="https://www.sec.gov/Archives/edgar/data/1692819/000114036126037577/ef20082680_8k.htm" TargetMode="External"/><Relationship Id="rId10" Type="http://schemas.openxmlformats.org/officeDocument/2006/relationships/hyperlink" Target="https://www.sec.gov/Archives/edgar/data/1692819/000114036126038468/ef20083016_8k.htm" TargetMode="External"/><Relationship Id="rId11" Type="http://schemas.openxmlformats.org/officeDocument/2006/relationships/hyperlink" Target="https://data.sec.gov/submissions/CIK0001692819.json" TargetMode="External"/><Relationship Id="rId12" Type="http://schemas.openxmlformats.org/officeDocument/2006/relationships/hyperlink" Target="https://www.pjm.com/pjmfiles/directory/etariff/FercOrders/9154/20260929-er26-3380-000.pdf" TargetMode="External"/><Relationship Id="rId13" Type="http://schemas.openxmlformats.org/officeDocument/2006/relationships/hyperlink" Target="https://data.sec.gov/api/xbrl/companyfacts/CIK0001692819.json" TargetMode="External"/><Relationship Id="rId14" Type="http://schemas.openxmlformats.org/officeDocument/2006/relationships/hyperlink" Target="https://finviz.com/news/396792/vistra-to-report-third-quarter-results-on-nov-6-2026" TargetMode="External"/><Relationship Id="rId15" Type="http://schemas.openxmlformats.org/officeDocument/2006/relationships/hyperlink" Target="https://app.bigdata.com/documents/C63BE3BF04F819C240ED64317683B85C" TargetMode="External"/><Relationship Id="rId16" Type="http://schemas.openxmlformats.org/officeDocument/2006/relationships/hyperlink" Target="https://app.bigdata.com/documents/61616050C57A5D6A8F568E0ECC4902F5" TargetMode="External"/><Relationship Id="rId17" Type="http://schemas.openxmlformats.org/officeDocument/2006/relationships/hyperlink" Target="https://app.bigdata.com/documents/58F52A0DB88F57E03CA6701A8DAD93DB" TargetMode="External"/><Relationship Id="rId18" Type="http://schemas.openxmlformats.org/officeDocument/2006/relationships/hyperlink" Target="https://twelvedata.com/" TargetMode="External"/><Relationship Id="rId19" Type="http://schemas.openxmlformats.org/officeDocument/2006/relationships/hyperlink" Target="https://bigdata.com/" TargetMode="External"/><Relationship Id="rId20" Type="http://schemas.openxmlformats.org/officeDocument/2006/relationships/hyperlink" Target="https://fred.stlouisfed.org/series/DGS10" TargetMode="External"/><Relationship Id="rId21" Type="http://schemas.openxmlformats.org/officeDocument/2006/relationships/hyperlink" Target="https://www.bls.gov/news.release/cpi.nr0.htm" TargetMode="External"/><Relationship Id="rId22" Type="http://schemas.openxmlformats.org/officeDocument/2006/relationships/hyperlink" Target="https://www.pjm.com/-/media/DotCom/documents/ferc/filings/2026/20260406-er26-1556-000.pdf" TargetMode="External"/><Relationship Id="rId23" Type="http://schemas.openxmlformats.org/officeDocument/2006/relationships/hyperlink" Target="https://www.pjm.com/-/media/DotCom/committees-groups/workshops/prtmdw/2026/20260714/20260714-item-04b---bifurcated-capacity-market-under-pjm-path-a-option-2---michael-kurtz-presentation.pdf" TargetMode="External"/><Relationship Id="rId24" Type="http://schemas.openxmlformats.org/officeDocument/2006/relationships/hyperlink" Target="https://www.sec.gov/Archives/edgar/data/1692819/000114036126036130/ny20081693x2_424b5.htm" TargetMode="External"/><Relationship Id="rId25" Type="http://schemas.openxmlformats.org/officeDocument/2006/relationships/hyperlink" Target="https://www.sec.gov/Archives/edgar/data/0001622536/000162253626000065/a20260805q22026earningsrel.htm" TargetMode="External"/><Relationship Id="rId26" Type="http://schemas.openxmlformats.org/officeDocument/2006/relationships/hyperlink" Target="https://www.federalreserve.gov/monetarypolicy/fomccalendars.htm" TargetMode="External"/><Relationship Id="rId27" Type="http://schemas.openxmlformats.org/officeDocument/2006/relationships/hyperlink" Target="https://www.sec.gov/Archives/edgar/data/1692819/000169281926000019/vistra-20260630.htm" TargetMode="External"/><Relationship Id="rId28" Type="http://schemas.openxmlformats.org/officeDocument/2006/relationships/hyperlink" Target="https://www.sec.gov/Archives/edgar/data/1692819/000169281926000006/vistra-20251231.htm" TargetMode="External"/><Relationship Id="rId29" Type="http://schemas.openxmlformats.org/officeDocument/2006/relationships/hyperlink" Target="https://www.sec.gov/Archives/edgar/data/1692819/000169281926000017/vistra-20260630xearningsre.htm" TargetMode="External"/><Relationship Id="rId30" Type="http://schemas.openxmlformats.org/officeDocument/2006/relationships/hyperlink" Target="https://app.bigdata.com/documents/195B479A48CB63C52BC7051FD044E9A5" TargetMode="External"/><Relationship Id="rId31" Type="http://schemas.openxmlformats.org/officeDocument/2006/relationships/hyperlink" Target="https://bigdata.com/" TargetMode="External"/><Relationship Id="rId32" Type="http://schemas.openxmlformats.org/officeDocument/2006/relationships/hyperlink" Target="https://bigdata.com/" TargetMode="External"/><Relationship Id="rId33" Type="http://schemas.openxmlformats.org/officeDocument/2006/relationships/hyperlink" Target="https://www.pjm.com/-/media/DotCom/about-pjm/newsroom/2026-releases/20260714-pjm-capacity-auction-procures-138318-mw-of-generation-resources.pdf" TargetMode="External"/><Relationship Id="rId34" Type="http://schemas.openxmlformats.org/officeDocument/2006/relationships/hyperlink" Target="https://www.troutmanenergyreport.com/2026/05/ferc-accepts-pjm-capacity-market-price-collar-extension/" TargetMode="External"/><Relationship Id="rId35" Type="http://schemas.openxmlformats.org/officeDocument/2006/relationships/hyperlink" Target="https://www.pa.gov/governor/newsroom/2026-press-releases/gov-shapiro-secures-federal-support-to-extend-pjm-price-cap" TargetMode="External"/><Relationship Id="rId36" Type="http://schemas.openxmlformats.org/officeDocument/2006/relationships/hyperlink" Target="https://governor.maryland.gov/news/press-releases/maryland-urges-federal-regulators-protect-ratepayers-continuing-energy-auction-price-caps" TargetMode="External"/><Relationship Id="rId37" Type="http://schemas.openxmlformats.org/officeDocument/2006/relationships/hyperlink" Target="https://www.utilitydive.com/news/ferc-pjm-large-load-interconnection-iras-byonc/832716/" TargetMode="External"/><Relationship Id="rId38" Type="http://schemas.openxmlformats.org/officeDocument/2006/relationships/hyperlink" Target="https://mgrid.org/2026/10/10/ferc-rejects-pjms-curtail-first-plan-for-new-large-loads-and-keeps-only-the-50-mw-definition-and-a-registry/" TargetMode="External"/><Relationship Id="rId39" Type="http://schemas.openxmlformats.org/officeDocument/2006/relationships/hyperlink" Target="https://app.bigdata.com/documents/229AE2B9DFBDE2A3D94844F89FAA9D22" TargetMode="External"/><Relationship Id="rId40" Type="http://schemas.openxmlformats.org/officeDocument/2006/relationships/hyperlink" Target="https://app.bigdata.com/documents/512B45861B6B4DE8CB9D3E3AE55B32E9" TargetMode="External"/><Relationship Id="rId41" Type="http://schemas.openxmlformats.org/officeDocument/2006/relationships/hyperlink" Target="https://app.bigdata.com/documents/0F8F0E96AAC2DBAB596146969CC7D2BF" TargetMode="External"/><Relationship Id="rId42" Type="http://schemas.openxmlformats.org/officeDocument/2006/relationships/hyperlink" Target="https://app.bigdata.com/documents/E36375CD872C6517CF73B35A57B7E8D7" TargetMode="External"/><Relationship Id="rId43" Type="http://schemas.openxmlformats.org/officeDocument/2006/relationships/hyperlink" Target="https://app.bigdata.com/documents/D8AB24B44BF49E04D115430CA62CBC05" TargetMode="External"/><Relationship Id="rId44" Type="http://schemas.openxmlformats.org/officeDocument/2006/relationships/hyperlink" Target="https://app.bigdata.com/documents/479EF4C0142E5F56C8E19F90E35A7639" TargetMode="External"/><Relationship Id="rId45" Type="http://schemas.openxmlformats.org/officeDocument/2006/relationships/hyperlink" Target="https://www.eia.gov/dnav/ng/hist/rngwhhdm.htm" TargetMode="External"/><Relationship Id="rId46" Type="http://schemas.openxmlformats.org/officeDocument/2006/relationships/hyperlink" Target="https://www.bls.gov/news.release/cpi.nr0.htm" TargetMode="External"/><Relationship Id="rId47" Type="http://schemas.openxmlformats.org/officeDocument/2006/relationships/hyperlink" Target="https://app.bigdata.com/documents/2A052F276F126176E3059FE6955D29DE" TargetMode="External"/><Relationship Id="rId48" Type="http://schemas.openxmlformats.org/officeDocument/2006/relationships/hyperlink" Target="https://twelvedata.com/" TargetMode="External"/><Relationship Id="rId49" Type="http://schemas.openxmlformats.org/officeDocument/2006/relationships/hyperlink" Target="https://www.sec.gov/cgi-bin/browse-edgar?action=getcompany&amp;CIK=1692819&amp;type=&amp;dateb=&amp;owner=include&amp;count=10" TargetMode="External"/><Relationship Id="rId50" Type="http://schemas.openxmlformats.org/officeDocument/2006/relationships/hyperlink" Target="https://www.sec.gov/Archives/edgar/data/1692819/000114036126037577/ef20082680_8k.htm" TargetMode="External"/><Relationship Id="rId51" Type="http://schemas.openxmlformats.org/officeDocument/2006/relationships/hyperlink" Target="https://data.sec.gov/api/xbrl/companyconcept/CIK0001692819/us-gaap/PreferredStockValue.json" TargetMode="External"/><Relationship Id="rId52" Type="http://schemas.openxmlformats.org/officeDocument/2006/relationships/hyperlink" Target="https://app.bigdata.com/documents/4DA1DA371F66D784B7D1796614D11E8B" TargetMode="External"/><Relationship Id="rId53" Type="http://schemas.openxmlformats.org/officeDocument/2006/relationships/hyperlink" Target="https://app.bigdata.com/documents/61616050C57A5D6A8F568E0ECC4902F5" TargetMode="External"/><Relationship Id="rId54" Type="http://schemas.openxmlformats.org/officeDocument/2006/relationships/hyperlink" Target="https://app.bigdata.com/documents/DA8CD67B716F2EC1311FDDE6F449AFED" TargetMode="External"/><Relationship Id="rId55" Type="http://schemas.openxmlformats.org/officeDocument/2006/relationships/hyperlink" Target="https://finance.yahoo.com/markets/stocks/articles/constellation-energy-ceg-vs-vst-164150765.html" TargetMode="External"/><Relationship Id="rId56" Type="http://schemas.openxmlformats.org/officeDocument/2006/relationships/hyperlink" Target="https://app.bigdata.com/documents/3D859B7916D966958AFF6DE06B1EA907" TargetMode="External"/><Relationship Id="rId57" Type="http://schemas.openxmlformats.org/officeDocument/2006/relationships/hyperlink" Target="https://app.bigdata.com/documents/19982ED2ECC043C6AE9BBC3BEF314B27" TargetMode="External"/><Relationship Id="rId58" Type="http://schemas.openxmlformats.org/officeDocument/2006/relationships/hyperlink" Target="https://www.pjm.com/-/media/DotCom/documents/ferc/filings/2026/20260406-er26-1556-000.pdf" TargetMode="External"/><Relationship Id="rId59" Type="http://schemas.openxmlformats.org/officeDocument/2006/relationships/hyperlink" Target="https://www.sec.gov/Archives/edgar/data/1692819/000119312526002589/d62722dex991.htm" TargetMode="External"/><Relationship Id="rId60" Type="http://schemas.openxmlformats.org/officeDocument/2006/relationships/hyperlink" Target="https://www.sec.gov/Archives/edgar/data/0001622536/000162253626000065/a20260805q22026earningsrel.htm" TargetMode="External"/><Relationship Id="rId61" Type="http://schemas.openxmlformats.org/officeDocument/2006/relationships/hyperlink" Target="https://app.bigdata.com/documents/D68326C84BC0BA8F28C13171FC0AED95" TargetMode="External"/><Relationship Id="rId62" Type="http://schemas.openxmlformats.org/officeDocument/2006/relationships/hyperlink" Target="https://app.bigdata.com/documents/790D89911C5EBEF0DD545A705E996973" TargetMode="External"/><Relationship Id="rId63" Type="http://schemas.openxmlformats.org/officeDocument/2006/relationships/hyperlink" Target="https://data.sec.gov/api/xbrl/companyconcept/CIK0001692819/us-gaap/MinorityInterest.json" TargetMode="External"/><Relationship Id="rId64" Type="http://schemas.openxmlformats.org/officeDocument/2006/relationships/hyperlink" Target="https://www.pjm.com/pjmfiles/directory/etariff/FercOrders/9154/20260929-er26-3380-000.pdf" TargetMode="External"/><Relationship Id="rId65" Type="http://schemas.openxmlformats.org/officeDocument/2006/relationships/hyperlink" Target="https://www.pjm.com/-/media/DotCom/documents/ferc/filings/2026/20260406-er26-1556-000.pdf" TargetMode="External"/><Relationship Id="rId66" Type="http://schemas.openxmlformats.org/officeDocument/2006/relationships/hyperlink" Target="https://www.troutmanenergyreport.com/2026/05/ferc-accepts-pjm-capacity-market-price-collar-extension/" TargetMode="External"/><Relationship Id="rId67" Type="http://schemas.openxmlformats.org/officeDocument/2006/relationships/hyperlink" Target="https://governor.maryland.gov/news/press-releases/maryland-urges-federal-regulators-protect-ratepayers-continuing-energy-auction-price-caps" TargetMode="External"/><Relationship Id="rId68" Type="http://schemas.openxmlformats.org/officeDocument/2006/relationships/hyperlink" Target="https://www.pa.gov/governor/newsroom/2026-press-releases/gov-shapiro-secures-extension-pjm-price-cap-saving-consumers--45" TargetMode="External"/><Relationship Id="rId69" Type="http://schemas.openxmlformats.org/officeDocument/2006/relationships/hyperlink" Target="https://kleinmanenergy.upenn.edu/commentary/blog/ratepayer-protection-pledge-the-white-houses-attempt-to-shield-customers-from-rising-electricity-prices-caused-by-data-center-expansion/" TargetMode="External"/><Relationship Id="rId70" Type="http://schemas.openxmlformats.org/officeDocument/2006/relationships/hyperlink" Target="https://powermag.com/abbott-orders-full-audit-of-texas-data-center-interconnection-queue-threatens-to-deny-grid-access/" TargetMode="External"/><Relationship Id="rId71" Type="http://schemas.openxmlformats.org/officeDocument/2006/relationships/hyperlink" Target="https://www.sec.gov/Archives/edgar/data/0001746576/000114036126036245/ef20081902_fwp.htm" TargetMode="External"/><Relationship Id="rId72" Type="http://schemas.openxmlformats.org/officeDocument/2006/relationships/hyperlink" Target="https://investor.vistracorp.com/2026-03-17-Vistra-Achieves-Investment-Grade-Credit-Ratings-from-S-P-and-Fitch" TargetMode="External"/><Relationship Id="rId73" Type="http://schemas.openxmlformats.org/officeDocument/2006/relationships/hyperlink" Target="https://www.sec.gov/Archives/edgar/data/1692819/000114036126038468/ef20083016_8k.htm" TargetMode="External"/><Relationship Id="rId74" Type="http://schemas.openxmlformats.org/officeDocument/2006/relationships/hyperlink" Target="https://www.sec.gov/Archives/edgar/data/1692819/000194049426000008/xslF345X06/wk-form4_1791503079.xml" TargetMode="External"/><Relationship Id="rId75" Type="http://schemas.openxmlformats.org/officeDocument/2006/relationships/hyperlink" Target="https://www.sec.gov/Archives/edgar/data/1692819/000172855326000008/xslF345X06/wk-form4_1791416355.xml" TargetMode="External"/><Relationship Id="rId76" Type="http://schemas.openxmlformats.org/officeDocument/2006/relationships/hyperlink" Target="https://data.sec.gov/submissions/CIK0001692819.json" TargetMode="External"/><Relationship Id="rId77" Type="http://schemas.openxmlformats.org/officeDocument/2006/relationships/hyperlink" Target="https://www.marketbeat.com/instant-alerts/vistra-nysevst-trading-down-54-following-analyst-downgrade-2026-07-28/" TargetMode="External"/><Relationship Id="rId78" Type="http://schemas.openxmlformats.org/officeDocument/2006/relationships/hyperlink" Target="https://weissratings.com/en/instant-news-alerts/vistra-corp-vst-down-5-0-should-i-dissolve-this-stake" TargetMode="External"/><Relationship Id="rId79" Type="http://schemas.openxmlformats.org/officeDocument/2006/relationships/hyperlink" Target="https://www.tikr.com/blog/vistra-stock-fell-5-in-a-broad-power-selloff-heres-where-the-stock-could-go" TargetMode="External"/><Relationship Id="rId80" Type="http://schemas.openxmlformats.org/officeDocument/2006/relationships/hyperlink" Target="https://finance.yahoo.com/markets/stocks/articles/constellation-energy-ceg-vs-vst-164150765.html" TargetMode="External"/><Relationship Id="rId81" Type="http://schemas.openxmlformats.org/officeDocument/2006/relationships/hyperlink" Target="https://www.sec.gov/Archives/edgar/data/1692819/000169281926000006/vistra-20251231.htm" TargetMode="External"/><Relationship Id="rId82" Type="http://schemas.openxmlformats.org/officeDocument/2006/relationships/hyperlink" Target="https://www.sec.gov/Archives/edgar/data/1692819/000169281926000019/vistra-20260630.htm" TargetMode="External"/><Relationship Id="rId83" Type="http://schemas.openxmlformats.org/officeDocument/2006/relationships/hyperlink" Target="https://www.sec.gov/Archives/edgar/data/0001692819/000169281926000017/vistra-20260630xearningsre.htm" TargetMode="External"/><Relationship Id="rId84" Type="http://schemas.openxmlformats.org/officeDocument/2006/relationships/hyperlink" Target="https://app.bigdata.com/documents/195B479A48CB63C52BC7051FD044E9A5" TargetMode="External"/><Relationship Id="rId85" Type="http://schemas.openxmlformats.org/officeDocument/2006/relationships/hyperlink" Target="https://app.bigdata.com/documents/2A052F276F126176E3059FE6955D29DE" TargetMode="External"/><Relationship Id="rId86" Type="http://schemas.openxmlformats.org/officeDocument/2006/relationships/hyperlink" Target="https://www.bls.gov/news.release/cpi.nr0.htm" TargetMode="External"/><Relationship Id="rId87" Type="http://schemas.openxmlformats.org/officeDocument/2006/relationships/hyperlink" Target="https://home.treasury.gov/resource-center/data-chart-center/interest-rates/TextView?type=daily_treasury_yield_curve&amp;field_tdr_date_value=2026" TargetMode="External"/><Relationship Id="rId88" Type="http://schemas.openxmlformats.org/officeDocument/2006/relationships/hyperlink" Target="https://twelvedata.com/" TargetMode="External"/><Relationship Id="rId89" Type="http://schemas.openxmlformats.org/officeDocument/2006/relationships/hyperlink" Target="https://bigdata.com/" TargetMode="External"/><Relationship Id="rId90" Type="http://schemas.openxmlformats.org/officeDocument/2006/relationships/hyperlink" Target="https://www.sec.gov/Archives/edgar/data/1692819/000119312526002589/d62722dex991.htm" TargetMode="External"/><Relationship Id="rId91" Type="http://schemas.openxmlformats.org/officeDocument/2006/relationships/hyperlink" Target="https://www.sec.gov/Archives/edgar/data/1622536/000162253626000065/a20260805q22026earningsrel.htm" TargetMode="External"/><Relationship Id="rId92" Type="http://schemas.openxmlformats.org/officeDocument/2006/relationships/hyperlink" Target="https://finviz.com/news/396792/vistra-to-report-third-quarter-results-on-nov-6-2026" TargetMode="External"/><Relationship Id="rId93" Type="http://schemas.openxmlformats.org/officeDocument/2006/relationships/hyperlink" Target="https://www.federalreserve.gov/monetarypolicy/fomccalendars.htm" TargetMode="External"/><Relationship Id="rId94" Type="http://schemas.openxmlformats.org/officeDocument/2006/relationships/hyperlink" Target="https://www.tikr.com/blog/vistra-stock-fell-6-in-a-day-after-a-20-run-heres-what-its-november-6-report-needs-to-show" TargetMode="External"/><Relationship Id="rId95" Type="http://schemas.openxmlformats.org/officeDocument/2006/relationships/hyperlink" Target="https://polymarket.com/event/fed-decision-in-october-20260617190323537" TargetMode="External"/><Relationship Id="rId96" Type="http://schemas.openxmlformats.org/officeDocument/2006/relationships/hyperlink" Target="https://polymarket.com/event/fed-decision-in-december-20260729232808632" TargetMode="External"/><Relationship Id="rId97" Type="http://schemas.openxmlformats.org/officeDocument/2006/relationships/hyperlink" Target="https://polymarket.com/event/texas-enacts-data-center-moratorium-by-20260928" TargetMode="External"/><Relationship Id="rId98" Type="http://schemas.openxmlformats.org/officeDocument/2006/relationships/hyperlink" Target="https://polymarket.com/event/indiana-enacts-data-center-moratorium-by-20260929" TargetMode="External"/><Relationship Id="rId99" Type="http://schemas.openxmlformats.org/officeDocument/2006/relationships/hyperlink" Target="https://polymarket.com/event/ai-bubble-burst-by" TargetMode="External"/><Relationship Id="rId100" Type="http://schemas.openxmlformats.org/officeDocument/2006/relationships/hyperlink" Target="https://polymarket.com/event/us-recession-by-end-of-2026" TargetMode="External"/><Relationship Id="rId101" Type="http://schemas.openxmlformats.org/officeDocument/2006/relationships/hyperlink" Target="https://theshufflelight.substack.com/p/vistra-vst-this-years-and-next-years" TargetMode="External"/><Relationship Id="rId102" Type="http://schemas.openxmlformats.org/officeDocument/2006/relationships/hyperlink" Target="https://cycledesk.substack.com/p/vistra-vst-peter-thiel-and-the-pelosis" TargetMode="External"/><Relationship Id="rId103" Type="http://schemas.openxmlformats.org/officeDocument/2006/relationships/hyperlink" Target="https://mystockresearch.substack.com/p/full-deep-dive-is-vst-a-buy-now-at" TargetMode="External"/><Relationship Id="rId104" Type="http://schemas.openxmlformats.org/officeDocument/2006/relationships/hyperlink" Target="https://www.trefis.com/stock/vst/articles/617550/your-vistra-stock-thesis-has-one-loose-end/2026-10-05" TargetMode="External"/><Relationship Id="rId105" Type="http://schemas.openxmlformats.org/officeDocument/2006/relationships/hyperlink" Target="https://www.tikr.com/blog/vistra-stock-is-down-27-this-year-but-analysts-havent-budged-their-targets" TargetMode="External"/><Relationship Id="rId106" Type="http://schemas.openxmlformats.org/officeDocument/2006/relationships/hyperlink" Target="https://app.bigdata.com/documents/0B112356045C7AA960B032D84AA4BA8A?cnum=20" TargetMode="External"/><Relationship Id="rId107" Type="http://schemas.openxmlformats.org/officeDocument/2006/relationships/hyperlink" Target="https://app.bigdata.com/documents/6711A89A2E011AA52BD5A4EE81DAFAFB?cnum=6&amp;cnum=1&amp;cnum=7" TargetMode="External"/><Relationship Id="rId108" Type="http://schemas.openxmlformats.org/officeDocument/2006/relationships/hyperlink" Target="https://app.bigdata.com/documents/57882AE63D05CFCC6FB683B705B86C7E?cnum=3" TargetMode="External"/><Relationship Id="rId109" Type="http://schemas.openxmlformats.org/officeDocument/2006/relationships/hyperlink" Target="https://app.bigdata.com/documents/0EEA103C3FAA7E4EECCB01989E119F4C?cnum=6" TargetMode="External"/><Relationship Id="rId110" Type="http://schemas.openxmlformats.org/officeDocument/2006/relationships/hyperlink" Target="https://app.bigdata.com/documents/3DE69810F25B7A11589730488A2DF1F0?cnum=1" TargetMode="External"/><Relationship Id="rId111" Type="http://schemas.openxmlformats.org/officeDocument/2006/relationships/hyperlink" Target="https://app.bigdata.com/documents/790D89911C5EBEF0DD545A705E996973?cnum=54" TargetMode="External"/><Relationship Id="rId112" Type="http://schemas.openxmlformats.org/officeDocument/2006/relationships/hyperlink" Target="https://app.bigdata.com/documents/64FDF1BED791CF4E2005FA9815855993?cnum=1" TargetMode="External"/><Relationship Id="rId113" Type="http://schemas.openxmlformats.org/officeDocument/2006/relationships/hyperlink" Target="https://vst.wd5.myworkdayjobs.com/en-US/vistra_careers" TargetMode="External"/><Relationship Id="rId114" Type="http://schemas.openxmlformats.org/officeDocument/2006/relationships/hyperlink" Target="https://www.sec.gov/Archives/edgar/data/1692819/000169281926000019/vistra-20260630.htm" TargetMode="External"/><Relationship Id="rId115" Type="http://schemas.openxmlformats.org/officeDocument/2006/relationships/hyperlink" Target="https://www.sec.gov/Archives/edgar/data/1692819/000169281926000017/vistra-20260630xearningsre.htm" TargetMode="External"/><Relationship Id="rId116" Type="http://schemas.openxmlformats.org/officeDocument/2006/relationships/hyperlink" Target="https://www.sec.gov/Archives/edgar/data/1692819/000169281926000006/vistra-20251231.htm" TargetMode="External"/><Relationship Id="rId117" Type="http://schemas.openxmlformats.org/officeDocument/2006/relationships/hyperlink" Target="https://app.bigdata.com/documents/195B479A48CB63C52BC7051FD044E9A5" TargetMode="External"/><Relationship Id="rId118" Type="http://schemas.openxmlformats.org/officeDocument/2006/relationships/hyperlink" Target="https://www.sec.gov/Archives/edgar/data/1692819/000114036126036415/ny20081693x3_424b2.htm" TargetMode="External"/><Relationship Id="rId119" Type="http://schemas.openxmlformats.org/officeDocument/2006/relationships/hyperlink" Target="https://www.sec.gov/Archives/edgar/data/1692819/000126840626000009/wk-form4_1788356308.xml" TargetMode="External"/><Relationship Id="rId120" Type="http://schemas.openxmlformats.org/officeDocument/2006/relationships/hyperlink" Target="https://www.pjm.com/-/media/DotCom/about-pjm/newsroom/2026-releases/20260714-pjm-capacity-auction-procures-138318-mw-of-generation-resources.pdf" TargetMode="External"/><Relationship Id="rId121" Type="http://schemas.openxmlformats.org/officeDocument/2006/relationships/hyperlink" Target="https://www.bls.gov/news.release/cpi.nr0.htm" TargetMode="External"/><Relationship Id="rId122" Type="http://schemas.openxmlformats.org/officeDocument/2006/relationships/hyperlink" Target="https://twelvedata.com/" TargetMode="External"/><Relationship Id="rId123" Type="http://schemas.openxmlformats.org/officeDocument/2006/relationships/hyperlink" Target="https://home.treasury.gov/resource-center/data-chart-center/interest-rates/TextView?type=daily_treasury_yield_curve&amp;field_tdr_date_value=2026" TargetMode="External"/><Relationship Id="rId124" Type="http://schemas.openxmlformats.org/officeDocument/2006/relationships/hyperlink" Target="https://www.sec.gov/Archives/edgar/data/1692819/000119312526002589/d62722dex991.htm" TargetMode="External"/><Relationship Id="rId125" Type="http://schemas.openxmlformats.org/officeDocument/2006/relationships/hyperlink" Target="https://www.pjm.com/-/media/DotCom/documents/ferc/filings/2026/20260406-er26-1556-000.pdf" TargetMode="External"/><Relationship Id="rId126" Type="http://schemas.openxmlformats.org/officeDocument/2006/relationships/hyperlink" Target="https://mgrid.org/2026/10/10/ferc-rejects-pjms-curtail-first-plan-for-new-large-loads-and-keeps-only-the-50-mw-definition-and-a-registry/" TargetMode="External"/><Relationship Id="rId127" Type="http://schemas.openxmlformats.org/officeDocument/2006/relationships/hyperlink" Target="https://www.tikr.com/blog/vistra-stock-fell-6-in-a-day-after-a-20-run-heres-what-its-november-6-report-needs-to-show" TargetMode="External"/><Relationship Id="rId128" Type="http://schemas.openxmlformats.org/officeDocument/2006/relationships/hyperlink" Target="https://www.sec.gov/Archives/edgar/data/1692819/000169281926000019/vistra-20260630.htm" TargetMode="External"/><Relationship Id="rId129" Type="http://schemas.openxmlformats.org/officeDocument/2006/relationships/hyperlink" Target="https://www.sec.gov/Archives/edgar/data/1692819/000169281926000006/vistra-20251231.htm" TargetMode="External"/><Relationship Id="rId130" Type="http://schemas.openxmlformats.org/officeDocument/2006/relationships/hyperlink" Target="https://www.sec.gov/Archives/edgar/data/1692819/000169281926000017/vistra-20260630xearningsre.htm" TargetMode="External"/><Relationship Id="rId131" Type="http://schemas.openxmlformats.org/officeDocument/2006/relationships/hyperlink" Target="https://www.sec.gov/Archives/edgar/data/1692819/000119312526073364/d21122dex991.htm" TargetMode="External"/><Relationship Id="rId132" Type="http://schemas.openxmlformats.org/officeDocument/2006/relationships/hyperlink" Target="https://app.bigdata.com/documents/195B479A48CB63C52BC7051FD044E9A5" TargetMode="External"/><Relationship Id="rId133" Type="http://schemas.openxmlformats.org/officeDocument/2006/relationships/hyperlink" Target="https://www.sec.gov/Archives/edgar/data/1692819/000114036126036415/ny20081693x3_424b2.htm" TargetMode="External"/><Relationship Id="rId134" Type="http://schemas.openxmlformats.org/officeDocument/2006/relationships/hyperlink" Target="https://data.sec.gov/submissions/CIK0001692819.json" TargetMode="External"/><Relationship Id="rId135" Type="http://schemas.openxmlformats.org/officeDocument/2006/relationships/hyperlink" Target="https://www.bls.gov/news.release/cpi.nr0.htm" TargetMode="External"/><Relationship Id="rId136" Type="http://schemas.openxmlformats.org/officeDocument/2006/relationships/hyperlink" Target="https://app.bigdata.com/documents/53254B64A4944D8B28E6F057E2AF4405" TargetMode="External"/><Relationship Id="rId137" Type="http://schemas.openxmlformats.org/officeDocument/2006/relationships/hyperlink" Target="https://app.bigdata.com/documents/6BBA8103FC99591DEC2BFED96E6F71E7" TargetMode="External"/><Relationship Id="rId138" Type="http://schemas.openxmlformats.org/officeDocument/2006/relationships/hyperlink" Target="https://app.bigdata.com/documents/32739FC571DF59B5DAA7EC02EFDEBEDC" TargetMode="External"/><Relationship Id="rId139" Type="http://schemas.openxmlformats.org/officeDocument/2006/relationships/hyperlink" Target="https://query1.finance.yahoo.com/v8/finance/chart/VST?range=10y&amp;interval=1d" TargetMode="External"/><Relationship Id="rId140" Type="http://schemas.openxmlformats.org/officeDocument/2006/relationships/hyperlink" Target="https://polymarket.com/event/fed-decision-in-october-20260617190323537" TargetMode="External"/><Relationship Id="rId141" Type="http://schemas.openxmlformats.org/officeDocument/2006/relationships/hyperlink" Target="https://polymarket.com/event/another-fed-rate-hike-in-2026" TargetMode="External"/><Relationship Id="rId142" Type="http://schemas.openxmlformats.org/officeDocument/2006/relationships/hyperlink" Target="https://polymarket.com/event/us-recession-by-end-of-2027-20260807185409760" TargetMode="External"/><Relationship Id="rId143" Type="http://schemas.openxmlformats.org/officeDocument/2006/relationships/hyperlink" Target="https://www.troutmanenergyreport.com/2026/05/ferc-accepts-pjm-capacity-market-price-collar-extension/" TargetMode="External"/><Relationship Id="rId144" Type="http://schemas.openxmlformats.org/officeDocument/2006/relationships/hyperlink" Target="https://www.publicpower.org/periodical/article/pjm-capacity-auction-procures-138318-mw-generation-resources-capacity-price-comes-cap-325" TargetMode="External"/><Relationship Id="rId145" Type="http://schemas.openxmlformats.org/officeDocument/2006/relationships/hyperlink" Target="https://app.bigdata.com/documents/8261A01736287F224411C346D3767603" TargetMode="External"/><Relationship Id="rId146" Type="http://schemas.openxmlformats.org/officeDocument/2006/relationships/hyperlink" Target="https://www.euci.com/pjm-chided-by-federal-energy-officials-over-its-emergency-plan-for-new-generating-capacity/" TargetMode="External"/><Relationship Id="rId147" Type="http://schemas.openxmlformats.org/officeDocument/2006/relationships/hyperlink" Target="https://www.eia.gov/outlooks/steo/report/elec_coal_renew.php" TargetMode="External"/><Relationship Id="rId148" Type="http://schemas.openxmlformats.org/officeDocument/2006/relationships/hyperlink" Target="https://bigdata.com/" TargetMode="External"/><Relationship Id="rId149" Type="http://schemas.openxmlformats.org/officeDocument/2006/relationships/hyperlink" Target="https://app.bigdata.com/documents/D616C916A66F3D3CE826FB8D7A08B48C" TargetMode="External"/><Relationship Id="rId150" Type="http://schemas.openxmlformats.org/officeDocument/2006/relationships/hyperlink" Target="https://world-nuclear-news.org/articles/doe-offers-vistra-loan-for-reactor-upgrades-and-uprates" TargetMode="External"/><Relationship Id="rId151" Type="http://schemas.openxmlformats.org/officeDocument/2006/relationships/hyperlink" Target="https://app.bigdata.com/documents/CA3971254C8FA984A2DFEC3BAFF984EB" TargetMode="External"/><Relationship Id="rId152" Type="http://schemas.openxmlformats.org/officeDocument/2006/relationships/hyperlink" Target="https://app.bigdata.com/documents/442E24FEEC4D36C5775BBE768A7F46CF" TargetMode="External"/><Relationship Id="rId153" Type="http://schemas.openxmlformats.org/officeDocument/2006/relationships/hyperlink" Target="https://app.bigdata.com/documents/288ABF4F3E7C0C1A5EEDF2D421ED56BE" TargetMode="External"/><Relationship Id="rId154" Type="http://schemas.openxmlformats.org/officeDocument/2006/relationships/hyperlink" Target="https://app.bigdata.com/documents/19982ED2ECC043C6AE9BBC3BEF314B27" TargetMode="External"/><Relationship Id="rId155" Type="http://schemas.openxmlformats.org/officeDocument/2006/relationships/hyperlink" Target="https://www.sec.gov/Archives/edgar/data/1692819/000119312526002589/d62722dex991.htm" TargetMode="External"/><Relationship Id="rId156" Type="http://schemas.openxmlformats.org/officeDocument/2006/relationships/hyperlink" Target="https://www.pjm.com/-/media/DotCom/documents/ferc/filings/2026/20260406-er26-1556-000.pdf" TargetMode="External"/><Relationship Id="rId157" Type="http://schemas.openxmlformats.org/officeDocument/2006/relationships/hyperlink" Target="https://www.sec.gov/Archives/edgar/data/1692819/000169281926000017/vistra-20260630xearningsre.htm" TargetMode="External"/><Relationship Id="rId158" Type="http://schemas.openxmlformats.org/officeDocument/2006/relationships/hyperlink" Target="https://app.bigdata.com/documents/195B479A48CB63C52BC7051FD044E9A5" TargetMode="External"/><Relationship Id="rId159" Type="http://schemas.openxmlformats.org/officeDocument/2006/relationships/hyperlink" Target="https://www.sec.gov/Archives/edgar/data/1692819/000119312526002589/d62722d8k.htm" TargetMode="External"/><Relationship Id="rId160" Type="http://schemas.openxmlformats.org/officeDocument/2006/relationships/hyperlink" Target="https://www.sec.gov/Archives/edgar/data/1692819/000119312526002589/d62722dex991.htm" TargetMode="External"/><Relationship Id="rId161" Type="http://schemas.openxmlformats.org/officeDocument/2006/relationships/hyperlink" Target="https://www.bls.gov/news.release/cpi.nr0.htm" TargetMode="External"/><Relationship Id="rId162" Type="http://schemas.openxmlformats.org/officeDocument/2006/relationships/hyperlink" Target="https://www.pjm.com/pjmfiles/directory/etariff/FercOrders/9154/20260929-er26-3380-000.pdf" TargetMode="External"/><Relationship Id="rId163" Type="http://schemas.openxmlformats.org/officeDocument/2006/relationships/hyperlink" Target="https://www.pjm.com/-/media/DotCom/documents/ferc/filings/2026/20260406-er26-1556-000.pdf" TargetMode="External"/><Relationship Id="rId164" Type="http://schemas.openxmlformats.org/officeDocument/2006/relationships/hyperlink" Target="https://www.troutmanenergyreport.com/2026/05/ferc-accepts-pjm-capacity-market-price-collar-extension/" TargetMode="External"/><Relationship Id="rId165" Type="http://schemas.openxmlformats.org/officeDocument/2006/relationships/hyperlink" Target="https://finviz.com/news/396792/vistra-to-report-third-quarter-results-on-nov-6-2026" TargetMode="External"/><Relationship Id="rId166" Type="http://schemas.openxmlformats.org/officeDocument/2006/relationships/hyperlink" Target="https://fred.stlouisfed.org/series/DGS10" TargetMode="External"/><Relationship Id="rId167" Type="http://schemas.openxmlformats.org/officeDocument/2006/relationships/hyperlink" Target="https://www.federalreserve.gov/monetarypolicy/fomccalendars.htm" TargetMode="External"/><Relationship Id="rId168" Type="http://schemas.openxmlformats.org/officeDocument/2006/relationships/hyperlink" Target="https://www.sec.gov/Archives/edgar/data/0001622536/000162253626000065/a20260805q22026earningsrel.htm" TargetMode="External"/><Relationship Id="rId169" Type="http://schemas.openxmlformats.org/officeDocument/2006/relationships/hyperlink" Target="https://data.sec.gov/api/xbrl/companyfacts/CIK0001692819.json" TargetMode="External"/><Relationship Id="rId170" Type="http://schemas.openxmlformats.org/officeDocument/2006/relationships/hyperlink" Target="https://www.sec.gov/Archives/edgar/data/1692819/000114036126037577/ef20082680_8k.htm" TargetMode="External"/><Relationship Id="rId171" Type="http://schemas.openxmlformats.org/officeDocument/2006/relationships/hyperlink" Target="https://www.sec.gov/Archives/edgar/data/1692819/000169281926000019/vistra-20260630.htm" TargetMode="External"/><Relationship Id="rId172" Type="http://schemas.openxmlformats.org/officeDocument/2006/relationships/hyperlink" Target="https://www.sec.gov/Archives/edgar/data/1692819/000169281926000006/vistra-20251231.htm" TargetMode="External"/><Relationship Id="rId173" Type="http://schemas.openxmlformats.org/officeDocument/2006/relationships/hyperlink" Target="https://www.pjm.com/-/media/DotCom/committees-groups/workshops/prtmdw/2026/20260714/20260714-item-04b---bifurcated-capacity-market-under-pjm-path-a-option-2---michael-kurtz-presentation.pdf" TargetMode="External"/><Relationship Id="rId174" Type="http://schemas.openxmlformats.org/officeDocument/2006/relationships/hyperlink" Target="https://www.sec.gov/Archives/edgar/data/1692819/000114036126036130/ny20081693x2_424b5.ht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4"/>
      <c r="D4" s="3" t="s">
        <v>4</v>
      </c>
    </row>
    <row r="5" customFormat="false" ht="15" hidden="false" customHeight="false" outlineLevel="0" collapsed="false">
      <c r="A5" s="5" t="s">
        <v>5</v>
      </c>
      <c r="B5" s="6" t="n">
        <v>138.37</v>
      </c>
      <c r="D5" s="7" t="s">
        <v>6</v>
      </c>
    </row>
    <row r="6" customFormat="false" ht="15" hidden="false" customHeight="false" outlineLevel="0" collapsed="false">
      <c r="A6" s="5" t="s">
        <v>7</v>
      </c>
      <c r="B6" s="8" t="n">
        <v>0.67</v>
      </c>
      <c r="D6" s="7" t="s">
        <v>8</v>
      </c>
    </row>
    <row r="7" customFormat="false" ht="15" hidden="false" customHeight="false" outlineLevel="0" collapsed="false">
      <c r="A7" s="5" t="s">
        <v>9</v>
      </c>
      <c r="B7" s="8" t="n">
        <v>0.33</v>
      </c>
      <c r="D7" s="7" t="s">
        <v>10</v>
      </c>
    </row>
    <row r="8" customFormat="false" ht="23.85" hidden="false" customHeight="false" outlineLevel="0" collapsed="false">
      <c r="A8" s="5" t="s">
        <v>11</v>
      </c>
      <c r="B8" s="8" t="n">
        <v>0</v>
      </c>
      <c r="D8" s="7" t="s">
        <v>12</v>
      </c>
    </row>
    <row r="9" customFormat="false" ht="15" hidden="false" customHeight="false" outlineLevel="0" collapsed="false">
      <c r="A9" s="5" t="s">
        <v>13</v>
      </c>
      <c r="B9" s="9" t="n">
        <v>194</v>
      </c>
      <c r="D9" s="7" t="s">
        <v>14</v>
      </c>
    </row>
    <row r="10" customFormat="false" ht="15" hidden="false" customHeight="false" outlineLevel="0" collapsed="false">
      <c r="A10" s="5" t="s">
        <v>15</v>
      </c>
      <c r="B10" s="10" t="n">
        <v>0</v>
      </c>
      <c r="D10" s="7" t="s">
        <v>16</v>
      </c>
    </row>
    <row r="11" customFormat="false" ht="23.85" hidden="false" customHeight="false" outlineLevel="0" collapsed="false">
      <c r="A11" s="5" t="s">
        <v>17</v>
      </c>
      <c r="B11" s="11" t="n">
        <v>0</v>
      </c>
      <c r="D11" s="7" t="s">
        <v>18</v>
      </c>
    </row>
    <row r="12" customFormat="false" ht="15" hidden="false" customHeight="false" outlineLevel="0" collapsed="false">
      <c r="A12" s="5" t="s">
        <v>19</v>
      </c>
      <c r="B12" s="6" t="n">
        <v>115</v>
      </c>
      <c r="D12" s="7" t="s">
        <v>20</v>
      </c>
    </row>
    <row r="13" customFormat="false" ht="23.85" hidden="false" customHeight="false" outlineLevel="0" collapsed="false">
      <c r="A13" s="5" t="s">
        <v>21</v>
      </c>
      <c r="B13" s="12" t="n">
        <v>0.534</v>
      </c>
      <c r="D13" s="7" t="s">
        <v>22</v>
      </c>
    </row>
    <row r="15" customFormat="false" ht="23.85" hidden="false" customHeight="false" outlineLevel="0" collapsed="false">
      <c r="A15" s="5" t="s">
        <v>23</v>
      </c>
      <c r="B15" s="13" t="n">
        <f aca="false">EXP(INDEX(Distribution!$B$6:$B$20,MIN(MAX(IFERROR(MATCH(0.5,Distribution!$C$6:$C$20,-1),1),1),14))+(LN(MIN(MAX(0.5,0.0001),0.9999)/(1-MIN(MAX(0.5,0.0001),0.9999)))-INDEX(Distribution!$P$6:$P$20,MIN(MAX(IFERROR(MATCH(0.5,Distribution!$C$6:$C$20,-1),1),1),14)))/(INDEX(Distribution!$P$6:$P$20,MIN(MAX(IFERROR(MATCH(0.5,Distribution!$C$6:$C$20,-1),1),1),14)+1)-INDEX(Distribution!$P$6:$P$20,MIN(MAX(IFERROR(MATCH(0.5,Distribution!$C$6:$C$20,-1),1),1),14)))*(INDEX(Distribution!$B$6:$B$20,MIN(MAX(IFERROR(MATCH(0.5,Distribution!$C$6:$C$20,-1),1),1),14)+1)-INDEX(Distribution!$B$6:$B$20,MIN(MAX(IFERROR(MATCH(0.5,Distribution!$C$6:$C$20,-1),1),1),14))))</f>
        <v>138.489989459178</v>
      </c>
      <c r="D15" s="7" t="s">
        <v>24</v>
      </c>
    </row>
    <row r="17" customFormat="false" ht="15" hidden="false" customHeight="false" outlineLevel="0" collapsed="false">
      <c r="A17" s="3" t="s">
        <v>25</v>
      </c>
      <c r="B17" s="3" t="s">
        <v>26</v>
      </c>
      <c r="C17" s="3" t="s">
        <v>27</v>
      </c>
      <c r="D17" s="3" t="s">
        <v>28</v>
      </c>
    </row>
    <row r="18" customFormat="false" ht="15" hidden="false" customHeight="false" outlineLevel="0" collapsed="false">
      <c r="A18" s="5" t="s">
        <v>29</v>
      </c>
      <c r="B18" s="13" t="n">
        <f aca="false">Methods!C7</f>
        <v>161.958</v>
      </c>
      <c r="C18" s="13" t="n">
        <f aca="false">Methods!E7</f>
        <v>161.96</v>
      </c>
    </row>
    <row r="19" customFormat="false" ht="15" hidden="false" customHeight="false" outlineLevel="0" collapsed="false">
      <c r="A19" s="5" t="s">
        <v>30</v>
      </c>
      <c r="B19" s="13" t="n">
        <f aca="false">Methods!C11</f>
        <v>162.838</v>
      </c>
      <c r="C19" s="13" t="n">
        <f aca="false">Methods!E11</f>
        <v>162.84</v>
      </c>
    </row>
    <row r="20" customFormat="false" ht="15" hidden="false" customHeight="false" outlineLevel="0" collapsed="false">
      <c r="A20" s="5" t="s">
        <v>31</v>
      </c>
      <c r="B20" s="13" t="n">
        <f aca="false">Methods!C16</f>
        <v>153.8695</v>
      </c>
      <c r="C20" s="13" t="n">
        <f aca="false">Methods!E16</f>
        <v>153.87</v>
      </c>
    </row>
    <row r="21" customFormat="false" ht="15" hidden="false" customHeight="false" outlineLevel="0" collapsed="false">
      <c r="A21" s="5" t="s">
        <v>32</v>
      </c>
      <c r="B21" s="13" t="n">
        <f aca="false">Methods!C20</f>
        <v>154.444</v>
      </c>
      <c r="C21" s="13" t="n">
        <f aca="false">Methods!E20</f>
        <v>154.44</v>
      </c>
    </row>
    <row r="22" customFormat="false" ht="15" hidden="false" customHeight="false" outlineLevel="0" collapsed="false">
      <c r="A22" s="5" t="s">
        <v>33</v>
      </c>
      <c r="B22" s="13" t="n">
        <f aca="false">Methods!C24</f>
        <v>160.476</v>
      </c>
      <c r="C22" s="13" t="n">
        <f aca="false">Methods!E24</f>
        <v>160.48</v>
      </c>
    </row>
    <row r="23" customFormat="false" ht="15" hidden="false" customHeight="false" outlineLevel="0" collapsed="false">
      <c r="A23" s="14" t="s">
        <v>34</v>
      </c>
      <c r="B23" s="15" t="n">
        <f aca="false">AVERAGE(B18:B22)</f>
        <v>158.7171</v>
      </c>
      <c r="C23" s="15" t="n">
        <f aca="false">AVERAGE(C18:C22)</f>
        <v>158.718</v>
      </c>
    </row>
    <row r="24" customFormat="false" ht="15" hidden="false" customHeight="false" outlineLevel="0" collapsed="false">
      <c r="A24" s="5" t="s">
        <v>35</v>
      </c>
      <c r="B24" s="16" t="n">
        <f aca="false">MEDIAN(B18:B22)</f>
        <v>160.476</v>
      </c>
      <c r="C24" s="16" t="n">
        <f aca="false">MEDIAN(C18:C22)</f>
        <v>160.48</v>
      </c>
    </row>
    <row r="25" customFormat="false" ht="180.55" hidden="false" customHeight="false" outlineLevel="0" collapsed="false">
      <c r="A25" s="14" t="s">
        <v>36</v>
      </c>
      <c r="C25" s="17" t="n">
        <v>147.67</v>
      </c>
      <c r="D25" s="7" t="s">
        <v>37</v>
      </c>
    </row>
    <row r="26" customFormat="false" ht="15" hidden="false" customHeight="false" outlineLevel="0" collapsed="false">
      <c r="A26" s="5" t="s">
        <v>38</v>
      </c>
      <c r="C26" s="18" t="n">
        <f aca="false">C25/Spot-1</f>
        <v>0.0672111006721108</v>
      </c>
    </row>
    <row r="28" customFormat="false" ht="15" hidden="false" customHeight="false" outlineLevel="0" collapsed="false">
      <c r="A28" s="3" t="s">
        <v>39</v>
      </c>
      <c r="B28" s="3" t="s">
        <v>40</v>
      </c>
      <c r="C28" s="3" t="s">
        <v>41</v>
      </c>
      <c r="D28" s="3" t="s">
        <v>42</v>
      </c>
    </row>
    <row r="29" customFormat="false" ht="15" hidden="false" customHeight="false" outlineLevel="0" collapsed="false">
      <c r="A29" s="5" t="s">
        <v>43</v>
      </c>
      <c r="B29" s="19" t="n">
        <f aca="false">EXP(INDEX(Distribution!$B$6:$B$20,MIN(MAX(IFERROR(MATCH(0.5,Distribution!$U$6:$U$20,-1),1),1),14))+(LN(MIN(MAX(0.5,0.0001),0.9999)/(1-MIN(MAX(0.5,0.0001),0.9999)))-INDEX(Distribution!$V$6:$V$20,MIN(MAX(IFERROR(MATCH(0.5,Distribution!$U$6:$U$20,-1),1),1),14)))/(INDEX(Distribution!$V$6:$V$20,MIN(MAX(IFERROR(MATCH(0.5,Distribution!$U$6:$U$20,-1),1),1),14)+1)-INDEX(Distribution!$V$6:$V$20,MIN(MAX(IFERROR(MATCH(0.5,Distribution!$U$6:$U$20,-1),1),1),14)))*(INDEX(Distribution!$B$6:$B$20,MIN(MAX(IFERROR(MATCH(0.5,Distribution!$U$6:$U$20,-1),1),1),14)+1)-INDEX(Distribution!$B$6:$B$20,MIN(MAX(IFERROR(MATCH(0.5,Distribution!$U$6:$U$20,-1),1),1),14))))</f>
        <v>144.671834234678</v>
      </c>
      <c r="C29" s="6" t="n">
        <v>139.8437</v>
      </c>
      <c r="D29" s="7" t="s">
        <v>44</v>
      </c>
    </row>
    <row r="30" customFormat="false" ht="15" hidden="false" customHeight="false" outlineLevel="0" collapsed="false">
      <c r="A30" s="5" t="s">
        <v>45</v>
      </c>
      <c r="B30" s="19" t="n">
        <f aca="false">EXP(INDEX(Distribution!$B$6:$B$20,MIN(MAX(IFERROR(MATCH(0.25,Distribution!$U$6:$U$20,-1),1),1),14))+(LN(MIN(MAX(0.25,0.0001),0.9999)/(1-MIN(MAX(0.25,0.0001),0.9999)))-INDEX(Distribution!$V$6:$V$20,MIN(MAX(IFERROR(MATCH(0.25,Distribution!$U$6:$U$20,-1),1),1),14)))/(INDEX(Distribution!$V$6:$V$20,MIN(MAX(IFERROR(MATCH(0.25,Distribution!$U$6:$U$20,-1),1),1),14)+1)-INDEX(Distribution!$V$6:$V$20,MIN(MAX(IFERROR(MATCH(0.25,Distribution!$U$6:$U$20,-1),1),1),14)))*(INDEX(Distribution!$B$6:$B$20,MIN(MAX(IFERROR(MATCH(0.25,Distribution!$U$6:$U$20,-1),1),1),14)+1)-INDEX(Distribution!$B$6:$B$20,MIN(MAX(IFERROR(MATCH(0.25,Distribution!$U$6:$U$20,-1),1),1),14))))</f>
        <v>195.370861881773</v>
      </c>
      <c r="C30" s="6" t="n">
        <v>148.78</v>
      </c>
      <c r="D30" s="7" t="s">
        <v>46</v>
      </c>
    </row>
    <row r="31" customFormat="false" ht="15" hidden="false" customHeight="false" outlineLevel="0" collapsed="false">
      <c r="A31" s="5" t="s">
        <v>47</v>
      </c>
      <c r="B31" s="19" t="n">
        <f aca="false">EXP(INDEX(Distribution!$B$6:$B$20,MIN(MAX(IFERROR(MATCH(0.85,Distribution!$U$6:$U$20,-1),1),1),14))+(LN(MIN(MAX(0.85,0.0001),0.9999)/(1-MIN(MAX(0.85,0.0001),0.9999)))-INDEX(Distribution!$V$6:$V$20,MIN(MAX(IFERROR(MATCH(0.85,Distribution!$U$6:$U$20,-1),1),1),14)))/(INDEX(Distribution!$V$6:$V$20,MIN(MAX(IFERROR(MATCH(0.85,Distribution!$U$6:$U$20,-1),1),1),14)+1)-INDEX(Distribution!$V$6:$V$20,MIN(MAX(IFERROR(MATCH(0.85,Distribution!$U$6:$U$20,-1),1),1),14)))*(INDEX(Distribution!$B$6:$B$20,MIN(MAX(IFERROR(MATCH(0.85,Distribution!$U$6:$U$20,-1),1),1),14)+1)-INDEX(Distribution!$B$6:$B$20,MIN(MAX(IFERROR(MATCH(0.85,Distribution!$U$6:$U$20,-1),1),1),14))))</f>
        <v>88.4806222099772</v>
      </c>
      <c r="C31" s="6" t="n">
        <v>90.0816</v>
      </c>
      <c r="D31" s="7" t="s">
        <v>48</v>
      </c>
    </row>
    <row r="32" customFormat="false" ht="15" hidden="false" customHeight="false" outlineLevel="0" collapsed="false">
      <c r="A32" s="5" t="s">
        <v>49</v>
      </c>
      <c r="B32" s="16" t="n">
        <f aca="false">Spot*EXP(-2*IV30*SQRT(21/252))</f>
        <v>101.65921731406</v>
      </c>
      <c r="D32" s="7" t="s">
        <v>50</v>
      </c>
    </row>
    <row r="33" customFormat="false" ht="23.85" hidden="false" customHeight="false" outlineLevel="0" collapsed="false">
      <c r="A33" s="14" t="s">
        <v>51</v>
      </c>
      <c r="B33" s="20" t="n">
        <f aca="false">MIN(IF(AND(Thesis_Break&gt;0,Thesis_Break&lt;Spot),MAX(B31,Thesis_Break),B31),B32)</f>
        <v>101.65921731406</v>
      </c>
      <c r="C33" s="21" t="n">
        <v>101.6592</v>
      </c>
      <c r="D33" s="7" t="s">
        <v>52</v>
      </c>
    </row>
    <row r="34" customFormat="false" ht="15" hidden="false" customHeight="false" outlineLevel="0" collapsed="false">
      <c r="A34" s="5" t="s">
        <v>53</v>
      </c>
      <c r="B34" s="18" t="n">
        <f aca="false">B29/Spot-1</f>
        <v>0.0455433564694501</v>
      </c>
      <c r="C34" s="18" t="n">
        <f aca="false">C29/Spot-1</f>
        <v>0.0106504300065045</v>
      </c>
    </row>
    <row r="35" customFormat="false" ht="15" hidden="false" customHeight="false" outlineLevel="0" collapsed="false">
      <c r="A35" s="5" t="s">
        <v>54</v>
      </c>
      <c r="C35" s="12" t="n">
        <v>0.5116</v>
      </c>
    </row>
    <row r="36" customFormat="false" ht="23.85" hidden="false" customHeight="false" outlineLevel="0" collapsed="false">
      <c r="A36" s="5" t="s">
        <v>55</v>
      </c>
      <c r="C36" s="6" t="n">
        <v>151.5615</v>
      </c>
      <c r="D36" s="7" t="s">
        <v>56</v>
      </c>
    </row>
    <row r="38" customFormat="false" ht="15" hidden="false" customHeight="false" outlineLevel="0" collapsed="false">
      <c r="A38" s="3" t="s">
        <v>57</v>
      </c>
      <c r="B38" s="4"/>
      <c r="C38" s="4"/>
      <c r="D38" s="4"/>
    </row>
    <row r="39" customFormat="false" ht="15" hidden="false" customHeight="false" outlineLevel="0" collapsed="false">
      <c r="A39" s="22" t="s">
        <v>58</v>
      </c>
      <c r="D39" s="2" t="s">
        <v>59</v>
      </c>
    </row>
    <row r="40" customFormat="false" ht="15" hidden="false" customHeight="false" outlineLevel="0" collapsed="false">
      <c r="A40" s="22" t="s">
        <v>60</v>
      </c>
      <c r="D40" s="2" t="s">
        <v>61</v>
      </c>
    </row>
    <row r="41" customFormat="false" ht="15" hidden="false" customHeight="false" outlineLevel="0" collapsed="false">
      <c r="A41" s="22" t="s">
        <v>62</v>
      </c>
      <c r="D41" s="2" t="s">
        <v>63</v>
      </c>
    </row>
    <row r="42" customFormat="false" ht="15" hidden="false" customHeight="false" outlineLevel="0" collapsed="false">
      <c r="A42" s="22" t="s">
        <v>64</v>
      </c>
      <c r="D42" s="2" t="s">
        <v>65</v>
      </c>
    </row>
    <row r="43" customFormat="false" ht="15" hidden="false" customHeight="false" outlineLevel="0" collapsed="false">
      <c r="A43" s="22" t="s">
        <v>66</v>
      </c>
      <c r="D43" s="2" t="s">
        <v>67</v>
      </c>
    </row>
    <row r="44" customFormat="false" ht="15" hidden="false" customHeight="false" outlineLevel="0" collapsed="false">
      <c r="A44" s="22" t="s">
        <v>68</v>
      </c>
      <c r="D44" s="2" t="s">
        <v>69</v>
      </c>
    </row>
    <row r="45" customFormat="false" ht="15" hidden="false" customHeight="false" outlineLevel="0" collapsed="false">
      <c r="A45" s="22" t="s">
        <v>70</v>
      </c>
      <c r="D45" s="2" t="s">
        <v>71</v>
      </c>
    </row>
  </sheetData>
  <hyperlinks>
    <hyperlink ref="A39" location="'Assumptions'!A1" display="Assumptions"/>
    <hyperlink ref="A40" location="'Methods'!A1" display="Methods"/>
    <hyperlink ref="A41" location="'Scenarios'!A1" display="Scenarios"/>
    <hyperlink ref="A42" location="'Distribution'!A1" display="Distribution"/>
    <hyperlink ref="A43" location="'Reasoning'!A1" display="Reasoning"/>
    <hyperlink ref="A44" location="'Supervisor'!A1" display="Supervisor"/>
    <hyperlink ref="A45" location="'Sources'!A1" display="Sourc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3"/>
    <col collapsed="false" customWidth="true" hidden="false" outlineLevel="0" max="4" min="4" style="0" width="85"/>
    <col collapsed="false" customWidth="true" hidden="false" outlineLevel="0" max="7" min="5" style="0" width="28"/>
    <col collapsed="false" customWidth="true" hidden="false" outlineLevel="0" max="8" min="8" style="0" width="14"/>
    <col collapsed="false" customWidth="true" hidden="false" outlineLevel="0" max="10" min="9" style="0" width="12"/>
    <col collapsed="false" customWidth="true" hidden="false" outlineLevel="0" max="11" min="11" style="0" width="22"/>
  </cols>
  <sheetData>
    <row r="1" customFormat="false" ht="17.35" hidden="false" customHeight="false" outlineLevel="0" collapsed="false">
      <c r="A1" s="1" t="s">
        <v>72</v>
      </c>
    </row>
    <row r="2" customFormat="false" ht="15" hidden="false" customHeight="false" outlineLevel="0" collapsed="false">
      <c r="A2" s="2" t="s">
        <v>73</v>
      </c>
    </row>
    <row r="4" customFormat="false" ht="15" hidden="false" customHeight="false" outlineLevel="0" collapsed="false">
      <c r="A4" s="23" t="s">
        <v>74</v>
      </c>
      <c r="B4" s="23" t="s">
        <v>75</v>
      </c>
      <c r="C4" s="23" t="s">
        <v>3</v>
      </c>
      <c r="D4" s="23" t="s">
        <v>66</v>
      </c>
      <c r="E4" s="23" t="s">
        <v>76</v>
      </c>
      <c r="F4" s="23" t="s">
        <v>77</v>
      </c>
      <c r="G4" s="23" t="s">
        <v>78</v>
      </c>
      <c r="H4" s="23" t="s">
        <v>79</v>
      </c>
      <c r="I4" s="23" t="s">
        <v>80</v>
      </c>
      <c r="J4" s="23" t="s">
        <v>81</v>
      </c>
      <c r="K4" s="23" t="s">
        <v>82</v>
      </c>
    </row>
    <row r="5" customFormat="false" ht="15" hidden="false" customHeight="false" outlineLevel="0" collapsed="false">
      <c r="A5"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1"/>
    <col collapsed="false" customWidth="true" hidden="false" outlineLevel="0" max="8" min="4" style="0" width="10"/>
    <col collapsed="false" customWidth="true" hidden="false" outlineLevel="0" max="11" min="9" style="0" width="11"/>
    <col collapsed="false" customWidth="true" hidden="false" outlineLevel="0" max="12" min="12" style="0" width="9"/>
    <col collapsed="false" customWidth="true" hidden="false" outlineLevel="0" max="13" min="13" style="0" width="10"/>
    <col collapsed="false" customWidth="true" hidden="false" outlineLevel="0" max="14" min="14" style="0" width="6"/>
    <col collapsed="false" customWidth="true" hidden="false" outlineLevel="0" max="15" min="15" style="0" width="12"/>
    <col collapsed="false" customWidth="true" hidden="false" outlineLevel="0" max="16" min="16" style="0" width="9"/>
    <col collapsed="false" customWidth="true" hidden="false" outlineLevel="0" max="17" min="17" style="0" width="10"/>
    <col collapsed="false" customWidth="true" hidden="false" outlineLevel="0" max="18" min="18" style="0" width="6"/>
    <col collapsed="false" customWidth="true" hidden="false" outlineLevel="0" max="21" min="19" style="0" width="11"/>
    <col collapsed="false" customWidth="true" hidden="false" outlineLevel="0" max="22" min="22" style="0" width="9"/>
    <col collapsed="false" customWidth="true" hidden="false" outlineLevel="0" max="23" min="23" style="0" width="12"/>
  </cols>
  <sheetData>
    <row r="1" customFormat="false" ht="17.35" hidden="false" customHeight="false" outlineLevel="0" collapsed="false">
      <c r="A1" s="1" t="s">
        <v>84</v>
      </c>
    </row>
    <row r="2" customFormat="false" ht="15" hidden="false" customHeight="false" outlineLevel="0" collapsed="false">
      <c r="A2" s="2" t="s">
        <v>85</v>
      </c>
    </row>
    <row r="5" customFormat="false" ht="23.85" hidden="false" customHeight="false" outlineLevel="0" collapsed="false">
      <c r="A5" s="23" t="s">
        <v>86</v>
      </c>
      <c r="B5" s="23" t="s">
        <v>87</v>
      </c>
      <c r="C5" s="23" t="s">
        <v>88</v>
      </c>
      <c r="D5" s="23" t="s">
        <v>29</v>
      </c>
      <c r="E5" s="23" t="s">
        <v>30</v>
      </c>
      <c r="F5" s="23" t="s">
        <v>31</v>
      </c>
      <c r="G5" s="23" t="s">
        <v>32</v>
      </c>
      <c r="H5" s="23" t="s">
        <v>33</v>
      </c>
      <c r="I5" s="23" t="s">
        <v>89</v>
      </c>
      <c r="J5" s="23" t="s">
        <v>68</v>
      </c>
      <c r="K5" s="23" t="s">
        <v>90</v>
      </c>
      <c r="L5" s="23" t="s">
        <v>91</v>
      </c>
      <c r="M5" s="23" t="s">
        <v>92</v>
      </c>
      <c r="N5" s="23" t="s">
        <v>93</v>
      </c>
      <c r="O5" s="23" t="s">
        <v>94</v>
      </c>
      <c r="P5" s="23" t="s">
        <v>95</v>
      </c>
      <c r="Q5" s="23" t="s">
        <v>96</v>
      </c>
      <c r="R5" s="23" t="s">
        <v>93</v>
      </c>
      <c r="S5" s="23" t="s">
        <v>97</v>
      </c>
      <c r="T5" s="23" t="s">
        <v>98</v>
      </c>
      <c r="U5" s="23" t="s">
        <v>99</v>
      </c>
      <c r="V5" s="23" t="s">
        <v>100</v>
      </c>
      <c r="W5" s="23" t="s">
        <v>101</v>
      </c>
    </row>
    <row r="6" customFormat="false" ht="15" hidden="false" customHeight="false" outlineLevel="0" collapsed="false">
      <c r="A6" s="6" t="n">
        <v>34.59</v>
      </c>
      <c r="B6" s="24" t="n">
        <f aca="false">LN(A6)</f>
        <v>3.54356462294908</v>
      </c>
      <c r="C6" s="25" t="n">
        <v>0.9975</v>
      </c>
      <c r="D6" s="25" t="n">
        <v>0.9985</v>
      </c>
      <c r="E6" s="25" t="n">
        <v>1</v>
      </c>
      <c r="F6" s="25" t="n">
        <v>0.9964</v>
      </c>
      <c r="G6" s="25" t="n">
        <v>0.9979</v>
      </c>
      <c r="H6" s="25" t="n">
        <v>0.9992</v>
      </c>
      <c r="I6" s="24" t="n">
        <f aca="false">AVERAGE(D6:H6)</f>
        <v>0.9984</v>
      </c>
      <c r="J6" s="25" t="n">
        <v>0.9986</v>
      </c>
      <c r="K6" s="24" t="n">
        <f aca="false">IF(AND(Sup_Used=1,ISNUMBER(J6)),J6,I6)</f>
        <v>0.9984</v>
      </c>
      <c r="L6" s="24" t="n">
        <f aca="false">LN(MIN(MAX(K6,0.0001),0.9999)/(1-MIN(MAX(K6,0.0001),0.9999)))</f>
        <v>6.4361503683694</v>
      </c>
      <c r="M6" s="16" t="n">
        <f aca="false">A6*EXP(-Platt_Shift)</f>
        <v>34.59</v>
      </c>
      <c r="N6" s="26" t="n">
        <f aca="false">MIN(MAX(IFERROR(MATCH(M6,Distribution!$A$6:$A$20,1),1),1),14)</f>
        <v>1</v>
      </c>
      <c r="O6" s="24" t="n">
        <f aca="false">1/(1+EXP(-(INDEX(Distribution!$L$6:$L$20,N6)+(LN(M6)-INDEX(Distribution!$B$6:$B$20,N6))/(INDEX(Distribution!$B$6:$B$20,N6+1)-INDEX(Distribution!$B$6:$B$20,N6))*(INDEX(Distribution!$L$6:$L$20,N6+1)-INDEX(Distribution!$L$6:$L$20,N6)))))</f>
        <v>0.9984</v>
      </c>
      <c r="P6" s="24" t="n">
        <f aca="false">LN(MIN(MAX(C6,0.0001),0.9999)/(1-MIN(MAX(C6,0.0001),0.9999)))</f>
        <v>5.98896141688989</v>
      </c>
      <c r="Q6" s="16" t="n">
        <f aca="false">IF(Analyst_Median&gt;0,A6*Market_Median/Analyst_Median,A6)</f>
        <v>24.6926223473865</v>
      </c>
      <c r="R6" s="26" t="n">
        <f aca="false">MIN(MAX(IFERROR(MATCH(Q6,Distribution!$A$6:$A$20,1),1),1),14)</f>
        <v>1</v>
      </c>
      <c r="S6" s="24" t="n">
        <f aca="false">1/(1+EXP(-(INDEX(Distribution!$P$6:$P$20,R6)+(LN(Q6)-INDEX(Distribution!$B$6:$B$20,R6))/(INDEX(Distribution!$B$6:$B$20,R6+1)-INDEX(Distribution!$B$6:$B$20,R6))*(INDEX(Distribution!$P$6:$P$20,R6+1)-INDEX(Distribution!$P$6:$P$20,R6)))))</f>
        <v>0.99960401518857</v>
      </c>
      <c r="T6" s="24" t="n">
        <f aca="false">W_Mkt*C6+W_Agents*O6</f>
        <v>0.997797</v>
      </c>
      <c r="U6" s="27" t="n">
        <f aca="false">(1-W_Analyst)*T6+W_Analyst*S6</f>
        <v>0.997797</v>
      </c>
      <c r="V6" s="24" t="n">
        <f aca="false">LN(MIN(MAX(U6,0.0001),0.9999)/(1-MIN(MAX(U6,0.0001),0.9999)))</f>
        <v>6.11572978098768</v>
      </c>
      <c r="W6" s="25" t="n">
        <v>0.9982</v>
      </c>
    </row>
    <row r="7" customFormat="false" ht="15" hidden="false" customHeight="false" outlineLevel="0" collapsed="false">
      <c r="A7" s="6" t="n">
        <v>55.35</v>
      </c>
      <c r="B7" s="24" t="n">
        <f aca="false">LN(A7)</f>
        <v>4.01367665915465</v>
      </c>
      <c r="C7" s="25" t="n">
        <v>0.9682</v>
      </c>
      <c r="D7" s="25" t="n">
        <v>0.9928</v>
      </c>
      <c r="E7" s="25" t="n">
        <v>0.9974</v>
      </c>
      <c r="F7" s="25" t="n">
        <v>0.982</v>
      </c>
      <c r="G7" s="25" t="n">
        <v>0.9881</v>
      </c>
      <c r="H7" s="25" t="n">
        <v>0.997</v>
      </c>
      <c r="I7" s="24" t="n">
        <f aca="false">AVERAGE(D7:H7)</f>
        <v>0.99146</v>
      </c>
      <c r="J7" s="25" t="n">
        <v>0.9917</v>
      </c>
      <c r="K7" s="24" t="n">
        <f aca="false">IF(AND(Sup_Used=1,ISNUMBER(J7)),J7,I7)</f>
        <v>0.99146</v>
      </c>
      <c r="L7" s="24" t="n">
        <f aca="false">LN(MIN(MAX(K7,0.0001),0.9999)/(1-MIN(MAX(K7,0.0001),0.9999)))</f>
        <v>4.7544175964308</v>
      </c>
      <c r="M7" s="16" t="n">
        <f aca="false">A7*EXP(-Platt_Shift)</f>
        <v>55.35</v>
      </c>
      <c r="N7" s="26" t="n">
        <f aca="false">MIN(MAX(IFERROR(MATCH(M7,Distribution!$A$6:$A$20,1),1),1),14)</f>
        <v>2</v>
      </c>
      <c r="O7" s="24" t="n">
        <f aca="false">1/(1+EXP(-(INDEX(Distribution!$L$6:$L$20,N7)+(LN(M7)-INDEX(Distribution!$B$6:$B$20,N7))/(INDEX(Distribution!$B$6:$B$20,N7+1)-INDEX(Distribution!$B$6:$B$20,N7))*(INDEX(Distribution!$L$6:$L$20,N7+1)-INDEX(Distribution!$L$6:$L$20,N7)))))</f>
        <v>0.99146</v>
      </c>
      <c r="P7" s="24" t="n">
        <f aca="false">LN(MIN(MAX(C7,0.0001),0.9999)/(1-MIN(MAX(C7,0.0001),0.9999)))</f>
        <v>3.41597238771946</v>
      </c>
      <c r="Q7" s="16" t="n">
        <f aca="false">IF(Analyst_Median&gt;0,A7*Market_Median/Analyst_Median,A7)</f>
        <v>39.5124789513687</v>
      </c>
      <c r="R7" s="26" t="n">
        <f aca="false">MIN(MAX(IFERROR(MATCH(Q7,Distribution!$A$6:$A$20,1),1),1),14)</f>
        <v>1</v>
      </c>
      <c r="S7" s="24" t="n">
        <f aca="false">1/(1+EXP(-(INDEX(Distribution!$P$6:$P$20,R7)+(LN(Q7)-INDEX(Distribution!$B$6:$B$20,R7))/(INDEX(Distribution!$B$6:$B$20,R7+1)-INDEX(Distribution!$B$6:$B$20,R7))*(INDEX(Distribution!$P$6:$P$20,R7+1)-INDEX(Distribution!$P$6:$P$20,R7)))))</f>
        <v>0.994835399840279</v>
      </c>
      <c r="T7" s="24" t="n">
        <f aca="false">W_Mkt*C7+W_Agents*O7</f>
        <v>0.9758758</v>
      </c>
      <c r="U7" s="27" t="n">
        <f aca="false">(1-W_Analyst)*T7+W_Analyst*S7</f>
        <v>0.9758758</v>
      </c>
      <c r="V7" s="24" t="n">
        <f aca="false">LN(MIN(MAX(U7,0.0001),0.9999)/(1-MIN(MAX(U7,0.0001),0.9999)))</f>
        <v>3.70011983816378</v>
      </c>
      <c r="W7" s="25" t="n">
        <v>0.9776</v>
      </c>
    </row>
    <row r="8" customFormat="false" ht="15" hidden="false" customHeight="false" outlineLevel="0" collapsed="false">
      <c r="A8" s="6" t="n">
        <v>69.19</v>
      </c>
      <c r="B8" s="24" t="n">
        <f aca="false">LN(A8)</f>
        <v>4.23685634351072</v>
      </c>
      <c r="C8" s="25" t="n">
        <v>0.9197</v>
      </c>
      <c r="D8" s="25" t="n">
        <v>0.9812</v>
      </c>
      <c r="E8" s="25" t="n">
        <v>0.9854</v>
      </c>
      <c r="F8" s="25" t="n">
        <v>0.9606</v>
      </c>
      <c r="G8" s="25" t="n">
        <v>0.9648</v>
      </c>
      <c r="H8" s="25" t="n">
        <v>0.9885</v>
      </c>
      <c r="I8" s="24" t="n">
        <f aca="false">AVERAGE(D8:H8)</f>
        <v>0.9761</v>
      </c>
      <c r="J8" s="25" t="n">
        <v>0.976</v>
      </c>
      <c r="K8" s="24" t="n">
        <f aca="false">IF(AND(Sup_Used=1,ISNUMBER(J8)),J8,I8)</f>
        <v>0.9761</v>
      </c>
      <c r="L8" s="24" t="n">
        <f aca="false">LN(MIN(MAX(K8,0.0001),0.9999)/(1-MIN(MAX(K8,0.0001),0.9999)))</f>
        <v>3.70968658124345</v>
      </c>
      <c r="M8" s="16" t="n">
        <f aca="false">A8*EXP(-Platt_Shift)</f>
        <v>69.19</v>
      </c>
      <c r="N8" s="26" t="n">
        <f aca="false">MIN(MAX(IFERROR(MATCH(M8,Distribution!$A$6:$A$20,1),1),1),14)</f>
        <v>3</v>
      </c>
      <c r="O8" s="24" t="n">
        <f aca="false">1/(1+EXP(-(INDEX(Distribution!$L$6:$L$20,N8)+(LN(M8)-INDEX(Distribution!$B$6:$B$20,N8))/(INDEX(Distribution!$B$6:$B$20,N8+1)-INDEX(Distribution!$B$6:$B$20,N8))*(INDEX(Distribution!$L$6:$L$20,N8+1)-INDEX(Distribution!$L$6:$L$20,N8)))))</f>
        <v>0.9761</v>
      </c>
      <c r="P8" s="24" t="n">
        <f aca="false">LN(MIN(MAX(C8,0.0001),0.9999)/(1-MIN(MAX(C8,0.0001),0.9999)))</f>
        <v>2.43827790895594</v>
      </c>
      <c r="Q8" s="16" t="n">
        <f aca="false">IF(Analyst_Median&gt;0,A8*Market_Median/Analyst_Median,A8)</f>
        <v>49.3923833540235</v>
      </c>
      <c r="R8" s="26" t="n">
        <f aca="false">MIN(MAX(IFERROR(MATCH(Q8,Distribution!$A$6:$A$20,1),1),1),14)</f>
        <v>1</v>
      </c>
      <c r="S8" s="24" t="n">
        <f aca="false">1/(1+EXP(-(INDEX(Distribution!$P$6:$P$20,R8)+(LN(Q8)-INDEX(Distribution!$B$6:$B$20,R8))/(INDEX(Distribution!$B$6:$B$20,R8+1)-INDEX(Distribution!$B$6:$B$20,R8))*(INDEX(Distribution!$P$6:$P$20,R8+1)-INDEX(Distribution!$P$6:$P$20,R8)))))</f>
        <v>0.982694194148034</v>
      </c>
      <c r="T8" s="24" t="n">
        <f aca="false">W_Mkt*C8+W_Agents*O8</f>
        <v>0.938312</v>
      </c>
      <c r="U8" s="27" t="n">
        <f aca="false">(1-W_Analyst)*T8+W_Analyst*S8</f>
        <v>0.938312</v>
      </c>
      <c r="V8" s="24" t="n">
        <f aca="false">LN(MIN(MAX(U8,0.0001),0.9999)/(1-MIN(MAX(U8,0.0001),0.9999)))</f>
        <v>2.72199309377021</v>
      </c>
      <c r="W8" s="25" t="n">
        <v>0.9425</v>
      </c>
    </row>
    <row r="9" customFormat="false" ht="15" hidden="false" customHeight="false" outlineLevel="0" collapsed="false">
      <c r="A9" s="6" t="n">
        <v>83.02</v>
      </c>
      <c r="B9" s="24" t="n">
        <f aca="false">LN(A9)</f>
        <v>4.41908154262489</v>
      </c>
      <c r="C9" s="25" t="n">
        <v>0.8496</v>
      </c>
      <c r="D9" s="25" t="n">
        <v>0.9515</v>
      </c>
      <c r="E9" s="25" t="n">
        <v>0.9476</v>
      </c>
      <c r="F9" s="25" t="n">
        <v>0.9188</v>
      </c>
      <c r="G9" s="25" t="n">
        <v>0.912</v>
      </c>
      <c r="H9" s="25" t="n">
        <v>0.9571</v>
      </c>
      <c r="I9" s="24" t="n">
        <f aca="false">AVERAGE(D9:H9)</f>
        <v>0.9374</v>
      </c>
      <c r="J9" s="25" t="n">
        <v>0.9385</v>
      </c>
      <c r="K9" s="24" t="n">
        <f aca="false">IF(AND(Sup_Used=1,ISNUMBER(J9)),J9,I9)</f>
        <v>0.9374</v>
      </c>
      <c r="L9" s="24" t="n">
        <f aca="false">LN(MIN(MAX(K9,0.0001),0.9999)/(1-MIN(MAX(K9,0.0001),0.9999)))</f>
        <v>2.70634480738255</v>
      </c>
      <c r="M9" s="16" t="n">
        <f aca="false">A9*EXP(-Platt_Shift)</f>
        <v>83.02</v>
      </c>
      <c r="N9" s="26" t="n">
        <f aca="false">MIN(MAX(IFERROR(MATCH(M9,Distribution!$A$6:$A$20,1),1),1),14)</f>
        <v>4</v>
      </c>
      <c r="O9" s="24" t="n">
        <f aca="false">1/(1+EXP(-(INDEX(Distribution!$L$6:$L$20,N9)+(LN(M9)-INDEX(Distribution!$B$6:$B$20,N9))/(INDEX(Distribution!$B$6:$B$20,N9+1)-INDEX(Distribution!$B$6:$B$20,N9))*(INDEX(Distribution!$L$6:$L$20,N9+1)-INDEX(Distribution!$L$6:$L$20,N9)))))</f>
        <v>0.9374</v>
      </c>
      <c r="P9" s="24" t="n">
        <f aca="false">LN(MIN(MAX(C9,0.0001),0.9999)/(1-MIN(MAX(C9,0.0001),0.9999)))</f>
        <v>1.73146723897194</v>
      </c>
      <c r="Q9" s="16" t="n">
        <f aca="false">IF(Analyst_Median&gt;0,A9*Market_Median/Analyst_Median,A9)</f>
        <v>59.2651490974278</v>
      </c>
      <c r="R9" s="26" t="n">
        <f aca="false">MIN(MAX(IFERROR(MATCH(Q9,Distribution!$A$6:$A$20,1),1),1),14)</f>
        <v>2</v>
      </c>
      <c r="S9" s="24" t="n">
        <f aca="false">1/(1+EXP(-(INDEX(Distribution!$P$6:$P$20,R9)+(LN(Q9)-INDEX(Distribution!$B$6:$B$20,R9))/(INDEX(Distribution!$B$6:$B$20,R9+1)-INDEX(Distribution!$B$6:$B$20,R9))*(INDEX(Distribution!$P$6:$P$20,R9+1)-INDEX(Distribution!$P$6:$P$20,R9)))))</f>
        <v>0.957571131547729</v>
      </c>
      <c r="T9" s="24" t="n">
        <f aca="false">W_Mkt*C9+W_Agents*O9</f>
        <v>0.878574</v>
      </c>
      <c r="U9" s="27" t="n">
        <f aca="false">(1-W_Analyst)*T9+W_Analyst*S9</f>
        <v>0.878574</v>
      </c>
      <c r="V9" s="24" t="n">
        <f aca="false">LN(MIN(MAX(U9,0.0001),0.9999)/(1-MIN(MAX(U9,0.0001),0.9999)))</f>
        <v>1.978995114836</v>
      </c>
      <c r="W9" s="25" t="n">
        <v>0.8865</v>
      </c>
    </row>
    <row r="10" customFormat="false" ht="15" hidden="false" customHeight="false" outlineLevel="0" collapsed="false">
      <c r="A10" s="6" t="n">
        <v>96.86</v>
      </c>
      <c r="B10" s="24" t="n">
        <f aca="false">LN(A10)</f>
        <v>4.57326663697508</v>
      </c>
      <c r="C10" s="25" t="n">
        <v>0.7652</v>
      </c>
      <c r="D10" s="25" t="n">
        <v>0.8958</v>
      </c>
      <c r="E10" s="25" t="n">
        <v>0.87</v>
      </c>
      <c r="F10" s="25" t="n">
        <v>0.8486</v>
      </c>
      <c r="G10" s="25" t="n">
        <v>0.8408</v>
      </c>
      <c r="H10" s="25" t="n">
        <v>0.9009</v>
      </c>
      <c r="I10" s="24" t="n">
        <f aca="false">AVERAGE(D10:H10)</f>
        <v>0.87122</v>
      </c>
      <c r="J10" s="25" t="n">
        <v>0.879</v>
      </c>
      <c r="K10" s="24" t="n">
        <f aca="false">IF(AND(Sup_Used=1,ISNUMBER(J10)),J10,I10)</f>
        <v>0.87122</v>
      </c>
      <c r="L10" s="24" t="n">
        <f aca="false">LN(MIN(MAX(K10,0.0001),0.9999)/(1-MIN(MAX(K10,0.0001),0.9999)))</f>
        <v>1.91178900608635</v>
      </c>
      <c r="M10" s="16" t="n">
        <f aca="false">A10*EXP(-Platt_Shift)</f>
        <v>96.86</v>
      </c>
      <c r="N10" s="26" t="n">
        <f aca="false">MIN(MAX(IFERROR(MATCH(M10,Distribution!$A$6:$A$20,1),1),1),14)</f>
        <v>5</v>
      </c>
      <c r="O10" s="24" t="n">
        <f aca="false">1/(1+EXP(-(INDEX(Distribution!$L$6:$L$20,N10)+(LN(M10)-INDEX(Distribution!$B$6:$B$20,N10))/(INDEX(Distribution!$B$6:$B$20,N10+1)-INDEX(Distribution!$B$6:$B$20,N10))*(INDEX(Distribution!$L$6:$L$20,N10+1)-INDEX(Distribution!$L$6:$L$20,N10)))))</f>
        <v>0.87122</v>
      </c>
      <c r="P10" s="24" t="n">
        <f aca="false">LN(MIN(MAX(C10,0.0001),0.9999)/(1-MIN(MAX(C10,0.0001),0.9999)))</f>
        <v>1.18140314961216</v>
      </c>
      <c r="Q10" s="16" t="n">
        <f aca="false">IF(Analyst_Median&gt;0,A10*Market_Median/Analyst_Median,A10)</f>
        <v>69.1450535000826</v>
      </c>
      <c r="R10" s="26" t="n">
        <f aca="false">MIN(MAX(IFERROR(MATCH(Q10,Distribution!$A$6:$A$20,1),1),1),14)</f>
        <v>2</v>
      </c>
      <c r="S10" s="24" t="n">
        <f aca="false">1/(1+EXP(-(INDEX(Distribution!$P$6:$P$20,R10)+(LN(Q10)-INDEX(Distribution!$B$6:$B$20,R10))/(INDEX(Distribution!$B$6:$B$20,R10+1)-INDEX(Distribution!$B$6:$B$20,R10))*(INDEX(Distribution!$P$6:$P$20,R10+1)-INDEX(Distribution!$P$6:$P$20,R10)))))</f>
        <v>0.919909983427569</v>
      </c>
      <c r="T10" s="24" t="n">
        <f aca="false">W_Mkt*C10+W_Agents*O10</f>
        <v>0.8001866</v>
      </c>
      <c r="U10" s="27" t="n">
        <f aca="false">(1-W_Analyst)*T10+W_Analyst*S10</f>
        <v>0.8001866</v>
      </c>
      <c r="V10" s="24" t="n">
        <f aca="false">LN(MIN(MAX(U10,0.0001),0.9999)/(1-MIN(MAX(U10,0.0001),0.9999)))</f>
        <v>1.38746101943675</v>
      </c>
      <c r="W10" s="25" t="n">
        <v>0.8099</v>
      </c>
    </row>
    <row r="11" customFormat="false" ht="15" hidden="false" customHeight="false" outlineLevel="0" collapsed="false">
      <c r="A11" s="6" t="n">
        <v>110.7</v>
      </c>
      <c r="B11" s="24" t="n">
        <f aca="false">LN(A11)</f>
        <v>4.70682383971459</v>
      </c>
      <c r="C11" s="25" t="n">
        <v>0.6747</v>
      </c>
      <c r="D11" s="25" t="n">
        <v>0.82</v>
      </c>
      <c r="E11" s="25" t="n">
        <v>0.7821</v>
      </c>
      <c r="F11" s="25" t="n">
        <v>0.7615</v>
      </c>
      <c r="G11" s="25" t="n">
        <v>0.7588</v>
      </c>
      <c r="H11" s="25" t="n">
        <v>0.8241</v>
      </c>
      <c r="I11" s="24" t="n">
        <f aca="false">AVERAGE(D11:H11)</f>
        <v>0.7893</v>
      </c>
      <c r="J11" s="25" t="n">
        <v>0.8047</v>
      </c>
      <c r="K11" s="24" t="n">
        <f aca="false">IF(AND(Sup_Used=1,ISNUMBER(J11)),J11,I11)</f>
        <v>0.7893</v>
      </c>
      <c r="L11" s="24" t="n">
        <f aca="false">LN(MIN(MAX(K11,0.0001),0.9999)/(1-MIN(MAX(K11,0.0001),0.9999)))</f>
        <v>1.32071115590421</v>
      </c>
      <c r="M11" s="16" t="n">
        <f aca="false">A11*EXP(-Platt_Shift)</f>
        <v>110.7</v>
      </c>
      <c r="N11" s="26" t="n">
        <f aca="false">MIN(MAX(IFERROR(MATCH(M11,Distribution!$A$6:$A$20,1),1),1),14)</f>
        <v>6</v>
      </c>
      <c r="O11" s="24" t="n">
        <f aca="false">1/(1+EXP(-(INDEX(Distribution!$L$6:$L$20,N11)+(LN(M11)-INDEX(Distribution!$B$6:$B$20,N11))/(INDEX(Distribution!$B$6:$B$20,N11+1)-INDEX(Distribution!$B$6:$B$20,N11))*(INDEX(Distribution!$L$6:$L$20,N11+1)-INDEX(Distribution!$L$6:$L$20,N11)))))</f>
        <v>0.7893</v>
      </c>
      <c r="P11" s="24" t="n">
        <f aca="false">LN(MIN(MAX(C11,0.0001),0.9999)/(1-MIN(MAX(C11,0.0001),0.9999)))</f>
        <v>0.729520314154074</v>
      </c>
      <c r="Q11" s="16" t="n">
        <f aca="false">IF(Analyst_Median&gt;0,A11*Market_Median/Analyst_Median,A11)</f>
        <v>79.0249579027373</v>
      </c>
      <c r="R11" s="26" t="n">
        <f aca="false">MIN(MAX(IFERROR(MATCH(Q11,Distribution!$A$6:$A$20,1),1),1),14)</f>
        <v>3</v>
      </c>
      <c r="S11" s="24" t="n">
        <f aca="false">1/(1+EXP(-(INDEX(Distribution!$P$6:$P$20,R11)+(LN(Q11)-INDEX(Distribution!$B$6:$B$20,R11))/(INDEX(Distribution!$B$6:$B$20,R11+1)-INDEX(Distribution!$B$6:$B$20,R11))*(INDEX(Distribution!$P$6:$P$20,R11+1)-INDEX(Distribution!$P$6:$P$20,R11)))))</f>
        <v>0.872445892296521</v>
      </c>
      <c r="T11" s="24" t="n">
        <f aca="false">W_Mkt*C11+W_Agents*O11</f>
        <v>0.712518</v>
      </c>
      <c r="U11" s="27" t="n">
        <f aca="false">(1-W_Analyst)*T11+W_Analyst*S11</f>
        <v>0.712518</v>
      </c>
      <c r="V11" s="24" t="n">
        <f aca="false">LN(MIN(MAX(U11,0.0001),0.9999)/(1-MIN(MAX(U11,0.0001),0.9999)))</f>
        <v>0.907644925399845</v>
      </c>
      <c r="W11" s="25" t="n">
        <v>0.7166</v>
      </c>
    </row>
    <row r="12" customFormat="false" ht="15" hidden="false" customHeight="false" outlineLevel="0" collapsed="false">
      <c r="A12" s="6" t="n">
        <v>124.53</v>
      </c>
      <c r="B12" s="24" t="n">
        <f aca="false">LN(A12)</f>
        <v>4.82454665073306</v>
      </c>
      <c r="C12" s="25" t="n">
        <v>0.5851</v>
      </c>
      <c r="D12" s="25" t="n">
        <v>0.7314</v>
      </c>
      <c r="E12" s="25" t="n">
        <v>0.7076</v>
      </c>
      <c r="F12" s="25" t="n">
        <v>0.669</v>
      </c>
      <c r="G12" s="25" t="n">
        <v>0.6707</v>
      </c>
      <c r="H12" s="25" t="n">
        <v>0.7351</v>
      </c>
      <c r="I12" s="24" t="n">
        <f aca="false">AVERAGE(D12:H12)</f>
        <v>0.70276</v>
      </c>
      <c r="J12" s="25" t="n">
        <v>0.7215</v>
      </c>
      <c r="K12" s="24" t="n">
        <f aca="false">IF(AND(Sup_Used=1,ISNUMBER(J12)),J12,I12)</f>
        <v>0.70276</v>
      </c>
      <c r="L12" s="24" t="n">
        <f aca="false">LN(MIN(MAX(K12,0.0001),0.9999)/(1-MIN(MAX(K12,0.0001),0.9999)))</f>
        <v>0.860475546207585</v>
      </c>
      <c r="M12" s="16" t="n">
        <f aca="false">A12*EXP(-Platt_Shift)</f>
        <v>124.53</v>
      </c>
      <c r="N12" s="26" t="n">
        <f aca="false">MIN(MAX(IFERROR(MATCH(M12,Distribution!$A$6:$A$20,1),1),1),14)</f>
        <v>7</v>
      </c>
      <c r="O12" s="24" t="n">
        <f aca="false">1/(1+EXP(-(INDEX(Distribution!$L$6:$L$20,N12)+(LN(M12)-INDEX(Distribution!$B$6:$B$20,N12))/(INDEX(Distribution!$B$6:$B$20,N12+1)-INDEX(Distribution!$B$6:$B$20,N12))*(INDEX(Distribution!$L$6:$L$20,N12+1)-INDEX(Distribution!$L$6:$L$20,N12)))))</f>
        <v>0.70276</v>
      </c>
      <c r="P12" s="24" t="n">
        <f aca="false">LN(MIN(MAX(C12,0.0001),0.9999)/(1-MIN(MAX(C12,0.0001),0.9999)))</f>
        <v>0.343745245455368</v>
      </c>
      <c r="Q12" s="16" t="n">
        <f aca="false">IF(Analyst_Median&gt;0,A12*Market_Median/Analyst_Median,A12)</f>
        <v>88.8977236461417</v>
      </c>
      <c r="R12" s="26" t="n">
        <f aca="false">MIN(MAX(IFERROR(MATCH(Q12,Distribution!$A$6:$A$20,1),1),1),14)</f>
        <v>4</v>
      </c>
      <c r="S12" s="24" t="n">
        <f aca="false">1/(1+EXP(-(INDEX(Distribution!$P$6:$P$20,R12)+(LN(Q12)-INDEX(Distribution!$B$6:$B$20,R12))/(INDEX(Distribution!$B$6:$B$20,R12+1)-INDEX(Distribution!$B$6:$B$20,R12))*(INDEX(Distribution!$P$6:$P$20,R12+1)-INDEX(Distribution!$P$6:$P$20,R12)))))</f>
        <v>0.815691995996956</v>
      </c>
      <c r="T12" s="24" t="n">
        <f aca="false">W_Mkt*C12+W_Agents*O12</f>
        <v>0.6239278</v>
      </c>
      <c r="U12" s="27" t="n">
        <f aca="false">(1-W_Analyst)*T12+W_Analyst*S12</f>
        <v>0.6239278</v>
      </c>
      <c r="V12" s="24" t="n">
        <f aca="false">LN(MIN(MAX(U12,0.0001),0.9999)/(1-MIN(MAX(U12,0.0001),0.9999)))</f>
        <v>0.506253510314103</v>
      </c>
      <c r="W12" s="25" t="n">
        <v>0.6149</v>
      </c>
    </row>
    <row r="13" customFormat="false" ht="15" hidden="false" customHeight="false" outlineLevel="0" collapsed="false">
      <c r="A13" s="6" t="n">
        <v>138.37</v>
      </c>
      <c r="B13" s="24" t="n">
        <f aca="false">LN(A13)</f>
        <v>4.92993125668129</v>
      </c>
      <c r="C13" s="25" t="n">
        <v>0.5007</v>
      </c>
      <c r="D13" s="25" t="n">
        <v>0.6366</v>
      </c>
      <c r="E13" s="25" t="n">
        <v>0.6319</v>
      </c>
      <c r="F13" s="25" t="n">
        <v>0.5811</v>
      </c>
      <c r="G13" s="25" t="n">
        <v>0.5812</v>
      </c>
      <c r="H13" s="25" t="n">
        <v>0.6383</v>
      </c>
      <c r="I13" s="24" t="n">
        <f aca="false">AVERAGE(D13:H13)</f>
        <v>0.61382</v>
      </c>
      <c r="J13" s="25" t="n">
        <v>0.634</v>
      </c>
      <c r="K13" s="24" t="n">
        <f aca="false">IF(AND(Sup_Used=1,ISNUMBER(J13)),J13,I13)</f>
        <v>0.61382</v>
      </c>
      <c r="L13" s="24" t="n">
        <f aca="false">LN(MIN(MAX(K13,0.0001),0.9999)/(1-MIN(MAX(K13,0.0001),0.9999)))</f>
        <v>0.463398143543951</v>
      </c>
      <c r="M13" s="16" t="n">
        <f aca="false">A13*EXP(-Platt_Shift)</f>
        <v>138.37</v>
      </c>
      <c r="N13" s="26" t="n">
        <f aca="false">MIN(MAX(IFERROR(MATCH(M13,Distribution!$A$6:$A$20,1),1),1),14)</f>
        <v>8</v>
      </c>
      <c r="O13" s="24" t="n">
        <f aca="false">1/(1+EXP(-(INDEX(Distribution!$L$6:$L$20,N13)+(LN(M13)-INDEX(Distribution!$B$6:$B$20,N13))/(INDEX(Distribution!$B$6:$B$20,N13+1)-INDEX(Distribution!$B$6:$B$20,N13))*(INDEX(Distribution!$L$6:$L$20,N13+1)-INDEX(Distribution!$L$6:$L$20,N13)))))</f>
        <v>0.61382</v>
      </c>
      <c r="P13" s="24" t="n">
        <f aca="false">LN(MIN(MAX(C13,0.0001),0.9999)/(1-MIN(MAX(C13,0.0001),0.9999)))</f>
        <v>0.00280000182933571</v>
      </c>
      <c r="Q13" s="16" t="n">
        <f aca="false">IF(Analyst_Median&gt;0,A13*Market_Median/Analyst_Median,A13)</f>
        <v>98.7776280487964</v>
      </c>
      <c r="R13" s="26" t="n">
        <f aca="false">MIN(MAX(IFERROR(MATCH(Q13,Distribution!$A$6:$A$20,1),1),1),14)</f>
        <v>5</v>
      </c>
      <c r="S13" s="24" t="n">
        <f aca="false">1/(1+EXP(-(INDEX(Distribution!$P$6:$P$20,R13)+(LN(Q13)-INDEX(Distribution!$B$6:$B$20,R13))/(INDEX(Distribution!$B$6:$B$20,R13+1)-INDEX(Distribution!$B$6:$B$20,R13))*(INDEX(Distribution!$P$6:$P$20,R13+1)-INDEX(Distribution!$P$6:$P$20,R13)))))</f>
        <v>0.753073567495171</v>
      </c>
      <c r="T13" s="24" t="n">
        <f aca="false">W_Mkt*C13+W_Agents*O13</f>
        <v>0.5380296</v>
      </c>
      <c r="U13" s="27" t="n">
        <f aca="false">(1-W_Analyst)*T13+W_Analyst*S13</f>
        <v>0.5380296</v>
      </c>
      <c r="V13" s="24" t="n">
        <f aca="false">LN(MIN(MAX(U13,0.0001),0.9999)/(1-MIN(MAX(U13,0.0001),0.9999)))</f>
        <v>0.152412757470532</v>
      </c>
      <c r="W13" s="25" t="n">
        <v>0.5116</v>
      </c>
    </row>
    <row r="14" customFormat="false" ht="15" hidden="false" customHeight="false" outlineLevel="0" collapsed="false">
      <c r="A14" s="6" t="n">
        <v>152.21</v>
      </c>
      <c r="B14" s="24" t="n">
        <f aca="false">LN(A14)</f>
        <v>5.02526114629158</v>
      </c>
      <c r="C14" s="25" t="n">
        <v>0.4243</v>
      </c>
      <c r="D14" s="25" t="n">
        <v>0.5426</v>
      </c>
      <c r="E14" s="25" t="n">
        <v>0.5404</v>
      </c>
      <c r="F14" s="25" t="n">
        <v>0.4935</v>
      </c>
      <c r="G14" s="25" t="n">
        <v>0.4947</v>
      </c>
      <c r="H14" s="25" t="n">
        <v>0.5405</v>
      </c>
      <c r="I14" s="24" t="n">
        <f aca="false">AVERAGE(D14:H14)</f>
        <v>0.52234</v>
      </c>
      <c r="J14" s="25" t="n">
        <v>0.5436</v>
      </c>
      <c r="K14" s="24" t="n">
        <f aca="false">IF(AND(Sup_Used=1,ISNUMBER(J14)),J14,I14)</f>
        <v>0.52234</v>
      </c>
      <c r="L14" s="24" t="n">
        <f aca="false">LN(MIN(MAX(K14,0.0001),0.9999)/(1-MIN(MAX(K14,0.0001),0.9999)))</f>
        <v>0.0894195345197835</v>
      </c>
      <c r="M14" s="16" t="n">
        <f aca="false">A14*EXP(-Platt_Shift)</f>
        <v>152.21</v>
      </c>
      <c r="N14" s="26" t="n">
        <f aca="false">MIN(MAX(IFERROR(MATCH(M14,Distribution!$A$6:$A$20,1),1),1),14)</f>
        <v>9</v>
      </c>
      <c r="O14" s="24" t="n">
        <f aca="false">1/(1+EXP(-(INDEX(Distribution!$L$6:$L$20,N14)+(LN(M14)-INDEX(Distribution!$B$6:$B$20,N14))/(INDEX(Distribution!$B$6:$B$20,N14+1)-INDEX(Distribution!$B$6:$B$20,N14))*(INDEX(Distribution!$L$6:$L$20,N14+1)-INDEX(Distribution!$L$6:$L$20,N14)))))</f>
        <v>0.52234</v>
      </c>
      <c r="P14" s="24" t="n">
        <f aca="false">LN(MIN(MAX(C14,0.0001),0.9999)/(1-MIN(MAX(C14,0.0001),0.9999)))</f>
        <v>-0.305145939473485</v>
      </c>
      <c r="Q14" s="16" t="n">
        <f aca="false">IF(Analyst_Median&gt;0,A14*Market_Median/Analyst_Median,A14)</f>
        <v>108.657532451451</v>
      </c>
      <c r="R14" s="26" t="n">
        <f aca="false">MIN(MAX(IFERROR(MATCH(Q14,Distribution!$A$6:$A$20,1),1),1),14)</f>
        <v>5</v>
      </c>
      <c r="S14" s="24" t="n">
        <f aca="false">1/(1+EXP(-(INDEX(Distribution!$P$6:$P$20,R14)+(LN(Q14)-INDEX(Distribution!$B$6:$B$20,R14))/(INDEX(Distribution!$B$6:$B$20,R14+1)-INDEX(Distribution!$B$6:$B$20,R14))*(INDEX(Distribution!$P$6:$P$20,R14+1)-INDEX(Distribution!$P$6:$P$20,R14)))))</f>
        <v>0.688374199536847</v>
      </c>
      <c r="T14" s="24" t="n">
        <f aca="false">W_Mkt*C14+W_Agents*O14</f>
        <v>0.4566532</v>
      </c>
      <c r="U14" s="27" t="n">
        <f aca="false">(1-W_Analyst)*T14+W_Analyst*S14</f>
        <v>0.4566532</v>
      </c>
      <c r="V14" s="24" t="n">
        <f aca="false">LN(MIN(MAX(U14,0.0001),0.9999)/(1-MIN(MAX(U14,0.0001),0.9999)))</f>
        <v>-0.173823549433467</v>
      </c>
      <c r="W14" s="25" t="n">
        <v>0.4085</v>
      </c>
    </row>
    <row r="15" customFormat="false" ht="15" hidden="false" customHeight="false" outlineLevel="0" collapsed="false">
      <c r="A15" s="6" t="n">
        <v>166.04</v>
      </c>
      <c r="B15" s="24" t="n">
        <f aca="false">LN(A15)</f>
        <v>5.11222872318484</v>
      </c>
      <c r="C15" s="25" t="n">
        <v>0.3569</v>
      </c>
      <c r="D15" s="25" t="n">
        <v>0.4529</v>
      </c>
      <c r="E15" s="25" t="n">
        <v>0.4367</v>
      </c>
      <c r="F15" s="25" t="n">
        <v>0.4009</v>
      </c>
      <c r="G15" s="25" t="n">
        <v>0.4133</v>
      </c>
      <c r="H15" s="25" t="n">
        <v>0.4462</v>
      </c>
      <c r="I15" s="24" t="n">
        <f aca="false">AVERAGE(D15:H15)</f>
        <v>0.43</v>
      </c>
      <c r="J15" s="25" t="n">
        <v>0.4511</v>
      </c>
      <c r="K15" s="24" t="n">
        <f aca="false">IF(AND(Sup_Used=1,ISNUMBER(J15)),J15,I15)</f>
        <v>0.43</v>
      </c>
      <c r="L15" s="24" t="n">
        <f aca="false">LN(MIN(MAX(K15,0.0001),0.9999)/(1-MIN(MAX(K15,0.0001),0.9999)))</f>
        <v>-0.281851152140988</v>
      </c>
      <c r="M15" s="16" t="n">
        <f aca="false">A15*EXP(-Platt_Shift)</f>
        <v>166.04</v>
      </c>
      <c r="N15" s="26" t="n">
        <f aca="false">MIN(MAX(IFERROR(MATCH(M15,Distribution!$A$6:$A$20,1),1),1),14)</f>
        <v>10</v>
      </c>
      <c r="O15" s="24" t="n">
        <f aca="false">1/(1+EXP(-(INDEX(Distribution!$L$6:$L$20,N15)+(LN(M15)-INDEX(Distribution!$B$6:$B$20,N15))/(INDEX(Distribution!$B$6:$B$20,N15+1)-INDEX(Distribution!$B$6:$B$20,N15))*(INDEX(Distribution!$L$6:$L$20,N15+1)-INDEX(Distribution!$L$6:$L$20,N15)))))</f>
        <v>0.43</v>
      </c>
      <c r="P15" s="24" t="n">
        <f aca="false">LN(MIN(MAX(C15,0.0001),0.9999)/(1-MIN(MAX(C15,0.0001),0.9999)))</f>
        <v>-0.588844602644703</v>
      </c>
      <c r="Q15" s="16" t="n">
        <f aca="false">IF(Analyst_Median&gt;0,A15*Market_Median/Analyst_Median,A15)</f>
        <v>118.530298194856</v>
      </c>
      <c r="R15" s="26" t="n">
        <f aca="false">MIN(MAX(IFERROR(MATCH(Q15,Distribution!$A$6:$A$20,1),1),1),14)</f>
        <v>6</v>
      </c>
      <c r="S15" s="24" t="n">
        <f aca="false">1/(1+EXP(-(INDEX(Distribution!$P$6:$P$20,R15)+(LN(Q15)-INDEX(Distribution!$B$6:$B$20,R15))/(INDEX(Distribution!$B$6:$B$20,R15+1)-INDEX(Distribution!$B$6:$B$20,R15))*(INDEX(Distribution!$P$6:$P$20,R15+1)-INDEX(Distribution!$P$6:$P$20,R15)))))</f>
        <v>0.623764121941163</v>
      </c>
      <c r="T15" s="24" t="n">
        <f aca="false">W_Mkt*C15+W_Agents*O15</f>
        <v>0.381023</v>
      </c>
      <c r="U15" s="27" t="n">
        <f aca="false">(1-W_Analyst)*T15+W_Analyst*S15</f>
        <v>0.381023</v>
      </c>
      <c r="V15" s="24" t="n">
        <f aca="false">LN(MIN(MAX(U15,0.0001),0.9999)/(1-MIN(MAX(U15,0.0001),0.9999)))</f>
        <v>-0.485208374531179</v>
      </c>
      <c r="W15" s="25" t="n">
        <v>0.3125</v>
      </c>
    </row>
    <row r="16" customFormat="false" ht="15" hidden="false" customHeight="false" outlineLevel="0" collapsed="false">
      <c r="A16" s="6" t="n">
        <v>186.8</v>
      </c>
      <c r="B16" s="24" t="n">
        <f aca="false">LN(A16)</f>
        <v>5.23003852579474</v>
      </c>
      <c r="C16" s="25" t="n">
        <v>0.2726</v>
      </c>
      <c r="D16" s="25" t="n">
        <v>0.3335</v>
      </c>
      <c r="E16" s="25" t="n">
        <v>0.2946</v>
      </c>
      <c r="F16" s="25" t="n">
        <v>0.281</v>
      </c>
      <c r="G16" s="25" t="n">
        <v>0.3066</v>
      </c>
      <c r="H16" s="25" t="n">
        <v>0.3202</v>
      </c>
      <c r="I16" s="24" t="n">
        <f aca="false">AVERAGE(D16:H16)</f>
        <v>0.30718</v>
      </c>
      <c r="J16" s="25" t="n">
        <v>0.3255</v>
      </c>
      <c r="K16" s="24" t="n">
        <f aca="false">IF(AND(Sup_Used=1,ISNUMBER(J16)),J16,I16)</f>
        <v>0.30718</v>
      </c>
      <c r="L16" s="24" t="n">
        <f aca="false">LN(MIN(MAX(K16,0.0001),0.9999)/(1-MIN(MAX(K16,0.0001),0.9999)))</f>
        <v>-0.813336330204337</v>
      </c>
      <c r="M16" s="16" t="n">
        <f aca="false">A16*EXP(-Platt_Shift)</f>
        <v>186.8</v>
      </c>
      <c r="N16" s="26" t="n">
        <f aca="false">MIN(MAX(IFERROR(MATCH(M16,Distribution!$A$6:$A$20,1),1),1),14)</f>
        <v>11</v>
      </c>
      <c r="O16" s="24" t="n">
        <f aca="false">1/(1+EXP(-(INDEX(Distribution!$L$6:$L$20,N16)+(LN(M16)-INDEX(Distribution!$B$6:$B$20,N16))/(INDEX(Distribution!$B$6:$B$20,N16+1)-INDEX(Distribution!$B$6:$B$20,N16))*(INDEX(Distribution!$L$6:$L$20,N16+1)-INDEX(Distribution!$L$6:$L$20,N16)))))</f>
        <v>0.30718</v>
      </c>
      <c r="P16" s="24" t="n">
        <f aca="false">LN(MIN(MAX(C16,0.0001),0.9999)/(1-MIN(MAX(C16,0.0001),0.9999)))</f>
        <v>-0.981471013290456</v>
      </c>
      <c r="Q16" s="16" t="n">
        <f aca="false">IF(Analyst_Median&gt;0,A16*Market_Median/Analyst_Median,A16)</f>
        <v>133.350154798838</v>
      </c>
      <c r="R16" s="26" t="n">
        <f aca="false">MIN(MAX(IFERROR(MATCH(Q16,Distribution!$A$6:$A$20,1),1),1),14)</f>
        <v>7</v>
      </c>
      <c r="S16" s="24" t="n">
        <f aca="false">1/(1+EXP(-(INDEX(Distribution!$P$6:$P$20,R16)+(LN(Q16)-INDEX(Distribution!$B$6:$B$20,R16))/(INDEX(Distribution!$B$6:$B$20,R16+1)-INDEX(Distribution!$B$6:$B$20,R16))*(INDEX(Distribution!$P$6:$P$20,R16+1)-INDEX(Distribution!$P$6:$P$20,R16)))))</f>
        <v>0.530549795891801</v>
      </c>
      <c r="T16" s="24" t="n">
        <f aca="false">W_Mkt*C16+W_Agents*O16</f>
        <v>0.2840114</v>
      </c>
      <c r="U16" s="27" t="n">
        <f aca="false">(1-W_Analyst)*T16+W_Analyst*S16</f>
        <v>0.2840114</v>
      </c>
      <c r="V16" s="24" t="n">
        <f aca="false">LN(MIN(MAX(U16,0.0001),0.9999)/(1-MIN(MAX(U16,0.0001),0.9999)))</f>
        <v>-0.924649866845529</v>
      </c>
      <c r="W16" s="25" t="n">
        <v>0.2093</v>
      </c>
    </row>
    <row r="17" customFormat="false" ht="15" hidden="false" customHeight="false" outlineLevel="0" collapsed="false">
      <c r="A17" s="6" t="n">
        <v>207.56</v>
      </c>
      <c r="B17" s="24" t="n">
        <f aca="false">LN(A17)</f>
        <v>5.33542045449954</v>
      </c>
      <c r="C17" s="25" t="n">
        <v>0.2067</v>
      </c>
      <c r="D17" s="25" t="n">
        <v>0.2382</v>
      </c>
      <c r="E17" s="25" t="n">
        <v>0.1876</v>
      </c>
      <c r="F17" s="25" t="n">
        <v>0.1948</v>
      </c>
      <c r="G17" s="25" t="n">
        <v>0.2213</v>
      </c>
      <c r="H17" s="25" t="n">
        <v>0.2206</v>
      </c>
      <c r="I17" s="24" t="n">
        <f aca="false">AVERAGE(D17:H17)</f>
        <v>0.2125</v>
      </c>
      <c r="J17" s="25" t="n">
        <v>0.2269</v>
      </c>
      <c r="K17" s="24" t="n">
        <f aca="false">IF(AND(Sup_Used=1,ISNUMBER(J17)),J17,I17)</f>
        <v>0.2125</v>
      </c>
      <c r="L17" s="24" t="n">
        <f aca="false">LN(MIN(MAX(K17,0.0001),0.9999)/(1-MIN(MAX(K17,0.0001),0.9999)))</f>
        <v>-1.30992138233532</v>
      </c>
      <c r="M17" s="16" t="n">
        <f aca="false">A17*EXP(-Platt_Shift)</f>
        <v>207.56</v>
      </c>
      <c r="N17" s="26" t="n">
        <f aca="false">MIN(MAX(IFERROR(MATCH(M17,Distribution!$A$6:$A$20,1),1),1),14)</f>
        <v>12</v>
      </c>
      <c r="O17" s="24" t="n">
        <f aca="false">1/(1+EXP(-(INDEX(Distribution!$L$6:$L$20,N17)+(LN(M17)-INDEX(Distribution!$B$6:$B$20,N17))/(INDEX(Distribution!$B$6:$B$20,N17+1)-INDEX(Distribution!$B$6:$B$20,N17))*(INDEX(Distribution!$L$6:$L$20,N17+1)-INDEX(Distribution!$L$6:$L$20,N17)))))</f>
        <v>0.2125</v>
      </c>
      <c r="P17" s="24" t="n">
        <f aca="false">LN(MIN(MAX(C17,0.0001),0.9999)/(1-MIN(MAX(C17,0.0001),0.9999)))</f>
        <v>-1.34493299362023</v>
      </c>
      <c r="Q17" s="16" t="n">
        <f aca="false">IF(Analyst_Median&gt;0,A17*Market_Median/Analyst_Median,A17)</f>
        <v>148.17001140282</v>
      </c>
      <c r="R17" s="26" t="n">
        <f aca="false">MIN(MAX(IFERROR(MATCH(Q17,Distribution!$A$6:$A$20,1),1),1),14)</f>
        <v>8</v>
      </c>
      <c r="S17" s="24" t="n">
        <f aca="false">1/(1+EXP(-(INDEX(Distribution!$P$6:$P$20,R17)+(LN(Q17)-INDEX(Distribution!$B$6:$B$20,R17))/(INDEX(Distribution!$B$6:$B$20,R17+1)-INDEX(Distribution!$B$6:$B$20,R17))*(INDEX(Distribution!$P$6:$P$20,R17+1)-INDEX(Distribution!$P$6:$P$20,R17)))))</f>
        <v>0.445653608797506</v>
      </c>
      <c r="T17" s="24" t="n">
        <f aca="false">W_Mkt*C17+W_Agents*O17</f>
        <v>0.208614</v>
      </c>
      <c r="U17" s="27" t="n">
        <f aca="false">(1-W_Analyst)*T17+W_Analyst*S17</f>
        <v>0.208614</v>
      </c>
      <c r="V17" s="24" t="n">
        <f aca="false">LN(MIN(MAX(U17,0.0001),0.9999)/(1-MIN(MAX(U17,0.0001),0.9999)))</f>
        <v>-1.33330018421695</v>
      </c>
      <c r="W17" s="25" t="n">
        <v>0.1456</v>
      </c>
    </row>
    <row r="18" customFormat="false" ht="15" hidden="false" customHeight="false" outlineLevel="0" collapsed="false">
      <c r="A18" s="6" t="n">
        <v>242.15</v>
      </c>
      <c r="B18" s="24" t="n">
        <f aca="false">LN(A18)</f>
        <v>5.48955736884924</v>
      </c>
      <c r="C18" s="25" t="n">
        <v>0.1293</v>
      </c>
      <c r="D18" s="25" t="n">
        <v>0.127</v>
      </c>
      <c r="E18" s="25" t="n">
        <v>0.0826</v>
      </c>
      <c r="F18" s="25" t="n">
        <v>0.0956</v>
      </c>
      <c r="G18" s="25" t="n">
        <v>0.1209</v>
      </c>
      <c r="H18" s="25" t="n">
        <v>0.1079</v>
      </c>
      <c r="I18" s="24" t="n">
        <f aca="false">AVERAGE(D18:H18)</f>
        <v>0.1068</v>
      </c>
      <c r="J18" s="25" t="n">
        <v>0.1153</v>
      </c>
      <c r="K18" s="24" t="n">
        <f aca="false">IF(AND(Sup_Used=1,ISNUMBER(J18)),J18,I18)</f>
        <v>0.1068</v>
      </c>
      <c r="L18" s="24" t="n">
        <f aca="false">LN(MIN(MAX(K18,0.0001),0.9999)/(1-MIN(MAX(K18,0.0001),0.9999)))</f>
        <v>-2.12385259343991</v>
      </c>
      <c r="M18" s="16" t="n">
        <f aca="false">A18*EXP(-Platt_Shift)</f>
        <v>242.15</v>
      </c>
      <c r="N18" s="26" t="n">
        <f aca="false">MIN(MAX(IFERROR(MATCH(M18,Distribution!$A$6:$A$20,1),1),1),14)</f>
        <v>13</v>
      </c>
      <c r="O18" s="24" t="n">
        <f aca="false">1/(1+EXP(-(INDEX(Distribution!$L$6:$L$20,N18)+(LN(M18)-INDEX(Distribution!$B$6:$B$20,N18))/(INDEX(Distribution!$B$6:$B$20,N18+1)-INDEX(Distribution!$B$6:$B$20,N18))*(INDEX(Distribution!$L$6:$L$20,N18+1)-INDEX(Distribution!$L$6:$L$20,N18)))))</f>
        <v>0.1068</v>
      </c>
      <c r="P18" s="24" t="n">
        <f aca="false">LN(MIN(MAX(C18,0.0001),0.9999)/(1-MIN(MAX(C18,0.0001),0.9999)))</f>
        <v>-1.90716220005676</v>
      </c>
      <c r="Q18" s="16" t="n">
        <f aca="false">IF(Analyst_Median&gt;0,A18*Market_Median/Analyst_Median,A18)</f>
        <v>172.862633750206</v>
      </c>
      <c r="R18" s="26" t="n">
        <f aca="false">MIN(MAX(IFERROR(MATCH(Q18,Distribution!$A$6:$A$20,1),1),1),14)</f>
        <v>10</v>
      </c>
      <c r="S18" s="24" t="n">
        <f aca="false">1/(1+EXP(-(INDEX(Distribution!$P$6:$P$20,R18)+(LN(Q18)-INDEX(Distribution!$B$6:$B$20,R18))/(INDEX(Distribution!$B$6:$B$20,R18+1)-INDEX(Distribution!$B$6:$B$20,R18))*(INDEX(Distribution!$P$6:$P$20,R18+1)-INDEX(Distribution!$P$6:$P$20,R18)))))</f>
        <v>0.326722121409448</v>
      </c>
      <c r="T18" s="24" t="n">
        <f aca="false">W_Mkt*C18+W_Agents*O18</f>
        <v>0.121875</v>
      </c>
      <c r="U18" s="27" t="n">
        <f aca="false">(1-W_Analyst)*T18+W_Analyst*S18</f>
        <v>0.121875</v>
      </c>
      <c r="V18" s="24" t="n">
        <f aca="false">LN(MIN(MAX(U18,0.0001),0.9999)/(1-MIN(MAX(U18,0.0001),0.9999)))</f>
        <v>-1.9747930232041</v>
      </c>
      <c r="W18" s="25" t="n">
        <v>0.0855</v>
      </c>
    </row>
    <row r="19" customFormat="false" ht="15" hidden="false" customHeight="false" outlineLevel="0" collapsed="false">
      <c r="A19" s="6" t="n">
        <v>276.74</v>
      </c>
      <c r="B19" s="24" t="n">
        <f aca="false">LN(A19)</f>
        <v>5.62307843724124</v>
      </c>
      <c r="C19" s="25" t="n">
        <v>0.0808</v>
      </c>
      <c r="D19" s="25" t="n">
        <v>0.065</v>
      </c>
      <c r="E19" s="25" t="n">
        <v>0.0376</v>
      </c>
      <c r="F19" s="25" t="n">
        <v>0.0443</v>
      </c>
      <c r="G19" s="25" t="n">
        <v>0.0638</v>
      </c>
      <c r="H19" s="25" t="n">
        <v>0.0503</v>
      </c>
      <c r="I19" s="24" t="n">
        <f aca="false">AVERAGE(D19:H19)</f>
        <v>0.0522</v>
      </c>
      <c r="J19" s="25" t="n">
        <v>0.0563</v>
      </c>
      <c r="K19" s="24" t="n">
        <f aca="false">IF(AND(Sup_Used=1,ISNUMBER(J19)),J19,I19)</f>
        <v>0.0522</v>
      </c>
      <c r="L19" s="24" t="n">
        <f aca="false">LN(MIN(MAX(K19,0.0001),0.9999)/(1-MIN(MAX(K19,0.0001),0.9999)))</f>
        <v>-2.89906101464489</v>
      </c>
      <c r="M19" s="16" t="n">
        <f aca="false">A19*EXP(-Platt_Shift)</f>
        <v>276.74</v>
      </c>
      <c r="N19" s="26" t="n">
        <f aca="false">MIN(MAX(IFERROR(MATCH(M19,Distribution!$A$6:$A$20,1),1),1),14)</f>
        <v>14</v>
      </c>
      <c r="O19" s="24" t="n">
        <f aca="false">1/(1+EXP(-(INDEX(Distribution!$L$6:$L$20,N19)+(LN(M19)-INDEX(Distribution!$B$6:$B$20,N19))/(INDEX(Distribution!$B$6:$B$20,N19+1)-INDEX(Distribution!$B$6:$B$20,N19))*(INDEX(Distribution!$L$6:$L$20,N19+1)-INDEX(Distribution!$L$6:$L$20,N19)))))</f>
        <v>0.0522</v>
      </c>
      <c r="P19" s="24" t="n">
        <f aca="false">LN(MIN(MAX(C19,0.0001),0.9999)/(1-MIN(MAX(C19,0.0001),0.9999)))</f>
        <v>-2.4315267610075</v>
      </c>
      <c r="Q19" s="16" t="n">
        <f aca="false">IF(Analyst_Median&gt;0,A19*Market_Median/Analyst_Median,A19)</f>
        <v>197.555256097593</v>
      </c>
      <c r="R19" s="26" t="n">
        <f aca="false">MIN(MAX(IFERROR(MATCH(Q19,Distribution!$A$6:$A$20,1),1),1),14)</f>
        <v>11</v>
      </c>
      <c r="S19" s="24" t="n">
        <f aca="false">1/(1+EXP(-(INDEX(Distribution!$P$6:$P$20,R19)+(LN(Q19)-INDEX(Distribution!$B$6:$B$20,R19))/(INDEX(Distribution!$B$6:$B$20,R19+1)-INDEX(Distribution!$B$6:$B$20,R19))*(INDEX(Distribution!$P$6:$P$20,R19+1)-INDEX(Distribution!$P$6:$P$20,R19)))))</f>
        <v>0.236034404738239</v>
      </c>
      <c r="T19" s="24" t="n">
        <f aca="false">W_Mkt*C19+W_Agents*O19</f>
        <v>0.071362</v>
      </c>
      <c r="U19" s="27" t="n">
        <f aca="false">(1-W_Analyst)*T19+W_Analyst*S19</f>
        <v>0.071362</v>
      </c>
      <c r="V19" s="24" t="n">
        <f aca="false">LN(MIN(MAX(U19,0.0001),0.9999)/(1-MIN(MAX(U19,0.0001),0.9999)))</f>
        <v>-2.5659534817815</v>
      </c>
      <c r="W19" s="25" t="n">
        <v>0.0525</v>
      </c>
    </row>
    <row r="20" customFormat="false" ht="15" hidden="false" customHeight="false" outlineLevel="0" collapsed="false">
      <c r="A20" s="6" t="n">
        <v>345.93</v>
      </c>
      <c r="B20" s="24" t="n">
        <f aca="false">LN(A20)</f>
        <v>5.84623644245114</v>
      </c>
      <c r="C20" s="25" t="n">
        <v>0.0321</v>
      </c>
      <c r="D20" s="25" t="n">
        <v>0.0155</v>
      </c>
      <c r="E20" s="25" t="n">
        <v>0.0123</v>
      </c>
      <c r="F20" s="25" t="n">
        <v>0.0095</v>
      </c>
      <c r="G20" s="25" t="n">
        <v>0.0155</v>
      </c>
      <c r="H20" s="25" t="n">
        <v>0.009</v>
      </c>
      <c r="I20" s="24" t="n">
        <f aca="false">AVERAGE(D20:H20)</f>
        <v>0.01236</v>
      </c>
      <c r="J20" s="25" t="n">
        <v>0.0133</v>
      </c>
      <c r="K20" s="24" t="n">
        <f aca="false">IF(AND(Sup_Used=1,ISNUMBER(J20)),J20,I20)</f>
        <v>0.01236</v>
      </c>
      <c r="L20" s="24" t="n">
        <f aca="false">LN(MIN(MAX(K20,0.0001),0.9999)/(1-MIN(MAX(K20,0.0001),0.9999)))</f>
        <v>-4.38085280684891</v>
      </c>
      <c r="M20" s="16" t="n">
        <f aca="false">A20*EXP(-Platt_Shift)</f>
        <v>345.93</v>
      </c>
      <c r="N20" s="26" t="n">
        <f aca="false">MIN(MAX(IFERROR(MATCH(M20,Distribution!$A$6:$A$20,1),1),1),14)</f>
        <v>14</v>
      </c>
      <c r="O20" s="24" t="n">
        <f aca="false">1/(1+EXP(-(INDEX(Distribution!$L$6:$L$20,N20)+(LN(M20)-INDEX(Distribution!$B$6:$B$20,N20))/(INDEX(Distribution!$B$6:$B$20,N20+1)-INDEX(Distribution!$B$6:$B$20,N20))*(INDEX(Distribution!$L$6:$L$20,N20+1)-INDEX(Distribution!$L$6:$L$20,N20)))))</f>
        <v>0.01236</v>
      </c>
      <c r="P20" s="24" t="n">
        <f aca="false">LN(MIN(MAX(C20,0.0001),0.9999)/(1-MIN(MAX(C20,0.0001),0.9999)))</f>
        <v>-3.40627274601907</v>
      </c>
      <c r="Q20" s="16" t="n">
        <f aca="false">IF(Analyst_Median&gt;0,A20*Market_Median/Analyst_Median,A20)</f>
        <v>246.947639451616</v>
      </c>
      <c r="R20" s="26" t="n">
        <f aca="false">MIN(MAX(IFERROR(MATCH(Q20,Distribution!$A$6:$A$20,1),1),1),14)</f>
        <v>13</v>
      </c>
      <c r="S20" s="24" t="n">
        <f aca="false">1/(1+EXP(-(INDEX(Distribution!$P$6:$P$20,R20)+(LN(Q20)-INDEX(Distribution!$B$6:$B$20,R20))/(INDEX(Distribution!$B$6:$B$20,R20+1)-INDEX(Distribution!$B$6:$B$20,R20))*(INDEX(Distribution!$P$6:$P$20,R20+1)-INDEX(Distribution!$P$6:$P$20,R20)))))</f>
        <v>0.120870778466121</v>
      </c>
      <c r="T20" s="24" t="n">
        <f aca="false">W_Mkt*C20+W_Agents*O20</f>
        <v>0.0255858</v>
      </c>
      <c r="U20" s="27" t="n">
        <f aca="false">(1-W_Analyst)*T20+W_Analyst*S20</f>
        <v>0.0255858</v>
      </c>
      <c r="V20" s="24" t="n">
        <f aca="false">LN(MIN(MAX(U20,0.0001),0.9999)/(1-MIN(MAX(U20,0.0001),0.9999)))</f>
        <v>-3.63979895983056</v>
      </c>
      <c r="W20" s="25" t="n">
        <v>0.0208</v>
      </c>
    </row>
    <row r="22" customFormat="false" ht="15" hidden="false" customHeight="false" outlineLevel="0" collapsed="false">
      <c r="A22" s="2"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3"/>
    <col collapsed="false" customWidth="true" hidden="false" outlineLevel="0" max="4" min="4" style="0" width="9"/>
    <col collapsed="false" customWidth="true" hidden="false" outlineLevel="0" max="5" min="5" style="0" width="13"/>
    <col collapsed="false" customWidth="true" hidden="false" outlineLevel="0" max="6" min="6" style="0" width="44"/>
    <col collapsed="false" customWidth="true" hidden="false" outlineLevel="0" max="7" min="7" style="0" width="90"/>
  </cols>
  <sheetData>
    <row r="1" customFormat="false" ht="17.35" hidden="false" customHeight="false" outlineLevel="0" collapsed="false">
      <c r="A1" s="1" t="s">
        <v>103</v>
      </c>
    </row>
    <row r="2" customFormat="false" ht="15" hidden="false" customHeight="false" outlineLevel="0" collapsed="false">
      <c r="A2" s="2" t="s">
        <v>104</v>
      </c>
    </row>
    <row r="4" customFormat="false" ht="23.85" hidden="false" customHeight="false" outlineLevel="0" collapsed="false">
      <c r="A4" s="23" t="s">
        <v>105</v>
      </c>
      <c r="B4" s="23" t="s">
        <v>106</v>
      </c>
      <c r="C4" s="23" t="s">
        <v>107</v>
      </c>
      <c r="D4" s="23" t="s">
        <v>108</v>
      </c>
      <c r="E4" s="23" t="s">
        <v>109</v>
      </c>
      <c r="F4" s="23" t="s">
        <v>110</v>
      </c>
      <c r="G4" s="23" t="s">
        <v>111</v>
      </c>
    </row>
    <row r="5" customFormat="false" ht="23.85" hidden="false" customHeight="false" outlineLevel="0" collapsed="false">
      <c r="A5" s="5" t="s">
        <v>29</v>
      </c>
      <c r="B5" s="28" t="s">
        <v>112</v>
      </c>
      <c r="C5" s="6" t="n">
        <v>170.97</v>
      </c>
      <c r="D5" s="12" t="n">
        <v>0.7</v>
      </c>
      <c r="E5" s="16" t="n">
        <f aca="false">C5*D5</f>
        <v>119.679</v>
      </c>
      <c r="F5" s="28"/>
      <c r="G5" s="28" t="s">
        <v>113</v>
      </c>
    </row>
    <row r="6" customFormat="false" ht="35.05" hidden="false" customHeight="false" outlineLevel="0" collapsed="false">
      <c r="A6" s="5" t="s">
        <v>29</v>
      </c>
      <c r="B6" s="28" t="s">
        <v>114</v>
      </c>
      <c r="C6" s="6" t="n">
        <v>140.93</v>
      </c>
      <c r="D6" s="12" t="n">
        <v>0.3</v>
      </c>
      <c r="E6" s="16" t="n">
        <f aca="false">C6*D6</f>
        <v>42.279</v>
      </c>
      <c r="F6" s="28"/>
      <c r="G6" s="28" t="s">
        <v>115</v>
      </c>
    </row>
    <row r="7" customFormat="false" ht="35.05" hidden="false" customHeight="false" outlineLevel="0" collapsed="false">
      <c r="A7" s="29" t="s">
        <v>29</v>
      </c>
      <c r="B7" s="29" t="s">
        <v>116</v>
      </c>
      <c r="C7" s="30" t="n">
        <f aca="false">IF(SUM(D5:D6)&gt;0,SUMPRODUCT(C5:C6,D5:D6)/SUM(D5:D6),"")</f>
        <v>161.958</v>
      </c>
      <c r="D7" s="31" t="n">
        <f aca="false">SUM(D5:D6)</f>
        <v>1</v>
      </c>
      <c r="E7" s="32" t="n">
        <v>161.96</v>
      </c>
      <c r="F7" s="29" t="s">
        <v>117</v>
      </c>
      <c r="G7" s="33" t="s">
        <v>118</v>
      </c>
    </row>
    <row r="9" customFormat="false" ht="23.85" hidden="false" customHeight="false" outlineLevel="0" collapsed="false">
      <c r="A9" s="5" t="s">
        <v>30</v>
      </c>
      <c r="B9" s="28" t="s">
        <v>112</v>
      </c>
      <c r="C9" s="6" t="n">
        <v>172.11</v>
      </c>
      <c r="D9" s="12" t="n">
        <v>0.8</v>
      </c>
      <c r="E9" s="16" t="n">
        <f aca="false">C9*D9</f>
        <v>137.688</v>
      </c>
      <c r="F9" s="28"/>
      <c r="G9" s="28" t="s">
        <v>119</v>
      </c>
    </row>
    <row r="10" customFormat="false" ht="23.85" hidden="false" customHeight="false" outlineLevel="0" collapsed="false">
      <c r="A10" s="5" t="s">
        <v>30</v>
      </c>
      <c r="B10" s="28" t="s">
        <v>114</v>
      </c>
      <c r="C10" s="6" t="n">
        <v>125.75</v>
      </c>
      <c r="D10" s="12" t="n">
        <v>0.2</v>
      </c>
      <c r="E10" s="16" t="n">
        <f aca="false">C10*D10</f>
        <v>25.15</v>
      </c>
      <c r="F10" s="28"/>
      <c r="G10" s="28" t="s">
        <v>120</v>
      </c>
    </row>
    <row r="11" customFormat="false" ht="35.05" hidden="false" customHeight="false" outlineLevel="0" collapsed="false">
      <c r="A11" s="29" t="s">
        <v>30</v>
      </c>
      <c r="B11" s="29" t="s">
        <v>116</v>
      </c>
      <c r="C11" s="30" t="n">
        <f aca="false">IF(SUM(D9:D10)&gt;0,SUMPRODUCT(C9:C10,D9:D10)/SUM(D9:D10),"")</f>
        <v>162.838</v>
      </c>
      <c r="D11" s="31" t="n">
        <f aca="false">SUM(D9:D10)</f>
        <v>1</v>
      </c>
      <c r="E11" s="32" t="n">
        <v>162.84</v>
      </c>
      <c r="F11" s="29" t="s">
        <v>117</v>
      </c>
      <c r="G11" s="33" t="s">
        <v>121</v>
      </c>
    </row>
    <row r="13" customFormat="false" ht="35.05" hidden="false" customHeight="false" outlineLevel="0" collapsed="false">
      <c r="A13" s="5" t="s">
        <v>31</v>
      </c>
      <c r="B13" s="28" t="s">
        <v>112</v>
      </c>
      <c r="C13" s="6" t="n">
        <v>165.46</v>
      </c>
      <c r="D13" s="12" t="n">
        <v>0.55</v>
      </c>
      <c r="E13" s="16" t="n">
        <f aca="false">C13*D13</f>
        <v>91.003</v>
      </c>
      <c r="F13" s="28"/>
      <c r="G13" s="28" t="s">
        <v>122</v>
      </c>
    </row>
    <row r="14" customFormat="false" ht="23.85" hidden="false" customHeight="false" outlineLevel="0" collapsed="false">
      <c r="A14" s="5" t="s">
        <v>31</v>
      </c>
      <c r="B14" s="28" t="s">
        <v>123</v>
      </c>
      <c r="C14" s="6" t="n">
        <v>156.19</v>
      </c>
      <c r="D14" s="12" t="n">
        <v>0.15</v>
      </c>
      <c r="E14" s="16" t="n">
        <f aca="false">C14*D14</f>
        <v>23.4285</v>
      </c>
      <c r="F14" s="28"/>
      <c r="G14" s="28" t="s">
        <v>124</v>
      </c>
    </row>
    <row r="15" customFormat="false" ht="23.85" hidden="false" customHeight="false" outlineLevel="0" collapsed="false">
      <c r="A15" s="5" t="s">
        <v>31</v>
      </c>
      <c r="B15" s="28" t="s">
        <v>114</v>
      </c>
      <c r="C15" s="6" t="n">
        <v>131.46</v>
      </c>
      <c r="D15" s="12" t="n">
        <v>0.3</v>
      </c>
      <c r="E15" s="16" t="n">
        <f aca="false">C15*D15</f>
        <v>39.438</v>
      </c>
      <c r="F15" s="28"/>
      <c r="G15" s="28" t="s">
        <v>125</v>
      </c>
    </row>
    <row r="16" customFormat="false" ht="46.25" hidden="false" customHeight="false" outlineLevel="0" collapsed="false">
      <c r="A16" s="29" t="s">
        <v>31</v>
      </c>
      <c r="B16" s="29" t="s">
        <v>116</v>
      </c>
      <c r="C16" s="30" t="n">
        <f aca="false">IF(SUM(D13:D15)&gt;0,SUMPRODUCT(C13:C15,D13:D15)/SUM(D13:D15),"")</f>
        <v>153.8695</v>
      </c>
      <c r="D16" s="31" t="n">
        <f aca="false">SUM(D13:D15)</f>
        <v>1</v>
      </c>
      <c r="E16" s="32" t="n">
        <v>153.87</v>
      </c>
      <c r="F16" s="29" t="s">
        <v>117</v>
      </c>
      <c r="G16" s="33" t="s">
        <v>126</v>
      </c>
    </row>
    <row r="18" customFormat="false" ht="23.85" hidden="false" customHeight="false" outlineLevel="0" collapsed="false">
      <c r="A18" s="5" t="s">
        <v>32</v>
      </c>
      <c r="B18" s="28" t="s">
        <v>112</v>
      </c>
      <c r="C18" s="6" t="n">
        <v>165.26</v>
      </c>
      <c r="D18" s="12" t="n">
        <v>0.6</v>
      </c>
      <c r="E18" s="16" t="n">
        <f aca="false">C18*D18</f>
        <v>99.156</v>
      </c>
      <c r="F18" s="28"/>
      <c r="G18" s="28" t="s">
        <v>127</v>
      </c>
    </row>
    <row r="19" customFormat="false" ht="23.85" hidden="false" customHeight="false" outlineLevel="0" collapsed="false">
      <c r="A19" s="5" t="s">
        <v>32</v>
      </c>
      <c r="B19" s="28" t="s">
        <v>114</v>
      </c>
      <c r="C19" s="6" t="n">
        <v>138.22</v>
      </c>
      <c r="D19" s="12" t="n">
        <v>0.4</v>
      </c>
      <c r="E19" s="16" t="n">
        <f aca="false">C19*D19</f>
        <v>55.288</v>
      </c>
      <c r="F19" s="28"/>
      <c r="G19" s="28" t="s">
        <v>128</v>
      </c>
    </row>
    <row r="20" customFormat="false" ht="46.25" hidden="false" customHeight="false" outlineLevel="0" collapsed="false">
      <c r="A20" s="29" t="s">
        <v>32</v>
      </c>
      <c r="B20" s="29" t="s">
        <v>116</v>
      </c>
      <c r="C20" s="30" t="n">
        <f aca="false">IF(SUM(D18:D19)&gt;0,SUMPRODUCT(C18:C19,D18:D19)/SUM(D18:D19),"")</f>
        <v>154.444</v>
      </c>
      <c r="D20" s="31" t="n">
        <f aca="false">SUM(D18:D19)</f>
        <v>1</v>
      </c>
      <c r="E20" s="32" t="n">
        <v>154.44</v>
      </c>
      <c r="F20" s="29" t="s">
        <v>117</v>
      </c>
      <c r="G20" s="33" t="s">
        <v>129</v>
      </c>
    </row>
    <row r="22" customFormat="false" ht="23.85" hidden="false" customHeight="false" outlineLevel="0" collapsed="false">
      <c r="A22" s="5" t="s">
        <v>33</v>
      </c>
      <c r="B22" s="28" t="s">
        <v>112</v>
      </c>
      <c r="C22" s="6" t="n">
        <v>168.3</v>
      </c>
      <c r="D22" s="12" t="n">
        <v>0.7</v>
      </c>
      <c r="E22" s="16" t="n">
        <f aca="false">C22*D22</f>
        <v>117.81</v>
      </c>
      <c r="F22" s="28"/>
      <c r="G22" s="28" t="s">
        <v>130</v>
      </c>
    </row>
    <row r="23" customFormat="false" ht="23.85" hidden="false" customHeight="false" outlineLevel="0" collapsed="false">
      <c r="A23" s="5" t="s">
        <v>33</v>
      </c>
      <c r="B23" s="28" t="s">
        <v>114</v>
      </c>
      <c r="C23" s="6" t="n">
        <v>142.22</v>
      </c>
      <c r="D23" s="12" t="n">
        <v>0.3</v>
      </c>
      <c r="E23" s="16" t="n">
        <f aca="false">C23*D23</f>
        <v>42.666</v>
      </c>
      <c r="F23" s="28"/>
      <c r="G23" s="28" t="s">
        <v>131</v>
      </c>
    </row>
    <row r="24" customFormat="false" ht="46.25" hidden="false" customHeight="false" outlineLevel="0" collapsed="false">
      <c r="A24" s="29" t="s">
        <v>33</v>
      </c>
      <c r="B24" s="29" t="s">
        <v>116</v>
      </c>
      <c r="C24" s="30" t="n">
        <f aca="false">IF(SUM(D22:D23)&gt;0,SUMPRODUCT(C22:C23,D22:D23)/SUM(D22:D23),"")</f>
        <v>160.476</v>
      </c>
      <c r="D24" s="31" t="n">
        <f aca="false">SUM(D22:D23)</f>
        <v>1</v>
      </c>
      <c r="E24" s="32" t="n">
        <v>160.48</v>
      </c>
      <c r="F24" s="29" t="s">
        <v>117</v>
      </c>
      <c r="G24" s="33"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3"/>
    <col collapsed="false" customWidth="true" hidden="false" outlineLevel="0" max="7" min="5" style="0" width="50"/>
  </cols>
  <sheetData>
    <row r="1" customFormat="false" ht="17.35" hidden="false" customHeight="false" outlineLevel="0" collapsed="false">
      <c r="A1" s="1" t="s">
        <v>133</v>
      </c>
    </row>
    <row r="2" customFormat="false" ht="15" hidden="false" customHeight="false" outlineLevel="0" collapsed="false">
      <c r="A2" s="2" t="s">
        <v>134</v>
      </c>
    </row>
    <row r="4" customFormat="false" ht="23.85" hidden="false" customHeight="false" outlineLevel="0" collapsed="false">
      <c r="A4" s="23" t="s">
        <v>105</v>
      </c>
      <c r="B4" s="23" t="s">
        <v>135</v>
      </c>
      <c r="C4" s="23" t="s">
        <v>136</v>
      </c>
      <c r="D4" s="23" t="s">
        <v>137</v>
      </c>
      <c r="E4" s="23" t="s">
        <v>138</v>
      </c>
      <c r="F4" s="23" t="s">
        <v>139</v>
      </c>
      <c r="G4" s="23" t="s">
        <v>140</v>
      </c>
    </row>
    <row r="5" customFormat="false" ht="79.85" hidden="false" customHeight="false" outlineLevel="0" collapsed="false">
      <c r="A5" s="5" t="s">
        <v>29</v>
      </c>
      <c r="B5" s="6" t="n">
        <v>110.61</v>
      </c>
      <c r="C5" s="6" t="n">
        <v>161.96</v>
      </c>
      <c r="D5" s="6" t="n">
        <v>212.35</v>
      </c>
      <c r="E5" s="28" t="s">
        <v>141</v>
      </c>
      <c r="F5" s="28" t="s">
        <v>142</v>
      </c>
      <c r="G5" s="28" t="s">
        <v>143</v>
      </c>
    </row>
    <row r="6" customFormat="false" ht="68.65" hidden="false" customHeight="false" outlineLevel="0" collapsed="false">
      <c r="A6" s="5" t="s">
        <v>30</v>
      </c>
      <c r="B6" s="6" t="n">
        <v>98.74</v>
      </c>
      <c r="C6" s="6" t="n">
        <v>162.84</v>
      </c>
      <c r="D6" s="6" t="n">
        <v>213.23</v>
      </c>
      <c r="E6" s="28" t="s">
        <v>144</v>
      </c>
      <c r="F6" s="28" t="s">
        <v>145</v>
      </c>
      <c r="G6" s="28" t="s">
        <v>146</v>
      </c>
    </row>
    <row r="7" customFormat="false" ht="57.45" hidden="false" customHeight="false" outlineLevel="0" collapsed="false">
      <c r="A7" s="5" t="s">
        <v>31</v>
      </c>
      <c r="B7" s="6" t="n">
        <v>106.11</v>
      </c>
      <c r="C7" s="6" t="n">
        <v>153.87</v>
      </c>
      <c r="D7" s="6" t="n">
        <v>201.9</v>
      </c>
      <c r="E7" s="28" t="s">
        <v>147</v>
      </c>
      <c r="F7" s="28" t="s">
        <v>148</v>
      </c>
      <c r="G7" s="28" t="s">
        <v>149</v>
      </c>
    </row>
    <row r="8" customFormat="false" ht="79.85" hidden="false" customHeight="false" outlineLevel="0" collapsed="false">
      <c r="A8" s="5" t="s">
        <v>32</v>
      </c>
      <c r="B8" s="6" t="n">
        <v>95.67</v>
      </c>
      <c r="C8" s="6" t="n">
        <v>154.44</v>
      </c>
      <c r="D8" s="6" t="n">
        <v>216.57</v>
      </c>
      <c r="E8" s="28" t="s">
        <v>150</v>
      </c>
      <c r="F8" s="28" t="s">
        <v>151</v>
      </c>
      <c r="G8" s="28" t="s">
        <v>152</v>
      </c>
    </row>
    <row r="9" customFormat="false" ht="46.25" hidden="false" customHeight="false" outlineLevel="0" collapsed="false">
      <c r="A9" s="5" t="s">
        <v>33</v>
      </c>
      <c r="B9" s="6" t="n">
        <v>107.24</v>
      </c>
      <c r="C9" s="6" t="n">
        <v>160.48</v>
      </c>
      <c r="D9" s="6" t="n">
        <v>209.29</v>
      </c>
      <c r="E9" s="28" t="s">
        <v>153</v>
      </c>
      <c r="F9" s="28" t="s">
        <v>154</v>
      </c>
      <c r="G9" s="28" t="s">
        <v>155</v>
      </c>
    </row>
    <row r="10" customFormat="false" ht="15" hidden="false" customHeight="false" outlineLevel="0" collapsed="false">
      <c r="A10" s="14" t="s">
        <v>156</v>
      </c>
      <c r="B10" s="15" t="n">
        <f aca="false">AVERAGE(B5:B9)</f>
        <v>103.674</v>
      </c>
      <c r="C10" s="15" t="n">
        <f aca="false">AVERAGE(C5:C9)</f>
        <v>158.718</v>
      </c>
      <c r="D10" s="15" t="n">
        <f aca="false">AVERAGE(D5:D9)</f>
        <v>210.668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2"/>
    <col collapsed="false" customWidth="true" hidden="false" outlineLevel="0" max="5" min="5" style="0" width="90"/>
    <col collapsed="false" customWidth="true" hidden="false" outlineLevel="0" max="6" min="6" style="0" width="50"/>
    <col collapsed="false" customWidth="true" hidden="false" outlineLevel="0" max="7" min="7" style="0" width="60"/>
    <col collapsed="false" customWidth="true" hidden="false" outlineLevel="0" max="8" min="8" style="0" width="70"/>
  </cols>
  <sheetData>
    <row r="1" customFormat="false" ht="17.35" hidden="false" customHeight="false" outlineLevel="0" collapsed="false">
      <c r="A1" s="1" t="s">
        <v>157</v>
      </c>
    </row>
    <row r="2" customFormat="false" ht="15" hidden="false" customHeight="false" outlineLevel="0" collapsed="false">
      <c r="A2" s="2" t="s">
        <v>158</v>
      </c>
    </row>
    <row r="4" customFormat="false" ht="35.05" hidden="false" customHeight="false" outlineLevel="0" collapsed="false">
      <c r="A4" s="23" t="s">
        <v>105</v>
      </c>
      <c r="B4" s="23" t="s">
        <v>159</v>
      </c>
      <c r="C4" s="23" t="s">
        <v>160</v>
      </c>
      <c r="D4" s="23" t="s">
        <v>161</v>
      </c>
      <c r="E4" s="23" t="s">
        <v>66</v>
      </c>
      <c r="F4" s="23" t="s">
        <v>162</v>
      </c>
      <c r="G4" s="23" t="s">
        <v>163</v>
      </c>
      <c r="H4" s="23" t="s">
        <v>164</v>
      </c>
    </row>
    <row r="5" customFormat="false" ht="527.6" hidden="false" customHeight="false" outlineLevel="0" collapsed="false">
      <c r="A5" s="5" t="s">
        <v>29</v>
      </c>
      <c r="B5" s="6"/>
      <c r="C5" s="6" t="n">
        <v>161.96</v>
      </c>
      <c r="D5" s="6" t="n">
        <v>115</v>
      </c>
      <c r="E5" s="28" t="s">
        <v>165</v>
      </c>
      <c r="F5" s="28" t="s">
        <v>166</v>
      </c>
      <c r="G5" s="28" t="s">
        <v>167</v>
      </c>
      <c r="H5" s="28" t="s">
        <v>168</v>
      </c>
    </row>
    <row r="6" customFormat="false" ht="370.85" hidden="false" customHeight="false" outlineLevel="0" collapsed="false">
      <c r="A6" s="5" t="s">
        <v>30</v>
      </c>
      <c r="B6" s="6"/>
      <c r="C6" s="6" t="n">
        <v>162.84</v>
      </c>
      <c r="D6" s="6" t="n">
        <v>118</v>
      </c>
      <c r="E6" s="28" t="s">
        <v>169</v>
      </c>
      <c r="F6" s="28" t="s">
        <v>170</v>
      </c>
      <c r="G6" s="28" t="s">
        <v>171</v>
      </c>
      <c r="H6" s="28" t="s">
        <v>172</v>
      </c>
    </row>
    <row r="7" customFormat="false" ht="505.2" hidden="false" customHeight="false" outlineLevel="0" collapsed="false">
      <c r="A7" s="5" t="s">
        <v>31</v>
      </c>
      <c r="B7" s="6"/>
      <c r="C7" s="6" t="n">
        <v>153.87</v>
      </c>
      <c r="D7" s="6" t="n">
        <v>112</v>
      </c>
      <c r="E7" s="28" t="s">
        <v>173</v>
      </c>
      <c r="F7" s="28" t="s">
        <v>174</v>
      </c>
      <c r="G7" s="28" t="s">
        <v>175</v>
      </c>
      <c r="H7" s="28" t="s">
        <v>176</v>
      </c>
    </row>
    <row r="8" customFormat="false" ht="382.05" hidden="false" customHeight="false" outlineLevel="0" collapsed="false">
      <c r="A8" s="5" t="s">
        <v>32</v>
      </c>
      <c r="B8" s="6"/>
      <c r="C8" s="6" t="n">
        <v>154.44</v>
      </c>
      <c r="D8" s="6" t="n">
        <v>116</v>
      </c>
      <c r="E8" s="28" t="s">
        <v>177</v>
      </c>
      <c r="F8" s="28" t="s">
        <v>178</v>
      </c>
      <c r="G8" s="28" t="s">
        <v>179</v>
      </c>
      <c r="H8" s="28" t="s">
        <v>180</v>
      </c>
    </row>
    <row r="9" customFormat="false" ht="471.6" hidden="false" customHeight="false" outlineLevel="0" collapsed="false">
      <c r="A9" s="5" t="s">
        <v>33</v>
      </c>
      <c r="B9" s="6"/>
      <c r="C9" s="6" t="n">
        <v>160.48</v>
      </c>
      <c r="D9" s="6" t="n">
        <v>112</v>
      </c>
      <c r="E9" s="28" t="s">
        <v>181</v>
      </c>
      <c r="F9" s="28" t="s">
        <v>182</v>
      </c>
      <c r="G9" s="28" t="s">
        <v>183</v>
      </c>
      <c r="H9" s="28"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0"/>
    <col collapsed="false" customWidth="true" hidden="false" outlineLevel="0" max="4" min="4" style="0" width="50"/>
  </cols>
  <sheetData>
    <row r="1" customFormat="false" ht="17.35" hidden="false" customHeight="false" outlineLevel="0" collapsed="false">
      <c r="A1" s="1" t="s">
        <v>185</v>
      </c>
    </row>
    <row r="2" customFormat="false" ht="15" hidden="false" customHeight="false" outlineLevel="0" collapsed="false">
      <c r="A2" s="2" t="s">
        <v>186</v>
      </c>
    </row>
    <row r="4" customFormat="false" ht="46.25" hidden="false" customHeight="true" outlineLevel="0" collapsed="false">
      <c r="A4" s="14" t="s">
        <v>187</v>
      </c>
      <c r="B4" s="34" t="s">
        <v>188</v>
      </c>
      <c r="C4" s="34"/>
      <c r="D4" s="34"/>
    </row>
    <row r="5" customFormat="false" ht="79.85" hidden="false" customHeight="true" outlineLevel="0" collapsed="false">
      <c r="A5" s="14" t="s">
        <v>189</v>
      </c>
      <c r="B5" s="34" t="s">
        <v>37</v>
      </c>
      <c r="C5" s="34"/>
      <c r="D5" s="34"/>
    </row>
    <row r="6" customFormat="false" ht="68.65" hidden="false" customHeight="true" outlineLevel="0" collapsed="false">
      <c r="A6" s="14" t="s">
        <v>190</v>
      </c>
      <c r="B6" s="34" t="s">
        <v>191</v>
      </c>
      <c r="C6" s="34"/>
      <c r="D6" s="34"/>
    </row>
    <row r="8" customFormat="false" ht="15" hidden="false" customHeight="false" outlineLevel="0" collapsed="false">
      <c r="A8" s="35" t="s">
        <v>192</v>
      </c>
    </row>
    <row r="9" customFormat="false" ht="15" hidden="false" customHeight="false" outlineLevel="0" collapsed="false">
      <c r="A9" s="36" t="s">
        <v>193</v>
      </c>
      <c r="B9" s="36" t="s">
        <v>194</v>
      </c>
      <c r="C9" s="36" t="s">
        <v>195</v>
      </c>
      <c r="D9" s="36" t="s">
        <v>196</v>
      </c>
    </row>
    <row r="10" customFormat="false" ht="79.85" hidden="false" customHeight="false" outlineLevel="0" collapsed="false">
      <c r="A10" s="28" t="s">
        <v>197</v>
      </c>
      <c r="B10" s="28" t="s">
        <v>198</v>
      </c>
      <c r="C10" s="28" t="s">
        <v>199</v>
      </c>
      <c r="D10" s="28" t="s">
        <v>200</v>
      </c>
    </row>
    <row r="11" customFormat="false" ht="68.65" hidden="false" customHeight="false" outlineLevel="0" collapsed="false">
      <c r="A11" s="28" t="s">
        <v>201</v>
      </c>
      <c r="B11" s="28" t="s">
        <v>202</v>
      </c>
      <c r="C11" s="28" t="s">
        <v>203</v>
      </c>
      <c r="D11" s="28" t="s">
        <v>204</v>
      </c>
    </row>
    <row r="12" customFormat="false" ht="46.25" hidden="false" customHeight="false" outlineLevel="0" collapsed="false">
      <c r="A12" s="28" t="s">
        <v>205</v>
      </c>
      <c r="B12" s="28" t="s">
        <v>206</v>
      </c>
      <c r="C12" s="28" t="s">
        <v>207</v>
      </c>
      <c r="D12" s="28" t="s">
        <v>208</v>
      </c>
    </row>
    <row r="13" customFormat="false" ht="46.25" hidden="false" customHeight="false" outlineLevel="0" collapsed="false">
      <c r="A13" s="28" t="s">
        <v>209</v>
      </c>
      <c r="B13" s="28" t="s">
        <v>210</v>
      </c>
      <c r="C13" s="28" t="s">
        <v>211</v>
      </c>
      <c r="D13" s="28" t="s">
        <v>212</v>
      </c>
    </row>
    <row r="14" customFormat="false" ht="57.45" hidden="false" customHeight="false" outlineLevel="0" collapsed="false">
      <c r="A14" s="28" t="s">
        <v>213</v>
      </c>
      <c r="B14" s="28" t="s">
        <v>214</v>
      </c>
      <c r="C14" s="28" t="s">
        <v>215</v>
      </c>
      <c r="D14" s="28" t="s">
        <v>216</v>
      </c>
    </row>
    <row r="15" customFormat="false" ht="57.45" hidden="false" customHeight="false" outlineLevel="0" collapsed="false">
      <c r="A15" s="28" t="s">
        <v>217</v>
      </c>
      <c r="B15" s="28" t="s">
        <v>218</v>
      </c>
      <c r="C15" s="28" t="s">
        <v>219</v>
      </c>
      <c r="D15" s="28" t="s">
        <v>220</v>
      </c>
    </row>
    <row r="17" customFormat="false" ht="15" hidden="false" customHeight="false" outlineLevel="0" collapsed="false">
      <c r="A17" s="35" t="s">
        <v>221</v>
      </c>
    </row>
    <row r="18" customFormat="false" ht="15" hidden="false" customHeight="false" outlineLevel="0" collapsed="false">
      <c r="A18" s="36" t="s">
        <v>222</v>
      </c>
      <c r="B18" s="36" t="s">
        <v>223</v>
      </c>
      <c r="C18" s="36" t="s">
        <v>224</v>
      </c>
      <c r="D18" s="36" t="s">
        <v>225</v>
      </c>
    </row>
    <row r="19" customFormat="false" ht="68.65" hidden="false" customHeight="false" outlineLevel="0" collapsed="false">
      <c r="A19" s="28" t="s">
        <v>226</v>
      </c>
      <c r="B19" s="28" t="s">
        <v>227</v>
      </c>
      <c r="C19" s="28" t="s">
        <v>228</v>
      </c>
      <c r="D19" s="28" t="s">
        <v>229</v>
      </c>
    </row>
    <row r="20" customFormat="false" ht="46.25" hidden="false" customHeight="false" outlineLevel="0" collapsed="false">
      <c r="A20" s="28" t="s">
        <v>230</v>
      </c>
      <c r="B20" s="28" t="s">
        <v>231</v>
      </c>
      <c r="C20" s="28" t="s">
        <v>232</v>
      </c>
      <c r="D20" s="28" t="s">
        <v>233</v>
      </c>
    </row>
    <row r="21" customFormat="false" ht="35.05" hidden="false" customHeight="false" outlineLevel="0" collapsed="false">
      <c r="A21" s="28" t="s">
        <v>234</v>
      </c>
      <c r="B21" s="28" t="s">
        <v>235</v>
      </c>
      <c r="C21" s="28" t="s">
        <v>236</v>
      </c>
      <c r="D21" s="28" t="s">
        <v>237</v>
      </c>
    </row>
    <row r="22" customFormat="false" ht="35.05" hidden="false" customHeight="false" outlineLevel="0" collapsed="false">
      <c r="A22" s="28" t="s">
        <v>238</v>
      </c>
      <c r="B22" s="28" t="s">
        <v>239</v>
      </c>
      <c r="C22" s="28" t="s">
        <v>240</v>
      </c>
      <c r="D22" s="28" t="s">
        <v>241</v>
      </c>
    </row>
    <row r="23" customFormat="false" ht="35.05" hidden="false" customHeight="false" outlineLevel="0" collapsed="false">
      <c r="A23" s="28" t="s">
        <v>242</v>
      </c>
      <c r="B23" s="28" t="s">
        <v>243</v>
      </c>
      <c r="C23" s="28" t="s">
        <v>244</v>
      </c>
      <c r="D23" s="28" t="s">
        <v>245</v>
      </c>
    </row>
    <row r="24" customFormat="false" ht="46.25" hidden="false" customHeight="false" outlineLevel="0" collapsed="false">
      <c r="A24" s="28" t="s">
        <v>246</v>
      </c>
      <c r="B24" s="28" t="s">
        <v>247</v>
      </c>
      <c r="C24" s="28" t="s">
        <v>248</v>
      </c>
      <c r="D24" s="28" t="s">
        <v>249</v>
      </c>
    </row>
    <row r="25" customFormat="false" ht="23.85" hidden="false" customHeight="false" outlineLevel="0" collapsed="false">
      <c r="A25" s="28" t="s">
        <v>250</v>
      </c>
      <c r="B25" s="28" t="s">
        <v>251</v>
      </c>
      <c r="C25" s="28" t="s">
        <v>252</v>
      </c>
      <c r="D25" s="28" t="s">
        <v>253</v>
      </c>
    </row>
    <row r="26" customFormat="false" ht="23.85" hidden="false" customHeight="false" outlineLevel="0" collapsed="false">
      <c r="A26" s="28" t="s">
        <v>254</v>
      </c>
      <c r="B26" s="28" t="s">
        <v>255</v>
      </c>
      <c r="C26" s="28" t="s">
        <v>256</v>
      </c>
      <c r="D26" s="28" t="s">
        <v>257</v>
      </c>
    </row>
    <row r="28" customFormat="false" ht="15" hidden="false" customHeight="false" outlineLevel="0" collapsed="false">
      <c r="A28" s="35" t="s">
        <v>258</v>
      </c>
    </row>
    <row r="29" customFormat="false" ht="23.85" hidden="false" customHeight="true" outlineLevel="0" collapsed="false">
      <c r="B29" s="34" t="s">
        <v>259</v>
      </c>
      <c r="C29" s="34"/>
      <c r="D29" s="34"/>
    </row>
    <row r="30" customFormat="false" ht="15" hidden="false" customHeight="true" outlineLevel="0" collapsed="false">
      <c r="B30" s="34" t="s">
        <v>260</v>
      </c>
      <c r="C30" s="34"/>
      <c r="D30" s="34"/>
    </row>
    <row r="31" customFormat="false" ht="23.85" hidden="false" customHeight="true" outlineLevel="0" collapsed="false">
      <c r="B31" s="34" t="s">
        <v>261</v>
      </c>
      <c r="C31" s="34"/>
      <c r="D31" s="34"/>
    </row>
    <row r="32" customFormat="false" ht="23.85" hidden="false" customHeight="true" outlineLevel="0" collapsed="false">
      <c r="B32" s="34" t="s">
        <v>262</v>
      </c>
      <c r="C32" s="34"/>
      <c r="D32" s="34"/>
    </row>
    <row r="33" customFormat="false" ht="23.85" hidden="false" customHeight="true" outlineLevel="0" collapsed="false">
      <c r="B33" s="34" t="s">
        <v>263</v>
      </c>
      <c r="C33" s="34"/>
      <c r="D33" s="34"/>
    </row>
    <row r="34" customFormat="false" ht="23.85" hidden="false" customHeight="true" outlineLevel="0" collapsed="false">
      <c r="B34" s="34" t="s">
        <v>264</v>
      </c>
      <c r="C34" s="34"/>
      <c r="D34" s="34"/>
    </row>
    <row r="35" customFormat="false" ht="23.85" hidden="false" customHeight="true" outlineLevel="0" collapsed="false">
      <c r="B35" s="34" t="s">
        <v>265</v>
      </c>
      <c r="C35" s="34"/>
      <c r="D35" s="34"/>
    </row>
    <row r="36" customFormat="false" ht="15" hidden="false" customHeight="true" outlineLevel="0" collapsed="false">
      <c r="B36" s="34" t="s">
        <v>266</v>
      </c>
      <c r="C36" s="34"/>
      <c r="D36" s="34"/>
    </row>
    <row r="37" customFormat="false" ht="15" hidden="false" customHeight="true" outlineLevel="0" collapsed="false">
      <c r="B37" s="34" t="s">
        <v>267</v>
      </c>
      <c r="C37" s="34"/>
      <c r="D37" s="34"/>
    </row>
    <row r="38" customFormat="false" ht="23.85" hidden="false" customHeight="true" outlineLevel="0" collapsed="false">
      <c r="B38" s="34" t="s">
        <v>268</v>
      </c>
      <c r="C38" s="34"/>
      <c r="D38" s="34"/>
    </row>
    <row r="39" customFormat="false" ht="23.85" hidden="false" customHeight="true" outlineLevel="0" collapsed="false">
      <c r="B39" s="34" t="s">
        <v>269</v>
      </c>
      <c r="C39" s="34"/>
      <c r="D39" s="34"/>
    </row>
    <row r="40" customFormat="false" ht="23.85" hidden="false" customHeight="true" outlineLevel="0" collapsed="false">
      <c r="B40" s="34" t="s">
        <v>270</v>
      </c>
      <c r="C40" s="34"/>
      <c r="D40" s="34"/>
    </row>
    <row r="41" customFormat="false" ht="23.85" hidden="false" customHeight="true" outlineLevel="0" collapsed="false">
      <c r="B41" s="34" t="s">
        <v>271</v>
      </c>
      <c r="C41" s="34"/>
      <c r="D41" s="34"/>
    </row>
    <row r="42" customFormat="false" ht="23.85" hidden="false" customHeight="true" outlineLevel="0" collapsed="false">
      <c r="B42" s="34" t="s">
        <v>272</v>
      </c>
      <c r="C42" s="34"/>
      <c r="D42" s="34"/>
    </row>
    <row r="43" customFormat="false" ht="23.85" hidden="false" customHeight="true" outlineLevel="0" collapsed="false">
      <c r="B43" s="34" t="s">
        <v>273</v>
      </c>
      <c r="C43" s="34"/>
      <c r="D43" s="34"/>
    </row>
    <row r="44" customFormat="false" ht="23.85" hidden="false" customHeight="true" outlineLevel="0" collapsed="false">
      <c r="B44" s="34" t="s">
        <v>274</v>
      </c>
      <c r="C44" s="34"/>
      <c r="D44" s="34"/>
    </row>
    <row r="45" customFormat="false" ht="15" hidden="false" customHeight="true" outlineLevel="0" collapsed="false">
      <c r="B45" s="34" t="s">
        <v>275</v>
      </c>
      <c r="C45" s="34"/>
      <c r="D45" s="34"/>
    </row>
    <row r="46" customFormat="false" ht="23.85" hidden="false" customHeight="true" outlineLevel="0" collapsed="false">
      <c r="B46" s="34" t="s">
        <v>276</v>
      </c>
      <c r="C46" s="34"/>
      <c r="D46" s="34"/>
    </row>
    <row r="47" customFormat="false" ht="15" hidden="false" customHeight="true" outlineLevel="0" collapsed="false">
      <c r="B47" s="34" t="s">
        <v>277</v>
      </c>
      <c r="C47" s="34"/>
      <c r="D47" s="34"/>
    </row>
    <row r="48" customFormat="false" ht="23.85" hidden="false" customHeight="true" outlineLevel="0" collapsed="false">
      <c r="B48" s="34" t="s">
        <v>278</v>
      </c>
      <c r="C48" s="34"/>
      <c r="D48" s="34"/>
    </row>
    <row r="49" customFormat="false" ht="23.85" hidden="false" customHeight="true" outlineLevel="0" collapsed="false">
      <c r="B49" s="34" t="s">
        <v>279</v>
      </c>
      <c r="C49" s="34"/>
      <c r="D49" s="34"/>
    </row>
    <row r="50" customFormat="false" ht="23.85" hidden="false" customHeight="true" outlineLevel="0" collapsed="false">
      <c r="B50" s="34" t="s">
        <v>280</v>
      </c>
      <c r="C50" s="34"/>
      <c r="D50" s="34"/>
    </row>
    <row r="52" customFormat="false" ht="15" hidden="false" customHeight="false" outlineLevel="0" collapsed="false">
      <c r="A52" s="35" t="s">
        <v>281</v>
      </c>
    </row>
    <row r="53" customFormat="false" ht="15" hidden="false" customHeight="false" outlineLevel="0" collapsed="false">
      <c r="A53" s="5" t="s">
        <v>282</v>
      </c>
      <c r="B53" s="28" t="s">
        <v>283</v>
      </c>
    </row>
    <row r="54" customFormat="false" ht="35.05" hidden="false" customHeight="false" outlineLevel="0" collapsed="false">
      <c r="A54" s="5" t="s">
        <v>284</v>
      </c>
      <c r="B54" s="28" t="s">
        <v>285</v>
      </c>
    </row>
  </sheetData>
  <mergeCells count="25">
    <mergeCell ref="B4:D4"/>
    <mergeCell ref="B5:D5"/>
    <mergeCell ref="B6:D6"/>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70"/>
    <col collapsed="false" customWidth="true" hidden="false" outlineLevel="0" max="4" min="4" style="0" width="12"/>
    <col collapsed="false" customWidth="true" hidden="false" outlineLevel="0" max="5" min="5" style="0" width="60"/>
  </cols>
  <sheetData>
    <row r="1" customFormat="false" ht="17.35" hidden="false" customHeight="false" outlineLevel="0" collapsed="false">
      <c r="A1" s="1" t="s">
        <v>286</v>
      </c>
    </row>
    <row r="2" customFormat="false" ht="15" hidden="false" customHeight="false" outlineLevel="0" collapsed="false">
      <c r="A2" s="2" t="s">
        <v>287</v>
      </c>
    </row>
    <row r="4" customFormat="false" ht="15" hidden="false" customHeight="false" outlineLevel="0" collapsed="false">
      <c r="A4" s="23" t="s">
        <v>74</v>
      </c>
      <c r="B4" s="23" t="s">
        <v>288</v>
      </c>
      <c r="C4" s="23" t="s">
        <v>289</v>
      </c>
      <c r="D4" s="23" t="s">
        <v>290</v>
      </c>
      <c r="E4" s="23" t="s">
        <v>291</v>
      </c>
    </row>
    <row r="5" customFormat="false" ht="15" hidden="false" customHeight="false" outlineLevel="0" collapsed="false">
      <c r="A5" s="5" t="s">
        <v>292</v>
      </c>
      <c r="B5" s="5" t="s">
        <v>293</v>
      </c>
      <c r="C5" s="28" t="s">
        <v>294</v>
      </c>
      <c r="D5" s="5" t="s">
        <v>295</v>
      </c>
      <c r="E5" s="22" t="s">
        <v>296</v>
      </c>
    </row>
    <row r="6" customFormat="false" ht="15" hidden="false" customHeight="false" outlineLevel="0" collapsed="false">
      <c r="A6" s="5" t="s">
        <v>297</v>
      </c>
      <c r="B6" s="5" t="s">
        <v>293</v>
      </c>
      <c r="C6" s="28" t="s">
        <v>298</v>
      </c>
      <c r="D6" s="5" t="s">
        <v>299</v>
      </c>
      <c r="E6" s="22" t="s">
        <v>300</v>
      </c>
    </row>
    <row r="7" customFormat="false" ht="57.45" hidden="false" customHeight="false" outlineLevel="0" collapsed="false">
      <c r="A7" s="5" t="s">
        <v>301</v>
      </c>
      <c r="B7" s="5" t="s">
        <v>293</v>
      </c>
      <c r="C7" s="28" t="s">
        <v>302</v>
      </c>
      <c r="D7" s="5" t="s">
        <v>303</v>
      </c>
      <c r="E7" s="22" t="s">
        <v>304</v>
      </c>
    </row>
    <row r="8" customFormat="false" ht="57.45" hidden="false" customHeight="false" outlineLevel="0" collapsed="false">
      <c r="A8" s="5" t="s">
        <v>305</v>
      </c>
      <c r="B8" s="5" t="s">
        <v>293</v>
      </c>
      <c r="C8" s="28" t="s">
        <v>306</v>
      </c>
      <c r="D8" s="5" t="s">
        <v>303</v>
      </c>
      <c r="E8" s="22" t="s">
        <v>307</v>
      </c>
    </row>
    <row r="9" customFormat="false" ht="35.05" hidden="false" customHeight="false" outlineLevel="0" collapsed="false">
      <c r="A9" s="5" t="s">
        <v>308</v>
      </c>
      <c r="B9" s="5" t="s">
        <v>293</v>
      </c>
      <c r="C9" s="28" t="s">
        <v>309</v>
      </c>
      <c r="D9" s="5" t="s">
        <v>310</v>
      </c>
      <c r="E9" s="22" t="s">
        <v>311</v>
      </c>
    </row>
    <row r="10" customFormat="false" ht="35.05" hidden="false" customHeight="false" outlineLevel="0" collapsed="false">
      <c r="A10" s="5" t="s">
        <v>312</v>
      </c>
      <c r="B10" s="5" t="s">
        <v>293</v>
      </c>
      <c r="C10" s="28" t="s">
        <v>313</v>
      </c>
      <c r="D10" s="5" t="s">
        <v>310</v>
      </c>
      <c r="E10" s="22" t="s">
        <v>314</v>
      </c>
    </row>
    <row r="11" customFormat="false" ht="46.25" hidden="false" customHeight="false" outlineLevel="0" collapsed="false">
      <c r="A11" s="5" t="s">
        <v>315</v>
      </c>
      <c r="B11" s="5" t="s">
        <v>293</v>
      </c>
      <c r="C11" s="28" t="s">
        <v>316</v>
      </c>
      <c r="D11" s="5" t="s">
        <v>317</v>
      </c>
      <c r="E11" s="22" t="s">
        <v>318</v>
      </c>
    </row>
    <row r="12" customFormat="false" ht="23.85" hidden="false" customHeight="false" outlineLevel="0" collapsed="false">
      <c r="A12" s="5" t="s">
        <v>319</v>
      </c>
      <c r="B12" s="5" t="s">
        <v>293</v>
      </c>
      <c r="C12" s="28" t="s">
        <v>320</v>
      </c>
      <c r="D12" s="5" t="s">
        <v>321</v>
      </c>
      <c r="E12" s="22" t="s">
        <v>322</v>
      </c>
    </row>
    <row r="13" customFormat="false" ht="23.85" hidden="false" customHeight="false" outlineLevel="0" collapsed="false">
      <c r="A13" s="5" t="s">
        <v>323</v>
      </c>
      <c r="B13" s="5" t="s">
        <v>293</v>
      </c>
      <c r="C13" s="28" t="s">
        <v>324</v>
      </c>
      <c r="D13" s="5" t="s">
        <v>325</v>
      </c>
      <c r="E13" s="22" t="s">
        <v>326</v>
      </c>
    </row>
    <row r="14" customFormat="false" ht="15" hidden="false" customHeight="false" outlineLevel="0" collapsed="false">
      <c r="A14" s="5" t="s">
        <v>327</v>
      </c>
      <c r="B14" s="5" t="s">
        <v>293</v>
      </c>
      <c r="C14" s="28" t="s">
        <v>328</v>
      </c>
      <c r="D14" s="5" t="s">
        <v>329</v>
      </c>
      <c r="E14" s="22" t="s">
        <v>330</v>
      </c>
    </row>
    <row r="15" customFormat="false" ht="35.05" hidden="false" customHeight="false" outlineLevel="0" collapsed="false">
      <c r="A15" s="5" t="s">
        <v>331</v>
      </c>
      <c r="B15" s="5" t="s">
        <v>293</v>
      </c>
      <c r="C15" s="28" t="s">
        <v>332</v>
      </c>
      <c r="D15" s="5" t="s">
        <v>333</v>
      </c>
      <c r="E15" s="22" t="s">
        <v>334</v>
      </c>
    </row>
    <row r="16" customFormat="false" ht="57.45" hidden="false" customHeight="false" outlineLevel="0" collapsed="false">
      <c r="A16" s="5" t="s">
        <v>335</v>
      </c>
      <c r="B16" s="5" t="s">
        <v>293</v>
      </c>
      <c r="C16" s="28" t="s">
        <v>336</v>
      </c>
      <c r="D16" s="5" t="s">
        <v>337</v>
      </c>
      <c r="E16" s="22" t="s">
        <v>338</v>
      </c>
    </row>
    <row r="17" customFormat="false" ht="23.85" hidden="false" customHeight="false" outlineLevel="0" collapsed="false">
      <c r="A17" s="5" t="s">
        <v>339</v>
      </c>
      <c r="B17" s="5" t="s">
        <v>293</v>
      </c>
      <c r="C17" s="28" t="s">
        <v>340</v>
      </c>
      <c r="D17" s="5" t="s">
        <v>333</v>
      </c>
      <c r="E17" s="22" t="s">
        <v>341</v>
      </c>
    </row>
    <row r="18" customFormat="false" ht="23.85" hidden="false" customHeight="false" outlineLevel="0" collapsed="false">
      <c r="A18" s="5" t="s">
        <v>342</v>
      </c>
      <c r="B18" s="5" t="s">
        <v>293</v>
      </c>
      <c r="C18" s="28" t="s">
        <v>343</v>
      </c>
      <c r="D18" s="5" t="s">
        <v>337</v>
      </c>
      <c r="E18" s="22" t="s">
        <v>344</v>
      </c>
    </row>
    <row r="19" customFormat="false" ht="35.05" hidden="false" customHeight="false" outlineLevel="0" collapsed="false">
      <c r="A19" s="5" t="s">
        <v>345</v>
      </c>
      <c r="B19" s="5" t="s">
        <v>293</v>
      </c>
      <c r="C19" s="28" t="s">
        <v>346</v>
      </c>
      <c r="D19" s="5" t="s">
        <v>347</v>
      </c>
      <c r="E19" s="22" t="s">
        <v>348</v>
      </c>
    </row>
    <row r="20" customFormat="false" ht="23.85" hidden="false" customHeight="false" outlineLevel="0" collapsed="false">
      <c r="A20" s="5" t="s">
        <v>349</v>
      </c>
      <c r="B20" s="5" t="s">
        <v>293</v>
      </c>
      <c r="C20" s="28" t="s">
        <v>350</v>
      </c>
      <c r="D20" s="5" t="s">
        <v>333</v>
      </c>
      <c r="E20" s="22" t="s">
        <v>351</v>
      </c>
    </row>
    <row r="21" customFormat="false" ht="23.85" hidden="false" customHeight="false" outlineLevel="0" collapsed="false">
      <c r="A21" s="5" t="s">
        <v>352</v>
      </c>
      <c r="B21" s="5" t="s">
        <v>293</v>
      </c>
      <c r="C21" s="28" t="s">
        <v>353</v>
      </c>
      <c r="D21" s="5" t="s">
        <v>333</v>
      </c>
      <c r="E21" s="22" t="s">
        <v>354</v>
      </c>
    </row>
    <row r="22" customFormat="false" ht="46.25" hidden="false" customHeight="false" outlineLevel="0" collapsed="false">
      <c r="A22" s="5" t="s">
        <v>355</v>
      </c>
      <c r="B22" s="5" t="s">
        <v>293</v>
      </c>
      <c r="C22" s="28" t="s">
        <v>356</v>
      </c>
      <c r="D22" s="5" t="s">
        <v>333</v>
      </c>
      <c r="E22" s="22" t="s">
        <v>357</v>
      </c>
    </row>
    <row r="23" customFormat="false" ht="35.05" hidden="false" customHeight="false" outlineLevel="0" collapsed="false">
      <c r="A23" s="5" t="s">
        <v>358</v>
      </c>
      <c r="B23" s="5" t="s">
        <v>293</v>
      </c>
      <c r="C23" s="28" t="s">
        <v>359</v>
      </c>
      <c r="D23" s="5" t="s">
        <v>333</v>
      </c>
      <c r="E23" s="22" t="s">
        <v>360</v>
      </c>
    </row>
    <row r="24" customFormat="false" ht="23.85" hidden="false" customHeight="false" outlineLevel="0" collapsed="false">
      <c r="A24" s="5" t="s">
        <v>361</v>
      </c>
      <c r="B24" s="5" t="s">
        <v>293</v>
      </c>
      <c r="C24" s="28" t="s">
        <v>362</v>
      </c>
      <c r="D24" s="5" t="s">
        <v>333</v>
      </c>
      <c r="E24" s="5" t="s">
        <v>363</v>
      </c>
    </row>
    <row r="25" customFormat="false" ht="23.85" hidden="false" customHeight="false" outlineLevel="0" collapsed="false">
      <c r="A25" s="5" t="s">
        <v>364</v>
      </c>
      <c r="B25" s="5" t="s">
        <v>293</v>
      </c>
      <c r="C25" s="28" t="s">
        <v>365</v>
      </c>
      <c r="D25" s="5" t="s">
        <v>366</v>
      </c>
      <c r="E25" s="22" t="s">
        <v>367</v>
      </c>
    </row>
    <row r="26" customFormat="false" ht="23.85" hidden="false" customHeight="false" outlineLevel="0" collapsed="false">
      <c r="A26" s="5" t="s">
        <v>368</v>
      </c>
      <c r="B26" s="5" t="s">
        <v>293</v>
      </c>
      <c r="C26" s="28" t="s">
        <v>369</v>
      </c>
      <c r="D26" s="5" t="s">
        <v>333</v>
      </c>
      <c r="E26" s="22" t="s">
        <v>370</v>
      </c>
    </row>
    <row r="27" customFormat="false" ht="46.25" hidden="false" customHeight="false" outlineLevel="0" collapsed="false">
      <c r="A27" s="5" t="s">
        <v>371</v>
      </c>
      <c r="B27" s="5" t="s">
        <v>293</v>
      </c>
      <c r="C27" s="28" t="s">
        <v>372</v>
      </c>
      <c r="D27" s="5" t="s">
        <v>373</v>
      </c>
      <c r="E27" s="22" t="s">
        <v>374</v>
      </c>
    </row>
    <row r="28" customFormat="false" ht="57.45" hidden="false" customHeight="false" outlineLevel="0" collapsed="false">
      <c r="A28" s="5" t="s">
        <v>375</v>
      </c>
      <c r="B28" s="5" t="s">
        <v>293</v>
      </c>
      <c r="C28" s="28" t="s">
        <v>376</v>
      </c>
      <c r="D28" s="5" t="s">
        <v>377</v>
      </c>
      <c r="E28" s="22" t="s">
        <v>378</v>
      </c>
    </row>
    <row r="29" customFormat="false" ht="46.25" hidden="false" customHeight="false" outlineLevel="0" collapsed="false">
      <c r="A29" s="5" t="s">
        <v>379</v>
      </c>
      <c r="B29" s="5" t="s">
        <v>293</v>
      </c>
      <c r="C29" s="28" t="s">
        <v>380</v>
      </c>
      <c r="D29" s="5" t="s">
        <v>381</v>
      </c>
      <c r="E29" s="22" t="s">
        <v>382</v>
      </c>
    </row>
    <row r="30" customFormat="false" ht="23.85" hidden="false" customHeight="false" outlineLevel="0" collapsed="false">
      <c r="A30" s="5" t="s">
        <v>383</v>
      </c>
      <c r="B30" s="5" t="s">
        <v>293</v>
      </c>
      <c r="C30" s="28" t="s">
        <v>384</v>
      </c>
      <c r="D30" s="5" t="s">
        <v>329</v>
      </c>
      <c r="E30" s="5" t="s">
        <v>385</v>
      </c>
    </row>
    <row r="31" customFormat="false" ht="35.05" hidden="false" customHeight="false" outlineLevel="0" collapsed="false">
      <c r="A31" s="5" t="s">
        <v>386</v>
      </c>
      <c r="B31" s="5" t="s">
        <v>293</v>
      </c>
      <c r="C31" s="28" t="s">
        <v>387</v>
      </c>
      <c r="D31" s="5" t="s">
        <v>388</v>
      </c>
      <c r="E31" s="22" t="s">
        <v>389</v>
      </c>
    </row>
    <row r="32" customFormat="false" ht="15" hidden="false" customHeight="false" outlineLevel="0" collapsed="false">
      <c r="A32" s="5" t="s">
        <v>390</v>
      </c>
      <c r="B32" s="5" t="s">
        <v>293</v>
      </c>
      <c r="C32" s="28" t="s">
        <v>391</v>
      </c>
      <c r="D32" s="5" t="s">
        <v>333</v>
      </c>
      <c r="E32" s="22" t="s">
        <v>392</v>
      </c>
    </row>
    <row r="33" customFormat="false" ht="15" hidden="false" customHeight="false" outlineLevel="0" collapsed="false">
      <c r="A33" s="5" t="s">
        <v>393</v>
      </c>
      <c r="B33" s="5" t="s">
        <v>394</v>
      </c>
      <c r="C33" s="28" t="s">
        <v>395</v>
      </c>
      <c r="D33" s="5" t="s">
        <v>295</v>
      </c>
      <c r="E33" s="22" t="s">
        <v>296</v>
      </c>
    </row>
    <row r="34" customFormat="false" ht="15" hidden="false" customHeight="false" outlineLevel="0" collapsed="false">
      <c r="A34" s="5" t="s">
        <v>396</v>
      </c>
      <c r="B34" s="5" t="s">
        <v>394</v>
      </c>
      <c r="C34" s="28" t="s">
        <v>397</v>
      </c>
      <c r="D34" s="5" t="s">
        <v>299</v>
      </c>
      <c r="E34" s="22" t="s">
        <v>300</v>
      </c>
    </row>
    <row r="35" customFormat="false" ht="68.65" hidden="false" customHeight="false" outlineLevel="0" collapsed="false">
      <c r="A35" s="5" t="s">
        <v>398</v>
      </c>
      <c r="B35" s="5" t="s">
        <v>394</v>
      </c>
      <c r="C35" s="28" t="s">
        <v>399</v>
      </c>
      <c r="D35" s="5" t="s">
        <v>303</v>
      </c>
      <c r="E35" s="22" t="s">
        <v>304</v>
      </c>
    </row>
    <row r="36" customFormat="false" ht="68.65" hidden="false" customHeight="false" outlineLevel="0" collapsed="false">
      <c r="A36" s="5" t="s">
        <v>400</v>
      </c>
      <c r="B36" s="5" t="s">
        <v>394</v>
      </c>
      <c r="C36" s="28" t="s">
        <v>401</v>
      </c>
      <c r="D36" s="5" t="s">
        <v>303</v>
      </c>
      <c r="E36" s="22" t="s">
        <v>307</v>
      </c>
    </row>
    <row r="37" customFormat="false" ht="23.85" hidden="false" customHeight="false" outlineLevel="0" collapsed="false">
      <c r="A37" s="5" t="s">
        <v>402</v>
      </c>
      <c r="B37" s="5" t="s">
        <v>394</v>
      </c>
      <c r="C37" s="28" t="s">
        <v>403</v>
      </c>
      <c r="D37" s="5" t="s">
        <v>333</v>
      </c>
      <c r="E37" s="22" t="s">
        <v>360</v>
      </c>
    </row>
    <row r="38" customFormat="false" ht="23.85" hidden="false" customHeight="false" outlineLevel="0" collapsed="false">
      <c r="A38" s="5" t="s">
        <v>404</v>
      </c>
      <c r="B38" s="5" t="s">
        <v>394</v>
      </c>
      <c r="C38" s="28" t="s">
        <v>405</v>
      </c>
      <c r="D38" s="5" t="s">
        <v>333</v>
      </c>
      <c r="E38" s="22" t="s">
        <v>360</v>
      </c>
    </row>
    <row r="39" customFormat="false" ht="23.85" hidden="false" customHeight="false" outlineLevel="0" collapsed="false">
      <c r="A39" s="5" t="s">
        <v>406</v>
      </c>
      <c r="B39" s="5" t="s">
        <v>394</v>
      </c>
      <c r="C39" s="28" t="s">
        <v>407</v>
      </c>
      <c r="D39" s="5" t="s">
        <v>321</v>
      </c>
      <c r="E39" s="22" t="s">
        <v>408</v>
      </c>
    </row>
    <row r="40" customFormat="false" ht="23.85" hidden="false" customHeight="false" outlineLevel="0" collapsed="false">
      <c r="A40" s="5" t="s">
        <v>409</v>
      </c>
      <c r="B40" s="5" t="s">
        <v>394</v>
      </c>
      <c r="C40" s="28" t="s">
        <v>410</v>
      </c>
      <c r="D40" s="5" t="s">
        <v>411</v>
      </c>
      <c r="E40" s="22" t="s">
        <v>412</v>
      </c>
    </row>
    <row r="41" customFormat="false" ht="23.85" hidden="false" customHeight="false" outlineLevel="0" collapsed="false">
      <c r="A41" s="5" t="s">
        <v>413</v>
      </c>
      <c r="B41" s="5" t="s">
        <v>394</v>
      </c>
      <c r="C41" s="28" t="s">
        <v>414</v>
      </c>
      <c r="D41" s="5" t="s">
        <v>415</v>
      </c>
      <c r="E41" s="22" t="s">
        <v>416</v>
      </c>
    </row>
    <row r="42" customFormat="false" ht="23.85" hidden="false" customHeight="false" outlineLevel="0" collapsed="false">
      <c r="A42" s="5" t="s">
        <v>417</v>
      </c>
      <c r="B42" s="5" t="s">
        <v>394</v>
      </c>
      <c r="C42" s="28" t="s">
        <v>418</v>
      </c>
      <c r="D42" s="5" t="s">
        <v>419</v>
      </c>
      <c r="E42" s="22" t="s">
        <v>420</v>
      </c>
    </row>
    <row r="43" customFormat="false" ht="23.85" hidden="false" customHeight="false" outlineLevel="0" collapsed="false">
      <c r="A43" s="5" t="s">
        <v>421</v>
      </c>
      <c r="B43" s="5" t="s">
        <v>394</v>
      </c>
      <c r="C43" s="28" t="s">
        <v>422</v>
      </c>
      <c r="D43" s="5" t="s">
        <v>347</v>
      </c>
      <c r="E43" s="22" t="s">
        <v>423</v>
      </c>
    </row>
    <row r="44" customFormat="false" ht="15" hidden="false" customHeight="false" outlineLevel="0" collapsed="false">
      <c r="A44" s="5" t="s">
        <v>424</v>
      </c>
      <c r="B44" s="5" t="s">
        <v>394</v>
      </c>
      <c r="C44" s="28" t="s">
        <v>425</v>
      </c>
      <c r="D44" s="5" t="s">
        <v>426</v>
      </c>
      <c r="E44" s="22" t="s">
        <v>427</v>
      </c>
    </row>
    <row r="45" customFormat="false" ht="23.85" hidden="false" customHeight="false" outlineLevel="0" collapsed="false">
      <c r="A45" s="5" t="s">
        <v>428</v>
      </c>
      <c r="B45" s="5" t="s">
        <v>394</v>
      </c>
      <c r="C45" s="28" t="s">
        <v>429</v>
      </c>
      <c r="D45" s="5" t="s">
        <v>430</v>
      </c>
      <c r="E45" s="22" t="s">
        <v>431</v>
      </c>
    </row>
    <row r="46" customFormat="false" ht="23.85" hidden="false" customHeight="false" outlineLevel="0" collapsed="false">
      <c r="A46" s="5" t="s">
        <v>432</v>
      </c>
      <c r="B46" s="5" t="s">
        <v>394</v>
      </c>
      <c r="C46" s="28" t="s">
        <v>433</v>
      </c>
      <c r="D46" s="5" t="s">
        <v>434</v>
      </c>
      <c r="E46" s="22" t="s">
        <v>435</v>
      </c>
    </row>
    <row r="47" customFormat="false" ht="23.85" hidden="false" customHeight="false" outlineLevel="0" collapsed="false">
      <c r="A47" s="5" t="s">
        <v>436</v>
      </c>
      <c r="B47" s="5" t="s">
        <v>394</v>
      </c>
      <c r="C47" s="28" t="s">
        <v>437</v>
      </c>
      <c r="D47" s="5" t="s">
        <v>438</v>
      </c>
      <c r="E47" s="22" t="s">
        <v>439</v>
      </c>
    </row>
    <row r="48" customFormat="false" ht="23.85" hidden="false" customHeight="false" outlineLevel="0" collapsed="false">
      <c r="A48" s="5" t="s">
        <v>440</v>
      </c>
      <c r="B48" s="5" t="s">
        <v>394</v>
      </c>
      <c r="C48" s="28" t="s">
        <v>441</v>
      </c>
      <c r="D48" s="5" t="s">
        <v>442</v>
      </c>
      <c r="E48" s="22" t="s">
        <v>443</v>
      </c>
    </row>
    <row r="49" customFormat="false" ht="23.85" hidden="false" customHeight="false" outlineLevel="0" collapsed="false">
      <c r="A49" s="5" t="s">
        <v>444</v>
      </c>
      <c r="B49" s="5" t="s">
        <v>394</v>
      </c>
      <c r="C49" s="28" t="s">
        <v>445</v>
      </c>
      <c r="D49" s="5" t="s">
        <v>446</v>
      </c>
      <c r="E49" s="22" t="s">
        <v>447</v>
      </c>
    </row>
    <row r="50" customFormat="false" ht="23.85" hidden="false" customHeight="false" outlineLevel="0" collapsed="false">
      <c r="A50" s="5" t="s">
        <v>448</v>
      </c>
      <c r="B50" s="5" t="s">
        <v>394</v>
      </c>
      <c r="C50" s="28" t="s">
        <v>449</v>
      </c>
      <c r="D50" s="5" t="s">
        <v>333</v>
      </c>
      <c r="E50" s="22" t="s">
        <v>450</v>
      </c>
    </row>
    <row r="51" customFormat="false" ht="23.85" hidden="false" customHeight="false" outlineLevel="0" collapsed="false">
      <c r="A51" s="5" t="s">
        <v>451</v>
      </c>
      <c r="B51" s="5" t="s">
        <v>394</v>
      </c>
      <c r="C51" s="28" t="s">
        <v>452</v>
      </c>
      <c r="D51" s="5" t="s">
        <v>333</v>
      </c>
      <c r="E51" s="22" t="s">
        <v>453</v>
      </c>
    </row>
    <row r="52" customFormat="false" ht="23.85" hidden="false" customHeight="false" outlineLevel="0" collapsed="false">
      <c r="A52" s="5" t="s">
        <v>454</v>
      </c>
      <c r="B52" s="5" t="s">
        <v>394</v>
      </c>
      <c r="C52" s="28" t="s">
        <v>455</v>
      </c>
      <c r="D52" s="5" t="s">
        <v>333</v>
      </c>
      <c r="E52" s="22" t="s">
        <v>370</v>
      </c>
    </row>
    <row r="53" customFormat="false" ht="23.85" hidden="false" customHeight="false" outlineLevel="0" collapsed="false">
      <c r="A53" s="5" t="s">
        <v>456</v>
      </c>
      <c r="B53" s="5" t="s">
        <v>394</v>
      </c>
      <c r="C53" s="28" t="s">
        <v>457</v>
      </c>
      <c r="D53" s="5" t="s">
        <v>333</v>
      </c>
      <c r="E53" s="22" t="s">
        <v>458</v>
      </c>
    </row>
    <row r="54" customFormat="false" ht="23.85" hidden="false" customHeight="false" outlineLevel="0" collapsed="false">
      <c r="A54" s="5" t="s">
        <v>459</v>
      </c>
      <c r="B54" s="5" t="s">
        <v>394</v>
      </c>
      <c r="C54" s="28" t="s">
        <v>460</v>
      </c>
      <c r="D54" s="5" t="s">
        <v>333</v>
      </c>
      <c r="E54" s="22" t="s">
        <v>461</v>
      </c>
    </row>
    <row r="55" customFormat="false" ht="15" hidden="false" customHeight="false" outlineLevel="0" collapsed="false">
      <c r="A55" s="5" t="s">
        <v>462</v>
      </c>
      <c r="B55" s="5" t="s">
        <v>394</v>
      </c>
      <c r="C55" s="28" t="s">
        <v>463</v>
      </c>
      <c r="D55" s="5" t="s">
        <v>333</v>
      </c>
      <c r="E55" s="22" t="s">
        <v>464</v>
      </c>
    </row>
    <row r="56" customFormat="false" ht="23.85" hidden="false" customHeight="false" outlineLevel="0" collapsed="false">
      <c r="A56" s="5" t="s">
        <v>465</v>
      </c>
      <c r="B56" s="5" t="s">
        <v>394</v>
      </c>
      <c r="C56" s="28" t="s">
        <v>466</v>
      </c>
      <c r="D56" s="5" t="s">
        <v>325</v>
      </c>
      <c r="E56" s="22" t="s">
        <v>326</v>
      </c>
    </row>
    <row r="57" customFormat="false" ht="15" hidden="false" customHeight="false" outlineLevel="0" collapsed="false">
      <c r="A57" s="5" t="s">
        <v>467</v>
      </c>
      <c r="B57" s="5" t="s">
        <v>394</v>
      </c>
      <c r="C57" s="28" t="s">
        <v>468</v>
      </c>
      <c r="D57" s="5" t="s">
        <v>295</v>
      </c>
      <c r="E57" s="22" t="s">
        <v>469</v>
      </c>
    </row>
    <row r="58" customFormat="false" ht="23.85" hidden="false" customHeight="false" outlineLevel="0" collapsed="false">
      <c r="A58" s="5" t="s">
        <v>470</v>
      </c>
      <c r="B58" s="5" t="s">
        <v>394</v>
      </c>
      <c r="C58" s="28" t="s">
        <v>471</v>
      </c>
      <c r="D58" s="5" t="s">
        <v>333</v>
      </c>
      <c r="E58" s="22" t="s">
        <v>472</v>
      </c>
    </row>
    <row r="59" customFormat="false" ht="23.85" hidden="false" customHeight="false" outlineLevel="0" collapsed="false">
      <c r="A59" s="5" t="s">
        <v>473</v>
      </c>
      <c r="B59" s="5" t="s">
        <v>394</v>
      </c>
      <c r="C59" s="28" t="s">
        <v>474</v>
      </c>
      <c r="D59" s="5" t="s">
        <v>333</v>
      </c>
      <c r="E59" s="22" t="s">
        <v>351</v>
      </c>
    </row>
    <row r="60" customFormat="false" ht="23.85" hidden="false" customHeight="false" outlineLevel="0" collapsed="false">
      <c r="A60" s="5" t="s">
        <v>475</v>
      </c>
      <c r="B60" s="5" t="s">
        <v>394</v>
      </c>
      <c r="C60" s="28" t="s">
        <v>476</v>
      </c>
      <c r="D60" s="5" t="s">
        <v>333</v>
      </c>
      <c r="E60" s="22" t="s">
        <v>477</v>
      </c>
    </row>
    <row r="61" customFormat="false" ht="23.85" hidden="false" customHeight="false" outlineLevel="0" collapsed="false">
      <c r="A61" s="5" t="s">
        <v>478</v>
      </c>
      <c r="B61" s="5" t="s">
        <v>394</v>
      </c>
      <c r="C61" s="28" t="s">
        <v>479</v>
      </c>
      <c r="D61" s="5" t="s">
        <v>333</v>
      </c>
      <c r="E61" s="22" t="s">
        <v>480</v>
      </c>
    </row>
    <row r="62" customFormat="false" ht="23.85" hidden="false" customHeight="false" outlineLevel="0" collapsed="false">
      <c r="A62" s="5" t="s">
        <v>481</v>
      </c>
      <c r="B62" s="5" t="s">
        <v>394</v>
      </c>
      <c r="C62" s="28" t="s">
        <v>482</v>
      </c>
      <c r="D62" s="5" t="s">
        <v>329</v>
      </c>
      <c r="E62" s="5" t="s">
        <v>385</v>
      </c>
    </row>
    <row r="63" customFormat="false" ht="23.85" hidden="false" customHeight="false" outlineLevel="0" collapsed="false">
      <c r="A63" s="5" t="s">
        <v>483</v>
      </c>
      <c r="B63" s="5" t="s">
        <v>394</v>
      </c>
      <c r="C63" s="28" t="s">
        <v>484</v>
      </c>
      <c r="D63" s="5" t="s">
        <v>485</v>
      </c>
      <c r="E63" s="22" t="s">
        <v>486</v>
      </c>
    </row>
    <row r="64" customFormat="false" ht="15" hidden="false" customHeight="false" outlineLevel="0" collapsed="false">
      <c r="A64" s="5" t="s">
        <v>487</v>
      </c>
      <c r="B64" s="5" t="s">
        <v>394</v>
      </c>
      <c r="C64" s="28" t="s">
        <v>488</v>
      </c>
      <c r="D64" s="5" t="s">
        <v>489</v>
      </c>
      <c r="E64" s="22" t="s">
        <v>490</v>
      </c>
    </row>
    <row r="65" customFormat="false" ht="57.45" hidden="false" customHeight="false" outlineLevel="0" collapsed="false">
      <c r="A65" s="5" t="s">
        <v>491</v>
      </c>
      <c r="B65" s="5" t="s">
        <v>394</v>
      </c>
      <c r="C65" s="28" t="s">
        <v>492</v>
      </c>
      <c r="D65" s="5" t="s">
        <v>373</v>
      </c>
      <c r="E65" s="22" t="s">
        <v>374</v>
      </c>
    </row>
    <row r="66" customFormat="false" ht="46.25" hidden="false" customHeight="false" outlineLevel="0" collapsed="false">
      <c r="A66" s="5" t="s">
        <v>493</v>
      </c>
      <c r="B66" s="5" t="s">
        <v>394</v>
      </c>
      <c r="C66" s="28" t="s">
        <v>494</v>
      </c>
      <c r="D66" s="5" t="s">
        <v>310</v>
      </c>
      <c r="E66" s="22" t="s">
        <v>314</v>
      </c>
    </row>
    <row r="67" customFormat="false" ht="35.05" hidden="false" customHeight="false" outlineLevel="0" collapsed="false">
      <c r="A67" s="5" t="s">
        <v>495</v>
      </c>
      <c r="B67" s="5" t="s">
        <v>394</v>
      </c>
      <c r="C67" s="28" t="s">
        <v>496</v>
      </c>
      <c r="D67" s="5" t="s">
        <v>388</v>
      </c>
      <c r="E67" s="22" t="s">
        <v>389</v>
      </c>
    </row>
    <row r="68" customFormat="false" ht="35.05" hidden="false" customHeight="false" outlineLevel="0" collapsed="false">
      <c r="A68" s="5" t="s">
        <v>497</v>
      </c>
      <c r="B68" s="5" t="s">
        <v>394</v>
      </c>
      <c r="C68" s="28" t="s">
        <v>498</v>
      </c>
      <c r="D68" s="5" t="s">
        <v>366</v>
      </c>
      <c r="E68" s="22" t="s">
        <v>499</v>
      </c>
    </row>
    <row r="69" customFormat="false" ht="35.05" hidden="false" customHeight="false" outlineLevel="0" collapsed="false">
      <c r="A69" s="5" t="s">
        <v>500</v>
      </c>
      <c r="B69" s="5" t="s">
        <v>394</v>
      </c>
      <c r="C69" s="28" t="s">
        <v>501</v>
      </c>
      <c r="D69" s="5" t="s">
        <v>366</v>
      </c>
      <c r="E69" s="22" t="s">
        <v>502</v>
      </c>
    </row>
    <row r="70" customFormat="false" ht="23.85" hidden="false" customHeight="false" outlineLevel="0" collapsed="false">
      <c r="A70" s="5" t="s">
        <v>503</v>
      </c>
      <c r="B70" s="5" t="s">
        <v>394</v>
      </c>
      <c r="C70" s="28" t="s">
        <v>504</v>
      </c>
      <c r="D70" s="5" t="s">
        <v>295</v>
      </c>
      <c r="E70" s="22" t="s">
        <v>505</v>
      </c>
    </row>
    <row r="71" customFormat="false" ht="23.85" hidden="false" customHeight="false" outlineLevel="0" collapsed="false">
      <c r="A71" s="5" t="s">
        <v>506</v>
      </c>
      <c r="B71" s="5" t="s">
        <v>507</v>
      </c>
      <c r="C71" s="28" t="s">
        <v>508</v>
      </c>
      <c r="D71" s="5" t="s">
        <v>337</v>
      </c>
      <c r="E71" s="22" t="s">
        <v>338</v>
      </c>
    </row>
    <row r="72" customFormat="false" ht="23.85" hidden="false" customHeight="false" outlineLevel="0" collapsed="false">
      <c r="A72" s="5" t="s">
        <v>509</v>
      </c>
      <c r="B72" s="5" t="s">
        <v>507</v>
      </c>
      <c r="C72" s="28" t="s">
        <v>510</v>
      </c>
      <c r="D72" s="5" t="s">
        <v>373</v>
      </c>
      <c r="E72" s="22" t="s">
        <v>374</v>
      </c>
    </row>
    <row r="73" customFormat="false" ht="23.85" hidden="false" customHeight="false" outlineLevel="0" collapsed="false">
      <c r="A73" s="5" t="s">
        <v>511</v>
      </c>
      <c r="B73" s="5" t="s">
        <v>507</v>
      </c>
      <c r="C73" s="28" t="s">
        <v>512</v>
      </c>
      <c r="D73" s="5" t="s">
        <v>411</v>
      </c>
      <c r="E73" s="22" t="s">
        <v>412</v>
      </c>
    </row>
    <row r="74" customFormat="false" ht="23.85" hidden="false" customHeight="false" outlineLevel="0" collapsed="false">
      <c r="A74" s="5" t="s">
        <v>513</v>
      </c>
      <c r="B74" s="5" t="s">
        <v>507</v>
      </c>
      <c r="C74" s="28" t="s">
        <v>514</v>
      </c>
      <c r="D74" s="5" t="s">
        <v>419</v>
      </c>
      <c r="E74" s="22" t="s">
        <v>420</v>
      </c>
    </row>
    <row r="75" customFormat="false" ht="15" hidden="false" customHeight="false" outlineLevel="0" collapsed="false">
      <c r="A75" s="5" t="s">
        <v>515</v>
      </c>
      <c r="B75" s="5" t="s">
        <v>507</v>
      </c>
      <c r="C75" s="28" t="s">
        <v>516</v>
      </c>
      <c r="D75" s="5" t="s">
        <v>517</v>
      </c>
      <c r="E75" s="22" t="s">
        <v>518</v>
      </c>
    </row>
    <row r="76" customFormat="false" ht="23.85" hidden="false" customHeight="false" outlineLevel="0" collapsed="false">
      <c r="A76" s="5" t="s">
        <v>519</v>
      </c>
      <c r="B76" s="5" t="s">
        <v>507</v>
      </c>
      <c r="C76" s="28" t="s">
        <v>520</v>
      </c>
      <c r="D76" s="5" t="s">
        <v>521</v>
      </c>
      <c r="E76" s="22" t="s">
        <v>522</v>
      </c>
    </row>
    <row r="77" customFormat="false" ht="23.85" hidden="false" customHeight="false" outlineLevel="0" collapsed="false">
      <c r="A77" s="5" t="s">
        <v>523</v>
      </c>
      <c r="B77" s="5" t="s">
        <v>507</v>
      </c>
      <c r="C77" s="28" t="s">
        <v>524</v>
      </c>
      <c r="D77" s="5" t="s">
        <v>442</v>
      </c>
      <c r="E77" s="22" t="s">
        <v>525</v>
      </c>
    </row>
    <row r="78" customFormat="false" ht="23.85" hidden="false" customHeight="false" outlineLevel="0" collapsed="false">
      <c r="A78" s="5" t="s">
        <v>526</v>
      </c>
      <c r="B78" s="5" t="s">
        <v>507</v>
      </c>
      <c r="C78" s="28" t="s">
        <v>527</v>
      </c>
      <c r="D78" s="5" t="s">
        <v>381</v>
      </c>
      <c r="E78" s="22" t="s">
        <v>528</v>
      </c>
    </row>
    <row r="79" customFormat="false" ht="15" hidden="false" customHeight="false" outlineLevel="0" collapsed="false">
      <c r="A79" s="5" t="s">
        <v>529</v>
      </c>
      <c r="B79" s="5" t="s">
        <v>507</v>
      </c>
      <c r="C79" s="28" t="s">
        <v>530</v>
      </c>
      <c r="D79" s="5" t="s">
        <v>531</v>
      </c>
      <c r="E79" s="22" t="s">
        <v>532</v>
      </c>
    </row>
    <row r="80" customFormat="false" ht="23.85" hidden="false" customHeight="false" outlineLevel="0" collapsed="false">
      <c r="A80" s="5" t="s">
        <v>533</v>
      </c>
      <c r="B80" s="5" t="s">
        <v>507</v>
      </c>
      <c r="C80" s="28" t="s">
        <v>534</v>
      </c>
      <c r="D80" s="5" t="s">
        <v>329</v>
      </c>
      <c r="E80" s="22" t="s">
        <v>330</v>
      </c>
    </row>
    <row r="81" customFormat="false" ht="23.85" hidden="false" customHeight="false" outlineLevel="0" collapsed="false">
      <c r="A81" s="5" t="s">
        <v>535</v>
      </c>
      <c r="B81" s="5" t="s">
        <v>507</v>
      </c>
      <c r="C81" s="28" t="s">
        <v>536</v>
      </c>
      <c r="D81" s="5" t="s">
        <v>537</v>
      </c>
      <c r="E81" s="22" t="s">
        <v>538</v>
      </c>
    </row>
    <row r="82" customFormat="false" ht="23.85" hidden="false" customHeight="false" outlineLevel="0" collapsed="false">
      <c r="A82" s="5" t="s">
        <v>539</v>
      </c>
      <c r="B82" s="5" t="s">
        <v>507</v>
      </c>
      <c r="C82" s="28" t="s">
        <v>540</v>
      </c>
      <c r="D82" s="5" t="s">
        <v>438</v>
      </c>
      <c r="E82" s="22" t="s">
        <v>541</v>
      </c>
    </row>
    <row r="83" customFormat="false" ht="23.85" hidden="false" customHeight="false" outlineLevel="0" collapsed="false">
      <c r="A83" s="5" t="s">
        <v>542</v>
      </c>
      <c r="B83" s="5" t="s">
        <v>507</v>
      </c>
      <c r="C83" s="28" t="s">
        <v>543</v>
      </c>
      <c r="D83" s="5" t="s">
        <v>333</v>
      </c>
      <c r="E83" s="22" t="s">
        <v>334</v>
      </c>
    </row>
    <row r="84" customFormat="false" ht="23.85" hidden="false" customHeight="false" outlineLevel="0" collapsed="false">
      <c r="A84" s="5" t="s">
        <v>544</v>
      </c>
      <c r="B84" s="5" t="s">
        <v>507</v>
      </c>
      <c r="C84" s="28" t="s">
        <v>545</v>
      </c>
      <c r="D84" s="5" t="s">
        <v>333</v>
      </c>
      <c r="E84" s="22" t="s">
        <v>546</v>
      </c>
    </row>
    <row r="85" customFormat="false" ht="23.85" hidden="false" customHeight="false" outlineLevel="0" collapsed="false">
      <c r="A85" s="5" t="s">
        <v>547</v>
      </c>
      <c r="B85" s="5" t="s">
        <v>507</v>
      </c>
      <c r="C85" s="28" t="s">
        <v>548</v>
      </c>
      <c r="D85" s="5" t="s">
        <v>549</v>
      </c>
      <c r="E85" s="22" t="s">
        <v>550</v>
      </c>
    </row>
    <row r="86" customFormat="false" ht="23.85" hidden="false" customHeight="false" outlineLevel="0" collapsed="false">
      <c r="A86" s="5" t="s">
        <v>551</v>
      </c>
      <c r="B86" s="5" t="s">
        <v>507</v>
      </c>
      <c r="C86" s="28" t="s">
        <v>552</v>
      </c>
      <c r="D86" s="5" t="s">
        <v>553</v>
      </c>
      <c r="E86" s="22" t="s">
        <v>554</v>
      </c>
    </row>
    <row r="87" customFormat="false" ht="23.85" hidden="false" customHeight="false" outlineLevel="0" collapsed="false">
      <c r="A87" s="5" t="s">
        <v>555</v>
      </c>
      <c r="B87" s="5" t="s">
        <v>507</v>
      </c>
      <c r="C87" s="28" t="s">
        <v>556</v>
      </c>
      <c r="D87" s="5" t="s">
        <v>333</v>
      </c>
      <c r="E87" s="22" t="s">
        <v>480</v>
      </c>
    </row>
    <row r="88" customFormat="false" ht="23.85" hidden="false" customHeight="false" outlineLevel="0" collapsed="false">
      <c r="A88" s="5" t="s">
        <v>557</v>
      </c>
      <c r="B88" s="5" t="s">
        <v>507</v>
      </c>
      <c r="C88" s="28" t="s">
        <v>558</v>
      </c>
      <c r="D88" s="5" t="s">
        <v>299</v>
      </c>
      <c r="E88" s="22" t="s">
        <v>300</v>
      </c>
    </row>
    <row r="89" customFormat="false" ht="15" hidden="false" customHeight="false" outlineLevel="0" collapsed="false">
      <c r="A89" s="5" t="s">
        <v>559</v>
      </c>
      <c r="B89" s="5" t="s">
        <v>507</v>
      </c>
      <c r="C89" s="28" t="s">
        <v>560</v>
      </c>
      <c r="D89" s="5" t="s">
        <v>295</v>
      </c>
      <c r="E89" s="22" t="s">
        <v>296</v>
      </c>
    </row>
    <row r="90" customFormat="false" ht="35.05" hidden="false" customHeight="false" outlineLevel="0" collapsed="false">
      <c r="A90" s="5" t="s">
        <v>561</v>
      </c>
      <c r="B90" s="5" t="s">
        <v>507</v>
      </c>
      <c r="C90" s="28" t="s">
        <v>562</v>
      </c>
      <c r="D90" s="5" t="s">
        <v>303</v>
      </c>
      <c r="E90" s="22" t="s">
        <v>563</v>
      </c>
    </row>
    <row r="91" customFormat="false" ht="15" hidden="false" customHeight="false" outlineLevel="0" collapsed="false">
      <c r="A91" s="5" t="s">
        <v>564</v>
      </c>
      <c r="B91" s="5" t="s">
        <v>507</v>
      </c>
      <c r="C91" s="28" t="s">
        <v>565</v>
      </c>
      <c r="D91" s="5" t="s">
        <v>303</v>
      </c>
      <c r="E91" s="22" t="s">
        <v>307</v>
      </c>
    </row>
    <row r="92" customFormat="false" ht="15" hidden="false" customHeight="false" outlineLevel="0" collapsed="false">
      <c r="A92" s="5" t="s">
        <v>566</v>
      </c>
      <c r="B92" s="5" t="s">
        <v>507</v>
      </c>
      <c r="C92" s="28" t="s">
        <v>567</v>
      </c>
      <c r="D92" s="5" t="s">
        <v>333</v>
      </c>
      <c r="E92" s="22" t="s">
        <v>458</v>
      </c>
    </row>
    <row r="93" customFormat="false" ht="15" hidden="false" customHeight="false" outlineLevel="0" collapsed="false">
      <c r="A93" s="5" t="s">
        <v>568</v>
      </c>
      <c r="B93" s="5" t="s">
        <v>507</v>
      </c>
      <c r="C93" s="28" t="s">
        <v>569</v>
      </c>
      <c r="D93" s="5" t="s">
        <v>333</v>
      </c>
      <c r="E93" s="22" t="s">
        <v>370</v>
      </c>
    </row>
    <row r="94" customFormat="false" ht="15" hidden="false" customHeight="false" outlineLevel="0" collapsed="false">
      <c r="A94" s="5" t="s">
        <v>570</v>
      </c>
      <c r="B94" s="5" t="s">
        <v>507</v>
      </c>
      <c r="C94" s="28" t="s">
        <v>571</v>
      </c>
      <c r="D94" s="5" t="s">
        <v>333</v>
      </c>
      <c r="E94" s="22" t="s">
        <v>572</v>
      </c>
    </row>
    <row r="95" customFormat="false" ht="23.85" hidden="false" customHeight="false" outlineLevel="0" collapsed="false">
      <c r="A95" s="5" t="s">
        <v>573</v>
      </c>
      <c r="B95" s="5" t="s">
        <v>507</v>
      </c>
      <c r="C95" s="28" t="s">
        <v>574</v>
      </c>
      <c r="D95" s="5" t="s">
        <v>333</v>
      </c>
      <c r="E95" s="22" t="s">
        <v>461</v>
      </c>
    </row>
    <row r="96" customFormat="false" ht="23.85" hidden="false" customHeight="false" outlineLevel="0" collapsed="false">
      <c r="A96" s="5" t="s">
        <v>575</v>
      </c>
      <c r="B96" s="5" t="s">
        <v>507</v>
      </c>
      <c r="C96" s="28" t="s">
        <v>576</v>
      </c>
      <c r="D96" s="5" t="s">
        <v>333</v>
      </c>
      <c r="E96" s="22" t="s">
        <v>360</v>
      </c>
    </row>
    <row r="97" customFormat="false" ht="23.85" hidden="false" customHeight="false" outlineLevel="0" collapsed="false">
      <c r="A97" s="5" t="s">
        <v>577</v>
      </c>
      <c r="B97" s="5" t="s">
        <v>507</v>
      </c>
      <c r="C97" s="28" t="s">
        <v>578</v>
      </c>
      <c r="D97" s="5" t="s">
        <v>333</v>
      </c>
      <c r="E97" s="5" t="s">
        <v>363</v>
      </c>
    </row>
    <row r="98" customFormat="false" ht="15" hidden="false" customHeight="false" outlineLevel="0" collapsed="false">
      <c r="A98" s="5" t="s">
        <v>579</v>
      </c>
      <c r="B98" s="5" t="s">
        <v>507</v>
      </c>
      <c r="C98" s="28" t="s">
        <v>580</v>
      </c>
      <c r="D98" s="5" t="s">
        <v>329</v>
      </c>
      <c r="E98" s="5" t="s">
        <v>385</v>
      </c>
    </row>
    <row r="99" customFormat="false" ht="46.25" hidden="false" customHeight="false" outlineLevel="0" collapsed="false">
      <c r="A99" s="5" t="s">
        <v>581</v>
      </c>
      <c r="B99" s="5" t="s">
        <v>507</v>
      </c>
      <c r="C99" s="28" t="s">
        <v>582</v>
      </c>
      <c r="D99" s="5" t="s">
        <v>310</v>
      </c>
      <c r="E99" s="22" t="s">
        <v>314</v>
      </c>
    </row>
    <row r="100" customFormat="false" ht="46.25" hidden="false" customHeight="false" outlineLevel="0" collapsed="false">
      <c r="A100" s="5" t="s">
        <v>583</v>
      </c>
      <c r="B100" s="5" t="s">
        <v>507</v>
      </c>
      <c r="C100" s="28" t="s">
        <v>584</v>
      </c>
      <c r="D100" s="5" t="s">
        <v>388</v>
      </c>
      <c r="E100" s="22" t="s">
        <v>585</v>
      </c>
    </row>
    <row r="101" customFormat="false" ht="23.85" hidden="false" customHeight="false" outlineLevel="0" collapsed="false">
      <c r="A101" s="5" t="s">
        <v>586</v>
      </c>
      <c r="B101" s="5" t="s">
        <v>507</v>
      </c>
      <c r="C101" s="28" t="s">
        <v>587</v>
      </c>
      <c r="D101" s="5" t="s">
        <v>337</v>
      </c>
      <c r="E101" s="22" t="s">
        <v>344</v>
      </c>
    </row>
    <row r="102" customFormat="false" ht="23.85" hidden="false" customHeight="false" outlineLevel="0" collapsed="false">
      <c r="A102" s="5" t="s">
        <v>588</v>
      </c>
      <c r="B102" s="5" t="s">
        <v>507</v>
      </c>
      <c r="C102" s="28" t="s">
        <v>589</v>
      </c>
      <c r="D102" s="5" t="s">
        <v>333</v>
      </c>
      <c r="E102" s="22" t="s">
        <v>392</v>
      </c>
    </row>
    <row r="103" customFormat="false" ht="23.85" hidden="false" customHeight="false" outlineLevel="0" collapsed="false">
      <c r="A103" s="5" t="s">
        <v>590</v>
      </c>
      <c r="B103" s="5" t="s">
        <v>507</v>
      </c>
      <c r="C103" s="28" t="s">
        <v>591</v>
      </c>
      <c r="D103" s="5" t="s">
        <v>446</v>
      </c>
      <c r="E103" s="22" t="s">
        <v>592</v>
      </c>
    </row>
    <row r="104" customFormat="false" ht="35.05" hidden="false" customHeight="false" outlineLevel="0" collapsed="false">
      <c r="A104" s="5" t="s">
        <v>593</v>
      </c>
      <c r="B104" s="5" t="s">
        <v>594</v>
      </c>
      <c r="C104" s="28" t="s">
        <v>595</v>
      </c>
      <c r="D104" s="5" t="s">
        <v>333</v>
      </c>
      <c r="E104" s="22" t="s">
        <v>596</v>
      </c>
    </row>
    <row r="105" customFormat="false" ht="23.85" hidden="false" customHeight="false" outlineLevel="0" collapsed="false">
      <c r="A105" s="5" t="s">
        <v>597</v>
      </c>
      <c r="B105" s="5" t="s">
        <v>594</v>
      </c>
      <c r="C105" s="28" t="s">
        <v>598</v>
      </c>
      <c r="D105" s="5" t="s">
        <v>333</v>
      </c>
      <c r="E105" s="22" t="s">
        <v>599</v>
      </c>
    </row>
    <row r="106" customFormat="false" ht="35.05" hidden="false" customHeight="false" outlineLevel="0" collapsed="false">
      <c r="A106" s="5" t="s">
        <v>600</v>
      </c>
      <c r="B106" s="5" t="s">
        <v>594</v>
      </c>
      <c r="C106" s="28" t="s">
        <v>601</v>
      </c>
      <c r="D106" s="5" t="s">
        <v>333</v>
      </c>
      <c r="E106" s="22" t="s">
        <v>602</v>
      </c>
    </row>
    <row r="107" customFormat="false" ht="23.85" hidden="false" customHeight="false" outlineLevel="0" collapsed="false">
      <c r="A107" s="5" t="s">
        <v>603</v>
      </c>
      <c r="B107" s="5" t="s">
        <v>594</v>
      </c>
      <c r="C107" s="28" t="s">
        <v>604</v>
      </c>
      <c r="D107" s="5" t="s">
        <v>333</v>
      </c>
      <c r="E107" s="22" t="s">
        <v>605</v>
      </c>
    </row>
    <row r="108" customFormat="false" ht="23.85" hidden="false" customHeight="false" outlineLevel="0" collapsed="false">
      <c r="A108" s="5" t="s">
        <v>606</v>
      </c>
      <c r="B108" s="5" t="s">
        <v>594</v>
      </c>
      <c r="C108" s="28" t="s">
        <v>607</v>
      </c>
      <c r="D108" s="5" t="s">
        <v>333</v>
      </c>
      <c r="E108" s="22" t="s">
        <v>608</v>
      </c>
    </row>
    <row r="109" customFormat="false" ht="15" hidden="false" customHeight="false" outlineLevel="0" collapsed="false">
      <c r="A109" s="5" t="s">
        <v>609</v>
      </c>
      <c r="B109" s="5" t="s">
        <v>594</v>
      </c>
      <c r="C109" s="28" t="s">
        <v>610</v>
      </c>
      <c r="D109" s="5" t="s">
        <v>333</v>
      </c>
      <c r="E109" s="22" t="s">
        <v>611</v>
      </c>
    </row>
    <row r="110" customFormat="false" ht="46.25" hidden="false" customHeight="false" outlineLevel="0" collapsed="false">
      <c r="A110" s="5" t="s">
        <v>612</v>
      </c>
      <c r="B110" s="5" t="s">
        <v>594</v>
      </c>
      <c r="C110" s="28" t="s">
        <v>613</v>
      </c>
      <c r="D110" s="5" t="s">
        <v>333</v>
      </c>
      <c r="E110" s="22" t="s">
        <v>614</v>
      </c>
    </row>
    <row r="111" customFormat="false" ht="35.05" hidden="false" customHeight="false" outlineLevel="0" collapsed="false">
      <c r="A111" s="5" t="s">
        <v>615</v>
      </c>
      <c r="B111" s="5" t="s">
        <v>594</v>
      </c>
      <c r="C111" s="28" t="s">
        <v>616</v>
      </c>
      <c r="D111" s="5" t="s">
        <v>617</v>
      </c>
      <c r="E111" s="22" t="s">
        <v>618</v>
      </c>
    </row>
    <row r="112" customFormat="false" ht="35.05" hidden="false" customHeight="false" outlineLevel="0" collapsed="false">
      <c r="A112" s="5" t="s">
        <v>619</v>
      </c>
      <c r="B112" s="5" t="s">
        <v>594</v>
      </c>
      <c r="C112" s="28" t="s">
        <v>620</v>
      </c>
      <c r="D112" s="5" t="s">
        <v>329</v>
      </c>
      <c r="E112" s="22" t="s">
        <v>621</v>
      </c>
    </row>
    <row r="113" customFormat="false" ht="23.85" hidden="false" customHeight="false" outlineLevel="0" collapsed="false">
      <c r="A113" s="5" t="s">
        <v>622</v>
      </c>
      <c r="B113" s="5" t="s">
        <v>594</v>
      </c>
      <c r="C113" s="28" t="s">
        <v>623</v>
      </c>
      <c r="D113" s="5" t="s">
        <v>329</v>
      </c>
      <c r="E113" s="22" t="s">
        <v>624</v>
      </c>
    </row>
    <row r="114" customFormat="false" ht="35.05" hidden="false" customHeight="false" outlineLevel="0" collapsed="false">
      <c r="A114" s="5" t="s">
        <v>625</v>
      </c>
      <c r="B114" s="5" t="s">
        <v>594</v>
      </c>
      <c r="C114" s="28" t="s">
        <v>626</v>
      </c>
      <c r="D114" s="5" t="s">
        <v>627</v>
      </c>
      <c r="E114" s="22" t="s">
        <v>628</v>
      </c>
    </row>
    <row r="115" customFormat="false" ht="35.05" hidden="false" customHeight="false" outlineLevel="0" collapsed="false">
      <c r="A115" s="5" t="s">
        <v>629</v>
      </c>
      <c r="B115" s="5" t="s">
        <v>594</v>
      </c>
      <c r="C115" s="28" t="s">
        <v>630</v>
      </c>
      <c r="D115" s="5" t="s">
        <v>366</v>
      </c>
      <c r="E115" s="22" t="s">
        <v>631</v>
      </c>
    </row>
    <row r="116" customFormat="false" ht="23.85" hidden="false" customHeight="false" outlineLevel="0" collapsed="false">
      <c r="A116" s="5" t="s">
        <v>632</v>
      </c>
      <c r="B116" s="5" t="s">
        <v>594</v>
      </c>
      <c r="C116" s="28" t="s">
        <v>633</v>
      </c>
      <c r="D116" s="5" t="s">
        <v>333</v>
      </c>
      <c r="E116" s="22" t="s">
        <v>634</v>
      </c>
    </row>
    <row r="117" customFormat="false" ht="35.05" hidden="false" customHeight="false" outlineLevel="0" collapsed="false">
      <c r="A117" s="5" t="s">
        <v>635</v>
      </c>
      <c r="B117" s="5" t="s">
        <v>594</v>
      </c>
      <c r="C117" s="28" t="s">
        <v>636</v>
      </c>
      <c r="D117" s="5" t="s">
        <v>329</v>
      </c>
      <c r="E117" s="22" t="s">
        <v>637</v>
      </c>
    </row>
    <row r="118" customFormat="false" ht="35.05" hidden="false" customHeight="false" outlineLevel="0" collapsed="false">
      <c r="A118" s="5" t="s">
        <v>638</v>
      </c>
      <c r="B118" s="5" t="s">
        <v>594</v>
      </c>
      <c r="C118" s="28" t="s">
        <v>639</v>
      </c>
      <c r="D118" s="5" t="s">
        <v>489</v>
      </c>
      <c r="E118" s="22" t="s">
        <v>640</v>
      </c>
    </row>
    <row r="119" customFormat="false" ht="23.85" hidden="false" customHeight="false" outlineLevel="0" collapsed="false">
      <c r="A119" s="5" t="s">
        <v>641</v>
      </c>
      <c r="B119" s="5" t="s">
        <v>594</v>
      </c>
      <c r="C119" s="28" t="s">
        <v>642</v>
      </c>
      <c r="D119" s="5" t="s">
        <v>430</v>
      </c>
      <c r="E119" s="22" t="s">
        <v>643</v>
      </c>
    </row>
    <row r="120" customFormat="false" ht="35.05" hidden="false" customHeight="false" outlineLevel="0" collapsed="false">
      <c r="A120" s="5" t="s">
        <v>644</v>
      </c>
      <c r="B120" s="5" t="s">
        <v>594</v>
      </c>
      <c r="C120" s="28" t="s">
        <v>645</v>
      </c>
      <c r="D120" s="5" t="s">
        <v>366</v>
      </c>
      <c r="E120" s="22" t="s">
        <v>646</v>
      </c>
    </row>
    <row r="121" customFormat="false" ht="35.05" hidden="false" customHeight="false" outlineLevel="0" collapsed="false">
      <c r="A121" s="5" t="s">
        <v>647</v>
      </c>
      <c r="B121" s="5" t="s">
        <v>594</v>
      </c>
      <c r="C121" s="28" t="s">
        <v>648</v>
      </c>
      <c r="D121" s="5" t="s">
        <v>333</v>
      </c>
      <c r="E121" s="22" t="s">
        <v>649</v>
      </c>
    </row>
    <row r="122" customFormat="false" ht="35.05" hidden="false" customHeight="false" outlineLevel="0" collapsed="false">
      <c r="A122" s="5" t="s">
        <v>650</v>
      </c>
      <c r="B122" s="5" t="s">
        <v>594</v>
      </c>
      <c r="C122" s="28" t="s">
        <v>651</v>
      </c>
      <c r="D122" s="5" t="s">
        <v>333</v>
      </c>
      <c r="E122" s="22" t="s">
        <v>652</v>
      </c>
    </row>
    <row r="123" customFormat="false" ht="35.05" hidden="false" customHeight="false" outlineLevel="0" collapsed="false">
      <c r="A123" s="5" t="s">
        <v>653</v>
      </c>
      <c r="B123" s="5" t="s">
        <v>594</v>
      </c>
      <c r="C123" s="28" t="s">
        <v>654</v>
      </c>
      <c r="D123" s="5" t="s">
        <v>295</v>
      </c>
      <c r="E123" s="22" t="s">
        <v>296</v>
      </c>
    </row>
    <row r="124" customFormat="false" ht="46.25" hidden="false" customHeight="false" outlineLevel="0" collapsed="false">
      <c r="A124" s="5" t="s">
        <v>655</v>
      </c>
      <c r="B124" s="5" t="s">
        <v>594</v>
      </c>
      <c r="C124" s="28" t="s">
        <v>656</v>
      </c>
      <c r="D124" s="5" t="s">
        <v>303</v>
      </c>
      <c r="E124" s="22" t="s">
        <v>304</v>
      </c>
    </row>
    <row r="125" customFormat="false" ht="23.85" hidden="false" customHeight="false" outlineLevel="0" collapsed="false">
      <c r="A125" s="5" t="s">
        <v>657</v>
      </c>
      <c r="B125" s="5" t="s">
        <v>594</v>
      </c>
      <c r="C125" s="28" t="s">
        <v>658</v>
      </c>
      <c r="D125" s="5" t="s">
        <v>299</v>
      </c>
      <c r="E125" s="22" t="s">
        <v>300</v>
      </c>
    </row>
    <row r="126" customFormat="false" ht="35.05" hidden="false" customHeight="false" outlineLevel="0" collapsed="false">
      <c r="A126" s="5" t="s">
        <v>659</v>
      </c>
      <c r="B126" s="5" t="s">
        <v>594</v>
      </c>
      <c r="C126" s="28" t="s">
        <v>660</v>
      </c>
      <c r="D126" s="5" t="s">
        <v>303</v>
      </c>
      <c r="E126" s="22" t="s">
        <v>307</v>
      </c>
    </row>
    <row r="127" customFormat="false" ht="57.45" hidden="false" customHeight="false" outlineLevel="0" collapsed="false">
      <c r="A127" s="5" t="s">
        <v>661</v>
      </c>
      <c r="B127" s="5" t="s">
        <v>594</v>
      </c>
      <c r="C127" s="28" t="s">
        <v>662</v>
      </c>
      <c r="D127" s="5" t="s">
        <v>381</v>
      </c>
      <c r="E127" s="22" t="s">
        <v>663</v>
      </c>
    </row>
    <row r="128" customFormat="false" ht="23.85" hidden="false" customHeight="false" outlineLevel="0" collapsed="false">
      <c r="A128" s="5" t="s">
        <v>664</v>
      </c>
      <c r="B128" s="5" t="s">
        <v>594</v>
      </c>
      <c r="C128" s="28" t="s">
        <v>665</v>
      </c>
      <c r="D128" s="5" t="s">
        <v>666</v>
      </c>
      <c r="E128" s="22" t="s">
        <v>667</v>
      </c>
    </row>
    <row r="129" customFormat="false" ht="35.05" hidden="false" customHeight="false" outlineLevel="0" collapsed="false">
      <c r="A129" s="5" t="s">
        <v>668</v>
      </c>
      <c r="B129" s="5" t="s">
        <v>594</v>
      </c>
      <c r="C129" s="28" t="s">
        <v>669</v>
      </c>
      <c r="D129" s="5" t="s">
        <v>321</v>
      </c>
      <c r="E129" s="22" t="s">
        <v>408</v>
      </c>
    </row>
    <row r="130" customFormat="false" ht="23.85" hidden="false" customHeight="false" outlineLevel="0" collapsed="false">
      <c r="A130" s="5" t="s">
        <v>670</v>
      </c>
      <c r="B130" s="5" t="s">
        <v>594</v>
      </c>
      <c r="C130" s="28" t="s">
        <v>671</v>
      </c>
      <c r="D130" s="5" t="s">
        <v>333</v>
      </c>
      <c r="E130" s="22" t="s">
        <v>370</v>
      </c>
    </row>
    <row r="131" customFormat="false" ht="23.85" hidden="false" customHeight="false" outlineLevel="0" collapsed="false">
      <c r="A131" s="5" t="s">
        <v>672</v>
      </c>
      <c r="B131" s="5" t="s">
        <v>594</v>
      </c>
      <c r="C131" s="28" t="s">
        <v>673</v>
      </c>
      <c r="D131" s="5" t="s">
        <v>333</v>
      </c>
      <c r="E131" s="22" t="s">
        <v>461</v>
      </c>
    </row>
    <row r="132" customFormat="false" ht="23.85" hidden="false" customHeight="false" outlineLevel="0" collapsed="false">
      <c r="A132" s="5" t="s">
        <v>674</v>
      </c>
      <c r="B132" s="5" t="s">
        <v>594</v>
      </c>
      <c r="C132" s="28" t="s">
        <v>675</v>
      </c>
      <c r="D132" s="5" t="s">
        <v>333</v>
      </c>
      <c r="E132" s="22" t="s">
        <v>572</v>
      </c>
    </row>
    <row r="133" customFormat="false" ht="23.85" hidden="false" customHeight="false" outlineLevel="0" collapsed="false">
      <c r="A133" s="5" t="s">
        <v>676</v>
      </c>
      <c r="B133" s="5" t="s">
        <v>594</v>
      </c>
      <c r="C133" s="28" t="s">
        <v>677</v>
      </c>
      <c r="D133" s="5" t="s">
        <v>333</v>
      </c>
      <c r="E133" s="5" t="s">
        <v>363</v>
      </c>
    </row>
    <row r="134" customFormat="false" ht="46.25" hidden="false" customHeight="false" outlineLevel="0" collapsed="false">
      <c r="A134" s="5" t="s">
        <v>678</v>
      </c>
      <c r="B134" s="5" t="s">
        <v>594</v>
      </c>
      <c r="C134" s="28" t="s">
        <v>679</v>
      </c>
      <c r="D134" s="5" t="s">
        <v>310</v>
      </c>
      <c r="E134" s="22" t="s">
        <v>314</v>
      </c>
    </row>
    <row r="135" customFormat="false" ht="46.25" hidden="false" customHeight="false" outlineLevel="0" collapsed="false">
      <c r="A135" s="5" t="s">
        <v>680</v>
      </c>
      <c r="B135" s="5" t="s">
        <v>594</v>
      </c>
      <c r="C135" s="28" t="s">
        <v>681</v>
      </c>
      <c r="D135" s="5" t="s">
        <v>373</v>
      </c>
      <c r="E135" s="22" t="s">
        <v>374</v>
      </c>
    </row>
    <row r="136" customFormat="false" ht="23.85" hidden="false" customHeight="false" outlineLevel="0" collapsed="false">
      <c r="A136" s="5" t="s">
        <v>682</v>
      </c>
      <c r="B136" s="5" t="s">
        <v>594</v>
      </c>
      <c r="C136" s="28" t="s">
        <v>384</v>
      </c>
      <c r="D136" s="5" t="s">
        <v>329</v>
      </c>
      <c r="E136" s="5" t="s">
        <v>385</v>
      </c>
    </row>
    <row r="137" customFormat="false" ht="46.25" hidden="false" customHeight="false" outlineLevel="0" collapsed="false">
      <c r="A137" s="5" t="s">
        <v>683</v>
      </c>
      <c r="B137" s="5" t="s">
        <v>594</v>
      </c>
      <c r="C137" s="28" t="s">
        <v>684</v>
      </c>
      <c r="D137" s="5" t="s">
        <v>426</v>
      </c>
      <c r="E137" s="22" t="s">
        <v>427</v>
      </c>
    </row>
    <row r="138" customFormat="false" ht="46.25" hidden="false" customHeight="false" outlineLevel="0" collapsed="false">
      <c r="A138" s="5" t="s">
        <v>685</v>
      </c>
      <c r="B138" s="5" t="s">
        <v>594</v>
      </c>
      <c r="C138" s="28" t="s">
        <v>686</v>
      </c>
      <c r="D138" s="5" t="s">
        <v>446</v>
      </c>
      <c r="E138" s="22" t="s">
        <v>592</v>
      </c>
    </row>
    <row r="139" customFormat="false" ht="35.05" hidden="false" customHeight="false" outlineLevel="0" collapsed="false">
      <c r="A139" s="5" t="s">
        <v>687</v>
      </c>
      <c r="B139" s="5" t="s">
        <v>688</v>
      </c>
      <c r="C139" s="28" t="s">
        <v>689</v>
      </c>
      <c r="D139" s="5" t="s">
        <v>295</v>
      </c>
      <c r="E139" s="22" t="s">
        <v>296</v>
      </c>
    </row>
    <row r="140" customFormat="false" ht="15" hidden="false" customHeight="false" outlineLevel="0" collapsed="false">
      <c r="A140" s="5" t="s">
        <v>690</v>
      </c>
      <c r="B140" s="5" t="s">
        <v>688</v>
      </c>
      <c r="C140" s="28" t="s">
        <v>691</v>
      </c>
      <c r="D140" s="5" t="s">
        <v>299</v>
      </c>
      <c r="E140" s="22" t="s">
        <v>300</v>
      </c>
    </row>
    <row r="141" customFormat="false" ht="35.05" hidden="false" customHeight="false" outlineLevel="0" collapsed="false">
      <c r="A141" s="5" t="s">
        <v>692</v>
      </c>
      <c r="B141" s="5" t="s">
        <v>688</v>
      </c>
      <c r="C141" s="28" t="s">
        <v>693</v>
      </c>
      <c r="D141" s="5" t="s">
        <v>303</v>
      </c>
      <c r="E141" s="22" t="s">
        <v>304</v>
      </c>
    </row>
    <row r="142" customFormat="false" ht="23.85" hidden="false" customHeight="false" outlineLevel="0" collapsed="false">
      <c r="A142" s="5" t="s">
        <v>694</v>
      </c>
      <c r="B142" s="5" t="s">
        <v>688</v>
      </c>
      <c r="C142" s="28" t="s">
        <v>695</v>
      </c>
      <c r="D142" s="5" t="s">
        <v>696</v>
      </c>
      <c r="E142" s="22" t="s">
        <v>697</v>
      </c>
    </row>
    <row r="143" customFormat="false" ht="91" hidden="false" customHeight="false" outlineLevel="0" collapsed="false">
      <c r="A143" s="5" t="s">
        <v>698</v>
      </c>
      <c r="B143" s="5" t="s">
        <v>688</v>
      </c>
      <c r="C143" s="28" t="s">
        <v>699</v>
      </c>
      <c r="D143" s="5" t="s">
        <v>303</v>
      </c>
      <c r="E143" s="22" t="s">
        <v>307</v>
      </c>
    </row>
    <row r="144" customFormat="false" ht="57.45" hidden="false" customHeight="false" outlineLevel="0" collapsed="false">
      <c r="A144" s="5" t="s">
        <v>700</v>
      </c>
      <c r="B144" s="5" t="s">
        <v>688</v>
      </c>
      <c r="C144" s="28" t="s">
        <v>701</v>
      </c>
      <c r="D144" s="5" t="s">
        <v>549</v>
      </c>
      <c r="E144" s="22" t="s">
        <v>663</v>
      </c>
    </row>
    <row r="145" customFormat="false" ht="23.85" hidden="false" customHeight="false" outlineLevel="0" collapsed="false">
      <c r="A145" s="5" t="s">
        <v>702</v>
      </c>
      <c r="B145" s="5" t="s">
        <v>688</v>
      </c>
      <c r="C145" s="28" t="s">
        <v>703</v>
      </c>
      <c r="D145" s="5" t="s">
        <v>333</v>
      </c>
      <c r="E145" s="22" t="s">
        <v>334</v>
      </c>
    </row>
    <row r="146" customFormat="false" ht="23.85" hidden="false" customHeight="false" outlineLevel="0" collapsed="false">
      <c r="A146" s="5" t="s">
        <v>704</v>
      </c>
      <c r="B146" s="5" t="s">
        <v>688</v>
      </c>
      <c r="C146" s="28" t="s">
        <v>705</v>
      </c>
      <c r="D146" s="5" t="s">
        <v>333</v>
      </c>
      <c r="E146" s="22" t="s">
        <v>370</v>
      </c>
    </row>
    <row r="147" customFormat="false" ht="23.85" hidden="false" customHeight="false" outlineLevel="0" collapsed="false">
      <c r="A147" s="5" t="s">
        <v>706</v>
      </c>
      <c r="B147" s="5" t="s">
        <v>688</v>
      </c>
      <c r="C147" s="28" t="s">
        <v>707</v>
      </c>
      <c r="D147" s="5" t="s">
        <v>333</v>
      </c>
      <c r="E147" s="22" t="s">
        <v>708</v>
      </c>
    </row>
    <row r="148" customFormat="false" ht="35.05" hidden="false" customHeight="false" outlineLevel="0" collapsed="false">
      <c r="A148" s="5" t="s">
        <v>709</v>
      </c>
      <c r="B148" s="5" t="s">
        <v>688</v>
      </c>
      <c r="C148" s="28" t="s">
        <v>710</v>
      </c>
      <c r="D148" s="5" t="s">
        <v>333</v>
      </c>
      <c r="E148" s="22" t="s">
        <v>711</v>
      </c>
    </row>
    <row r="149" customFormat="false" ht="23.85" hidden="false" customHeight="false" outlineLevel="0" collapsed="false">
      <c r="A149" s="5" t="s">
        <v>712</v>
      </c>
      <c r="B149" s="5" t="s">
        <v>688</v>
      </c>
      <c r="C149" s="28" t="s">
        <v>713</v>
      </c>
      <c r="D149" s="5" t="s">
        <v>333</v>
      </c>
      <c r="E149" s="22" t="s">
        <v>714</v>
      </c>
    </row>
    <row r="150" customFormat="false" ht="35.05" hidden="false" customHeight="false" outlineLevel="0" collapsed="false">
      <c r="A150" s="5" t="s">
        <v>715</v>
      </c>
      <c r="B150" s="5" t="s">
        <v>688</v>
      </c>
      <c r="C150" s="28" t="s">
        <v>716</v>
      </c>
      <c r="D150" s="5" t="s">
        <v>333</v>
      </c>
      <c r="E150" s="22" t="s">
        <v>717</v>
      </c>
    </row>
    <row r="151" customFormat="false" ht="23.85" hidden="false" customHeight="false" outlineLevel="0" collapsed="false">
      <c r="A151" s="5" t="s">
        <v>718</v>
      </c>
      <c r="B151" s="5" t="s">
        <v>688</v>
      </c>
      <c r="C151" s="28" t="s">
        <v>719</v>
      </c>
      <c r="D151" s="5" t="s">
        <v>333</v>
      </c>
      <c r="E151" s="22" t="s">
        <v>596</v>
      </c>
    </row>
    <row r="152" customFormat="false" ht="23.85" hidden="false" customHeight="false" outlineLevel="0" collapsed="false">
      <c r="A152" s="5" t="s">
        <v>720</v>
      </c>
      <c r="B152" s="5" t="s">
        <v>688</v>
      </c>
      <c r="C152" s="28" t="s">
        <v>721</v>
      </c>
      <c r="D152" s="5" t="s">
        <v>333</v>
      </c>
      <c r="E152" s="22" t="s">
        <v>722</v>
      </c>
    </row>
    <row r="153" customFormat="false" ht="23.85" hidden="false" customHeight="false" outlineLevel="0" collapsed="false">
      <c r="A153" s="5" t="s">
        <v>723</v>
      </c>
      <c r="B153" s="5" t="s">
        <v>688</v>
      </c>
      <c r="C153" s="28" t="s">
        <v>724</v>
      </c>
      <c r="D153" s="5" t="s">
        <v>333</v>
      </c>
      <c r="E153" s="22" t="s">
        <v>725</v>
      </c>
    </row>
    <row r="154" customFormat="false" ht="35.05" hidden="false" customHeight="false" outlineLevel="0" collapsed="false">
      <c r="A154" s="5" t="s">
        <v>726</v>
      </c>
      <c r="B154" s="5" t="s">
        <v>688</v>
      </c>
      <c r="C154" s="28" t="s">
        <v>727</v>
      </c>
      <c r="D154" s="5" t="s">
        <v>728</v>
      </c>
      <c r="E154" s="22" t="s">
        <v>412</v>
      </c>
    </row>
    <row r="155" customFormat="false" ht="35.05" hidden="false" customHeight="false" outlineLevel="0" collapsed="false">
      <c r="A155" s="5" t="s">
        <v>729</v>
      </c>
      <c r="B155" s="5" t="s">
        <v>688</v>
      </c>
      <c r="C155" s="28" t="s">
        <v>730</v>
      </c>
      <c r="D155" s="5" t="s">
        <v>321</v>
      </c>
      <c r="E155" s="22" t="s">
        <v>731</v>
      </c>
    </row>
    <row r="156" customFormat="false" ht="46.25" hidden="false" customHeight="false" outlineLevel="0" collapsed="false">
      <c r="A156" s="5" t="s">
        <v>732</v>
      </c>
      <c r="B156" s="5" t="s">
        <v>688</v>
      </c>
      <c r="C156" s="28" t="s">
        <v>733</v>
      </c>
      <c r="D156" s="5" t="s">
        <v>366</v>
      </c>
      <c r="E156" s="22" t="s">
        <v>734</v>
      </c>
    </row>
    <row r="157" customFormat="false" ht="23.85" hidden="false" customHeight="false" outlineLevel="0" collapsed="false">
      <c r="A157" s="5" t="s">
        <v>735</v>
      </c>
      <c r="B157" s="5" t="s">
        <v>688</v>
      </c>
      <c r="C157" s="28" t="s">
        <v>736</v>
      </c>
      <c r="D157" s="5" t="s">
        <v>366</v>
      </c>
      <c r="E157" s="22" t="s">
        <v>737</v>
      </c>
    </row>
    <row r="158" customFormat="false" ht="23.85" hidden="false" customHeight="false" outlineLevel="0" collapsed="false">
      <c r="A158" s="5" t="s">
        <v>738</v>
      </c>
      <c r="B158" s="5" t="s">
        <v>688</v>
      </c>
      <c r="C158" s="28" t="s">
        <v>739</v>
      </c>
      <c r="D158" s="5" t="s">
        <v>489</v>
      </c>
      <c r="E158" s="22" t="s">
        <v>740</v>
      </c>
    </row>
    <row r="159" customFormat="false" ht="46.25" hidden="false" customHeight="false" outlineLevel="0" collapsed="false">
      <c r="A159" s="5" t="s">
        <v>741</v>
      </c>
      <c r="B159" s="5" t="s">
        <v>688</v>
      </c>
      <c r="C159" s="28" t="s">
        <v>742</v>
      </c>
      <c r="D159" s="5" t="s">
        <v>333</v>
      </c>
      <c r="E159" s="22" t="s">
        <v>360</v>
      </c>
    </row>
    <row r="160" customFormat="false" ht="23.85" hidden="false" customHeight="false" outlineLevel="0" collapsed="false">
      <c r="A160" s="5" t="s">
        <v>743</v>
      </c>
      <c r="B160" s="5" t="s">
        <v>688</v>
      </c>
      <c r="C160" s="28" t="s">
        <v>744</v>
      </c>
      <c r="D160" s="5" t="s">
        <v>333</v>
      </c>
      <c r="E160" s="5" t="s">
        <v>745</v>
      </c>
    </row>
    <row r="161" customFormat="false" ht="23.85" hidden="false" customHeight="false" outlineLevel="0" collapsed="false">
      <c r="A161" s="5" t="s">
        <v>746</v>
      </c>
      <c r="B161" s="5" t="s">
        <v>688</v>
      </c>
      <c r="C161" s="28" t="s">
        <v>747</v>
      </c>
      <c r="D161" s="5" t="s">
        <v>333</v>
      </c>
      <c r="E161" s="22" t="s">
        <v>748</v>
      </c>
    </row>
    <row r="162" customFormat="false" ht="23.85" hidden="false" customHeight="false" outlineLevel="0" collapsed="false">
      <c r="A162" s="5" t="s">
        <v>749</v>
      </c>
      <c r="B162" s="5" t="s">
        <v>688</v>
      </c>
      <c r="C162" s="28" t="s">
        <v>750</v>
      </c>
      <c r="D162" s="5" t="s">
        <v>489</v>
      </c>
      <c r="E162" s="22" t="s">
        <v>751</v>
      </c>
    </row>
    <row r="163" customFormat="false" ht="35.05" hidden="false" customHeight="false" outlineLevel="0" collapsed="false">
      <c r="A163" s="5" t="s">
        <v>752</v>
      </c>
      <c r="B163" s="5" t="s">
        <v>688</v>
      </c>
      <c r="C163" s="28" t="s">
        <v>753</v>
      </c>
      <c r="D163" s="5" t="s">
        <v>329</v>
      </c>
      <c r="E163" s="5" t="s">
        <v>754</v>
      </c>
    </row>
    <row r="164" customFormat="false" ht="23.85" hidden="false" customHeight="false" outlineLevel="0" collapsed="false">
      <c r="A164" s="5" t="s">
        <v>755</v>
      </c>
      <c r="B164" s="5" t="s">
        <v>688</v>
      </c>
      <c r="C164" s="28" t="s">
        <v>756</v>
      </c>
      <c r="D164" s="5" t="s">
        <v>426</v>
      </c>
      <c r="E164" s="22" t="s">
        <v>757</v>
      </c>
    </row>
    <row r="165" customFormat="false" ht="23.85" hidden="false" customHeight="false" outlineLevel="0" collapsed="false">
      <c r="A165" s="5" t="s">
        <v>758</v>
      </c>
      <c r="B165" s="5" t="s">
        <v>688</v>
      </c>
      <c r="C165" s="28" t="s">
        <v>759</v>
      </c>
      <c r="D165" s="5" t="s">
        <v>333</v>
      </c>
      <c r="E165" s="22" t="s">
        <v>760</v>
      </c>
    </row>
    <row r="166" customFormat="false" ht="35.05" hidden="false" customHeight="false" outlineLevel="0" collapsed="false">
      <c r="A166" s="5" t="s">
        <v>761</v>
      </c>
      <c r="B166" s="5" t="s">
        <v>688</v>
      </c>
      <c r="C166" s="28" t="s">
        <v>762</v>
      </c>
      <c r="D166" s="5" t="s">
        <v>446</v>
      </c>
      <c r="E166" s="22" t="s">
        <v>763</v>
      </c>
    </row>
    <row r="167" customFormat="false" ht="23.85" hidden="false" customHeight="false" outlineLevel="0" collapsed="false">
      <c r="A167" s="5" t="s">
        <v>764</v>
      </c>
      <c r="B167" s="5" t="s">
        <v>688</v>
      </c>
      <c r="C167" s="28" t="s">
        <v>765</v>
      </c>
      <c r="D167" s="5" t="s">
        <v>489</v>
      </c>
      <c r="E167" s="22" t="s">
        <v>490</v>
      </c>
    </row>
    <row r="168" customFormat="false" ht="46.25" hidden="false" customHeight="false" outlineLevel="0" collapsed="false">
      <c r="A168" s="5" t="s">
        <v>766</v>
      </c>
      <c r="B168" s="5" t="s">
        <v>688</v>
      </c>
      <c r="C168" s="28" t="s">
        <v>767</v>
      </c>
      <c r="D168" s="5" t="s">
        <v>310</v>
      </c>
      <c r="E168" s="22" t="s">
        <v>314</v>
      </c>
    </row>
    <row r="169" customFormat="false" ht="57.45" hidden="false" customHeight="false" outlineLevel="0" collapsed="false">
      <c r="A169" s="5" t="s">
        <v>768</v>
      </c>
      <c r="B169" s="5" t="s">
        <v>688</v>
      </c>
      <c r="C169" s="28" t="s">
        <v>769</v>
      </c>
      <c r="D169" s="5" t="s">
        <v>373</v>
      </c>
      <c r="E169" s="22" t="s">
        <v>374</v>
      </c>
    </row>
    <row r="170" customFormat="false" ht="46.25" hidden="false" customHeight="false" outlineLevel="0" collapsed="false">
      <c r="A170" s="5" t="s">
        <v>770</v>
      </c>
      <c r="B170" s="5" t="s">
        <v>771</v>
      </c>
      <c r="C170" s="28" t="s">
        <v>772</v>
      </c>
      <c r="D170" s="5" t="s">
        <v>303</v>
      </c>
      <c r="E170" s="22" t="s">
        <v>304</v>
      </c>
    </row>
    <row r="171" customFormat="false" ht="79.85" hidden="false" customHeight="false" outlineLevel="0" collapsed="false">
      <c r="A171" s="5" t="s">
        <v>773</v>
      </c>
      <c r="B171" s="5" t="s">
        <v>771</v>
      </c>
      <c r="C171" s="28" t="s">
        <v>774</v>
      </c>
      <c r="D171" s="5" t="s">
        <v>303</v>
      </c>
      <c r="E171" s="22" t="s">
        <v>307</v>
      </c>
    </row>
    <row r="172" customFormat="false" ht="35.05" hidden="false" customHeight="false" outlineLevel="0" collapsed="false">
      <c r="A172" s="5" t="s">
        <v>775</v>
      </c>
      <c r="B172" s="5" t="s">
        <v>771</v>
      </c>
      <c r="C172" s="28" t="s">
        <v>776</v>
      </c>
      <c r="D172" s="5" t="s">
        <v>310</v>
      </c>
      <c r="E172" s="22" t="s">
        <v>311</v>
      </c>
    </row>
    <row r="173" customFormat="false" ht="35.05" hidden="false" customHeight="false" outlineLevel="0" collapsed="false">
      <c r="A173" s="5" t="s">
        <v>777</v>
      </c>
      <c r="B173" s="5" t="s">
        <v>771</v>
      </c>
      <c r="C173" s="28" t="s">
        <v>778</v>
      </c>
      <c r="D173" s="5" t="s">
        <v>310</v>
      </c>
      <c r="E173" s="22" t="s">
        <v>314</v>
      </c>
    </row>
    <row r="174" customFormat="false" ht="35.05" hidden="false" customHeight="false" outlineLevel="0" collapsed="false">
      <c r="A174" s="5" t="s">
        <v>779</v>
      </c>
      <c r="B174" s="5" t="s">
        <v>771</v>
      </c>
      <c r="C174" s="28" t="s">
        <v>780</v>
      </c>
      <c r="D174" s="5" t="s">
        <v>333</v>
      </c>
      <c r="E174" s="22" t="s">
        <v>370</v>
      </c>
    </row>
    <row r="175" customFormat="false" ht="57.45" hidden="false" customHeight="false" outlineLevel="0" collapsed="false">
      <c r="A175" s="5" t="s">
        <v>781</v>
      </c>
      <c r="B175" s="5" t="s">
        <v>771</v>
      </c>
      <c r="C175" s="28" t="s">
        <v>782</v>
      </c>
      <c r="D175" s="5" t="s">
        <v>337</v>
      </c>
      <c r="E175" s="22" t="s">
        <v>338</v>
      </c>
    </row>
    <row r="176" customFormat="false" ht="46.25" hidden="false" customHeight="false" outlineLevel="0" collapsed="false">
      <c r="A176" s="5" t="s">
        <v>783</v>
      </c>
      <c r="B176" s="5" t="s">
        <v>771</v>
      </c>
      <c r="C176" s="28" t="s">
        <v>784</v>
      </c>
      <c r="D176" s="5" t="s">
        <v>373</v>
      </c>
      <c r="E176" s="22" t="s">
        <v>374</v>
      </c>
    </row>
    <row r="177" customFormat="false" ht="35.05" hidden="false" customHeight="false" outlineLevel="0" collapsed="false">
      <c r="A177" s="5" t="s">
        <v>785</v>
      </c>
      <c r="B177" s="5" t="s">
        <v>771</v>
      </c>
      <c r="C177" s="28" t="s">
        <v>786</v>
      </c>
      <c r="D177" s="5" t="s">
        <v>728</v>
      </c>
      <c r="E177" s="22" t="s">
        <v>412</v>
      </c>
    </row>
    <row r="178" customFormat="false" ht="23.85" hidden="false" customHeight="false" outlineLevel="0" collapsed="false">
      <c r="A178" s="5" t="s">
        <v>787</v>
      </c>
      <c r="B178" s="5" t="s">
        <v>771</v>
      </c>
      <c r="C178" s="28" t="s">
        <v>788</v>
      </c>
      <c r="D178" s="5" t="s">
        <v>337</v>
      </c>
      <c r="E178" s="22" t="s">
        <v>344</v>
      </c>
    </row>
    <row r="179" customFormat="false" ht="15" hidden="false" customHeight="false" outlineLevel="0" collapsed="false">
      <c r="A179" s="5" t="s">
        <v>789</v>
      </c>
      <c r="B179" s="5" t="s">
        <v>771</v>
      </c>
      <c r="C179" s="28" t="s">
        <v>790</v>
      </c>
      <c r="D179" s="5" t="s">
        <v>366</v>
      </c>
      <c r="E179" s="22" t="s">
        <v>367</v>
      </c>
    </row>
    <row r="180" customFormat="false" ht="15" hidden="false" customHeight="false" outlineLevel="0" collapsed="false">
      <c r="A180" s="5" t="s">
        <v>791</v>
      </c>
      <c r="B180" s="5" t="s">
        <v>771</v>
      </c>
      <c r="C180" s="28" t="s">
        <v>391</v>
      </c>
      <c r="D180" s="5" t="s">
        <v>333</v>
      </c>
      <c r="E180" s="22" t="s">
        <v>392</v>
      </c>
    </row>
    <row r="181" customFormat="false" ht="35.05" hidden="false" customHeight="false" outlineLevel="0" collapsed="false">
      <c r="A181" s="5" t="s">
        <v>792</v>
      </c>
      <c r="B181" s="5" t="s">
        <v>771</v>
      </c>
      <c r="C181" s="28" t="s">
        <v>793</v>
      </c>
      <c r="D181" s="5" t="s">
        <v>388</v>
      </c>
      <c r="E181" s="22" t="s">
        <v>389</v>
      </c>
    </row>
    <row r="182" customFormat="false" ht="23.85" hidden="false" customHeight="false" outlineLevel="0" collapsed="false">
      <c r="A182" s="5" t="s">
        <v>794</v>
      </c>
      <c r="B182" s="5" t="s">
        <v>771</v>
      </c>
      <c r="C182" s="28" t="s">
        <v>795</v>
      </c>
      <c r="D182" s="5" t="s">
        <v>333</v>
      </c>
      <c r="E182" s="22" t="s">
        <v>341</v>
      </c>
    </row>
    <row r="183" customFormat="false" ht="23.85" hidden="false" customHeight="false" outlineLevel="0" collapsed="false">
      <c r="A183" s="5" t="s">
        <v>796</v>
      </c>
      <c r="B183" s="5" t="s">
        <v>771</v>
      </c>
      <c r="C183" s="28" t="s">
        <v>797</v>
      </c>
      <c r="D183" s="5" t="s">
        <v>325</v>
      </c>
      <c r="E183" s="22" t="s">
        <v>326</v>
      </c>
    </row>
    <row r="184" customFormat="false" ht="23.85" hidden="false" customHeight="false" outlineLevel="0" collapsed="false">
      <c r="A184" s="5" t="s">
        <v>798</v>
      </c>
      <c r="B184" s="5" t="s">
        <v>771</v>
      </c>
      <c r="C184" s="28" t="s">
        <v>799</v>
      </c>
      <c r="D184" s="5" t="s">
        <v>295</v>
      </c>
      <c r="E184" s="22" t="s">
        <v>296</v>
      </c>
    </row>
    <row r="185" customFormat="false" ht="15" hidden="false" customHeight="false" outlineLevel="0" collapsed="false">
      <c r="A185" s="5" t="s">
        <v>800</v>
      </c>
      <c r="B185" s="5" t="s">
        <v>771</v>
      </c>
      <c r="C185" s="28" t="s">
        <v>801</v>
      </c>
      <c r="D185" s="5" t="s">
        <v>299</v>
      </c>
      <c r="E185" s="22" t="s">
        <v>300</v>
      </c>
    </row>
    <row r="186" customFormat="false" ht="23.85" hidden="false" customHeight="false" outlineLevel="0" collapsed="false">
      <c r="A186" s="5" t="s">
        <v>802</v>
      </c>
      <c r="B186" s="5" t="s">
        <v>771</v>
      </c>
      <c r="C186" s="28" t="s">
        <v>803</v>
      </c>
      <c r="D186" s="5" t="s">
        <v>333</v>
      </c>
      <c r="E186" s="5" t="s">
        <v>363</v>
      </c>
    </row>
    <row r="187" customFormat="false" ht="23.85" hidden="false" customHeight="false" outlineLevel="0" collapsed="false">
      <c r="A187" s="5" t="s">
        <v>804</v>
      </c>
      <c r="B187" s="5" t="s">
        <v>771</v>
      </c>
      <c r="C187" s="28" t="s">
        <v>384</v>
      </c>
      <c r="D187" s="5" t="s">
        <v>329</v>
      </c>
      <c r="E187" s="5" t="s">
        <v>385</v>
      </c>
    </row>
    <row r="188" customFormat="false" ht="46.25" hidden="false" customHeight="false" outlineLevel="0" collapsed="false">
      <c r="A188" s="5" t="s">
        <v>805</v>
      </c>
      <c r="B188" s="5" t="s">
        <v>771</v>
      </c>
      <c r="C188" s="28" t="s">
        <v>806</v>
      </c>
      <c r="D188" s="5" t="s">
        <v>377</v>
      </c>
      <c r="E188" s="22" t="s">
        <v>378</v>
      </c>
    </row>
    <row r="189" customFormat="false" ht="35.05" hidden="false" customHeight="false" outlineLevel="0" collapsed="false">
      <c r="A189" s="5" t="s">
        <v>807</v>
      </c>
      <c r="B189" s="5" t="s">
        <v>771</v>
      </c>
      <c r="C189" s="28" t="s">
        <v>808</v>
      </c>
      <c r="D189" s="5" t="s">
        <v>381</v>
      </c>
      <c r="E189" s="22" t="s">
        <v>382</v>
      </c>
    </row>
  </sheetData>
  <hyperlinks>
    <hyperlink ref="E5" r:id="rId1" display="https://www.sec.gov/Archives/edgar/data/1692819/000169281926000019/vistra-20260630.htm"/>
    <hyperlink ref="E6" r:id="rId2" display="https://www.sec.gov/Archives/edgar/data/1692819/000169281926000006/vistra-20251231.htm"/>
    <hyperlink ref="E7" r:id="rId3" display="https://www.sec.gov/Archives/edgar/data/1692819/000169281926000017/vistra-20260630xearningsre.htm"/>
    <hyperlink ref="E8" r:id="rId4" display="https://app.bigdata.com/documents/195B479A48CB63C52BC7051FD044E9A5"/>
    <hyperlink ref="E9" r:id="rId5" display="https://www.sec.gov/Archives/edgar/data/1692819/000119312526002589/d62722d8k.htm"/>
    <hyperlink ref="E10" r:id="rId6" display="https://www.sec.gov/Archives/edgar/data/1692819/000119312526002589/d62722dex991.htm"/>
    <hyperlink ref="E11" r:id="rId7" display="https://www.sec.gov/Archives/edgar/data/1692819/000119312526008508/d20785d8k.htm"/>
    <hyperlink ref="E12" r:id="rId8" display="https://www.sec.gov/Archives/edgar/data/1692819/000114036126028454/ef20077988_8k.htm"/>
    <hyperlink ref="E13" r:id="rId9" display="https://www.sec.gov/Archives/edgar/data/1692819/000114036126037577/ef20082680_8k.htm"/>
    <hyperlink ref="E14" r:id="rId10" display="https://www.sec.gov/Archives/edgar/data/1692819/000114036126038468/ef20083016_8k.htm"/>
    <hyperlink ref="E15" r:id="rId11" display="https://data.sec.gov/submissions/CIK0001692819.json"/>
    <hyperlink ref="E16" r:id="rId12" display="https://www.pjm.com/pjmfiles/directory/etariff/FercOrders/9154/20260929-er26-3380-000.pdf"/>
    <hyperlink ref="E17" r:id="rId13" display="https://data.sec.gov/api/xbrl/companyfacts/CIK0001692819.json"/>
    <hyperlink ref="E18" r:id="rId14" display="https://finviz.com/news/396792/vistra-to-report-third-quarter-results-on-nov-6-2026"/>
    <hyperlink ref="E19" r:id="rId15" display="https://app.bigdata.com/documents/C63BE3BF04F819C240ED64317683B85C"/>
    <hyperlink ref="E20" r:id="rId16" display="https://app.bigdata.com/documents/61616050C57A5D6A8F568E0ECC4902F5"/>
    <hyperlink ref="E21" r:id="rId17" display="https://app.bigdata.com/documents/58F52A0DB88F57E03CA6701A8DAD93DB"/>
    <hyperlink ref="E22" r:id="rId18" display="https://twelvedata.com/"/>
    <hyperlink ref="E23" r:id="rId19" display="https://bigdata.com"/>
    <hyperlink ref="E25" r:id="rId20" display="https://fred.stlouisfed.org/series/DGS10"/>
    <hyperlink ref="E26" r:id="rId21" display="https://www.bls.gov/news.release/cpi.nr0.htm"/>
    <hyperlink ref="E27" r:id="rId22" display="https://www.pjm.com/-/media/DotCom/documents/ferc/filings/2026/20260406-er26-1556-000.pdf"/>
    <hyperlink ref="E28" r:id="rId23" display="https://www.pjm.com/-/media/DotCom/committees-groups/workshops/prtmdw/2026/20260714/20260714-item-04b---bifurcated-capacity-market-under-pjm-path-a-option-2---michael-kurtz-presentation.pdf"/>
    <hyperlink ref="E29" r:id="rId24" display="https://www.sec.gov/Archives/edgar/data/1692819/000114036126036130/ny20081693x2_424b5.htm"/>
    <hyperlink ref="E31" r:id="rId25" display="https://www.sec.gov/Archives/edgar/data/0001622536/000162253626000065/a20260805q22026earningsrel.htm"/>
    <hyperlink ref="E32" r:id="rId26" display="https://www.federalreserve.gov/monetarypolicy/fomccalendars.htm"/>
    <hyperlink ref="E33" r:id="rId27" display="https://www.sec.gov/Archives/edgar/data/1692819/000169281926000019/vistra-20260630.htm"/>
    <hyperlink ref="E34" r:id="rId28" display="https://www.sec.gov/Archives/edgar/data/1692819/000169281926000006/vistra-20251231.htm"/>
    <hyperlink ref="E35" r:id="rId29" display="https://www.sec.gov/Archives/edgar/data/1692819/000169281926000017/vistra-20260630xearningsre.htm"/>
    <hyperlink ref="E36" r:id="rId30" display="https://app.bigdata.com/documents/195B479A48CB63C52BC7051FD044E9A5"/>
    <hyperlink ref="E37" r:id="rId31" display="https://bigdata.com"/>
    <hyperlink ref="E38" r:id="rId32" display="https://bigdata.com"/>
    <hyperlink ref="E39" r:id="rId33" display="https://www.pjm.com/-/media/DotCom/about-pjm/newsroom/2026-releases/20260714-pjm-capacity-auction-procures-138318-mw-of-generation-resources.pdf"/>
    <hyperlink ref="E40" r:id="rId34" display="https://www.troutmanenergyreport.com/2026/05/ferc-accepts-pjm-capacity-market-price-collar-extension/"/>
    <hyperlink ref="E41" r:id="rId35" display="https://www.pa.gov/governor/newsroom/2026-press-releases/gov-shapiro-secures-federal-support-to-extend-pjm-price-cap"/>
    <hyperlink ref="E42" r:id="rId36" display="https://governor.maryland.gov/news/press-releases/maryland-urges-federal-regulators-protect-ratepayers-continuing-energy-auction-price-caps"/>
    <hyperlink ref="E43" r:id="rId37" display="https://www.utilitydive.com/news/ferc-pjm-large-load-interconnection-iras-byonc/832716/"/>
    <hyperlink ref="E44" r:id="rId38" display="https://mgrid.org/2026/10/10/ferc-rejects-pjms-curtail-first-plan-for-new-large-loads-and-keeps-only-the-50-mw-definition-and-a-registry/"/>
    <hyperlink ref="E45" r:id="rId39" display="https://app.bigdata.com/documents/229AE2B9DFBDE2A3D94844F89FAA9D22"/>
    <hyperlink ref="E46" r:id="rId40" display="https://app.bigdata.com/documents/512B45861B6B4DE8CB9D3E3AE55B32E9"/>
    <hyperlink ref="E47" r:id="rId41" display="https://app.bigdata.com/documents/0F8F0E96AAC2DBAB596146969CC7D2BF"/>
    <hyperlink ref="E48" r:id="rId42" display="https://app.bigdata.com/documents/E36375CD872C6517CF73B35A57B7E8D7"/>
    <hyperlink ref="E49" r:id="rId43" display="https://app.bigdata.com/documents/D8AB24B44BF49E04D115430CA62CBC05"/>
    <hyperlink ref="E50" r:id="rId44" display="https://app.bigdata.com/documents/479EF4C0142E5F56C8E19F90E35A7639"/>
    <hyperlink ref="E51" r:id="rId45" display="https://www.eia.gov/dnav/ng/hist/rngwhhdm.htm"/>
    <hyperlink ref="E52" r:id="rId46" display="https://www.bls.gov/news.release/cpi.nr0.htm"/>
    <hyperlink ref="E53" r:id="rId47" display="https://app.bigdata.com/documents/2A052F276F126176E3059FE6955D29DE"/>
    <hyperlink ref="E54" r:id="rId48" display="https://twelvedata.com"/>
    <hyperlink ref="E55" r:id="rId49" display="https://www.sec.gov/cgi-bin/browse-edgar?action=getcompany&amp;CIK=1692819&amp;type=&amp;dateb=&amp;owner=include&amp;count=10"/>
    <hyperlink ref="E56" r:id="rId50" display="https://www.sec.gov/Archives/edgar/data/1692819/000114036126037577/ef20082680_8k.htm"/>
    <hyperlink ref="E57" r:id="rId51" display="https://data.sec.gov/api/xbrl/companyconcept/CIK0001692819/us-gaap/PreferredStockValue.json"/>
    <hyperlink ref="E58" r:id="rId52" display="https://app.bigdata.com/documents/4DA1DA371F66D784B7D1796614D11E8B"/>
    <hyperlink ref="E59" r:id="rId53" display="https://app.bigdata.com/documents/61616050C57A5D6A8F568E0ECC4902F5"/>
    <hyperlink ref="E60" r:id="rId54" display="https://app.bigdata.com/documents/DA8CD67B716F2EC1311FDDE6F449AFED"/>
    <hyperlink ref="E61" r:id="rId55" display="https://finance.yahoo.com/markets/stocks/articles/constellation-energy-ceg-vs-vst-164150765.html"/>
    <hyperlink ref="E63" r:id="rId56" display="https://app.bigdata.com/documents/3D859B7916D966958AFF6DE06B1EA907"/>
    <hyperlink ref="E64" r:id="rId57" display="https://app.bigdata.com/documents/19982ED2ECC043C6AE9BBC3BEF314B27"/>
    <hyperlink ref="E65" r:id="rId58" display="https://www.pjm.com/-/media/DotCom/documents/ferc/filings/2026/20260406-er26-1556-000.pdf"/>
    <hyperlink ref="E66" r:id="rId59" display="https://www.sec.gov/Archives/edgar/data/1692819/000119312526002589/d62722dex991.htm"/>
    <hyperlink ref="E67" r:id="rId60" display="https://www.sec.gov/Archives/edgar/data/0001622536/000162253626000065/a20260805q22026earningsrel.htm"/>
    <hyperlink ref="E68" r:id="rId61" display="https://app.bigdata.com/documents/D68326C84BC0BA8F28C13171FC0AED95"/>
    <hyperlink ref="E69" r:id="rId62" display="https://app.bigdata.com/documents/790D89911C5EBEF0DD545A705E996973"/>
    <hyperlink ref="E70" r:id="rId63" display="https://data.sec.gov/api/xbrl/companyconcept/CIK0001692819/us-gaap/MinorityInterest.json"/>
    <hyperlink ref="E71" r:id="rId64" display="https://www.pjm.com/pjmfiles/directory/etariff/FercOrders/9154/20260929-er26-3380-000.pdf"/>
    <hyperlink ref="E72" r:id="rId65" display="https://www.pjm.com/-/media/DotCom/documents/ferc/filings/2026/20260406-er26-1556-000.pdf"/>
    <hyperlink ref="E73" r:id="rId66" display="https://www.troutmanenergyreport.com/2026/05/ferc-accepts-pjm-capacity-market-price-collar-extension/"/>
    <hyperlink ref="E74" r:id="rId67" display="https://governor.maryland.gov/news/press-releases/maryland-urges-federal-regulators-protect-ratepayers-continuing-energy-auction-price-caps"/>
    <hyperlink ref="E75" r:id="rId68" display="https://www.pa.gov/governor/newsroom/2026-press-releases/gov-shapiro-secures-extension-pjm-price-cap-saving-consumers--45"/>
    <hyperlink ref="E76" r:id="rId69" display="https://kleinmanenergy.upenn.edu/commentary/blog/ratepayer-protection-pledge-the-white-houses-attempt-to-shield-customers-from-rising-electricity-prices-caused-by-data-center-expansion/"/>
    <hyperlink ref="E77" r:id="rId70" display="https://powermag.com/abbott-orders-full-audit-of-texas-data-center-interconnection-queue-threatens-to-deny-grid-access/"/>
    <hyperlink ref="E78" r:id="rId71" display="https://www.sec.gov/Archives/edgar/data/0001746576/000114036126036245/ef20081902_fwp.htm"/>
    <hyperlink ref="E79" r:id="rId72" display="https://investor.vistracorp.com/2026-03-17-Vistra-Achieves-Investment-Grade-Credit-Ratings-from-S-P-and-Fitch"/>
    <hyperlink ref="E80" r:id="rId73" display="https://www.sec.gov/Archives/edgar/data/1692819/000114036126038468/ef20083016_8k.htm"/>
    <hyperlink ref="E81" r:id="rId74" display="https://www.sec.gov/Archives/edgar/data/1692819/000194049426000008/xslF345X06/wk-form4_1791503079.xml"/>
    <hyperlink ref="E82" r:id="rId75" display="https://www.sec.gov/Archives/edgar/data/1692819/000172855326000008/xslF345X06/wk-form4_1791416355.xml"/>
    <hyperlink ref="E83" r:id="rId76" display="https://data.sec.gov/submissions/CIK0001692819.json"/>
    <hyperlink ref="E84" r:id="rId77" display="https://www.marketbeat.com/instant-alerts/vistra-nysevst-trading-down-54-following-analyst-downgrade-2026-07-28/"/>
    <hyperlink ref="E85" r:id="rId78" display="https://weissratings.com/en/instant-news-alerts/vistra-corp-vst-down-5-0-should-i-dissolve-this-stake"/>
    <hyperlink ref="E86" r:id="rId79" display="https://www.tikr.com/blog/vistra-stock-fell-5-in-a-broad-power-selloff-heres-where-the-stock-could-go"/>
    <hyperlink ref="E87" r:id="rId80" display="https://finance.yahoo.com/markets/stocks/articles/constellation-energy-ceg-vs-vst-164150765.html"/>
    <hyperlink ref="E88" r:id="rId81" display="https://www.sec.gov/Archives/edgar/data/1692819/000169281926000006/vistra-20251231.htm"/>
    <hyperlink ref="E89" r:id="rId82" display="https://www.sec.gov/Archives/edgar/data/1692819/000169281926000019/vistra-20260630.htm"/>
    <hyperlink ref="E90" r:id="rId83" display="https://www.sec.gov/Archives/edgar/data/0001692819/000169281926000017/vistra-20260630xearningsre.htm"/>
    <hyperlink ref="E91" r:id="rId84" display="https://app.bigdata.com/documents/195B479A48CB63C52BC7051FD044E9A5"/>
    <hyperlink ref="E92" r:id="rId85" display="https://app.bigdata.com/documents/2A052F276F126176E3059FE6955D29DE"/>
    <hyperlink ref="E93" r:id="rId86" display="https://www.bls.gov/news.release/cpi.nr0.htm"/>
    <hyperlink ref="E94" r:id="rId87" display="https://home.treasury.gov/resource-center/data-chart-center/interest-rates/TextView?type=daily_treasury_yield_curve&amp;field_tdr_date_value=2026"/>
    <hyperlink ref="E95" r:id="rId88" display="https://twelvedata.com"/>
    <hyperlink ref="E96" r:id="rId89" display="https://bigdata.com"/>
    <hyperlink ref="E99" r:id="rId90" display="https://www.sec.gov/Archives/edgar/data/1692819/000119312526002589/d62722dex991.htm"/>
    <hyperlink ref="E100" r:id="rId91" display="https://www.sec.gov/Archives/edgar/data/1622536/000162253626000065/a20260805q22026earningsrel.htm"/>
    <hyperlink ref="E101" r:id="rId92" display="https://finviz.com/news/396792/vistra-to-report-third-quarter-results-on-nov-6-2026"/>
    <hyperlink ref="E102" r:id="rId93" display="https://www.federalreserve.gov/monetarypolicy/fomccalendars.htm"/>
    <hyperlink ref="E103" r:id="rId94" display="https://www.tikr.com/blog/vistra-stock-fell-6-in-a-day-after-a-20-run-heres-what-its-november-6-report-needs-to-show"/>
    <hyperlink ref="E104" r:id="rId95" display="https://polymarket.com/event/fed-decision-in-october-20260617190323537"/>
    <hyperlink ref="E105" r:id="rId96" display="https://polymarket.com/event/fed-decision-in-december-20260729232808632"/>
    <hyperlink ref="E106" r:id="rId97" display="https://polymarket.com/event/texas-enacts-data-center-moratorium-by-20260928"/>
    <hyperlink ref="E107" r:id="rId98" display="https://polymarket.com/event/indiana-enacts-data-center-moratorium-by-20260929"/>
    <hyperlink ref="E108" r:id="rId99" display="https://polymarket.com/event/ai-bubble-burst-by"/>
    <hyperlink ref="E109" r:id="rId100" display="https://polymarket.com/event/us-recession-by-end-of-2026"/>
    <hyperlink ref="E110" r:id="rId101" display="https://theshufflelight.substack.com/p/vistra-vst-this-years-and-next-years"/>
    <hyperlink ref="E111" r:id="rId102" display="https://cycledesk.substack.com/p/vistra-vst-peter-thiel-and-the-pelosis"/>
    <hyperlink ref="E112" r:id="rId103" display="https://mystockresearch.substack.com/p/full-deep-dive-is-vst-a-buy-now-at"/>
    <hyperlink ref="E113" r:id="rId104" display="https://www.trefis.com/stock/vst/articles/617550/your-vistra-stock-thesis-has-one-loose-end/2026-10-05"/>
    <hyperlink ref="E114" r:id="rId105" display="https://www.tikr.com/blog/vistra-stock-is-down-27-this-year-but-analysts-havent-budged-their-targets"/>
    <hyperlink ref="E115" r:id="rId106" display="https://app.bigdata.com/documents/0B112356045C7AA960B032D84AA4BA8A?cnum=20"/>
    <hyperlink ref="E116" r:id="rId107" display="https://app.bigdata.com/documents/6711A89A2E011AA52BD5A4EE81DAFAFB?cnum=6&amp;cnum=1&amp;cnum=7"/>
    <hyperlink ref="E117" r:id="rId108" display="https://app.bigdata.com/documents/57882AE63D05CFCC6FB683B705B86C7E?cnum=3"/>
    <hyperlink ref="E118" r:id="rId109" display="https://app.bigdata.com/documents/0EEA103C3FAA7E4EECCB01989E119F4C?cnum=6"/>
    <hyperlink ref="E119" r:id="rId110" display="https://app.bigdata.com/documents/3DE69810F25B7A11589730488A2DF1F0?cnum=1"/>
    <hyperlink ref="E120" r:id="rId111" display="https://app.bigdata.com/documents/790D89911C5EBEF0DD545A705E996973?cnum=54"/>
    <hyperlink ref="E121" r:id="rId112" display="https://app.bigdata.com/documents/64FDF1BED791CF4E2005FA9815855993?cnum=1"/>
    <hyperlink ref="E122" r:id="rId113" display="https://vst.wd5.myworkdayjobs.com/en-US/vistra_careers"/>
    <hyperlink ref="E123" r:id="rId114" display="https://www.sec.gov/Archives/edgar/data/1692819/000169281926000019/vistra-20260630.htm"/>
    <hyperlink ref="E124" r:id="rId115" display="https://www.sec.gov/Archives/edgar/data/1692819/000169281926000017/vistra-20260630xearningsre.htm"/>
    <hyperlink ref="E125" r:id="rId116" display="https://www.sec.gov/Archives/edgar/data/1692819/000169281926000006/vistra-20251231.htm"/>
    <hyperlink ref="E126" r:id="rId117" display="https://app.bigdata.com/documents/195B479A48CB63C52BC7051FD044E9A5"/>
    <hyperlink ref="E127" r:id="rId118" display="https://www.sec.gov/Archives/edgar/data/1692819/000114036126036415/ny20081693x3_424b2.htm"/>
    <hyperlink ref="E128" r:id="rId119" display="https://www.sec.gov/Archives/edgar/data/1692819/000126840626000009/wk-form4_1788356308.xml"/>
    <hyperlink ref="E129" r:id="rId120" display="https://www.pjm.com/-/media/DotCom/about-pjm/newsroom/2026-releases/20260714-pjm-capacity-auction-procures-138318-mw-of-generation-resources.pdf"/>
    <hyperlink ref="E130" r:id="rId121" display="https://www.bls.gov/news.release/cpi.nr0.htm"/>
    <hyperlink ref="E131" r:id="rId122" display="https://twelvedata.com"/>
    <hyperlink ref="E132" r:id="rId123" display="https://home.treasury.gov/resource-center/data-chart-center/interest-rates/TextView?type=daily_treasury_yield_curve&amp;field_tdr_date_value=2026"/>
    <hyperlink ref="E134" r:id="rId124" display="https://www.sec.gov/Archives/edgar/data/1692819/000119312526002589/d62722dex991.htm"/>
    <hyperlink ref="E135" r:id="rId125" display="https://www.pjm.com/-/media/DotCom/documents/ferc/filings/2026/20260406-er26-1556-000.pdf"/>
    <hyperlink ref="E137" r:id="rId126" display="https://mgrid.org/2026/10/10/ferc-rejects-pjms-curtail-first-plan-for-new-large-loads-and-keeps-only-the-50-mw-definition-and-a-registry/"/>
    <hyperlink ref="E138" r:id="rId127" display="https://www.tikr.com/blog/vistra-stock-fell-6-in-a-day-after-a-20-run-heres-what-its-november-6-report-needs-to-show"/>
    <hyperlink ref="E139" r:id="rId128" display="https://www.sec.gov/Archives/edgar/data/1692819/000169281926000019/vistra-20260630.htm"/>
    <hyperlink ref="E140" r:id="rId129" display="https://www.sec.gov/Archives/edgar/data/1692819/000169281926000006/vistra-20251231.htm"/>
    <hyperlink ref="E141" r:id="rId130" display="https://www.sec.gov/Archives/edgar/data/1692819/000169281926000017/vistra-20260630xearningsre.htm"/>
    <hyperlink ref="E142" r:id="rId131" display="https://www.sec.gov/Archives/edgar/data/1692819/000119312526073364/d21122dex991.htm"/>
    <hyperlink ref="E143" r:id="rId132" display="https://app.bigdata.com/documents/195B479A48CB63C52BC7051FD044E9A5"/>
    <hyperlink ref="E144" r:id="rId133" display="https://www.sec.gov/Archives/edgar/data/1692819/000114036126036415/ny20081693x3_424b2.htm"/>
    <hyperlink ref="E145" r:id="rId134" display="https://data.sec.gov/submissions/CIK0001692819.json"/>
    <hyperlink ref="E146" r:id="rId135" display="https://www.bls.gov/news.release/cpi.nr0.htm"/>
    <hyperlink ref="E147" r:id="rId136" display="https://app.bigdata.com/documents/53254B64A4944D8B28E6F057E2AF4405"/>
    <hyperlink ref="E148" r:id="rId137" display="https://app.bigdata.com/documents/6BBA8103FC99591DEC2BFED96E6F71E7"/>
    <hyperlink ref="E149" r:id="rId138" display="https://app.bigdata.com/documents/32739FC571DF59B5DAA7EC02EFDEBEDC"/>
    <hyperlink ref="E150" r:id="rId139" display="https://query1.finance.yahoo.com/v8/finance/chart/VST?range=10y&amp;interval=1d"/>
    <hyperlink ref="E151" r:id="rId140" display="https://polymarket.com/event/fed-decision-in-october-20260617190323537"/>
    <hyperlink ref="E152" r:id="rId141" display="https://polymarket.com/event/another-fed-rate-hike-in-2026"/>
    <hyperlink ref="E153" r:id="rId142" display="https://polymarket.com/event/us-recession-by-end-of-2027-20260807185409760"/>
    <hyperlink ref="E154" r:id="rId143" display="https://www.troutmanenergyreport.com/2026/05/ferc-accepts-pjm-capacity-market-price-collar-extension/"/>
    <hyperlink ref="E155" r:id="rId144" display="https://www.publicpower.org/periodical/article/pjm-capacity-auction-procures-138318-mw-generation-resources-capacity-price-comes-cap-325"/>
    <hyperlink ref="E156" r:id="rId145" display="https://app.bigdata.com/documents/8261A01736287F224411C346D3767603"/>
    <hyperlink ref="E157" r:id="rId146" display="https://www.euci.com/pjm-chided-by-federal-energy-officials-over-its-emergency-plan-for-new-generating-capacity/"/>
    <hyperlink ref="E158" r:id="rId147" display="https://www.eia.gov/outlooks/steo/report/elec_coal_renew.php"/>
    <hyperlink ref="E159" r:id="rId148" display="https://bigdata.com"/>
    <hyperlink ref="E161" r:id="rId149" display="https://app.bigdata.com/documents/D616C916A66F3D3CE826FB8D7A08B48C"/>
    <hyperlink ref="E162" r:id="rId150" display="https://world-nuclear-news.org/articles/doe-offers-vistra-loan-for-reactor-upgrades-and-uprates"/>
    <hyperlink ref="E164" r:id="rId151" display="https://app.bigdata.com/documents/CA3971254C8FA984A2DFEC3BAFF984EB"/>
    <hyperlink ref="E165" r:id="rId152" display="https://app.bigdata.com/documents/442E24FEEC4D36C5775BBE768A7F46CF"/>
    <hyperlink ref="E166" r:id="rId153" display="https://app.bigdata.com/documents/288ABF4F3E7C0C1A5EEDF2D421ED56BE"/>
    <hyperlink ref="E167" r:id="rId154" display="https://app.bigdata.com/documents/19982ED2ECC043C6AE9BBC3BEF314B27"/>
    <hyperlink ref="E168" r:id="rId155" display="https://www.sec.gov/Archives/edgar/data/1692819/000119312526002589/d62722dex991.htm"/>
    <hyperlink ref="E169" r:id="rId156" display="https://www.pjm.com/-/media/DotCom/documents/ferc/filings/2026/20260406-er26-1556-000.pdf"/>
    <hyperlink ref="E170" r:id="rId157" display="https://www.sec.gov/Archives/edgar/data/1692819/000169281926000017/vistra-20260630xearningsre.htm"/>
    <hyperlink ref="E171" r:id="rId158" display="https://app.bigdata.com/documents/195B479A48CB63C52BC7051FD044E9A5"/>
    <hyperlink ref="E172" r:id="rId159" display="https://www.sec.gov/Archives/edgar/data/1692819/000119312526002589/d62722d8k.htm"/>
    <hyperlink ref="E173" r:id="rId160" display="https://www.sec.gov/Archives/edgar/data/1692819/000119312526002589/d62722dex991.htm"/>
    <hyperlink ref="E174" r:id="rId161" display="https://www.bls.gov/news.release/cpi.nr0.htm"/>
    <hyperlink ref="E175" r:id="rId162" display="https://www.pjm.com/pjmfiles/directory/etariff/FercOrders/9154/20260929-er26-3380-000.pdf"/>
    <hyperlink ref="E176" r:id="rId163" display="https://www.pjm.com/-/media/DotCom/documents/ferc/filings/2026/20260406-er26-1556-000.pdf"/>
    <hyperlink ref="E177" r:id="rId164" display="https://www.troutmanenergyreport.com/2026/05/ferc-accepts-pjm-capacity-market-price-collar-extension/"/>
    <hyperlink ref="E178" r:id="rId165" display="https://finviz.com/news/396792/vistra-to-report-third-quarter-results-on-nov-6-2026"/>
    <hyperlink ref="E179" r:id="rId166" display="https://fred.stlouisfed.org/series/DGS10"/>
    <hyperlink ref="E180" r:id="rId167" display="https://www.federalreserve.gov/monetarypolicy/fomccalendars.htm"/>
    <hyperlink ref="E181" r:id="rId168" display="https://www.sec.gov/Archives/edgar/data/0001622536/000162253626000065/a20260805q22026earningsrel.htm"/>
    <hyperlink ref="E182" r:id="rId169" display="https://data.sec.gov/api/xbrl/companyfacts/CIK0001692819.json"/>
    <hyperlink ref="E183" r:id="rId170" display="https://www.sec.gov/Archives/edgar/data/1692819/000114036126037577/ef20082680_8k.htm"/>
    <hyperlink ref="E184" r:id="rId171" display="https://www.sec.gov/Archives/edgar/data/1692819/000169281926000019/vistra-20260630.htm"/>
    <hyperlink ref="E185" r:id="rId172" display="https://www.sec.gov/Archives/edgar/data/1692819/000169281926000006/vistra-20251231.htm"/>
    <hyperlink ref="E188" r:id="rId173" display="https://www.pjm.com/-/media/DotCom/committees-groups/workshops/prtmdw/2026/20260714/20260714-item-04b---bifurcated-capacity-market-under-pjm-path-a-option-2---michael-kurtz-presentation.pdf"/>
    <hyperlink ref="E189" r:id="rId174" display="https://www.sec.gov/Archives/edgar/data/1692819/000114036126036130/ny20081693x2_424b5.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2026-10-30T22:16:36Z</dcterms:created>
  <dc:creator>openpyxl</dc:creator>
  <dc:description/>
  <dc:language>en-US</dc:language>
  <cp:lastModifiedBy/>
  <dcterms:modified xsi:type="dcterms:W3CDTF">2026-10-30T22:16:36Z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