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odel" sheetId="2" state="visible" r:id="rId2"/>
    <sheet xmlns:r="http://schemas.openxmlformats.org/officeDocument/2006/relationships" name="Valuation" sheetId="3" state="visible" r:id="rId3"/>
    <sheet xmlns:r="http://schemas.openxmlformats.org/officeDocument/2006/relationships" name="Sensitivity" sheetId="4" state="visible" r:id="rId4"/>
    <sheet xmlns:r="http://schemas.openxmlformats.org/officeDocument/2006/relationships" name="Distribution" sheetId="5" state="visible" r:id="rId5"/>
    <sheet xmlns:r="http://schemas.openxmlformats.org/officeDocument/2006/relationships" name="Calc - research target (12m)" sheetId="6" state="visible" r:id="rId6"/>
    <sheet xmlns:r="http://schemas.openxmlformats.org/officeDocument/2006/relationships" name="Calc - bear" sheetId="7" state="visible" r:id="rId7"/>
    <sheet xmlns:r="http://schemas.openxmlformats.org/officeDocument/2006/relationships" name="Calc - base" sheetId="8" state="visible" r:id="rId8"/>
    <sheet xmlns:r="http://schemas.openxmlformats.org/officeDocument/2006/relationships" name="Calc - bull" sheetId="9" state="visible" r:id="rId9"/>
    <sheet xmlns:r="http://schemas.openxmlformats.org/officeDocument/2006/relationships" name="Agents" sheetId="10" state="visible" r:id="rId10"/>
    <sheet xmlns:r="http://schemas.openxmlformats.org/officeDocument/2006/relationships" name="Sources" sheetId="11" state="visible" r:id="rId11"/>
  </sheets>
  <definedNames/>
  <calcPr calcId="124519" fullCalcOnLoad="1"/>
</workbook>
</file>

<file path=xl/styles.xml><?xml version="1.0" encoding="utf-8"?>
<styleSheet xmlns="http://schemas.openxmlformats.org/spreadsheetml/2006/main">
  <numFmts count="13">
    <numFmt numFmtId="164" formatCode="yyyy-mm-dd"/>
    <numFmt numFmtId="165" formatCode="#,##0;(#,##0)"/>
    <numFmt numFmtId="166" formatCode="0.0%"/>
    <numFmt numFmtId="167" formatCode="0.00&quot;x&quot;"/>
    <numFmt numFmtId="168" formatCode="#,##0.0"/>
    <numFmt numFmtId="169" formatCode="$0.00"/>
    <numFmt numFmtId="170" formatCode="0.0"/>
    <numFmt numFmtId="171" formatCode="0&quot; bp&quot;;-0&quot; bp&quot;"/>
    <numFmt numFmtId="172" formatCode="0.000"/>
    <numFmt numFmtId="173" formatCode="0.0000"/>
    <numFmt numFmtId="174" formatCode="0.0&quot;x&quot;"/>
    <numFmt numFmtId="175" formatCode="+0.0%;-0.0%;0.0%"/>
    <numFmt numFmtId="176" formatCode="yyyy-mm-dd hh:mm"/>
  </numFmts>
  <fonts count="9">
    <font>
      <name val="Calibri"/>
      <family val="2"/>
      <color theme="1"/>
      <sz val="11"/>
      <scheme val="minor"/>
    </font>
    <font>
      <b val="1"/>
    </font>
    <font>
      <color rgb="000000FF"/>
    </font>
    <font>
      <i val="1"/>
      <color rgb="00444444"/>
    </font>
    <font>
      <b val="1"/>
      <sz val="13"/>
    </font>
    <font>
      <i val="1"/>
      <color rgb="00666666"/>
    </font>
    <font>
      <color rgb="00008000"/>
    </font>
    <font>
      <color rgb="007030A0"/>
    </font>
    <font>
      <color rgb="00C55A11"/>
    </font>
  </fonts>
  <fills count="4">
    <fill>
      <patternFill/>
    </fill>
    <fill>
      <patternFill patternType="gray125"/>
    </fill>
    <fill>
      <patternFill patternType="solid">
        <fgColor rgb="00D9E2F0"/>
      </patternFill>
    </fill>
    <fill>
      <patternFill patternType="solid">
        <fgColor rgb="00E8EEF7"/>
      </patternFill>
    </fill>
  </fills>
  <borders count="1">
    <border>
      <left/>
      <right/>
      <top/>
      <bottom/>
      <diagonal/>
    </border>
  </borders>
  <cellStyleXfs count="1">
    <xf numFmtId="0" fontId="0" fillId="0" borderId="0"/>
  </cellStyleXfs>
  <cellXfs count="53">
    <xf numFmtId="0" fontId="0" fillId="0" borderId="0" pivotButton="0" quotePrefix="0" xfId="0"/>
    <xf numFmtId="0" fontId="4" fillId="0" borderId="0" pivotButton="0" quotePrefix="0" xfId="0"/>
    <xf numFmtId="0" fontId="5" fillId="0" borderId="0" pivotButton="0" quotePrefix="0" xfId="0"/>
    <xf numFmtId="0" fontId="1" fillId="3" borderId="0" pivotButton="0" quotePrefix="0" xfId="0"/>
    <xf numFmtId="2" fontId="6" fillId="0" borderId="0" pivotButton="0" quotePrefix="0" xfId="0"/>
    <xf numFmtId="176" fontId="0" fillId="0" borderId="0" pivotButton="0" quotePrefix="0" xfId="0"/>
    <xf numFmtId="2" fontId="1" fillId="0" borderId="0" pivotButton="0" quotePrefix="0" xfId="0"/>
    <xf numFmtId="166" fontId="1" fillId="0" borderId="0" pivotButton="0" quotePrefix="0" xfId="0"/>
    <xf numFmtId="164" fontId="6" fillId="0" borderId="0" pivotButton="0" quotePrefix="0" xfId="0"/>
    <xf numFmtId="2" fontId="0" fillId="0" borderId="0" pivotButton="0" quotePrefix="0" xfId="0"/>
    <xf numFmtId="165" fontId="6" fillId="0" borderId="0" pivotButton="0" quotePrefix="0" xfId="0"/>
    <xf numFmtId="0" fontId="3" fillId="0" borderId="0" pivotButton="0" quotePrefix="0" xfId="0"/>
    <xf numFmtId="166" fontId="6" fillId="0" borderId="0" pivotButton="0" quotePrefix="0" xfId="0"/>
    <xf numFmtId="169" fontId="6" fillId="0" borderId="0" pivotButton="0" quotePrefix="0" xfId="0"/>
    <xf numFmtId="0" fontId="8" fillId="0" borderId="0" pivotButton="0" quotePrefix="0" xfId="0"/>
    <xf numFmtId="169" fontId="8" fillId="0" borderId="0" pivotButton="0" quotePrefix="0" xfId="0"/>
    <xf numFmtId="0" fontId="6" fillId="0" borderId="0" pivotButton="0" quotePrefix="0" xfId="0"/>
    <xf numFmtId="0" fontId="6" fillId="0" borderId="0" applyAlignment="1" pivotButton="0" quotePrefix="0" xfId="0">
      <alignment vertical="top" wrapText="1"/>
    </xf>
    <xf numFmtId="166" fontId="0" fillId="0" borderId="0" pivotButton="0" quotePrefix="0" xfId="0"/>
    <xf numFmtId="0" fontId="1" fillId="0" borderId="0" pivotButton="0" quotePrefix="0" xfId="0"/>
    <xf numFmtId="164" fontId="0" fillId="0" borderId="0" pivotButton="0" quotePrefix="0" xfId="0"/>
    <xf numFmtId="0" fontId="1" fillId="2" borderId="0" pivotButton="0" quotePrefix="0" xfId="0"/>
    <xf numFmtId="0" fontId="0" fillId="2" borderId="0" pivotButton="0" quotePrefix="0" xfId="0"/>
    <xf numFmtId="165" fontId="0" fillId="0" borderId="0" pivotButton="0" quotePrefix="0" xfId="0"/>
    <xf numFmtId="166" fontId="2" fillId="0" borderId="0" pivotButton="0" quotePrefix="0" xfId="0"/>
    <xf numFmtId="165" fontId="1" fillId="0" borderId="0" pivotButton="0" quotePrefix="0" xfId="0"/>
    <xf numFmtId="165" fontId="2" fillId="0" borderId="0" pivotButton="0" quotePrefix="0" xfId="0"/>
    <xf numFmtId="166" fontId="3" fillId="0" borderId="0" pivotButton="0" quotePrefix="0" xfId="0"/>
    <xf numFmtId="168" fontId="0" fillId="0" borderId="0" pivotButton="0" quotePrefix="0" xfId="0"/>
    <xf numFmtId="169" fontId="0" fillId="0" borderId="0" pivotButton="0" quotePrefix="0" xfId="0"/>
    <xf numFmtId="169" fontId="1" fillId="0" borderId="0" pivotButton="0" quotePrefix="0" xfId="0"/>
    <xf numFmtId="165" fontId="7" fillId="0" borderId="0" pivotButton="0" quotePrefix="0" xfId="0"/>
    <xf numFmtId="165" fontId="8" fillId="0" borderId="0" pivotButton="0" quotePrefix="0" xfId="0"/>
    <xf numFmtId="166" fontId="8" fillId="0" borderId="0" pivotButton="0" quotePrefix="0" xfId="0"/>
    <xf numFmtId="171" fontId="3" fillId="0" borderId="0" pivotButton="0" quotePrefix="0" xfId="0"/>
    <xf numFmtId="4" fontId="6" fillId="0" borderId="0" pivotButton="0" quotePrefix="0" xfId="0"/>
    <xf numFmtId="168" fontId="6" fillId="0" borderId="0" pivotButton="0" quotePrefix="0" xfId="0"/>
    <xf numFmtId="164" fontId="2" fillId="0" borderId="0" pivotButton="0" quotePrefix="0" xfId="0"/>
    <xf numFmtId="0" fontId="2" fillId="0" borderId="0" pivotButton="0" quotePrefix="0" xfId="0"/>
    <xf numFmtId="167" fontId="2" fillId="0" borderId="0" pivotButton="0" quotePrefix="0" xfId="0"/>
    <xf numFmtId="168" fontId="2" fillId="0" borderId="0" pivotButton="0" quotePrefix="0" xfId="0"/>
    <xf numFmtId="2" fontId="2" fillId="0" borderId="0" pivotButton="0" quotePrefix="0" xfId="0"/>
    <xf numFmtId="169" fontId="2" fillId="0" borderId="0" pivotButton="0" quotePrefix="0" xfId="0"/>
    <xf numFmtId="170" fontId="2" fillId="0" borderId="0" pivotButton="0" quotePrefix="0" xfId="0"/>
    <xf numFmtId="0" fontId="0" fillId="0" borderId="0" applyAlignment="1" pivotButton="0" quotePrefix="0" xfId="0">
      <alignment vertical="top" wrapText="1"/>
    </xf>
    <xf numFmtId="174" fontId="1" fillId="0" borderId="0" pivotButton="0" quotePrefix="0" xfId="0"/>
    <xf numFmtId="175" fontId="1" fillId="0" borderId="0" pivotButton="0" quotePrefix="0" xfId="0"/>
    <xf numFmtId="173" fontId="0" fillId="0" borderId="0" pivotButton="0" quotePrefix="0" xfId="0"/>
    <xf numFmtId="170" fontId="0" fillId="0" borderId="0" pivotButton="0" quotePrefix="0" xfId="0"/>
    <xf numFmtId="172" fontId="0" fillId="0" borderId="0" pivotButton="0" quotePrefix="0" xfId="0"/>
    <xf numFmtId="4" fontId="0" fillId="0" borderId="0" pivotButton="0" quotePrefix="0" xfId="0"/>
    <xf numFmtId="170" fontId="6" fillId="0" borderId="0" pivotButton="0" quotePrefix="0" xfId="0"/>
    <xf numFmtId="173"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https://www.sec.gov/Archives/edgar/data/1018724/000101872426000026/amzn-20260630.htm" TargetMode="External" Id="rId1"/><Relationship Type="http://schemas.openxmlformats.org/officeDocument/2006/relationships/hyperlink" Target="https://www.sec.gov/Archives/edgar/data/1018724/000101872426000024/amzn-20260630xex991.htm" TargetMode="External" Id="rId2"/><Relationship Type="http://schemas.openxmlformats.org/officeDocument/2006/relationships/hyperlink" Target="https://data.sec.gov/submissions/CIK0001018724.json" TargetMode="External" Id="rId3"/><Relationship Type="http://schemas.openxmlformats.org/officeDocument/2006/relationships/hyperlink" Target="https://www.marketscreener.com/quote/stock/AMAZON-COM-INC-12864605/finances/" TargetMode="External" Id="rId4"/><Relationship Type="http://schemas.openxmlformats.org/officeDocument/2006/relationships/hyperlink" Target="https://finance.yahoo.com/quote/AMZN/analysis/" TargetMode="External" Id="rId5"/><Relationship Type="http://schemas.openxmlformats.org/officeDocument/2006/relationships/hyperlink" Target="https://www.marketscreener.com/quote/stock/MICROSOFT-CORPORATION-4835/finances/" TargetMode="External" Id="rId6"/><Relationship Type="http://schemas.openxmlformats.org/officeDocument/2006/relationships/hyperlink" Target="https://www.marketscreener.com/quote/stock/ALPHABET-INC-24203373/finances/" TargetMode="External" Id="rId7"/><Relationship Type="http://schemas.openxmlformats.org/officeDocument/2006/relationships/hyperlink" Target="https://www.marketscreener.com/quote/stock/META-PLATFORMS-INC-10547141/finances/" TargetMode="External" Id="rId8"/><Relationship Type="http://schemas.openxmlformats.org/officeDocument/2006/relationships/hyperlink" Target="https://www.marketscreener.com/quote/stock/ORACLE-CORPORATION-13620698/finances/" TargetMode="External" Id="rId9"/><Relationship Type="http://schemas.openxmlformats.org/officeDocument/2006/relationships/hyperlink" Target="https://www.marketscreener.com/quote/stock/WALMART-INC-4841/finances/" TargetMode="External" Id="rId10"/><Relationship Type="http://schemas.openxmlformats.org/officeDocument/2006/relationships/hyperlink" Target="https://www.marketscreener.com/quote/stock/COSTCO-WHOLESALE-CORPORAT-4866/finances/" TargetMode="External" Id="rId11"/><Relationship Type="http://schemas.openxmlformats.org/officeDocument/2006/relationships/hyperlink" Target="https://www.marketscreener.com/quote/stock/MERCADOLIBRE-INC-58469/finances/" TargetMode="External" Id="rId12"/><Relationship Type="http://schemas.openxmlformats.org/officeDocument/2006/relationships/hyperlink" Target="https://www.marketscreener.com/quote/stock/SEA-LIMITED-38150303/finances/" TargetMode="External" Id="rId13"/><Relationship Type="http://schemas.openxmlformats.org/officeDocument/2006/relationships/hyperlink" Target="https://www.marketscreener.com/quote/stock/SHOPIFY-INC-22283351/finances/" TargetMode="External" Id="rId14"/><Relationship Type="http://schemas.openxmlformats.org/officeDocument/2006/relationships/hyperlink" Target="https://www.marketscreener.com/quote/stock/ALIBABA-GROUP-HOLDING-LIM-17916677/finances/" TargetMode="External" Id="rId15"/><Relationship Type="http://schemas.openxmlformats.org/officeDocument/2006/relationships/hyperlink" Target="https://www.marketscreener.com/quote/stock/PDD-HOLDINGS-INC-45049866/finances/" TargetMode="External" Id="rId16"/><Relationship Type="http://schemas.openxmlformats.org/officeDocument/2006/relationships/hyperlink" Target="https://fred.stlouisfed.org/series/DGS10" TargetMode="External" Id="rId17"/><Relationship Type="http://schemas.openxmlformats.org/officeDocument/2006/relationships/hyperlink" Target="https://www.federalreserve.gov/newsevents/pressreleases/monetary20260916a1.htm" TargetMode="External" Id="rId18"/><Relationship Type="http://schemas.openxmlformats.org/officeDocument/2006/relationships/hyperlink" Target="https://www.federalreserve.gov/monetarypolicy/fomccalendars.htm" TargetMode="External" Id="rId19"/><Relationship Type="http://schemas.openxmlformats.org/officeDocument/2006/relationships/hyperlink" Target="https://ir.aboutamazon.com/news-release/default.aspx" TargetMode="External" Id="rId20"/><Relationship Type="http://schemas.openxmlformats.org/officeDocument/2006/relationships/hyperlink" Target="https://aws.amazon.com/ec2/capacityblocks/pricing/" TargetMode="External" Id="rId21"/><Relationship Type="http://schemas.openxmlformats.org/officeDocument/2006/relationships/hyperlink" Target="https://www.thestar.com.my/tech/tech-news/2026/10/02/amazon-seeks-to-offload-8-billion-of-nvidia-chips-to-investors-ft-reports" TargetMode="External" Id="rId22"/><Relationship Type="http://schemas.openxmlformats.org/officeDocument/2006/relationships/hyperlink" Target="/mnt/project-files/adhoc/nvda_customer_capex.md" TargetMode="External" Id="rId23"/><Relationship Type="http://schemas.openxmlformats.org/officeDocument/2006/relationships/hyperlink" Target="https://stockanalysis.com/stocks/amzn/history/" TargetMode="External" Id="rId24"/><Relationship Type="http://schemas.openxmlformats.org/officeDocument/2006/relationships/hyperlink" Target="https://twelvedata.com/" TargetMode="External" Id="rId25"/><Relationship Type="http://schemas.openxmlformats.org/officeDocument/2006/relationships/hyperlink" Target="https://fred.stlouisfed.org/data/DGS10.txt" TargetMode="External" Id="rId26"/><Relationship Type="http://schemas.openxmlformats.org/officeDocument/2006/relationships/hyperlink" Target="https://www.theglobeandmail.com/investing/markets/stocks/AMZN/pressreleases/3730734/amazon-amzn-q2-2026-earnings-call-transcript/" TargetMode="External" Id="rId27"/><Relationship Type="http://schemas.openxmlformats.org/officeDocument/2006/relationships/hyperlink" Target="https://www.sec.gov/Archives/edgar/data/1018724/000110465926107526/tm2624614d5_8k.htm" TargetMode="External" Id="rId28"/><Relationship Type="http://schemas.openxmlformats.org/officeDocument/2006/relationships/hyperlink" Target="https://www.nasdaq.com/market-activity/stocks/amzn/earnings" TargetMode="External" Id="rId29"/><Relationship Type="http://schemas.openxmlformats.org/officeDocument/2006/relationships/hyperlink" Target="https://finance.yahoo.com/quote/AMZN/history/" TargetMode="External" Id="rId30"/><Relationship Type="http://schemas.openxmlformats.org/officeDocument/2006/relationships/hyperlink" Target="https://www.nasdaq.com/market-activity/stocks/app/earnings" TargetMode="External" Id="rId31"/><Relationship Type="http://schemas.openxmlformats.org/officeDocument/2006/relationships/hyperlink" Target="https://finance.yahoo.com/quote/APP/history/" TargetMode="External" Id="rId32"/><Relationship Type="http://schemas.openxmlformats.org/officeDocument/2006/relationships/hyperlink" Target="https://www.nasdaq.com/market-activity/stocks/cost/earnings" TargetMode="External" Id="rId33"/><Relationship Type="http://schemas.openxmlformats.org/officeDocument/2006/relationships/hyperlink" Target="https://finance.yahoo.com/quote/COST/history/" TargetMode="External" Id="rId34"/><Relationship Type="http://schemas.openxmlformats.org/officeDocument/2006/relationships/hyperlink" Target="https://www.nasdaq.com/market-activity/stocks/googl/earnings" TargetMode="External" Id="rId35"/><Relationship Type="http://schemas.openxmlformats.org/officeDocument/2006/relationships/hyperlink" Target="https://finance.yahoo.com/quote/GOOGL/history/" TargetMode="External" Id="rId36"/><Relationship Type="http://schemas.openxmlformats.org/officeDocument/2006/relationships/hyperlink" Target="https://www.nasdaq.com/market-activity/stocks/meli/earnings" TargetMode="External" Id="rId37"/><Relationship Type="http://schemas.openxmlformats.org/officeDocument/2006/relationships/hyperlink" Target="https://finance.yahoo.com/quote/MELI/history/" TargetMode="External" Id="rId38"/><Relationship Type="http://schemas.openxmlformats.org/officeDocument/2006/relationships/hyperlink" Target="https://www.nasdaq.com/market-activity/stocks/meta/earnings" TargetMode="External" Id="rId39"/><Relationship Type="http://schemas.openxmlformats.org/officeDocument/2006/relationships/hyperlink" Target="https://finance.yahoo.com/quote/META/history/" TargetMode="External" Id="rId40"/><Relationship Type="http://schemas.openxmlformats.org/officeDocument/2006/relationships/hyperlink" Target="https://www.nasdaq.com/market-activity/stocks/msft/earnings" TargetMode="External" Id="rId41"/><Relationship Type="http://schemas.openxmlformats.org/officeDocument/2006/relationships/hyperlink" Target="https://finance.yahoo.com/quote/MSFT/history/" TargetMode="External" Id="rId42"/><Relationship Type="http://schemas.openxmlformats.org/officeDocument/2006/relationships/hyperlink" Target="https://www.nasdaq.com/market-activity/stocks/orcl/earnings" TargetMode="External" Id="rId43"/><Relationship Type="http://schemas.openxmlformats.org/officeDocument/2006/relationships/hyperlink" Target="https://finance.yahoo.com/quote/ORCL/history/" TargetMode="External" Id="rId44"/><Relationship Type="http://schemas.openxmlformats.org/officeDocument/2006/relationships/hyperlink" Target="https://www.nasdaq.com/market-activity/stocks/rddt/earnings" TargetMode="External" Id="rId45"/><Relationship Type="http://schemas.openxmlformats.org/officeDocument/2006/relationships/hyperlink" Target="https://finance.yahoo.com/quote/RDDT/history/" TargetMode="External" Id="rId46"/><Relationship Type="http://schemas.openxmlformats.org/officeDocument/2006/relationships/hyperlink" Target="https://www.nasdaq.com/market-activity/stocks/se/earnings" TargetMode="External" Id="rId47"/><Relationship Type="http://schemas.openxmlformats.org/officeDocument/2006/relationships/hyperlink" Target="https://finance.yahoo.com/quote/SE/history/" TargetMode="External" Id="rId48"/><Relationship Type="http://schemas.openxmlformats.org/officeDocument/2006/relationships/hyperlink" Target="https://www.nasdaq.com/market-activity/stocks/shop/earnings" TargetMode="External" Id="rId49"/><Relationship Type="http://schemas.openxmlformats.org/officeDocument/2006/relationships/hyperlink" Target="https://finance.yahoo.com/quote/SHOP/history/" TargetMode="External" Id="rId50"/><Relationship Type="http://schemas.openxmlformats.org/officeDocument/2006/relationships/hyperlink" Target="https://www.nasdaq.com/market-activity/stocks/wmt/earnings" TargetMode="External" Id="rId51"/><Relationship Type="http://schemas.openxmlformats.org/officeDocument/2006/relationships/hyperlink" Target="https://finance.yahoo.com/quote/WMT/history/" TargetMode="External" Id="rId52"/><Relationship Type="http://schemas.openxmlformats.org/officeDocument/2006/relationships/hyperlink" Target="https://www.sec.gov/Archives/edgar/data/1018724/000101872424000128/amzn-20240630xex991.htm" TargetMode="External" Id="rId53"/><Relationship Type="http://schemas.openxmlformats.org/officeDocument/2006/relationships/hyperlink" Target="https://www.sec.gov/Archives/edgar/data/1018724/000101872424000158/amzn-20240930xex991.htm" TargetMode="External" Id="rId54"/><Relationship Type="http://schemas.openxmlformats.org/officeDocument/2006/relationships/hyperlink" Target="https://www.sec.gov/Archives/edgar/data/1018724/000101872425000002/amzn-20241231xex991.htm" TargetMode="External" Id="rId55"/><Relationship Type="http://schemas.openxmlformats.org/officeDocument/2006/relationships/hyperlink" Target="https://www.sec.gov/Archives/edgar/data/1018724/000101872425000034/amzn-20250331xex991.htm" TargetMode="External" Id="rId56"/><Relationship Type="http://schemas.openxmlformats.org/officeDocument/2006/relationships/hyperlink" Target="https://www.sec.gov/Archives/edgar/data/1018724/000101872425000084/amzn-20250630xex991.htm" TargetMode="External" Id="rId57"/><Relationship Type="http://schemas.openxmlformats.org/officeDocument/2006/relationships/hyperlink" Target="https://www.sec.gov/Archives/edgar/data/1018724/000101872425000121/amzn-20250930xex991.htm" TargetMode="External" Id="rId58"/><Relationship Type="http://schemas.openxmlformats.org/officeDocument/2006/relationships/hyperlink" Target="https://www.sec.gov/Archives/edgar/data/1018724/000101872426000002/amzn-20251231xex991.htm" TargetMode="External" Id="rId59"/><Relationship Type="http://schemas.openxmlformats.org/officeDocument/2006/relationships/hyperlink" Target="https://www.sec.gov/Archives/edgar/data/1018724/000101872426000012/amzn-20260331xex991.htm" TargetMode="External" Id="rId60"/><Relationship Type="http://schemas.openxmlformats.org/officeDocument/2006/relationships/hyperlink" Target="https://www.sec.gov/Archives/edgar/data/1018724/000101872426000024/amzn-20260630xex991.htm" TargetMode="External" Id="rId61"/><Relationship Type="http://schemas.openxmlformats.org/officeDocument/2006/relationships/hyperlink" Target="https://www.sec.gov/Archives/edgar/data/1018724/000101872426000004/" TargetMode="External" Id="rId62"/><Relationship Type="http://schemas.openxmlformats.org/officeDocument/2006/relationships/hyperlink" Target="https://www.sec.gov/Archives/edgar/data/1018724/000101872426000004/" TargetMode="External" Id="rId63"/><Relationship Type="http://schemas.openxmlformats.org/officeDocument/2006/relationships/hyperlink" Target="https://www.sec.gov/Archives/edgar/data/1018724/000101872426000004/" TargetMode="External" Id="rId64"/><Relationship Type="http://schemas.openxmlformats.org/officeDocument/2006/relationships/hyperlink" Target="https://www.sec.gov/Archives/edgar/data/1018724/000101872426000026/" TargetMode="External" Id="rId65"/><Relationship Type="http://schemas.openxmlformats.org/officeDocument/2006/relationships/hyperlink" Target="https://www.sec.gov/Archives/edgar/data/1018724/000101872426000026/" TargetMode="External" Id="rId66"/><Relationship Type="http://schemas.openxmlformats.org/officeDocument/2006/relationships/hyperlink" Target="https://www.sec.gov/Archives/edgar/data/1018724/000101872426000026/" TargetMode="External" Id="rId67"/><Relationship Type="http://schemas.openxmlformats.org/officeDocument/2006/relationships/hyperlink" Target="https://www.sec.gov/Archives/edgar/data/1018724/000101872426000004/" TargetMode="External" Id="rId68"/><Relationship Type="http://schemas.openxmlformats.org/officeDocument/2006/relationships/hyperlink" Target="https://www.sec.gov/Archives/edgar/data/1018724/000101872426000004/" TargetMode="External" Id="rId69"/><Relationship Type="http://schemas.openxmlformats.org/officeDocument/2006/relationships/hyperlink" Target="https://www.sec.gov/Archives/edgar/data/1018724/000101872426000004/" TargetMode="External" Id="rId70"/><Relationship Type="http://schemas.openxmlformats.org/officeDocument/2006/relationships/hyperlink" Target="https://www.sec.gov/Archives/edgar/data/1018724/000101872426000026/" TargetMode="External" Id="rId71"/><Relationship Type="http://schemas.openxmlformats.org/officeDocument/2006/relationships/hyperlink" Target="https://www.sec.gov/Archives/edgar/data/1018724/000101872426000026/" TargetMode="External" Id="rId72"/><Relationship Type="http://schemas.openxmlformats.org/officeDocument/2006/relationships/hyperlink" Target="https://www.sec.gov/Archives/edgar/data/1018724/000101872426000026/" TargetMode="External" Id="rId73"/><Relationship Type="http://schemas.openxmlformats.org/officeDocument/2006/relationships/hyperlink" Target="https://www.sec.gov/Archives/edgar/data/1018724/000101872426000004/" TargetMode="External" Id="rId74"/><Relationship Type="http://schemas.openxmlformats.org/officeDocument/2006/relationships/hyperlink" Target="https://www.sec.gov/Archives/edgar/data/1018724/000101872426000004/" TargetMode="External" Id="rId75"/><Relationship Type="http://schemas.openxmlformats.org/officeDocument/2006/relationships/hyperlink" Target="https://www.sec.gov/Archives/edgar/data/1018724/000101872426000004/" TargetMode="External" Id="rId76"/><Relationship Type="http://schemas.openxmlformats.org/officeDocument/2006/relationships/hyperlink" Target="https://www.sec.gov/Archives/edgar/data/1018724/000101872426000026/" TargetMode="External" Id="rId77"/><Relationship Type="http://schemas.openxmlformats.org/officeDocument/2006/relationships/hyperlink" Target="https://www.sec.gov/Archives/edgar/data/1018724/000101872426000026/" TargetMode="External" Id="rId78"/><Relationship Type="http://schemas.openxmlformats.org/officeDocument/2006/relationships/hyperlink" Target="https://www.sec.gov/Archives/edgar/data/1018724/000101872426000026/" TargetMode="External" Id="rId79"/><Relationship Type="http://schemas.openxmlformats.org/officeDocument/2006/relationships/hyperlink" Target="https://www.sec.gov/Archives/edgar/data/1018724/000101872426000004/" TargetMode="External" Id="rId80"/><Relationship Type="http://schemas.openxmlformats.org/officeDocument/2006/relationships/hyperlink" Target="https://www.sec.gov/Archives/edgar/data/1018724/000101872426000004/" TargetMode="External" Id="rId81"/><Relationship Type="http://schemas.openxmlformats.org/officeDocument/2006/relationships/hyperlink" Target="https://www.sec.gov/Archives/edgar/data/1018724/000101872426000004/" TargetMode="External" Id="rId82"/><Relationship Type="http://schemas.openxmlformats.org/officeDocument/2006/relationships/hyperlink" Target="https://www.sec.gov/Archives/edgar/data/1018724/000101872426000026/" TargetMode="External" Id="rId83"/><Relationship Type="http://schemas.openxmlformats.org/officeDocument/2006/relationships/hyperlink" Target="https://www.sec.gov/Archives/edgar/data/1018724/000101872426000026/" TargetMode="External" Id="rId84"/><Relationship Type="http://schemas.openxmlformats.org/officeDocument/2006/relationships/hyperlink" Target="https://www.sec.gov/Archives/edgar/data/1018724/000101872426000026/" TargetMode="External" Id="rId85"/><Relationship Type="http://schemas.openxmlformats.org/officeDocument/2006/relationships/hyperlink" Target="https://www.sec.gov/Archives/edgar/data/1018724/000101872426000004/" TargetMode="External" Id="rId86"/><Relationship Type="http://schemas.openxmlformats.org/officeDocument/2006/relationships/hyperlink" Target="https://www.sec.gov/Archives/edgar/data/1018724/000101872426000004/" TargetMode="External" Id="rId87"/><Relationship Type="http://schemas.openxmlformats.org/officeDocument/2006/relationships/hyperlink" Target="https://www.sec.gov/Archives/edgar/data/1018724/000101872426000004/" TargetMode="External" Id="rId88"/><Relationship Type="http://schemas.openxmlformats.org/officeDocument/2006/relationships/hyperlink" Target="https://www.sec.gov/Archives/edgar/data/1018724/000101872426000026/" TargetMode="External" Id="rId89"/><Relationship Type="http://schemas.openxmlformats.org/officeDocument/2006/relationships/hyperlink" Target="https://www.sec.gov/Archives/edgar/data/1018724/000101872426000026/" TargetMode="External" Id="rId90"/><Relationship Type="http://schemas.openxmlformats.org/officeDocument/2006/relationships/hyperlink" Target="https://www.sec.gov/Archives/edgar/data/1018724/000101872426000026/" TargetMode="External" Id="rId91"/><Relationship Type="http://schemas.openxmlformats.org/officeDocument/2006/relationships/hyperlink" Target="https://www.sec.gov/Archives/edgar/data/1018724/000101872426000004/" TargetMode="External" Id="rId92"/><Relationship Type="http://schemas.openxmlformats.org/officeDocument/2006/relationships/hyperlink" Target="https://www.sec.gov/Archives/edgar/data/1018724/000101872426000004/" TargetMode="External" Id="rId93"/><Relationship Type="http://schemas.openxmlformats.org/officeDocument/2006/relationships/hyperlink" Target="https://www.sec.gov/Archives/edgar/data/1018724/000101872426000004/" TargetMode="External" Id="rId94"/><Relationship Type="http://schemas.openxmlformats.org/officeDocument/2006/relationships/hyperlink" Target="https://www.sec.gov/Archives/edgar/data/1018724/000101872426000026/" TargetMode="External" Id="rId95"/><Relationship Type="http://schemas.openxmlformats.org/officeDocument/2006/relationships/hyperlink" Target="https://www.sec.gov/Archives/edgar/data/1018724/000101872426000026/" TargetMode="External" Id="rId96"/><Relationship Type="http://schemas.openxmlformats.org/officeDocument/2006/relationships/hyperlink" Target="https://www.sec.gov/Archives/edgar/data/1018724/000101872426000026/" TargetMode="External" Id="rId97"/><Relationship Type="http://schemas.openxmlformats.org/officeDocument/2006/relationships/hyperlink" Target="https://www.sec.gov/Archives/edgar/data/1018724/000101872426000004/" TargetMode="External" Id="rId98"/><Relationship Type="http://schemas.openxmlformats.org/officeDocument/2006/relationships/hyperlink" Target="https://www.sec.gov/Archives/edgar/data/1018724/000101872426000004/" TargetMode="External" Id="rId99"/><Relationship Type="http://schemas.openxmlformats.org/officeDocument/2006/relationships/hyperlink" Target="https://www.sec.gov/Archives/edgar/data/1018724/000101872426000004/" TargetMode="External" Id="rId100"/><Relationship Type="http://schemas.openxmlformats.org/officeDocument/2006/relationships/hyperlink" Target="https://www.sec.gov/Archives/edgar/data/1018724/000101872426000026/" TargetMode="External" Id="rId101"/><Relationship Type="http://schemas.openxmlformats.org/officeDocument/2006/relationships/hyperlink" Target="https://www.sec.gov/Archives/edgar/data/1018724/000101872426000026/" TargetMode="External" Id="rId102"/><Relationship Type="http://schemas.openxmlformats.org/officeDocument/2006/relationships/hyperlink" Target="https://www.sec.gov/Archives/edgar/data/1018724/000101872426000026/" TargetMode="External" Id="rId103"/><Relationship Type="http://schemas.openxmlformats.org/officeDocument/2006/relationships/hyperlink" Target="https://www.sec.gov/Archives/edgar/data/1018724/000101872426000004/" TargetMode="External" Id="rId104"/><Relationship Type="http://schemas.openxmlformats.org/officeDocument/2006/relationships/hyperlink" Target="https://www.sec.gov/Archives/edgar/data/1018724/000101872426000004/" TargetMode="External" Id="rId105"/><Relationship Type="http://schemas.openxmlformats.org/officeDocument/2006/relationships/hyperlink" Target="https://www.sec.gov/Archives/edgar/data/1018724/000101872426000004/" TargetMode="External" Id="rId106"/><Relationship Type="http://schemas.openxmlformats.org/officeDocument/2006/relationships/hyperlink" Target="https://www.sec.gov/Archives/edgar/data/1018724/000101872426000026/" TargetMode="External" Id="rId107"/><Relationship Type="http://schemas.openxmlformats.org/officeDocument/2006/relationships/hyperlink" Target="https://www.sec.gov/Archives/edgar/data/1018724/000101872426000026/" TargetMode="External" Id="rId108"/><Relationship Type="http://schemas.openxmlformats.org/officeDocument/2006/relationships/hyperlink" Target="https://www.sec.gov/Archives/edgar/data/1018724/000101872426000026/" TargetMode="External" Id="rId109"/><Relationship Type="http://schemas.openxmlformats.org/officeDocument/2006/relationships/hyperlink" Target="https://www.sec.gov/Archives/edgar/data/1018724/000101872426000004/" TargetMode="External" Id="rId110"/><Relationship Type="http://schemas.openxmlformats.org/officeDocument/2006/relationships/hyperlink" Target="https://www.sec.gov/Archives/edgar/data/1018724/000101872426000004/" TargetMode="External" Id="rId111"/><Relationship Type="http://schemas.openxmlformats.org/officeDocument/2006/relationships/hyperlink" Target="https://www.sec.gov/Archives/edgar/data/1018724/000101872426000004/" TargetMode="External" Id="rId112"/><Relationship Type="http://schemas.openxmlformats.org/officeDocument/2006/relationships/hyperlink" Target="https://www.sec.gov/Archives/edgar/data/1018724/000101872426000026/" TargetMode="External" Id="rId113"/><Relationship Type="http://schemas.openxmlformats.org/officeDocument/2006/relationships/hyperlink" Target="https://www.sec.gov/Archives/edgar/data/1018724/000101872426000026/" TargetMode="External" Id="rId114"/><Relationship Type="http://schemas.openxmlformats.org/officeDocument/2006/relationships/hyperlink" Target="https://www.sec.gov/Archives/edgar/data/1018724/000101872426000026/" TargetMode="External" Id="rId115"/><Relationship Type="http://schemas.openxmlformats.org/officeDocument/2006/relationships/hyperlink" Target="https://www.sec.gov/Archives/edgar/data/1018724/000101872426000004/" TargetMode="External" Id="rId116"/><Relationship Type="http://schemas.openxmlformats.org/officeDocument/2006/relationships/hyperlink" Target="https://www.sec.gov/Archives/edgar/data/1018724/000101872426000004/" TargetMode="External" Id="rId117"/><Relationship Type="http://schemas.openxmlformats.org/officeDocument/2006/relationships/hyperlink" Target="https://www.sec.gov/Archives/edgar/data/1018724/000101872426000004/" TargetMode="External" Id="rId118"/><Relationship Type="http://schemas.openxmlformats.org/officeDocument/2006/relationships/hyperlink" Target="https://www.sec.gov/Archives/edgar/data/1018724/000101872426000026/" TargetMode="External" Id="rId119"/><Relationship Type="http://schemas.openxmlformats.org/officeDocument/2006/relationships/hyperlink" Target="https://www.sec.gov/Archives/edgar/data/1018724/000101872426000026/" TargetMode="External" Id="rId120"/><Relationship Type="http://schemas.openxmlformats.org/officeDocument/2006/relationships/hyperlink" Target="https://www.sec.gov/Archives/edgar/data/1018724/000101872426000026/" TargetMode="External" Id="rId121"/><Relationship Type="http://schemas.openxmlformats.org/officeDocument/2006/relationships/hyperlink" Target="https://www.sec.gov/Archives/edgar/data/1018724/000101872426000004/" TargetMode="External" Id="rId122"/><Relationship Type="http://schemas.openxmlformats.org/officeDocument/2006/relationships/hyperlink" Target="https://www.sec.gov/Archives/edgar/data/1018724/000101872426000004/" TargetMode="External" Id="rId123"/><Relationship Type="http://schemas.openxmlformats.org/officeDocument/2006/relationships/hyperlink" Target="https://www.sec.gov/Archives/edgar/data/1018724/000101872426000004/" TargetMode="External" Id="rId124"/><Relationship Type="http://schemas.openxmlformats.org/officeDocument/2006/relationships/hyperlink" Target="https://www.sec.gov/Archives/edgar/data/1018724/000101872426000026/" TargetMode="External" Id="rId125"/><Relationship Type="http://schemas.openxmlformats.org/officeDocument/2006/relationships/hyperlink" Target="https://www.sec.gov/Archives/edgar/data/1018724/000101872426000026/" TargetMode="External" Id="rId126"/><Relationship Type="http://schemas.openxmlformats.org/officeDocument/2006/relationships/hyperlink" Target="https://www.sec.gov/Archives/edgar/data/1018724/000101872426000026/" TargetMode="External" Id="rId127"/><Relationship Type="http://schemas.openxmlformats.org/officeDocument/2006/relationships/hyperlink" Target="https://www.sec.gov/Archives/edgar/data/1018724/000101872426000004/" TargetMode="External" Id="rId128"/><Relationship Type="http://schemas.openxmlformats.org/officeDocument/2006/relationships/hyperlink" Target="https://www.sec.gov/Archives/edgar/data/1018724/000101872426000004/" TargetMode="External" Id="rId129"/><Relationship Type="http://schemas.openxmlformats.org/officeDocument/2006/relationships/hyperlink" Target="https://www.sec.gov/Archives/edgar/data/1018724/000101872426000004/" TargetMode="External" Id="rId130"/><Relationship Type="http://schemas.openxmlformats.org/officeDocument/2006/relationships/hyperlink" Target="https://www.sec.gov/Archives/edgar/data/1018724/000101872426000026/" TargetMode="External" Id="rId131"/><Relationship Type="http://schemas.openxmlformats.org/officeDocument/2006/relationships/hyperlink" Target="https://www.sec.gov/Archives/edgar/data/1018724/000101872426000026/" TargetMode="External" Id="rId132"/><Relationship Type="http://schemas.openxmlformats.org/officeDocument/2006/relationships/hyperlink" Target="https://www.sec.gov/Archives/edgar/data/1018724/000101872426000026/" TargetMode="External" Id="rId133"/><Relationship Type="http://schemas.openxmlformats.org/officeDocument/2006/relationships/hyperlink" Target="https://www.sec.gov/Archives/edgar/data/1018724/000101872426000026/" TargetMode="External" Id="rId134"/><Relationship Type="http://schemas.openxmlformats.org/officeDocument/2006/relationships/hyperlink" Target="https://www.sec.gov/Archives/edgar/data/1018724/000101872426000026/" TargetMode="External" Id="rId135"/><Relationship Type="http://schemas.openxmlformats.org/officeDocument/2006/relationships/hyperlink" Target="https://www.sec.gov/Archives/edgar/data/1018724/000101872426000026/" TargetMode="External" Id="rId136"/><Relationship Type="http://schemas.openxmlformats.org/officeDocument/2006/relationships/hyperlink" Target="https://www.sec.gov/Archives/edgar/data/1018724/000101872426000026/" TargetMode="External" Id="rId137"/><Relationship Type="http://schemas.openxmlformats.org/officeDocument/2006/relationships/hyperlink" Target="https://www.sec.gov/Archives/edgar/data/1018724/000101872426000026/" TargetMode="External" Id="rId138"/><Relationship Type="http://schemas.openxmlformats.org/officeDocument/2006/relationships/hyperlink" Target="https://www.sec.gov/Archives/edgar/data/1018724/000101872426000026/" TargetMode="External" Id="rId139"/><Relationship Type="http://schemas.openxmlformats.org/officeDocument/2006/relationships/hyperlink" Target="https://www.sec.gov/Archives/edgar/data/1018724/000101872426000026/" TargetMode="External" Id="rId140"/><Relationship Type="http://schemas.openxmlformats.org/officeDocument/2006/relationships/hyperlink" Target="https://www.sec.gov/Archives/edgar/data/1018724/000101872426000026/" TargetMode="External" Id="rId141"/></Relationships>
</file>

<file path=xl/worksheets/sheet1.xml><?xml version="1.0" encoding="utf-8"?>
<worksheet xmlns="http://schemas.openxmlformats.org/spreadsheetml/2006/main">
  <sheetPr>
    <outlinePr summaryBelow="1" summaryRight="1"/>
    <pageSetUpPr/>
  </sheetPr>
  <dimension ref="A1:D58"/>
  <sheetViews>
    <sheetView showGridLines="0" workbookViewId="0">
      <selection activeCell="A1" sqref="A1"/>
    </sheetView>
  </sheetViews>
  <sheetFormatPr baseColWidth="8" defaultRowHeight="15"/>
  <cols>
    <col width="58" customWidth="1" min="1" max="1"/>
    <col width="16" customWidth="1" min="2" max="2"/>
    <col width="16" customWidth="1" min="3" max="3"/>
    <col width="70" customWidth="1" min="4" max="4"/>
  </cols>
  <sheetData>
    <row r="1">
      <c r="A1" s="1" t="inlineStr">
        <is>
          <t>AMZN standard model (trial) · research run 2026-10-23</t>
        </is>
      </c>
    </row>
    <row r="2">
      <c r="A2" s="2" t="inlineStr">
        <is>
          <t>The supervisor's reconciled assumption set as a live model. Trial: shown beside the blended page target, not used for trade levels until its weight is decided. Edit blue cells on Model (drivers) and Valuation (assumptions).</t>
        </is>
      </c>
    </row>
    <row r="3">
      <c r="A3" s="3" t="inlineStr">
        <is>
          <t>Price target box</t>
        </is>
      </c>
      <c r="B3" s="3" t="inlineStr">
        <is>
          <t>Value</t>
        </is>
      </c>
    </row>
    <row r="4">
      <c r="A4" t="inlineStr">
        <is>
          <t>Live price</t>
        </is>
      </c>
      <c r="B4" s="4">
        <f>IFERROR(GOOGLEFINANCE("AMZN","price"),Valuation!$B$67)</f>
        <v/>
      </c>
    </row>
    <row r="5">
      <c r="A5" t="inlineStr">
        <is>
          <t>Price as of</t>
        </is>
      </c>
      <c r="B5" s="5">
        <f>NOW()</f>
        <v/>
      </c>
    </row>
    <row r="6">
      <c r="A6" t="inlineStr">
        <is>
          <t>Model target (12-month median)</t>
        </is>
      </c>
      <c r="B6" s="6">
        <f>Distribution!$B$13</f>
        <v/>
      </c>
    </row>
    <row r="7">
      <c r="A7" t="inlineStr">
        <is>
          <t>Upside to model target from live price</t>
        </is>
      </c>
      <c r="B7" s="7">
        <f>B6/B4-1</f>
        <v/>
      </c>
    </row>
    <row r="8">
      <c r="A8" t="inlineStr">
        <is>
          <t>Research target (12m) (no scenario deltas)</t>
        </is>
      </c>
      <c r="B8" s="4">
        <f>Valuation!$D$7</f>
        <v/>
      </c>
    </row>
    <row r="9">
      <c r="A9" t="inlineStr">
        <is>
          <t>Probability-weighted mean</t>
        </is>
      </c>
      <c r="B9" s="4">
        <f>Distribution!$B$10</f>
        <v/>
      </c>
    </row>
    <row r="10">
      <c r="A10" t="inlineStr">
        <is>
          <t>10th percentile</t>
        </is>
      </c>
      <c r="B10" s="4">
        <f>Distribution!$B$14</f>
        <v/>
      </c>
    </row>
    <row r="11">
      <c r="A11" t="inlineStr">
        <is>
          <t>25th percentile</t>
        </is>
      </c>
      <c r="B11" s="4">
        <f>Distribution!$B$15</f>
        <v/>
      </c>
    </row>
    <row r="12">
      <c r="A12" t="inlineStr">
        <is>
          <t>75th percentile</t>
        </is>
      </c>
      <c r="B12" s="4">
        <f>Distribution!$B$16</f>
        <v/>
      </c>
    </row>
    <row r="13">
      <c r="A13" t="inlineStr">
        <is>
          <t>90th percentile</t>
        </is>
      </c>
      <c r="B13" s="4">
        <f>Distribution!$B$17</f>
        <v/>
      </c>
    </row>
    <row r="14">
      <c r="A14" t="inlineStr">
        <is>
          <t>Target date</t>
        </is>
      </c>
      <c r="B14" s="8">
        <f>Valuation!$B$45</f>
        <v/>
      </c>
    </row>
    <row r="15">
      <c r="A15" t="inlineStr">
        <is>
          <t>Price at the run</t>
        </is>
      </c>
      <c r="B15" s="4">
        <f>Valuation!$B$67</f>
        <v/>
      </c>
    </row>
    <row r="16">
      <c r="A16" t="inlineStr">
        <is>
          <t>Blended page target (options 67% + agents 33%, not live)</t>
        </is>
      </c>
      <c r="B16" s="9" t="n">
        <v>265.6556</v>
      </c>
    </row>
    <row r="17">
      <c r="A17" t="inlineStr">
        <is>
          <t>Supervisor research target (12m) (its own methods)</t>
        </is>
      </c>
      <c r="B17" s="9" t="n">
        <v>266.05</v>
      </c>
    </row>
    <row r="18">
      <c r="A18" t="inlineStr">
        <is>
          <t>Thesis break price (supervisor)</t>
        </is>
      </c>
      <c r="B18" s="9" t="n">
        <v>188</v>
      </c>
    </row>
    <row r="19">
      <c r="A19" t="inlineStr">
        <is>
          <t>Supervisor confidence</t>
        </is>
      </c>
      <c r="B19" t="inlineStr">
        <is>
          <t>low</t>
        </is>
      </c>
    </row>
    <row r="21">
      <c r="A21" s="3" t="inlineStr">
        <is>
          <t>Key estimates</t>
        </is>
      </c>
      <c r="B21" s="3" t="inlineStr">
        <is>
          <t>FY2025A</t>
        </is>
      </c>
      <c r="C21" s="3">
        <f>Model!E5</f>
        <v/>
      </c>
      <c r="D21" s="3">
        <f>Model!F5</f>
        <v/>
      </c>
    </row>
    <row r="22">
      <c r="A22" t="inlineStr">
        <is>
          <t>Net sales</t>
        </is>
      </c>
      <c r="B22" s="10">
        <f>IF(Model!D24="","",Model!D24)</f>
        <v/>
      </c>
      <c r="C22" s="10">
        <f>Model!E24</f>
        <v/>
      </c>
      <c r="D22" s="10">
        <f>Model!F24</f>
        <v/>
      </c>
    </row>
    <row r="23">
      <c r="A23" s="11" t="inlineStr">
        <is>
          <t xml:space="preserve">  % YoY</t>
        </is>
      </c>
      <c r="B23" s="12">
        <f>IF(Model!D25="","",Model!D25)</f>
        <v/>
      </c>
      <c r="C23" s="12">
        <f>Model!E25</f>
        <v/>
      </c>
      <c r="D23" s="12">
        <f>Model!F25</f>
        <v/>
      </c>
    </row>
    <row r="24">
      <c r="A24" t="inlineStr">
        <is>
          <t>Pretax margin</t>
        </is>
      </c>
      <c r="B24" s="12">
        <f>IF(Model!D35="","",Model!D35)</f>
        <v/>
      </c>
      <c r="C24" s="12">
        <f>Model!E35</f>
        <v/>
      </c>
      <c r="D24" s="12">
        <f>Model!F35</f>
        <v/>
      </c>
    </row>
    <row r="25">
      <c r="A25" t="inlineStr">
        <is>
          <t>Diluted EPS (model)</t>
        </is>
      </c>
      <c r="B25" s="13">
        <f>IF(Model!D42="","",Model!D42)</f>
        <v/>
      </c>
      <c r="C25" s="13">
        <f>Model!E42</f>
        <v/>
      </c>
      <c r="D25" s="13">
        <f>Model!F42</f>
        <v/>
      </c>
    </row>
    <row r="26">
      <c r="A26" s="11" t="inlineStr">
        <is>
          <t xml:space="preserve">  % YoY</t>
        </is>
      </c>
      <c r="B26" s="12">
        <f>IF(Model!D43="","",Model!D43)</f>
        <v/>
      </c>
      <c r="C26" s="12">
        <f>Model!E43</f>
        <v/>
      </c>
      <c r="D26" s="12">
        <f>Model!F43</f>
        <v/>
      </c>
    </row>
    <row r="27">
      <c r="A27" t="inlineStr">
        <is>
          <t>Free cash flow to firm</t>
        </is>
      </c>
      <c r="B27" s="10">
        <f>IF(Model!D52="","",Model!D52)</f>
        <v/>
      </c>
      <c r="C27" s="10">
        <f>Model!E52</f>
        <v/>
      </c>
      <c r="D27" s="10">
        <f>Model!F52</f>
        <v/>
      </c>
    </row>
    <row r="28">
      <c r="A28" s="14" t="inlineStr">
        <is>
          <t>Consensus: EPS (GAAP (consensus; excludes mark-to-market)</t>
        </is>
      </c>
      <c r="D28" s="15" t="n">
        <v>10.51</v>
      </c>
    </row>
    <row r="30">
      <c r="A30" s="3" t="inlineStr">
        <is>
          <t>Valuation method</t>
        </is>
      </c>
      <c r="B30" s="3" t="inlineStr">
        <is>
          <t>Value per share</t>
        </is>
      </c>
      <c r="C30" s="3" t="inlineStr">
        <is>
          <t>Weight</t>
        </is>
      </c>
    </row>
    <row r="31">
      <c r="A31" s="16">
        <f>Valuation!A4</f>
        <v/>
      </c>
      <c r="B31" s="4">
        <f>Valuation!D4</f>
        <v/>
      </c>
      <c r="C31" s="12">
        <f>Valuation!E4</f>
        <v/>
      </c>
    </row>
    <row r="32">
      <c r="A32" s="16">
        <f>Valuation!A5</f>
        <v/>
      </c>
      <c r="B32" s="4">
        <f>Valuation!D5</f>
        <v/>
      </c>
      <c r="C32" s="12">
        <f>Valuation!E5</f>
        <v/>
      </c>
    </row>
    <row r="33">
      <c r="A33" s="16">
        <f>Valuation!A6</f>
        <v/>
      </c>
      <c r="B33" s="4">
        <f>Valuation!D6</f>
        <v/>
      </c>
      <c r="C33" s="12">
        <f>Valuation!E6</f>
        <v/>
      </c>
    </row>
    <row r="35">
      <c r="A35" s="3" t="inlineStr">
        <is>
          <t>Scenario</t>
        </is>
      </c>
      <c r="B35" s="3" t="inlineStr">
        <is>
          <t>Probability</t>
        </is>
      </c>
      <c r="C35" s="3" t="inlineStr">
        <is>
          <t>Value at target date</t>
        </is>
      </c>
      <c r="D35" s="3" t="inlineStr">
        <is>
          <t>What has to happen</t>
        </is>
      </c>
    </row>
    <row r="36">
      <c r="A36" s="16">
        <f>Distribution!A4</f>
        <v/>
      </c>
      <c r="B36" s="12">
        <f>Distribution!B4</f>
        <v/>
      </c>
      <c r="C36" s="4">
        <f>Distribution!C4</f>
        <v/>
      </c>
      <c r="D36" s="17">
        <f>Distribution!D4</f>
        <v/>
      </c>
    </row>
    <row r="37">
      <c r="A37" s="16">
        <f>Distribution!A5</f>
        <v/>
      </c>
      <c r="B37" s="12">
        <f>Distribution!B5</f>
        <v/>
      </c>
      <c r="C37" s="4">
        <f>Distribution!C5</f>
        <v/>
      </c>
      <c r="D37" s="17">
        <f>Distribution!D5</f>
        <v/>
      </c>
    </row>
    <row r="38">
      <c r="A38" s="16">
        <f>Distribution!A6</f>
        <v/>
      </c>
      <c r="B38" s="12">
        <f>Distribution!B6</f>
        <v/>
      </c>
      <c r="C38" s="4">
        <f>Distribution!C6</f>
        <v/>
      </c>
      <c r="D38" s="17">
        <f>Distribution!D6</f>
        <v/>
      </c>
    </row>
    <row r="40">
      <c r="A40" s="3" t="inlineStr">
        <is>
          <t>Price at target date</t>
        </is>
      </c>
      <c r="B40" s="3" t="inlineStr">
        <is>
          <t>Probability above</t>
        </is>
      </c>
    </row>
    <row r="41">
      <c r="A41" s="9">
        <f>ROUND(Valuation!$B$67*0.7,0)</f>
        <v/>
      </c>
      <c r="B41" s="18">
        <f>SUMPRODUCT(Distribution!$B$4:$B$6,1-NORMSDIST((LN(A41)-LN(Distribution!$C$4:$C$6))/Distribution!$B$9))</f>
        <v/>
      </c>
    </row>
    <row r="42">
      <c r="A42" s="9">
        <f>ROUND(Valuation!$B$67*0.8,0)</f>
        <v/>
      </c>
      <c r="B42" s="18">
        <f>SUMPRODUCT(Distribution!$B$4:$B$6,1-NORMSDIST((LN(A42)-LN(Distribution!$C$4:$C$6))/Distribution!$B$9))</f>
        <v/>
      </c>
    </row>
    <row r="43">
      <c r="A43" s="9">
        <f>ROUND(Valuation!$B$67*0.9,0)</f>
        <v/>
      </c>
      <c r="B43" s="18">
        <f>SUMPRODUCT(Distribution!$B$4:$B$6,1-NORMSDIST((LN(A43)-LN(Distribution!$C$4:$C$6))/Distribution!$B$9))</f>
        <v/>
      </c>
    </row>
    <row r="44">
      <c r="A44" s="9">
        <f>ROUND(Valuation!$B$67*1.0,0)</f>
        <v/>
      </c>
      <c r="B44" s="18">
        <f>SUMPRODUCT(Distribution!$B$4:$B$6,1-NORMSDIST((LN(A44)-LN(Distribution!$C$4:$C$6))/Distribution!$B$9))</f>
        <v/>
      </c>
    </row>
    <row r="45">
      <c r="A45" s="9">
        <f>ROUND(Valuation!$B$67*1.1,0)</f>
        <v/>
      </c>
      <c r="B45" s="18">
        <f>SUMPRODUCT(Distribution!$B$4:$B$6,1-NORMSDIST((LN(A45)-LN(Distribution!$C$4:$C$6))/Distribution!$B$9))</f>
        <v/>
      </c>
    </row>
    <row r="46">
      <c r="A46" s="9">
        <f>ROUND(Valuation!$B$67*1.2,0)</f>
        <v/>
      </c>
      <c r="B46" s="18">
        <f>SUMPRODUCT(Distribution!$B$4:$B$6,1-NORMSDIST((LN(A46)-LN(Distribution!$C$4:$C$6))/Distribution!$B$9))</f>
        <v/>
      </c>
    </row>
    <row r="47">
      <c r="A47" s="9">
        <f>ROUND(Valuation!$B$67*1.3,0)</f>
        <v/>
      </c>
      <c r="B47" s="18">
        <f>SUMPRODUCT(Distribution!$B$4:$B$6,1-NORMSDIST((LN(A47)-LN(Distribution!$C$4:$C$6))/Distribution!$B$9))</f>
        <v/>
      </c>
    </row>
    <row r="48">
      <c r="A48" s="9">
        <f>ROUND(Valuation!$B$67*1.5,0)</f>
        <v/>
      </c>
      <c r="B48" s="18">
        <f>SUMPRODUCT(Distribution!$B$4:$B$6,1-NORMSDIST((LN(A48)-LN(Distribution!$C$4:$C$6))/Distribution!$B$9))</f>
        <v/>
      </c>
    </row>
    <row r="50">
      <c r="A50" s="3" t="inlineStr">
        <is>
          <t>Model checks</t>
        </is>
      </c>
      <c r="B50" s="3" t="inlineStr">
        <is>
          <t>Status</t>
        </is>
      </c>
    </row>
    <row r="51">
      <c r="A51" t="inlineStr">
        <is>
          <t>Scenario probabilities sum to 100%</t>
        </is>
      </c>
      <c r="B51">
        <f>IF(ABS(Distribution!B8-1)&lt;0.005,"ok","FLAG: "&amp;TEXT(Distribution!B8,"0.0%"))</f>
        <v/>
      </c>
    </row>
    <row r="52">
      <c r="A52" t="inlineStr">
        <is>
          <t>WACC exceeds terminal growth by 1 point or more</t>
        </is>
      </c>
      <c r="B52">
        <f>IF('Calc - research target (12m)'!B55="ok","ok","FLAG")</f>
        <v/>
      </c>
    </row>
    <row r="53">
      <c r="A53" t="inlineStr">
        <is>
          <t>Projection runs a full year past the target date</t>
        </is>
      </c>
      <c r="B53">
        <f>IF('Calc - research target (12m)'!B56="ok","ok","FLAG")</f>
        <v/>
      </c>
    </row>
    <row r="54">
      <c r="A54" t="inlineStr">
        <is>
          <t>Method weights add up to more than zero</t>
        </is>
      </c>
      <c r="B54">
        <f>IF(SUM(Valuation!E4:E6)&gt;0,"ok","FLAG")</f>
        <v/>
      </c>
    </row>
    <row r="55">
      <c r="A55" t="inlineStr">
        <is>
          <t>Terminal value under 85% of the DCF</t>
        </is>
      </c>
      <c r="B55">
        <f>IF('Calc - research target (12m)'!B46&lt;0.85,"ok","note: "&amp;TEXT('Calc - research target (12m)'!B46,"0%")&amp;" of the DCF is terminal value")</f>
        <v/>
      </c>
    </row>
    <row r="56">
      <c r="A56" t="inlineStr">
        <is>
          <t>Segment base revenues tie to the last reported net sales (within 2%)</t>
        </is>
      </c>
      <c r="B56">
        <f>IF(ABS(Valuation!$B$101/Valuation!$B$50-1)&lt;=0.02,"ok","FLAG")</f>
        <v/>
      </c>
    </row>
    <row r="57">
      <c r="A57" t="inlineStr">
        <is>
          <t>Matches the engine run at publication (target, research target (12m))</t>
        </is>
      </c>
      <c r="B57">
        <f>IF(AND(ABS(Distribution!$B$13-258.6785)&lt;0.01,ABS(Valuation!$D$7-266.0514)&lt;0.01),"ok","inputs edited since publication")</f>
        <v/>
      </c>
    </row>
    <row r="58">
      <c r="A58" s="19" t="inlineStr">
        <is>
          <t>All checks</t>
        </is>
      </c>
      <c r="B58" s="19">
        <f>IF(COUNTIF(B51:B57,"ok")=7,"all ok",7-COUNTIF(B51:B57,"ok")&amp;" to look at")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8"/>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60" customWidth="1" min="8" max="8"/>
  </cols>
  <sheetData>
    <row r="1">
      <c r="A1" s="1" t="inlineStr">
        <is>
          <t>AMZN: annual model, base case</t>
        </is>
      </c>
    </row>
    <row r="2">
      <c r="A2" s="2" t="inlineStr">
        <is>
          <t>(M of US dollars except per share; fiscal years named by the calendar year they end in)</t>
        </is>
      </c>
    </row>
    <row r="3">
      <c r="A3" s="2" t="inlineStr">
        <is>
          <t>Blue = input · black = formula · green = link to another tab · actuals from SEC filings (fact ids in the last column, links on Sources)</t>
        </is>
      </c>
    </row>
    <row r="5">
      <c r="A5" s="3" t="inlineStr">
        <is>
          <t>Fiscal year</t>
        </is>
      </c>
      <c r="B5" s="3" t="inlineStr">
        <is>
          <t>FY2023A</t>
        </is>
      </c>
      <c r="C5" s="3" t="inlineStr">
        <is>
          <t>FY2024A</t>
        </is>
      </c>
      <c r="D5" s="3" t="inlineStr">
        <is>
          <t>FY2025A</t>
        </is>
      </c>
      <c r="E5" s="3" t="inlineStr">
        <is>
          <t>FY2026E</t>
        </is>
      </c>
      <c r="F5" s="3" t="inlineStr">
        <is>
          <t>FY2027E</t>
        </is>
      </c>
      <c r="G5" s="3" t="inlineStr">
        <is>
          <t>FY2028E</t>
        </is>
      </c>
      <c r="H5" s="3" t="inlineStr">
        <is>
          <t>Source / note</t>
        </is>
      </c>
    </row>
    <row r="6">
      <c r="A6" t="inlineStr">
        <is>
          <t>Period end</t>
        </is>
      </c>
      <c r="B6" s="20" t="n">
        <v>45291</v>
      </c>
      <c r="C6" s="20" t="n">
        <v>45657</v>
      </c>
      <c r="D6" s="20" t="n">
        <v>46022</v>
      </c>
      <c r="E6" s="20">
        <f>IF(DAY(Valuation!$B$49+1)=1,EOMONTH(Valuation!$B$49,12*E7),EDATE(Valuation!$B$49,12*E7))</f>
        <v/>
      </c>
      <c r="F6" s="20">
        <f>IF(DAY(Valuation!$B$49+1)=1,EOMONTH(Valuation!$B$49,12*F7),EDATE(Valuation!$B$49,12*F7))</f>
        <v/>
      </c>
      <c r="G6" s="20">
        <f>IF(DAY(Valuation!$B$49+1)=1,EOMONTH(Valuation!$B$49,12*G7),EDATE(Valuation!$B$49,12*G7))</f>
        <v/>
      </c>
    </row>
    <row r="7">
      <c r="A7" t="inlineStr">
        <is>
          <t>Projection year</t>
        </is>
      </c>
      <c r="B7" t="n">
        <v>-2</v>
      </c>
      <c r="C7" t="n">
        <v>-1</v>
      </c>
      <c r="D7" t="n">
        <v>0</v>
      </c>
      <c r="E7" t="n">
        <v>1</v>
      </c>
      <c r="F7" t="n">
        <v>2</v>
      </c>
      <c r="G7" t="n">
        <v>3</v>
      </c>
    </row>
    <row r="10">
      <c r="A10" s="21" t="inlineStr">
        <is>
          <t>Segment build (blue = input: revenue growth and EBIT margin by segment and year)</t>
        </is>
      </c>
      <c r="B10" s="22" t="n"/>
      <c r="C10" s="22" t="n"/>
      <c r="D10" s="22" t="n"/>
      <c r="E10" s="22" t="n"/>
      <c r="F10" s="22" t="n"/>
      <c r="G10" s="22" t="n"/>
      <c r="H10" s="22" t="n"/>
    </row>
    <row r="11">
      <c r="A11" t="inlineStr">
        <is>
          <t>AWS</t>
        </is>
      </c>
      <c r="D11" s="10">
        <f>Valuation!$B$99</f>
        <v/>
      </c>
      <c r="E11" s="23">
        <f>Valuation!$B$99*(1+E12)</f>
        <v/>
      </c>
      <c r="F11" s="23">
        <f>E11*(1+F12)</f>
        <v/>
      </c>
      <c r="G11" s="23">
        <f>F11*(1+G12)</f>
        <v/>
      </c>
    </row>
    <row r="12">
      <c r="A12" s="11" t="inlineStr">
        <is>
          <t xml:space="preserve">  Revenue growth</t>
        </is>
      </c>
      <c r="E12" s="24" t="n">
        <v>0.3499241460661353</v>
      </c>
      <c r="F12" s="24" t="n">
        <v>0.3500919198213865</v>
      </c>
      <c r="G12" s="24" t="n">
        <v>0.252092420494159</v>
      </c>
    </row>
    <row r="13">
      <c r="A13" t="inlineStr">
        <is>
          <t xml:space="preserve">  Segment EBIT</t>
        </is>
      </c>
      <c r="E13" s="23">
        <f>E11*E14</f>
        <v/>
      </c>
      <c r="F13" s="23">
        <f>F11*F14</f>
        <v/>
      </c>
      <c r="G13" s="23">
        <f>G11*G14</f>
        <v/>
      </c>
    </row>
    <row r="14">
      <c r="A14" s="11" t="inlineStr">
        <is>
          <t xml:space="preserve">  EBIT margin</t>
        </is>
      </c>
      <c r="E14" s="24" t="n">
        <v>0.3565392156862744</v>
      </c>
      <c r="F14" s="24" t="n">
        <v>0.3305933127385062</v>
      </c>
      <c r="G14" s="24" t="n">
        <v>0.3184231697506033</v>
      </c>
    </row>
    <row r="15">
      <c r="A15" t="inlineStr">
        <is>
          <t>North America + International</t>
        </is>
      </c>
      <c r="D15" s="10">
        <f>Valuation!$B$100</f>
        <v/>
      </c>
      <c r="E15" s="23">
        <f>Valuation!$B$100*(1+E16)</f>
        <v/>
      </c>
      <c r="F15" s="23">
        <f>E15*(1+F16)</f>
        <v/>
      </c>
      <c r="G15" s="23">
        <f>F15*(1+G16)</f>
        <v/>
      </c>
    </row>
    <row r="16">
      <c r="A16" s="11" t="inlineStr">
        <is>
          <t xml:space="preserve">  Revenue growth</t>
        </is>
      </c>
      <c r="E16" s="24" t="n">
        <v>0.1309726810144185</v>
      </c>
      <c r="F16" s="24" t="n">
        <v>0.09540509622886284</v>
      </c>
      <c r="G16" s="24" t="n">
        <v>0.0940779795362725</v>
      </c>
    </row>
    <row r="17">
      <c r="A17" t="inlineStr">
        <is>
          <t xml:space="preserve">  Segment EBIT</t>
        </is>
      </c>
      <c r="E17" s="23">
        <f>E15*E18</f>
        <v/>
      </c>
      <c r="F17" s="23">
        <f>F15*F18</f>
        <v/>
      </c>
      <c r="G17" s="23">
        <f>G15*G18</f>
        <v/>
      </c>
    </row>
    <row r="18">
      <c r="A18" s="11" t="inlineStr">
        <is>
          <t xml:space="preserve">  EBIT margin</t>
        </is>
      </c>
      <c r="E18" s="24" t="n">
        <v>0.06562740196351075</v>
      </c>
      <c r="F18" s="24" t="n">
        <v>0.0717388838266292</v>
      </c>
      <c r="G18" s="24" t="n">
        <v>0.07724600612849777</v>
      </c>
    </row>
    <row r="19">
      <c r="A19" t="inlineStr">
        <is>
          <t>Total segment revenue (= net sales)</t>
        </is>
      </c>
      <c r="D19" s="25">
        <f>D11+D15</f>
        <v/>
      </c>
      <c r="E19" s="25">
        <f>E11+E15</f>
        <v/>
      </c>
      <c r="F19" s="25">
        <f>F11+F15</f>
        <v/>
      </c>
      <c r="G19" s="25">
        <f>G11+G15</f>
        <v/>
      </c>
      <c r="H19" s="2" t="inlineStr">
        <is>
          <t>base revenues on Valuation (segment build); net sales = this total</t>
        </is>
      </c>
    </row>
    <row r="20">
      <c r="A20" t="inlineStr">
        <is>
          <t>Total segment EBIT</t>
        </is>
      </c>
      <c r="E20" s="25">
        <f>E13+E17</f>
        <v/>
      </c>
      <c r="F20" s="25">
        <f>F13+F17</f>
        <v/>
      </c>
      <c r="G20" s="25">
        <f>G13+G17</f>
        <v/>
      </c>
    </row>
    <row r="21">
      <c r="A21" t="inlineStr">
        <is>
          <t>Corporate / unallocated EBIT (blue = input)</t>
        </is>
      </c>
      <c r="E21" s="26" t="n">
        <v>0</v>
      </c>
      <c r="F21" s="23">
        <f>E21</f>
        <v/>
      </c>
      <c r="G21" s="23">
        <f>F21</f>
        <v/>
      </c>
      <c r="H21" s="2" t="inlineStr">
        <is>
          <t>years[].corporate_ebit; EBIT = total segment EBIT + corporate</t>
        </is>
      </c>
    </row>
    <row r="23">
      <c r="A23" s="21" t="inlineStr">
        <is>
          <t>Sales</t>
        </is>
      </c>
      <c r="B23" s="22" t="n"/>
      <c r="C23" s="22" t="n"/>
      <c r="D23" s="22" t="n"/>
      <c r="E23" s="22" t="n"/>
      <c r="F23" s="22" t="n"/>
      <c r="G23" s="22" t="n"/>
      <c r="H23" s="22" t="n"/>
    </row>
    <row r="24">
      <c r="A24" s="19" t="inlineStr">
        <is>
          <t>Net sales</t>
        </is>
      </c>
      <c r="B24" s="23" t="n">
        <v>574785</v>
      </c>
      <c r="C24" s="23" t="n">
        <v>637959</v>
      </c>
      <c r="D24" s="23" t="n">
        <v>716924</v>
      </c>
      <c r="E24" s="25">
        <f>E19</f>
        <v/>
      </c>
      <c r="F24" s="25">
        <f>F19</f>
        <v/>
      </c>
      <c r="G24" s="25">
        <f>G19</f>
        <v/>
      </c>
      <c r="H24" s="2" t="inlineStr">
        <is>
          <t>SEC XBRL F1, F2, F3</t>
        </is>
      </c>
    </row>
    <row r="25">
      <c r="A25" s="11" t="inlineStr">
        <is>
          <t xml:space="preserve">  % YoY</t>
        </is>
      </c>
      <c r="C25" s="27">
        <f>IF(OR(C24="",B24="",B24=0),"",C24/B24-1)</f>
        <v/>
      </c>
      <c r="D25" s="27">
        <f>IF(OR(D24="",C24="",C24=0),"",D24/C24-1)</f>
        <v/>
      </c>
      <c r="E25" s="27">
        <f>E24/Valuation!$B$50-1</f>
        <v/>
      </c>
      <c r="F25" s="27">
        <f>F24/E24-1</f>
        <v/>
      </c>
      <c r="G25" s="27">
        <f>G24/F24-1</f>
        <v/>
      </c>
    </row>
    <row r="27">
      <c r="A27" s="21" t="inlineStr">
        <is>
          <t>Operating profit</t>
        </is>
      </c>
      <c r="B27" s="22" t="n"/>
      <c r="C27" s="22" t="n"/>
      <c r="D27" s="22" t="n"/>
      <c r="E27" s="22" t="n"/>
      <c r="F27" s="22" t="n"/>
      <c r="G27" s="22" t="n"/>
      <c r="H27" s="22" t="n"/>
    </row>
    <row r="28">
      <c r="A28" t="inlineStr">
        <is>
          <t>EBIT (operating income)</t>
        </is>
      </c>
      <c r="E28" s="23">
        <f>E20+E21</f>
        <v/>
      </c>
      <c r="F28" s="23">
        <f>F20+F21</f>
        <v/>
      </c>
      <c r="G28" s="23">
        <f>G20+G21</f>
        <v/>
      </c>
    </row>
    <row r="29">
      <c r="A29" s="11" t="inlineStr">
        <is>
          <t xml:space="preserve">  EBIT margin</t>
        </is>
      </c>
      <c r="E29" s="27">
        <f>E28/E24</f>
        <v/>
      </c>
      <c r="F29" s="27">
        <f>F28/F24</f>
        <v/>
      </c>
      <c r="G29" s="27">
        <f>G28/G24</f>
        <v/>
      </c>
    </row>
    <row r="30">
      <c r="A30" t="inlineStr">
        <is>
          <t>D&amp;A</t>
        </is>
      </c>
      <c r="B30" s="23" t="n">
        <v>48663</v>
      </c>
      <c r="C30" s="23" t="n">
        <v>52795</v>
      </c>
      <c r="D30" s="23" t="n">
        <v>65756</v>
      </c>
      <c r="E30" s="23">
        <f>E24*E64</f>
        <v/>
      </c>
      <c r="F30" s="23">
        <f>F24*F64</f>
        <v/>
      </c>
      <c r="G30" s="23">
        <f>G24*G64</f>
        <v/>
      </c>
      <c r="H30" s="2" t="inlineStr">
        <is>
          <t>SEC XBRL F34, F35, F36</t>
        </is>
      </c>
    </row>
    <row r="31">
      <c r="A31" t="inlineStr">
        <is>
          <t>EBITDA</t>
        </is>
      </c>
      <c r="E31" s="23">
        <f>E28+E30</f>
        <v/>
      </c>
      <c r="F31" s="23">
        <f>F28+F30</f>
        <v/>
      </c>
      <c r="G31" s="23">
        <f>G28+G30</f>
        <v/>
      </c>
    </row>
    <row r="32">
      <c r="A32" s="11" t="inlineStr">
        <is>
          <t xml:space="preserve">  EBITDA margin</t>
        </is>
      </c>
      <c r="E32" s="27">
        <f>E31/E24</f>
        <v/>
      </c>
      <c r="F32" s="27">
        <f>F31/F24</f>
        <v/>
      </c>
      <c r="G32" s="27">
        <f>G31/G24</f>
        <v/>
      </c>
    </row>
    <row r="33">
      <c r="A33" t="inlineStr">
        <is>
          <t>Net interest income / (expense)</t>
        </is>
      </c>
      <c r="E33" s="23">
        <f>-Valuation!$B$58*Valuation!$B$56</f>
        <v/>
      </c>
      <c r="F33" s="23">
        <f>-Valuation!$B$58*E58</f>
        <v/>
      </c>
      <c r="G33" s="23">
        <f>-Valuation!$B$58*F58</f>
        <v/>
      </c>
      <c r="H33" s="2" t="inlineStr">
        <is>
          <t>rate x prior year-end net debt (memo roll)</t>
        </is>
      </c>
    </row>
    <row r="34">
      <c r="A34" s="19" t="inlineStr">
        <is>
          <t>Pretax income</t>
        </is>
      </c>
      <c r="B34" s="23" t="n">
        <v>37557</v>
      </c>
      <c r="C34" s="23" t="n">
        <v>68614</v>
      </c>
      <c r="D34" s="23" t="n">
        <v>97311</v>
      </c>
      <c r="E34" s="25">
        <f>E28+E33</f>
        <v/>
      </c>
      <c r="F34" s="25">
        <f>F28+F33</f>
        <v/>
      </c>
      <c r="G34" s="25">
        <f>G28+G33</f>
        <v/>
      </c>
      <c r="H34" s="2" t="inlineStr">
        <is>
          <t>SEC XBRL F76, F77, F78</t>
        </is>
      </c>
    </row>
    <row r="35">
      <c r="A35" s="11" t="inlineStr">
        <is>
          <t xml:space="preserve">  Pretax margin</t>
        </is>
      </c>
      <c r="B35" s="27">
        <f>B34/B24</f>
        <v/>
      </c>
      <c r="C35" s="27">
        <f>C34/C24</f>
        <v/>
      </c>
      <c r="D35" s="27">
        <f>D34/D24</f>
        <v/>
      </c>
      <c r="E35" s="27">
        <f>E34/E24</f>
        <v/>
      </c>
      <c r="F35" s="27">
        <f>F34/F24</f>
        <v/>
      </c>
      <c r="G35" s="27">
        <f>G34/G24</f>
        <v/>
      </c>
    </row>
    <row r="36">
      <c r="A36" t="inlineStr">
        <is>
          <t>Income tax</t>
        </is>
      </c>
      <c r="B36" s="23" t="n">
        <v>7120</v>
      </c>
      <c r="C36" s="23" t="n">
        <v>9265</v>
      </c>
      <c r="D36" s="23" t="n">
        <v>19087</v>
      </c>
      <c r="E36" s="23">
        <f>E34*E63</f>
        <v/>
      </c>
      <c r="F36" s="23">
        <f>F34*F63</f>
        <v/>
      </c>
      <c r="G36" s="23">
        <f>G34*G63</f>
        <v/>
      </c>
      <c r="H36" s="2" t="inlineStr">
        <is>
          <t>SEC XBRL F69, F70, F71</t>
        </is>
      </c>
    </row>
    <row r="37">
      <c r="A37" s="11" t="inlineStr">
        <is>
          <t xml:space="preserve">  Effective tax rate</t>
        </is>
      </c>
      <c r="B37" s="27">
        <f>B36/B34</f>
        <v/>
      </c>
      <c r="C37" s="27">
        <f>C36/C34</f>
        <v/>
      </c>
      <c r="D37" s="27">
        <f>D36/D34</f>
        <v/>
      </c>
      <c r="E37" s="27">
        <f>E36/E34</f>
        <v/>
      </c>
      <c r="F37" s="27">
        <f>F36/F34</f>
        <v/>
      </c>
      <c r="G37" s="27">
        <f>G36/G34</f>
        <v/>
      </c>
    </row>
    <row r="38">
      <c r="A38" s="19" t="inlineStr">
        <is>
          <t>Net income</t>
        </is>
      </c>
      <c r="B38" s="23" t="n">
        <v>30425</v>
      </c>
      <c r="C38" s="23" t="n">
        <v>59248</v>
      </c>
      <c r="D38" s="23" t="n">
        <v>77670</v>
      </c>
      <c r="E38" s="25">
        <f>E34-E36</f>
        <v/>
      </c>
      <c r="F38" s="25">
        <f>F34-F36</f>
        <v/>
      </c>
      <c r="G38" s="25">
        <f>G34-G36</f>
        <v/>
      </c>
      <c r="H38" s="2" t="inlineStr">
        <is>
          <t>SEC XBRL F15, F16, F17</t>
        </is>
      </c>
    </row>
    <row r="39">
      <c r="A39" s="11" t="inlineStr">
        <is>
          <t xml:space="preserve">  % YoY</t>
        </is>
      </c>
      <c r="C39" s="27">
        <f>IF(OR(C38="",B38="",B38=0),"",C38/B38-1)</f>
        <v/>
      </c>
      <c r="D39" s="27">
        <f>IF(OR(D38="",C38="",C38=0),"",D38/C38-1)</f>
        <v/>
      </c>
      <c r="E39" s="27">
        <f>IF(OR(D38="",D38=0),"",E38/D38-1)</f>
        <v/>
      </c>
      <c r="F39" s="27">
        <f>IF(OR(E38="",E38=0),"",F38/E38-1)</f>
        <v/>
      </c>
      <c r="G39" s="27">
        <f>IF(OR(F38="",F38=0),"",G38/F38-1)</f>
        <v/>
      </c>
    </row>
    <row r="40">
      <c r="A40" t="inlineStr">
        <is>
          <t>Diluted shares (M, average)</t>
        </is>
      </c>
      <c r="B40" s="23" t="n">
        <v>10492</v>
      </c>
      <c r="C40" s="23" t="n">
        <v>10721</v>
      </c>
      <c r="D40" s="23" t="n">
        <v>10827</v>
      </c>
      <c r="E40" s="28">
        <f>Valuation!$B$60*(1+Valuation!$B$62)^(E7-0.5-((Valuation!$B$61-Valuation!$B$49)/365.25))</f>
        <v/>
      </c>
      <c r="F40" s="28">
        <f>Valuation!$B$60*(1+Valuation!$B$62)^(F7-0.5-((Valuation!$B$61-Valuation!$B$49)/365.25))</f>
        <v/>
      </c>
      <c r="G40" s="28">
        <f>Valuation!$B$60*(1+Valuation!$B$62)^(G7-0.5-((Valuation!$B$61-Valuation!$B$49)/365.25))</f>
        <v/>
      </c>
      <c r="H40" s="2" t="inlineStr">
        <is>
          <t>diluted count rolled at the annual change to mid-year</t>
        </is>
      </c>
    </row>
    <row r="41">
      <c r="A41" s="11" t="inlineStr">
        <is>
          <t xml:space="preserve">  % YoY</t>
        </is>
      </c>
      <c r="C41" s="27">
        <f>IF(OR(C40="",B40="",B40=0),"",C40/B40-1)</f>
        <v/>
      </c>
      <c r="D41" s="27">
        <f>IF(OR(D40="",C40="",C40=0),"",D40/C40-1)</f>
        <v/>
      </c>
      <c r="E41" s="27">
        <f>IF(OR(D40="",D40=0),"",E40/D40-1)</f>
        <v/>
      </c>
      <c r="F41" s="27">
        <f>IF(OR(E40="",E40=0),"",F40/E40-1)</f>
        <v/>
      </c>
      <c r="G41" s="27">
        <f>IF(OR(F40="",F40=0),"",G40/F40-1)</f>
        <v/>
      </c>
    </row>
    <row r="42">
      <c r="A42" s="19" t="inlineStr">
        <is>
          <t>Diluted EPS</t>
        </is>
      </c>
      <c r="B42" s="29" t="n">
        <v>2.9</v>
      </c>
      <c r="C42" s="29" t="n">
        <v>5.53</v>
      </c>
      <c r="D42" s="29" t="n">
        <v>7.17</v>
      </c>
      <c r="E42" s="30">
        <f>E38/E40</f>
        <v/>
      </c>
      <c r="F42" s="30">
        <f>F38/F40</f>
        <v/>
      </c>
      <c r="G42" s="30">
        <f>G38/G40</f>
        <v/>
      </c>
      <c r="H42" s="2" t="inlineStr">
        <is>
          <t>SEC XBRL F22, F23, F24</t>
        </is>
      </c>
    </row>
    <row r="43">
      <c r="A43" s="11" t="inlineStr">
        <is>
          <t xml:space="preserve">  % YoY</t>
        </is>
      </c>
      <c r="C43" s="27">
        <f>IF(OR(C42="",B42="",B42=0),"",C42/B42-1)</f>
        <v/>
      </c>
      <c r="D43" s="27">
        <f>IF(OR(D42="",C42="",C42=0),"",D42/C42-1)</f>
        <v/>
      </c>
      <c r="E43" s="27">
        <f>IF(OR(D42="",D42=0),"",E42/D42-1)</f>
        <v/>
      </c>
      <c r="F43" s="27">
        <f>IF(OR(E42="",E42=0),"",F42/E42-1)</f>
        <v/>
      </c>
      <c r="G43" s="27">
        <f>IF(OR(F42="",F42=0),"",G42/F42-1)</f>
        <v/>
      </c>
    </row>
    <row r="45">
      <c r="A45" s="21" t="inlineStr">
        <is>
          <t>Cash flow</t>
        </is>
      </c>
      <c r="B45" s="22" t="n"/>
      <c r="C45" s="22" t="n"/>
      <c r="D45" s="22" t="n"/>
      <c r="E45" s="22" t="n"/>
      <c r="F45" s="22" t="n"/>
      <c r="G45" s="22" t="n"/>
      <c r="H45" s="22" t="n"/>
    </row>
    <row r="46">
      <c r="A46" t="inlineStr">
        <is>
          <t>NOPAT (EBIT x (1 - tax))</t>
        </is>
      </c>
      <c r="E46" s="23">
        <f>E28*(1-E63)</f>
        <v/>
      </c>
      <c r="F46" s="23">
        <f>F28*(1-F63)</f>
        <v/>
      </c>
      <c r="G46" s="23">
        <f>G28*(1-G63)</f>
        <v/>
      </c>
    </row>
    <row r="47">
      <c r="A47" t="inlineStr">
        <is>
          <t>+ D&amp;A</t>
        </is>
      </c>
      <c r="B47" s="23">
        <f>B30</f>
        <v/>
      </c>
      <c r="C47" s="23">
        <f>C30</f>
        <v/>
      </c>
      <c r="D47" s="23">
        <f>D30</f>
        <v/>
      </c>
      <c r="E47" s="23">
        <f>E30</f>
        <v/>
      </c>
      <c r="F47" s="23">
        <f>F30</f>
        <v/>
      </c>
      <c r="G47" s="23">
        <f>G30</f>
        <v/>
      </c>
    </row>
    <row r="48">
      <c r="A48" t="inlineStr">
        <is>
          <t>- Capex</t>
        </is>
      </c>
      <c r="B48" s="23" t="n">
        <v>52729</v>
      </c>
      <c r="C48" s="23" t="n">
        <v>82999</v>
      </c>
      <c r="D48" s="23" t="n">
        <v>131819</v>
      </c>
      <c r="E48" s="23">
        <f>E24*E65</f>
        <v/>
      </c>
      <c r="F48" s="23">
        <f>F24*F65</f>
        <v/>
      </c>
      <c r="G48" s="23">
        <f>G24*G65</f>
        <v/>
      </c>
      <c r="H48" s="2" t="inlineStr">
        <is>
          <t>SEC XBRL F55, F56, F57</t>
        </is>
      </c>
    </row>
    <row r="49">
      <c r="A49" s="11" t="inlineStr">
        <is>
          <t xml:space="preserve">  Capex % of sales</t>
        </is>
      </c>
      <c r="B49" s="27">
        <f>B48/B24</f>
        <v/>
      </c>
      <c r="C49" s="27">
        <f>C48/C24</f>
        <v/>
      </c>
      <c r="D49" s="27">
        <f>D48/D24</f>
        <v/>
      </c>
      <c r="E49" s="27">
        <f>E48/E24</f>
        <v/>
      </c>
      <c r="F49" s="27">
        <f>F48/F24</f>
        <v/>
      </c>
      <c r="G49" s="27">
        <f>G48/G24</f>
        <v/>
      </c>
    </row>
    <row r="50">
      <c r="A50" t="inlineStr">
        <is>
          <t>- Working capital increase</t>
        </is>
      </c>
      <c r="E50" s="23">
        <f>E66*(E24-Valuation!$B$50)</f>
        <v/>
      </c>
      <c r="F50" s="23">
        <f>F66*(F24-E24)</f>
        <v/>
      </c>
      <c r="G50" s="23">
        <f>G66*(G24-F24)</f>
        <v/>
      </c>
    </row>
    <row r="51">
      <c r="A51" t="inlineStr">
        <is>
          <t>- Stock comp (adjusted EBIT only)</t>
        </is>
      </c>
      <c r="E51" s="23">
        <f>IF(AND(Valuation!$B$47="adjusted",Valuation!$B$48="cost"),E55*(1-E63),0)</f>
        <v/>
      </c>
      <c r="F51" s="23">
        <f>IF(AND(Valuation!$B$47="adjusted",Valuation!$B$48="cost"),F55*(1-F63),0)</f>
        <v/>
      </c>
      <c r="G51" s="23">
        <f>IF(AND(Valuation!$B$47="adjusted",Valuation!$B$48="cost"),G55*(1-G63),0)</f>
        <v/>
      </c>
    </row>
    <row r="52">
      <c r="A52" s="19" t="inlineStr">
        <is>
          <t>Free cash flow to firm</t>
        </is>
      </c>
      <c r="E52" s="25">
        <f>E46+E47-E48-E50-E51</f>
        <v/>
      </c>
      <c r="F52" s="25">
        <f>F46+F47-F48-F50-F51</f>
        <v/>
      </c>
      <c r="G52" s="25">
        <f>G46+G47-G48-G50-G51</f>
        <v/>
      </c>
      <c r="H52" s="2" t="inlineStr">
        <is>
          <t>what the DCF discounts (Calc tabs)</t>
        </is>
      </c>
    </row>
    <row r="53">
      <c r="A53" t="inlineStr">
        <is>
          <t>Operating cash flow (reported)</t>
        </is>
      </c>
      <c r="B53" s="23" t="n">
        <v>84946</v>
      </c>
      <c r="C53" s="23" t="n">
        <v>115877</v>
      </c>
      <c r="D53" s="23" t="n">
        <v>139514</v>
      </c>
      <c r="H53" s="2" t="inlineStr">
        <is>
          <t>SEC XBRL F48, F49, F50</t>
        </is>
      </c>
    </row>
    <row r="54">
      <c r="A54" t="inlineStr">
        <is>
          <t>FCF (operating cash flow - capex)</t>
        </is>
      </c>
      <c r="B54" s="23">
        <f>B53-B48</f>
        <v/>
      </c>
      <c r="C54" s="23">
        <f>C53-C48</f>
        <v/>
      </c>
      <c r="D54" s="23">
        <f>D53-D48</f>
        <v/>
      </c>
    </row>
    <row r="55">
      <c r="A55" t="inlineStr">
        <is>
          <t>Stock comp (memo)</t>
        </is>
      </c>
      <c r="B55" s="23" t="n">
        <v>24023</v>
      </c>
      <c r="C55" s="23" t="n">
        <v>22011</v>
      </c>
      <c r="D55" s="23" t="n">
        <v>19467</v>
      </c>
      <c r="E55" s="23">
        <f>E24*E67</f>
        <v/>
      </c>
      <c r="F55" s="23">
        <f>F24*F67</f>
        <v/>
      </c>
      <c r="G55" s="23">
        <f>G24*G67</f>
        <v/>
      </c>
      <c r="H55" s="2" t="inlineStr">
        <is>
          <t>SEC XBRL F41, F42, F43</t>
        </is>
      </c>
    </row>
    <row r="56">
      <c r="A56" t="inlineStr">
        <is>
          <t>Buybacks + dividends + other uses</t>
        </is>
      </c>
      <c r="E56" s="23">
        <f>E24*E69+E68+E70</f>
        <v/>
      </c>
      <c r="F56" s="23">
        <f>F24*F69+F68+F70</f>
        <v/>
      </c>
      <c r="G56" s="23">
        <f>G24*G69+G68+G70</f>
        <v/>
      </c>
    </row>
    <row r="57">
      <c r="A57" s="11" t="inlineStr">
        <is>
          <t xml:space="preserve">  % of sales</t>
        </is>
      </c>
      <c r="B57" s="27">
        <f>B56/B24</f>
        <v/>
      </c>
      <c r="C57" s="27">
        <f>C56/C24</f>
        <v/>
      </c>
      <c r="D57" s="27">
        <f>D56/D24</f>
        <v/>
      </c>
      <c r="E57" s="27">
        <f>E56/E24</f>
        <v/>
      </c>
      <c r="F57" s="27">
        <f>F56/F24</f>
        <v/>
      </c>
      <c r="G57" s="27">
        <f>G56/G24</f>
        <v/>
      </c>
    </row>
    <row r="58">
      <c r="A58" t="inlineStr">
        <is>
          <t>Net debt / (net cash), year end (memo)</t>
        </is>
      </c>
      <c r="E58" s="23">
        <f>Valuation!$B$56-E52-E33*(1-E63)+E56</f>
        <v/>
      </c>
      <c r="F58" s="23">
        <f>E58-F52-F33*(1-F63)+F56</f>
        <v/>
      </c>
      <c r="G58" s="23">
        <f>F58-G52-G33*(1-G63)+G56</f>
        <v/>
      </c>
      <c r="H58" s="2" t="inlineStr">
        <is>
          <t>rolled from the balance-date figure; feeds interest only</t>
        </is>
      </c>
    </row>
    <row r="60">
      <c r="A60" s="21" t="inlineStr">
        <is>
          <t>Drivers (blue = input; a year left black carries the prior year)</t>
        </is>
      </c>
      <c r="B60" s="22" t="n"/>
      <c r="C60" s="22" t="n"/>
      <c r="D60" s="22" t="n"/>
      <c r="E60" s="22" t="n"/>
      <c r="F60" s="22" t="n"/>
      <c r="G60" s="22" t="n"/>
      <c r="H60" s="22" t="n"/>
    </row>
    <row r="61">
      <c r="A61" t="inlineStr">
        <is>
          <t>Revenue growth</t>
        </is>
      </c>
      <c r="C61" s="18">
        <f>C25</f>
        <v/>
      </c>
      <c r="D61" s="18">
        <f>D25</f>
        <v/>
      </c>
      <c r="E61" s="24">
        <f>E25</f>
        <v/>
      </c>
      <c r="F61" s="18">
        <f>F25</f>
        <v/>
      </c>
      <c r="G61" s="18">
        <f>G25</f>
        <v/>
      </c>
      <c r="H61" s="2" t="inlineStr">
        <is>
          <t>implied by the segment build (edit the segment rows)</t>
        </is>
      </c>
    </row>
    <row r="62">
      <c r="A62" t="inlineStr">
        <is>
          <t>EBIT margin</t>
        </is>
      </c>
      <c r="E62" s="24">
        <f>E29</f>
        <v/>
      </c>
      <c r="F62" s="18">
        <f>F29</f>
        <v/>
      </c>
      <c r="G62" s="18">
        <f>G29</f>
        <v/>
      </c>
      <c r="H62" s="2" t="inlineStr">
        <is>
          <t>implied by the segment build and corporate EBIT</t>
        </is>
      </c>
    </row>
    <row r="63">
      <c r="A63" t="inlineStr">
        <is>
          <t>Tax rate</t>
        </is>
      </c>
      <c r="B63" s="18">
        <f>B37</f>
        <v/>
      </c>
      <c r="C63" s="18">
        <f>C37</f>
        <v/>
      </c>
      <c r="D63" s="18">
        <f>D37</f>
        <v/>
      </c>
      <c r="E63" s="24" t="n">
        <v>0.21</v>
      </c>
      <c r="F63" s="18">
        <f>E63</f>
        <v/>
      </c>
      <c r="G63" s="18">
        <f>F63</f>
        <v/>
      </c>
    </row>
    <row r="64">
      <c r="A64" t="inlineStr">
        <is>
          <t>D&amp;A % revenue</t>
        </is>
      </c>
      <c r="B64" s="18">
        <f>B30/B24</f>
        <v/>
      </c>
      <c r="C64" s="18">
        <f>C30/C24</f>
        <v/>
      </c>
      <c r="D64" s="18">
        <f>D30/D24</f>
        <v/>
      </c>
      <c r="E64" s="24" t="n">
        <v>0.1041219581131695</v>
      </c>
      <c r="F64" s="24" t="n">
        <v>0.1189195967337101</v>
      </c>
      <c r="G64" s="24" t="n">
        <v>0.1308386305343938</v>
      </c>
    </row>
    <row r="65">
      <c r="A65" t="inlineStr">
        <is>
          <t>Capex % revenue</t>
        </is>
      </c>
      <c r="B65" s="18">
        <f>B49</f>
        <v/>
      </c>
      <c r="C65" s="18">
        <f>C49</f>
        <v/>
      </c>
      <c r="D65" s="18">
        <f>D49</f>
        <v/>
      </c>
      <c r="E65" s="24" t="n">
        <v>0.2656</v>
      </c>
      <c r="F65" s="24" t="n">
        <v>0.2927</v>
      </c>
      <c r="G65" s="24" t="n">
        <v>0.2706</v>
      </c>
    </row>
    <row r="66">
      <c r="A66" t="inlineStr">
        <is>
          <t>Working capital % of revenue increase</t>
        </is>
      </c>
      <c r="E66" s="24" t="n">
        <v>0</v>
      </c>
      <c r="F66" s="18">
        <f>E66</f>
        <v/>
      </c>
      <c r="G66" s="18">
        <f>F66</f>
        <v/>
      </c>
    </row>
    <row r="67">
      <c r="A67" t="inlineStr">
        <is>
          <t>Stock comp % revenue</t>
        </is>
      </c>
      <c r="B67" s="18">
        <f>B55/B24</f>
        <v/>
      </c>
      <c r="C67" s="18">
        <f>C55/C24</f>
        <v/>
      </c>
      <c r="D67" s="18">
        <f>D55/D24</f>
        <v/>
      </c>
      <c r="E67" s="24" t="n">
        <v>0.024899</v>
      </c>
      <c r="F67" s="18">
        <f>E67</f>
        <v/>
      </c>
      <c r="G67" s="18">
        <f>F67</f>
        <v/>
      </c>
    </row>
    <row r="68">
      <c r="A68" t="inlineStr">
        <is>
          <t>Shareholder returns ($)</t>
        </is>
      </c>
      <c r="E68" s="26" t="n">
        <v>0</v>
      </c>
      <c r="F68" s="23">
        <f>E68</f>
        <v/>
      </c>
      <c r="G68" s="23">
        <f>F68</f>
        <v/>
      </c>
    </row>
    <row r="69">
      <c r="A69" t="inlineStr">
        <is>
          <t>Shareholder returns % revenue</t>
        </is>
      </c>
      <c r="B69" s="18">
        <f>B57</f>
        <v/>
      </c>
      <c r="C69" s="18">
        <f>C57</f>
        <v/>
      </c>
      <c r="D69" s="18">
        <f>D57</f>
        <v/>
      </c>
      <c r="E69" s="24" t="n">
        <v>0</v>
      </c>
      <c r="F69" s="18">
        <f>E69</f>
        <v/>
      </c>
      <c r="G69" s="18">
        <f>F69</f>
        <v/>
      </c>
    </row>
    <row r="70">
      <c r="A70" t="inlineStr">
        <is>
          <t>Other uses of cash ($: M&amp;A, investments)</t>
        </is>
      </c>
      <c r="E70" s="26" t="n">
        <v>0</v>
      </c>
      <c r="F70" s="23">
        <f>E70</f>
        <v/>
      </c>
      <c r="G70" s="23">
        <f>F70</f>
        <v/>
      </c>
    </row>
    <row r="71">
      <c r="A71" t="inlineStr">
        <is>
          <t>Adj. EBITDA addback % revenue</t>
        </is>
      </c>
      <c r="E71" s="24" t="n">
        <v>0</v>
      </c>
      <c r="F71" s="18">
        <f>E71</f>
        <v/>
      </c>
      <c r="G71" s="18">
        <f>F71</f>
        <v/>
      </c>
    </row>
    <row r="73">
      <c r="A73" s="21" t="inlineStr">
        <is>
          <t>Versus company guidance and street consensus</t>
        </is>
      </c>
      <c r="B73" s="22" t="n"/>
      <c r="C73" s="22" t="n"/>
      <c r="D73" s="22" t="n"/>
      <c r="E73" s="22" t="n"/>
      <c r="F73" s="22" t="n"/>
      <c r="G73" s="22" t="n"/>
      <c r="H73" s="22" t="n"/>
    </row>
    <row r="74">
      <c r="A74" t="inlineStr">
        <is>
          <t>Guidance: capex (cash capex, approximate ($M)), midpoint</t>
        </is>
      </c>
      <c r="E74" s="31">
        <f>AVERAGE(220000.0,220000.0)</f>
        <v/>
      </c>
      <c r="H74" s="2" t="inlineStr">
        <is>
          <t>2.2e+05 to 2.2e+05; as of 2026-07-30; source 27 (Amazon Q2 2026 earnings call transcript (~$220B 2026 cash ca)</t>
        </is>
      </c>
    </row>
    <row r="75">
      <c r="A75" t="inlineStr">
        <is>
          <t>Consensus: EPS diluted (GAAP (consensus; excludes mark-to-market gains))</t>
        </is>
      </c>
      <c r="F75" s="15" t="n">
        <v>10.51</v>
      </c>
      <c r="H75" s="2" t="inlineStr">
        <is>
          <t>as of 2026-10-06; source 5, 4 (Yahoo Finance AMZN analysis: FY27 $10.51 (52), EPS trend, re)</t>
        </is>
      </c>
    </row>
    <row r="76">
      <c r="A76" s="11" t="inlineStr">
        <is>
          <t xml:space="preserve">  Model vs consensus</t>
        </is>
      </c>
      <c r="F76" s="27">
        <f>F42/F75-1</f>
        <v/>
      </c>
    </row>
    <row r="77">
      <c r="A77" t="inlineStr">
        <is>
          <t>Consensus: EPS diluted (GAAP (consensus))</t>
        </is>
      </c>
      <c r="G77" s="15" t="n">
        <v>13.81</v>
      </c>
      <c r="H77" s="2" t="inlineStr">
        <is>
          <t>as of 2026-10-06; source 4 (MarketScreener Amazon finances: EPS 2027 $10.51 / 2028 $13.8)</t>
        </is>
      </c>
    </row>
    <row r="78">
      <c r="A78" s="11" t="inlineStr">
        <is>
          <t xml:space="preserve">  Model vs consensus</t>
        </is>
      </c>
      <c r="G78" s="27">
        <f>G42/G77-1</f>
        <v/>
      </c>
    </row>
    <row r="79">
      <c r="A79" t="inlineStr">
        <is>
          <t>Consensus: revenue (GAAP ($M))</t>
        </is>
      </c>
      <c r="E79" s="32" t="n">
        <v>828300</v>
      </c>
      <c r="H79" s="2" t="inlineStr">
        <is>
          <t>as of 2026-10-06; source 4 (MarketScreener Amazon finances: EPS 2027 $10.51 / 2028 $13.8)</t>
        </is>
      </c>
    </row>
    <row r="80">
      <c r="A80" s="11" t="inlineStr">
        <is>
          <t xml:space="preserve">  Model vs consensus</t>
        </is>
      </c>
      <c r="E80" s="27">
        <f>E24/E79-1</f>
        <v/>
      </c>
    </row>
    <row r="81">
      <c r="A81" t="inlineStr">
        <is>
          <t>Consensus: revenue (GAAP ($M))</t>
        </is>
      </c>
      <c r="F81" s="32" t="n">
        <v>947900</v>
      </c>
      <c r="H81" s="2" t="inlineStr">
        <is>
          <t>as of 2026-10-06; source 4 (MarketScreener Amazon finances: EPS 2027 $10.51 / 2028 $13.8)</t>
        </is>
      </c>
    </row>
    <row r="82">
      <c r="A82" s="11" t="inlineStr">
        <is>
          <t xml:space="preserve">  Model vs consensus</t>
        </is>
      </c>
      <c r="F82" s="27">
        <f>F24/F81-1</f>
        <v/>
      </c>
    </row>
    <row r="83">
      <c r="A83" t="inlineStr">
        <is>
          <t>Consensus: revenue (GAAP ($M))</t>
        </is>
      </c>
      <c r="G83" s="32" t="n">
        <v>1097400</v>
      </c>
      <c r="H83" s="2" t="inlineStr">
        <is>
          <t>as of 2026-10-06; source 4 (MarketScreener Amazon finances: EPS 2027 $10.51 / 2028 $13.8)</t>
        </is>
      </c>
    </row>
    <row r="84">
      <c r="A84" s="11" t="inlineStr">
        <is>
          <t xml:space="preserve">  Model vs consensus</t>
        </is>
      </c>
      <c r="G84" s="27">
        <f>G24/G83-1</f>
        <v/>
      </c>
    </row>
    <row r="85">
      <c r="A85" t="inlineStr">
        <is>
          <t>Consensus: EBIT margin (GAAP; EBIT $182.7B / sales $1,097.4B)</t>
        </is>
      </c>
      <c r="G85" s="33" t="n">
        <v>0.166484</v>
      </c>
      <c r="H85" s="2" t="inlineStr">
        <is>
          <t>as of 2026-10-06; source 4 (MarketScreener Amazon finances: EPS 2027 $10.51 / 2028 $13.8)</t>
        </is>
      </c>
    </row>
    <row r="86">
      <c r="A86" s="11" t="inlineStr">
        <is>
          <t xml:space="preserve">  Model vs consensus</t>
        </is>
      </c>
      <c r="G86" s="34">
        <f>(G29-G85)*10000</f>
        <v/>
      </c>
    </row>
    <row r="87">
      <c r="A87" t="inlineStr">
        <is>
          <t>Consensus: capex ($M)</t>
        </is>
      </c>
      <c r="F87" s="32" t="n">
        <v>277400</v>
      </c>
      <c r="H87" s="2" t="inlineStr">
        <is>
          <t>as of 2026-10-06; source 4 (MarketScreener Amazon finances: EPS 2027 $10.51 / 2028 $13.8)</t>
        </is>
      </c>
    </row>
    <row r="88">
      <c r="A88" t="inlineStr">
        <is>
          <t>Consensus: capex ($M)</t>
        </is>
      </c>
      <c r="G88" s="32" t="n">
        <v>296900</v>
      </c>
      <c r="H88" s="2" t="inlineStr">
        <is>
          <t>as of 2026-10-06; source 4 (MarketScreener Amazon finances: EPS 2027 $10.51 / 2028 $13.8)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showGridLines="0" workbookViewId="0">
      <selection activeCell="A1" sqref="A1"/>
    </sheetView>
  </sheetViews>
  <sheetFormatPr baseColWidth="8" defaultRowHeight="15"/>
  <cols>
    <col width="52" customWidth="1" min="1" max="1"/>
    <col width="14" customWidth="1" min="2" max="2"/>
    <col width="14" customWidth="1" min="3" max="3"/>
    <col width="13" customWidth="1" min="4" max="4"/>
    <col width="13" customWidth="1" min="5" max="5"/>
    <col width="13" customWidth="1" min="6" max="6"/>
    <col width="13" customWidth="1" min="7" max="7"/>
    <col width="13" customWidth="1" min="8" max="8"/>
    <col width="13" customWidth="1" min="9" max="9"/>
    <col width="60" customWidth="1" min="10" max="10"/>
    <col width="13" customWidth="1" min="11" max="11"/>
  </cols>
  <sheetData>
    <row r="1">
      <c r="A1" s="1" t="inlineStr">
        <is>
          <t>AMZN: valuation and price target derivation</t>
        </is>
      </c>
    </row>
    <row r="2">
      <c r="A2" s="2" t="inlineStr">
        <is>
          <t>Value per share at the target date = weighted methods below; the 12-month target is the median of the scenario mix (Distribution tab).</t>
        </is>
      </c>
    </row>
    <row r="3">
      <c r="A3" s="3" t="inlineStr">
        <is>
          <t>Method</t>
        </is>
      </c>
      <c r="B3" s="3" t="inlineStr">
        <is>
          <t>Multiple</t>
        </is>
      </c>
      <c r="C3" s="3" t="inlineStr">
        <is>
          <t>Metric at target date</t>
        </is>
      </c>
      <c r="D3" s="3" t="inlineStr">
        <is>
          <t>Value per share</t>
        </is>
      </c>
      <c r="E3" s="3" t="inlineStr">
        <is>
          <t>Weight</t>
        </is>
      </c>
      <c r="F3" s="3" t="inlineStr">
        <is>
          <t>Contribution</t>
        </is>
      </c>
    </row>
    <row r="4">
      <c r="A4" s="16">
        <f>'Calc - research target (12m)'!A67</f>
        <v/>
      </c>
      <c r="B4" s="4">
        <f>IF('Calc - research target (12m)'!C67="","",'Calc - research target (12m)'!C67)</f>
        <v/>
      </c>
      <c r="C4" s="35">
        <f>IF('Calc - research target (12m)'!I67="","",'Calc - research target (12m)'!I67)</f>
        <v/>
      </c>
      <c r="D4" s="4">
        <f>'Calc - research target (12m)'!F67</f>
        <v/>
      </c>
      <c r="E4" s="12">
        <f>'Calc - research target (12m)'!G67</f>
        <v/>
      </c>
      <c r="F4" s="9">
        <f>D4*E4/SUM($E$4:$E$6)</f>
        <v/>
      </c>
    </row>
    <row r="5">
      <c r="A5" s="16">
        <f>'Calc - research target (12m)'!A68</f>
        <v/>
      </c>
      <c r="B5" s="4">
        <f>IF('Calc - research target (12m)'!C68="","",'Calc - research target (12m)'!C68)</f>
        <v/>
      </c>
      <c r="C5" s="35">
        <f>IF('Calc - research target (12m)'!I68="","",'Calc - research target (12m)'!I68)</f>
        <v/>
      </c>
      <c r="D5" s="4">
        <f>'Calc - research target (12m)'!F68</f>
        <v/>
      </c>
      <c r="E5" s="12">
        <f>'Calc - research target (12m)'!G68</f>
        <v/>
      </c>
      <c r="F5" s="9">
        <f>D5*E5/SUM($E$4:$E$6)</f>
        <v/>
      </c>
    </row>
    <row r="6">
      <c r="A6" s="16">
        <f>'Calc - research target (12m)'!A69</f>
        <v/>
      </c>
      <c r="B6" s="4">
        <f>IF('Calc - research target (12m)'!C69="","",'Calc - research target (12m)'!C69)</f>
        <v/>
      </c>
      <c r="C6" s="35">
        <f>IF('Calc - research target (12m)'!I69="","",'Calc - research target (12m)'!I69)</f>
        <v/>
      </c>
      <c r="D6" s="4">
        <f>'Calc - research target (12m)'!F69</f>
        <v/>
      </c>
      <c r="E6" s="12">
        <f>'Calc - research target (12m)'!G69</f>
        <v/>
      </c>
      <c r="F6" s="9">
        <f>D6*E6/SUM($E$4:$E$6)</f>
        <v/>
      </c>
    </row>
    <row r="7">
      <c r="A7" s="19" t="inlineStr">
        <is>
          <t>Research target (12m) per share</t>
        </is>
      </c>
      <c r="D7" s="6">
        <f>'Calc - research target (12m)'!$F$70</f>
        <v/>
      </c>
      <c r="F7" s="6">
        <f>SUM(F4:F6)</f>
        <v/>
      </c>
    </row>
    <row r="9">
      <c r="A9" s="21" t="inlineStr">
        <is>
          <t>12-month EPS basis (what the P/E is applied to)</t>
        </is>
      </c>
      <c r="B9" s="22" t="n"/>
      <c r="C9" s="22" t="n"/>
      <c r="D9" s="22" t="n"/>
      <c r="E9" s="22" t="n"/>
      <c r="F9" s="22" t="n"/>
      <c r="G9" s="22" t="n"/>
      <c r="H9" s="22" t="n"/>
      <c r="I9" s="22" t="n"/>
    </row>
    <row r="10">
      <c r="A10" s="3" t="inlineStr">
        <is>
          <t>Fiscal year</t>
        </is>
      </c>
      <c r="B10" s="3">
        <f>Model!E5</f>
        <v/>
      </c>
      <c r="C10" s="3">
        <f>Model!F5</f>
        <v/>
      </c>
      <c r="D10" s="3">
        <f>Model!G5</f>
        <v/>
      </c>
    </row>
    <row r="11">
      <c r="A11" t="inlineStr">
        <is>
          <t>Share of the 12 months after the target date</t>
        </is>
      </c>
      <c r="B11" s="12">
        <f>'Calc - research target (12m)'!C38</f>
        <v/>
      </c>
      <c r="C11" s="12">
        <f>'Calc - research target (12m)'!D38</f>
        <v/>
      </c>
      <c r="D11" s="12">
        <f>'Calc - research target (12m)'!E38</f>
        <v/>
      </c>
    </row>
    <row r="12">
      <c r="A12" t="inlineStr">
        <is>
          <t>Model EPS (Model tab)</t>
        </is>
      </c>
      <c r="B12" s="13">
        <f>Model!E42</f>
        <v/>
      </c>
      <c r="C12" s="13">
        <f>Model!F42</f>
        <v/>
      </c>
      <c r="D12" s="13">
        <f>Model!G42</f>
        <v/>
      </c>
    </row>
    <row r="13">
      <c r="A13" t="inlineStr">
        <is>
          <t>Model EPS, next 12 months after the target date</t>
        </is>
      </c>
      <c r="B13" s="30">
        <f>SUMPRODUCT(B11:D11,B12:D12)</f>
        <v/>
      </c>
    </row>
    <row r="14">
      <c r="A14" t="inlineStr">
        <is>
          <t>Stated next-12-month EPS used by the P/E method (consensus basis, cited)</t>
        </is>
      </c>
      <c r="B14" s="29">
        <f>Valuation!F70</f>
        <v/>
      </c>
      <c r="C14" s="27">
        <f>B14/B13-1</f>
        <v/>
      </c>
      <c r="D14" s="2" t="inlineStr">
        <is>
          <t>vs model EPS</t>
        </is>
      </c>
    </row>
    <row r="16">
      <c r="A16" s="21" t="inlineStr">
        <is>
          <t>DCF build (free cash flow to firm, discounted to the target date)</t>
        </is>
      </c>
      <c r="B16" s="22" t="n"/>
      <c r="C16" s="22" t="n"/>
      <c r="D16" s="22" t="n"/>
      <c r="E16" s="22" t="n"/>
      <c r="F16" s="22" t="n"/>
      <c r="G16" s="22" t="n"/>
      <c r="H16" s="22" t="n"/>
      <c r="I16" s="22" t="n"/>
    </row>
    <row r="17">
      <c r="A17" s="3" t="inlineStr">
        <is>
          <t>Fiscal year</t>
        </is>
      </c>
      <c r="B17" s="3">
        <f>Model!E5</f>
        <v/>
      </c>
      <c r="C17" s="3">
        <f>Model!F5</f>
        <v/>
      </c>
      <c r="D17" s="3">
        <f>Model!G5</f>
        <v/>
      </c>
    </row>
    <row r="18">
      <c r="A18" t="inlineStr">
        <is>
          <t>Free cash flow to firm</t>
        </is>
      </c>
      <c r="B18" s="10">
        <f>'Calc - research target (12m)'!C31</f>
        <v/>
      </c>
      <c r="C18" s="10">
        <f>'Calc - research target (12m)'!D31</f>
        <v/>
      </c>
      <c r="D18" s="10">
        <f>'Calc - research target (12m)'!E31</f>
        <v/>
      </c>
    </row>
    <row r="19">
      <c r="A19" t="inlineStr">
        <is>
          <t>Share of the year after the target date</t>
        </is>
      </c>
      <c r="B19" s="12">
        <f>'Calc - research target (12m)'!C35</f>
        <v/>
      </c>
      <c r="C19" s="12">
        <f>'Calc - research target (12m)'!D35</f>
        <v/>
      </c>
      <c r="D19" s="12">
        <f>'Calc - research target (12m)'!E35</f>
        <v/>
      </c>
    </row>
    <row r="20">
      <c r="A20" t="inlineStr">
        <is>
          <t>PV at target date</t>
        </is>
      </c>
      <c r="B20" s="10">
        <f>'Calc - research target (12m)'!C36</f>
        <v/>
      </c>
      <c r="C20" s="10">
        <f>'Calc - research target (12m)'!D36</f>
        <v/>
      </c>
      <c r="D20" s="10">
        <f>'Calc - research target (12m)'!E36</f>
        <v/>
      </c>
    </row>
    <row r="22">
      <c r="A22" t="inlineStr">
        <is>
          <t>PV of free cash flow after the target date</t>
        </is>
      </c>
      <c r="B22" s="10">
        <f>'Calc - research target (12m)'!B42</f>
        <v/>
      </c>
    </row>
    <row r="23">
      <c r="A23" t="inlineStr">
        <is>
          <t>Terminal value (final year)</t>
        </is>
      </c>
      <c r="B23" s="10">
        <f>'Calc - research target (12m)'!B43</f>
        <v/>
      </c>
    </row>
    <row r="24">
      <c r="A24" t="inlineStr">
        <is>
          <t>PV of terminal value</t>
        </is>
      </c>
      <c r="B24" s="10">
        <f>'Calc - research target (12m)'!B44</f>
        <v/>
      </c>
    </row>
    <row r="25">
      <c r="A25" t="inlineStr">
        <is>
          <t>Enterprise value at target date</t>
        </is>
      </c>
      <c r="B25" s="10">
        <f>'Calc - research target (12m)'!B45</f>
        <v/>
      </c>
    </row>
    <row r="26">
      <c r="A26" t="inlineStr">
        <is>
          <t>Terminal value share of DCF</t>
        </is>
      </c>
      <c r="B26" s="12">
        <f>'Calc - research target (12m)'!B46</f>
        <v/>
      </c>
    </row>
    <row r="27">
      <c r="A27" t="inlineStr">
        <is>
          <t>Net debt at target date</t>
        </is>
      </c>
      <c r="B27" s="10">
        <f>'Calc - research target (12m)'!B50</f>
        <v/>
      </c>
    </row>
    <row r="28">
      <c r="A28" t="inlineStr">
        <is>
          <t>Minority interests</t>
        </is>
      </c>
      <c r="B28" s="10">
        <f>'Calc - research target (12m)'!B51</f>
        <v/>
      </c>
    </row>
    <row r="29">
      <c r="A29" t="inlineStr">
        <is>
          <t>Adjustments</t>
        </is>
      </c>
      <c r="B29" s="10">
        <f>'Calc - research target (12m)'!B52</f>
        <v/>
      </c>
    </row>
    <row r="30">
      <c r="A30" t="inlineStr">
        <is>
          <t>Diluted shares at target date (M)</t>
        </is>
      </c>
      <c r="B30" s="36">
        <f>'Calc - research target (12m)'!B53</f>
        <v/>
      </c>
    </row>
    <row r="31">
      <c r="A31" t="inlineStr">
        <is>
          <t>DCF value per share</t>
        </is>
      </c>
      <c r="B31" s="4">
        <f>'Calc - research target (12m)'!F67</f>
        <v/>
      </c>
    </row>
    <row r="32">
      <c r="A32" t="inlineStr">
        <is>
          <t>WACC</t>
        </is>
      </c>
      <c r="B32" s="12">
        <f>'Calc - research target (12m)'!B12</f>
        <v/>
      </c>
    </row>
    <row r="42">
      <c r="A42" s="21" t="inlineStr">
        <is>
          <t>Assumptions (blue = input; sources on the Sources tab)</t>
        </is>
      </c>
      <c r="B42" s="22" t="n"/>
      <c r="C42" s="22" t="n"/>
      <c r="D42" s="22" t="n"/>
      <c r="E42" s="22" t="n"/>
      <c r="F42" s="22" t="n"/>
      <c r="G42" s="22" t="n"/>
      <c r="H42" s="22" t="n"/>
      <c r="I42" s="22" t="n"/>
    </row>
    <row r="43">
      <c r="A43" s="3" t="inlineStr">
        <is>
          <t>Input</t>
        </is>
      </c>
      <c r="B43" s="3" t="inlineStr">
        <is>
          <t>Value</t>
        </is>
      </c>
      <c r="C43" s="3" t="inlineStr">
        <is>
          <t>Basis / note</t>
        </is>
      </c>
    </row>
    <row r="44">
      <c r="A44" t="inlineStr">
        <is>
          <t>Run date (valuation as of)</t>
        </is>
      </c>
      <c r="B44" s="37" t="n">
        <v>46318</v>
      </c>
      <c r="C44" t="inlineStr"/>
    </row>
    <row r="45">
      <c r="A45" t="inlineStr">
        <is>
          <t>Target date (run date + 365 days)</t>
        </is>
      </c>
      <c r="B45" s="20">
        <f>B44+365</f>
        <v/>
      </c>
      <c r="C45" t="inlineStr">
        <is>
          <t>12-month horizon</t>
        </is>
      </c>
    </row>
    <row r="46">
      <c r="A46" t="inlineStr">
        <is>
          <t>Money unit</t>
        </is>
      </c>
      <c r="B46" s="38" t="inlineStr">
        <is>
          <t>$M</t>
        </is>
      </c>
      <c r="C46" t="inlineStr"/>
    </row>
    <row r="47">
      <c r="A47" t="inlineStr">
        <is>
          <t>EBIT basis (gaap / adjusted)</t>
        </is>
      </c>
      <c r="B47" s="38" t="inlineStr">
        <is>
          <t>gaap</t>
        </is>
      </c>
      <c r="C47" t="inlineStr">
        <is>
          <t>gaap = after stock comp</t>
        </is>
      </c>
    </row>
    <row r="48">
      <c r="A48" t="inlineStr">
        <is>
          <t>Stock comp treatment (cost / dilution)</t>
        </is>
      </c>
      <c r="B48" s="38" t="inlineStr">
        <is>
          <t>cost</t>
        </is>
      </c>
      <c r="C48" t="inlineStr">
        <is>
          <t>used only when EBIT is adjusted</t>
        </is>
      </c>
    </row>
    <row r="49">
      <c r="A49" t="inlineStr">
        <is>
          <t>Last reported fiscal year end</t>
        </is>
      </c>
      <c r="B49" s="37" t="n">
        <v>46022</v>
      </c>
      <c r="C49" t="inlineStr"/>
    </row>
    <row r="50">
      <c r="A50" t="inlineStr">
        <is>
          <t>Net sales, last reported year ($M)</t>
        </is>
      </c>
      <c r="B50" s="26" t="n">
        <v>716924</v>
      </c>
      <c r="C50" t="inlineStr"/>
    </row>
    <row r="51">
      <c r="A51" t="inlineStr">
        <is>
          <t>WACC</t>
        </is>
      </c>
      <c r="B51" s="24" t="n">
        <v>0.1044</v>
      </c>
      <c r="C51" t="inlineStr">
        <is>
          <t>filled in (not stated in this set's original work): agent_3's stated 10.44% WACC (cost of equity 5.31% + 1.31 x 4.20% = 10.79%; debt at 5.6% pre-tax, 21% tax), the only discount rate in the run. The supervisor gave the DCF no weight, so it is a diagnostic only (dcf_weight 0).</t>
        </is>
      </c>
    </row>
    <row r="52">
      <c r="A52" t="inlineStr">
        <is>
          <t>Terminal method (gordon / exit_multiple / steady_state)</t>
        </is>
      </c>
      <c r="B52" s="38" t="inlineStr">
        <is>
          <t>gordon</t>
        </is>
      </c>
      <c r="C52" t="inlineStr"/>
    </row>
    <row r="53">
      <c r="A53" t="inlineStr">
        <is>
          <t>Terminal growth</t>
        </is>
      </c>
      <c r="B53" s="24" t="n">
        <v>0.035</v>
      </c>
      <c r="C53" t="inlineStr"/>
    </row>
    <row r="54">
      <c r="A54" t="inlineStr">
        <is>
          <t>Exit EV/EBITDA (exit_multiple only)</t>
        </is>
      </c>
      <c r="B54" s="39" t="n"/>
      <c r="C54" t="inlineStr"/>
    </row>
    <row r="55">
      <c r="A55" t="inlineStr">
        <is>
          <t>Balance-sheet date</t>
        </is>
      </c>
      <c r="B55" s="37" t="n">
        <v>46203</v>
      </c>
      <c r="C55" t="inlineStr"/>
    </row>
    <row r="56">
      <c r="A56" t="inlineStr">
        <is>
          <t>Net debt / (net cash) at balance date ($M)</t>
        </is>
      </c>
      <c r="B56" s="26" t="n">
        <v>10332</v>
      </c>
      <c r="C56" t="inlineStr">
        <is>
          <t>excludes operating leases</t>
        </is>
      </c>
    </row>
    <row r="57">
      <c r="A57" t="inlineStr">
        <is>
          <t>Minority interests + preferred stock</t>
        </is>
      </c>
      <c r="B57" s="26" t="n">
        <v>0</v>
      </c>
      <c r="C57" t="inlineStr"/>
    </row>
    <row r="58">
      <c r="A58" t="inlineStr">
        <is>
          <t>Interest rate on net debt / cash</t>
        </is>
      </c>
      <c r="B58" s="24" t="n">
        <v>0.024985</v>
      </c>
      <c r="C58" t="inlineStr"/>
    </row>
    <row r="59">
      <c r="A59" t="inlineStr">
        <is>
          <t>Net debt at target date (override; blank = bridge)</t>
        </is>
      </c>
      <c r="B59" s="26" t="n">
        <v>58364</v>
      </c>
      <c r="C59" t="inlineStr"/>
    </row>
    <row r="60">
      <c r="A60" t="inlineStr">
        <is>
          <t>Diluted shares (M)</t>
        </is>
      </c>
      <c r="B60" s="40" t="n">
        <v>10903</v>
      </c>
      <c r="C60" t="inlineStr"/>
    </row>
    <row r="61">
      <c r="A61" t="inlineStr">
        <is>
          <t>Share count date</t>
        </is>
      </c>
      <c r="B61" s="37" t="n">
        <v>46203</v>
      </c>
      <c r="C61" t="inlineStr"/>
    </row>
    <row r="62">
      <c r="A62" t="inlineStr">
        <is>
          <t>Annual change in diluted shares</t>
        </is>
      </c>
      <c r="B62" s="24" t="n">
        <v>0.008999999999999999</v>
      </c>
      <c r="C62" t="inlineStr">
        <is>
          <t>net of buybacks and stock-comp dilution</t>
        </is>
      </c>
    </row>
    <row r="63">
      <c r="A63" t="inlineStr">
        <is>
          <t>Shares at target date (override; blank = from annual change)</t>
        </is>
      </c>
      <c r="B63" s="40" t="n"/>
      <c r="C63" t="inlineStr"/>
    </row>
    <row r="64">
      <c r="A64" t="inlineStr">
        <is>
          <t>DCF weight</t>
        </is>
      </c>
      <c r="B64" s="24" t="n">
        <v>0</v>
      </c>
      <c r="C64" t="inlineStr">
        <is>
          <t>Kilian 2026-10-21: 0 unless the name has a DCF leg (dcf_policy)</t>
        </is>
      </c>
    </row>
    <row r="65">
      <c r="A65" t="inlineStr">
        <is>
          <t>Sum-of-the-parts weight</t>
        </is>
      </c>
      <c r="B65" s="24" t="n">
        <v>0.425</v>
      </c>
      <c r="C65" t="inlineStr"/>
    </row>
    <row r="66">
      <c r="A66" t="inlineStr">
        <is>
          <t>Spread within each scenario (lognormal vol)</t>
        </is>
      </c>
      <c r="B66" s="24" t="n">
        <v>0.221</v>
      </c>
      <c r="C66" t="inlineStr"/>
    </row>
    <row r="67">
      <c r="A67" t="inlineStr">
        <is>
          <t>Share price at the run</t>
        </is>
      </c>
      <c r="B67" s="41" t="n">
        <v>248</v>
      </c>
      <c r="C67" t="inlineStr">
        <is>
          <t>close used by the run (2026-10-23)</t>
        </is>
      </c>
    </row>
    <row r="69">
      <c r="A69" s="3" t="inlineStr">
        <is>
          <t>Target multiple</t>
        </is>
      </c>
      <c r="B69" s="3" t="inlineStr">
        <is>
          <t>Multiple</t>
        </is>
      </c>
      <c r="C69" s="3" t="inlineStr">
        <is>
          <t>Weight</t>
        </is>
      </c>
      <c r="D69" s="3" t="inlineStr">
        <is>
          <t>Basis (ntm / ltm)</t>
        </is>
      </c>
      <c r="E69" s="3" t="inlineStr">
        <is>
          <t>EBITDA basis</t>
        </is>
      </c>
      <c r="F69" s="3" t="inlineStr">
        <is>
          <t>Stated EPS</t>
        </is>
      </c>
      <c r="G69" s="3" t="inlineStr">
        <is>
          <t>Stated FCF/share</t>
        </is>
      </c>
      <c r="H69" s="3" t="inlineStr">
        <is>
          <t>Levered</t>
        </is>
      </c>
      <c r="I69" s="3" t="inlineStr">
        <is>
          <t>Peer basis</t>
        </is>
      </c>
    </row>
    <row r="70">
      <c r="A70" s="38" t="inlineStr">
        <is>
          <t>P/E</t>
        </is>
      </c>
      <c r="B70" s="39" t="n">
        <v>22.88</v>
      </c>
      <c r="C70" s="24" t="n">
        <v>0.425</v>
      </c>
      <c r="D70" s="38" t="inlineStr">
        <is>
          <t>ntm</t>
        </is>
      </c>
      <c r="E70" s="38" t="inlineStr">
        <is>
          <t>gaap</t>
        </is>
      </c>
      <c r="F70" s="42" t="n">
        <v>11.40210082606908</v>
      </c>
      <c r="G70" s="42" t="n"/>
      <c r="H70" s="38" t="b">
        <v>1</v>
      </c>
      <c r="I70" t="inlineStr">
        <is>
          <t>Peer refresh 2026-10-26 (Kilian 06:07Z; METHOD.md Peer comparables): CY2027 P/E at the Oct 23, 2026 close, the base round's basis. P/E leg set MSFT, GOOGL, META (3 names, peer_count_flag): MSFT 24.45x (524.51 / 21.45 = 0.500 x FY2027-06 19.65 + 0.500 x FY2028-06 23.25), GOOGL 21.3x (320.21 / 15.03), META 18.94x (642.62 / 33.93); median 21.3x, used as is (no premium: AMZN's EPS growth after the horizon, FY2029 vs FY2028 consensus +11.7%, 3 analysts, is not above the peers', so the base round's case for 23x no longer holds). AMZN's own CY2027 P/E 23.29x. Out: BABA, PDD (China), CPNG (Korea; loss base). GOOGL on FY2027 EPS (its FY2026 consensus carries stake gains). Applied to NTM EPS at the Oct-2027 horizon. EXIT k=0.8 (2026-10-26T12:28Z): Exit-multiple rule (Kilian card 2026-10-26 12:16Z; METHOD.md Peer comparables): exit = peer median x (own NTM multiple / peer median)^k, k = 0.8. Peer median 21.3x; own 23.29x: AMZN $248.00 / CY2027 Zacks consensus EPS $10.65 = 23.29x (same basis as the peer rows). 21.3 x (23.29 / 21.3)^0.8 = 21.3 x 1.0741 = 22.88x (was 21.3x). SOTP segment multiples (AWS 21.3x, ads 19.87x, stores 37.56x) stay at their peer medians: a segment has no own traded multiple (rule: no meaningful own multiple -&gt; peer median).</t>
        </is>
      </c>
    </row>
    <row r="72">
      <c r="A72" s="3" t="inlineStr">
        <is>
          <t>Segment (sum of the parts)</t>
        </is>
      </c>
      <c r="B72" s="3" t="inlineStr">
        <is>
          <t>NTM metric</t>
        </is>
      </c>
      <c r="C72" s="3" t="inlineStr">
        <is>
          <t>Metric</t>
        </is>
      </c>
      <c r="D72" s="3" t="inlineStr">
        <is>
          <t>Multiple</t>
        </is>
      </c>
      <c r="E72" s="3" t="inlineStr">
        <is>
          <t>Note</t>
        </is>
      </c>
    </row>
    <row r="73">
      <c r="A73" s="38" t="inlineStr">
        <is>
          <t>AWS: NTM after-tax OI x 21.3</t>
        </is>
      </c>
      <c r="B73" s="26" t="n">
        <v>71507.48782801958</v>
      </c>
      <c r="C73" s="38" t="inlineStr"/>
      <c r="D73" s="39" t="n">
        <v>21.3</v>
      </c>
      <c r="E73" t="inlineStr">
        <is>
          <t>NTM after-tax AWS OI at the 2027-10-23 horizon (0.189 x FY2027 + 0.811 x FY2028 driver EBIT, x 0.79) x 21.3x = median CY2027 P/E of the cloud peers MSFT 24.45x (524.51 / 21.45 = 0.500 x FY2027-06 19.65 + 0.500 x FY2028-06 23.25), ORCL 17.55x (126.16 / 7.1902: Zacks 8.1475 = 0.417 x FY2027-05 6.73 + 0.583 x FY2028-05 9.16, re-based to GAAP after stock comp x 0.8825), GOOGL 21.3x (320.21 / 15.03). Was 25x (anchored on MSFT); no premium kept: ORCL's low multiple is part of the approved set and no persistence evidence for an AWS premium over the median is on file. Variant: MSFT's 24.45x alone, +$10.2 on the research target (12m).</t>
        </is>
      </c>
    </row>
    <row r="74">
      <c r="A74" s="38" t="inlineStr">
        <is>
          <t>Advertising (in North America + International): NTM after-tax OI x 19.87</t>
        </is>
      </c>
      <c r="B74" s="26" t="n">
        <v>46408.94697500001</v>
      </c>
      <c r="C74" s="38" t="inlineStr"/>
      <c r="D74" s="39" t="n">
        <v>19.87</v>
      </c>
      <c r="E74" t="inlineStr">
        <is>
          <t>Advertising OI = 0.5 x ads_rev (50% ad margin, flagged estimate in driver stores_m), NTM after-tax, x 19.87x = median CY2027 P/E of the ad-platform peers META 18.94x (642.62 / 33.93), GOOGL 21.3x (320.21 / 15.03), RDDT 20.79x (144.25 / 6.94), APP 13.08x (260.25 / 19.9). New part (2026-10-26): the segment's earnings are ~98% advertising on the driver split, so the retail median applies to stores only (METHOD.md: a segment-only comp values that segment only).</t>
        </is>
      </c>
    </row>
    <row r="75">
      <c r="A75" s="38" t="inlineStr">
        <is>
          <t>Stores ex-advertising (North America + International, reported basis incl. venture losses): NTM after-tax OI x 37.56</t>
        </is>
      </c>
      <c r="B75" s="26" t="n">
        <v>853.38484578</v>
      </c>
      <c r="C75" s="38" t="inlineStr"/>
      <c r="D75" s="39" t="n">
        <v>37.56</v>
      </c>
      <c r="E75" t="inlineStr">
        <is>
          <t>Stores ex-advertising OI = stores_m x stores_rev (reported basis, incl. Leo and Zoox losses), NTM after-tax, x 37.56x = median CY2027 P/E of the approved retail/commerce peers WMT 37.56x (119.89 / 3.1917 = 0.083 x FY2027-01 2.88 + 0.917 x FY2028-01 3.22), COST 42.8x (1003.32 / 23.4433 = 0.667 x FY2027-08 22.7 + 0.333 x FY2028-08 24.93), MELI 32.8x (1810.15 / 55.19), SE 16.55x (74.63 / 4.51), SHOP 91.67x (168.68 / 1.84). Out: BABA, PDD (China), CPNG (Korea). SE has 2 EPS estimates (thin).</t>
        </is>
      </c>
    </row>
    <row r="76">
      <c r="A76" s="38" t="inlineStr">
        <is>
          <t>Venture loss add-back: basis correction 22.88x -&gt; 37.56x</t>
        </is>
      </c>
      <c r="B76" s="26" t="n">
        <v>46388.8</v>
      </c>
      <c r="C76" s="38" t="inlineStr"/>
      <c r="D76" s="39" t="n">
        <v>1</v>
      </c>
      <c r="E76" t="inlineStr">
        <is>
          <t>The Leo and Zoox loss add-backs are capitalised at the P/E leg's 22.88x (adjustments; exit k=0.8 2026-10-26, was 21.3x); on this leg their losses sit inside the stores part at 37.56x, so the add-back is re-based: -(2,500 + 1,500) x 0.79 x (22.88 - 37.56) = +$46,389M. Entered as metric x 1.0.</t>
        </is>
      </c>
    </row>
    <row r="78">
      <c r="A78" s="3" t="inlineStr">
        <is>
          <t>Adjustment (equity level)</t>
        </is>
      </c>
      <c r="B78" s="3" t="inlineStr">
        <is>
          <t>Value</t>
        </is>
      </c>
      <c r="C78" s="3" t="inlineStr">
        <is>
          <t>Probability</t>
        </is>
      </c>
      <c r="D78" s="3" t="inlineStr">
        <is>
          <t>Note</t>
        </is>
      </c>
    </row>
    <row r="79">
      <c r="A79" s="38" t="inlineStr">
        <is>
          <t>Anthropic stake at a $1.5T IPO, after tax and lock-up (AMZN deep model 2026-10-19)</t>
        </is>
      </c>
      <c r="B79" s="26" t="n">
        <v>183692.36</v>
      </c>
      <c r="C79" s="24" t="n">
        <v>1</v>
      </c>
      <c r="D79" t="inlineStr">
        <is>
          <t>Labelled estimate. 19.5% pre-IPO fully diluted (filing-implied 190.4 / 965 = 19.73%; press ~21%) x 0.95 Public Benefit Fund x (1 - $75B primary / $1.5T) = 17.60% x $1.5T; tax 24% on the gain over $18.0B cash invested; lock-up/blockage discount 10.37% (Finnerty, 65% vol, 0.5 yr). Replaces the SOTP's $149.0B after-tax carrying value. Engine stakes formula at base: gross $263,980M, tax $59,035M, value $183,692M; entered as an adjustment so the Sheet lays it out (scenario swing carried in eps_pct / multiple_pct, see the scenario rows).</t>
        </is>
      </c>
    </row>
    <row r="80">
      <c r="A80" s="38" t="inlineStr">
        <is>
          <t>OpenAI Series C stake at the last priced round (AMZN deep model 2026-10-19)</t>
        </is>
      </c>
      <c r="B80" s="26" t="n">
        <v>49999.62</v>
      </c>
      <c r="C80" s="24" t="n">
        <v>1</v>
      </c>
      <c r="D80" t="inlineStr">
        <is>
          <t>$15.0B + $35.0B Series C (10-Q), priced in the $122B round at $730B pre / $852B post (March 2026); August 2026 $7B employee sale at $852B. 50 / 852 = 5.87%. Value = cost $50.0B; no tax. Engine stakes formula at base: gross $50,000M, tax $0M, value $50,000M; entered as an adjustment so the Sheet lays it out (scenario swing carried in eps_pct / multiple_pct, see the scenario rows).</t>
        </is>
      </c>
    </row>
    <row r="81">
      <c r="A81" s="38" t="inlineStr">
        <is>
          <t>Amazon Leo: loss add-back (AMZN deep model 2026-10-19)</t>
        </is>
      </c>
      <c r="B81" s="26" t="n">
        <v>45188</v>
      </c>
      <c r="C81" s="24" t="n">
        <v>1</v>
      </c>
      <c r="D81" t="inlineStr">
        <is>
          <t>Consensus EPS carries Leo's losses; est. $2.5B pre-tax in the NTM year at the horizon (range 1.5-4.0) x 0.79 x 22.88 (P/E leg multiple, exit k=0.8 2026-10-26; was 21.3x, before that 23x) = +$45.2B, so the core is valued ex-Leo (playbook loss-making venture rule). On the SOTP leg the basis correction re-bases it to the stores multiple.</t>
        </is>
      </c>
    </row>
    <row r="82">
      <c r="A82" s="38" t="inlineStr">
        <is>
          <t>Amazon Leo: own value, scenario-weighted (AMZN deep model 2026-10-19)</t>
        </is>
      </c>
      <c r="B82" s="26" t="n">
        <v>13000</v>
      </c>
      <c r="C82" s="24" t="n">
        <v>1</v>
      </c>
      <c r="D82" t="inlineStr">
        <is>
          <t>2030 scenarios (bear p.35 $2.0B revenue, ~2x sales; base p.45 $6.7B, 20x EBIT at 25%; bull p.20 $14.0B, 22x EBIT at 35%) = $38.1B, discounted 3 years at 15% = $25.0B, less ~$12B PV of remaining build and pre-scale burn = ~$13B (est.).</t>
        </is>
      </c>
    </row>
    <row r="83">
      <c r="A83" s="38" t="inlineStr">
        <is>
          <t>Zoox: loss add-back (AMZN deep model 2026-10-19)</t>
        </is>
      </c>
      <c r="B83" s="26" t="n">
        <v>27112.8</v>
      </c>
      <c r="C83" s="24" t="n">
        <v>1</v>
      </c>
      <c r="D83" t="inlineStr">
        <is>
          <t>Est. $1.5B pre-tax yearly loss (range 1.0-2.0; ~5,000 staff x ~$0.3M fully loaded plus fleet) x 0.79 x 22.88 (exit k=0.8 2026-10-26; was 21.3x, before that 23x) = +$27.1B.</t>
        </is>
      </c>
    </row>
    <row r="84">
      <c r="A84" s="38" t="inlineStr">
        <is>
          <t>Zoox: own value, scenario-weighted (AMZN deep model 2026-10-19)</t>
        </is>
      </c>
      <c r="B84" s="26" t="n">
        <v>9000</v>
      </c>
      <c r="C84" s="24" t="n">
        <v>1</v>
      </c>
      <c r="D84" t="inlineStr">
        <is>
          <t>Bear p.40 $2B, base p.45 $10B, bull p.15 $40B = $11.3B (Waymo $126B post-money at 2,500-3,000 vehicles vs Zoox 105) x (1 - 20% haircut) = ~$9.0B (est.).</t>
        </is>
      </c>
    </row>
    <row r="85">
      <c r="A85" s="38" t="inlineStr">
        <is>
          <t>Globalstar acquisition, implied EV incl. debt (AMZN deep model 2026-10-19)</t>
        </is>
      </c>
      <c r="B85" s="26" t="n">
        <v>-10900</v>
      </c>
      <c r="C85" s="24" t="n">
        <v>1</v>
      </c>
      <c r="D85" t="inlineStr">
        <is>
          <t>10-Q: ~$10.9B including debt, $90 cash or 0.3210 AMZN shares, cash capped at 40%, close 2027. Deducted on both legs (was SOTP only); its spectrum value sits in the Leo scenarios; no Globalstar shares in the count.</t>
        </is>
      </c>
    </row>
    <row r="86">
      <c r="A86" s="38" t="inlineStr">
        <is>
          <t>Other equity investments and warrants (AMZN deep model 2026-10-19)</t>
        </is>
      </c>
      <c r="B86" s="26" t="n">
        <v>4636</v>
      </c>
      <c r="C86" s="24" t="n">
        <v>1</v>
      </c>
      <c r="D86" t="inlineStr">
        <is>
          <t>Private equity investments $122.3B - Anthropic preferred $92.5B - OpenAI $28.7B = $1.1B, + warrants $4.3B + equity-method $0.4B = $5.8B (10-Q) x 0.80 for tax and liquidity = +$4.6B. Marketable equity ($4.7B) is already in cash and marketable securities, so it stays in net debt. Not in the run.</t>
        </is>
      </c>
    </row>
    <row r="87">
      <c r="A87" s="38" t="inlineStr">
        <is>
          <t>Legal remedies, probability-weighted (AMZN deep model 2026-10-19)</t>
        </is>
      </c>
      <c r="B87" s="26" t="n">
        <v>-32278.6632324915</v>
      </c>
      <c r="C87" s="24" t="n">
        <v>1</v>
      </c>
      <c r="D87" t="inlineStr">
        <is>
          <t>Driver-built (peer refresh 2026-10-26): FTC monopolization p(liability) 0.35 x (0.8 x 3% + 0.2 x 10%) = 0.044 of the retail+ads value, now the SOTP's Advertising (19.87x) + Stores (37.56x) parts on the driver metrics (~$954B; was 22x on $1,025B) = -$14.7B; ad-auction suit: damages 0.5 x $8B = -$4.0B, forward pricing 0.4 x 50% x $2.9B/yr x 0.79 x 19.87 = -$9.1B (was 22x, -$10.1B); California AG and consumer class actions -$4.0B; EU -$0.45B. Total -$32.3B. Driver formula constant $17,584M = the base round's $18,560M (set from the rounded total -$34.35B) - 10,080 + 9,104; the exact fixed pieces sum to $17,553M (4,000 + 9,104 + 4,000 + 449), a $31M rounding residue kept (removing it leaves the base horizon value at $256.82 and moves the bull case by +$0.01).</t>
        </is>
      </c>
    </row>
    <row r="88">
      <c r="A88" s="38" t="inlineStr">
        <is>
          <t>Conglomerate overlay 10% on non-core parts (AMZN deep model 2026-10-19)</t>
        </is>
      </c>
      <c r="B88" s="26" t="n">
        <v>-26033</v>
      </c>
      <c r="C88" s="24" t="n">
        <v>1</v>
      </c>
      <c r="D88" t="inlineStr">
        <is>
          <t>10% x post-haircut non-core parts $260.3B (Anthropic 183.7 after tax and lock-up, OpenAI 50.0, other investments 4.6, Leo 13.0, Zoox 9.0); tax and lock-up already deducted and no holdco layer, so only the agency part remains (Berger &amp; Ofek 13-15% less the self-selection evidence; listed holdcos 34-49% bundle tax and illiquidity).</t>
        </is>
      </c>
    </row>
    <row r="90">
      <c r="A90" s="3" t="inlineStr">
        <is>
          <t>Custom method</t>
        </is>
      </c>
      <c r="B90" s="3" t="inlineStr">
        <is>
          <t>Value per share</t>
        </is>
      </c>
      <c r="C90" s="3" t="inlineStr">
        <is>
          <t>Weight</t>
        </is>
      </c>
      <c r="D90" s="3" t="inlineStr">
        <is>
          <t>Explanation</t>
        </is>
      </c>
    </row>
    <row r="91">
      <c r="A91" s="11" t="inlineStr">
        <is>
          <t>none</t>
        </is>
      </c>
    </row>
    <row r="93">
      <c r="A93" s="3" t="inlineStr">
        <is>
          <t>Scenario</t>
        </is>
      </c>
      <c r="B93" s="3" t="inlineStr">
        <is>
          <t>Probability</t>
        </is>
      </c>
      <c r="C93" s="3" t="inlineStr">
        <is>
          <t>Growth Δ</t>
        </is>
      </c>
      <c r="D93" s="3" t="inlineStr">
        <is>
          <t>Margin Δ</t>
        </is>
      </c>
      <c r="E93" s="3" t="inlineStr">
        <is>
          <t>Multiple Δ (turns)</t>
        </is>
      </c>
      <c r="F93" s="3" t="inlineStr">
        <is>
          <t>WACC Δ</t>
        </is>
      </c>
      <c r="G93" s="3" t="inlineStr">
        <is>
          <t>Multiple %Δ (FCF yield, segments)</t>
        </is>
      </c>
      <c r="H93" s="3" t="inlineStr">
        <is>
          <t>Stated EPS/FCF %Δ</t>
        </is>
      </c>
      <c r="I93" s="3" t="inlineStr">
        <is>
          <t>Custom methods %Δ</t>
        </is>
      </c>
      <c r="J93" s="3" t="inlineStr">
        <is>
          <t>Story</t>
        </is>
      </c>
    </row>
    <row r="94">
      <c r="A94" t="inlineStr">
        <is>
          <t>bear</t>
        </is>
      </c>
      <c r="B94" s="24" t="n">
        <v>0.25</v>
      </c>
      <c r="C94" s="24" t="n"/>
      <c r="D94" s="24" t="n"/>
      <c r="E94" s="43" t="n">
        <v>-5.5</v>
      </c>
      <c r="F94" s="24" t="n"/>
      <c r="G94" s="24" t="n">
        <v>-0.265604</v>
      </c>
      <c r="H94" s="24" t="n">
        <v>-0.035317</v>
      </c>
      <c r="I94" s="24" t="n"/>
      <c r="J94" s="44" t="inlineStr">
        <is>
          <t>Driver restatement 2026-10-22: AWS turnover -8% (2027 AWS growth ~24%, the story's low-to-mid 20s), AWS EBITDA margin -2 pts (2027 capex lifting D&amp;A), ads -4%; P/E 17.5x and segment multiples -24% kept; the Anthropic ~$1.0T re-mark rides in eps_pct (the old operating eps_pct -12.2% is now the driver moves) and multiple_pct. AI-capex digestion or a lab customer stumble (forecasters' median bear $195): AWS growth toward the low-to-mid 20s while 2027 capex lifts D&amp;A; ~17.5x on NTM EPS ~$11 as ORCL trades, segment multiples cut by the same 24%, and Anthropic prices at ~$1.0T instead of $1.5T (stakes x 0.67). Sheet layout (no stake scenarios): the stake re-mark (-6.95/share) rides in eps_pct -0.121932 -&gt; -0.153619 (P/E leg) and multiple_pct -0.239130 -&gt; -0.265604 (SOTP leg); every leg value is unchanged.</t>
        </is>
      </c>
      <c r="K94" s="44" t="inlineStr">
        <is>
          <t>driver deltas: aws_turn -0.08 %; aws_ebitda_m -0.02; ads_rev -0.04 %</t>
        </is>
      </c>
    </row>
    <row r="95">
      <c r="A95" t="inlineStr">
        <is>
          <t>base</t>
        </is>
      </c>
      <c r="B95" s="24" t="n">
        <v>0.5</v>
      </c>
      <c r="C95" s="24" t="n"/>
      <c r="D95" s="24" t="n"/>
      <c r="E95" s="43" t="n"/>
      <c r="F95" s="24" t="n"/>
      <c r="G95" s="24" t="n"/>
      <c r="H95" s="24" t="n"/>
      <c r="I95" s="24" t="n"/>
      <c r="J95" s="44" t="inlineStr">
        <is>
          <t>[exit k=0.8 2026-10-26: P/E 21.3x -&gt; 22.88x] Equals the reconciled fair value: consensus broadly delivered, AWS ~30% on reserved capacity and the $496B backlog, 23x NTM EPS; Anthropic IPO at ~$1.5T; ventures at their scenario values.</t>
        </is>
      </c>
    </row>
    <row r="96">
      <c r="A96" t="inlineStr">
        <is>
          <t>bull</t>
        </is>
      </c>
      <c r="B96" s="24" t="n">
        <v>0.25</v>
      </c>
      <c r="C96" s="24" t="n"/>
      <c r="D96" s="24" t="n"/>
      <c r="E96" s="43" t="n">
        <v>2.5</v>
      </c>
      <c r="F96" s="24" t="n"/>
      <c r="G96" s="24" t="n">
        <v>0.129685</v>
      </c>
      <c r="H96" s="24" t="n">
        <v>0.019296</v>
      </c>
      <c r="I96" s="24" t="n"/>
      <c r="J96" s="44" t="inlineStr">
        <is>
          <t>Driver restatement 2026-10-22: AWS turnover +6% (2027 AWS ~43%, the story's 35%+), AWS EBITDA margin +1.5 pts (Trainium), ads +3%; 25.5x and segment multiples +11% kept; the Anthropic ~$1.92T re-mark rides in eps_pct (stake part only) and multiple_pct. AWS holds 35%+ with Trainium, FCF inflects (forecasters' median bull $350 before stakes): ~25.5x on NTM EPS ~$13.75, segment multiples +11%, Anthropic at ~$1.92T (Polymarket first-day-close variant; stakes x 1.28). Sheet layout (no stake scenarios): the stake re-mark (+5.53/share) rides in eps_pct +0.097585 -&gt; +0.114898 (P/E leg) and multiple_pct +0.108696 -&gt; +0.129685 (SOTP leg); every leg value is unchanged.</t>
        </is>
      </c>
      <c r="K96" s="44" t="inlineStr">
        <is>
          <t>driver deltas: aws_turn +0.06 %; aws_ebitda_m +0.015; ads_rev +0.03 %</t>
        </is>
      </c>
    </row>
    <row r="98">
      <c r="A98" s="3" t="inlineStr">
        <is>
          <t>Segment build (segment_build)</t>
        </is>
      </c>
      <c r="B98" s="3" t="inlineStr">
        <is>
          <t>Base revenue ($M)</t>
        </is>
      </c>
      <c r="C98" s="3" t="inlineStr">
        <is>
          <t>Driver note (growth and EBIT margin by year: Model tab)</t>
        </is>
      </c>
    </row>
    <row r="99">
      <c r="A99" t="inlineStr">
        <is>
          <t>AWS</t>
        </is>
      </c>
      <c r="B99" s="26" t="n">
        <v>128725</v>
      </c>
      <c r="C99" t="inlineStr"/>
    </row>
    <row r="100">
      <c r="A100" t="inlineStr">
        <is>
          <t>North America + International</t>
        </is>
      </c>
      <c r="B100" s="26" t="n">
        <v>588199</v>
      </c>
      <c r="C100" t="inlineStr"/>
    </row>
    <row r="101">
      <c r="A101" s="19" t="inlineStr">
        <is>
          <t>Sum of segment base revenues</t>
        </is>
      </c>
      <c r="B101" s="25">
        <f>SUM(B99:B100)</f>
        <v/>
      </c>
      <c r="C101">
        <f>IF(ABS(B101/Valuation!$B$50-1)&lt;=0.02,"ties to the last reported net sales (within 2%)","FLAG: does not tie to the last reported net sales")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AMZN: sensitivity tables (bold = current inputs; every cell recalculates from the live model)</t>
        </is>
      </c>
    </row>
    <row r="3">
      <c r="A3" s="19" t="inlineStr">
        <is>
          <t>DCF value per share: WACC (down) x terminal growth (across)</t>
        </is>
      </c>
    </row>
    <row r="4">
      <c r="A4" s="19" t="inlineStr">
        <is>
          <t>WACC \ growth</t>
        </is>
      </c>
      <c r="B4" s="7">
        <f>Valuation!$B$53+(-0.01)</f>
        <v/>
      </c>
      <c r="C4" s="7">
        <f>Valuation!$B$53+(-0.005)</f>
        <v/>
      </c>
      <c r="D4" s="7">
        <f>Valuation!$B$53+(0)</f>
        <v/>
      </c>
      <c r="E4" s="7">
        <f>Valuation!$B$53+(0.005)</f>
        <v/>
      </c>
      <c r="F4" s="7">
        <f>Valuation!$B$53+(0.01)</f>
        <v/>
      </c>
    </row>
    <row r="5">
      <c r="A5" s="7">
        <f>Valuation!$B$51+(-0.01)</f>
        <v/>
      </c>
      <c r="B5" s="9">
        <f>IF($A5-B$4&lt;=0.01,"n/a",((SUMPRODUCT('Calc - research target (12m)'!$C$31:$E$31,'Calc - research target (12m)'!$C$35:$E$35,(1+$A5)^(-('Calc - research target (12m)'!$C$19:$E$19-'Calc - research target (12m)'!$B$13)))+'Calc - research target (12m)'!$E$31*(1+B$4)/($A5-B$4)/(1+$A5)^('Calc - research target (12m)'!$B$16-'Calc - research target (12m)'!$B$13))-'Calc - research target (12m)'!$B$50-'Calc - research target (12m)'!$B$51+'Calc - research target (12m)'!$B$52)/'Calc - research target (12m)'!$B$53)</f>
        <v/>
      </c>
      <c r="C5" s="9">
        <f>IF($A5-C$4&lt;=0.01,"n/a",((SUMPRODUCT('Calc - research target (12m)'!$C$31:$E$31,'Calc - research target (12m)'!$C$35:$E$35,(1+$A5)^(-('Calc - research target (12m)'!$C$19:$E$19-'Calc - research target (12m)'!$B$13)))+'Calc - research target (12m)'!$E$31*(1+C$4)/($A5-C$4)/(1+$A5)^('Calc - research target (12m)'!$B$16-'Calc - research target (12m)'!$B$13))-'Calc - research target (12m)'!$B$50-'Calc - research target (12m)'!$B$51+'Calc - research target (12m)'!$B$52)/'Calc - research target (12m)'!$B$53)</f>
        <v/>
      </c>
      <c r="D5" s="9">
        <f>IF($A5-D$4&lt;=0.01,"n/a",((SUMPRODUCT('Calc - research target (12m)'!$C$31:$E$31,'Calc - research target (12m)'!$C$35:$E$35,(1+$A5)^(-('Calc - research target (12m)'!$C$19:$E$19-'Calc - research target (12m)'!$B$13)))+'Calc - research target (12m)'!$E$31*(1+D$4)/($A5-D$4)/(1+$A5)^('Calc - research target (12m)'!$B$16-'Calc - research target (12m)'!$B$13))-'Calc - research target (12m)'!$B$50-'Calc - research target (12m)'!$B$51+'Calc - research target (12m)'!$B$52)/'Calc - research target (12m)'!$B$53)</f>
        <v/>
      </c>
      <c r="E5" s="9">
        <f>IF($A5-E$4&lt;=0.01,"n/a",((SUMPRODUCT('Calc - research target (12m)'!$C$31:$E$31,'Calc - research target (12m)'!$C$35:$E$35,(1+$A5)^(-('Calc - research target (12m)'!$C$19:$E$19-'Calc - research target (12m)'!$B$13)))+'Calc - research target (12m)'!$E$31*(1+E$4)/($A5-E$4)/(1+$A5)^('Calc - research target (12m)'!$B$16-'Calc - research target (12m)'!$B$13))-'Calc - research target (12m)'!$B$50-'Calc - research target (12m)'!$B$51+'Calc - research target (12m)'!$B$52)/'Calc - research target (12m)'!$B$53)</f>
        <v/>
      </c>
      <c r="F5" s="9">
        <f>IF($A5-F$4&lt;=0.01,"n/a",((SUMPRODUCT('Calc - research target (12m)'!$C$31:$E$31,'Calc - research target (12m)'!$C$35:$E$35,(1+$A5)^(-('Calc - research target (12m)'!$C$19:$E$19-'Calc - research target (12m)'!$B$13)))+'Calc - research target (12m)'!$E$31*(1+F$4)/($A5-F$4)/(1+$A5)^('Calc - research target (12m)'!$B$16-'Calc - research target (12m)'!$B$13))-'Calc - research target (12m)'!$B$50-'Calc - research target (12m)'!$B$51+'Calc - research target (12m)'!$B$52)/'Calc - research target (12m)'!$B$53)</f>
        <v/>
      </c>
    </row>
    <row r="6">
      <c r="A6" s="7">
        <f>Valuation!$B$51+(-0.005)</f>
        <v/>
      </c>
      <c r="B6" s="9">
        <f>IF($A6-B$4&lt;=0.01,"n/a",((SUMPRODUCT('Calc - research target (12m)'!$C$31:$E$31,'Calc - research target (12m)'!$C$35:$E$35,(1+$A6)^(-('Calc - research target (12m)'!$C$19:$E$19-'Calc - research target (12m)'!$B$13)))+'Calc - research target (12m)'!$E$31*(1+B$4)/($A6-B$4)/(1+$A6)^('Calc - research target (12m)'!$B$16-'Calc - research target (12m)'!$B$13))-'Calc - research target (12m)'!$B$50-'Calc - research target (12m)'!$B$51+'Calc - research target (12m)'!$B$52)/'Calc - research target (12m)'!$B$53)</f>
        <v/>
      </c>
      <c r="C6" s="9">
        <f>IF($A6-C$4&lt;=0.01,"n/a",((SUMPRODUCT('Calc - research target (12m)'!$C$31:$E$31,'Calc - research target (12m)'!$C$35:$E$35,(1+$A6)^(-('Calc - research target (12m)'!$C$19:$E$19-'Calc - research target (12m)'!$B$13)))+'Calc - research target (12m)'!$E$31*(1+C$4)/($A6-C$4)/(1+$A6)^('Calc - research target (12m)'!$B$16-'Calc - research target (12m)'!$B$13))-'Calc - research target (12m)'!$B$50-'Calc - research target (12m)'!$B$51+'Calc - research target (12m)'!$B$52)/'Calc - research target (12m)'!$B$53)</f>
        <v/>
      </c>
      <c r="D6" s="9">
        <f>IF($A6-D$4&lt;=0.01,"n/a",((SUMPRODUCT('Calc - research target (12m)'!$C$31:$E$31,'Calc - research target (12m)'!$C$35:$E$35,(1+$A6)^(-('Calc - research target (12m)'!$C$19:$E$19-'Calc - research target (12m)'!$B$13)))+'Calc - research target (12m)'!$E$31*(1+D$4)/($A6-D$4)/(1+$A6)^('Calc - research target (12m)'!$B$16-'Calc - research target (12m)'!$B$13))-'Calc - research target (12m)'!$B$50-'Calc - research target (12m)'!$B$51+'Calc - research target (12m)'!$B$52)/'Calc - research target (12m)'!$B$53)</f>
        <v/>
      </c>
      <c r="E6" s="9">
        <f>IF($A6-E$4&lt;=0.01,"n/a",((SUMPRODUCT('Calc - research target (12m)'!$C$31:$E$31,'Calc - research target (12m)'!$C$35:$E$35,(1+$A6)^(-('Calc - research target (12m)'!$C$19:$E$19-'Calc - research target (12m)'!$B$13)))+'Calc - research target (12m)'!$E$31*(1+E$4)/($A6-E$4)/(1+$A6)^('Calc - research target (12m)'!$B$16-'Calc - research target (12m)'!$B$13))-'Calc - research target (12m)'!$B$50-'Calc - research target (12m)'!$B$51+'Calc - research target (12m)'!$B$52)/'Calc - research target (12m)'!$B$53)</f>
        <v/>
      </c>
      <c r="F6" s="9">
        <f>IF($A6-F$4&lt;=0.01,"n/a",((SUMPRODUCT('Calc - research target (12m)'!$C$31:$E$31,'Calc - research target (12m)'!$C$35:$E$35,(1+$A6)^(-('Calc - research target (12m)'!$C$19:$E$19-'Calc - research target (12m)'!$B$13)))+'Calc - research target (12m)'!$E$31*(1+F$4)/($A6-F$4)/(1+$A6)^('Calc - research target (12m)'!$B$16-'Calc - research target (12m)'!$B$13))-'Calc - research target (12m)'!$B$50-'Calc - research target (12m)'!$B$51+'Calc - research target (12m)'!$B$52)/'Calc - research target (12m)'!$B$53)</f>
        <v/>
      </c>
    </row>
    <row r="7">
      <c r="A7" s="7">
        <f>Valuation!$B$51+(0)</f>
        <v/>
      </c>
      <c r="B7" s="9">
        <f>IF($A7-B$4&lt;=0.01,"n/a",((SUMPRODUCT('Calc - research target (12m)'!$C$31:$E$31,'Calc - research target (12m)'!$C$35:$E$35,(1+$A7)^(-('Calc - research target (12m)'!$C$19:$E$19-'Calc - research target (12m)'!$B$13)))+'Calc - research target (12m)'!$E$31*(1+B$4)/($A7-B$4)/(1+$A7)^('Calc - research target (12m)'!$B$16-'Calc - research target (12m)'!$B$13))-'Calc - research target (12m)'!$B$50-'Calc - research target (12m)'!$B$51+'Calc - research target (12m)'!$B$52)/'Calc - research target (12m)'!$B$53)</f>
        <v/>
      </c>
      <c r="C7" s="9">
        <f>IF($A7-C$4&lt;=0.01,"n/a",((SUMPRODUCT('Calc - research target (12m)'!$C$31:$E$31,'Calc - research target (12m)'!$C$35:$E$35,(1+$A7)^(-('Calc - research target (12m)'!$C$19:$E$19-'Calc - research target (12m)'!$B$13)))+'Calc - research target (12m)'!$E$31*(1+C$4)/($A7-C$4)/(1+$A7)^('Calc - research target (12m)'!$B$16-'Calc - research target (12m)'!$B$13))-'Calc - research target (12m)'!$B$50-'Calc - research target (12m)'!$B$51+'Calc - research target (12m)'!$B$52)/'Calc - research target (12m)'!$B$53)</f>
        <v/>
      </c>
      <c r="D7" s="6">
        <f>IF($A7-D$4&lt;=0.01,"n/a",((SUMPRODUCT('Calc - research target (12m)'!$C$31:$E$31,'Calc - research target (12m)'!$C$35:$E$35,(1+$A7)^(-('Calc - research target (12m)'!$C$19:$E$19-'Calc - research target (12m)'!$B$13)))+'Calc - research target (12m)'!$E$31*(1+D$4)/($A7-D$4)/(1+$A7)^('Calc - research target (12m)'!$B$16-'Calc - research target (12m)'!$B$13))-'Calc - research target (12m)'!$B$50-'Calc - research target (12m)'!$B$51+'Calc - research target (12m)'!$B$52)/'Calc - research target (12m)'!$B$53)</f>
        <v/>
      </c>
      <c r="E7" s="9">
        <f>IF($A7-E$4&lt;=0.01,"n/a",((SUMPRODUCT('Calc - research target (12m)'!$C$31:$E$31,'Calc - research target (12m)'!$C$35:$E$35,(1+$A7)^(-('Calc - research target (12m)'!$C$19:$E$19-'Calc - research target (12m)'!$B$13)))+'Calc - research target (12m)'!$E$31*(1+E$4)/($A7-E$4)/(1+$A7)^('Calc - research target (12m)'!$B$16-'Calc - research target (12m)'!$B$13))-'Calc - research target (12m)'!$B$50-'Calc - research target (12m)'!$B$51+'Calc - research target (12m)'!$B$52)/'Calc - research target (12m)'!$B$53)</f>
        <v/>
      </c>
      <c r="F7" s="9">
        <f>IF($A7-F$4&lt;=0.01,"n/a",((SUMPRODUCT('Calc - research target (12m)'!$C$31:$E$31,'Calc - research target (12m)'!$C$35:$E$35,(1+$A7)^(-('Calc - research target (12m)'!$C$19:$E$19-'Calc - research target (12m)'!$B$13)))+'Calc - research target (12m)'!$E$31*(1+F$4)/($A7-F$4)/(1+$A7)^('Calc - research target (12m)'!$B$16-'Calc - research target (12m)'!$B$13))-'Calc - research target (12m)'!$B$50-'Calc - research target (12m)'!$B$51+'Calc - research target (12m)'!$B$52)/'Calc - research target (12m)'!$B$53)</f>
        <v/>
      </c>
    </row>
    <row r="8">
      <c r="A8" s="7">
        <f>Valuation!$B$51+(0.005)</f>
        <v/>
      </c>
      <c r="B8" s="9">
        <f>IF($A8-B$4&lt;=0.01,"n/a",((SUMPRODUCT('Calc - research target (12m)'!$C$31:$E$31,'Calc - research target (12m)'!$C$35:$E$35,(1+$A8)^(-('Calc - research target (12m)'!$C$19:$E$19-'Calc - research target (12m)'!$B$13)))+'Calc - research target (12m)'!$E$31*(1+B$4)/($A8-B$4)/(1+$A8)^('Calc - research target (12m)'!$B$16-'Calc - research target (12m)'!$B$13))-'Calc - research target (12m)'!$B$50-'Calc - research target (12m)'!$B$51+'Calc - research target (12m)'!$B$52)/'Calc - research target (12m)'!$B$53)</f>
        <v/>
      </c>
      <c r="C8" s="9">
        <f>IF($A8-C$4&lt;=0.01,"n/a",((SUMPRODUCT('Calc - research target (12m)'!$C$31:$E$31,'Calc - research target (12m)'!$C$35:$E$35,(1+$A8)^(-('Calc - research target (12m)'!$C$19:$E$19-'Calc - research target (12m)'!$B$13)))+'Calc - research target (12m)'!$E$31*(1+C$4)/($A8-C$4)/(1+$A8)^('Calc - research target (12m)'!$B$16-'Calc - research target (12m)'!$B$13))-'Calc - research target (12m)'!$B$50-'Calc - research target (12m)'!$B$51+'Calc - research target (12m)'!$B$52)/'Calc - research target (12m)'!$B$53)</f>
        <v/>
      </c>
      <c r="D8" s="9">
        <f>IF($A8-D$4&lt;=0.01,"n/a",((SUMPRODUCT('Calc - research target (12m)'!$C$31:$E$31,'Calc - research target (12m)'!$C$35:$E$35,(1+$A8)^(-('Calc - research target (12m)'!$C$19:$E$19-'Calc - research target (12m)'!$B$13)))+'Calc - research target (12m)'!$E$31*(1+D$4)/($A8-D$4)/(1+$A8)^('Calc - research target (12m)'!$B$16-'Calc - research target (12m)'!$B$13))-'Calc - research target (12m)'!$B$50-'Calc - research target (12m)'!$B$51+'Calc - research target (12m)'!$B$52)/'Calc - research target (12m)'!$B$53)</f>
        <v/>
      </c>
      <c r="E8" s="9">
        <f>IF($A8-E$4&lt;=0.01,"n/a",((SUMPRODUCT('Calc - research target (12m)'!$C$31:$E$31,'Calc - research target (12m)'!$C$35:$E$35,(1+$A8)^(-('Calc - research target (12m)'!$C$19:$E$19-'Calc - research target (12m)'!$B$13)))+'Calc - research target (12m)'!$E$31*(1+E$4)/($A8-E$4)/(1+$A8)^('Calc - research target (12m)'!$B$16-'Calc - research target (12m)'!$B$13))-'Calc - research target (12m)'!$B$50-'Calc - research target (12m)'!$B$51+'Calc - research target (12m)'!$B$52)/'Calc - research target (12m)'!$B$53)</f>
        <v/>
      </c>
      <c r="F8" s="9">
        <f>IF($A8-F$4&lt;=0.01,"n/a",((SUMPRODUCT('Calc - research target (12m)'!$C$31:$E$31,'Calc - research target (12m)'!$C$35:$E$35,(1+$A8)^(-('Calc - research target (12m)'!$C$19:$E$19-'Calc - research target (12m)'!$B$13)))+'Calc - research target (12m)'!$E$31*(1+F$4)/($A8-F$4)/(1+$A8)^('Calc - research target (12m)'!$B$16-'Calc - research target (12m)'!$B$13))-'Calc - research target (12m)'!$B$50-'Calc - research target (12m)'!$B$51+'Calc - research target (12m)'!$B$52)/'Calc - research target (12m)'!$B$53)</f>
        <v/>
      </c>
    </row>
    <row r="9">
      <c r="A9" s="7">
        <f>Valuation!$B$51+(0.01)</f>
        <v/>
      </c>
      <c r="B9" s="9">
        <f>IF($A9-B$4&lt;=0.01,"n/a",((SUMPRODUCT('Calc - research target (12m)'!$C$31:$E$31,'Calc - research target (12m)'!$C$35:$E$35,(1+$A9)^(-('Calc - research target (12m)'!$C$19:$E$19-'Calc - research target (12m)'!$B$13)))+'Calc - research target (12m)'!$E$31*(1+B$4)/($A9-B$4)/(1+$A9)^('Calc - research target (12m)'!$B$16-'Calc - research target (12m)'!$B$13))-'Calc - research target (12m)'!$B$50-'Calc - research target (12m)'!$B$51+'Calc - research target (12m)'!$B$52)/'Calc - research target (12m)'!$B$53)</f>
        <v/>
      </c>
      <c r="C9" s="9">
        <f>IF($A9-C$4&lt;=0.01,"n/a",((SUMPRODUCT('Calc - research target (12m)'!$C$31:$E$31,'Calc - research target (12m)'!$C$35:$E$35,(1+$A9)^(-('Calc - research target (12m)'!$C$19:$E$19-'Calc - research target (12m)'!$B$13)))+'Calc - research target (12m)'!$E$31*(1+C$4)/($A9-C$4)/(1+$A9)^('Calc - research target (12m)'!$B$16-'Calc - research target (12m)'!$B$13))-'Calc - research target (12m)'!$B$50-'Calc - research target (12m)'!$B$51+'Calc - research target (12m)'!$B$52)/'Calc - research target (12m)'!$B$53)</f>
        <v/>
      </c>
      <c r="D9" s="9">
        <f>IF($A9-D$4&lt;=0.01,"n/a",((SUMPRODUCT('Calc - research target (12m)'!$C$31:$E$31,'Calc - research target (12m)'!$C$35:$E$35,(1+$A9)^(-('Calc - research target (12m)'!$C$19:$E$19-'Calc - research target (12m)'!$B$13)))+'Calc - research target (12m)'!$E$31*(1+D$4)/($A9-D$4)/(1+$A9)^('Calc - research target (12m)'!$B$16-'Calc - research target (12m)'!$B$13))-'Calc - research target (12m)'!$B$50-'Calc - research target (12m)'!$B$51+'Calc - research target (12m)'!$B$52)/'Calc - research target (12m)'!$B$53)</f>
        <v/>
      </c>
      <c r="E9" s="9">
        <f>IF($A9-E$4&lt;=0.01,"n/a",((SUMPRODUCT('Calc - research target (12m)'!$C$31:$E$31,'Calc - research target (12m)'!$C$35:$E$35,(1+$A9)^(-('Calc - research target (12m)'!$C$19:$E$19-'Calc - research target (12m)'!$B$13)))+'Calc - research target (12m)'!$E$31*(1+E$4)/($A9-E$4)/(1+$A9)^('Calc - research target (12m)'!$B$16-'Calc - research target (12m)'!$B$13))-'Calc - research target (12m)'!$B$50-'Calc - research target (12m)'!$B$51+'Calc - research target (12m)'!$B$52)/'Calc - research target (12m)'!$B$53)</f>
        <v/>
      </c>
      <c r="F9" s="9">
        <f>IF($A9-F$4&lt;=0.01,"n/a",((SUMPRODUCT('Calc - research target (12m)'!$C$31:$E$31,'Calc - research target (12m)'!$C$35:$E$35,(1+$A9)^(-('Calc - research target (12m)'!$C$19:$E$19-'Calc - research target (12m)'!$B$13)))+'Calc - research target (12m)'!$E$31*(1+F$4)/($A9-F$4)/(1+$A9)^('Calc - research target (12m)'!$B$16-'Calc - research target (12m)'!$B$13))-'Calc - research target (12m)'!$B$50-'Calc - research target (12m)'!$B$51+'Calc - research target (12m)'!$B$52)/'Calc - research target (12m)'!$B$53)</f>
        <v/>
      </c>
    </row>
    <row r="11">
      <c r="A11" s="19" t="inlineStr">
        <is>
          <t>Research target (12m) per share: P/E multiple (down) x stated EPS (across)</t>
        </is>
      </c>
    </row>
    <row r="12">
      <c r="A12" s="19" t="inlineStr">
        <is>
          <t>Multiple \ metric</t>
        </is>
      </c>
      <c r="B12" s="30">
        <f>Valuation!F70*0.9</f>
        <v/>
      </c>
      <c r="C12" s="30">
        <f>Valuation!F70*0.95</f>
        <v/>
      </c>
      <c r="D12" s="30">
        <f>Valuation!F70*1.0</f>
        <v/>
      </c>
      <c r="E12" s="30">
        <f>Valuation!F70*1.05</f>
        <v/>
      </c>
      <c r="F12" s="30">
        <f>Valuation!F70*1.1</f>
        <v/>
      </c>
    </row>
    <row r="13">
      <c r="A13" s="45">
        <f>Valuation!$B$70+(-3)</f>
        <v/>
      </c>
      <c r="B13" s="9">
        <f>((SUMPRODUCT('Calc - research target (12m)'!$F$67:$F$69,'Calc - research target (12m)'!$G$67:$G$69)-'Calc - research target (12m)'!$F$68*'Calc - research target (12m)'!$G$68)+'Calc - research target (12m)'!$G$68*($A13*B$12+'Calc - research target (12m)'!$B$52/'Calc - research target (12m)'!$B$53))/SUM('Calc - research target (12m)'!$G$67:$G$69)</f>
        <v/>
      </c>
      <c r="C13" s="9">
        <f>((SUMPRODUCT('Calc - research target (12m)'!$F$67:$F$69,'Calc - research target (12m)'!$G$67:$G$69)-'Calc - research target (12m)'!$F$68*'Calc - research target (12m)'!$G$68)+'Calc - research target (12m)'!$G$68*($A13*C$12+'Calc - research target (12m)'!$B$52/'Calc - research target (12m)'!$B$53))/SUM('Calc - research target (12m)'!$G$67:$G$69)</f>
        <v/>
      </c>
      <c r="D13" s="9">
        <f>((SUMPRODUCT('Calc - research target (12m)'!$F$67:$F$69,'Calc - research target (12m)'!$G$67:$G$69)-'Calc - research target (12m)'!$F$68*'Calc - research target (12m)'!$G$68)+'Calc - research target (12m)'!$G$68*($A13*D$12+'Calc - research target (12m)'!$B$52/'Calc - research target (12m)'!$B$53))/SUM('Calc - research target (12m)'!$G$67:$G$69)</f>
        <v/>
      </c>
      <c r="E13" s="9">
        <f>((SUMPRODUCT('Calc - research target (12m)'!$F$67:$F$69,'Calc - research target (12m)'!$G$67:$G$69)-'Calc - research target (12m)'!$F$68*'Calc - research target (12m)'!$G$68)+'Calc - research target (12m)'!$G$68*($A13*E$12+'Calc - research target (12m)'!$B$52/'Calc - research target (12m)'!$B$53))/SUM('Calc - research target (12m)'!$G$67:$G$69)</f>
        <v/>
      </c>
      <c r="F13" s="9">
        <f>((SUMPRODUCT('Calc - research target (12m)'!$F$67:$F$69,'Calc - research target (12m)'!$G$67:$G$69)-'Calc - research target (12m)'!$F$68*'Calc - research target (12m)'!$G$68)+'Calc - research target (12m)'!$G$68*($A13*F$12+'Calc - research target (12m)'!$B$52/'Calc - research target (12m)'!$B$53))/SUM('Calc - research target (12m)'!$G$67:$G$69)</f>
        <v/>
      </c>
    </row>
    <row r="14">
      <c r="A14" s="45">
        <f>Valuation!$B$70+(-2)</f>
        <v/>
      </c>
      <c r="B14" s="9">
        <f>((SUMPRODUCT('Calc - research target (12m)'!$F$67:$F$69,'Calc - research target (12m)'!$G$67:$G$69)-'Calc - research target (12m)'!$F$68*'Calc - research target (12m)'!$G$68)+'Calc - research target (12m)'!$G$68*($A14*B$12+'Calc - research target (12m)'!$B$52/'Calc - research target (12m)'!$B$53))/SUM('Calc - research target (12m)'!$G$67:$G$69)</f>
        <v/>
      </c>
      <c r="C14" s="9">
        <f>((SUMPRODUCT('Calc - research target (12m)'!$F$67:$F$69,'Calc - research target (12m)'!$G$67:$G$69)-'Calc - research target (12m)'!$F$68*'Calc - research target (12m)'!$G$68)+'Calc - research target (12m)'!$G$68*($A14*C$12+'Calc - research target (12m)'!$B$52/'Calc - research target (12m)'!$B$53))/SUM('Calc - research target (12m)'!$G$67:$G$69)</f>
        <v/>
      </c>
      <c r="D14" s="9">
        <f>((SUMPRODUCT('Calc - research target (12m)'!$F$67:$F$69,'Calc - research target (12m)'!$G$67:$G$69)-'Calc - research target (12m)'!$F$68*'Calc - research target (12m)'!$G$68)+'Calc - research target (12m)'!$G$68*($A14*D$12+'Calc - research target (12m)'!$B$52/'Calc - research target (12m)'!$B$53))/SUM('Calc - research target (12m)'!$G$67:$G$69)</f>
        <v/>
      </c>
      <c r="E14" s="9">
        <f>((SUMPRODUCT('Calc - research target (12m)'!$F$67:$F$69,'Calc - research target (12m)'!$G$67:$G$69)-'Calc - research target (12m)'!$F$68*'Calc - research target (12m)'!$G$68)+'Calc - research target (12m)'!$G$68*($A14*E$12+'Calc - research target (12m)'!$B$52/'Calc - research target (12m)'!$B$53))/SUM('Calc - research target (12m)'!$G$67:$G$69)</f>
        <v/>
      </c>
      <c r="F14" s="9">
        <f>((SUMPRODUCT('Calc - research target (12m)'!$F$67:$F$69,'Calc - research target (12m)'!$G$67:$G$69)-'Calc - research target (12m)'!$F$68*'Calc - research target (12m)'!$G$68)+'Calc - research target (12m)'!$G$68*($A14*F$12+'Calc - research target (12m)'!$B$52/'Calc - research target (12m)'!$B$53))/SUM('Calc - research target (12m)'!$G$67:$G$69)</f>
        <v/>
      </c>
    </row>
    <row r="15">
      <c r="A15" s="45">
        <f>Valuation!$B$70+(-1)</f>
        <v/>
      </c>
      <c r="B15" s="9">
        <f>((SUMPRODUCT('Calc - research target (12m)'!$F$67:$F$69,'Calc - research target (12m)'!$G$67:$G$69)-'Calc - research target (12m)'!$F$68*'Calc - research target (12m)'!$G$68)+'Calc - research target (12m)'!$G$68*($A15*B$12+'Calc - research target (12m)'!$B$52/'Calc - research target (12m)'!$B$53))/SUM('Calc - research target (12m)'!$G$67:$G$69)</f>
        <v/>
      </c>
      <c r="C15" s="9">
        <f>((SUMPRODUCT('Calc - research target (12m)'!$F$67:$F$69,'Calc - research target (12m)'!$G$67:$G$69)-'Calc - research target (12m)'!$F$68*'Calc - research target (12m)'!$G$68)+'Calc - research target (12m)'!$G$68*($A15*C$12+'Calc - research target (12m)'!$B$52/'Calc - research target (12m)'!$B$53))/SUM('Calc - research target (12m)'!$G$67:$G$69)</f>
        <v/>
      </c>
      <c r="D15" s="9">
        <f>((SUMPRODUCT('Calc - research target (12m)'!$F$67:$F$69,'Calc - research target (12m)'!$G$67:$G$69)-'Calc - research target (12m)'!$F$68*'Calc - research target (12m)'!$G$68)+'Calc - research target (12m)'!$G$68*($A15*D$12+'Calc - research target (12m)'!$B$52/'Calc - research target (12m)'!$B$53))/SUM('Calc - research target (12m)'!$G$67:$G$69)</f>
        <v/>
      </c>
      <c r="E15" s="9">
        <f>((SUMPRODUCT('Calc - research target (12m)'!$F$67:$F$69,'Calc - research target (12m)'!$G$67:$G$69)-'Calc - research target (12m)'!$F$68*'Calc - research target (12m)'!$G$68)+'Calc - research target (12m)'!$G$68*($A15*E$12+'Calc - research target (12m)'!$B$52/'Calc - research target (12m)'!$B$53))/SUM('Calc - research target (12m)'!$G$67:$G$69)</f>
        <v/>
      </c>
      <c r="F15" s="9">
        <f>((SUMPRODUCT('Calc - research target (12m)'!$F$67:$F$69,'Calc - research target (12m)'!$G$67:$G$69)-'Calc - research target (12m)'!$F$68*'Calc - research target (12m)'!$G$68)+'Calc - research target (12m)'!$G$68*($A15*F$12+'Calc - research target (12m)'!$B$52/'Calc - research target (12m)'!$B$53))/SUM('Calc - research target (12m)'!$G$67:$G$69)</f>
        <v/>
      </c>
    </row>
    <row r="16">
      <c r="A16" s="45">
        <f>Valuation!$B$70+(0)</f>
        <v/>
      </c>
      <c r="B16" s="9">
        <f>((SUMPRODUCT('Calc - research target (12m)'!$F$67:$F$69,'Calc - research target (12m)'!$G$67:$G$69)-'Calc - research target (12m)'!$F$68*'Calc - research target (12m)'!$G$68)+'Calc - research target (12m)'!$G$68*($A16*B$12+'Calc - research target (12m)'!$B$52/'Calc - research target (12m)'!$B$53))/SUM('Calc - research target (12m)'!$G$67:$G$69)</f>
        <v/>
      </c>
      <c r="C16" s="9">
        <f>((SUMPRODUCT('Calc - research target (12m)'!$F$67:$F$69,'Calc - research target (12m)'!$G$67:$G$69)-'Calc - research target (12m)'!$F$68*'Calc - research target (12m)'!$G$68)+'Calc - research target (12m)'!$G$68*($A16*C$12+'Calc - research target (12m)'!$B$52/'Calc - research target (12m)'!$B$53))/SUM('Calc - research target (12m)'!$G$67:$G$69)</f>
        <v/>
      </c>
      <c r="D16" s="6">
        <f>((SUMPRODUCT('Calc - research target (12m)'!$F$67:$F$69,'Calc - research target (12m)'!$G$67:$G$69)-'Calc - research target (12m)'!$F$68*'Calc - research target (12m)'!$G$68)+'Calc - research target (12m)'!$G$68*($A16*D$12+'Calc - research target (12m)'!$B$52/'Calc - research target (12m)'!$B$53))/SUM('Calc - research target (12m)'!$G$67:$G$69)</f>
        <v/>
      </c>
      <c r="E16" s="9">
        <f>((SUMPRODUCT('Calc - research target (12m)'!$F$67:$F$69,'Calc - research target (12m)'!$G$67:$G$69)-'Calc - research target (12m)'!$F$68*'Calc - research target (12m)'!$G$68)+'Calc - research target (12m)'!$G$68*($A16*E$12+'Calc - research target (12m)'!$B$52/'Calc - research target (12m)'!$B$53))/SUM('Calc - research target (12m)'!$G$67:$G$69)</f>
        <v/>
      </c>
      <c r="F16" s="9">
        <f>((SUMPRODUCT('Calc - research target (12m)'!$F$67:$F$69,'Calc - research target (12m)'!$G$67:$G$69)-'Calc - research target (12m)'!$F$68*'Calc - research target (12m)'!$G$68)+'Calc - research target (12m)'!$G$68*($A16*F$12+'Calc - research target (12m)'!$B$52/'Calc - research target (12m)'!$B$53))/SUM('Calc - research target (12m)'!$G$67:$G$69)</f>
        <v/>
      </c>
    </row>
    <row r="17">
      <c r="A17" s="45">
        <f>Valuation!$B$70+(1)</f>
        <v/>
      </c>
      <c r="B17" s="9">
        <f>((SUMPRODUCT('Calc - research target (12m)'!$F$67:$F$69,'Calc - research target (12m)'!$G$67:$G$69)-'Calc - research target (12m)'!$F$68*'Calc - research target (12m)'!$G$68)+'Calc - research target (12m)'!$G$68*($A17*B$12+'Calc - research target (12m)'!$B$52/'Calc - research target (12m)'!$B$53))/SUM('Calc - research target (12m)'!$G$67:$G$69)</f>
        <v/>
      </c>
      <c r="C17" s="9">
        <f>((SUMPRODUCT('Calc - research target (12m)'!$F$67:$F$69,'Calc - research target (12m)'!$G$67:$G$69)-'Calc - research target (12m)'!$F$68*'Calc - research target (12m)'!$G$68)+'Calc - research target (12m)'!$G$68*($A17*C$12+'Calc - research target (12m)'!$B$52/'Calc - research target (12m)'!$B$53))/SUM('Calc - research target (12m)'!$G$67:$G$69)</f>
        <v/>
      </c>
      <c r="D17" s="9">
        <f>((SUMPRODUCT('Calc - research target (12m)'!$F$67:$F$69,'Calc - research target (12m)'!$G$67:$G$69)-'Calc - research target (12m)'!$F$68*'Calc - research target (12m)'!$G$68)+'Calc - research target (12m)'!$G$68*($A17*D$12+'Calc - research target (12m)'!$B$52/'Calc - research target (12m)'!$B$53))/SUM('Calc - research target (12m)'!$G$67:$G$69)</f>
        <v/>
      </c>
      <c r="E17" s="9">
        <f>((SUMPRODUCT('Calc - research target (12m)'!$F$67:$F$69,'Calc - research target (12m)'!$G$67:$G$69)-'Calc - research target (12m)'!$F$68*'Calc - research target (12m)'!$G$68)+'Calc - research target (12m)'!$G$68*($A17*E$12+'Calc - research target (12m)'!$B$52/'Calc - research target (12m)'!$B$53))/SUM('Calc - research target (12m)'!$G$67:$G$69)</f>
        <v/>
      </c>
      <c r="F17" s="9">
        <f>((SUMPRODUCT('Calc - research target (12m)'!$F$67:$F$69,'Calc - research target (12m)'!$G$67:$G$69)-'Calc - research target (12m)'!$F$68*'Calc - research target (12m)'!$G$68)+'Calc - research target (12m)'!$G$68*($A17*F$12+'Calc - research target (12m)'!$B$52/'Calc - research target (12m)'!$B$53))/SUM('Calc - research target (12m)'!$G$67:$G$69)</f>
        <v/>
      </c>
    </row>
    <row r="18">
      <c r="A18" s="45">
        <f>Valuation!$B$70+(2)</f>
        <v/>
      </c>
      <c r="B18" s="9">
        <f>((SUMPRODUCT('Calc - research target (12m)'!$F$67:$F$69,'Calc - research target (12m)'!$G$67:$G$69)-'Calc - research target (12m)'!$F$68*'Calc - research target (12m)'!$G$68)+'Calc - research target (12m)'!$G$68*($A18*B$12+'Calc - research target (12m)'!$B$52/'Calc - research target (12m)'!$B$53))/SUM('Calc - research target (12m)'!$G$67:$G$69)</f>
        <v/>
      </c>
      <c r="C18" s="9">
        <f>((SUMPRODUCT('Calc - research target (12m)'!$F$67:$F$69,'Calc - research target (12m)'!$G$67:$G$69)-'Calc - research target (12m)'!$F$68*'Calc - research target (12m)'!$G$68)+'Calc - research target (12m)'!$G$68*($A18*C$12+'Calc - research target (12m)'!$B$52/'Calc - research target (12m)'!$B$53))/SUM('Calc - research target (12m)'!$G$67:$G$69)</f>
        <v/>
      </c>
      <c r="D18" s="9">
        <f>((SUMPRODUCT('Calc - research target (12m)'!$F$67:$F$69,'Calc - research target (12m)'!$G$67:$G$69)-'Calc - research target (12m)'!$F$68*'Calc - research target (12m)'!$G$68)+'Calc - research target (12m)'!$G$68*($A18*D$12+'Calc - research target (12m)'!$B$52/'Calc - research target (12m)'!$B$53))/SUM('Calc - research target (12m)'!$G$67:$G$69)</f>
        <v/>
      </c>
      <c r="E18" s="9">
        <f>((SUMPRODUCT('Calc - research target (12m)'!$F$67:$F$69,'Calc - research target (12m)'!$G$67:$G$69)-'Calc - research target (12m)'!$F$68*'Calc - research target (12m)'!$G$68)+'Calc - research target (12m)'!$G$68*($A18*E$12+'Calc - research target (12m)'!$B$52/'Calc - research target (12m)'!$B$53))/SUM('Calc - research target (12m)'!$G$67:$G$69)</f>
        <v/>
      </c>
      <c r="F18" s="9">
        <f>((SUMPRODUCT('Calc - research target (12m)'!$F$67:$F$69,'Calc - research target (12m)'!$G$67:$G$69)-'Calc - research target (12m)'!$F$68*'Calc - research target (12m)'!$G$68)+'Calc - research target (12m)'!$G$68*($A18*F$12+'Calc - research target (12m)'!$B$52/'Calc - research target (12m)'!$B$53))/SUM('Calc - research target (12m)'!$G$67:$G$69)</f>
        <v/>
      </c>
    </row>
    <row r="19">
      <c r="A19" s="45">
        <f>Valuation!$B$70+(3)</f>
        <v/>
      </c>
      <c r="B19" s="9">
        <f>((SUMPRODUCT('Calc - research target (12m)'!$F$67:$F$69,'Calc - research target (12m)'!$G$67:$G$69)-'Calc - research target (12m)'!$F$68*'Calc - research target (12m)'!$G$68)+'Calc - research target (12m)'!$G$68*($A19*B$12+'Calc - research target (12m)'!$B$52/'Calc - research target (12m)'!$B$53))/SUM('Calc - research target (12m)'!$G$67:$G$69)</f>
        <v/>
      </c>
      <c r="C19" s="9">
        <f>((SUMPRODUCT('Calc - research target (12m)'!$F$67:$F$69,'Calc - research target (12m)'!$G$67:$G$69)-'Calc - research target (12m)'!$F$68*'Calc - research target (12m)'!$G$68)+'Calc - research target (12m)'!$G$68*($A19*C$12+'Calc - research target (12m)'!$B$52/'Calc - research target (12m)'!$B$53))/SUM('Calc - research target (12m)'!$G$67:$G$69)</f>
        <v/>
      </c>
      <c r="D19" s="9">
        <f>((SUMPRODUCT('Calc - research target (12m)'!$F$67:$F$69,'Calc - research target (12m)'!$G$67:$G$69)-'Calc - research target (12m)'!$F$68*'Calc - research target (12m)'!$G$68)+'Calc - research target (12m)'!$G$68*($A19*D$12+'Calc - research target (12m)'!$B$52/'Calc - research target (12m)'!$B$53))/SUM('Calc - research target (12m)'!$G$67:$G$69)</f>
        <v/>
      </c>
      <c r="E19" s="9">
        <f>((SUMPRODUCT('Calc - research target (12m)'!$F$67:$F$69,'Calc - research target (12m)'!$G$67:$G$69)-'Calc - research target (12m)'!$F$68*'Calc - research target (12m)'!$G$68)+'Calc - research target (12m)'!$G$68*($A19*E$12+'Calc - research target (12m)'!$B$52/'Calc - research target (12m)'!$B$53))/SUM('Calc - research target (12m)'!$G$67:$G$69)</f>
        <v/>
      </c>
      <c r="F19" s="9">
        <f>((SUMPRODUCT('Calc - research target (12m)'!$F$67:$F$69,'Calc - research target (12m)'!$G$67:$G$69)-'Calc - research target (12m)'!$F$68*'Calc - research target (12m)'!$G$68)+'Calc - research target (12m)'!$G$68*($A19*F$12+'Calc - research target (12m)'!$B$52/'Calc - research target (12m)'!$B$53))/SUM('Calc - research target (12m)'!$G$67:$G$69)</f>
        <v/>
      </c>
    </row>
    <row r="22">
      <c r="A22" s="19" t="inlineStr">
        <is>
          <t>FY2027E diluted EPS: revenue growth change in every year (down) x EBIT margin change (across)</t>
        </is>
      </c>
    </row>
    <row r="23">
      <c r="A23" s="19" t="inlineStr">
        <is>
          <t>Growth Δ \ margin Δ</t>
        </is>
      </c>
      <c r="B23" s="46" t="n">
        <v>-0.01</v>
      </c>
      <c r="C23" s="46" t="n">
        <v>-0.005</v>
      </c>
      <c r="D23" s="46" t="n">
        <v>0</v>
      </c>
      <c r="E23" s="46" t="n">
        <v>0.005</v>
      </c>
      <c r="F23" s="46" t="n">
        <v>0.01</v>
      </c>
    </row>
    <row r="24">
      <c r="A24" s="46" t="n">
        <v>-0.02</v>
      </c>
      <c r="B24" s="29">
        <f>(Valuation!$B$99*(1+Model!E12+$A24)*(1+Model!F12+$A24)*(Model!F14+B$23)+Valuation!$B$100*(1+Model!E16+$A24)*(1+Model!F16+$A24)*(Model!F18+B$23)+Model!F21+Model!F33)*(1-Model!F63)/Model!F40</f>
        <v/>
      </c>
      <c r="C24" s="29">
        <f>(Valuation!$B$99*(1+Model!E12+$A24)*(1+Model!F12+$A24)*(Model!F14+C$23)+Valuation!$B$100*(1+Model!E16+$A24)*(1+Model!F16+$A24)*(Model!F18+C$23)+Model!F21+Model!F33)*(1-Model!F63)/Model!F40</f>
        <v/>
      </c>
      <c r="D24" s="29">
        <f>(Valuation!$B$99*(1+Model!E12+$A24)*(1+Model!F12+$A24)*(Model!F14+D$23)+Valuation!$B$100*(1+Model!E16+$A24)*(1+Model!F16+$A24)*(Model!F18+D$23)+Model!F21+Model!F33)*(1-Model!F63)/Model!F40</f>
        <v/>
      </c>
      <c r="E24" s="29">
        <f>(Valuation!$B$99*(1+Model!E12+$A24)*(1+Model!F12+$A24)*(Model!F14+E$23)+Valuation!$B$100*(1+Model!E16+$A24)*(1+Model!F16+$A24)*(Model!F18+E$23)+Model!F21+Model!F33)*(1-Model!F63)/Model!F40</f>
        <v/>
      </c>
      <c r="F24" s="29">
        <f>(Valuation!$B$99*(1+Model!E12+$A24)*(1+Model!F12+$A24)*(Model!F14+F$23)+Valuation!$B$100*(1+Model!E16+$A24)*(1+Model!F16+$A24)*(Model!F18+F$23)+Model!F21+Model!F33)*(1-Model!F63)/Model!F40</f>
        <v/>
      </c>
    </row>
    <row r="25">
      <c r="A25" s="46" t="n">
        <v>-0.01</v>
      </c>
      <c r="B25" s="29">
        <f>(Valuation!$B$99*(1+Model!E12+$A25)*(1+Model!F12+$A25)*(Model!F14+B$23)+Valuation!$B$100*(1+Model!E16+$A25)*(1+Model!F16+$A25)*(Model!F18+B$23)+Model!F21+Model!F33)*(1-Model!F63)/Model!F40</f>
        <v/>
      </c>
      <c r="C25" s="29">
        <f>(Valuation!$B$99*(1+Model!E12+$A25)*(1+Model!F12+$A25)*(Model!F14+C$23)+Valuation!$B$100*(1+Model!E16+$A25)*(1+Model!F16+$A25)*(Model!F18+C$23)+Model!F21+Model!F33)*(1-Model!F63)/Model!F40</f>
        <v/>
      </c>
      <c r="D25" s="29">
        <f>(Valuation!$B$99*(1+Model!E12+$A25)*(1+Model!F12+$A25)*(Model!F14+D$23)+Valuation!$B$100*(1+Model!E16+$A25)*(1+Model!F16+$A25)*(Model!F18+D$23)+Model!F21+Model!F33)*(1-Model!F63)/Model!F40</f>
        <v/>
      </c>
      <c r="E25" s="29">
        <f>(Valuation!$B$99*(1+Model!E12+$A25)*(1+Model!F12+$A25)*(Model!F14+E$23)+Valuation!$B$100*(1+Model!E16+$A25)*(1+Model!F16+$A25)*(Model!F18+E$23)+Model!F21+Model!F33)*(1-Model!F63)/Model!F40</f>
        <v/>
      </c>
      <c r="F25" s="29">
        <f>(Valuation!$B$99*(1+Model!E12+$A25)*(1+Model!F12+$A25)*(Model!F14+F$23)+Valuation!$B$100*(1+Model!E16+$A25)*(1+Model!F16+$A25)*(Model!F18+F$23)+Model!F21+Model!F33)*(1-Model!F63)/Model!F40</f>
        <v/>
      </c>
    </row>
    <row r="26">
      <c r="A26" s="46" t="n">
        <v>0</v>
      </c>
      <c r="B26" s="29">
        <f>(Valuation!$B$99*(1+Model!E12+$A26)*(1+Model!F12+$A26)*(Model!F14+B$23)+Valuation!$B$100*(1+Model!E16+$A26)*(1+Model!F16+$A26)*(Model!F18+B$23)+Model!F21+Model!F33)*(1-Model!F63)/Model!F40</f>
        <v/>
      </c>
      <c r="C26" s="29">
        <f>(Valuation!$B$99*(1+Model!E12+$A26)*(1+Model!F12+$A26)*(Model!F14+C$23)+Valuation!$B$100*(1+Model!E16+$A26)*(1+Model!F16+$A26)*(Model!F18+C$23)+Model!F21+Model!F33)*(1-Model!F63)/Model!F40</f>
        <v/>
      </c>
      <c r="D26" s="30">
        <f>(Valuation!$B$99*(1+Model!E12+$A26)*(1+Model!F12+$A26)*(Model!F14+D$23)+Valuation!$B$100*(1+Model!E16+$A26)*(1+Model!F16+$A26)*(Model!F18+D$23)+Model!F21+Model!F33)*(1-Model!F63)/Model!F40</f>
        <v/>
      </c>
      <c r="E26" s="29">
        <f>(Valuation!$B$99*(1+Model!E12+$A26)*(1+Model!F12+$A26)*(Model!F14+E$23)+Valuation!$B$100*(1+Model!E16+$A26)*(1+Model!F16+$A26)*(Model!F18+E$23)+Model!F21+Model!F33)*(1-Model!F63)/Model!F40</f>
        <v/>
      </c>
      <c r="F26" s="29">
        <f>(Valuation!$B$99*(1+Model!E12+$A26)*(1+Model!F12+$A26)*(Model!F14+F$23)+Valuation!$B$100*(1+Model!E16+$A26)*(1+Model!F16+$A26)*(Model!F18+F$23)+Model!F21+Model!F33)*(1-Model!F63)/Model!F40</f>
        <v/>
      </c>
    </row>
    <row r="27">
      <c r="A27" s="46" t="n">
        <v>0.01</v>
      </c>
      <c r="B27" s="29">
        <f>(Valuation!$B$99*(1+Model!E12+$A27)*(1+Model!F12+$A27)*(Model!F14+B$23)+Valuation!$B$100*(1+Model!E16+$A27)*(1+Model!F16+$A27)*(Model!F18+B$23)+Model!F21+Model!F33)*(1-Model!F63)/Model!F40</f>
        <v/>
      </c>
      <c r="C27" s="29">
        <f>(Valuation!$B$99*(1+Model!E12+$A27)*(1+Model!F12+$A27)*(Model!F14+C$23)+Valuation!$B$100*(1+Model!E16+$A27)*(1+Model!F16+$A27)*(Model!F18+C$23)+Model!F21+Model!F33)*(1-Model!F63)/Model!F40</f>
        <v/>
      </c>
      <c r="D27" s="29">
        <f>(Valuation!$B$99*(1+Model!E12+$A27)*(1+Model!F12+$A27)*(Model!F14+D$23)+Valuation!$B$100*(1+Model!E16+$A27)*(1+Model!F16+$A27)*(Model!F18+D$23)+Model!F21+Model!F33)*(1-Model!F63)/Model!F40</f>
        <v/>
      </c>
      <c r="E27" s="29">
        <f>(Valuation!$B$99*(1+Model!E12+$A27)*(1+Model!F12+$A27)*(Model!F14+E$23)+Valuation!$B$100*(1+Model!E16+$A27)*(1+Model!F16+$A27)*(Model!F18+E$23)+Model!F21+Model!F33)*(1-Model!F63)/Model!F40</f>
        <v/>
      </c>
      <c r="F27" s="29">
        <f>(Valuation!$B$99*(1+Model!E12+$A27)*(1+Model!F12+$A27)*(Model!F14+F$23)+Valuation!$B$100*(1+Model!E16+$A27)*(1+Model!F16+$A27)*(Model!F18+F$23)+Model!F21+Model!F33)*(1-Model!F63)/Model!F40</f>
        <v/>
      </c>
    </row>
    <row r="28">
      <c r="A28" s="46" t="n">
        <v>0.02</v>
      </c>
      <c r="B28" s="29">
        <f>(Valuation!$B$99*(1+Model!E12+$A28)*(1+Model!F12+$A28)*(Model!F14+B$23)+Valuation!$B$100*(1+Model!E16+$A28)*(1+Model!F16+$A28)*(Model!F18+B$23)+Model!F21+Model!F33)*(1-Model!F63)/Model!F40</f>
        <v/>
      </c>
      <c r="C28" s="29">
        <f>(Valuation!$B$99*(1+Model!E12+$A28)*(1+Model!F12+$A28)*(Model!F14+C$23)+Valuation!$B$100*(1+Model!E16+$A28)*(1+Model!F16+$A28)*(Model!F18+C$23)+Model!F21+Model!F33)*(1-Model!F63)/Model!F40</f>
        <v/>
      </c>
      <c r="D28" s="29">
        <f>(Valuation!$B$99*(1+Model!E12+$A28)*(1+Model!F12+$A28)*(Model!F14+D$23)+Valuation!$B$100*(1+Model!E16+$A28)*(1+Model!F16+$A28)*(Model!F18+D$23)+Model!F21+Model!F33)*(1-Model!F63)/Model!F40</f>
        <v/>
      </c>
      <c r="E28" s="29">
        <f>(Valuation!$B$99*(1+Model!E12+$A28)*(1+Model!F12+$A28)*(Model!F14+E$23)+Valuation!$B$100*(1+Model!E16+$A28)*(1+Model!F16+$A28)*(Model!F18+E$23)+Model!F21+Model!F33)*(1-Model!F63)/Model!F40</f>
        <v/>
      </c>
      <c r="F28" s="29">
        <f>(Valuation!$B$99*(1+Model!E12+$A28)*(1+Model!F12+$A28)*(Model!F14+F$23)+Valuation!$B$100*(1+Model!E16+$A28)*(1+Model!F16+$A28)*(Model!F18+F$23)+Model!F21+Model!F33)*(1-Model!F63)/Model!F40</f>
        <v/>
      </c>
    </row>
    <row r="30">
      <c r="A30" s="2" t="inlineStr">
        <is>
          <t>Net interest and the share count are held at the base case in table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0"/>
  <sheetViews>
    <sheetView showGridLines="0" workbookViewId="0">
      <selection activeCell="A1" sqref="A1"/>
    </sheetView>
  </sheetViews>
  <sheetFormatPr baseColWidth="8" defaultRowHeight="15"/>
  <cols>
    <col width="26" customWidth="1" min="1" max="1"/>
    <col width="13" customWidth="1" min="2" max="2"/>
    <col width="13" customWidth="1" min="3" max="3"/>
    <col width="6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AMZN: 12-month distribution (mix of lognormals around each scenario value)</t>
        </is>
      </c>
    </row>
    <row r="3">
      <c r="A3" s="3" t="inlineStr">
        <is>
          <t>Scenario</t>
        </is>
      </c>
      <c r="B3" s="3" t="inlineStr">
        <is>
          <t>Probability</t>
        </is>
      </c>
      <c r="C3" s="3" t="inlineStr">
        <is>
          <t>Value at target date</t>
        </is>
      </c>
      <c r="D3" s="3" t="inlineStr">
        <is>
          <t>Story</t>
        </is>
      </c>
    </row>
    <row r="4">
      <c r="A4" t="inlineStr">
        <is>
          <t>bear</t>
        </is>
      </c>
      <c r="B4" s="12">
        <f>Valuation!B94</f>
        <v/>
      </c>
      <c r="C4" s="4">
        <f>'Calc - bear'!$F$70</f>
        <v/>
      </c>
      <c r="D4">
        <f>Valuation!J94</f>
        <v/>
      </c>
    </row>
    <row r="5">
      <c r="A5" t="inlineStr">
        <is>
          <t>base</t>
        </is>
      </c>
      <c r="B5" s="12">
        <f>Valuation!B95</f>
        <v/>
      </c>
      <c r="C5" s="4">
        <f>'Calc - base'!$F$70</f>
        <v/>
      </c>
      <c r="D5">
        <f>Valuation!J95</f>
        <v/>
      </c>
    </row>
    <row r="6">
      <c r="A6" t="inlineStr">
        <is>
          <t>bull</t>
        </is>
      </c>
      <c r="B6" s="12">
        <f>Valuation!B96</f>
        <v/>
      </c>
      <c r="C6" s="4">
        <f>'Calc - bull'!$F$70</f>
        <v/>
      </c>
      <c r="D6">
        <f>Valuation!J96</f>
        <v/>
      </c>
    </row>
    <row r="8">
      <c r="A8" t="inlineStr">
        <is>
          <t>Probabilities sum to</t>
        </is>
      </c>
      <c r="B8" s="18">
        <f>SUM(B4:B6)</f>
        <v/>
      </c>
    </row>
    <row r="9">
      <c r="A9" t="inlineStr">
        <is>
          <t>Spread within each scenario</t>
        </is>
      </c>
      <c r="B9" s="12">
        <f>Valuation!$B$66</f>
        <v/>
      </c>
    </row>
    <row r="10">
      <c r="A10" t="inlineStr">
        <is>
          <t>Probability-weighted mean</t>
        </is>
      </c>
      <c r="B10" s="9">
        <f>($B$4*$C$4+$B$5*$C$5+$B$6*$C$6)*EXP($B$9^2/2)</f>
        <v/>
      </c>
    </row>
    <row r="12">
      <c r="A12" s="3" t="inlineStr">
        <is>
          <t>Quantile</t>
        </is>
      </c>
      <c r="B12" s="3" t="inlineStr">
        <is>
          <t>Price</t>
        </is>
      </c>
    </row>
    <row r="13">
      <c r="A13" t="inlineStr">
        <is>
          <t>Median (model target)</t>
        </is>
      </c>
      <c r="B13" s="9">
        <f>SQRT(A60*B60)</f>
        <v/>
      </c>
    </row>
    <row r="14">
      <c r="A14" t="inlineStr">
        <is>
          <t>10th percentile</t>
        </is>
      </c>
      <c r="B14" s="9">
        <f>SQRT(D60*E60)</f>
        <v/>
      </c>
    </row>
    <row r="15">
      <c r="A15" t="inlineStr">
        <is>
          <t>25th percentile</t>
        </is>
      </c>
      <c r="B15" s="9">
        <f>SQRT(G60*H60)</f>
        <v/>
      </c>
    </row>
    <row r="16">
      <c r="A16" t="inlineStr">
        <is>
          <t>75th percentile</t>
        </is>
      </c>
      <c r="B16" s="9">
        <f>SQRT(J60*K60)</f>
        <v/>
      </c>
    </row>
    <row r="17">
      <c r="A17" t="inlineStr">
        <is>
          <t>90th percentile</t>
        </is>
      </c>
      <c r="B17" s="9">
        <f>SQRT(M60*N60)</f>
        <v/>
      </c>
    </row>
    <row r="19">
      <c r="A19" s="2" t="inlineStr">
        <is>
          <t>Each quantile solved by bisection (block: low, high, probability above the midpoint)</t>
        </is>
      </c>
    </row>
    <row r="20">
      <c r="A20" s="3" t="inlineStr">
        <is>
          <t>Median (model target): low</t>
        </is>
      </c>
      <c r="B20" s="3" t="inlineStr">
        <is>
          <t>high</t>
        </is>
      </c>
      <c r="C20" s="3" t="inlineStr">
        <is>
          <t>P(above mid)</t>
        </is>
      </c>
      <c r="D20" s="3" t="inlineStr">
        <is>
          <t>10th percentile: low</t>
        </is>
      </c>
      <c r="E20" s="3" t="inlineStr">
        <is>
          <t>high</t>
        </is>
      </c>
      <c r="F20" s="3" t="inlineStr">
        <is>
          <t>P(above mid)</t>
        </is>
      </c>
      <c r="G20" s="3" t="inlineStr">
        <is>
          <t>25th percentile: low</t>
        </is>
      </c>
      <c r="H20" s="3" t="inlineStr">
        <is>
          <t>high</t>
        </is>
      </c>
      <c r="I20" s="3" t="inlineStr">
        <is>
          <t>P(above mid)</t>
        </is>
      </c>
      <c r="J20" s="3" t="inlineStr">
        <is>
          <t>75th percentile: low</t>
        </is>
      </c>
      <c r="K20" s="3" t="inlineStr">
        <is>
          <t>high</t>
        </is>
      </c>
      <c r="L20" s="3" t="inlineStr">
        <is>
          <t>P(above mid)</t>
        </is>
      </c>
      <c r="M20" s="3" t="inlineStr">
        <is>
          <t>90th percentile: low</t>
        </is>
      </c>
      <c r="N20" s="3" t="inlineStr">
        <is>
          <t>high</t>
        </is>
      </c>
      <c r="O20" s="3" t="inlineStr">
        <is>
          <t>P(above mid)</t>
        </is>
      </c>
    </row>
    <row r="21">
      <c r="A21" s="9">
        <f>MIN($C$4,$C$5,$C$6)*0.2</f>
        <v/>
      </c>
      <c r="B21" s="9">
        <f>MAX($C$4,$C$5,$C$6)*4</f>
        <v/>
      </c>
      <c r="C21" s="47">
        <f>SUMPRODUCT($B$4:$B$6,1-NORMSDIST((LN(SQRT(A21*B21))-LN($C$4:$C$6))/$B$9))</f>
        <v/>
      </c>
      <c r="D21" s="9">
        <f>MIN($C$4,$C$5,$C$6)*0.2</f>
        <v/>
      </c>
      <c r="E21" s="9">
        <f>MAX($C$4,$C$5,$C$6)*4</f>
        <v/>
      </c>
      <c r="F21" s="47">
        <f>SUMPRODUCT($B$4:$B$6,1-NORMSDIST((LN(SQRT(D21*E21))-LN($C$4:$C$6))/$B$9))</f>
        <v/>
      </c>
      <c r="G21" s="9">
        <f>MIN($C$4,$C$5,$C$6)*0.2</f>
        <v/>
      </c>
      <c r="H21" s="9">
        <f>MAX($C$4,$C$5,$C$6)*4</f>
        <v/>
      </c>
      <c r="I21" s="47">
        <f>SUMPRODUCT($B$4:$B$6,1-NORMSDIST((LN(SQRT(G21*H21))-LN($C$4:$C$6))/$B$9))</f>
        <v/>
      </c>
      <c r="J21" s="9">
        <f>MIN($C$4,$C$5,$C$6)*0.2</f>
        <v/>
      </c>
      <c r="K21" s="9">
        <f>MAX($C$4,$C$5,$C$6)*4</f>
        <v/>
      </c>
      <c r="L21" s="47">
        <f>SUMPRODUCT($B$4:$B$6,1-NORMSDIST((LN(SQRT(J21*K21))-LN($C$4:$C$6))/$B$9))</f>
        <v/>
      </c>
      <c r="M21" s="9">
        <f>MIN($C$4,$C$5,$C$6)*0.2</f>
        <v/>
      </c>
      <c r="N21" s="9">
        <f>MAX($C$4,$C$5,$C$6)*4</f>
        <v/>
      </c>
      <c r="O21" s="47">
        <f>SUMPRODUCT($B$4:$B$6,1-NORMSDIST((LN(SQRT(M21*N21))-LN($C$4:$C$6))/$B$9))</f>
        <v/>
      </c>
    </row>
    <row r="22">
      <c r="A22" s="9">
        <f>IF(C21&gt;0.5,SQRT(A21*B21),A21)</f>
        <v/>
      </c>
      <c r="B22" s="9">
        <f>IF(C21&gt;0.5,B21,SQRT(A21*B21))</f>
        <v/>
      </c>
      <c r="C22" s="47">
        <f>SUMPRODUCT($B$4:$B$6,1-NORMSDIST((LN(SQRT(A22*B22))-LN($C$4:$C$6))/$B$9))</f>
        <v/>
      </c>
      <c r="D22" s="9">
        <f>IF(F21&gt;0.9,SQRT(D21*E21),D21)</f>
        <v/>
      </c>
      <c r="E22" s="9">
        <f>IF(F21&gt;0.9,E21,SQRT(D21*E21))</f>
        <v/>
      </c>
      <c r="F22" s="47">
        <f>SUMPRODUCT($B$4:$B$6,1-NORMSDIST((LN(SQRT(D22*E22))-LN($C$4:$C$6))/$B$9))</f>
        <v/>
      </c>
      <c r="G22" s="9">
        <f>IF(I21&gt;0.75,SQRT(G21*H21),G21)</f>
        <v/>
      </c>
      <c r="H22" s="9">
        <f>IF(I21&gt;0.75,H21,SQRT(G21*H21))</f>
        <v/>
      </c>
      <c r="I22" s="47">
        <f>SUMPRODUCT($B$4:$B$6,1-NORMSDIST((LN(SQRT(G22*H22))-LN($C$4:$C$6))/$B$9))</f>
        <v/>
      </c>
      <c r="J22" s="9">
        <f>IF(L21&gt;0.25,SQRT(J21*K21),J21)</f>
        <v/>
      </c>
      <c r="K22" s="9">
        <f>IF(L21&gt;0.25,K21,SQRT(J21*K21))</f>
        <v/>
      </c>
      <c r="L22" s="47">
        <f>SUMPRODUCT($B$4:$B$6,1-NORMSDIST((LN(SQRT(J22*K22))-LN($C$4:$C$6))/$B$9))</f>
        <v/>
      </c>
      <c r="M22" s="9">
        <f>IF(O21&gt;0.09999999999999998,SQRT(M21*N21),M21)</f>
        <v/>
      </c>
      <c r="N22" s="9">
        <f>IF(O21&gt;0.09999999999999998,N21,SQRT(M21*N21))</f>
        <v/>
      </c>
      <c r="O22" s="47">
        <f>SUMPRODUCT($B$4:$B$6,1-NORMSDIST((LN(SQRT(M22*N22))-LN($C$4:$C$6))/$B$9))</f>
        <v/>
      </c>
    </row>
    <row r="23">
      <c r="A23" s="9">
        <f>IF(C22&gt;0.5,SQRT(A22*B22),A22)</f>
        <v/>
      </c>
      <c r="B23" s="9">
        <f>IF(C22&gt;0.5,B22,SQRT(A22*B22))</f>
        <v/>
      </c>
      <c r="C23" s="47">
        <f>SUMPRODUCT($B$4:$B$6,1-NORMSDIST((LN(SQRT(A23*B23))-LN($C$4:$C$6))/$B$9))</f>
        <v/>
      </c>
      <c r="D23" s="9">
        <f>IF(F22&gt;0.9,SQRT(D22*E22),D22)</f>
        <v/>
      </c>
      <c r="E23" s="9">
        <f>IF(F22&gt;0.9,E22,SQRT(D22*E22))</f>
        <v/>
      </c>
      <c r="F23" s="47">
        <f>SUMPRODUCT($B$4:$B$6,1-NORMSDIST((LN(SQRT(D23*E23))-LN($C$4:$C$6))/$B$9))</f>
        <v/>
      </c>
      <c r="G23" s="9">
        <f>IF(I22&gt;0.75,SQRT(G22*H22),G22)</f>
        <v/>
      </c>
      <c r="H23" s="9">
        <f>IF(I22&gt;0.75,H22,SQRT(G22*H22))</f>
        <v/>
      </c>
      <c r="I23" s="47">
        <f>SUMPRODUCT($B$4:$B$6,1-NORMSDIST((LN(SQRT(G23*H23))-LN($C$4:$C$6))/$B$9))</f>
        <v/>
      </c>
      <c r="J23" s="9">
        <f>IF(L22&gt;0.25,SQRT(J22*K22),J22)</f>
        <v/>
      </c>
      <c r="K23" s="9">
        <f>IF(L22&gt;0.25,K22,SQRT(J22*K22))</f>
        <v/>
      </c>
      <c r="L23" s="47">
        <f>SUMPRODUCT($B$4:$B$6,1-NORMSDIST((LN(SQRT(J23*K23))-LN($C$4:$C$6))/$B$9))</f>
        <v/>
      </c>
      <c r="M23" s="9">
        <f>IF(O22&gt;0.09999999999999998,SQRT(M22*N22),M22)</f>
        <v/>
      </c>
      <c r="N23" s="9">
        <f>IF(O22&gt;0.09999999999999998,N22,SQRT(M22*N22))</f>
        <v/>
      </c>
      <c r="O23" s="47">
        <f>SUMPRODUCT($B$4:$B$6,1-NORMSDIST((LN(SQRT(M23*N23))-LN($C$4:$C$6))/$B$9))</f>
        <v/>
      </c>
    </row>
    <row r="24">
      <c r="A24" s="9">
        <f>IF(C23&gt;0.5,SQRT(A23*B23),A23)</f>
        <v/>
      </c>
      <c r="B24" s="9">
        <f>IF(C23&gt;0.5,B23,SQRT(A23*B23))</f>
        <v/>
      </c>
      <c r="C24" s="47">
        <f>SUMPRODUCT($B$4:$B$6,1-NORMSDIST((LN(SQRT(A24*B24))-LN($C$4:$C$6))/$B$9))</f>
        <v/>
      </c>
      <c r="D24" s="9">
        <f>IF(F23&gt;0.9,SQRT(D23*E23),D23)</f>
        <v/>
      </c>
      <c r="E24" s="9">
        <f>IF(F23&gt;0.9,E23,SQRT(D23*E23))</f>
        <v/>
      </c>
      <c r="F24" s="47">
        <f>SUMPRODUCT($B$4:$B$6,1-NORMSDIST((LN(SQRT(D24*E24))-LN($C$4:$C$6))/$B$9))</f>
        <v/>
      </c>
      <c r="G24" s="9">
        <f>IF(I23&gt;0.75,SQRT(G23*H23),G23)</f>
        <v/>
      </c>
      <c r="H24" s="9">
        <f>IF(I23&gt;0.75,H23,SQRT(G23*H23))</f>
        <v/>
      </c>
      <c r="I24" s="47">
        <f>SUMPRODUCT($B$4:$B$6,1-NORMSDIST((LN(SQRT(G24*H24))-LN($C$4:$C$6))/$B$9))</f>
        <v/>
      </c>
      <c r="J24" s="9">
        <f>IF(L23&gt;0.25,SQRT(J23*K23),J23)</f>
        <v/>
      </c>
      <c r="K24" s="9">
        <f>IF(L23&gt;0.25,K23,SQRT(J23*K23))</f>
        <v/>
      </c>
      <c r="L24" s="47">
        <f>SUMPRODUCT($B$4:$B$6,1-NORMSDIST((LN(SQRT(J24*K24))-LN($C$4:$C$6))/$B$9))</f>
        <v/>
      </c>
      <c r="M24" s="9">
        <f>IF(O23&gt;0.09999999999999998,SQRT(M23*N23),M23)</f>
        <v/>
      </c>
      <c r="N24" s="9">
        <f>IF(O23&gt;0.09999999999999998,N23,SQRT(M23*N23))</f>
        <v/>
      </c>
      <c r="O24" s="47">
        <f>SUMPRODUCT($B$4:$B$6,1-NORMSDIST((LN(SQRT(M24*N24))-LN($C$4:$C$6))/$B$9))</f>
        <v/>
      </c>
    </row>
    <row r="25">
      <c r="A25" s="9">
        <f>IF(C24&gt;0.5,SQRT(A24*B24),A24)</f>
        <v/>
      </c>
      <c r="B25" s="9">
        <f>IF(C24&gt;0.5,B24,SQRT(A24*B24))</f>
        <v/>
      </c>
      <c r="C25" s="47">
        <f>SUMPRODUCT($B$4:$B$6,1-NORMSDIST((LN(SQRT(A25*B25))-LN($C$4:$C$6))/$B$9))</f>
        <v/>
      </c>
      <c r="D25" s="9">
        <f>IF(F24&gt;0.9,SQRT(D24*E24),D24)</f>
        <v/>
      </c>
      <c r="E25" s="9">
        <f>IF(F24&gt;0.9,E24,SQRT(D24*E24))</f>
        <v/>
      </c>
      <c r="F25" s="47">
        <f>SUMPRODUCT($B$4:$B$6,1-NORMSDIST((LN(SQRT(D25*E25))-LN($C$4:$C$6))/$B$9))</f>
        <v/>
      </c>
      <c r="G25" s="9">
        <f>IF(I24&gt;0.75,SQRT(G24*H24),G24)</f>
        <v/>
      </c>
      <c r="H25" s="9">
        <f>IF(I24&gt;0.75,H24,SQRT(G24*H24))</f>
        <v/>
      </c>
      <c r="I25" s="47">
        <f>SUMPRODUCT($B$4:$B$6,1-NORMSDIST((LN(SQRT(G25*H25))-LN($C$4:$C$6))/$B$9))</f>
        <v/>
      </c>
      <c r="J25" s="9">
        <f>IF(L24&gt;0.25,SQRT(J24*K24),J24)</f>
        <v/>
      </c>
      <c r="K25" s="9">
        <f>IF(L24&gt;0.25,K24,SQRT(J24*K24))</f>
        <v/>
      </c>
      <c r="L25" s="47">
        <f>SUMPRODUCT($B$4:$B$6,1-NORMSDIST((LN(SQRT(J25*K25))-LN($C$4:$C$6))/$B$9))</f>
        <v/>
      </c>
      <c r="M25" s="9">
        <f>IF(O24&gt;0.09999999999999998,SQRT(M24*N24),M24)</f>
        <v/>
      </c>
      <c r="N25" s="9">
        <f>IF(O24&gt;0.09999999999999998,N24,SQRT(M24*N24))</f>
        <v/>
      </c>
      <c r="O25" s="47">
        <f>SUMPRODUCT($B$4:$B$6,1-NORMSDIST((LN(SQRT(M25*N25))-LN($C$4:$C$6))/$B$9))</f>
        <v/>
      </c>
    </row>
    <row r="26">
      <c r="A26" s="9">
        <f>IF(C25&gt;0.5,SQRT(A25*B25),A25)</f>
        <v/>
      </c>
      <c r="B26" s="9">
        <f>IF(C25&gt;0.5,B25,SQRT(A25*B25))</f>
        <v/>
      </c>
      <c r="C26" s="47">
        <f>SUMPRODUCT($B$4:$B$6,1-NORMSDIST((LN(SQRT(A26*B26))-LN($C$4:$C$6))/$B$9))</f>
        <v/>
      </c>
      <c r="D26" s="9">
        <f>IF(F25&gt;0.9,SQRT(D25*E25),D25)</f>
        <v/>
      </c>
      <c r="E26" s="9">
        <f>IF(F25&gt;0.9,E25,SQRT(D25*E25))</f>
        <v/>
      </c>
      <c r="F26" s="47">
        <f>SUMPRODUCT($B$4:$B$6,1-NORMSDIST((LN(SQRT(D26*E26))-LN($C$4:$C$6))/$B$9))</f>
        <v/>
      </c>
      <c r="G26" s="9">
        <f>IF(I25&gt;0.75,SQRT(G25*H25),G25)</f>
        <v/>
      </c>
      <c r="H26" s="9">
        <f>IF(I25&gt;0.75,H25,SQRT(G25*H25))</f>
        <v/>
      </c>
      <c r="I26" s="47">
        <f>SUMPRODUCT($B$4:$B$6,1-NORMSDIST((LN(SQRT(G26*H26))-LN($C$4:$C$6))/$B$9))</f>
        <v/>
      </c>
      <c r="J26" s="9">
        <f>IF(L25&gt;0.25,SQRT(J25*K25),J25)</f>
        <v/>
      </c>
      <c r="K26" s="9">
        <f>IF(L25&gt;0.25,K25,SQRT(J25*K25))</f>
        <v/>
      </c>
      <c r="L26" s="47">
        <f>SUMPRODUCT($B$4:$B$6,1-NORMSDIST((LN(SQRT(J26*K26))-LN($C$4:$C$6))/$B$9))</f>
        <v/>
      </c>
      <c r="M26" s="9">
        <f>IF(O25&gt;0.09999999999999998,SQRT(M25*N25),M25)</f>
        <v/>
      </c>
      <c r="N26" s="9">
        <f>IF(O25&gt;0.09999999999999998,N25,SQRT(M25*N25))</f>
        <v/>
      </c>
      <c r="O26" s="47">
        <f>SUMPRODUCT($B$4:$B$6,1-NORMSDIST((LN(SQRT(M26*N26))-LN($C$4:$C$6))/$B$9))</f>
        <v/>
      </c>
    </row>
    <row r="27">
      <c r="A27" s="9">
        <f>IF(C26&gt;0.5,SQRT(A26*B26),A26)</f>
        <v/>
      </c>
      <c r="B27" s="9">
        <f>IF(C26&gt;0.5,B26,SQRT(A26*B26))</f>
        <v/>
      </c>
      <c r="C27" s="47">
        <f>SUMPRODUCT($B$4:$B$6,1-NORMSDIST((LN(SQRT(A27*B27))-LN($C$4:$C$6))/$B$9))</f>
        <v/>
      </c>
      <c r="D27" s="9">
        <f>IF(F26&gt;0.9,SQRT(D26*E26),D26)</f>
        <v/>
      </c>
      <c r="E27" s="9">
        <f>IF(F26&gt;0.9,E26,SQRT(D26*E26))</f>
        <v/>
      </c>
      <c r="F27" s="47">
        <f>SUMPRODUCT($B$4:$B$6,1-NORMSDIST((LN(SQRT(D27*E27))-LN($C$4:$C$6))/$B$9))</f>
        <v/>
      </c>
      <c r="G27" s="9">
        <f>IF(I26&gt;0.75,SQRT(G26*H26),G26)</f>
        <v/>
      </c>
      <c r="H27" s="9">
        <f>IF(I26&gt;0.75,H26,SQRT(G26*H26))</f>
        <v/>
      </c>
      <c r="I27" s="47">
        <f>SUMPRODUCT($B$4:$B$6,1-NORMSDIST((LN(SQRT(G27*H27))-LN($C$4:$C$6))/$B$9))</f>
        <v/>
      </c>
      <c r="J27" s="9">
        <f>IF(L26&gt;0.25,SQRT(J26*K26),J26)</f>
        <v/>
      </c>
      <c r="K27" s="9">
        <f>IF(L26&gt;0.25,K26,SQRT(J26*K26))</f>
        <v/>
      </c>
      <c r="L27" s="47">
        <f>SUMPRODUCT($B$4:$B$6,1-NORMSDIST((LN(SQRT(J27*K27))-LN($C$4:$C$6))/$B$9))</f>
        <v/>
      </c>
      <c r="M27" s="9">
        <f>IF(O26&gt;0.09999999999999998,SQRT(M26*N26),M26)</f>
        <v/>
      </c>
      <c r="N27" s="9">
        <f>IF(O26&gt;0.09999999999999998,N26,SQRT(M26*N26))</f>
        <v/>
      </c>
      <c r="O27" s="47">
        <f>SUMPRODUCT($B$4:$B$6,1-NORMSDIST((LN(SQRT(M27*N27))-LN($C$4:$C$6))/$B$9))</f>
        <v/>
      </c>
    </row>
    <row r="28">
      <c r="A28" s="9">
        <f>IF(C27&gt;0.5,SQRT(A27*B27),A27)</f>
        <v/>
      </c>
      <c r="B28" s="9">
        <f>IF(C27&gt;0.5,B27,SQRT(A27*B27))</f>
        <v/>
      </c>
      <c r="C28" s="47">
        <f>SUMPRODUCT($B$4:$B$6,1-NORMSDIST((LN(SQRT(A28*B28))-LN($C$4:$C$6))/$B$9))</f>
        <v/>
      </c>
      <c r="D28" s="9">
        <f>IF(F27&gt;0.9,SQRT(D27*E27),D27)</f>
        <v/>
      </c>
      <c r="E28" s="9">
        <f>IF(F27&gt;0.9,E27,SQRT(D27*E27))</f>
        <v/>
      </c>
      <c r="F28" s="47">
        <f>SUMPRODUCT($B$4:$B$6,1-NORMSDIST((LN(SQRT(D28*E28))-LN($C$4:$C$6))/$B$9))</f>
        <v/>
      </c>
      <c r="G28" s="9">
        <f>IF(I27&gt;0.75,SQRT(G27*H27),G27)</f>
        <v/>
      </c>
      <c r="H28" s="9">
        <f>IF(I27&gt;0.75,H27,SQRT(G27*H27))</f>
        <v/>
      </c>
      <c r="I28" s="47">
        <f>SUMPRODUCT($B$4:$B$6,1-NORMSDIST((LN(SQRT(G28*H28))-LN($C$4:$C$6))/$B$9))</f>
        <v/>
      </c>
      <c r="J28" s="9">
        <f>IF(L27&gt;0.25,SQRT(J27*K27),J27)</f>
        <v/>
      </c>
      <c r="K28" s="9">
        <f>IF(L27&gt;0.25,K27,SQRT(J27*K27))</f>
        <v/>
      </c>
      <c r="L28" s="47">
        <f>SUMPRODUCT($B$4:$B$6,1-NORMSDIST((LN(SQRT(J28*K28))-LN($C$4:$C$6))/$B$9))</f>
        <v/>
      </c>
      <c r="M28" s="9">
        <f>IF(O27&gt;0.09999999999999998,SQRT(M27*N27),M27)</f>
        <v/>
      </c>
      <c r="N28" s="9">
        <f>IF(O27&gt;0.09999999999999998,N27,SQRT(M27*N27))</f>
        <v/>
      </c>
      <c r="O28" s="47">
        <f>SUMPRODUCT($B$4:$B$6,1-NORMSDIST((LN(SQRT(M28*N28))-LN($C$4:$C$6))/$B$9))</f>
        <v/>
      </c>
    </row>
    <row r="29">
      <c r="A29" s="9">
        <f>IF(C28&gt;0.5,SQRT(A28*B28),A28)</f>
        <v/>
      </c>
      <c r="B29" s="9">
        <f>IF(C28&gt;0.5,B28,SQRT(A28*B28))</f>
        <v/>
      </c>
      <c r="C29" s="47">
        <f>SUMPRODUCT($B$4:$B$6,1-NORMSDIST((LN(SQRT(A29*B29))-LN($C$4:$C$6))/$B$9))</f>
        <v/>
      </c>
      <c r="D29" s="9">
        <f>IF(F28&gt;0.9,SQRT(D28*E28),D28)</f>
        <v/>
      </c>
      <c r="E29" s="9">
        <f>IF(F28&gt;0.9,E28,SQRT(D28*E28))</f>
        <v/>
      </c>
      <c r="F29" s="47">
        <f>SUMPRODUCT($B$4:$B$6,1-NORMSDIST((LN(SQRT(D29*E29))-LN($C$4:$C$6))/$B$9))</f>
        <v/>
      </c>
      <c r="G29" s="9">
        <f>IF(I28&gt;0.75,SQRT(G28*H28),G28)</f>
        <v/>
      </c>
      <c r="H29" s="9">
        <f>IF(I28&gt;0.75,H28,SQRT(G28*H28))</f>
        <v/>
      </c>
      <c r="I29" s="47">
        <f>SUMPRODUCT($B$4:$B$6,1-NORMSDIST((LN(SQRT(G29*H29))-LN($C$4:$C$6))/$B$9))</f>
        <v/>
      </c>
      <c r="J29" s="9">
        <f>IF(L28&gt;0.25,SQRT(J28*K28),J28)</f>
        <v/>
      </c>
      <c r="K29" s="9">
        <f>IF(L28&gt;0.25,K28,SQRT(J28*K28))</f>
        <v/>
      </c>
      <c r="L29" s="47">
        <f>SUMPRODUCT($B$4:$B$6,1-NORMSDIST((LN(SQRT(J29*K29))-LN($C$4:$C$6))/$B$9))</f>
        <v/>
      </c>
      <c r="M29" s="9">
        <f>IF(O28&gt;0.09999999999999998,SQRT(M28*N28),M28)</f>
        <v/>
      </c>
      <c r="N29" s="9">
        <f>IF(O28&gt;0.09999999999999998,N28,SQRT(M28*N28))</f>
        <v/>
      </c>
      <c r="O29" s="47">
        <f>SUMPRODUCT($B$4:$B$6,1-NORMSDIST((LN(SQRT(M29*N29))-LN($C$4:$C$6))/$B$9))</f>
        <v/>
      </c>
    </row>
    <row r="30">
      <c r="A30" s="9">
        <f>IF(C29&gt;0.5,SQRT(A29*B29),A29)</f>
        <v/>
      </c>
      <c r="B30" s="9">
        <f>IF(C29&gt;0.5,B29,SQRT(A29*B29))</f>
        <v/>
      </c>
      <c r="C30" s="47">
        <f>SUMPRODUCT($B$4:$B$6,1-NORMSDIST((LN(SQRT(A30*B30))-LN($C$4:$C$6))/$B$9))</f>
        <v/>
      </c>
      <c r="D30" s="9">
        <f>IF(F29&gt;0.9,SQRT(D29*E29),D29)</f>
        <v/>
      </c>
      <c r="E30" s="9">
        <f>IF(F29&gt;0.9,E29,SQRT(D29*E29))</f>
        <v/>
      </c>
      <c r="F30" s="47">
        <f>SUMPRODUCT($B$4:$B$6,1-NORMSDIST((LN(SQRT(D30*E30))-LN($C$4:$C$6))/$B$9))</f>
        <v/>
      </c>
      <c r="G30" s="9">
        <f>IF(I29&gt;0.75,SQRT(G29*H29),G29)</f>
        <v/>
      </c>
      <c r="H30" s="9">
        <f>IF(I29&gt;0.75,H29,SQRT(G29*H29))</f>
        <v/>
      </c>
      <c r="I30" s="47">
        <f>SUMPRODUCT($B$4:$B$6,1-NORMSDIST((LN(SQRT(G30*H30))-LN($C$4:$C$6))/$B$9))</f>
        <v/>
      </c>
      <c r="J30" s="9">
        <f>IF(L29&gt;0.25,SQRT(J29*K29),J29)</f>
        <v/>
      </c>
      <c r="K30" s="9">
        <f>IF(L29&gt;0.25,K29,SQRT(J29*K29))</f>
        <v/>
      </c>
      <c r="L30" s="47">
        <f>SUMPRODUCT($B$4:$B$6,1-NORMSDIST((LN(SQRT(J30*K30))-LN($C$4:$C$6))/$B$9))</f>
        <v/>
      </c>
      <c r="M30" s="9">
        <f>IF(O29&gt;0.09999999999999998,SQRT(M29*N29),M29)</f>
        <v/>
      </c>
      <c r="N30" s="9">
        <f>IF(O29&gt;0.09999999999999998,N29,SQRT(M29*N29))</f>
        <v/>
      </c>
      <c r="O30" s="47">
        <f>SUMPRODUCT($B$4:$B$6,1-NORMSDIST((LN(SQRT(M30*N30))-LN($C$4:$C$6))/$B$9))</f>
        <v/>
      </c>
    </row>
    <row r="31">
      <c r="A31" s="9">
        <f>IF(C30&gt;0.5,SQRT(A30*B30),A30)</f>
        <v/>
      </c>
      <c r="B31" s="9">
        <f>IF(C30&gt;0.5,B30,SQRT(A30*B30))</f>
        <v/>
      </c>
      <c r="C31" s="47">
        <f>SUMPRODUCT($B$4:$B$6,1-NORMSDIST((LN(SQRT(A31*B31))-LN($C$4:$C$6))/$B$9))</f>
        <v/>
      </c>
      <c r="D31" s="9">
        <f>IF(F30&gt;0.9,SQRT(D30*E30),D30)</f>
        <v/>
      </c>
      <c r="E31" s="9">
        <f>IF(F30&gt;0.9,E30,SQRT(D30*E30))</f>
        <v/>
      </c>
      <c r="F31" s="47">
        <f>SUMPRODUCT($B$4:$B$6,1-NORMSDIST((LN(SQRT(D31*E31))-LN($C$4:$C$6))/$B$9))</f>
        <v/>
      </c>
      <c r="G31" s="9">
        <f>IF(I30&gt;0.75,SQRT(G30*H30),G30)</f>
        <v/>
      </c>
      <c r="H31" s="9">
        <f>IF(I30&gt;0.75,H30,SQRT(G30*H30))</f>
        <v/>
      </c>
      <c r="I31" s="47">
        <f>SUMPRODUCT($B$4:$B$6,1-NORMSDIST((LN(SQRT(G31*H31))-LN($C$4:$C$6))/$B$9))</f>
        <v/>
      </c>
      <c r="J31" s="9">
        <f>IF(L30&gt;0.25,SQRT(J30*K30),J30)</f>
        <v/>
      </c>
      <c r="K31" s="9">
        <f>IF(L30&gt;0.25,K30,SQRT(J30*K30))</f>
        <v/>
      </c>
      <c r="L31" s="47">
        <f>SUMPRODUCT($B$4:$B$6,1-NORMSDIST((LN(SQRT(J31*K31))-LN($C$4:$C$6))/$B$9))</f>
        <v/>
      </c>
      <c r="M31" s="9">
        <f>IF(O30&gt;0.09999999999999998,SQRT(M30*N30),M30)</f>
        <v/>
      </c>
      <c r="N31" s="9">
        <f>IF(O30&gt;0.09999999999999998,N30,SQRT(M30*N30))</f>
        <v/>
      </c>
      <c r="O31" s="47">
        <f>SUMPRODUCT($B$4:$B$6,1-NORMSDIST((LN(SQRT(M31*N31))-LN($C$4:$C$6))/$B$9))</f>
        <v/>
      </c>
    </row>
    <row r="32">
      <c r="A32" s="9">
        <f>IF(C31&gt;0.5,SQRT(A31*B31),A31)</f>
        <v/>
      </c>
      <c r="B32" s="9">
        <f>IF(C31&gt;0.5,B31,SQRT(A31*B31))</f>
        <v/>
      </c>
      <c r="C32" s="47">
        <f>SUMPRODUCT($B$4:$B$6,1-NORMSDIST((LN(SQRT(A32*B32))-LN($C$4:$C$6))/$B$9))</f>
        <v/>
      </c>
      <c r="D32" s="9">
        <f>IF(F31&gt;0.9,SQRT(D31*E31),D31)</f>
        <v/>
      </c>
      <c r="E32" s="9">
        <f>IF(F31&gt;0.9,E31,SQRT(D31*E31))</f>
        <v/>
      </c>
      <c r="F32" s="47">
        <f>SUMPRODUCT($B$4:$B$6,1-NORMSDIST((LN(SQRT(D32*E32))-LN($C$4:$C$6))/$B$9))</f>
        <v/>
      </c>
      <c r="G32" s="9">
        <f>IF(I31&gt;0.75,SQRT(G31*H31),G31)</f>
        <v/>
      </c>
      <c r="H32" s="9">
        <f>IF(I31&gt;0.75,H31,SQRT(G31*H31))</f>
        <v/>
      </c>
      <c r="I32" s="47">
        <f>SUMPRODUCT($B$4:$B$6,1-NORMSDIST((LN(SQRT(G32*H32))-LN($C$4:$C$6))/$B$9))</f>
        <v/>
      </c>
      <c r="J32" s="9">
        <f>IF(L31&gt;0.25,SQRT(J31*K31),J31)</f>
        <v/>
      </c>
      <c r="K32" s="9">
        <f>IF(L31&gt;0.25,K31,SQRT(J31*K31))</f>
        <v/>
      </c>
      <c r="L32" s="47">
        <f>SUMPRODUCT($B$4:$B$6,1-NORMSDIST((LN(SQRT(J32*K32))-LN($C$4:$C$6))/$B$9))</f>
        <v/>
      </c>
      <c r="M32" s="9">
        <f>IF(O31&gt;0.09999999999999998,SQRT(M31*N31),M31)</f>
        <v/>
      </c>
      <c r="N32" s="9">
        <f>IF(O31&gt;0.09999999999999998,N31,SQRT(M31*N31))</f>
        <v/>
      </c>
      <c r="O32" s="47">
        <f>SUMPRODUCT($B$4:$B$6,1-NORMSDIST((LN(SQRT(M32*N32))-LN($C$4:$C$6))/$B$9))</f>
        <v/>
      </c>
    </row>
    <row r="33">
      <c r="A33" s="9">
        <f>IF(C32&gt;0.5,SQRT(A32*B32),A32)</f>
        <v/>
      </c>
      <c r="B33" s="9">
        <f>IF(C32&gt;0.5,B32,SQRT(A32*B32))</f>
        <v/>
      </c>
      <c r="C33" s="47">
        <f>SUMPRODUCT($B$4:$B$6,1-NORMSDIST((LN(SQRT(A33*B33))-LN($C$4:$C$6))/$B$9))</f>
        <v/>
      </c>
      <c r="D33" s="9">
        <f>IF(F32&gt;0.9,SQRT(D32*E32),D32)</f>
        <v/>
      </c>
      <c r="E33" s="9">
        <f>IF(F32&gt;0.9,E32,SQRT(D32*E32))</f>
        <v/>
      </c>
      <c r="F33" s="47">
        <f>SUMPRODUCT($B$4:$B$6,1-NORMSDIST((LN(SQRT(D33*E33))-LN($C$4:$C$6))/$B$9))</f>
        <v/>
      </c>
      <c r="G33" s="9">
        <f>IF(I32&gt;0.75,SQRT(G32*H32),G32)</f>
        <v/>
      </c>
      <c r="H33" s="9">
        <f>IF(I32&gt;0.75,H32,SQRT(G32*H32))</f>
        <v/>
      </c>
      <c r="I33" s="47">
        <f>SUMPRODUCT($B$4:$B$6,1-NORMSDIST((LN(SQRT(G33*H33))-LN($C$4:$C$6))/$B$9))</f>
        <v/>
      </c>
      <c r="J33" s="9">
        <f>IF(L32&gt;0.25,SQRT(J32*K32),J32)</f>
        <v/>
      </c>
      <c r="K33" s="9">
        <f>IF(L32&gt;0.25,K32,SQRT(J32*K32))</f>
        <v/>
      </c>
      <c r="L33" s="47">
        <f>SUMPRODUCT($B$4:$B$6,1-NORMSDIST((LN(SQRT(J33*K33))-LN($C$4:$C$6))/$B$9))</f>
        <v/>
      </c>
      <c r="M33" s="9">
        <f>IF(O32&gt;0.09999999999999998,SQRT(M32*N32),M32)</f>
        <v/>
      </c>
      <c r="N33" s="9">
        <f>IF(O32&gt;0.09999999999999998,N32,SQRT(M32*N32))</f>
        <v/>
      </c>
      <c r="O33" s="47">
        <f>SUMPRODUCT($B$4:$B$6,1-NORMSDIST((LN(SQRT(M33*N33))-LN($C$4:$C$6))/$B$9))</f>
        <v/>
      </c>
    </row>
    <row r="34">
      <c r="A34" s="9">
        <f>IF(C33&gt;0.5,SQRT(A33*B33),A33)</f>
        <v/>
      </c>
      <c r="B34" s="9">
        <f>IF(C33&gt;0.5,B33,SQRT(A33*B33))</f>
        <v/>
      </c>
      <c r="C34" s="47">
        <f>SUMPRODUCT($B$4:$B$6,1-NORMSDIST((LN(SQRT(A34*B34))-LN($C$4:$C$6))/$B$9))</f>
        <v/>
      </c>
      <c r="D34" s="9">
        <f>IF(F33&gt;0.9,SQRT(D33*E33),D33)</f>
        <v/>
      </c>
      <c r="E34" s="9">
        <f>IF(F33&gt;0.9,E33,SQRT(D33*E33))</f>
        <v/>
      </c>
      <c r="F34" s="47">
        <f>SUMPRODUCT($B$4:$B$6,1-NORMSDIST((LN(SQRT(D34*E34))-LN($C$4:$C$6))/$B$9))</f>
        <v/>
      </c>
      <c r="G34" s="9">
        <f>IF(I33&gt;0.75,SQRT(G33*H33),G33)</f>
        <v/>
      </c>
      <c r="H34" s="9">
        <f>IF(I33&gt;0.75,H33,SQRT(G33*H33))</f>
        <v/>
      </c>
      <c r="I34" s="47">
        <f>SUMPRODUCT($B$4:$B$6,1-NORMSDIST((LN(SQRT(G34*H34))-LN($C$4:$C$6))/$B$9))</f>
        <v/>
      </c>
      <c r="J34" s="9">
        <f>IF(L33&gt;0.25,SQRT(J33*K33),J33)</f>
        <v/>
      </c>
      <c r="K34" s="9">
        <f>IF(L33&gt;0.25,K33,SQRT(J33*K33))</f>
        <v/>
      </c>
      <c r="L34" s="47">
        <f>SUMPRODUCT($B$4:$B$6,1-NORMSDIST((LN(SQRT(J34*K34))-LN($C$4:$C$6))/$B$9))</f>
        <v/>
      </c>
      <c r="M34" s="9">
        <f>IF(O33&gt;0.09999999999999998,SQRT(M33*N33),M33)</f>
        <v/>
      </c>
      <c r="N34" s="9">
        <f>IF(O33&gt;0.09999999999999998,N33,SQRT(M33*N33))</f>
        <v/>
      </c>
      <c r="O34" s="47">
        <f>SUMPRODUCT($B$4:$B$6,1-NORMSDIST((LN(SQRT(M34*N34))-LN($C$4:$C$6))/$B$9))</f>
        <v/>
      </c>
    </row>
    <row r="35">
      <c r="A35" s="9">
        <f>IF(C34&gt;0.5,SQRT(A34*B34),A34)</f>
        <v/>
      </c>
      <c r="B35" s="9">
        <f>IF(C34&gt;0.5,B34,SQRT(A34*B34))</f>
        <v/>
      </c>
      <c r="C35" s="47">
        <f>SUMPRODUCT($B$4:$B$6,1-NORMSDIST((LN(SQRT(A35*B35))-LN($C$4:$C$6))/$B$9))</f>
        <v/>
      </c>
      <c r="D35" s="9">
        <f>IF(F34&gt;0.9,SQRT(D34*E34),D34)</f>
        <v/>
      </c>
      <c r="E35" s="9">
        <f>IF(F34&gt;0.9,E34,SQRT(D34*E34))</f>
        <v/>
      </c>
      <c r="F35" s="47">
        <f>SUMPRODUCT($B$4:$B$6,1-NORMSDIST((LN(SQRT(D35*E35))-LN($C$4:$C$6))/$B$9))</f>
        <v/>
      </c>
      <c r="G35" s="9">
        <f>IF(I34&gt;0.75,SQRT(G34*H34),G34)</f>
        <v/>
      </c>
      <c r="H35" s="9">
        <f>IF(I34&gt;0.75,H34,SQRT(G34*H34))</f>
        <v/>
      </c>
      <c r="I35" s="47">
        <f>SUMPRODUCT($B$4:$B$6,1-NORMSDIST((LN(SQRT(G35*H35))-LN($C$4:$C$6))/$B$9))</f>
        <v/>
      </c>
      <c r="J35" s="9">
        <f>IF(L34&gt;0.25,SQRT(J34*K34),J34)</f>
        <v/>
      </c>
      <c r="K35" s="9">
        <f>IF(L34&gt;0.25,K34,SQRT(J34*K34))</f>
        <v/>
      </c>
      <c r="L35" s="47">
        <f>SUMPRODUCT($B$4:$B$6,1-NORMSDIST((LN(SQRT(J35*K35))-LN($C$4:$C$6))/$B$9))</f>
        <v/>
      </c>
      <c r="M35" s="9">
        <f>IF(O34&gt;0.09999999999999998,SQRT(M34*N34),M34)</f>
        <v/>
      </c>
      <c r="N35" s="9">
        <f>IF(O34&gt;0.09999999999999998,N34,SQRT(M34*N34))</f>
        <v/>
      </c>
      <c r="O35" s="47">
        <f>SUMPRODUCT($B$4:$B$6,1-NORMSDIST((LN(SQRT(M35*N35))-LN($C$4:$C$6))/$B$9))</f>
        <v/>
      </c>
    </row>
    <row r="36">
      <c r="A36" s="9">
        <f>IF(C35&gt;0.5,SQRT(A35*B35),A35)</f>
        <v/>
      </c>
      <c r="B36" s="9">
        <f>IF(C35&gt;0.5,B35,SQRT(A35*B35))</f>
        <v/>
      </c>
      <c r="C36" s="47">
        <f>SUMPRODUCT($B$4:$B$6,1-NORMSDIST((LN(SQRT(A36*B36))-LN($C$4:$C$6))/$B$9))</f>
        <v/>
      </c>
      <c r="D36" s="9">
        <f>IF(F35&gt;0.9,SQRT(D35*E35),D35)</f>
        <v/>
      </c>
      <c r="E36" s="9">
        <f>IF(F35&gt;0.9,E35,SQRT(D35*E35))</f>
        <v/>
      </c>
      <c r="F36" s="47">
        <f>SUMPRODUCT($B$4:$B$6,1-NORMSDIST((LN(SQRT(D36*E36))-LN($C$4:$C$6))/$B$9))</f>
        <v/>
      </c>
      <c r="G36" s="9">
        <f>IF(I35&gt;0.75,SQRT(G35*H35),G35)</f>
        <v/>
      </c>
      <c r="H36" s="9">
        <f>IF(I35&gt;0.75,H35,SQRT(G35*H35))</f>
        <v/>
      </c>
      <c r="I36" s="47">
        <f>SUMPRODUCT($B$4:$B$6,1-NORMSDIST((LN(SQRT(G36*H36))-LN($C$4:$C$6))/$B$9))</f>
        <v/>
      </c>
      <c r="J36" s="9">
        <f>IF(L35&gt;0.25,SQRT(J35*K35),J35)</f>
        <v/>
      </c>
      <c r="K36" s="9">
        <f>IF(L35&gt;0.25,K35,SQRT(J35*K35))</f>
        <v/>
      </c>
      <c r="L36" s="47">
        <f>SUMPRODUCT($B$4:$B$6,1-NORMSDIST((LN(SQRT(J36*K36))-LN($C$4:$C$6))/$B$9))</f>
        <v/>
      </c>
      <c r="M36" s="9">
        <f>IF(O35&gt;0.09999999999999998,SQRT(M35*N35),M35)</f>
        <v/>
      </c>
      <c r="N36" s="9">
        <f>IF(O35&gt;0.09999999999999998,N35,SQRT(M35*N35))</f>
        <v/>
      </c>
      <c r="O36" s="47">
        <f>SUMPRODUCT($B$4:$B$6,1-NORMSDIST((LN(SQRT(M36*N36))-LN($C$4:$C$6))/$B$9))</f>
        <v/>
      </c>
    </row>
    <row r="37">
      <c r="A37" s="9">
        <f>IF(C36&gt;0.5,SQRT(A36*B36),A36)</f>
        <v/>
      </c>
      <c r="B37" s="9">
        <f>IF(C36&gt;0.5,B36,SQRT(A36*B36))</f>
        <v/>
      </c>
      <c r="C37" s="47">
        <f>SUMPRODUCT($B$4:$B$6,1-NORMSDIST((LN(SQRT(A37*B37))-LN($C$4:$C$6))/$B$9))</f>
        <v/>
      </c>
      <c r="D37" s="9">
        <f>IF(F36&gt;0.9,SQRT(D36*E36),D36)</f>
        <v/>
      </c>
      <c r="E37" s="9">
        <f>IF(F36&gt;0.9,E36,SQRT(D36*E36))</f>
        <v/>
      </c>
      <c r="F37" s="47">
        <f>SUMPRODUCT($B$4:$B$6,1-NORMSDIST((LN(SQRT(D37*E37))-LN($C$4:$C$6))/$B$9))</f>
        <v/>
      </c>
      <c r="G37" s="9">
        <f>IF(I36&gt;0.75,SQRT(G36*H36),G36)</f>
        <v/>
      </c>
      <c r="H37" s="9">
        <f>IF(I36&gt;0.75,H36,SQRT(G36*H36))</f>
        <v/>
      </c>
      <c r="I37" s="47">
        <f>SUMPRODUCT($B$4:$B$6,1-NORMSDIST((LN(SQRT(G37*H37))-LN($C$4:$C$6))/$B$9))</f>
        <v/>
      </c>
      <c r="J37" s="9">
        <f>IF(L36&gt;0.25,SQRT(J36*K36),J36)</f>
        <v/>
      </c>
      <c r="K37" s="9">
        <f>IF(L36&gt;0.25,K36,SQRT(J36*K36))</f>
        <v/>
      </c>
      <c r="L37" s="47">
        <f>SUMPRODUCT($B$4:$B$6,1-NORMSDIST((LN(SQRT(J37*K37))-LN($C$4:$C$6))/$B$9))</f>
        <v/>
      </c>
      <c r="M37" s="9">
        <f>IF(O36&gt;0.09999999999999998,SQRT(M36*N36),M36)</f>
        <v/>
      </c>
      <c r="N37" s="9">
        <f>IF(O36&gt;0.09999999999999998,N36,SQRT(M36*N36))</f>
        <v/>
      </c>
      <c r="O37" s="47">
        <f>SUMPRODUCT($B$4:$B$6,1-NORMSDIST((LN(SQRT(M37*N37))-LN($C$4:$C$6))/$B$9))</f>
        <v/>
      </c>
    </row>
    <row r="38">
      <c r="A38" s="9">
        <f>IF(C37&gt;0.5,SQRT(A37*B37),A37)</f>
        <v/>
      </c>
      <c r="B38" s="9">
        <f>IF(C37&gt;0.5,B37,SQRT(A37*B37))</f>
        <v/>
      </c>
      <c r="C38" s="47">
        <f>SUMPRODUCT($B$4:$B$6,1-NORMSDIST((LN(SQRT(A38*B38))-LN($C$4:$C$6))/$B$9))</f>
        <v/>
      </c>
      <c r="D38" s="9">
        <f>IF(F37&gt;0.9,SQRT(D37*E37),D37)</f>
        <v/>
      </c>
      <c r="E38" s="9">
        <f>IF(F37&gt;0.9,E37,SQRT(D37*E37))</f>
        <v/>
      </c>
      <c r="F38" s="47">
        <f>SUMPRODUCT($B$4:$B$6,1-NORMSDIST((LN(SQRT(D38*E38))-LN($C$4:$C$6))/$B$9))</f>
        <v/>
      </c>
      <c r="G38" s="9">
        <f>IF(I37&gt;0.75,SQRT(G37*H37),G37)</f>
        <v/>
      </c>
      <c r="H38" s="9">
        <f>IF(I37&gt;0.75,H37,SQRT(G37*H37))</f>
        <v/>
      </c>
      <c r="I38" s="47">
        <f>SUMPRODUCT($B$4:$B$6,1-NORMSDIST((LN(SQRT(G38*H38))-LN($C$4:$C$6))/$B$9))</f>
        <v/>
      </c>
      <c r="J38" s="9">
        <f>IF(L37&gt;0.25,SQRT(J37*K37),J37)</f>
        <v/>
      </c>
      <c r="K38" s="9">
        <f>IF(L37&gt;0.25,K37,SQRT(J37*K37))</f>
        <v/>
      </c>
      <c r="L38" s="47">
        <f>SUMPRODUCT($B$4:$B$6,1-NORMSDIST((LN(SQRT(J38*K38))-LN($C$4:$C$6))/$B$9))</f>
        <v/>
      </c>
      <c r="M38" s="9">
        <f>IF(O37&gt;0.09999999999999998,SQRT(M37*N37),M37)</f>
        <v/>
      </c>
      <c r="N38" s="9">
        <f>IF(O37&gt;0.09999999999999998,N37,SQRT(M37*N37))</f>
        <v/>
      </c>
      <c r="O38" s="47">
        <f>SUMPRODUCT($B$4:$B$6,1-NORMSDIST((LN(SQRT(M38*N38))-LN($C$4:$C$6))/$B$9))</f>
        <v/>
      </c>
    </row>
    <row r="39">
      <c r="A39" s="9">
        <f>IF(C38&gt;0.5,SQRT(A38*B38),A38)</f>
        <v/>
      </c>
      <c r="B39" s="9">
        <f>IF(C38&gt;0.5,B38,SQRT(A38*B38))</f>
        <v/>
      </c>
      <c r="C39" s="47">
        <f>SUMPRODUCT($B$4:$B$6,1-NORMSDIST((LN(SQRT(A39*B39))-LN($C$4:$C$6))/$B$9))</f>
        <v/>
      </c>
      <c r="D39" s="9">
        <f>IF(F38&gt;0.9,SQRT(D38*E38),D38)</f>
        <v/>
      </c>
      <c r="E39" s="9">
        <f>IF(F38&gt;0.9,E38,SQRT(D38*E38))</f>
        <v/>
      </c>
      <c r="F39" s="47">
        <f>SUMPRODUCT($B$4:$B$6,1-NORMSDIST((LN(SQRT(D39*E39))-LN($C$4:$C$6))/$B$9))</f>
        <v/>
      </c>
      <c r="G39" s="9">
        <f>IF(I38&gt;0.75,SQRT(G38*H38),G38)</f>
        <v/>
      </c>
      <c r="H39" s="9">
        <f>IF(I38&gt;0.75,H38,SQRT(G38*H38))</f>
        <v/>
      </c>
      <c r="I39" s="47">
        <f>SUMPRODUCT($B$4:$B$6,1-NORMSDIST((LN(SQRT(G39*H39))-LN($C$4:$C$6))/$B$9))</f>
        <v/>
      </c>
      <c r="J39" s="9">
        <f>IF(L38&gt;0.25,SQRT(J38*K38),J38)</f>
        <v/>
      </c>
      <c r="K39" s="9">
        <f>IF(L38&gt;0.25,K38,SQRT(J38*K38))</f>
        <v/>
      </c>
      <c r="L39" s="47">
        <f>SUMPRODUCT($B$4:$B$6,1-NORMSDIST((LN(SQRT(J39*K39))-LN($C$4:$C$6))/$B$9))</f>
        <v/>
      </c>
      <c r="M39" s="9">
        <f>IF(O38&gt;0.09999999999999998,SQRT(M38*N38),M38)</f>
        <v/>
      </c>
      <c r="N39" s="9">
        <f>IF(O38&gt;0.09999999999999998,N38,SQRT(M38*N38))</f>
        <v/>
      </c>
      <c r="O39" s="47">
        <f>SUMPRODUCT($B$4:$B$6,1-NORMSDIST((LN(SQRT(M39*N39))-LN($C$4:$C$6))/$B$9))</f>
        <v/>
      </c>
    </row>
    <row r="40">
      <c r="A40" s="9">
        <f>IF(C39&gt;0.5,SQRT(A39*B39),A39)</f>
        <v/>
      </c>
      <c r="B40" s="9">
        <f>IF(C39&gt;0.5,B39,SQRT(A39*B39))</f>
        <v/>
      </c>
      <c r="C40" s="47">
        <f>SUMPRODUCT($B$4:$B$6,1-NORMSDIST((LN(SQRT(A40*B40))-LN($C$4:$C$6))/$B$9))</f>
        <v/>
      </c>
      <c r="D40" s="9">
        <f>IF(F39&gt;0.9,SQRT(D39*E39),D39)</f>
        <v/>
      </c>
      <c r="E40" s="9">
        <f>IF(F39&gt;0.9,E39,SQRT(D39*E39))</f>
        <v/>
      </c>
      <c r="F40" s="47">
        <f>SUMPRODUCT($B$4:$B$6,1-NORMSDIST((LN(SQRT(D40*E40))-LN($C$4:$C$6))/$B$9))</f>
        <v/>
      </c>
      <c r="G40" s="9">
        <f>IF(I39&gt;0.75,SQRT(G39*H39),G39)</f>
        <v/>
      </c>
      <c r="H40" s="9">
        <f>IF(I39&gt;0.75,H39,SQRT(G39*H39))</f>
        <v/>
      </c>
      <c r="I40" s="47">
        <f>SUMPRODUCT($B$4:$B$6,1-NORMSDIST((LN(SQRT(G40*H40))-LN($C$4:$C$6))/$B$9))</f>
        <v/>
      </c>
      <c r="J40" s="9">
        <f>IF(L39&gt;0.25,SQRT(J39*K39),J39)</f>
        <v/>
      </c>
      <c r="K40" s="9">
        <f>IF(L39&gt;0.25,K39,SQRT(J39*K39))</f>
        <v/>
      </c>
      <c r="L40" s="47">
        <f>SUMPRODUCT($B$4:$B$6,1-NORMSDIST((LN(SQRT(J40*K40))-LN($C$4:$C$6))/$B$9))</f>
        <v/>
      </c>
      <c r="M40" s="9">
        <f>IF(O39&gt;0.09999999999999998,SQRT(M39*N39),M39)</f>
        <v/>
      </c>
      <c r="N40" s="9">
        <f>IF(O39&gt;0.09999999999999998,N39,SQRT(M39*N39))</f>
        <v/>
      </c>
      <c r="O40" s="47">
        <f>SUMPRODUCT($B$4:$B$6,1-NORMSDIST((LN(SQRT(M40*N40))-LN($C$4:$C$6))/$B$9))</f>
        <v/>
      </c>
    </row>
    <row r="41">
      <c r="A41" s="9">
        <f>IF(C40&gt;0.5,SQRT(A40*B40),A40)</f>
        <v/>
      </c>
      <c r="B41" s="9">
        <f>IF(C40&gt;0.5,B40,SQRT(A40*B40))</f>
        <v/>
      </c>
      <c r="C41" s="47">
        <f>SUMPRODUCT($B$4:$B$6,1-NORMSDIST((LN(SQRT(A41*B41))-LN($C$4:$C$6))/$B$9))</f>
        <v/>
      </c>
      <c r="D41" s="9">
        <f>IF(F40&gt;0.9,SQRT(D40*E40),D40)</f>
        <v/>
      </c>
      <c r="E41" s="9">
        <f>IF(F40&gt;0.9,E40,SQRT(D40*E40))</f>
        <v/>
      </c>
      <c r="F41" s="47">
        <f>SUMPRODUCT($B$4:$B$6,1-NORMSDIST((LN(SQRT(D41*E41))-LN($C$4:$C$6))/$B$9))</f>
        <v/>
      </c>
      <c r="G41" s="9">
        <f>IF(I40&gt;0.75,SQRT(G40*H40),G40)</f>
        <v/>
      </c>
      <c r="H41" s="9">
        <f>IF(I40&gt;0.75,H40,SQRT(G40*H40))</f>
        <v/>
      </c>
      <c r="I41" s="47">
        <f>SUMPRODUCT($B$4:$B$6,1-NORMSDIST((LN(SQRT(G41*H41))-LN($C$4:$C$6))/$B$9))</f>
        <v/>
      </c>
      <c r="J41" s="9">
        <f>IF(L40&gt;0.25,SQRT(J40*K40),J40)</f>
        <v/>
      </c>
      <c r="K41" s="9">
        <f>IF(L40&gt;0.25,K40,SQRT(J40*K40))</f>
        <v/>
      </c>
      <c r="L41" s="47">
        <f>SUMPRODUCT($B$4:$B$6,1-NORMSDIST((LN(SQRT(J41*K41))-LN($C$4:$C$6))/$B$9))</f>
        <v/>
      </c>
      <c r="M41" s="9">
        <f>IF(O40&gt;0.09999999999999998,SQRT(M40*N40),M40)</f>
        <v/>
      </c>
      <c r="N41" s="9">
        <f>IF(O40&gt;0.09999999999999998,N40,SQRT(M40*N40))</f>
        <v/>
      </c>
      <c r="O41" s="47">
        <f>SUMPRODUCT($B$4:$B$6,1-NORMSDIST((LN(SQRT(M41*N41))-LN($C$4:$C$6))/$B$9))</f>
        <v/>
      </c>
    </row>
    <row r="42">
      <c r="A42" s="9">
        <f>IF(C41&gt;0.5,SQRT(A41*B41),A41)</f>
        <v/>
      </c>
      <c r="B42" s="9">
        <f>IF(C41&gt;0.5,B41,SQRT(A41*B41))</f>
        <v/>
      </c>
      <c r="C42" s="47">
        <f>SUMPRODUCT($B$4:$B$6,1-NORMSDIST((LN(SQRT(A42*B42))-LN($C$4:$C$6))/$B$9))</f>
        <v/>
      </c>
      <c r="D42" s="9">
        <f>IF(F41&gt;0.9,SQRT(D41*E41),D41)</f>
        <v/>
      </c>
      <c r="E42" s="9">
        <f>IF(F41&gt;0.9,E41,SQRT(D41*E41))</f>
        <v/>
      </c>
      <c r="F42" s="47">
        <f>SUMPRODUCT($B$4:$B$6,1-NORMSDIST((LN(SQRT(D42*E42))-LN($C$4:$C$6))/$B$9))</f>
        <v/>
      </c>
      <c r="G42" s="9">
        <f>IF(I41&gt;0.75,SQRT(G41*H41),G41)</f>
        <v/>
      </c>
      <c r="H42" s="9">
        <f>IF(I41&gt;0.75,H41,SQRT(G41*H41))</f>
        <v/>
      </c>
      <c r="I42" s="47">
        <f>SUMPRODUCT($B$4:$B$6,1-NORMSDIST((LN(SQRT(G42*H42))-LN($C$4:$C$6))/$B$9))</f>
        <v/>
      </c>
      <c r="J42" s="9">
        <f>IF(L41&gt;0.25,SQRT(J41*K41),J41)</f>
        <v/>
      </c>
      <c r="K42" s="9">
        <f>IF(L41&gt;0.25,K41,SQRT(J41*K41))</f>
        <v/>
      </c>
      <c r="L42" s="47">
        <f>SUMPRODUCT($B$4:$B$6,1-NORMSDIST((LN(SQRT(J42*K42))-LN($C$4:$C$6))/$B$9))</f>
        <v/>
      </c>
      <c r="M42" s="9">
        <f>IF(O41&gt;0.09999999999999998,SQRT(M41*N41),M41)</f>
        <v/>
      </c>
      <c r="N42" s="9">
        <f>IF(O41&gt;0.09999999999999998,N41,SQRT(M41*N41))</f>
        <v/>
      </c>
      <c r="O42" s="47">
        <f>SUMPRODUCT($B$4:$B$6,1-NORMSDIST((LN(SQRT(M42*N42))-LN($C$4:$C$6))/$B$9))</f>
        <v/>
      </c>
    </row>
    <row r="43">
      <c r="A43" s="9">
        <f>IF(C42&gt;0.5,SQRT(A42*B42),A42)</f>
        <v/>
      </c>
      <c r="B43" s="9">
        <f>IF(C42&gt;0.5,B42,SQRT(A42*B42))</f>
        <v/>
      </c>
      <c r="C43" s="47">
        <f>SUMPRODUCT($B$4:$B$6,1-NORMSDIST((LN(SQRT(A43*B43))-LN($C$4:$C$6))/$B$9))</f>
        <v/>
      </c>
      <c r="D43" s="9">
        <f>IF(F42&gt;0.9,SQRT(D42*E42),D42)</f>
        <v/>
      </c>
      <c r="E43" s="9">
        <f>IF(F42&gt;0.9,E42,SQRT(D42*E42))</f>
        <v/>
      </c>
      <c r="F43" s="47">
        <f>SUMPRODUCT($B$4:$B$6,1-NORMSDIST((LN(SQRT(D43*E43))-LN($C$4:$C$6))/$B$9))</f>
        <v/>
      </c>
      <c r="G43" s="9">
        <f>IF(I42&gt;0.75,SQRT(G42*H42),G42)</f>
        <v/>
      </c>
      <c r="H43" s="9">
        <f>IF(I42&gt;0.75,H42,SQRT(G42*H42))</f>
        <v/>
      </c>
      <c r="I43" s="47">
        <f>SUMPRODUCT($B$4:$B$6,1-NORMSDIST((LN(SQRT(G43*H43))-LN($C$4:$C$6))/$B$9))</f>
        <v/>
      </c>
      <c r="J43" s="9">
        <f>IF(L42&gt;0.25,SQRT(J42*K42),J42)</f>
        <v/>
      </c>
      <c r="K43" s="9">
        <f>IF(L42&gt;0.25,K42,SQRT(J42*K42))</f>
        <v/>
      </c>
      <c r="L43" s="47">
        <f>SUMPRODUCT($B$4:$B$6,1-NORMSDIST((LN(SQRT(J43*K43))-LN($C$4:$C$6))/$B$9))</f>
        <v/>
      </c>
      <c r="M43" s="9">
        <f>IF(O42&gt;0.09999999999999998,SQRT(M42*N42),M42)</f>
        <v/>
      </c>
      <c r="N43" s="9">
        <f>IF(O42&gt;0.09999999999999998,N42,SQRT(M42*N42))</f>
        <v/>
      </c>
      <c r="O43" s="47">
        <f>SUMPRODUCT($B$4:$B$6,1-NORMSDIST((LN(SQRT(M43*N43))-LN($C$4:$C$6))/$B$9))</f>
        <v/>
      </c>
    </row>
    <row r="44">
      <c r="A44" s="9">
        <f>IF(C43&gt;0.5,SQRT(A43*B43),A43)</f>
        <v/>
      </c>
      <c r="B44" s="9">
        <f>IF(C43&gt;0.5,B43,SQRT(A43*B43))</f>
        <v/>
      </c>
      <c r="C44" s="47">
        <f>SUMPRODUCT($B$4:$B$6,1-NORMSDIST((LN(SQRT(A44*B44))-LN($C$4:$C$6))/$B$9))</f>
        <v/>
      </c>
      <c r="D44" s="9">
        <f>IF(F43&gt;0.9,SQRT(D43*E43),D43)</f>
        <v/>
      </c>
      <c r="E44" s="9">
        <f>IF(F43&gt;0.9,E43,SQRT(D43*E43))</f>
        <v/>
      </c>
      <c r="F44" s="47">
        <f>SUMPRODUCT($B$4:$B$6,1-NORMSDIST((LN(SQRT(D44*E44))-LN($C$4:$C$6))/$B$9))</f>
        <v/>
      </c>
      <c r="G44" s="9">
        <f>IF(I43&gt;0.75,SQRT(G43*H43),G43)</f>
        <v/>
      </c>
      <c r="H44" s="9">
        <f>IF(I43&gt;0.75,H43,SQRT(G43*H43))</f>
        <v/>
      </c>
      <c r="I44" s="47">
        <f>SUMPRODUCT($B$4:$B$6,1-NORMSDIST((LN(SQRT(G44*H44))-LN($C$4:$C$6))/$B$9))</f>
        <v/>
      </c>
      <c r="J44" s="9">
        <f>IF(L43&gt;0.25,SQRT(J43*K43),J43)</f>
        <v/>
      </c>
      <c r="K44" s="9">
        <f>IF(L43&gt;0.25,K43,SQRT(J43*K43))</f>
        <v/>
      </c>
      <c r="L44" s="47">
        <f>SUMPRODUCT($B$4:$B$6,1-NORMSDIST((LN(SQRT(J44*K44))-LN($C$4:$C$6))/$B$9))</f>
        <v/>
      </c>
      <c r="M44" s="9">
        <f>IF(O43&gt;0.09999999999999998,SQRT(M43*N43),M43)</f>
        <v/>
      </c>
      <c r="N44" s="9">
        <f>IF(O43&gt;0.09999999999999998,N43,SQRT(M43*N43))</f>
        <v/>
      </c>
      <c r="O44" s="47">
        <f>SUMPRODUCT($B$4:$B$6,1-NORMSDIST((LN(SQRT(M44*N44))-LN($C$4:$C$6))/$B$9))</f>
        <v/>
      </c>
    </row>
    <row r="45">
      <c r="A45" s="9">
        <f>IF(C44&gt;0.5,SQRT(A44*B44),A44)</f>
        <v/>
      </c>
      <c r="B45" s="9">
        <f>IF(C44&gt;0.5,B44,SQRT(A44*B44))</f>
        <v/>
      </c>
      <c r="C45" s="47">
        <f>SUMPRODUCT($B$4:$B$6,1-NORMSDIST((LN(SQRT(A45*B45))-LN($C$4:$C$6))/$B$9))</f>
        <v/>
      </c>
      <c r="D45" s="9">
        <f>IF(F44&gt;0.9,SQRT(D44*E44),D44)</f>
        <v/>
      </c>
      <c r="E45" s="9">
        <f>IF(F44&gt;0.9,E44,SQRT(D44*E44))</f>
        <v/>
      </c>
      <c r="F45" s="47">
        <f>SUMPRODUCT($B$4:$B$6,1-NORMSDIST((LN(SQRT(D45*E45))-LN($C$4:$C$6))/$B$9))</f>
        <v/>
      </c>
      <c r="G45" s="9">
        <f>IF(I44&gt;0.75,SQRT(G44*H44),G44)</f>
        <v/>
      </c>
      <c r="H45" s="9">
        <f>IF(I44&gt;0.75,H44,SQRT(G44*H44))</f>
        <v/>
      </c>
      <c r="I45" s="47">
        <f>SUMPRODUCT($B$4:$B$6,1-NORMSDIST((LN(SQRT(G45*H45))-LN($C$4:$C$6))/$B$9))</f>
        <v/>
      </c>
      <c r="J45" s="9">
        <f>IF(L44&gt;0.25,SQRT(J44*K44),J44)</f>
        <v/>
      </c>
      <c r="K45" s="9">
        <f>IF(L44&gt;0.25,K44,SQRT(J44*K44))</f>
        <v/>
      </c>
      <c r="L45" s="47">
        <f>SUMPRODUCT($B$4:$B$6,1-NORMSDIST((LN(SQRT(J45*K45))-LN($C$4:$C$6))/$B$9))</f>
        <v/>
      </c>
      <c r="M45" s="9">
        <f>IF(O44&gt;0.09999999999999998,SQRT(M44*N44),M44)</f>
        <v/>
      </c>
      <c r="N45" s="9">
        <f>IF(O44&gt;0.09999999999999998,N44,SQRT(M44*N44))</f>
        <v/>
      </c>
      <c r="O45" s="47">
        <f>SUMPRODUCT($B$4:$B$6,1-NORMSDIST((LN(SQRT(M45*N45))-LN($C$4:$C$6))/$B$9))</f>
        <v/>
      </c>
    </row>
    <row r="46">
      <c r="A46" s="9">
        <f>IF(C45&gt;0.5,SQRT(A45*B45),A45)</f>
        <v/>
      </c>
      <c r="B46" s="9">
        <f>IF(C45&gt;0.5,B45,SQRT(A45*B45))</f>
        <v/>
      </c>
      <c r="C46" s="47">
        <f>SUMPRODUCT($B$4:$B$6,1-NORMSDIST((LN(SQRT(A46*B46))-LN($C$4:$C$6))/$B$9))</f>
        <v/>
      </c>
      <c r="D46" s="9">
        <f>IF(F45&gt;0.9,SQRT(D45*E45),D45)</f>
        <v/>
      </c>
      <c r="E46" s="9">
        <f>IF(F45&gt;0.9,E45,SQRT(D45*E45))</f>
        <v/>
      </c>
      <c r="F46" s="47">
        <f>SUMPRODUCT($B$4:$B$6,1-NORMSDIST((LN(SQRT(D46*E46))-LN($C$4:$C$6))/$B$9))</f>
        <v/>
      </c>
      <c r="G46" s="9">
        <f>IF(I45&gt;0.75,SQRT(G45*H45),G45)</f>
        <v/>
      </c>
      <c r="H46" s="9">
        <f>IF(I45&gt;0.75,H45,SQRT(G45*H45))</f>
        <v/>
      </c>
      <c r="I46" s="47">
        <f>SUMPRODUCT($B$4:$B$6,1-NORMSDIST((LN(SQRT(G46*H46))-LN($C$4:$C$6))/$B$9))</f>
        <v/>
      </c>
      <c r="J46" s="9">
        <f>IF(L45&gt;0.25,SQRT(J45*K45),J45)</f>
        <v/>
      </c>
      <c r="K46" s="9">
        <f>IF(L45&gt;0.25,K45,SQRT(J45*K45))</f>
        <v/>
      </c>
      <c r="L46" s="47">
        <f>SUMPRODUCT($B$4:$B$6,1-NORMSDIST((LN(SQRT(J46*K46))-LN($C$4:$C$6))/$B$9))</f>
        <v/>
      </c>
      <c r="M46" s="9">
        <f>IF(O45&gt;0.09999999999999998,SQRT(M45*N45),M45)</f>
        <v/>
      </c>
      <c r="N46" s="9">
        <f>IF(O45&gt;0.09999999999999998,N45,SQRT(M45*N45))</f>
        <v/>
      </c>
      <c r="O46" s="47">
        <f>SUMPRODUCT($B$4:$B$6,1-NORMSDIST((LN(SQRT(M46*N46))-LN($C$4:$C$6))/$B$9))</f>
        <v/>
      </c>
    </row>
    <row r="47">
      <c r="A47" s="9">
        <f>IF(C46&gt;0.5,SQRT(A46*B46),A46)</f>
        <v/>
      </c>
      <c r="B47" s="9">
        <f>IF(C46&gt;0.5,B46,SQRT(A46*B46))</f>
        <v/>
      </c>
      <c r="C47" s="47">
        <f>SUMPRODUCT($B$4:$B$6,1-NORMSDIST((LN(SQRT(A47*B47))-LN($C$4:$C$6))/$B$9))</f>
        <v/>
      </c>
      <c r="D47" s="9">
        <f>IF(F46&gt;0.9,SQRT(D46*E46),D46)</f>
        <v/>
      </c>
      <c r="E47" s="9">
        <f>IF(F46&gt;0.9,E46,SQRT(D46*E46))</f>
        <v/>
      </c>
      <c r="F47" s="47">
        <f>SUMPRODUCT($B$4:$B$6,1-NORMSDIST((LN(SQRT(D47*E47))-LN($C$4:$C$6))/$B$9))</f>
        <v/>
      </c>
      <c r="G47" s="9">
        <f>IF(I46&gt;0.75,SQRT(G46*H46),G46)</f>
        <v/>
      </c>
      <c r="H47" s="9">
        <f>IF(I46&gt;0.75,H46,SQRT(G46*H46))</f>
        <v/>
      </c>
      <c r="I47" s="47">
        <f>SUMPRODUCT($B$4:$B$6,1-NORMSDIST((LN(SQRT(G47*H47))-LN($C$4:$C$6))/$B$9))</f>
        <v/>
      </c>
      <c r="J47" s="9">
        <f>IF(L46&gt;0.25,SQRT(J46*K46),J46)</f>
        <v/>
      </c>
      <c r="K47" s="9">
        <f>IF(L46&gt;0.25,K46,SQRT(J46*K46))</f>
        <v/>
      </c>
      <c r="L47" s="47">
        <f>SUMPRODUCT($B$4:$B$6,1-NORMSDIST((LN(SQRT(J47*K47))-LN($C$4:$C$6))/$B$9))</f>
        <v/>
      </c>
      <c r="M47" s="9">
        <f>IF(O46&gt;0.09999999999999998,SQRT(M46*N46),M46)</f>
        <v/>
      </c>
      <c r="N47" s="9">
        <f>IF(O46&gt;0.09999999999999998,N46,SQRT(M46*N46))</f>
        <v/>
      </c>
      <c r="O47" s="47">
        <f>SUMPRODUCT($B$4:$B$6,1-NORMSDIST((LN(SQRT(M47*N47))-LN($C$4:$C$6))/$B$9))</f>
        <v/>
      </c>
    </row>
    <row r="48">
      <c r="A48" s="9">
        <f>IF(C47&gt;0.5,SQRT(A47*B47),A47)</f>
        <v/>
      </c>
      <c r="B48" s="9">
        <f>IF(C47&gt;0.5,B47,SQRT(A47*B47))</f>
        <v/>
      </c>
      <c r="C48" s="47">
        <f>SUMPRODUCT($B$4:$B$6,1-NORMSDIST((LN(SQRT(A48*B48))-LN($C$4:$C$6))/$B$9))</f>
        <v/>
      </c>
      <c r="D48" s="9">
        <f>IF(F47&gt;0.9,SQRT(D47*E47),D47)</f>
        <v/>
      </c>
      <c r="E48" s="9">
        <f>IF(F47&gt;0.9,E47,SQRT(D47*E47))</f>
        <v/>
      </c>
      <c r="F48" s="47">
        <f>SUMPRODUCT($B$4:$B$6,1-NORMSDIST((LN(SQRT(D48*E48))-LN($C$4:$C$6))/$B$9))</f>
        <v/>
      </c>
      <c r="G48" s="9">
        <f>IF(I47&gt;0.75,SQRT(G47*H47),G47)</f>
        <v/>
      </c>
      <c r="H48" s="9">
        <f>IF(I47&gt;0.75,H47,SQRT(G47*H47))</f>
        <v/>
      </c>
      <c r="I48" s="47">
        <f>SUMPRODUCT($B$4:$B$6,1-NORMSDIST((LN(SQRT(G48*H48))-LN($C$4:$C$6))/$B$9))</f>
        <v/>
      </c>
      <c r="J48" s="9">
        <f>IF(L47&gt;0.25,SQRT(J47*K47),J47)</f>
        <v/>
      </c>
      <c r="K48" s="9">
        <f>IF(L47&gt;0.25,K47,SQRT(J47*K47))</f>
        <v/>
      </c>
      <c r="L48" s="47">
        <f>SUMPRODUCT($B$4:$B$6,1-NORMSDIST((LN(SQRT(J48*K48))-LN($C$4:$C$6))/$B$9))</f>
        <v/>
      </c>
      <c r="M48" s="9">
        <f>IF(O47&gt;0.09999999999999998,SQRT(M47*N47),M47)</f>
        <v/>
      </c>
      <c r="N48" s="9">
        <f>IF(O47&gt;0.09999999999999998,N47,SQRT(M47*N47))</f>
        <v/>
      </c>
      <c r="O48" s="47">
        <f>SUMPRODUCT($B$4:$B$6,1-NORMSDIST((LN(SQRT(M48*N48))-LN($C$4:$C$6))/$B$9))</f>
        <v/>
      </c>
    </row>
    <row r="49">
      <c r="A49" s="9">
        <f>IF(C48&gt;0.5,SQRT(A48*B48),A48)</f>
        <v/>
      </c>
      <c r="B49" s="9">
        <f>IF(C48&gt;0.5,B48,SQRT(A48*B48))</f>
        <v/>
      </c>
      <c r="C49" s="47">
        <f>SUMPRODUCT($B$4:$B$6,1-NORMSDIST((LN(SQRT(A49*B49))-LN($C$4:$C$6))/$B$9))</f>
        <v/>
      </c>
      <c r="D49" s="9">
        <f>IF(F48&gt;0.9,SQRT(D48*E48),D48)</f>
        <v/>
      </c>
      <c r="E49" s="9">
        <f>IF(F48&gt;0.9,E48,SQRT(D48*E48))</f>
        <v/>
      </c>
      <c r="F49" s="47">
        <f>SUMPRODUCT($B$4:$B$6,1-NORMSDIST((LN(SQRT(D49*E49))-LN($C$4:$C$6))/$B$9))</f>
        <v/>
      </c>
      <c r="G49" s="9">
        <f>IF(I48&gt;0.75,SQRT(G48*H48),G48)</f>
        <v/>
      </c>
      <c r="H49" s="9">
        <f>IF(I48&gt;0.75,H48,SQRT(G48*H48))</f>
        <v/>
      </c>
      <c r="I49" s="47">
        <f>SUMPRODUCT($B$4:$B$6,1-NORMSDIST((LN(SQRT(G49*H49))-LN($C$4:$C$6))/$B$9))</f>
        <v/>
      </c>
      <c r="J49" s="9">
        <f>IF(L48&gt;0.25,SQRT(J48*K48),J48)</f>
        <v/>
      </c>
      <c r="K49" s="9">
        <f>IF(L48&gt;0.25,K48,SQRT(J48*K48))</f>
        <v/>
      </c>
      <c r="L49" s="47">
        <f>SUMPRODUCT($B$4:$B$6,1-NORMSDIST((LN(SQRT(J49*K49))-LN($C$4:$C$6))/$B$9))</f>
        <v/>
      </c>
      <c r="M49" s="9">
        <f>IF(O48&gt;0.09999999999999998,SQRT(M48*N48),M48)</f>
        <v/>
      </c>
      <c r="N49" s="9">
        <f>IF(O48&gt;0.09999999999999998,N48,SQRT(M48*N48))</f>
        <v/>
      </c>
      <c r="O49" s="47">
        <f>SUMPRODUCT($B$4:$B$6,1-NORMSDIST((LN(SQRT(M49*N49))-LN($C$4:$C$6))/$B$9))</f>
        <v/>
      </c>
    </row>
    <row r="50">
      <c r="A50" s="9">
        <f>IF(C49&gt;0.5,SQRT(A49*B49),A49)</f>
        <v/>
      </c>
      <c r="B50" s="9">
        <f>IF(C49&gt;0.5,B49,SQRT(A49*B49))</f>
        <v/>
      </c>
      <c r="C50" s="47">
        <f>SUMPRODUCT($B$4:$B$6,1-NORMSDIST((LN(SQRT(A50*B50))-LN($C$4:$C$6))/$B$9))</f>
        <v/>
      </c>
      <c r="D50" s="9">
        <f>IF(F49&gt;0.9,SQRT(D49*E49),D49)</f>
        <v/>
      </c>
      <c r="E50" s="9">
        <f>IF(F49&gt;0.9,E49,SQRT(D49*E49))</f>
        <v/>
      </c>
      <c r="F50" s="47">
        <f>SUMPRODUCT($B$4:$B$6,1-NORMSDIST((LN(SQRT(D50*E50))-LN($C$4:$C$6))/$B$9))</f>
        <v/>
      </c>
      <c r="G50" s="9">
        <f>IF(I49&gt;0.75,SQRT(G49*H49),G49)</f>
        <v/>
      </c>
      <c r="H50" s="9">
        <f>IF(I49&gt;0.75,H49,SQRT(G49*H49))</f>
        <v/>
      </c>
      <c r="I50" s="47">
        <f>SUMPRODUCT($B$4:$B$6,1-NORMSDIST((LN(SQRT(G50*H50))-LN($C$4:$C$6))/$B$9))</f>
        <v/>
      </c>
      <c r="J50" s="9">
        <f>IF(L49&gt;0.25,SQRT(J49*K49),J49)</f>
        <v/>
      </c>
      <c r="K50" s="9">
        <f>IF(L49&gt;0.25,K49,SQRT(J49*K49))</f>
        <v/>
      </c>
      <c r="L50" s="47">
        <f>SUMPRODUCT($B$4:$B$6,1-NORMSDIST((LN(SQRT(J50*K50))-LN($C$4:$C$6))/$B$9))</f>
        <v/>
      </c>
      <c r="M50" s="9">
        <f>IF(O49&gt;0.09999999999999998,SQRT(M49*N49),M49)</f>
        <v/>
      </c>
      <c r="N50" s="9">
        <f>IF(O49&gt;0.09999999999999998,N49,SQRT(M49*N49))</f>
        <v/>
      </c>
      <c r="O50" s="47">
        <f>SUMPRODUCT($B$4:$B$6,1-NORMSDIST((LN(SQRT(M50*N50))-LN($C$4:$C$6))/$B$9))</f>
        <v/>
      </c>
    </row>
    <row r="51">
      <c r="A51" s="9">
        <f>IF(C50&gt;0.5,SQRT(A50*B50),A50)</f>
        <v/>
      </c>
      <c r="B51" s="9">
        <f>IF(C50&gt;0.5,B50,SQRT(A50*B50))</f>
        <v/>
      </c>
      <c r="C51" s="47">
        <f>SUMPRODUCT($B$4:$B$6,1-NORMSDIST((LN(SQRT(A51*B51))-LN($C$4:$C$6))/$B$9))</f>
        <v/>
      </c>
      <c r="D51" s="9">
        <f>IF(F50&gt;0.9,SQRT(D50*E50),D50)</f>
        <v/>
      </c>
      <c r="E51" s="9">
        <f>IF(F50&gt;0.9,E50,SQRT(D50*E50))</f>
        <v/>
      </c>
      <c r="F51" s="47">
        <f>SUMPRODUCT($B$4:$B$6,1-NORMSDIST((LN(SQRT(D51*E51))-LN($C$4:$C$6))/$B$9))</f>
        <v/>
      </c>
      <c r="G51" s="9">
        <f>IF(I50&gt;0.75,SQRT(G50*H50),G50)</f>
        <v/>
      </c>
      <c r="H51" s="9">
        <f>IF(I50&gt;0.75,H50,SQRT(G50*H50))</f>
        <v/>
      </c>
      <c r="I51" s="47">
        <f>SUMPRODUCT($B$4:$B$6,1-NORMSDIST((LN(SQRT(G51*H51))-LN($C$4:$C$6))/$B$9))</f>
        <v/>
      </c>
      <c r="J51" s="9">
        <f>IF(L50&gt;0.25,SQRT(J50*K50),J50)</f>
        <v/>
      </c>
      <c r="K51" s="9">
        <f>IF(L50&gt;0.25,K50,SQRT(J50*K50))</f>
        <v/>
      </c>
      <c r="L51" s="47">
        <f>SUMPRODUCT($B$4:$B$6,1-NORMSDIST((LN(SQRT(J51*K51))-LN($C$4:$C$6))/$B$9))</f>
        <v/>
      </c>
      <c r="M51" s="9">
        <f>IF(O50&gt;0.09999999999999998,SQRT(M50*N50),M50)</f>
        <v/>
      </c>
      <c r="N51" s="9">
        <f>IF(O50&gt;0.09999999999999998,N50,SQRT(M50*N50))</f>
        <v/>
      </c>
      <c r="O51" s="47">
        <f>SUMPRODUCT($B$4:$B$6,1-NORMSDIST((LN(SQRT(M51*N51))-LN($C$4:$C$6))/$B$9))</f>
        <v/>
      </c>
    </row>
    <row r="52">
      <c r="A52" s="9">
        <f>IF(C51&gt;0.5,SQRT(A51*B51),A51)</f>
        <v/>
      </c>
      <c r="B52" s="9">
        <f>IF(C51&gt;0.5,B51,SQRT(A51*B51))</f>
        <v/>
      </c>
      <c r="C52" s="47">
        <f>SUMPRODUCT($B$4:$B$6,1-NORMSDIST((LN(SQRT(A52*B52))-LN($C$4:$C$6))/$B$9))</f>
        <v/>
      </c>
      <c r="D52" s="9">
        <f>IF(F51&gt;0.9,SQRT(D51*E51),D51)</f>
        <v/>
      </c>
      <c r="E52" s="9">
        <f>IF(F51&gt;0.9,E51,SQRT(D51*E51))</f>
        <v/>
      </c>
      <c r="F52" s="47">
        <f>SUMPRODUCT($B$4:$B$6,1-NORMSDIST((LN(SQRT(D52*E52))-LN($C$4:$C$6))/$B$9))</f>
        <v/>
      </c>
      <c r="G52" s="9">
        <f>IF(I51&gt;0.75,SQRT(G51*H51),G51)</f>
        <v/>
      </c>
      <c r="H52" s="9">
        <f>IF(I51&gt;0.75,H51,SQRT(G51*H51))</f>
        <v/>
      </c>
      <c r="I52" s="47">
        <f>SUMPRODUCT($B$4:$B$6,1-NORMSDIST((LN(SQRT(G52*H52))-LN($C$4:$C$6))/$B$9))</f>
        <v/>
      </c>
      <c r="J52" s="9">
        <f>IF(L51&gt;0.25,SQRT(J51*K51),J51)</f>
        <v/>
      </c>
      <c r="K52" s="9">
        <f>IF(L51&gt;0.25,K51,SQRT(J51*K51))</f>
        <v/>
      </c>
      <c r="L52" s="47">
        <f>SUMPRODUCT($B$4:$B$6,1-NORMSDIST((LN(SQRT(J52*K52))-LN($C$4:$C$6))/$B$9))</f>
        <v/>
      </c>
      <c r="M52" s="9">
        <f>IF(O51&gt;0.09999999999999998,SQRT(M51*N51),M51)</f>
        <v/>
      </c>
      <c r="N52" s="9">
        <f>IF(O51&gt;0.09999999999999998,N51,SQRT(M51*N51))</f>
        <v/>
      </c>
      <c r="O52" s="47">
        <f>SUMPRODUCT($B$4:$B$6,1-NORMSDIST((LN(SQRT(M52*N52))-LN($C$4:$C$6))/$B$9))</f>
        <v/>
      </c>
    </row>
    <row r="53">
      <c r="A53" s="9">
        <f>IF(C52&gt;0.5,SQRT(A52*B52),A52)</f>
        <v/>
      </c>
      <c r="B53" s="9">
        <f>IF(C52&gt;0.5,B52,SQRT(A52*B52))</f>
        <v/>
      </c>
      <c r="C53" s="47">
        <f>SUMPRODUCT($B$4:$B$6,1-NORMSDIST((LN(SQRT(A53*B53))-LN($C$4:$C$6))/$B$9))</f>
        <v/>
      </c>
      <c r="D53" s="9">
        <f>IF(F52&gt;0.9,SQRT(D52*E52),D52)</f>
        <v/>
      </c>
      <c r="E53" s="9">
        <f>IF(F52&gt;0.9,E52,SQRT(D52*E52))</f>
        <v/>
      </c>
      <c r="F53" s="47">
        <f>SUMPRODUCT($B$4:$B$6,1-NORMSDIST((LN(SQRT(D53*E53))-LN($C$4:$C$6))/$B$9))</f>
        <v/>
      </c>
      <c r="G53" s="9">
        <f>IF(I52&gt;0.75,SQRT(G52*H52),G52)</f>
        <v/>
      </c>
      <c r="H53" s="9">
        <f>IF(I52&gt;0.75,H52,SQRT(G52*H52))</f>
        <v/>
      </c>
      <c r="I53" s="47">
        <f>SUMPRODUCT($B$4:$B$6,1-NORMSDIST((LN(SQRT(G53*H53))-LN($C$4:$C$6))/$B$9))</f>
        <v/>
      </c>
      <c r="J53" s="9">
        <f>IF(L52&gt;0.25,SQRT(J52*K52),J52)</f>
        <v/>
      </c>
      <c r="K53" s="9">
        <f>IF(L52&gt;0.25,K52,SQRT(J52*K52))</f>
        <v/>
      </c>
      <c r="L53" s="47">
        <f>SUMPRODUCT($B$4:$B$6,1-NORMSDIST((LN(SQRT(J53*K53))-LN($C$4:$C$6))/$B$9))</f>
        <v/>
      </c>
      <c r="M53" s="9">
        <f>IF(O52&gt;0.09999999999999998,SQRT(M52*N52),M52)</f>
        <v/>
      </c>
      <c r="N53" s="9">
        <f>IF(O52&gt;0.09999999999999998,N52,SQRT(M52*N52))</f>
        <v/>
      </c>
      <c r="O53" s="47">
        <f>SUMPRODUCT($B$4:$B$6,1-NORMSDIST((LN(SQRT(M53*N53))-LN($C$4:$C$6))/$B$9))</f>
        <v/>
      </c>
    </row>
    <row r="54">
      <c r="A54" s="9">
        <f>IF(C53&gt;0.5,SQRT(A53*B53),A53)</f>
        <v/>
      </c>
      <c r="B54" s="9">
        <f>IF(C53&gt;0.5,B53,SQRT(A53*B53))</f>
        <v/>
      </c>
      <c r="C54" s="47">
        <f>SUMPRODUCT($B$4:$B$6,1-NORMSDIST((LN(SQRT(A54*B54))-LN($C$4:$C$6))/$B$9))</f>
        <v/>
      </c>
      <c r="D54" s="9">
        <f>IF(F53&gt;0.9,SQRT(D53*E53),D53)</f>
        <v/>
      </c>
      <c r="E54" s="9">
        <f>IF(F53&gt;0.9,E53,SQRT(D53*E53))</f>
        <v/>
      </c>
      <c r="F54" s="47">
        <f>SUMPRODUCT($B$4:$B$6,1-NORMSDIST((LN(SQRT(D54*E54))-LN($C$4:$C$6))/$B$9))</f>
        <v/>
      </c>
      <c r="G54" s="9">
        <f>IF(I53&gt;0.75,SQRT(G53*H53),G53)</f>
        <v/>
      </c>
      <c r="H54" s="9">
        <f>IF(I53&gt;0.75,H53,SQRT(G53*H53))</f>
        <v/>
      </c>
      <c r="I54" s="47">
        <f>SUMPRODUCT($B$4:$B$6,1-NORMSDIST((LN(SQRT(G54*H54))-LN($C$4:$C$6))/$B$9))</f>
        <v/>
      </c>
      <c r="J54" s="9">
        <f>IF(L53&gt;0.25,SQRT(J53*K53),J53)</f>
        <v/>
      </c>
      <c r="K54" s="9">
        <f>IF(L53&gt;0.25,K53,SQRT(J53*K53))</f>
        <v/>
      </c>
      <c r="L54" s="47">
        <f>SUMPRODUCT($B$4:$B$6,1-NORMSDIST((LN(SQRT(J54*K54))-LN($C$4:$C$6))/$B$9))</f>
        <v/>
      </c>
      <c r="M54" s="9">
        <f>IF(O53&gt;0.09999999999999998,SQRT(M53*N53),M53)</f>
        <v/>
      </c>
      <c r="N54" s="9">
        <f>IF(O53&gt;0.09999999999999998,N53,SQRT(M53*N53))</f>
        <v/>
      </c>
      <c r="O54" s="47">
        <f>SUMPRODUCT($B$4:$B$6,1-NORMSDIST((LN(SQRT(M54*N54))-LN($C$4:$C$6))/$B$9))</f>
        <v/>
      </c>
    </row>
    <row r="55">
      <c r="A55" s="9">
        <f>IF(C54&gt;0.5,SQRT(A54*B54),A54)</f>
        <v/>
      </c>
      <c r="B55" s="9">
        <f>IF(C54&gt;0.5,B54,SQRT(A54*B54))</f>
        <v/>
      </c>
      <c r="C55" s="47">
        <f>SUMPRODUCT($B$4:$B$6,1-NORMSDIST((LN(SQRT(A55*B55))-LN($C$4:$C$6))/$B$9))</f>
        <v/>
      </c>
      <c r="D55" s="9">
        <f>IF(F54&gt;0.9,SQRT(D54*E54),D54)</f>
        <v/>
      </c>
      <c r="E55" s="9">
        <f>IF(F54&gt;0.9,E54,SQRT(D54*E54))</f>
        <v/>
      </c>
      <c r="F55" s="47">
        <f>SUMPRODUCT($B$4:$B$6,1-NORMSDIST((LN(SQRT(D55*E55))-LN($C$4:$C$6))/$B$9))</f>
        <v/>
      </c>
      <c r="G55" s="9">
        <f>IF(I54&gt;0.75,SQRT(G54*H54),G54)</f>
        <v/>
      </c>
      <c r="H55" s="9">
        <f>IF(I54&gt;0.75,H54,SQRT(G54*H54))</f>
        <v/>
      </c>
      <c r="I55" s="47">
        <f>SUMPRODUCT($B$4:$B$6,1-NORMSDIST((LN(SQRT(G55*H55))-LN($C$4:$C$6))/$B$9))</f>
        <v/>
      </c>
      <c r="J55" s="9">
        <f>IF(L54&gt;0.25,SQRT(J54*K54),J54)</f>
        <v/>
      </c>
      <c r="K55" s="9">
        <f>IF(L54&gt;0.25,K54,SQRT(J54*K54))</f>
        <v/>
      </c>
      <c r="L55" s="47">
        <f>SUMPRODUCT($B$4:$B$6,1-NORMSDIST((LN(SQRT(J55*K55))-LN($C$4:$C$6))/$B$9))</f>
        <v/>
      </c>
      <c r="M55" s="9">
        <f>IF(O54&gt;0.09999999999999998,SQRT(M54*N54),M54)</f>
        <v/>
      </c>
      <c r="N55" s="9">
        <f>IF(O54&gt;0.09999999999999998,N54,SQRT(M54*N54))</f>
        <v/>
      </c>
      <c r="O55" s="47">
        <f>SUMPRODUCT($B$4:$B$6,1-NORMSDIST((LN(SQRT(M55*N55))-LN($C$4:$C$6))/$B$9))</f>
        <v/>
      </c>
    </row>
    <row r="56">
      <c r="A56" s="9">
        <f>IF(C55&gt;0.5,SQRT(A55*B55),A55)</f>
        <v/>
      </c>
      <c r="B56" s="9">
        <f>IF(C55&gt;0.5,B55,SQRT(A55*B55))</f>
        <v/>
      </c>
      <c r="C56" s="47">
        <f>SUMPRODUCT($B$4:$B$6,1-NORMSDIST((LN(SQRT(A56*B56))-LN($C$4:$C$6))/$B$9))</f>
        <v/>
      </c>
      <c r="D56" s="9">
        <f>IF(F55&gt;0.9,SQRT(D55*E55),D55)</f>
        <v/>
      </c>
      <c r="E56" s="9">
        <f>IF(F55&gt;0.9,E55,SQRT(D55*E55))</f>
        <v/>
      </c>
      <c r="F56" s="47">
        <f>SUMPRODUCT($B$4:$B$6,1-NORMSDIST((LN(SQRT(D56*E56))-LN($C$4:$C$6))/$B$9))</f>
        <v/>
      </c>
      <c r="G56" s="9">
        <f>IF(I55&gt;0.75,SQRT(G55*H55),G55)</f>
        <v/>
      </c>
      <c r="H56" s="9">
        <f>IF(I55&gt;0.75,H55,SQRT(G55*H55))</f>
        <v/>
      </c>
      <c r="I56" s="47">
        <f>SUMPRODUCT($B$4:$B$6,1-NORMSDIST((LN(SQRT(G56*H56))-LN($C$4:$C$6))/$B$9))</f>
        <v/>
      </c>
      <c r="J56" s="9">
        <f>IF(L55&gt;0.25,SQRT(J55*K55),J55)</f>
        <v/>
      </c>
      <c r="K56" s="9">
        <f>IF(L55&gt;0.25,K55,SQRT(J55*K55))</f>
        <v/>
      </c>
      <c r="L56" s="47">
        <f>SUMPRODUCT($B$4:$B$6,1-NORMSDIST((LN(SQRT(J56*K56))-LN($C$4:$C$6))/$B$9))</f>
        <v/>
      </c>
      <c r="M56" s="9">
        <f>IF(O55&gt;0.09999999999999998,SQRT(M55*N55),M55)</f>
        <v/>
      </c>
      <c r="N56" s="9">
        <f>IF(O55&gt;0.09999999999999998,N55,SQRT(M55*N55))</f>
        <v/>
      </c>
      <c r="O56" s="47">
        <f>SUMPRODUCT($B$4:$B$6,1-NORMSDIST((LN(SQRT(M56*N56))-LN($C$4:$C$6))/$B$9))</f>
        <v/>
      </c>
    </row>
    <row r="57">
      <c r="A57" s="9">
        <f>IF(C56&gt;0.5,SQRT(A56*B56),A56)</f>
        <v/>
      </c>
      <c r="B57" s="9">
        <f>IF(C56&gt;0.5,B56,SQRT(A56*B56))</f>
        <v/>
      </c>
      <c r="C57" s="47">
        <f>SUMPRODUCT($B$4:$B$6,1-NORMSDIST((LN(SQRT(A57*B57))-LN($C$4:$C$6))/$B$9))</f>
        <v/>
      </c>
      <c r="D57" s="9">
        <f>IF(F56&gt;0.9,SQRT(D56*E56),D56)</f>
        <v/>
      </c>
      <c r="E57" s="9">
        <f>IF(F56&gt;0.9,E56,SQRT(D56*E56))</f>
        <v/>
      </c>
      <c r="F57" s="47">
        <f>SUMPRODUCT($B$4:$B$6,1-NORMSDIST((LN(SQRT(D57*E57))-LN($C$4:$C$6))/$B$9))</f>
        <v/>
      </c>
      <c r="G57" s="9">
        <f>IF(I56&gt;0.75,SQRT(G56*H56),G56)</f>
        <v/>
      </c>
      <c r="H57" s="9">
        <f>IF(I56&gt;0.75,H56,SQRT(G56*H56))</f>
        <v/>
      </c>
      <c r="I57" s="47">
        <f>SUMPRODUCT($B$4:$B$6,1-NORMSDIST((LN(SQRT(G57*H57))-LN($C$4:$C$6))/$B$9))</f>
        <v/>
      </c>
      <c r="J57" s="9">
        <f>IF(L56&gt;0.25,SQRT(J56*K56),J56)</f>
        <v/>
      </c>
      <c r="K57" s="9">
        <f>IF(L56&gt;0.25,K56,SQRT(J56*K56))</f>
        <v/>
      </c>
      <c r="L57" s="47">
        <f>SUMPRODUCT($B$4:$B$6,1-NORMSDIST((LN(SQRT(J57*K57))-LN($C$4:$C$6))/$B$9))</f>
        <v/>
      </c>
      <c r="M57" s="9">
        <f>IF(O56&gt;0.09999999999999998,SQRT(M56*N56),M56)</f>
        <v/>
      </c>
      <c r="N57" s="9">
        <f>IF(O56&gt;0.09999999999999998,N56,SQRT(M56*N56))</f>
        <v/>
      </c>
      <c r="O57" s="47">
        <f>SUMPRODUCT($B$4:$B$6,1-NORMSDIST((LN(SQRT(M57*N57))-LN($C$4:$C$6))/$B$9))</f>
        <v/>
      </c>
    </row>
    <row r="58">
      <c r="A58" s="9">
        <f>IF(C57&gt;0.5,SQRT(A57*B57),A57)</f>
        <v/>
      </c>
      <c r="B58" s="9">
        <f>IF(C57&gt;0.5,B57,SQRT(A57*B57))</f>
        <v/>
      </c>
      <c r="C58" s="47">
        <f>SUMPRODUCT($B$4:$B$6,1-NORMSDIST((LN(SQRT(A58*B58))-LN($C$4:$C$6))/$B$9))</f>
        <v/>
      </c>
      <c r="D58" s="9">
        <f>IF(F57&gt;0.9,SQRT(D57*E57),D57)</f>
        <v/>
      </c>
      <c r="E58" s="9">
        <f>IF(F57&gt;0.9,E57,SQRT(D57*E57))</f>
        <v/>
      </c>
      <c r="F58" s="47">
        <f>SUMPRODUCT($B$4:$B$6,1-NORMSDIST((LN(SQRT(D58*E58))-LN($C$4:$C$6))/$B$9))</f>
        <v/>
      </c>
      <c r="G58" s="9">
        <f>IF(I57&gt;0.75,SQRT(G57*H57),G57)</f>
        <v/>
      </c>
      <c r="H58" s="9">
        <f>IF(I57&gt;0.75,H57,SQRT(G57*H57))</f>
        <v/>
      </c>
      <c r="I58" s="47">
        <f>SUMPRODUCT($B$4:$B$6,1-NORMSDIST((LN(SQRT(G58*H58))-LN($C$4:$C$6))/$B$9))</f>
        <v/>
      </c>
      <c r="J58" s="9">
        <f>IF(L57&gt;0.25,SQRT(J57*K57),J57)</f>
        <v/>
      </c>
      <c r="K58" s="9">
        <f>IF(L57&gt;0.25,K57,SQRT(J57*K57))</f>
        <v/>
      </c>
      <c r="L58" s="47">
        <f>SUMPRODUCT($B$4:$B$6,1-NORMSDIST((LN(SQRT(J58*K58))-LN($C$4:$C$6))/$B$9))</f>
        <v/>
      </c>
      <c r="M58" s="9">
        <f>IF(O57&gt;0.09999999999999998,SQRT(M57*N57),M57)</f>
        <v/>
      </c>
      <c r="N58" s="9">
        <f>IF(O57&gt;0.09999999999999998,N57,SQRT(M57*N57))</f>
        <v/>
      </c>
      <c r="O58" s="47">
        <f>SUMPRODUCT($B$4:$B$6,1-NORMSDIST((LN(SQRT(M58*N58))-LN($C$4:$C$6))/$B$9))</f>
        <v/>
      </c>
    </row>
    <row r="59">
      <c r="A59" s="9">
        <f>IF(C58&gt;0.5,SQRT(A58*B58),A58)</f>
        <v/>
      </c>
      <c r="B59" s="9">
        <f>IF(C58&gt;0.5,B58,SQRT(A58*B58))</f>
        <v/>
      </c>
      <c r="C59" s="47">
        <f>SUMPRODUCT($B$4:$B$6,1-NORMSDIST((LN(SQRT(A59*B59))-LN($C$4:$C$6))/$B$9))</f>
        <v/>
      </c>
      <c r="D59" s="9">
        <f>IF(F58&gt;0.9,SQRT(D58*E58),D58)</f>
        <v/>
      </c>
      <c r="E59" s="9">
        <f>IF(F58&gt;0.9,E58,SQRT(D58*E58))</f>
        <v/>
      </c>
      <c r="F59" s="47">
        <f>SUMPRODUCT($B$4:$B$6,1-NORMSDIST((LN(SQRT(D59*E59))-LN($C$4:$C$6))/$B$9))</f>
        <v/>
      </c>
      <c r="G59" s="9">
        <f>IF(I58&gt;0.75,SQRT(G58*H58),G58)</f>
        <v/>
      </c>
      <c r="H59" s="9">
        <f>IF(I58&gt;0.75,H58,SQRT(G58*H58))</f>
        <v/>
      </c>
      <c r="I59" s="47">
        <f>SUMPRODUCT($B$4:$B$6,1-NORMSDIST((LN(SQRT(G59*H59))-LN($C$4:$C$6))/$B$9))</f>
        <v/>
      </c>
      <c r="J59" s="9">
        <f>IF(L58&gt;0.25,SQRT(J58*K58),J58)</f>
        <v/>
      </c>
      <c r="K59" s="9">
        <f>IF(L58&gt;0.25,K58,SQRT(J58*K58))</f>
        <v/>
      </c>
      <c r="L59" s="47">
        <f>SUMPRODUCT($B$4:$B$6,1-NORMSDIST((LN(SQRT(J59*K59))-LN($C$4:$C$6))/$B$9))</f>
        <v/>
      </c>
      <c r="M59" s="9">
        <f>IF(O58&gt;0.09999999999999998,SQRT(M58*N58),M58)</f>
        <v/>
      </c>
      <c r="N59" s="9">
        <f>IF(O58&gt;0.09999999999999998,N58,SQRT(M58*N58))</f>
        <v/>
      </c>
      <c r="O59" s="47">
        <f>SUMPRODUCT($B$4:$B$6,1-NORMSDIST((LN(SQRT(M59*N59))-LN($C$4:$C$6))/$B$9))</f>
        <v/>
      </c>
    </row>
    <row r="60">
      <c r="A60" s="9">
        <f>IF(C59&gt;0.5,SQRT(A59*B59),A59)</f>
        <v/>
      </c>
      <c r="B60" s="9">
        <f>IF(C59&gt;0.5,B59,SQRT(A59*B59))</f>
        <v/>
      </c>
      <c r="C60" s="47">
        <f>SUMPRODUCT($B$4:$B$6,1-NORMSDIST((LN(SQRT(A60*B60))-LN($C$4:$C$6))/$B$9))</f>
        <v/>
      </c>
      <c r="D60" s="9">
        <f>IF(F59&gt;0.9,SQRT(D59*E59),D59)</f>
        <v/>
      </c>
      <c r="E60" s="9">
        <f>IF(F59&gt;0.9,E59,SQRT(D59*E59))</f>
        <v/>
      </c>
      <c r="F60" s="47">
        <f>SUMPRODUCT($B$4:$B$6,1-NORMSDIST((LN(SQRT(D60*E60))-LN($C$4:$C$6))/$B$9))</f>
        <v/>
      </c>
      <c r="G60" s="9">
        <f>IF(I59&gt;0.75,SQRT(G59*H59),G59)</f>
        <v/>
      </c>
      <c r="H60" s="9">
        <f>IF(I59&gt;0.75,H59,SQRT(G59*H59))</f>
        <v/>
      </c>
      <c r="I60" s="47">
        <f>SUMPRODUCT($B$4:$B$6,1-NORMSDIST((LN(SQRT(G60*H60))-LN($C$4:$C$6))/$B$9))</f>
        <v/>
      </c>
      <c r="J60" s="9">
        <f>IF(L59&gt;0.25,SQRT(J59*K59),J59)</f>
        <v/>
      </c>
      <c r="K60" s="9">
        <f>IF(L59&gt;0.25,K59,SQRT(J59*K59))</f>
        <v/>
      </c>
      <c r="L60" s="47">
        <f>SUMPRODUCT($B$4:$B$6,1-NORMSDIST((LN(SQRT(J60*K60))-LN($C$4:$C$6))/$B$9))</f>
        <v/>
      </c>
      <c r="M60" s="9">
        <f>IF(O59&gt;0.09999999999999998,SQRT(M59*N59),M59)</f>
        <v/>
      </c>
      <c r="N60" s="9">
        <f>IF(O59&gt;0.09999999999999998,N59,SQRT(M59*N59))</f>
        <v/>
      </c>
      <c r="O60" s="47">
        <f>SUMPRODUCT($B$4:$B$6,1-NORMSDIST((LN(SQRT(M60*N60))-LN($C$4:$C$6))/$B$9))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2"/>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AMZN engine calculation: research target (12m) (reconciled set, no scenario deltas)</t>
        </is>
      </c>
    </row>
    <row r="2">
      <c r="A2" s="2" t="inlineStr">
        <is>
          <t>Machinery behind the Valuation and Distribution tabs; drivers come from Model, assumptions from Valuation.</t>
        </is>
      </c>
    </row>
    <row r="4">
      <c r="A4" t="inlineStr">
        <is>
          <t>Scenario Growth Δ</t>
        </is>
      </c>
      <c r="B4" s="18" t="n">
        <v>0</v>
      </c>
    </row>
    <row r="5">
      <c r="A5" t="inlineStr">
        <is>
          <t>Scenario Margin Δ</t>
        </is>
      </c>
      <c r="B5" s="18" t="n">
        <v>0</v>
      </c>
    </row>
    <row r="6">
      <c r="A6" t="inlineStr">
        <is>
          <t>Scenario Multiple Δ (turns)</t>
        </is>
      </c>
      <c r="B6" s="48" t="n">
        <v>0</v>
      </c>
    </row>
    <row r="7">
      <c r="A7" t="inlineStr">
        <is>
          <t>Scenario WACC Δ</t>
        </is>
      </c>
      <c r="B7" s="18" t="n">
        <v>0</v>
      </c>
    </row>
    <row r="8">
      <c r="A8" t="inlineStr">
        <is>
          <t>Scenario Multiple %Δ</t>
        </is>
      </c>
      <c r="B8" s="18" t="n">
        <v>0</v>
      </c>
    </row>
    <row r="9">
      <c r="A9" t="inlineStr">
        <is>
          <t>Scenario Stated EPS/FCF %Δ</t>
        </is>
      </c>
      <c r="B9" s="18" t="n">
        <v>0</v>
      </c>
    </row>
    <row r="10">
      <c r="A10" t="inlineStr">
        <is>
          <t>Scenario Custom %Δ</t>
        </is>
      </c>
      <c r="B10" s="18" t="n">
        <v>0</v>
      </c>
    </row>
    <row r="12">
      <c r="A12" t="inlineStr">
        <is>
          <t>WACC</t>
        </is>
      </c>
      <c r="B12" s="18">
        <f>Valuation!$B$51+B7</f>
        <v/>
      </c>
    </row>
    <row r="13">
      <c r="A13" t="inlineStr">
        <is>
          <t>Years from last FY end to target date</t>
        </is>
      </c>
      <c r="B13" s="49">
        <f>(Valuation!$B$45-Valuation!$B$49)/365.25</f>
        <v/>
      </c>
    </row>
    <row r="14">
      <c r="A14" t="inlineStr">
        <is>
          <t>Years from last FY end to balance date</t>
        </is>
      </c>
      <c r="B14" s="49">
        <f>(Valuation!$B$55-Valuation!$B$49)/365.25</f>
        <v/>
      </c>
    </row>
    <row r="15">
      <c r="A15" t="inlineStr">
        <is>
          <t>Years from last FY end to share count date</t>
        </is>
      </c>
      <c r="B15" s="49">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Valuation!$B$49+ROUND(365.25*C19,0)</f>
        <v/>
      </c>
      <c r="D20" s="20">
        <f>Valuation!$B$49+ROUND(365.25*D19,0)</f>
        <v/>
      </c>
      <c r="E20" s="20">
        <f>Valuation!$B$49+ROUND(365.25*E19,0)</f>
        <v/>
      </c>
    </row>
    <row r="21">
      <c r="A21" t="inlineStr">
        <is>
          <t>Revenue growth</t>
        </is>
      </c>
      <c r="C21" s="18">
        <f>C22/B22-1</f>
        <v/>
      </c>
      <c r="D21" s="18">
        <f>D22/C22-1</f>
        <v/>
      </c>
      <c r="E21" s="18">
        <f>E22/D22-1</f>
        <v/>
      </c>
    </row>
    <row r="22">
      <c r="A22" t="inlineStr">
        <is>
          <t>Revenue</t>
        </is>
      </c>
      <c r="B22" s="23">
        <f>Valuation!$B$50</f>
        <v/>
      </c>
      <c r="C22" s="23">
        <f>C139</f>
        <v/>
      </c>
      <c r="D22" s="23">
        <f>D139</f>
        <v/>
      </c>
      <c r="E22" s="23">
        <f>E139</f>
        <v/>
      </c>
    </row>
    <row r="23">
      <c r="A23" t="inlineStr">
        <is>
          <t>EBIT margin</t>
        </is>
      </c>
      <c r="C23" s="18">
        <f>C24/C22</f>
        <v/>
      </c>
      <c r="D23" s="18">
        <f>D24/D22</f>
        <v/>
      </c>
      <c r="E23" s="18">
        <f>E24/E22</f>
        <v/>
      </c>
    </row>
    <row r="24">
      <c r="A24" t="inlineStr">
        <is>
          <t>EBIT</t>
        </is>
      </c>
      <c r="C24" s="23">
        <f>C142</f>
        <v/>
      </c>
      <c r="D24" s="23">
        <f>D142</f>
        <v/>
      </c>
      <c r="E24" s="23">
        <f>E142</f>
        <v/>
      </c>
    </row>
    <row r="25">
      <c r="A25" t="inlineStr">
        <is>
          <t>Tax rate</t>
        </is>
      </c>
      <c r="C25" s="18">
        <f>Model!E63</f>
        <v/>
      </c>
      <c r="D25" s="18">
        <f>Model!F63</f>
        <v/>
      </c>
      <c r="E25" s="18">
        <f>Model!G63</f>
        <v/>
      </c>
    </row>
    <row r="26">
      <c r="A26" t="inlineStr">
        <is>
          <t>NOPAT</t>
        </is>
      </c>
      <c r="C26" s="23">
        <f>C24*(1-C25)</f>
        <v/>
      </c>
      <c r="D26" s="23">
        <f>D24*(1-D25)</f>
        <v/>
      </c>
      <c r="E26" s="23">
        <f>E24*(1-E25)</f>
        <v/>
      </c>
    </row>
    <row r="27">
      <c r="A27" t="inlineStr">
        <is>
          <t>D&amp;A</t>
        </is>
      </c>
      <c r="C27" s="23">
        <f>C22*(Model!E64)</f>
        <v/>
      </c>
      <c r="D27" s="23">
        <f>D22*(Model!F64)</f>
        <v/>
      </c>
      <c r="E27" s="23">
        <f>E22*(Model!G64)</f>
        <v/>
      </c>
    </row>
    <row r="28">
      <c r="A28" t="inlineStr">
        <is>
          <t>Capex</t>
        </is>
      </c>
      <c r="C28" s="23">
        <f>C22*(Model!E65)</f>
        <v/>
      </c>
      <c r="D28" s="23">
        <f>D22*(Model!F65)</f>
        <v/>
      </c>
      <c r="E28" s="23">
        <f>E22*(Model!G65)</f>
        <v/>
      </c>
    </row>
    <row r="29">
      <c r="A29" t="inlineStr">
        <is>
          <t>Working capital increase</t>
        </is>
      </c>
      <c r="C29" s="23">
        <f>(Model!E66)*(C22-B22)</f>
        <v/>
      </c>
      <c r="D29" s="23">
        <f>(Model!F66)*(D22-C22)</f>
        <v/>
      </c>
      <c r="E29" s="23">
        <f>(Model!G66)*(E22-D22)</f>
        <v/>
      </c>
    </row>
    <row r="30">
      <c r="A30" t="inlineStr">
        <is>
          <t>Stock comp</t>
        </is>
      </c>
      <c r="C30" s="23">
        <f>C22*(Model!E67)</f>
        <v/>
      </c>
      <c r="D30" s="23">
        <f>D22*(Model!F67)</f>
        <v/>
      </c>
      <c r="E30" s="23">
        <f>E22*(Model!G67)</f>
        <v/>
      </c>
    </row>
    <row r="31">
      <c r="A31" t="inlineStr">
        <is>
          <t>Free cash flow to firm</t>
        </is>
      </c>
      <c r="C31" s="23">
        <f>C26+C27-C28-C29-IF(AND(Valuation!$B$47="adjusted",Valuation!$B$48="cost"),C30*(1-C25),0)</f>
        <v/>
      </c>
      <c r="D31" s="23">
        <f>D26+D27-D28-D29-IF(AND(Valuation!$B$47="adjusted",Valuation!$B$48="cost"),D30*(1-D25),0)</f>
        <v/>
      </c>
      <c r="E31" s="23">
        <f>E26+E27-E28-E29-IF(AND(Valuation!$B$47="adjusted",Valuation!$B$48="cost"),E30*(1-E25),0)</f>
        <v/>
      </c>
    </row>
    <row r="32">
      <c r="A32" t="inlineStr">
        <is>
          <t>EBITDA</t>
        </is>
      </c>
      <c r="C32" s="23">
        <f>C24+C27</f>
        <v/>
      </c>
      <c r="D32" s="23">
        <f>D24+D27</f>
        <v/>
      </c>
      <c r="E32" s="23">
        <f>E24+E27</f>
        <v/>
      </c>
    </row>
    <row r="33">
      <c r="A33" t="inlineStr">
        <is>
          <t>Adj. EBITDA</t>
        </is>
      </c>
      <c r="C33" s="23">
        <f>C24+C27+C22*(Model!E71)</f>
        <v/>
      </c>
      <c r="D33" s="23">
        <f>D24+D27+D22*(Model!F71)</f>
        <v/>
      </c>
      <c r="E33" s="23">
        <f>E24+E27+E22*(Model!G71)</f>
        <v/>
      </c>
    </row>
    <row r="34">
      <c r="A34" t="inlineStr">
        <is>
          <t>Shareholder returns + other uses</t>
        </is>
      </c>
      <c r="C34" s="23">
        <f>C22*Model!E69+Model!E68+Model!E70</f>
        <v/>
      </c>
      <c r="D34" s="23">
        <f>D22*Model!F69+Model!F68+Model!F70</f>
        <v/>
      </c>
      <c r="E34" s="23">
        <f>E22*Model!G69+Model!G68+Model!G70</f>
        <v/>
      </c>
    </row>
    <row r="35">
      <c r="A35" t="inlineStr">
        <is>
          <t>Share of year after target date</t>
        </is>
      </c>
      <c r="C35" s="49">
        <f>IF(C19&lt;=$B$13,0,C19-MAX(C19-1,$B$13))</f>
        <v/>
      </c>
      <c r="D35" s="49">
        <f>IF(D19&lt;=$B$13,0,D19-MAX(D19-1,$B$13))</f>
        <v/>
      </c>
      <c r="E35" s="49">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9">
        <f>MAX(0,MIN(C19,$B$13)-MAX(C19-1,$B$14))</f>
        <v/>
      </c>
      <c r="D37" s="49">
        <f>MAX(0,MIN(D19,$B$13)-MAX(D19-1,$B$14))</f>
        <v/>
      </c>
      <c r="E37" s="49">
        <f>MAX(0,MIN(E19,$B$13)-MAX(E19-1,$B$14))</f>
        <v/>
      </c>
    </row>
    <row r="38">
      <c r="A38" t="inlineStr">
        <is>
          <t>NTM weight at target date</t>
        </is>
      </c>
      <c r="C38" s="49">
        <f>MAX(0,MIN(C19,$B$13+1)-MAX(C19-1,$B$13))</f>
        <v/>
      </c>
      <c r="D38" s="49">
        <f>MAX(0,MIN(D19,$B$13+1)-MAX(D19-1,$B$13))</f>
        <v/>
      </c>
      <c r="E38" s="49">
        <f>MAX(0,MIN(E19,$B$13+1)-MAX(E19-1,$B$13))</f>
        <v/>
      </c>
    </row>
    <row r="39">
      <c r="A39" t="inlineStr">
        <is>
          <t>LTM weight at target date</t>
        </is>
      </c>
      <c r="B39" s="49">
        <f>MAX(0,MIN(0,$B$13)-MAX(-1,$B$13-1))</f>
        <v/>
      </c>
      <c r="C39" s="49">
        <f>MAX(0,MIN(C19,$B$13)-MAX(C19-1,$B$13-1))</f>
        <v/>
      </c>
      <c r="D39" s="49">
        <f>MAX(0,MIN(D19,$B$13)-MAX(D19-1,$B$13-1))</f>
        <v/>
      </c>
      <c r="E39" s="49">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IF(Valuation!$B$52="exit_multiple",Valuation!$B$54*E32,E31*(1+Valuation!$B$53)/($B$12-Valuation!$B$53))</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Valuation!$B$58*(1-$C$25)*MAX(Valuation!$B$56,0)*MAX($B$13-$B$14,0)</f>
        <v/>
      </c>
    </row>
    <row r="50">
      <c r="A50" t="inlineStr">
        <is>
          <t>Net debt at target date</t>
        </is>
      </c>
      <c r="B50" s="23">
        <f>IF(Valuation!$B$59="",Valuation!$B$56-B47+B49+B48,Valuation!$B$59)</f>
        <v/>
      </c>
    </row>
    <row r="51">
      <c r="A51" t="inlineStr">
        <is>
          <t>Minority interests</t>
        </is>
      </c>
      <c r="B51" s="23">
        <f>Valuation!$B$57</f>
        <v/>
      </c>
    </row>
    <row r="52">
      <c r="A52" t="inlineStr">
        <is>
          <t>Adjustments (probability-weighted)</t>
        </is>
      </c>
      <c r="B52" s="23">
        <f>(Valuation!B79)*Valuation!C79+(Valuation!B80)*Valuation!C80+(Valuation!B81)*Valuation!C81+(Valuation!B82)*Valuation!C82+(Valuation!B83)*Valuation!C83+(Valuation!B84)*Valuation!C84+(Valuation!B85)*Valuation!C85+(Valuation!B86)*Valuation!C86+(Valuation!B87)*Valuation!C87+(Valuation!B88)*Valuation!C88+0</f>
        <v/>
      </c>
    </row>
    <row r="53">
      <c r="A53" t="inlineStr">
        <is>
          <t>Diluted shares at target date (M)</t>
        </is>
      </c>
      <c r="B53" s="28">
        <f>IF(Valuation!$B$63="",Valuation!$B$60*(1+Valuation!$B$62)^MAX($B$13-$B$15,0),Valuation!$B$63)</f>
        <v/>
      </c>
    </row>
    <row r="54">
      <c r="A54" t="inlineStr">
        <is>
          <t>After-tax interest on target-date net debt</t>
        </is>
      </c>
      <c r="B54" s="23">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Valuation!$B$64</f>
        <v/>
      </c>
    </row>
    <row r="68">
      <c r="A68">
        <f>"Multiple: "&amp;Valuation!A70&amp;" ("&amp;Valuation!D70&amp;")"</f>
        <v/>
      </c>
      <c r="B68">
        <f>Valuation!A70</f>
        <v/>
      </c>
      <c r="C68" s="9">
        <f>IF(B68="FCF yield",(Valuation!B70)*(1-$B$8),(Valuation!B70)+IF(B68="EV/sales",0.1,1)*$B$6)</f>
        <v/>
      </c>
      <c r="D68">
        <f>Valuation!D70</f>
        <v/>
      </c>
      <c r="E68" s="23">
        <f>IF(D68="ltm",CHOOSE(H68,$C$59,$C$60,$C$61,$C$62,$C$63,$C$64),CHOOSE(H68,$B$59,$B$60,$B$61,$B$62,$B$63,$B$64))</f>
        <v/>
      </c>
      <c r="F68" s="9">
        <f>IF(OR(B68="EV/EBITDA",B68="EV/sales",B68="EV/EBIT"),((C68*E68)-$B$50-$B$51+$B$52)/$B$53,IF(B68="P/E",IF(Valuation!F70&lt;&gt;"",C68*(Valuation!F70)*(1+$B$9),C68*(E68-$B$54)/$B$53),IF(Valuation!G70&lt;&gt;"",(Valuation!G70)*(1+$B$9)/C68,(E68-IF(Valuation!H70,$B$54,0))/C68/$B$53))+$B$52/$B$53)</f>
        <v/>
      </c>
      <c r="G68" s="18">
        <f>Valuation!C70</f>
        <v/>
      </c>
      <c r="H68">
        <f>IF(B68="EV/sales",1,IF(B68="EV/EBIT",2,IF(B68="EV/EBITDA",IF(Valuation!E70="adjusted",4,3),IF(B68="P/E",5,6))))</f>
        <v/>
      </c>
      <c r="I68" s="50">
        <f>IF(AND(B68="P/E",Valuation!F70&lt;&gt;""),(Valuation!F70)*(1+$B$9),IF(AND(B68="FCF yield",Valuation!G70&lt;&gt;""),(Valuation!G70)*(1+$B$9),E68))</f>
        <v/>
      </c>
    </row>
    <row r="69">
      <c r="A69" t="inlineStr">
        <is>
          <t>Sum of the parts</t>
        </is>
      </c>
      <c r="F69" s="9">
        <f>((((Valuation!B73)*(Valuation!D73)+(Valuation!B74)*(Valuation!D74)+(Valuation!B75)*(Valuation!D75)+(Valuation!B76)*(Valuation!D76))*(1+$B$8))-$B$50-$B$51+$B$52)/$B$53</f>
        <v/>
      </c>
      <c r="G69" s="18">
        <f>Valuation!$B$65</f>
        <v/>
      </c>
    </row>
    <row r="70">
      <c r="A70" s="19" t="inlineStr">
        <is>
          <t>Value per share at target date (weighted methods)</t>
        </is>
      </c>
      <c r="F70" s="6">
        <f>SUMPRODUCT(F67:F69,G67:G69)/SUM(G67:G69)</f>
        <v/>
      </c>
    </row>
    <row r="129">
      <c r="A129" s="19" t="inlineStr">
        <is>
          <t>Segment build (model_engine.seg_build): revenue and EBIT are the segment sums plus corporate EBIT</t>
        </is>
      </c>
    </row>
    <row r="130">
      <c r="A130" s="3" t="inlineStr">
        <is>
          <t>Segment</t>
        </is>
      </c>
      <c r="B130" s="3" t="inlineStr">
        <is>
          <t>Base</t>
        </is>
      </c>
      <c r="C130" s="3">
        <f>Model!E5</f>
        <v/>
      </c>
      <c r="D130" s="3">
        <f>Model!F5</f>
        <v/>
      </c>
      <c r="E130" s="3">
        <f>Model!G5</f>
        <v/>
      </c>
    </row>
    <row r="131">
      <c r="A131" t="inlineStr">
        <is>
          <t>AWS: revenue growth</t>
        </is>
      </c>
      <c r="C131" s="18">
        <f>Model!E12+$B$4</f>
        <v/>
      </c>
      <c r="D131" s="18">
        <f>Model!F12+$B$4</f>
        <v/>
      </c>
      <c r="E131" s="18">
        <f>Model!G12+$B$4</f>
        <v/>
      </c>
    </row>
    <row r="132">
      <c r="A132" t="inlineStr">
        <is>
          <t>AWS: revenue</t>
        </is>
      </c>
      <c r="B132" s="10">
        <f>Valuation!$B$99</f>
        <v/>
      </c>
      <c r="C132" s="23">
        <f>B132*(1+C131)</f>
        <v/>
      </c>
      <c r="D132" s="23">
        <f>C132*(1+D131)</f>
        <v/>
      </c>
      <c r="E132" s="23">
        <f>D132*(1+E131)</f>
        <v/>
      </c>
    </row>
    <row r="133">
      <c r="A133" t="inlineStr">
        <is>
          <t>AWS: EBIT margin</t>
        </is>
      </c>
      <c r="C133" s="18">
        <f>Model!E14+$B$5</f>
        <v/>
      </c>
      <c r="D133" s="18">
        <f>Model!F14+$B$5</f>
        <v/>
      </c>
      <c r="E133" s="18">
        <f>Model!G14+$B$5</f>
        <v/>
      </c>
    </row>
    <row r="134">
      <c r="A134" t="inlineStr">
        <is>
          <t>AWS: EBIT</t>
        </is>
      </c>
      <c r="C134" s="23">
        <f>C132*C133</f>
        <v/>
      </c>
      <c r="D134" s="23">
        <f>D132*D133</f>
        <v/>
      </c>
      <c r="E134" s="23">
        <f>E132*E133</f>
        <v/>
      </c>
    </row>
    <row r="135">
      <c r="A135" t="inlineStr">
        <is>
          <t>North America + International: revenue growth</t>
        </is>
      </c>
      <c r="C135" s="18">
        <f>Model!E16+$B$4</f>
        <v/>
      </c>
      <c r="D135" s="18">
        <f>Model!F16+$B$4</f>
        <v/>
      </c>
      <c r="E135" s="18">
        <f>Model!G16+$B$4</f>
        <v/>
      </c>
    </row>
    <row r="136">
      <c r="A136" t="inlineStr">
        <is>
          <t>North America + International: revenue</t>
        </is>
      </c>
      <c r="B136" s="10">
        <f>Valuation!$B$100</f>
        <v/>
      </c>
      <c r="C136" s="23">
        <f>B136*(1+C135)</f>
        <v/>
      </c>
      <c r="D136" s="23">
        <f>C136*(1+D135)</f>
        <v/>
      </c>
      <c r="E136" s="23">
        <f>D136*(1+E135)</f>
        <v/>
      </c>
    </row>
    <row r="137">
      <c r="A137" t="inlineStr">
        <is>
          <t>North America + International: EBIT margin</t>
        </is>
      </c>
      <c r="C137" s="18">
        <f>Model!E18+$B$5</f>
        <v/>
      </c>
      <c r="D137" s="18">
        <f>Model!F18+$B$5</f>
        <v/>
      </c>
      <c r="E137" s="18">
        <f>Model!G18+$B$5</f>
        <v/>
      </c>
    </row>
    <row r="138">
      <c r="A138" t="inlineStr">
        <is>
          <t>North America + International: EBIT</t>
        </is>
      </c>
      <c r="C138" s="23">
        <f>C136*C137</f>
        <v/>
      </c>
      <c r="D138" s="23">
        <f>D136*D137</f>
        <v/>
      </c>
      <c r="E138" s="23">
        <f>E136*E137</f>
        <v/>
      </c>
    </row>
    <row r="139">
      <c r="A139" s="19" t="inlineStr">
        <is>
          <t>Total segment revenue</t>
        </is>
      </c>
      <c r="C139" s="23">
        <f>C132+C136</f>
        <v/>
      </c>
      <c r="D139" s="23">
        <f>D132+D136</f>
        <v/>
      </c>
      <c r="E139" s="23">
        <f>E132+E136</f>
        <v/>
      </c>
    </row>
    <row r="140">
      <c r="A140" t="inlineStr">
        <is>
          <t>Total segment EBIT</t>
        </is>
      </c>
      <c r="C140" s="23">
        <f>C134+C138</f>
        <v/>
      </c>
      <c r="D140" s="23">
        <f>D134+D138</f>
        <v/>
      </c>
      <c r="E140" s="23">
        <f>E134+E138</f>
        <v/>
      </c>
    </row>
    <row r="141">
      <c r="A141" t="inlineStr">
        <is>
          <t>Corporate / unallocated EBIT</t>
        </is>
      </c>
      <c r="C141" s="10">
        <f>Model!E21</f>
        <v/>
      </c>
      <c r="D141" s="10">
        <f>Model!F21</f>
        <v/>
      </c>
      <c r="E141" s="10">
        <f>Model!G21</f>
        <v/>
      </c>
    </row>
    <row r="142">
      <c r="A142" s="19" t="inlineStr">
        <is>
          <t>EBIT (segments + corporate)</t>
        </is>
      </c>
      <c r="C142" s="23">
        <f>C140+C141</f>
        <v/>
      </c>
      <c r="D142" s="23">
        <f>D140+D141</f>
        <v/>
      </c>
      <c r="E142" s="23">
        <f>E140+E141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6"/>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AMZN engine calculation: bear scenario</t>
        </is>
      </c>
    </row>
    <row r="2">
      <c r="A2" s="2" t="inlineStr">
        <is>
          <t>Machinery behind the Valuation and Distribution tabs; drivers come from Model, assumptions from Valuation.</t>
        </is>
      </c>
    </row>
    <row r="4">
      <c r="A4" t="inlineStr">
        <is>
          <t>Scenario Growth Δ</t>
        </is>
      </c>
      <c r="B4" s="12">
        <f>N(Valuation!C94)</f>
        <v/>
      </c>
    </row>
    <row r="5">
      <c r="A5" t="inlineStr">
        <is>
          <t>Scenario Margin Δ</t>
        </is>
      </c>
      <c r="B5" s="12">
        <f>N(Valuation!D94)</f>
        <v/>
      </c>
    </row>
    <row r="6">
      <c r="A6" t="inlineStr">
        <is>
          <t>Scenario Multiple Δ (turns)</t>
        </is>
      </c>
      <c r="B6" s="51">
        <f>N(Valuation!E94)</f>
        <v/>
      </c>
    </row>
    <row r="7">
      <c r="A7" t="inlineStr">
        <is>
          <t>Scenario WACC Δ</t>
        </is>
      </c>
      <c r="B7" s="12">
        <f>N(Valuation!F94)</f>
        <v/>
      </c>
    </row>
    <row r="8">
      <c r="A8" t="inlineStr">
        <is>
          <t>Scenario Multiple %Δ</t>
        </is>
      </c>
      <c r="B8" s="12">
        <f>N(Valuation!G94)</f>
        <v/>
      </c>
    </row>
    <row r="9">
      <c r="A9" t="inlineStr">
        <is>
          <t>Scenario Stated EPS/FCF %Δ</t>
        </is>
      </c>
      <c r="B9" s="12">
        <f>N(Valuation!H94)</f>
        <v/>
      </c>
    </row>
    <row r="10">
      <c r="A10" t="inlineStr">
        <is>
          <t>Scenario Custom %Δ</t>
        </is>
      </c>
      <c r="B10" s="12">
        <f>N(Valuation!I94)</f>
        <v/>
      </c>
    </row>
    <row r="12">
      <c r="A12" t="inlineStr">
        <is>
          <t>WACC</t>
        </is>
      </c>
      <c r="B12" s="18">
        <f>Valuation!$B$51+B7</f>
        <v/>
      </c>
    </row>
    <row r="13">
      <c r="A13" t="inlineStr">
        <is>
          <t>Years from last FY end to target date</t>
        </is>
      </c>
      <c r="B13" s="49">
        <f>(Valuation!$B$45-Valuation!$B$49)/365.25</f>
        <v/>
      </c>
    </row>
    <row r="14">
      <c r="A14" t="inlineStr">
        <is>
          <t>Years from last FY end to balance date</t>
        </is>
      </c>
      <c r="B14" s="49">
        <f>(Valuation!$B$55-Valuation!$B$49)/365.25</f>
        <v/>
      </c>
    </row>
    <row r="15">
      <c r="A15" t="inlineStr">
        <is>
          <t>Years from last FY end to share count date</t>
        </is>
      </c>
      <c r="B15" s="49">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Valuation!$B$49+ROUND(365.25*C19,0)</f>
        <v/>
      </c>
      <c r="D20" s="20">
        <f>Valuation!$B$49+ROUND(365.25*D19,0)</f>
        <v/>
      </c>
      <c r="E20" s="20">
        <f>Valuation!$B$49+ROUND(365.25*E19,0)</f>
        <v/>
      </c>
    </row>
    <row r="21">
      <c r="A21" t="inlineStr">
        <is>
          <t>Revenue growth</t>
        </is>
      </c>
      <c r="C21" s="18">
        <f>C22/B22-1</f>
        <v/>
      </c>
      <c r="D21" s="18">
        <f>D22/C22-1</f>
        <v/>
      </c>
      <c r="E21" s="18">
        <f>E22/D22-1</f>
        <v/>
      </c>
    </row>
    <row r="22">
      <c r="A22" t="inlineStr">
        <is>
          <t>Revenue</t>
        </is>
      </c>
      <c r="B22" s="23">
        <f>Valuation!$B$50</f>
        <v/>
      </c>
      <c r="C22" s="23">
        <f>C139</f>
        <v/>
      </c>
      <c r="D22" s="23">
        <f>D139</f>
        <v/>
      </c>
      <c r="E22" s="23">
        <f>E139</f>
        <v/>
      </c>
    </row>
    <row r="23">
      <c r="A23" t="inlineStr">
        <is>
          <t>EBIT margin</t>
        </is>
      </c>
      <c r="C23" s="18">
        <f>C24/C22</f>
        <v/>
      </c>
      <c r="D23" s="18">
        <f>D24/D22</f>
        <v/>
      </c>
      <c r="E23" s="18">
        <f>E24/E22</f>
        <v/>
      </c>
    </row>
    <row r="24">
      <c r="A24" t="inlineStr">
        <is>
          <t>EBIT</t>
        </is>
      </c>
      <c r="C24" s="23">
        <f>C142</f>
        <v/>
      </c>
      <c r="D24" s="23">
        <f>D142</f>
        <v/>
      </c>
      <c r="E24" s="23">
        <f>E142</f>
        <v/>
      </c>
    </row>
    <row r="25">
      <c r="A25" t="inlineStr">
        <is>
          <t>Tax rate</t>
        </is>
      </c>
      <c r="C25" s="18">
        <f>Model!E63</f>
        <v/>
      </c>
      <c r="D25" s="18">
        <f>Model!F63</f>
        <v/>
      </c>
      <c r="E25" s="18">
        <f>Model!G63</f>
        <v/>
      </c>
    </row>
    <row r="26">
      <c r="A26" t="inlineStr">
        <is>
          <t>NOPAT</t>
        </is>
      </c>
      <c r="C26" s="23">
        <f>C24*(1-C25)</f>
        <v/>
      </c>
      <c r="D26" s="23">
        <f>D24*(1-D25)</f>
        <v/>
      </c>
      <c r="E26" s="23">
        <f>E24*(1-E25)</f>
        <v/>
      </c>
    </row>
    <row r="27">
      <c r="A27" t="inlineStr">
        <is>
          <t>D&amp;A</t>
        </is>
      </c>
      <c r="C27" s="23">
        <f>C22*(Model!E64+$B$250)</f>
        <v/>
      </c>
      <c r="D27" s="23">
        <f>D22*(Model!F64+$B$251)</f>
        <v/>
      </c>
      <c r="E27" s="23">
        <f>E22*(Model!G64+$B$252)</f>
        <v/>
      </c>
    </row>
    <row r="28">
      <c r="A28" t="inlineStr">
        <is>
          <t>Capex</t>
        </is>
      </c>
      <c r="C28" s="23">
        <f>C22*(Model!E65)</f>
        <v/>
      </c>
      <c r="D28" s="23">
        <f>D22*(Model!F65)</f>
        <v/>
      </c>
      <c r="E28" s="23">
        <f>E22*(Model!G65)</f>
        <v/>
      </c>
    </row>
    <row r="29">
      <c r="A29" t="inlineStr">
        <is>
          <t>Working capital increase</t>
        </is>
      </c>
      <c r="C29" s="23">
        <f>(Model!E66)*(C22-B22)</f>
        <v/>
      </c>
      <c r="D29" s="23">
        <f>(Model!F66)*(D22-C22)</f>
        <v/>
      </c>
      <c r="E29" s="23">
        <f>(Model!G66)*(E22-D22)</f>
        <v/>
      </c>
    </row>
    <row r="30">
      <c r="A30" t="inlineStr">
        <is>
          <t>Stock comp</t>
        </is>
      </c>
      <c r="C30" s="23">
        <f>C22*(Model!E67)</f>
        <v/>
      </c>
      <c r="D30" s="23">
        <f>D22*(Model!F67)</f>
        <v/>
      </c>
      <c r="E30" s="23">
        <f>E22*(Model!G67)</f>
        <v/>
      </c>
    </row>
    <row r="31">
      <c r="A31" t="inlineStr">
        <is>
          <t>Free cash flow to firm</t>
        </is>
      </c>
      <c r="C31" s="23">
        <f>C26+C27-C28-C29-IF(AND(Valuation!$B$47="adjusted",Valuation!$B$48="cost"),C30*(1-C25),0)</f>
        <v/>
      </c>
      <c r="D31" s="23">
        <f>D26+D27-D28-D29-IF(AND(Valuation!$B$47="adjusted",Valuation!$B$48="cost"),D30*(1-D25),0)</f>
        <v/>
      </c>
      <c r="E31" s="23">
        <f>E26+E27-E28-E29-IF(AND(Valuation!$B$47="adjusted",Valuation!$B$48="cost"),E30*(1-E25),0)</f>
        <v/>
      </c>
    </row>
    <row r="32">
      <c r="A32" t="inlineStr">
        <is>
          <t>EBITDA</t>
        </is>
      </c>
      <c r="C32" s="23">
        <f>C24+C27</f>
        <v/>
      </c>
      <c r="D32" s="23">
        <f>D24+D27</f>
        <v/>
      </c>
      <c r="E32" s="23">
        <f>E24+E27</f>
        <v/>
      </c>
    </row>
    <row r="33">
      <c r="A33" t="inlineStr">
        <is>
          <t>Adj. EBITDA</t>
        </is>
      </c>
      <c r="C33" s="23">
        <f>C24+C27+C22*(Model!E71)</f>
        <v/>
      </c>
      <c r="D33" s="23">
        <f>D24+D27+D22*(Model!F71)</f>
        <v/>
      </c>
      <c r="E33" s="23">
        <f>E24+E27+E22*(Model!G71)</f>
        <v/>
      </c>
    </row>
    <row r="34">
      <c r="A34" t="inlineStr">
        <is>
          <t>Shareholder returns + other uses</t>
        </is>
      </c>
      <c r="C34" s="23">
        <f>C22*Model!E69+Model!E68+Model!E70</f>
        <v/>
      </c>
      <c r="D34" s="23">
        <f>D22*Model!F69+Model!F68+Model!F70</f>
        <v/>
      </c>
      <c r="E34" s="23">
        <f>E22*Model!G69+Model!G68+Model!G70</f>
        <v/>
      </c>
    </row>
    <row r="35">
      <c r="A35" t="inlineStr">
        <is>
          <t>Share of year after target date</t>
        </is>
      </c>
      <c r="C35" s="49">
        <f>IF(C19&lt;=$B$13,0,C19-MAX(C19-1,$B$13))</f>
        <v/>
      </c>
      <c r="D35" s="49">
        <f>IF(D19&lt;=$B$13,0,D19-MAX(D19-1,$B$13))</f>
        <v/>
      </c>
      <c r="E35" s="49">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9">
        <f>MAX(0,MIN(C19,$B$13)-MAX(C19-1,$B$14))</f>
        <v/>
      </c>
      <c r="D37" s="49">
        <f>MAX(0,MIN(D19,$B$13)-MAX(D19-1,$B$14))</f>
        <v/>
      </c>
      <c r="E37" s="49">
        <f>MAX(0,MIN(E19,$B$13)-MAX(E19-1,$B$14))</f>
        <v/>
      </c>
    </row>
    <row r="38">
      <c r="A38" t="inlineStr">
        <is>
          <t>NTM weight at target date</t>
        </is>
      </c>
      <c r="C38" s="49">
        <f>MAX(0,MIN(C19,$B$13+1)-MAX(C19-1,$B$13))</f>
        <v/>
      </c>
      <c r="D38" s="49">
        <f>MAX(0,MIN(D19,$B$13+1)-MAX(D19-1,$B$13))</f>
        <v/>
      </c>
      <c r="E38" s="49">
        <f>MAX(0,MIN(E19,$B$13+1)-MAX(E19-1,$B$13))</f>
        <v/>
      </c>
    </row>
    <row r="39">
      <c r="A39" t="inlineStr">
        <is>
          <t>LTM weight at target date</t>
        </is>
      </c>
      <c r="B39" s="49">
        <f>MAX(0,MIN(0,$B$13)-MAX(-1,$B$13-1))</f>
        <v/>
      </c>
      <c r="C39" s="49">
        <f>MAX(0,MIN(C19,$B$13)-MAX(C19-1,$B$13-1))</f>
        <v/>
      </c>
      <c r="D39" s="49">
        <f>MAX(0,MIN(D19,$B$13)-MAX(D19-1,$B$13-1))</f>
        <v/>
      </c>
      <c r="E39" s="49">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IF(Valuation!$B$52="exit_multiple",Valuation!$B$54*E32,E31*(1+Valuation!$B$53)/($B$12-Valuation!$B$53))</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Valuation!$B$58*(1-$C$25)*MAX(Valuation!$B$56,0)*MAX($B$13-$B$14,0)</f>
        <v/>
      </c>
    </row>
    <row r="50">
      <c r="A50" t="inlineStr">
        <is>
          <t>Net debt at target date</t>
        </is>
      </c>
      <c r="B50" s="23">
        <f>IF(Valuation!$B$59="",Valuation!$B$56-B47+B49+B48,Valuation!$B$59)</f>
        <v/>
      </c>
    </row>
    <row r="51">
      <c r="A51" t="inlineStr">
        <is>
          <t>Minority interests</t>
        </is>
      </c>
      <c r="B51" s="23">
        <f>Valuation!$B$57</f>
        <v/>
      </c>
    </row>
    <row r="52">
      <c r="A52" t="inlineStr">
        <is>
          <t>Adjustments (probability-weighted)</t>
        </is>
      </c>
      <c r="B52" s="23">
        <f>(Valuation!B79)*Valuation!C79+(Valuation!B80)*Valuation!C80+(Valuation!B81)*Valuation!C81+(Valuation!B82)*Valuation!C82+(Valuation!B83)*Valuation!C83+(Valuation!B84)*Valuation!C84+(Valuation!B85)*Valuation!C85+(Valuation!B86)*Valuation!C86+(Valuation!B87+$B$263)*Valuation!C87+(Valuation!B88)*Valuation!C88+0</f>
        <v/>
      </c>
    </row>
    <row r="53">
      <c r="A53" t="inlineStr">
        <is>
          <t>Diluted shares at target date (M)</t>
        </is>
      </c>
      <c r="B53" s="28">
        <f>IF(Valuation!$B$63="",Valuation!$B$60*(1+Valuation!$B$62)^MAX($B$13-$B$15,0),Valuation!$B$63)</f>
        <v/>
      </c>
    </row>
    <row r="54">
      <c r="A54" t="inlineStr">
        <is>
          <t>After-tax interest on target-date net debt</t>
        </is>
      </c>
      <c r="B54" s="23">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Valuation!$B$64</f>
        <v/>
      </c>
    </row>
    <row r="68">
      <c r="A68">
        <f>"Multiple: "&amp;Valuation!A70&amp;" ("&amp;Valuation!D70&amp;")"</f>
        <v/>
      </c>
      <c r="B68">
        <f>Valuation!A70</f>
        <v/>
      </c>
      <c r="C68" s="9">
        <f>IF(B68="FCF yield",(Valuation!B70)*(1-$B$8),(Valuation!B70)+IF(B68="EV/sales",0.1,1)*$B$6)</f>
        <v/>
      </c>
      <c r="D68">
        <f>Valuation!D70</f>
        <v/>
      </c>
      <c r="E68" s="23">
        <f>IF(D68="ltm",CHOOSE(H68,$C$59,$C$60,$C$61,$C$62,$C$63,$C$64),CHOOSE(H68,$B$59,$B$60,$B$61,$B$62,$B$63,$B$64))</f>
        <v/>
      </c>
      <c r="F68" s="9">
        <f>IF(OR(B68="EV/EBITDA",B68="EV/sales",B68="EV/EBIT"),((C68*E68)-$B$50-$B$51+$B$52)/$B$53,IF(B68="P/E",IF(Valuation!F70&lt;&gt;"",C68*(Valuation!F70+$B$264)*(1+$B$9),C68*(E68-$B$54)/$B$53),IF(Valuation!G70&lt;&gt;"",(Valuation!G70)*(1+$B$9)/C68,(E68-IF(Valuation!H70,$B$54,0))/C68/$B$53))+$B$52/$B$53)</f>
        <v/>
      </c>
      <c r="G68" s="18">
        <f>Valuation!C70</f>
        <v/>
      </c>
      <c r="H68">
        <f>IF(B68="EV/sales",1,IF(B68="EV/EBIT",2,IF(B68="EV/EBITDA",IF(Valuation!E70="adjusted",4,3),IF(B68="P/E",5,6))))</f>
        <v/>
      </c>
      <c r="I68" s="50">
        <f>IF(AND(B68="P/E",Valuation!F70&lt;&gt;""),(Valuation!F70+$B$264)*(1+$B$9),IF(AND(B68="FCF yield",Valuation!G70&lt;&gt;""),(Valuation!G70)*(1+$B$9),E68))</f>
        <v/>
      </c>
    </row>
    <row r="69">
      <c r="A69" t="inlineStr">
        <is>
          <t>Sum of the parts</t>
        </is>
      </c>
      <c r="F69" s="9">
        <f>((((Valuation!B73+$B$265)*(Valuation!D73)+(Valuation!B74+$B$266)*(Valuation!D74)+(Valuation!B75)*(Valuation!D75)+(Valuation!B76)*(Valuation!D76))*(1+$B$8))-$B$50-$B$51+$B$52)/$B$53</f>
        <v/>
      </c>
      <c r="G69" s="18">
        <f>Valuation!$B$65</f>
        <v/>
      </c>
    </row>
    <row r="70">
      <c r="A70" s="19" t="inlineStr">
        <is>
          <t>Value per share at target date (weighted methods)</t>
        </is>
      </c>
      <c r="F70" s="6">
        <f>SUMPRODUCT(F67:F69,G67:G69)/SUM(G67:G69)</f>
        <v/>
      </c>
    </row>
    <row r="129">
      <c r="A129" s="19" t="inlineStr">
        <is>
          <t>Segment build (model_engine.seg_build): revenue and EBIT are the segment sums plus corporate EBIT</t>
        </is>
      </c>
    </row>
    <row r="130">
      <c r="A130" s="3" t="inlineStr">
        <is>
          <t>Segment</t>
        </is>
      </c>
      <c r="B130" s="3" t="inlineStr">
        <is>
          <t>Base</t>
        </is>
      </c>
      <c r="C130" s="3">
        <f>Model!E5</f>
        <v/>
      </c>
      <c r="D130" s="3">
        <f>Model!F5</f>
        <v/>
      </c>
      <c r="E130" s="3">
        <f>Model!G5</f>
        <v/>
      </c>
    </row>
    <row r="131">
      <c r="A131" t="inlineStr">
        <is>
          <t>AWS: revenue growth</t>
        </is>
      </c>
      <c r="C131" s="18">
        <f>Model!E12+$B$4+$B$253</f>
        <v/>
      </c>
      <c r="D131" s="18">
        <f>Model!F12+$B$4</f>
        <v/>
      </c>
      <c r="E131" s="18">
        <f>Model!G12+$B$4</f>
        <v/>
      </c>
    </row>
    <row r="132">
      <c r="A132" t="inlineStr">
        <is>
          <t>AWS: revenue</t>
        </is>
      </c>
      <c r="B132" s="10">
        <f>Valuation!$B$99</f>
        <v/>
      </c>
      <c r="C132" s="23">
        <f>B132*(1+C131)</f>
        <v/>
      </c>
      <c r="D132" s="23">
        <f>C132*(1+D131)</f>
        <v/>
      </c>
      <c r="E132" s="23">
        <f>D132*(1+E131)</f>
        <v/>
      </c>
    </row>
    <row r="133">
      <c r="A133" t="inlineStr">
        <is>
          <t>AWS: EBIT margin</t>
        </is>
      </c>
      <c r="C133" s="18">
        <f>Model!E14+$B$5+$B$254</f>
        <v/>
      </c>
      <c r="D133" s="18">
        <f>Model!F14+$B$5+$B$255</f>
        <v/>
      </c>
      <c r="E133" s="18">
        <f>Model!G14+$B$5+$B$256</f>
        <v/>
      </c>
    </row>
    <row r="134">
      <c r="A134" t="inlineStr">
        <is>
          <t>AWS: EBIT</t>
        </is>
      </c>
      <c r="C134" s="23">
        <f>C132*C133</f>
        <v/>
      </c>
      <c r="D134" s="23">
        <f>D132*D133</f>
        <v/>
      </c>
      <c r="E134" s="23">
        <f>E132*E133</f>
        <v/>
      </c>
    </row>
    <row r="135">
      <c r="A135" t="inlineStr">
        <is>
          <t>North America + International: revenue growth</t>
        </is>
      </c>
      <c r="C135" s="18">
        <f>Model!E16+$B$4+$B$257</f>
        <v/>
      </c>
      <c r="D135" s="18">
        <f>Model!F16+$B$4+$B$259</f>
        <v/>
      </c>
      <c r="E135" s="18">
        <f>Model!G16+$B$4+$B$261</f>
        <v/>
      </c>
    </row>
    <row r="136">
      <c r="A136" t="inlineStr">
        <is>
          <t>North America + International: revenue</t>
        </is>
      </c>
      <c r="B136" s="10">
        <f>Valuation!$B$100</f>
        <v/>
      </c>
      <c r="C136" s="23">
        <f>B136*(1+C135)</f>
        <v/>
      </c>
      <c r="D136" s="23">
        <f>C136*(1+D135)</f>
        <v/>
      </c>
      <c r="E136" s="23">
        <f>D136*(1+E135)</f>
        <v/>
      </c>
    </row>
    <row r="137">
      <c r="A137" t="inlineStr">
        <is>
          <t>North America + International: EBIT margin</t>
        </is>
      </c>
      <c r="C137" s="18">
        <f>Model!E18+$B$5+$B$258</f>
        <v/>
      </c>
      <c r="D137" s="18">
        <f>Model!F18+$B$5+$B$260</f>
        <v/>
      </c>
      <c r="E137" s="18">
        <f>Model!G18+$B$5+$B$262</f>
        <v/>
      </c>
    </row>
    <row r="138">
      <c r="A138" t="inlineStr">
        <is>
          <t>North America + International: EBIT</t>
        </is>
      </c>
      <c r="C138" s="23">
        <f>C136*C137</f>
        <v/>
      </c>
      <c r="D138" s="23">
        <f>D136*D137</f>
        <v/>
      </c>
      <c r="E138" s="23">
        <f>E136*E137</f>
        <v/>
      </c>
    </row>
    <row r="139">
      <c r="A139" s="19" t="inlineStr">
        <is>
          <t>Total segment revenue</t>
        </is>
      </c>
      <c r="C139" s="23">
        <f>C132+C136</f>
        <v/>
      </c>
      <c r="D139" s="23">
        <f>D132+D136</f>
        <v/>
      </c>
      <c r="E139" s="23">
        <f>E132+E136</f>
        <v/>
      </c>
    </row>
    <row r="140">
      <c r="A140" t="inlineStr">
        <is>
          <t>Total segment EBIT</t>
        </is>
      </c>
      <c r="C140" s="23">
        <f>C134+C138</f>
        <v/>
      </c>
      <c r="D140" s="23">
        <f>D134+D138</f>
        <v/>
      </c>
      <c r="E140" s="23">
        <f>E134+E138</f>
        <v/>
      </c>
    </row>
    <row r="141">
      <c r="A141" t="inlineStr">
        <is>
          <t>Corporate / unallocated EBIT</t>
        </is>
      </c>
      <c r="C141" s="10">
        <f>Model!E21</f>
        <v/>
      </c>
      <c r="D141" s="10">
        <f>Model!F21</f>
        <v/>
      </c>
      <c r="E141" s="10">
        <f>Model!G21</f>
        <v/>
      </c>
    </row>
    <row r="142">
      <c r="A142" s="19" t="inlineStr">
        <is>
          <t>EBIT (segments + corporate)</t>
        </is>
      </c>
      <c r="C142" s="23">
        <f>C140+C141</f>
        <v/>
      </c>
      <c r="D142" s="23">
        <f>D140+D141</f>
        <v/>
      </c>
      <c r="E142" s="23">
        <f>E140+E141</f>
        <v/>
      </c>
    </row>
    <row r="249">
      <c r="A249" s="19" t="inlineStr">
        <is>
          <t>Driver scenario shifts: line-item changes model_drivers.py resolves from this scenario's driver deltas (added to the Model tab inputs)</t>
        </is>
      </c>
    </row>
    <row r="250">
      <c r="A250" t="inlineStr">
        <is>
          <t>D&amp;A % revenue, year 1</t>
        </is>
      </c>
      <c r="B250" s="52" t="n">
        <v>0.00188143642800026</v>
      </c>
    </row>
    <row r="251">
      <c r="A251" t="inlineStr">
        <is>
          <t>D&amp;A % revenue, year 2</t>
        </is>
      </c>
      <c r="B251" s="52" t="n">
        <v>0.002563488674559591</v>
      </c>
    </row>
    <row r="252">
      <c r="A252" t="inlineStr">
        <is>
          <t>D&amp;A % revenue, year 3</t>
        </is>
      </c>
      <c r="B252" s="52" t="n">
        <v>0.003146262245384446</v>
      </c>
    </row>
    <row r="253">
      <c r="A253" t="inlineStr">
        <is>
          <t>AWS: revenue growth, year 1</t>
        </is>
      </c>
      <c r="B253" s="52" t="n">
        <v>-0.1079939316852905</v>
      </c>
    </row>
    <row r="254">
      <c r="A254" t="inlineStr">
        <is>
          <t>AWS: EBIT margin, year 1</t>
        </is>
      </c>
      <c r="B254" s="52" t="n">
        <v>-0.03864876385336741</v>
      </c>
    </row>
    <row r="255">
      <c r="A255" t="inlineStr">
        <is>
          <t>AWS: EBIT margin, year 2</t>
        </is>
      </c>
      <c r="B255" s="52" t="n">
        <v>-0.04212232063143428</v>
      </c>
    </row>
    <row r="256">
      <c r="A256" t="inlineStr">
        <is>
          <t>AWS: EBIT margin, year 3</t>
        </is>
      </c>
      <c r="B256" s="52" t="n">
        <v>-0.04448494176081708</v>
      </c>
    </row>
    <row r="257">
      <c r="A257" t="inlineStr">
        <is>
          <t>North America + International: revenue growth, year 1</t>
        </is>
      </c>
      <c r="B257" s="52" t="n">
        <v>-0.005810074481595429</v>
      </c>
    </row>
    <row r="258">
      <c r="A258" t="inlineStr">
        <is>
          <t>North America + International: EBIT margin, year 1</t>
        </is>
      </c>
      <c r="B258" s="52" t="n">
        <v>-0.002242997707800676</v>
      </c>
    </row>
    <row r="259">
      <c r="A259" t="inlineStr">
        <is>
          <t>North America + International: revenue growth, year 2</t>
        </is>
      </c>
      <c r="B259" s="52" t="n">
        <v>-0.0005400792526335518</v>
      </c>
    </row>
    <row r="260">
      <c r="A260" t="inlineStr">
        <is>
          <t>North America + International: EBIT margin, year 2</t>
        </is>
      </c>
      <c r="B260" s="52" t="n">
        <v>-0.002423784624174835</v>
      </c>
    </row>
    <row r="261">
      <c r="A261" t="inlineStr">
        <is>
          <t>North America + International: revenue growth, year 3</t>
        </is>
      </c>
      <c r="B261" s="52" t="n">
        <v>-0.0004863214057737597</v>
      </c>
    </row>
    <row r="262">
      <c r="A262" t="inlineStr">
        <is>
          <t>North America + International: EBIT margin, year 3</t>
        </is>
      </c>
      <c r="B262" s="52" t="n">
        <v>-0.002581679702748516</v>
      </c>
    </row>
    <row r="263">
      <c r="A263" t="inlineStr">
        <is>
          <t>Adjustment 9 value</t>
        </is>
      </c>
      <c r="B263" s="52" t="n">
        <v>568.0417982582439</v>
      </c>
    </row>
    <row r="264">
      <c r="A264" t="inlineStr">
        <is>
          <t>Stated EPS, multiple 1</t>
        </is>
      </c>
      <c r="B264" s="52" t="n">
        <v>-1.596905298839495</v>
      </c>
    </row>
    <row r="265">
      <c r="A265" t="inlineStr">
        <is>
          <t>Segment 1 NTM metric</t>
        </is>
      </c>
      <c r="B265" s="52" t="n">
        <v>-14780.3498155069</v>
      </c>
    </row>
    <row r="266">
      <c r="A266" t="inlineStr">
        <is>
          <t>Segment 2 NTM metric</t>
        </is>
      </c>
      <c r="B266" s="52" t="n">
        <v>-1856.35787900001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2"/>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AMZN engine calculation: base scenario</t>
        </is>
      </c>
    </row>
    <row r="2">
      <c r="A2" s="2" t="inlineStr">
        <is>
          <t>Machinery behind the Valuation and Distribution tabs; drivers come from Model, assumptions from Valuation.</t>
        </is>
      </c>
    </row>
    <row r="4">
      <c r="A4" t="inlineStr">
        <is>
          <t>Scenario Growth Δ</t>
        </is>
      </c>
      <c r="B4" s="12">
        <f>N(Valuation!C95)</f>
        <v/>
      </c>
    </row>
    <row r="5">
      <c r="A5" t="inlineStr">
        <is>
          <t>Scenario Margin Δ</t>
        </is>
      </c>
      <c r="B5" s="12">
        <f>N(Valuation!D95)</f>
        <v/>
      </c>
    </row>
    <row r="6">
      <c r="A6" t="inlineStr">
        <is>
          <t>Scenario Multiple Δ (turns)</t>
        </is>
      </c>
      <c r="B6" s="51">
        <f>N(Valuation!E95)</f>
        <v/>
      </c>
    </row>
    <row r="7">
      <c r="A7" t="inlineStr">
        <is>
          <t>Scenario WACC Δ</t>
        </is>
      </c>
      <c r="B7" s="12">
        <f>N(Valuation!F95)</f>
        <v/>
      </c>
    </row>
    <row r="8">
      <c r="A8" t="inlineStr">
        <is>
          <t>Scenario Multiple %Δ</t>
        </is>
      </c>
      <c r="B8" s="12">
        <f>N(Valuation!G95)</f>
        <v/>
      </c>
    </row>
    <row r="9">
      <c r="A9" t="inlineStr">
        <is>
          <t>Scenario Stated EPS/FCF %Δ</t>
        </is>
      </c>
      <c r="B9" s="12">
        <f>N(Valuation!H95)</f>
        <v/>
      </c>
    </row>
    <row r="10">
      <c r="A10" t="inlineStr">
        <is>
          <t>Scenario Custom %Δ</t>
        </is>
      </c>
      <c r="B10" s="12">
        <f>N(Valuation!I95)</f>
        <v/>
      </c>
    </row>
    <row r="12">
      <c r="A12" t="inlineStr">
        <is>
          <t>WACC</t>
        </is>
      </c>
      <c r="B12" s="18">
        <f>Valuation!$B$51+B7</f>
        <v/>
      </c>
    </row>
    <row r="13">
      <c r="A13" t="inlineStr">
        <is>
          <t>Years from last FY end to target date</t>
        </is>
      </c>
      <c r="B13" s="49">
        <f>(Valuation!$B$45-Valuation!$B$49)/365.25</f>
        <v/>
      </c>
    </row>
    <row r="14">
      <c r="A14" t="inlineStr">
        <is>
          <t>Years from last FY end to balance date</t>
        </is>
      </c>
      <c r="B14" s="49">
        <f>(Valuation!$B$55-Valuation!$B$49)/365.25</f>
        <v/>
      </c>
    </row>
    <row r="15">
      <c r="A15" t="inlineStr">
        <is>
          <t>Years from last FY end to share count date</t>
        </is>
      </c>
      <c r="B15" s="49">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Valuation!$B$49+ROUND(365.25*C19,0)</f>
        <v/>
      </c>
      <c r="D20" s="20">
        <f>Valuation!$B$49+ROUND(365.25*D19,0)</f>
        <v/>
      </c>
      <c r="E20" s="20">
        <f>Valuation!$B$49+ROUND(365.25*E19,0)</f>
        <v/>
      </c>
    </row>
    <row r="21">
      <c r="A21" t="inlineStr">
        <is>
          <t>Revenue growth</t>
        </is>
      </c>
      <c r="C21" s="18">
        <f>C22/B22-1</f>
        <v/>
      </c>
      <c r="D21" s="18">
        <f>D22/C22-1</f>
        <v/>
      </c>
      <c r="E21" s="18">
        <f>E22/D22-1</f>
        <v/>
      </c>
    </row>
    <row r="22">
      <c r="A22" t="inlineStr">
        <is>
          <t>Revenue</t>
        </is>
      </c>
      <c r="B22" s="23">
        <f>Valuation!$B$50</f>
        <v/>
      </c>
      <c r="C22" s="23">
        <f>C139</f>
        <v/>
      </c>
      <c r="D22" s="23">
        <f>D139</f>
        <v/>
      </c>
      <c r="E22" s="23">
        <f>E139</f>
        <v/>
      </c>
    </row>
    <row r="23">
      <c r="A23" t="inlineStr">
        <is>
          <t>EBIT margin</t>
        </is>
      </c>
      <c r="C23" s="18">
        <f>C24/C22</f>
        <v/>
      </c>
      <c r="D23" s="18">
        <f>D24/D22</f>
        <v/>
      </c>
      <c r="E23" s="18">
        <f>E24/E22</f>
        <v/>
      </c>
    </row>
    <row r="24">
      <c r="A24" t="inlineStr">
        <is>
          <t>EBIT</t>
        </is>
      </c>
      <c r="C24" s="23">
        <f>C142</f>
        <v/>
      </c>
      <c r="D24" s="23">
        <f>D142</f>
        <v/>
      </c>
      <c r="E24" s="23">
        <f>E142</f>
        <v/>
      </c>
    </row>
    <row r="25">
      <c r="A25" t="inlineStr">
        <is>
          <t>Tax rate</t>
        </is>
      </c>
      <c r="C25" s="18">
        <f>Model!E63</f>
        <v/>
      </c>
      <c r="D25" s="18">
        <f>Model!F63</f>
        <v/>
      </c>
      <c r="E25" s="18">
        <f>Model!G63</f>
        <v/>
      </c>
    </row>
    <row r="26">
      <c r="A26" t="inlineStr">
        <is>
          <t>NOPAT</t>
        </is>
      </c>
      <c r="C26" s="23">
        <f>C24*(1-C25)</f>
        <v/>
      </c>
      <c r="D26" s="23">
        <f>D24*(1-D25)</f>
        <v/>
      </c>
      <c r="E26" s="23">
        <f>E24*(1-E25)</f>
        <v/>
      </c>
    </row>
    <row r="27">
      <c r="A27" t="inlineStr">
        <is>
          <t>D&amp;A</t>
        </is>
      </c>
      <c r="C27" s="23">
        <f>C22*(Model!E64)</f>
        <v/>
      </c>
      <c r="D27" s="23">
        <f>D22*(Model!F64)</f>
        <v/>
      </c>
      <c r="E27" s="23">
        <f>E22*(Model!G64)</f>
        <v/>
      </c>
    </row>
    <row r="28">
      <c r="A28" t="inlineStr">
        <is>
          <t>Capex</t>
        </is>
      </c>
      <c r="C28" s="23">
        <f>C22*(Model!E65)</f>
        <v/>
      </c>
      <c r="D28" s="23">
        <f>D22*(Model!F65)</f>
        <v/>
      </c>
      <c r="E28" s="23">
        <f>E22*(Model!G65)</f>
        <v/>
      </c>
    </row>
    <row r="29">
      <c r="A29" t="inlineStr">
        <is>
          <t>Working capital increase</t>
        </is>
      </c>
      <c r="C29" s="23">
        <f>(Model!E66)*(C22-B22)</f>
        <v/>
      </c>
      <c r="D29" s="23">
        <f>(Model!F66)*(D22-C22)</f>
        <v/>
      </c>
      <c r="E29" s="23">
        <f>(Model!G66)*(E22-D22)</f>
        <v/>
      </c>
    </row>
    <row r="30">
      <c r="A30" t="inlineStr">
        <is>
          <t>Stock comp</t>
        </is>
      </c>
      <c r="C30" s="23">
        <f>C22*(Model!E67)</f>
        <v/>
      </c>
      <c r="D30" s="23">
        <f>D22*(Model!F67)</f>
        <v/>
      </c>
      <c r="E30" s="23">
        <f>E22*(Model!G67)</f>
        <v/>
      </c>
    </row>
    <row r="31">
      <c r="A31" t="inlineStr">
        <is>
          <t>Free cash flow to firm</t>
        </is>
      </c>
      <c r="C31" s="23">
        <f>C26+C27-C28-C29-IF(AND(Valuation!$B$47="adjusted",Valuation!$B$48="cost"),C30*(1-C25),0)</f>
        <v/>
      </c>
      <c r="D31" s="23">
        <f>D26+D27-D28-D29-IF(AND(Valuation!$B$47="adjusted",Valuation!$B$48="cost"),D30*(1-D25),0)</f>
        <v/>
      </c>
      <c r="E31" s="23">
        <f>E26+E27-E28-E29-IF(AND(Valuation!$B$47="adjusted",Valuation!$B$48="cost"),E30*(1-E25),0)</f>
        <v/>
      </c>
    </row>
    <row r="32">
      <c r="A32" t="inlineStr">
        <is>
          <t>EBITDA</t>
        </is>
      </c>
      <c r="C32" s="23">
        <f>C24+C27</f>
        <v/>
      </c>
      <c r="D32" s="23">
        <f>D24+D27</f>
        <v/>
      </c>
      <c r="E32" s="23">
        <f>E24+E27</f>
        <v/>
      </c>
    </row>
    <row r="33">
      <c r="A33" t="inlineStr">
        <is>
          <t>Adj. EBITDA</t>
        </is>
      </c>
      <c r="C33" s="23">
        <f>C24+C27+C22*(Model!E71)</f>
        <v/>
      </c>
      <c r="D33" s="23">
        <f>D24+D27+D22*(Model!F71)</f>
        <v/>
      </c>
      <c r="E33" s="23">
        <f>E24+E27+E22*(Model!G71)</f>
        <v/>
      </c>
    </row>
    <row r="34">
      <c r="A34" t="inlineStr">
        <is>
          <t>Shareholder returns + other uses</t>
        </is>
      </c>
      <c r="C34" s="23">
        <f>C22*Model!E69+Model!E68+Model!E70</f>
        <v/>
      </c>
      <c r="D34" s="23">
        <f>D22*Model!F69+Model!F68+Model!F70</f>
        <v/>
      </c>
      <c r="E34" s="23">
        <f>E22*Model!G69+Model!G68+Model!G70</f>
        <v/>
      </c>
    </row>
    <row r="35">
      <c r="A35" t="inlineStr">
        <is>
          <t>Share of year after target date</t>
        </is>
      </c>
      <c r="C35" s="49">
        <f>IF(C19&lt;=$B$13,0,C19-MAX(C19-1,$B$13))</f>
        <v/>
      </c>
      <c r="D35" s="49">
        <f>IF(D19&lt;=$B$13,0,D19-MAX(D19-1,$B$13))</f>
        <v/>
      </c>
      <c r="E35" s="49">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9">
        <f>MAX(0,MIN(C19,$B$13)-MAX(C19-1,$B$14))</f>
        <v/>
      </c>
      <c r="D37" s="49">
        <f>MAX(0,MIN(D19,$B$13)-MAX(D19-1,$B$14))</f>
        <v/>
      </c>
      <c r="E37" s="49">
        <f>MAX(0,MIN(E19,$B$13)-MAX(E19-1,$B$14))</f>
        <v/>
      </c>
    </row>
    <row r="38">
      <c r="A38" t="inlineStr">
        <is>
          <t>NTM weight at target date</t>
        </is>
      </c>
      <c r="C38" s="49">
        <f>MAX(0,MIN(C19,$B$13+1)-MAX(C19-1,$B$13))</f>
        <v/>
      </c>
      <c r="D38" s="49">
        <f>MAX(0,MIN(D19,$B$13+1)-MAX(D19-1,$B$13))</f>
        <v/>
      </c>
      <c r="E38" s="49">
        <f>MAX(0,MIN(E19,$B$13+1)-MAX(E19-1,$B$13))</f>
        <v/>
      </c>
    </row>
    <row r="39">
      <c r="A39" t="inlineStr">
        <is>
          <t>LTM weight at target date</t>
        </is>
      </c>
      <c r="B39" s="49">
        <f>MAX(0,MIN(0,$B$13)-MAX(-1,$B$13-1))</f>
        <v/>
      </c>
      <c r="C39" s="49">
        <f>MAX(0,MIN(C19,$B$13)-MAX(C19-1,$B$13-1))</f>
        <v/>
      </c>
      <c r="D39" s="49">
        <f>MAX(0,MIN(D19,$B$13)-MAX(D19-1,$B$13-1))</f>
        <v/>
      </c>
      <c r="E39" s="49">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IF(Valuation!$B$52="exit_multiple",Valuation!$B$54*E32,E31*(1+Valuation!$B$53)/($B$12-Valuation!$B$53))</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Valuation!$B$58*(1-$C$25)*MAX(Valuation!$B$56,0)*MAX($B$13-$B$14,0)</f>
        <v/>
      </c>
    </row>
    <row r="50">
      <c r="A50" t="inlineStr">
        <is>
          <t>Net debt at target date</t>
        </is>
      </c>
      <c r="B50" s="23">
        <f>IF(Valuation!$B$59="",Valuation!$B$56-B47+B49+B48,Valuation!$B$59)</f>
        <v/>
      </c>
    </row>
    <row r="51">
      <c r="A51" t="inlineStr">
        <is>
          <t>Minority interests</t>
        </is>
      </c>
      <c r="B51" s="23">
        <f>Valuation!$B$57</f>
        <v/>
      </c>
    </row>
    <row r="52">
      <c r="A52" t="inlineStr">
        <is>
          <t>Adjustments (probability-weighted)</t>
        </is>
      </c>
      <c r="B52" s="23">
        <f>(Valuation!B79)*Valuation!C79+(Valuation!B80)*Valuation!C80+(Valuation!B81)*Valuation!C81+(Valuation!B82)*Valuation!C82+(Valuation!B83)*Valuation!C83+(Valuation!B84)*Valuation!C84+(Valuation!B85)*Valuation!C85+(Valuation!B86)*Valuation!C86+(Valuation!B87)*Valuation!C87+(Valuation!B88)*Valuation!C88+0</f>
        <v/>
      </c>
    </row>
    <row r="53">
      <c r="A53" t="inlineStr">
        <is>
          <t>Diluted shares at target date (M)</t>
        </is>
      </c>
      <c r="B53" s="28">
        <f>IF(Valuation!$B$63="",Valuation!$B$60*(1+Valuation!$B$62)^MAX($B$13-$B$15,0),Valuation!$B$63)</f>
        <v/>
      </c>
    </row>
    <row r="54">
      <c r="A54" t="inlineStr">
        <is>
          <t>After-tax interest on target-date net debt</t>
        </is>
      </c>
      <c r="B54" s="23">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Valuation!$B$64</f>
        <v/>
      </c>
    </row>
    <row r="68">
      <c r="A68">
        <f>"Multiple: "&amp;Valuation!A70&amp;" ("&amp;Valuation!D70&amp;")"</f>
        <v/>
      </c>
      <c r="B68">
        <f>Valuation!A70</f>
        <v/>
      </c>
      <c r="C68" s="9">
        <f>IF(B68="FCF yield",(Valuation!B70)*(1-$B$8),(Valuation!B70)+IF(B68="EV/sales",0.1,1)*$B$6)</f>
        <v/>
      </c>
      <c r="D68">
        <f>Valuation!D70</f>
        <v/>
      </c>
      <c r="E68" s="23">
        <f>IF(D68="ltm",CHOOSE(H68,$C$59,$C$60,$C$61,$C$62,$C$63,$C$64),CHOOSE(H68,$B$59,$B$60,$B$61,$B$62,$B$63,$B$64))</f>
        <v/>
      </c>
      <c r="F68" s="9">
        <f>IF(OR(B68="EV/EBITDA",B68="EV/sales",B68="EV/EBIT"),((C68*E68)-$B$50-$B$51+$B$52)/$B$53,IF(B68="P/E",IF(Valuation!F70&lt;&gt;"",C68*(Valuation!F70)*(1+$B$9),C68*(E68-$B$54)/$B$53),IF(Valuation!G70&lt;&gt;"",(Valuation!G70)*(1+$B$9)/C68,(E68-IF(Valuation!H70,$B$54,0))/C68/$B$53))+$B$52/$B$53)</f>
        <v/>
      </c>
      <c r="G68" s="18">
        <f>Valuation!C70</f>
        <v/>
      </c>
      <c r="H68">
        <f>IF(B68="EV/sales",1,IF(B68="EV/EBIT",2,IF(B68="EV/EBITDA",IF(Valuation!E70="adjusted",4,3),IF(B68="P/E",5,6))))</f>
        <v/>
      </c>
      <c r="I68" s="50">
        <f>IF(AND(B68="P/E",Valuation!F70&lt;&gt;""),(Valuation!F70)*(1+$B$9),IF(AND(B68="FCF yield",Valuation!G70&lt;&gt;""),(Valuation!G70)*(1+$B$9),E68))</f>
        <v/>
      </c>
    </row>
    <row r="69">
      <c r="A69" t="inlineStr">
        <is>
          <t>Sum of the parts</t>
        </is>
      </c>
      <c r="F69" s="9">
        <f>((((Valuation!B73)*(Valuation!D73)+(Valuation!B74)*(Valuation!D74)+(Valuation!B75)*(Valuation!D75)+(Valuation!B76)*(Valuation!D76))*(1+$B$8))-$B$50-$B$51+$B$52)/$B$53</f>
        <v/>
      </c>
      <c r="G69" s="18">
        <f>Valuation!$B$65</f>
        <v/>
      </c>
    </row>
    <row r="70">
      <c r="A70" s="19" t="inlineStr">
        <is>
          <t>Value per share at target date (weighted methods)</t>
        </is>
      </c>
      <c r="F70" s="6">
        <f>SUMPRODUCT(F67:F69,G67:G69)/SUM(G67:G69)</f>
        <v/>
      </c>
    </row>
    <row r="129">
      <c r="A129" s="19" t="inlineStr">
        <is>
          <t>Segment build (model_engine.seg_build): revenue and EBIT are the segment sums plus corporate EBIT</t>
        </is>
      </c>
    </row>
    <row r="130">
      <c r="A130" s="3" t="inlineStr">
        <is>
          <t>Segment</t>
        </is>
      </c>
      <c r="B130" s="3" t="inlineStr">
        <is>
          <t>Base</t>
        </is>
      </c>
      <c r="C130" s="3">
        <f>Model!E5</f>
        <v/>
      </c>
      <c r="D130" s="3">
        <f>Model!F5</f>
        <v/>
      </c>
      <c r="E130" s="3">
        <f>Model!G5</f>
        <v/>
      </c>
    </row>
    <row r="131">
      <c r="A131" t="inlineStr">
        <is>
          <t>AWS: revenue growth</t>
        </is>
      </c>
      <c r="C131" s="18">
        <f>Model!E12+$B$4</f>
        <v/>
      </c>
      <c r="D131" s="18">
        <f>Model!F12+$B$4</f>
        <v/>
      </c>
      <c r="E131" s="18">
        <f>Model!G12+$B$4</f>
        <v/>
      </c>
    </row>
    <row r="132">
      <c r="A132" t="inlineStr">
        <is>
          <t>AWS: revenue</t>
        </is>
      </c>
      <c r="B132" s="10">
        <f>Valuation!$B$99</f>
        <v/>
      </c>
      <c r="C132" s="23">
        <f>B132*(1+C131)</f>
        <v/>
      </c>
      <c r="D132" s="23">
        <f>C132*(1+D131)</f>
        <v/>
      </c>
      <c r="E132" s="23">
        <f>D132*(1+E131)</f>
        <v/>
      </c>
    </row>
    <row r="133">
      <c r="A133" t="inlineStr">
        <is>
          <t>AWS: EBIT margin</t>
        </is>
      </c>
      <c r="C133" s="18">
        <f>Model!E14+$B$5</f>
        <v/>
      </c>
      <c r="D133" s="18">
        <f>Model!F14+$B$5</f>
        <v/>
      </c>
      <c r="E133" s="18">
        <f>Model!G14+$B$5</f>
        <v/>
      </c>
    </row>
    <row r="134">
      <c r="A134" t="inlineStr">
        <is>
          <t>AWS: EBIT</t>
        </is>
      </c>
      <c r="C134" s="23">
        <f>C132*C133</f>
        <v/>
      </c>
      <c r="D134" s="23">
        <f>D132*D133</f>
        <v/>
      </c>
      <c r="E134" s="23">
        <f>E132*E133</f>
        <v/>
      </c>
    </row>
    <row r="135">
      <c r="A135" t="inlineStr">
        <is>
          <t>North America + International: revenue growth</t>
        </is>
      </c>
      <c r="C135" s="18">
        <f>Model!E16+$B$4</f>
        <v/>
      </c>
      <c r="D135" s="18">
        <f>Model!F16+$B$4</f>
        <v/>
      </c>
      <c r="E135" s="18">
        <f>Model!G16+$B$4</f>
        <v/>
      </c>
    </row>
    <row r="136">
      <c r="A136" t="inlineStr">
        <is>
          <t>North America + International: revenue</t>
        </is>
      </c>
      <c r="B136" s="10">
        <f>Valuation!$B$100</f>
        <v/>
      </c>
      <c r="C136" s="23">
        <f>B136*(1+C135)</f>
        <v/>
      </c>
      <c r="D136" s="23">
        <f>C136*(1+D135)</f>
        <v/>
      </c>
      <c r="E136" s="23">
        <f>D136*(1+E135)</f>
        <v/>
      </c>
    </row>
    <row r="137">
      <c r="A137" t="inlineStr">
        <is>
          <t>North America + International: EBIT margin</t>
        </is>
      </c>
      <c r="C137" s="18">
        <f>Model!E18+$B$5</f>
        <v/>
      </c>
      <c r="D137" s="18">
        <f>Model!F18+$B$5</f>
        <v/>
      </c>
      <c r="E137" s="18">
        <f>Model!G18+$B$5</f>
        <v/>
      </c>
    </row>
    <row r="138">
      <c r="A138" t="inlineStr">
        <is>
          <t>North America + International: EBIT</t>
        </is>
      </c>
      <c r="C138" s="23">
        <f>C136*C137</f>
        <v/>
      </c>
      <c r="D138" s="23">
        <f>D136*D137</f>
        <v/>
      </c>
      <c r="E138" s="23">
        <f>E136*E137</f>
        <v/>
      </c>
    </row>
    <row r="139">
      <c r="A139" s="19" t="inlineStr">
        <is>
          <t>Total segment revenue</t>
        </is>
      </c>
      <c r="C139" s="23">
        <f>C132+C136</f>
        <v/>
      </c>
      <c r="D139" s="23">
        <f>D132+D136</f>
        <v/>
      </c>
      <c r="E139" s="23">
        <f>E132+E136</f>
        <v/>
      </c>
    </row>
    <row r="140">
      <c r="A140" t="inlineStr">
        <is>
          <t>Total segment EBIT</t>
        </is>
      </c>
      <c r="C140" s="23">
        <f>C134+C138</f>
        <v/>
      </c>
      <c r="D140" s="23">
        <f>D134+D138</f>
        <v/>
      </c>
      <c r="E140" s="23">
        <f>E134+E138</f>
        <v/>
      </c>
    </row>
    <row r="141">
      <c r="A141" t="inlineStr">
        <is>
          <t>Corporate / unallocated EBIT</t>
        </is>
      </c>
      <c r="C141" s="10">
        <f>Model!E21</f>
        <v/>
      </c>
      <c r="D141" s="10">
        <f>Model!F21</f>
        <v/>
      </c>
      <c r="E141" s="10">
        <f>Model!G21</f>
        <v/>
      </c>
    </row>
    <row r="142">
      <c r="A142" s="19" t="inlineStr">
        <is>
          <t>EBIT (segments + corporate)</t>
        </is>
      </c>
      <c r="C142" s="23">
        <f>C140+C141</f>
        <v/>
      </c>
      <c r="D142" s="23">
        <f>D140+D141</f>
        <v/>
      </c>
      <c r="E142" s="23">
        <f>E140+E141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6"/>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AMZN engine calculation: bull scenario</t>
        </is>
      </c>
    </row>
    <row r="2">
      <c r="A2" s="2" t="inlineStr">
        <is>
          <t>Machinery behind the Valuation and Distribution tabs; drivers come from Model, assumptions from Valuation.</t>
        </is>
      </c>
    </row>
    <row r="4">
      <c r="A4" t="inlineStr">
        <is>
          <t>Scenario Growth Δ</t>
        </is>
      </c>
      <c r="B4" s="12">
        <f>N(Valuation!C96)</f>
        <v/>
      </c>
    </row>
    <row r="5">
      <c r="A5" t="inlineStr">
        <is>
          <t>Scenario Margin Δ</t>
        </is>
      </c>
      <c r="B5" s="12">
        <f>N(Valuation!D96)</f>
        <v/>
      </c>
    </row>
    <row r="6">
      <c r="A6" t="inlineStr">
        <is>
          <t>Scenario Multiple Δ (turns)</t>
        </is>
      </c>
      <c r="B6" s="51">
        <f>N(Valuation!E96)</f>
        <v/>
      </c>
    </row>
    <row r="7">
      <c r="A7" t="inlineStr">
        <is>
          <t>Scenario WACC Δ</t>
        </is>
      </c>
      <c r="B7" s="12">
        <f>N(Valuation!F96)</f>
        <v/>
      </c>
    </row>
    <row r="8">
      <c r="A8" t="inlineStr">
        <is>
          <t>Scenario Multiple %Δ</t>
        </is>
      </c>
      <c r="B8" s="12">
        <f>N(Valuation!G96)</f>
        <v/>
      </c>
    </row>
    <row r="9">
      <c r="A9" t="inlineStr">
        <is>
          <t>Scenario Stated EPS/FCF %Δ</t>
        </is>
      </c>
      <c r="B9" s="12">
        <f>N(Valuation!H96)</f>
        <v/>
      </c>
    </row>
    <row r="10">
      <c r="A10" t="inlineStr">
        <is>
          <t>Scenario Custom %Δ</t>
        </is>
      </c>
      <c r="B10" s="12">
        <f>N(Valuation!I96)</f>
        <v/>
      </c>
    </row>
    <row r="12">
      <c r="A12" t="inlineStr">
        <is>
          <t>WACC</t>
        </is>
      </c>
      <c r="B12" s="18">
        <f>Valuation!$B$51+B7</f>
        <v/>
      </c>
    </row>
    <row r="13">
      <c r="A13" t="inlineStr">
        <is>
          <t>Years from last FY end to target date</t>
        </is>
      </c>
      <c r="B13" s="49">
        <f>(Valuation!$B$45-Valuation!$B$49)/365.25</f>
        <v/>
      </c>
    </row>
    <row r="14">
      <c r="A14" t="inlineStr">
        <is>
          <t>Years from last FY end to balance date</t>
        </is>
      </c>
      <c r="B14" s="49">
        <f>(Valuation!$B$55-Valuation!$B$49)/365.25</f>
        <v/>
      </c>
    </row>
    <row r="15">
      <c r="A15" t="inlineStr">
        <is>
          <t>Years from last FY end to share count date</t>
        </is>
      </c>
      <c r="B15" s="49">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Valuation!$B$49+ROUND(365.25*C19,0)</f>
        <v/>
      </c>
      <c r="D20" s="20">
        <f>Valuation!$B$49+ROUND(365.25*D19,0)</f>
        <v/>
      </c>
      <c r="E20" s="20">
        <f>Valuation!$B$49+ROUND(365.25*E19,0)</f>
        <v/>
      </c>
    </row>
    <row r="21">
      <c r="A21" t="inlineStr">
        <is>
          <t>Revenue growth</t>
        </is>
      </c>
      <c r="C21" s="18">
        <f>C22/B22-1</f>
        <v/>
      </c>
      <c r="D21" s="18">
        <f>D22/C22-1</f>
        <v/>
      </c>
      <c r="E21" s="18">
        <f>E22/D22-1</f>
        <v/>
      </c>
    </row>
    <row r="22">
      <c r="A22" t="inlineStr">
        <is>
          <t>Revenue</t>
        </is>
      </c>
      <c r="B22" s="23">
        <f>Valuation!$B$50</f>
        <v/>
      </c>
      <c r="C22" s="23">
        <f>C139</f>
        <v/>
      </c>
      <c r="D22" s="23">
        <f>D139</f>
        <v/>
      </c>
      <c r="E22" s="23">
        <f>E139</f>
        <v/>
      </c>
    </row>
    <row r="23">
      <c r="A23" t="inlineStr">
        <is>
          <t>EBIT margin</t>
        </is>
      </c>
      <c r="C23" s="18">
        <f>C24/C22</f>
        <v/>
      </c>
      <c r="D23" s="18">
        <f>D24/D22</f>
        <v/>
      </c>
      <c r="E23" s="18">
        <f>E24/E22</f>
        <v/>
      </c>
    </row>
    <row r="24">
      <c r="A24" t="inlineStr">
        <is>
          <t>EBIT</t>
        </is>
      </c>
      <c r="C24" s="23">
        <f>C142</f>
        <v/>
      </c>
      <c r="D24" s="23">
        <f>D142</f>
        <v/>
      </c>
      <c r="E24" s="23">
        <f>E142</f>
        <v/>
      </c>
    </row>
    <row r="25">
      <c r="A25" t="inlineStr">
        <is>
          <t>Tax rate</t>
        </is>
      </c>
      <c r="C25" s="18">
        <f>Model!E63</f>
        <v/>
      </c>
      <c r="D25" s="18">
        <f>Model!F63</f>
        <v/>
      </c>
      <c r="E25" s="18">
        <f>Model!G63</f>
        <v/>
      </c>
    </row>
    <row r="26">
      <c r="A26" t="inlineStr">
        <is>
          <t>NOPAT</t>
        </is>
      </c>
      <c r="C26" s="23">
        <f>C24*(1-C25)</f>
        <v/>
      </c>
      <c r="D26" s="23">
        <f>D24*(1-D25)</f>
        <v/>
      </c>
      <c r="E26" s="23">
        <f>E24*(1-E25)</f>
        <v/>
      </c>
    </row>
    <row r="27">
      <c r="A27" t="inlineStr">
        <is>
          <t>D&amp;A</t>
        </is>
      </c>
      <c r="C27" s="23">
        <f>C22*(Model!E64+$B$250)</f>
        <v/>
      </c>
      <c r="D27" s="23">
        <f>D22*(Model!F64+$B$251)</f>
        <v/>
      </c>
      <c r="E27" s="23">
        <f>E22*(Model!G64+$B$252)</f>
        <v/>
      </c>
    </row>
    <row r="28">
      <c r="A28" t="inlineStr">
        <is>
          <t>Capex</t>
        </is>
      </c>
      <c r="C28" s="23">
        <f>C22*(Model!E65)</f>
        <v/>
      </c>
      <c r="D28" s="23">
        <f>D22*(Model!F65)</f>
        <v/>
      </c>
      <c r="E28" s="23">
        <f>E22*(Model!G65)</f>
        <v/>
      </c>
    </row>
    <row r="29">
      <c r="A29" t="inlineStr">
        <is>
          <t>Working capital increase</t>
        </is>
      </c>
      <c r="C29" s="23">
        <f>(Model!E66)*(C22-B22)</f>
        <v/>
      </c>
      <c r="D29" s="23">
        <f>(Model!F66)*(D22-C22)</f>
        <v/>
      </c>
      <c r="E29" s="23">
        <f>(Model!G66)*(E22-D22)</f>
        <v/>
      </c>
    </row>
    <row r="30">
      <c r="A30" t="inlineStr">
        <is>
          <t>Stock comp</t>
        </is>
      </c>
      <c r="C30" s="23">
        <f>C22*(Model!E67)</f>
        <v/>
      </c>
      <c r="D30" s="23">
        <f>D22*(Model!F67)</f>
        <v/>
      </c>
      <c r="E30" s="23">
        <f>E22*(Model!G67)</f>
        <v/>
      </c>
    </row>
    <row r="31">
      <c r="A31" t="inlineStr">
        <is>
          <t>Free cash flow to firm</t>
        </is>
      </c>
      <c r="C31" s="23">
        <f>C26+C27-C28-C29-IF(AND(Valuation!$B$47="adjusted",Valuation!$B$48="cost"),C30*(1-C25),0)</f>
        <v/>
      </c>
      <c r="D31" s="23">
        <f>D26+D27-D28-D29-IF(AND(Valuation!$B$47="adjusted",Valuation!$B$48="cost"),D30*(1-D25),0)</f>
        <v/>
      </c>
      <c r="E31" s="23">
        <f>E26+E27-E28-E29-IF(AND(Valuation!$B$47="adjusted",Valuation!$B$48="cost"),E30*(1-E25),0)</f>
        <v/>
      </c>
    </row>
    <row r="32">
      <c r="A32" t="inlineStr">
        <is>
          <t>EBITDA</t>
        </is>
      </c>
      <c r="C32" s="23">
        <f>C24+C27</f>
        <v/>
      </c>
      <c r="D32" s="23">
        <f>D24+D27</f>
        <v/>
      </c>
      <c r="E32" s="23">
        <f>E24+E27</f>
        <v/>
      </c>
    </row>
    <row r="33">
      <c r="A33" t="inlineStr">
        <is>
          <t>Adj. EBITDA</t>
        </is>
      </c>
      <c r="C33" s="23">
        <f>C24+C27+C22*(Model!E71)</f>
        <v/>
      </c>
      <c r="D33" s="23">
        <f>D24+D27+D22*(Model!F71)</f>
        <v/>
      </c>
      <c r="E33" s="23">
        <f>E24+E27+E22*(Model!G71)</f>
        <v/>
      </c>
    </row>
    <row r="34">
      <c r="A34" t="inlineStr">
        <is>
          <t>Shareholder returns + other uses</t>
        </is>
      </c>
      <c r="C34" s="23">
        <f>C22*Model!E69+Model!E68+Model!E70</f>
        <v/>
      </c>
      <c r="D34" s="23">
        <f>D22*Model!F69+Model!F68+Model!F70</f>
        <v/>
      </c>
      <c r="E34" s="23">
        <f>E22*Model!G69+Model!G68+Model!G70</f>
        <v/>
      </c>
    </row>
    <row r="35">
      <c r="A35" t="inlineStr">
        <is>
          <t>Share of year after target date</t>
        </is>
      </c>
      <c r="C35" s="49">
        <f>IF(C19&lt;=$B$13,0,C19-MAX(C19-1,$B$13))</f>
        <v/>
      </c>
      <c r="D35" s="49">
        <f>IF(D19&lt;=$B$13,0,D19-MAX(D19-1,$B$13))</f>
        <v/>
      </c>
      <c r="E35" s="49">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9">
        <f>MAX(0,MIN(C19,$B$13)-MAX(C19-1,$B$14))</f>
        <v/>
      </c>
      <c r="D37" s="49">
        <f>MAX(0,MIN(D19,$B$13)-MAX(D19-1,$B$14))</f>
        <v/>
      </c>
      <c r="E37" s="49">
        <f>MAX(0,MIN(E19,$B$13)-MAX(E19-1,$B$14))</f>
        <v/>
      </c>
    </row>
    <row r="38">
      <c r="A38" t="inlineStr">
        <is>
          <t>NTM weight at target date</t>
        </is>
      </c>
      <c r="C38" s="49">
        <f>MAX(0,MIN(C19,$B$13+1)-MAX(C19-1,$B$13))</f>
        <v/>
      </c>
      <c r="D38" s="49">
        <f>MAX(0,MIN(D19,$B$13+1)-MAX(D19-1,$B$13))</f>
        <v/>
      </c>
      <c r="E38" s="49">
        <f>MAX(0,MIN(E19,$B$13+1)-MAX(E19-1,$B$13))</f>
        <v/>
      </c>
    </row>
    <row r="39">
      <c r="A39" t="inlineStr">
        <is>
          <t>LTM weight at target date</t>
        </is>
      </c>
      <c r="B39" s="49">
        <f>MAX(0,MIN(0,$B$13)-MAX(-1,$B$13-1))</f>
        <v/>
      </c>
      <c r="C39" s="49">
        <f>MAX(0,MIN(C19,$B$13)-MAX(C19-1,$B$13-1))</f>
        <v/>
      </c>
      <c r="D39" s="49">
        <f>MAX(0,MIN(D19,$B$13)-MAX(D19-1,$B$13-1))</f>
        <v/>
      </c>
      <c r="E39" s="49">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IF(Valuation!$B$52="exit_multiple",Valuation!$B$54*E32,E31*(1+Valuation!$B$53)/($B$12-Valuation!$B$53))</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Valuation!$B$58*(1-$C$25)*MAX(Valuation!$B$56,0)*MAX($B$13-$B$14,0)</f>
        <v/>
      </c>
    </row>
    <row r="50">
      <c r="A50" t="inlineStr">
        <is>
          <t>Net debt at target date</t>
        </is>
      </c>
      <c r="B50" s="23">
        <f>IF(Valuation!$B$59="",Valuation!$B$56-B47+B49+B48,Valuation!$B$59)</f>
        <v/>
      </c>
    </row>
    <row r="51">
      <c r="A51" t="inlineStr">
        <is>
          <t>Minority interests</t>
        </is>
      </c>
      <c r="B51" s="23">
        <f>Valuation!$B$57</f>
        <v/>
      </c>
    </row>
    <row r="52">
      <c r="A52" t="inlineStr">
        <is>
          <t>Adjustments (probability-weighted)</t>
        </is>
      </c>
      <c r="B52" s="23">
        <f>(Valuation!B79)*Valuation!C79+(Valuation!B80)*Valuation!C80+(Valuation!B81)*Valuation!C81+(Valuation!B82)*Valuation!C82+(Valuation!B83)*Valuation!C83+(Valuation!B84)*Valuation!C84+(Valuation!B85)*Valuation!C85+(Valuation!B86)*Valuation!C86+(Valuation!B87+$B$263)*Valuation!C87+(Valuation!B88)*Valuation!C88+0</f>
        <v/>
      </c>
    </row>
    <row r="53">
      <c r="A53" t="inlineStr">
        <is>
          <t>Diluted shares at target date (M)</t>
        </is>
      </c>
      <c r="B53" s="28">
        <f>IF(Valuation!$B$63="",Valuation!$B$60*(1+Valuation!$B$62)^MAX($B$13-$B$15,0),Valuation!$B$63)</f>
        <v/>
      </c>
    </row>
    <row r="54">
      <c r="A54" t="inlineStr">
        <is>
          <t>After-tax interest on target-date net debt</t>
        </is>
      </c>
      <c r="B54" s="23">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Valuation!$B$64</f>
        <v/>
      </c>
    </row>
    <row r="68">
      <c r="A68">
        <f>"Multiple: "&amp;Valuation!A70&amp;" ("&amp;Valuation!D70&amp;")"</f>
        <v/>
      </c>
      <c r="B68">
        <f>Valuation!A70</f>
        <v/>
      </c>
      <c r="C68" s="9">
        <f>IF(B68="FCF yield",(Valuation!B70)*(1-$B$8),(Valuation!B70)+IF(B68="EV/sales",0.1,1)*$B$6)</f>
        <v/>
      </c>
      <c r="D68">
        <f>Valuation!D70</f>
        <v/>
      </c>
      <c r="E68" s="23">
        <f>IF(D68="ltm",CHOOSE(H68,$C$59,$C$60,$C$61,$C$62,$C$63,$C$64),CHOOSE(H68,$B$59,$B$60,$B$61,$B$62,$B$63,$B$64))</f>
        <v/>
      </c>
      <c r="F68" s="9">
        <f>IF(OR(B68="EV/EBITDA",B68="EV/sales",B68="EV/EBIT"),((C68*E68)-$B$50-$B$51+$B$52)/$B$53,IF(B68="P/E",IF(Valuation!F70&lt;&gt;"",C68*(Valuation!F70+$B$264)*(1+$B$9),C68*(E68-$B$54)/$B$53),IF(Valuation!G70&lt;&gt;"",(Valuation!G70)*(1+$B$9)/C68,(E68-IF(Valuation!H70,$B$54,0))/C68/$B$53))+$B$52/$B$53)</f>
        <v/>
      </c>
      <c r="G68" s="18">
        <f>Valuation!C70</f>
        <v/>
      </c>
      <c r="H68">
        <f>IF(B68="EV/sales",1,IF(B68="EV/EBIT",2,IF(B68="EV/EBITDA",IF(Valuation!E70="adjusted",4,3),IF(B68="P/E",5,6))))</f>
        <v/>
      </c>
      <c r="I68" s="50">
        <f>IF(AND(B68="P/E",Valuation!F70&lt;&gt;""),(Valuation!F70+$B$264)*(1+$B$9),IF(AND(B68="FCF yield",Valuation!G70&lt;&gt;""),(Valuation!G70)*(1+$B$9),E68))</f>
        <v/>
      </c>
    </row>
    <row r="69">
      <c r="A69" t="inlineStr">
        <is>
          <t>Sum of the parts</t>
        </is>
      </c>
      <c r="F69" s="9">
        <f>((((Valuation!B73+$B$265)*(Valuation!D73)+(Valuation!B74+$B$266)*(Valuation!D74)+(Valuation!B75)*(Valuation!D75)+(Valuation!B76)*(Valuation!D76))*(1+$B$8))-$B$50-$B$51+$B$52)/$B$53</f>
        <v/>
      </c>
      <c r="G69" s="18">
        <f>Valuation!$B$65</f>
        <v/>
      </c>
    </row>
    <row r="70">
      <c r="A70" s="19" t="inlineStr">
        <is>
          <t>Value per share at target date (weighted methods)</t>
        </is>
      </c>
      <c r="F70" s="6">
        <f>SUMPRODUCT(F67:F69,G67:G69)/SUM(G67:G69)</f>
        <v/>
      </c>
    </row>
    <row r="129">
      <c r="A129" s="19" t="inlineStr">
        <is>
          <t>Segment build (model_engine.seg_build): revenue and EBIT are the segment sums plus corporate EBIT</t>
        </is>
      </c>
    </row>
    <row r="130">
      <c r="A130" s="3" t="inlineStr">
        <is>
          <t>Segment</t>
        </is>
      </c>
      <c r="B130" s="3" t="inlineStr">
        <is>
          <t>Base</t>
        </is>
      </c>
      <c r="C130" s="3">
        <f>Model!E5</f>
        <v/>
      </c>
      <c r="D130" s="3">
        <f>Model!F5</f>
        <v/>
      </c>
      <c r="E130" s="3">
        <f>Model!G5</f>
        <v/>
      </c>
    </row>
    <row r="131">
      <c r="A131" t="inlineStr">
        <is>
          <t>AWS: revenue growth</t>
        </is>
      </c>
      <c r="C131" s="18">
        <f>Model!E12+$B$4+$B$253</f>
        <v/>
      </c>
      <c r="D131" s="18">
        <f>Model!F12+$B$4</f>
        <v/>
      </c>
      <c r="E131" s="18">
        <f>Model!G12+$B$4</f>
        <v/>
      </c>
    </row>
    <row r="132">
      <c r="A132" t="inlineStr">
        <is>
          <t>AWS: revenue</t>
        </is>
      </c>
      <c r="B132" s="10">
        <f>Valuation!$B$99</f>
        <v/>
      </c>
      <c r="C132" s="23">
        <f>B132*(1+C131)</f>
        <v/>
      </c>
      <c r="D132" s="23">
        <f>C132*(1+D131)</f>
        <v/>
      </c>
      <c r="E132" s="23">
        <f>D132*(1+E131)</f>
        <v/>
      </c>
    </row>
    <row r="133">
      <c r="A133" t="inlineStr">
        <is>
          <t>AWS: EBIT margin</t>
        </is>
      </c>
      <c r="C133" s="18">
        <f>Model!E14+$B$5+$B$254</f>
        <v/>
      </c>
      <c r="D133" s="18">
        <f>Model!F14+$B$5+$B$255</f>
        <v/>
      </c>
      <c r="E133" s="18">
        <f>Model!G14+$B$5+$B$256</f>
        <v/>
      </c>
    </row>
    <row r="134">
      <c r="A134" t="inlineStr">
        <is>
          <t>AWS: EBIT</t>
        </is>
      </c>
      <c r="C134" s="23">
        <f>C132*C133</f>
        <v/>
      </c>
      <c r="D134" s="23">
        <f>D132*D133</f>
        <v/>
      </c>
      <c r="E134" s="23">
        <f>E132*E133</f>
        <v/>
      </c>
    </row>
    <row r="135">
      <c r="A135" t="inlineStr">
        <is>
          <t>North America + International: revenue growth</t>
        </is>
      </c>
      <c r="C135" s="18">
        <f>Model!E16+$B$4+$B$257</f>
        <v/>
      </c>
      <c r="D135" s="18">
        <f>Model!F16+$B$4+$B$259</f>
        <v/>
      </c>
      <c r="E135" s="18">
        <f>Model!G16+$B$4+$B$261</f>
        <v/>
      </c>
    </row>
    <row r="136">
      <c r="A136" t="inlineStr">
        <is>
          <t>North America + International: revenue</t>
        </is>
      </c>
      <c r="B136" s="10">
        <f>Valuation!$B$100</f>
        <v/>
      </c>
      <c r="C136" s="23">
        <f>B136*(1+C135)</f>
        <v/>
      </c>
      <c r="D136" s="23">
        <f>C136*(1+D135)</f>
        <v/>
      </c>
      <c r="E136" s="23">
        <f>D136*(1+E135)</f>
        <v/>
      </c>
    </row>
    <row r="137">
      <c r="A137" t="inlineStr">
        <is>
          <t>North America + International: EBIT margin</t>
        </is>
      </c>
      <c r="C137" s="18">
        <f>Model!E18+$B$5+$B$258</f>
        <v/>
      </c>
      <c r="D137" s="18">
        <f>Model!F18+$B$5+$B$260</f>
        <v/>
      </c>
      <c r="E137" s="18">
        <f>Model!G18+$B$5+$B$262</f>
        <v/>
      </c>
    </row>
    <row r="138">
      <c r="A138" t="inlineStr">
        <is>
          <t>North America + International: EBIT</t>
        </is>
      </c>
      <c r="C138" s="23">
        <f>C136*C137</f>
        <v/>
      </c>
      <c r="D138" s="23">
        <f>D136*D137</f>
        <v/>
      </c>
      <c r="E138" s="23">
        <f>E136*E137</f>
        <v/>
      </c>
    </row>
    <row r="139">
      <c r="A139" s="19" t="inlineStr">
        <is>
          <t>Total segment revenue</t>
        </is>
      </c>
      <c r="C139" s="23">
        <f>C132+C136</f>
        <v/>
      </c>
      <c r="D139" s="23">
        <f>D132+D136</f>
        <v/>
      </c>
      <c r="E139" s="23">
        <f>E132+E136</f>
        <v/>
      </c>
    </row>
    <row r="140">
      <c r="A140" t="inlineStr">
        <is>
          <t>Total segment EBIT</t>
        </is>
      </c>
      <c r="C140" s="23">
        <f>C134+C138</f>
        <v/>
      </c>
      <c r="D140" s="23">
        <f>D134+D138</f>
        <v/>
      </c>
      <c r="E140" s="23">
        <f>E134+E138</f>
        <v/>
      </c>
    </row>
    <row r="141">
      <c r="A141" t="inlineStr">
        <is>
          <t>Corporate / unallocated EBIT</t>
        </is>
      </c>
      <c r="C141" s="10">
        <f>Model!E21</f>
        <v/>
      </c>
      <c r="D141" s="10">
        <f>Model!F21</f>
        <v/>
      </c>
      <c r="E141" s="10">
        <f>Model!G21</f>
        <v/>
      </c>
    </row>
    <row r="142">
      <c r="A142" s="19" t="inlineStr">
        <is>
          <t>EBIT (segments + corporate)</t>
        </is>
      </c>
      <c r="C142" s="23">
        <f>C140+C141</f>
        <v/>
      </c>
      <c r="D142" s="23">
        <f>D140+D141</f>
        <v/>
      </c>
      <c r="E142" s="23">
        <f>E140+E141</f>
        <v/>
      </c>
    </row>
    <row r="249">
      <c r="A249" s="19" t="inlineStr">
        <is>
          <t>Driver scenario shifts: line-item changes model_drivers.py resolves from this scenario's driver deltas (added to the Model tab inputs)</t>
        </is>
      </c>
    </row>
    <row r="250">
      <c r="A250" t="inlineStr">
        <is>
          <t>D&amp;A % revenue, year 1</t>
        </is>
      </c>
      <c r="B250" s="52" t="n">
        <v>-0.001360880700595937</v>
      </c>
    </row>
    <row r="251">
      <c r="A251" t="inlineStr">
        <is>
          <t>D&amp;A % revenue, year 2</t>
        </is>
      </c>
      <c r="B251" s="52" t="n">
        <v>-0.001844137507284738</v>
      </c>
    </row>
    <row r="252">
      <c r="A252" t="inlineStr">
        <is>
          <t>D&amp;A % revenue, year 3</t>
        </is>
      </c>
      <c r="B252" s="52" t="n">
        <v>-0.002254483458053097</v>
      </c>
    </row>
    <row r="253">
      <c r="A253" t="inlineStr">
        <is>
          <t>AWS: revenue growth, year 1</t>
        </is>
      </c>
      <c r="B253" s="52" t="n">
        <v>0.08099544876396836</v>
      </c>
    </row>
    <row r="254">
      <c r="A254" t="inlineStr">
        <is>
          <t>AWS: EBIT margin, year 1</t>
        </is>
      </c>
      <c r="B254" s="52" t="n">
        <v>0.0271392896781355</v>
      </c>
    </row>
    <row r="255">
      <c r="A255" t="inlineStr">
        <is>
          <t>AWS: EBIT margin, year 2</t>
        </is>
      </c>
      <c r="B255" s="52" t="n">
        <v>0.02940037852423544</v>
      </c>
    </row>
    <row r="256">
      <c r="A256" t="inlineStr">
        <is>
          <t>AWS: EBIT margin, year 3</t>
        </is>
      </c>
      <c r="B256" s="52" t="n">
        <v>0.03093831114619233</v>
      </c>
    </row>
    <row r="257">
      <c r="A257" t="inlineStr">
        <is>
          <t>North America + International: revenue growth, year 1</t>
        </is>
      </c>
      <c r="B257" s="52" t="n">
        <v>0.004357555861196571</v>
      </c>
    </row>
    <row r="258">
      <c r="A258" t="inlineStr">
        <is>
          <t>North America + International: EBIT margin, year 1</t>
        </is>
      </c>
      <c r="B258" s="52" t="n">
        <v>0.001667182639058448</v>
      </c>
    </row>
    <row r="259">
      <c r="A259" t="inlineStr">
        <is>
          <t>North America + International: revenue growth, year 2</t>
        </is>
      </c>
      <c r="B259" s="52" t="n">
        <v>0.0004014318653000615</v>
      </c>
    </row>
    <row r="260">
      <c r="A260" t="inlineStr">
        <is>
          <t>North America + International: EBIT margin, year 2</t>
        </is>
      </c>
      <c r="B260" s="52" t="n">
        <v>0.001800010637404328</v>
      </c>
    </row>
    <row r="261">
      <c r="A261" t="inlineStr">
        <is>
          <t>North America + International: revenue growth, year 3</t>
        </is>
      </c>
      <c r="B261" s="52" t="n">
        <v>0.0003611639808505096</v>
      </c>
    </row>
    <row r="262">
      <c r="A262" t="inlineStr">
        <is>
          <t>North America + International: EBIT margin, year 3</t>
        </is>
      </c>
      <c r="B262" s="52" t="n">
        <v>0.00191578591999958</v>
      </c>
    </row>
    <row r="263">
      <c r="A263" t="inlineStr">
        <is>
          <t>Adjustment 9 value</t>
        </is>
      </c>
      <c r="B263" s="52" t="n">
        <v>-426.0313486936793</v>
      </c>
    </row>
    <row r="264">
      <c r="A264" t="inlineStr">
        <is>
          <t>Stated EPS, multiple 1</t>
        </is>
      </c>
      <c r="B264" s="52" t="n">
        <v>1.242676854167199</v>
      </c>
    </row>
    <row r="265">
      <c r="A265" t="inlineStr">
        <is>
          <t>Segment 1 NTM metric</t>
        </is>
      </c>
      <c r="B265" s="52" t="n">
        <v>11554.04258687113</v>
      </c>
    </row>
    <row r="266">
      <c r="A266" t="inlineStr">
        <is>
          <t>Segment 2 NTM metric</t>
        </is>
      </c>
      <c r="B266" s="52" t="n">
        <v>1392.268409249999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showGridLines="0" workbookViewId="0">
      <selection activeCell="A1" sqref="A1"/>
    </sheetView>
  </sheetViews>
  <sheetFormatPr baseColWidth="8" defaultRowHeight="15"/>
  <cols>
    <col width="14" customWidth="1" min="1" max="1"/>
    <col width="34" customWidth="1" min="12" max="12"/>
    <col width="70" customWidth="1" min="13" max="13"/>
  </cols>
  <sheetData>
    <row r="1">
      <c r="A1" s="1" t="inlineStr">
        <is>
          <t>AMZN: each forecaster's own assumption set through the same engine (from model_engine.json, not live)</t>
        </is>
      </c>
    </row>
    <row r="3">
      <c r="A3" s="3" t="inlineStr">
        <is>
          <t>Set</t>
        </is>
      </c>
      <c r="B3" s="3" t="inlineStr">
        <is>
          <t>Research target (12m)</t>
        </is>
      </c>
      <c r="C3" s="3" t="inlineStr">
        <is>
          <t>Median</t>
        </is>
      </c>
      <c r="D3" s="3" t="inlineStr">
        <is>
          <t>25th pct</t>
        </is>
      </c>
      <c r="E3" s="3" t="inlineStr">
        <is>
          <t>75th pct</t>
        </is>
      </c>
      <c r="F3" s="3" t="inlineStr">
        <is>
          <t>WACC</t>
        </is>
      </c>
      <c r="G3" s="3" t="inlineStr">
        <is>
          <t>Y1 growth</t>
        </is>
      </c>
      <c r="H3" s="3" t="inlineStr">
        <is>
          <t>Y1 margin</t>
        </is>
      </c>
      <c r="I3" s="3" t="inlineStr">
        <is>
          <t>Terminal growth</t>
        </is>
      </c>
      <c r="J3" s="3" t="inlineStr">
        <is>
          <t>DCF weight</t>
        </is>
      </c>
      <c r="K3" s="3" t="inlineStr">
        <is>
          <t>Years</t>
        </is>
      </c>
      <c r="L3" s="3" t="inlineStr">
        <is>
          <t>Multiples</t>
        </is>
      </c>
      <c r="M3" s="3" t="inlineStr">
        <is>
          <t>Supervisor's note</t>
        </is>
      </c>
    </row>
    <row r="4">
      <c r="A4" t="inlineStr">
        <is>
          <t>supervisor</t>
        </is>
      </c>
      <c r="B4" s="9" t="n">
        <v>266.0514450782599</v>
      </c>
      <c r="C4" s="9" t="n">
        <v>258.6784765394948</v>
      </c>
      <c r="D4" s="9" t="n">
        <v>204.2953733446476</v>
      </c>
      <c r="E4" s="9" t="n">
        <v>316.499973862228</v>
      </c>
      <c r="F4" s="18" t="n">
        <v>0.1044</v>
      </c>
      <c r="G4" s="18" t="n"/>
      <c r="H4" s="18" t="n"/>
      <c r="I4" s="18" t="n">
        <v>0.035</v>
      </c>
      <c r="J4" s="18" t="n">
        <v>0</v>
      </c>
      <c r="K4" t="n">
        <v>3</v>
      </c>
      <c r="L4" t="inlineStr">
        <is>
          <t>P/E 22.88 (ntm)</t>
        </is>
      </c>
      <c r="M4" s="44" t="inlineStr"/>
    </row>
    <row r="5">
      <c r="A5" t="inlineStr">
        <is>
          <t>agent_1</t>
        </is>
      </c>
      <c r="M5" t="inlineStr">
        <is>
          <t>engine error: no model_inputs found</t>
        </is>
      </c>
    </row>
    <row r="6">
      <c r="A6" t="inlineStr">
        <is>
          <t>agent_2</t>
        </is>
      </c>
      <c r="M6" t="inlineStr">
        <is>
          <t>engine error: no model_inputs found</t>
        </is>
      </c>
    </row>
    <row r="7">
      <c r="A7" t="inlineStr">
        <is>
          <t>agent_3</t>
        </is>
      </c>
      <c r="M7" t="inlineStr">
        <is>
          <t>engine error: no model_inputs found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5"/>
  <sheetViews>
    <sheetView showGridLines="0" workbookViewId="0">
      <selection activeCell="A1" sqref="A1"/>
    </sheetView>
  </sheetViews>
  <sheetFormatPr baseColWidth="8" defaultRowHeight="15"/>
  <cols>
    <col width="34" customWidth="1" min="1" max="1"/>
    <col width="50" customWidth="1" min="2" max="2"/>
    <col width="40" customWidth="1" min="4" max="4"/>
    <col width="70" customWidth="1" min="6" max="6"/>
  </cols>
  <sheetData>
    <row r="1">
      <c r="A1" s="1" t="inlineStr">
        <is>
          <t>AMZN: where each input comes from (source numbers point to the list below; F ids to the SEC fact table)</t>
        </is>
      </c>
    </row>
    <row r="3">
      <c r="A3" s="3" t="inlineStr">
        <is>
          <t>Input</t>
        </is>
      </c>
      <c r="B3" s="3" t="inlineStr">
        <is>
          <t>Value</t>
        </is>
      </c>
      <c r="C3" s="3" t="inlineStr">
        <is>
          <t>Basis</t>
        </is>
      </c>
      <c r="D3" s="3" t="inlineStr">
        <is>
          <t>Sources</t>
        </is>
      </c>
      <c r="E3" s="3" t="inlineStr">
        <is>
          <t>SEC fact ids</t>
        </is>
      </c>
      <c r="F3" s="3" t="inlineStr">
        <is>
          <t>Derivation</t>
        </is>
      </c>
    </row>
    <row r="4">
      <c r="A4" s="44" t="inlineStr">
        <is>
          <t>Base revenue FY2025 (fiscal year ended 2025-12-31)</t>
        </is>
      </c>
      <c r="B4" t="inlineStr">
        <is>
          <t>$716,924M</t>
        </is>
      </c>
      <c r="C4" t="inlineStr">
        <is>
          <t>reported</t>
        </is>
      </c>
      <c r="D4" t="inlineStr">
        <is>
          <t>1, 2</t>
        </is>
      </c>
      <c r="E4" t="inlineStr">
        <is>
          <t>F3</t>
        </is>
      </c>
      <c r="F4" s="44" t="inlineStr">
        <is>
          <t>filled in (not stated in this set's original work): 10-K filed 2026-02-06, us-gaap:RevenueFromContractWithCustomerExcludingAssessedTax (fact pack F3).</t>
        </is>
      </c>
    </row>
    <row r="5">
      <c r="A5" s="44" t="inlineStr">
        <is>
          <t>Tax rate</t>
        </is>
      </c>
      <c r="B5" t="inlineStr">
        <is>
          <t>21%</t>
        </is>
      </c>
      <c r="C5" t="inlineStr">
        <is>
          <t>judgment</t>
        </is>
      </c>
      <c r="D5" t="inlineStr">
        <is>
          <t>1, 4</t>
        </is>
      </c>
      <c r="E5" t="inlineStr"/>
      <c r="F5" s="44" t="inlineStr">
        <is>
          <t>The supervisor's after-tax factor x 0.79 (21%) in its SOTP.</t>
        </is>
      </c>
    </row>
    <row r="6">
      <c r="A6" s="44" t="inlineStr">
        <is>
          <t>Stock comp % revenue</t>
        </is>
      </c>
      <c r="B6" t="inlineStr">
        <is>
          <t>2.49%</t>
        </is>
      </c>
      <c r="C6" t="inlineStr">
        <is>
          <t>reported</t>
        </is>
      </c>
      <c r="D6" t="inlineStr">
        <is>
          <t>1, 2</t>
        </is>
      </c>
      <c r="E6" t="inlineStr">
        <is>
          <t>F46, F6</t>
        </is>
      </c>
      <c r="F6" s="44" t="inlineStr">
        <is>
          <t>filled in (not stated in this set's original work): TTM SBC $19,314M / TTM revenue $775,680M (F46 / F6). GAAP EBIT is after stock comp (cost basis), so this is memo only.</t>
        </is>
      </c>
    </row>
    <row r="7">
      <c r="A7" s="44" t="inlineStr">
        <is>
          <t>Working capital % of incremental revenue</t>
        </is>
      </c>
      <c r="B7" t="inlineStr">
        <is>
          <t>0%</t>
        </is>
      </c>
      <c r="C7" t="inlineStr">
        <is>
          <t>judgment</t>
        </is>
      </c>
      <c r="D7" t="inlineStr"/>
      <c r="E7" t="inlineStr"/>
      <c r="F7" s="44" t="inlineStr">
        <is>
          <t>filled in (not stated in this set's original work): not stated in the run; Amazon runs negative working capital, set to 0 (memo; DCF weight 0).</t>
        </is>
      </c>
    </row>
    <row r="8">
      <c r="A8" s="44" t="inlineStr">
        <is>
          <t>Net debt at the balance date (2026-06-30)</t>
        </is>
      </c>
      <c r="B8" t="inlineStr">
        <is>
          <t>$10,332M</t>
        </is>
      </c>
      <c r="C8" t="inlineStr">
        <is>
          <t>reported</t>
        </is>
      </c>
      <c r="D8" t="inlineStr">
        <is>
          <t>1, 2</t>
        </is>
      </c>
      <c r="E8" t="inlineStr">
        <is>
          <t>F85, F88, F83, F84, F92</t>
        </is>
      </c>
      <c r="F8" s="44" t="inlineStr">
        <is>
          <t>filled in (not stated in this set's original work): long-term debt $132,995M + short-term borrowings $325M - cash $78,213M - marketable securities $44,775M = $10,332M (F92). Leases excluded (tags).</t>
        </is>
      </c>
    </row>
    <row r="9">
      <c r="A9" s="44" t="inlineStr">
        <is>
          <t>Interest rate on debt</t>
        </is>
      </c>
      <c r="B9" t="inlineStr">
        <is>
          <t>2.50%</t>
        </is>
      </c>
      <c r="C9" t="inlineStr">
        <is>
          <t>estimate</t>
        </is>
      </c>
      <c r="D9" t="inlineStr">
        <is>
          <t>1, 2</t>
        </is>
      </c>
      <c r="E9" t="inlineStr">
        <is>
          <t>F67, F91</t>
        </is>
      </c>
      <c r="F9" s="44" t="inlineStr">
        <is>
          <t>filled in (not stated in this set's original work): TTM interest expense $3,331M / total debt $133,320M (F67 / F91); not used when net debt at the horizon is stated.</t>
        </is>
      </c>
    </row>
    <row r="10">
      <c r="A10" s="44" t="inlineStr">
        <is>
          <t>Diluted shares now (Q2 2026 weighted average)</t>
        </is>
      </c>
      <c r="B10" t="inlineStr">
        <is>
          <t>10,903M</t>
        </is>
      </c>
      <c r="C10" t="inlineStr">
        <is>
          <t>reported</t>
        </is>
      </c>
      <c r="D10" t="inlineStr">
        <is>
          <t>1, 2</t>
        </is>
      </c>
      <c r="E10" t="inlineStr">
        <is>
          <t>F33</t>
        </is>
      </c>
      <c r="F10" s="44" t="inlineStr">
        <is>
          <t>filled in (not stated in this set's original work): Q2 2026 weighted-average diluted shares (F33).</t>
        </is>
      </c>
    </row>
    <row r="11">
      <c r="A11" s="44" t="inlineStr">
        <is>
          <t>WACC (DCF diagnostic only)</t>
        </is>
      </c>
      <c r="B11" t="inlineStr">
        <is>
          <t>10.44%</t>
        </is>
      </c>
      <c r="C11" t="inlineStr">
        <is>
          <t>estimate</t>
        </is>
      </c>
      <c r="D11" t="inlineStr">
        <is>
          <t>4</t>
        </is>
      </c>
      <c r="E11" t="inlineStr"/>
      <c r="F11" s="44" t="inlineStr">
        <is>
          <t>filled in (not stated in this set's original work): agent_3's stated WACC, the only discount rate in the run: cost of equity 5.31% + 1.31 x 4.20% = 10.79%; debt $163.6B face at 5.6% pre-tax, 21% tax; equity $2,764B (10.783B sh x $256.29). The DCF leg has weight 0 in this set.</t>
        </is>
      </c>
    </row>
    <row r="12">
      <c r="A12" s="44" t="inlineStr">
        <is>
          <t>Terminal growth (DCF diagnostic only)</t>
        </is>
      </c>
      <c r="B12" t="inlineStr">
        <is>
          <t>3.5%</t>
        </is>
      </c>
      <c r="C12" t="inlineStr">
        <is>
          <t>judgment</t>
        </is>
      </c>
      <c r="D12" t="inlineStr">
        <is>
          <t>4</t>
        </is>
      </c>
      <c r="E12" t="inlineStr"/>
      <c r="F12" s="44" t="inlineStr">
        <is>
          <t>filled in (not stated in this set's original work): agent_3's stated terminal growth (below the 5.31% 10-year).</t>
        </is>
      </c>
    </row>
    <row r="13">
      <c r="A13" s="44" t="inlineStr">
        <is>
          <t>FY2027 EPS (consensus)</t>
        </is>
      </c>
      <c r="B13" t="inlineStr">
        <is>
          <t>$10.51 (52 analysts)</t>
        </is>
      </c>
      <c r="C13" t="inlineStr">
        <is>
          <t>consensus</t>
        </is>
      </c>
      <c r="D13" t="inlineStr">
        <is>
          <t>5, 4</t>
        </is>
      </c>
      <c r="E13" t="inlineStr"/>
      <c r="F13" s="44" t="inlineStr">
        <is>
          <t>Yahoo EPS trend and MarketScreener, verified 2026-10-06 (supervisor key_drivers).</t>
        </is>
      </c>
    </row>
    <row r="14">
      <c r="A14" s="44" t="inlineStr">
        <is>
          <t>FY2028 EPS used</t>
        </is>
      </c>
      <c r="B14" t="inlineStr">
        <is>
          <t>$13.20 (consensus $13.81)</t>
        </is>
      </c>
      <c r="C14" t="inlineStr">
        <is>
          <t>estimate</t>
        </is>
      </c>
      <c r="D14" t="inlineStr">
        <is>
          <t>4, 23</t>
        </is>
      </c>
      <c r="E14" t="inlineStr"/>
      <c r="F14" s="44" t="inlineStr">
        <is>
          <t>Supervisor: mean of the three independent capex/D&amp;A haircuts (13.40 + 13.00 + 13.24) / 3 = 13.21, rounded to $13.20; consensus 2028 capex $296.9B (+7%) vs the standing view's Big-4 1,080 -&gt; 1,330.</t>
        </is>
      </c>
    </row>
    <row r="15">
      <c r="A15" s="44" t="inlineStr">
        <is>
          <t>Stated EPS at the horizon (NTM at Oct-2027)</t>
        </is>
      </c>
      <c r="B15" t="inlineStr">
        <is>
          <t>$11.40 (driver-built)</t>
        </is>
      </c>
      <c r="C15" t="inlineStr">
        <is>
          <t>estimate</t>
        </is>
      </c>
      <c r="D15" t="inlineStr">
        <is>
          <t>4</t>
        </is>
      </c>
      <c r="E15" t="inlineStr"/>
      <c r="F15" s="44" t="inlineStr">
        <is>
          <t>driver_build: 0.189 x (10.51 / 136.2) x EBIT_FY2027 + 0.811 x (13.81 / 182.7) x EBIT_FY2028 (consensus EPS per $B of EBIT, MarketScreener, source 4); weights rolled from 0.237 / 0.763 to the 2027-10-23 horizon (69 of 365 days of FY2027 left) = $11.40.</t>
        </is>
      </c>
    </row>
    <row r="16">
      <c r="A16" s="44" t="inlineStr">
        <is>
          <t>P/E multiple</t>
        </is>
      </c>
      <c r="B16" t="inlineStr">
        <is>
          <t>22.88x</t>
        </is>
      </c>
      <c r="C16" t="inlineStr">
        <is>
          <t>estimate</t>
        </is>
      </c>
      <c r="D16" t="inlineStr">
        <is>
          <t>29, 30, 35, 36, 39, 40, 41, 42</t>
        </is>
      </c>
      <c r="E16" t="inlineStr"/>
      <c r="F16" s="44" t="inlineStr">
        <is>
          <t>Exit-multiple rule (Kilian card 2026-10-26 12:16Z; METHOD.md Peer comparables): exit = peer median x (own NTM multiple / peer median)^k, k = 0.8. Peer median 21.3x (unchanged, gated 2026-10-26: see the rest of this derivation). Own multiple 23.29x on the peers' basis: AMZN $248.00 / CY2027 Zacks consensus EPS $10.65 = 23.29x (same basis as the peer rows). Exit = 21.3 x (23.29 / 21.3)^0.8 = 21.3 x 1.0741 = 22.88x (was 21.3x). SOTP segment multiples (AWS 21.3x, ads 19.87x, stores 37.56x) stay at their peer medians: a segment has no own traded multiple (rule: no meaningful own multiple -&gt; peer median). PREVIOUS DERIVATION: Median CY2027 P/E of MSFT, GOOGL, META at the Oct 23, 2026 close: MSFT 24.45x (524.51 / 21.45 = 0.500 x FY2027-06 19.65 + 0.500 x FY2028-06 23.25), GOOGL 21.3x (320.21 / 15.03), META 18.94x (642.62 / 33.93) (comps_cy27.json). Used at the median (was 23x, 2.3% below the base round's 11-name median). EPS basis checked per peer against its filings (comps_cy27.json basis_note; coordinator warning 2026-10-26): all on AMZN's GAAP-after-stock-comp basis; ORCL re-based; SE and SHOP not re-basable from XBRL but confirmed on the same basis from their earnings releases (SE: Zacks = GAAP diluted EPS; SHOP: Zacks = net income excluding equity investments, stock comp a cost), and neither can move the median. The subject EPS it multiplies is consensus GAAP ex mark-to-market gains (MarketScreener FY2027 $10.51 at 10-06 via the EPS-per-EBIT link; Zacks has $10.65 today, +1.3%, same basis).</t>
        </is>
      </c>
    </row>
    <row r="17">
      <c r="A17" s="44" t="inlineStr">
        <is>
          <t>Segment base revenue FY2025: North America + International / AWS</t>
        </is>
      </c>
      <c r="B17" t="inlineStr">
        <is>
          <t>$588,200M / $128,700M</t>
        </is>
      </c>
      <c r="C17" t="inlineStr">
        <is>
          <t>reported</t>
        </is>
      </c>
      <c r="D17" t="inlineStr"/>
      <c r="E17" t="inlineStr">
        <is>
          <t>F3</t>
        </is>
      </c>
      <c r="F17" s="44" t="inlineStr">
        <is>
          <t>AMZN deep model 2026-10-19: FY2025 segment net sales NA $426.3B + International $161.9B = $588.2B; AWS $128.7B; sum $716.9B = F3 (Q4-25 8-K Ex.99.1, https://www.sec.gov/Archives/edgar/data/1018724/000101872426000002/amzn-20251231xex991.htm).</t>
        </is>
      </c>
    </row>
    <row r="18">
      <c r="A18" s="44" t="inlineStr">
        <is>
          <t>AWS revenue growth / EBIT margin FY2026-FY2030</t>
        </is>
      </c>
      <c r="B18" t="inlineStr">
        <is>
          <t>35.2% / 32.2% / 25.2% / 18% / 14%; 37% / 36% / 35% / 34% / 33%</t>
        </is>
      </c>
      <c r="C18" t="inlineStr">
        <is>
          <t>estimate</t>
        </is>
      </c>
      <c r="D18" t="inlineStr">
        <is>
          <t>1, 2</t>
        </is>
      </c>
      <c r="E18" t="inlineStr"/>
      <c r="F18" s="44" t="inlineStr">
        <is>
          <t>AMZN deep model 2026-10-19: FY2026-28 follow the supervisor's SOTP path (agent_1: 2026E ~$174B = 128.7 x 1.352; 2027 ~$230B at 36%; 2028 ~$288B at 35%). Evidence: Q2-26 AWS $42.2B +37%, OI $16.6B (39.3%, incl. ~$0.6B energy-derivative gain, 520bp ex gain; https://www.sec.gov/Archives/edgar/data/1018724/000101872426000024/amzn-20260630xex991.htm, https://www.investing.com/news/transcripts/earnings-call-transcript-amazon-tops-q2-2026-estimates-as-aws-growth-accelerates-93CH-4826442); backlog $496B, 6.4-yr weighted life (10-Q, https://www.sec.gov/Archives/edgar/data/1018724/000101872426000026/amzn-20260630.htm); 'double the power capacity by the end of 2027 that we had in 2025', 2028 capacity 'quite a bit ... already reserved', chips run-rate 'over $25 billion' (Q2 call, https://www.investing.com/news/transcripts/earnings-call-transcript-amazon-tops-q2-2026-estimates-as-aws-growth-accelerates-93CH-4826442). 2029-30 fade to 18% / 14% and 34% / 33% for the D&amp;A wave: judgment for a steady-state DCF year.</t>
        </is>
      </c>
    </row>
    <row r="19">
      <c r="A19" s="44" t="inlineStr">
        <is>
          <t>North America + International revenue growth / EBIT margin FY2026-FY2030</t>
        </is>
      </c>
      <c r="B19" t="inlineStr">
        <is>
          <t>11.24% / 9.72% / 12.75% / 9% / 8%; 6.73% / 7.38% / 7.54% / 8.0% / 8.5%</t>
        </is>
      </c>
      <c r="C19" t="inlineStr">
        <is>
          <t>estimate</t>
        </is>
      </c>
      <c r="D19" t="inlineStr">
        <is>
          <t>4, 1, 2</t>
        </is>
      </c>
      <c r="E19" t="inlineStr"/>
      <c r="F19" s="44" t="inlineStr">
        <is>
          <t>AMZN deep model 2026-10-19: consensus sales (MarketScreener 828.3 / 947.9 / 1,097.4, source 4) less the AWS path = 654.3 / 717.9 / 809.4; OI ~$44B / $53B / $61B (agent_1, incl. Leo and Zoox costs) / revenue. 2029-30 judgment. Ads services $19.8B in Q2-26, +26% y/y (https://www.sec.gov/Archives/edgar/data/1018724/000101872426000024/amzn-20260630xex991.htm); FY2025 ads $68.6B = 13,921 + 15,694 + 17,703 + 21,317 (quarterly table, https://www.sec.gov/Archives/edgar/data/1018724/000101872426000002/amzn-20251231xex991.htm).</t>
        </is>
      </c>
    </row>
    <row r="20">
      <c r="A20" s="44" t="inlineStr">
        <is>
          <t>D&amp;A % revenue FY2026-FY2030</t>
        </is>
      </c>
      <c r="B20" t="inlineStr">
        <is>
          <t>9.69% / 14.48% / 15.73% / 16.0% / 16.0%</t>
        </is>
      </c>
      <c r="C20" t="inlineStr">
        <is>
          <t>estimate</t>
        </is>
      </c>
      <c r="D20" t="inlineStr">
        <is>
          <t>4</t>
        </is>
      </c>
      <c r="E20" t="inlineStr">
        <is>
          <t>F39, F6</t>
        </is>
      </c>
      <c r="F20" s="44" t="inlineStr">
        <is>
          <t>FY2026 TTM D&amp;A $75,200M / $775,680M (F39 / F6); FY2027-28 consensus EBITDA less EBIT (MarketScreener 2026-10-06: (355.3 - 182.7) / 1,097.4 = 15.73% for FY2028; the 2026-10-19 page 274.3 - 141.0 = 14.0% for FY2027, drift); FY2029-30 held near 16% (judgment).</t>
        </is>
      </c>
    </row>
    <row r="21">
      <c r="A21" s="44" t="inlineStr">
        <is>
          <t>Capex % revenue FY2026-FY2030</t>
        </is>
      </c>
      <c r="B21" t="inlineStr">
        <is>
          <t>26.56% / 29.27% / 27.06% / 22% / 17%</t>
        </is>
      </c>
      <c r="C21" t="inlineStr">
        <is>
          <t>estimate</t>
        </is>
      </c>
      <c r="D21" t="inlineStr">
        <is>
          <t>4</t>
        </is>
      </c>
      <c r="E21" t="inlineStr"/>
      <c r="F21" s="44" t="inlineStr">
        <is>
          <t>FY2026 ~$220B cash capex (Q2 call, https://www.investing.com/news/transcripts/earnings-call-transcript-amazon-tops-q2-2026-estimates-as-aws-growth-accelerates-93CH-4826442) / $828.3B; FY2027-28 MarketScreener consensus $277.4B / $296.9B; FY2029-30 normalise toward D&amp;A + growth (agent_3's steady state assumed ~14% capex; 17% kept above it): judgment.</t>
        </is>
      </c>
    </row>
    <row r="22">
      <c r="A22" s="44" t="inlineStr">
        <is>
          <t>Diluted shares at the horizon</t>
        </is>
      </c>
      <c r="B22" t="inlineStr">
        <is>
          <t>11,027.5M (10,903M x 1.009^1.27)</t>
        </is>
      </c>
      <c r="C22" t="inlineStr">
        <is>
          <t>estimate</t>
        </is>
      </c>
      <c r="D22" t="inlineStr">
        <is>
          <t>2</t>
        </is>
      </c>
      <c r="E22" t="inlineStr">
        <is>
          <t>F33</t>
        </is>
      </c>
      <c r="F22" s="44" t="inlineStr">
        <is>
          <t>AMZN deep model 2026-10-19: Amazon settles awards without a tax-withholding cash line (no PaymentsRelatedToTaxWithholdingForShareBasedCompensation fact in https://data.sec.gov/api/xbrl/companyfacts/CIK0001018724.json; no buybacks, $6.1B authorisation left), so pre-horizon SBC is charged as dilution: diluted shares 10,806M (Q2-25) -&gt; 10,903M (Q2-26) = +0.90%/yr (8-K, https://www.sec.gov/Archives/edgar/data/1018724/000101872426000024/amzn-20260630xex991.htm), rolled 1.27 years. SBC is counted once: as cost in post-horizon earnings, as dilution before. Globalstar stock is not added (the deal is deducted at its full $10.9B instead). Replaces the supervisor's 10,950M (which had ~0.5% for SBC and Globalstar).</t>
        </is>
      </c>
    </row>
    <row r="23">
      <c r="A23" s="44" t="inlineStr">
        <is>
          <t>Net debt at the horizon (SOTP leg only)</t>
        </is>
      </c>
      <c r="B23" t="inlineStr">
        <is>
          <t>$58,364M</t>
        </is>
      </c>
      <c r="C23" t="inlineStr">
        <is>
          <t>estimate</t>
        </is>
      </c>
      <c r="D23" t="inlineStr">
        <is>
          <t>1, 4</t>
        </is>
      </c>
      <c r="E23" t="inlineStr">
        <is>
          <t>F92</t>
        </is>
      </c>
      <c r="F23" s="44" t="inlineStr">
        <is>
          <t>AMZN deep model 2026-10-19: bottom-up: 6/30 net debt $10,332M (F92) + OpenAI $21,300M paid after quarter-end (10-Q) + H2-26 FCF ($34.0B consensus 2026 FCF outflow less H1 CFO $71,419M - capex $98,411M = -$26,992M, fact pack) = $7,008M + 2027 FCF to 10-06 0.765 x $8.2B = $6,273M + finance lease liabilities $13,451M (6/30 XBRL FinanceLeaseLiability, https://data.sec.gov/api/xbrl/companyfacts/CIK0001018724.json) = $58,364M. Operating leases ($96,320M) stay out: rent is in OI and EPS. Replaces the MarketScreener interpolation $61,086M (which excluded leases).</t>
        </is>
      </c>
    </row>
    <row r="24">
      <c r="A24" s="44" t="inlineStr">
        <is>
          <t>SOTP leg: AWS part</t>
        </is>
      </c>
      <c r="B24" t="inlineStr">
        <is>
          <t>NTM after-tax OI (driver-built, ~$71,508M) x 21.3</t>
        </is>
      </c>
      <c r="C24" t="inlineStr">
        <is>
          <t>estimate</t>
        </is>
      </c>
      <c r="D24" t="inlineStr">
        <is>
          <t>1, 2, 4, 35, 36, 41, 42, 43, 44</t>
        </is>
      </c>
      <c r="E24" t="inlineStr"/>
      <c r="F24" s="44" t="inlineStr">
        <is>
          <t>NTM after-tax AWS OI at the 2027-10-23 horizon (0.189 x FY2027 + 0.811 x FY2028 driver EBIT, x 0.79) x 21.3x = median CY2027 P/E of the cloud peers MSFT 24.45x (524.51 / 21.45 = 0.500 x FY2027-06 19.65 + 0.500 x FY2028-06 23.25), ORCL 17.55x (126.16 / 7.1902: Zacks 8.1475 = 0.417 x FY2027-05 6.73 + 0.583 x FY2028-05 9.16, re-based to GAAP after stock comp x 0.8825), GOOGL 21.3x (320.21 / 15.03). Was 25x (anchored on MSFT); no premium kept: ORCL's low multiple is part of the approved set and no persistence evidence for an AWS premium over the median is on file. Variant: MSFT's 24.45x alone, +$10.2 on the research target (12m). EPS basis checked per peer against its filings (comps_cy27.json basis_note; coordinator warning 2026-10-26): all on AMZN's GAAP-after-stock-comp basis; ORCL re-based; SE and SHOP not re-basable from XBRL but confirmed on the same basis from their earnings releases (SE: Zacks = GAAP diluted EPS; SHOP: Zacks = net income excluding equity investments, stock comp a cost), and neither can move the median.</t>
        </is>
      </c>
    </row>
    <row r="25">
      <c r="A25" s="44" t="inlineStr">
        <is>
          <t>SOTP leg: North America + International part</t>
        </is>
      </c>
      <c r="B25" t="inlineStr">
        <is>
          <t>split into Advertising and Stores ex-advertising parts (2026-10-26)</t>
        </is>
      </c>
      <c r="C25" t="inlineStr">
        <is>
          <t>estimate</t>
        </is>
      </c>
      <c r="D25" t="inlineStr">
        <is>
          <t>1, 2, 4</t>
        </is>
      </c>
      <c r="E25" t="inlineStr"/>
      <c r="F25" s="44" t="inlineStr">
        <is>
          <t>Replaced by the two rows below: the segment OI on the driver split is advertising ~$46.4B NTM after tax vs stores ~$0.9B (0.5 x ads_rev; stores_m x stores_rev).</t>
        </is>
      </c>
    </row>
    <row r="26">
      <c r="A26" s="44" t="inlineStr">
        <is>
          <t>SOTP leg: Advertising part</t>
        </is>
      </c>
      <c r="B26" t="inlineStr">
        <is>
          <t>NTM after-tax OI (driver-built, ~$46,409M) x 19.87</t>
        </is>
      </c>
      <c r="C26" t="inlineStr">
        <is>
          <t>estimate</t>
        </is>
      </c>
      <c r="D26" t="inlineStr">
        <is>
          <t>31, 32, 35, 36, 39, 40, 45, 46</t>
        </is>
      </c>
      <c r="E26" t="inlineStr"/>
      <c r="F26" s="44" t="inlineStr">
        <is>
          <t>Advertising OI = 0.5 x ads_rev (50% ad margin, flagged estimate in driver stores_m), NTM after-tax, x 19.87x = median CY2027 P/E of the ad-platform peers META 18.94x (642.62 / 33.93), GOOGL 21.3x (320.21 / 15.03), RDDT 20.79x (144.25 / 6.94), APP 13.08x (260.25 / 19.9). New part (2026-10-26): the segment's earnings are ~98% advertising on the driver split, so the retail median applies to stores only (METHOD.md: a segment-only comp values that segment only). EPS basis checked per peer against its filings (comps_cy27.json basis_note; coordinator warning 2026-10-26): all on AMZN's GAAP-after-stock-comp basis; ORCL re-based; SE and SHOP not re-basable from XBRL but confirmed on the same basis from their earnings releases (SE: Zacks = GAAP diluted EPS; SHOP: Zacks = net income excluding equity investments, stock comp a cost), and neither can move the median.</t>
        </is>
      </c>
    </row>
    <row r="27">
      <c r="A27" s="44" t="inlineStr">
        <is>
          <t>SOTP leg: Stores ex-advertising part</t>
        </is>
      </c>
      <c r="B27" t="inlineStr">
        <is>
          <t>NTM after-tax OI (driver-built, ~$853M) x 37.56</t>
        </is>
      </c>
      <c r="C27" t="inlineStr">
        <is>
          <t>estimate</t>
        </is>
      </c>
      <c r="D27" t="inlineStr">
        <is>
          <t>33, 34, 37, 38, 47, 48, 49, 50, 51, 52</t>
        </is>
      </c>
      <c r="E27" t="inlineStr"/>
      <c r="F27" s="44" t="inlineStr">
        <is>
          <t>Stores ex-advertising OI = stores_m x stores_rev (reported basis, incl. Leo and Zoox losses), NTM after-tax, x 37.56x = median CY2027 P/E of the approved retail/commerce peers WMT 37.56x (119.89 / 3.1917 = 0.083 x FY2027-01 2.88 + 0.917 x FY2028-01 3.22), COST 42.8x (1003.32 / 23.4433 = 0.667 x FY2027-08 22.7 + 0.333 x FY2028-08 24.93), MELI 32.8x (1810.15 / 55.19), SE 16.55x (74.63 / 4.51), SHOP 91.67x (168.68 / 1.84). Out: BABA, PDD (China), CPNG (Korea). SE has 2 EPS estimates (thin). EPS basis checked per peer against its filings (comps_cy27.json basis_note; coordinator warning 2026-10-26): all on AMZN's GAAP-after-stock-comp basis; ORCL re-based; SE and SHOP not re-basable from XBRL but confirmed on the same basis from their earnings releases (SE: Zacks = GAAP diluted EPS; SHOP: Zacks = net income excluding equity investments, stock comp a cost), and neither can move the median.</t>
        </is>
      </c>
    </row>
    <row r="28">
      <c r="A28" s="44" t="inlineStr">
        <is>
          <t>SOTP leg: venture add-back basis correction</t>
        </is>
      </c>
      <c r="B28" t="inlineStr">
        <is>
          <t>+$46,389M EV</t>
        </is>
      </c>
      <c r="C28" t="inlineStr">
        <is>
          <t>estimate</t>
        </is>
      </c>
      <c r="D28" t="inlineStr"/>
      <c r="E28" t="inlineStr"/>
      <c r="F28" s="44" t="inlineStr">
        <is>
          <t>Exit k=0.8 re-set 2026-10-26: capitalised at the P/E leg multiple 22.88x (was 21.3x): -(2,500 + 1,500) x 0.79 x (22.88 - 37.56) = 46,388.8 ($M). PREVIOUS DERIVATION: The Leo and Zoox loss add-backs are capitalised at the P/E leg's 21.3x (adjustments); on this leg their losses sit inside the stores part at 37.56x, so the add-back is re-based: -(2,500 + 1,500) x 0.79 x (21.3 - 37.56) = +$51,382M. Entered as metric x 1.0.</t>
        </is>
      </c>
    </row>
    <row r="29">
      <c r="A29" s="44" t="inlineStr">
        <is>
          <t>Anthropic: Amazon investments and form</t>
        </is>
      </c>
      <c r="B29" t="inlineStr">
        <is>
          <t>$8.0B convertible notes (2023-25) + $5.0B Series G + $5.0B Series H preferred (Q2-26) = $18.0B cash; carrying notes $97.9B + preferred $92.5B = $190.4B at 6/30</t>
        </is>
      </c>
      <c r="C29" t="inlineStr">
        <is>
          <t>reported</t>
        </is>
      </c>
      <c r="D29" t="inlineStr">
        <is>
          <t>1</t>
        </is>
      </c>
      <c r="E29" t="inlineStr"/>
      <c r="F29" s="44" t="inlineStr">
        <is>
          <t>10-Q (https://www.sec.gov/Archives/edgar/data/1018724/000101872426000026/amzn-20260630.htm): notes $8.0B invested Q3-23 to Q4-25, AFS Level 3, fair value $97.9B, unrealized gain $92.0B in AOCI; portions converted to nonvoting preferred in Q1-25 and Q1-26 (reclassified gains $4.5B H1-26); preferred carrying $92.5B after $5.0B Series G + $5.0B Series H; upward adjustments $50.5B Q2 / $62.8B H1. Financing facility for Anthropic up to $20.0B (now $15.0B), milestone-based, expiring 30 months after a liquidity event.</t>
        </is>
      </c>
    </row>
    <row r="30">
      <c r="A30" s="44" t="inlineStr">
        <is>
          <t>Anthropic: Amazon fully diluted ownership</t>
        </is>
      </c>
      <c r="B30" t="inlineStr">
        <is>
          <t>19.5% pre-IPO (range 17-21%); 17.60% at the IPO</t>
        </is>
      </c>
      <c r="C30" t="inlineStr">
        <is>
          <t>estimate</t>
        </is>
      </c>
      <c r="D30" t="inlineStr">
        <is>
          <t>1</t>
        </is>
      </c>
      <c r="E30" t="inlineStr"/>
      <c r="F30" s="44" t="inlineStr">
        <is>
          <t>Filing-implied: $190.4B carrying at the Series H $965B post-money (Anthropic 2026-05-28, https://www.anthropic.com/news/series-h) = 19.73%; press: 'about 21%' (Motley Fool 2026-08-06, https://www.fool.com/investing/2026/08/06/amazons-stake-in-anthropic-could-be-worth-over-200/); 19.5% used. At the IPO: x 0.95 for the Public Benefit Fund (5% of shares, subject to stockholder approval; Anthropic 2026-10-18, https://www.anthropic.com/news/public-benefit-fund) x (1 - $75B primary / $1,500B) (IFR: up to $100B at ~$2T, scaled to $1.5T; https://www.ifre.com/equities/2499407/anthropic-pushes-ahead-with-mid-november-ipo) = 17.5987%.</t>
        </is>
      </c>
    </row>
    <row r="31">
      <c r="A31" s="44" t="inlineStr">
        <is>
          <t>Anthropic: IPO valuation used</t>
        </is>
      </c>
      <c r="B31" t="inlineStr">
        <is>
          <t>$1,500B (variant $1,924B)</t>
        </is>
      </c>
      <c r="C31" t="inlineStr">
        <is>
          <t>estimate</t>
        </is>
      </c>
      <c r="D31" t="inlineStr"/>
      <c r="E31" t="inlineStr"/>
      <c r="F31" s="44" t="inlineStr">
        <is>
          <t>Reuters via Investing.com 2026-10-15: investors at the 2026-10-14 investor day discussed ~$1.5T, below the ~$2T floated; Q3 revenue $16.8B (+45% q/q), adjusted profitable (https://www.investing.com/news/stock-market-news/some-investors-push-anthropic-to-cut-ipo-valuation-to-15-trillion--report-4952696). Variant: Polymarket expected first-day close mixed with the no-IPO case, $1.92T, as in runs/2026-10-06/GOOGL/anthropic_stake_2026-10-19.md (https://gamma-api.polymarket.com/public-search?q=anthropic%20ipo).</t>
        </is>
      </c>
    </row>
    <row r="32">
      <c r="A32" s="44" t="inlineStr">
        <is>
          <t>Anthropic: tax and lock-up</t>
        </is>
      </c>
      <c r="B32" t="inlineStr">
        <is>
          <t>24% on the gain over $18.0B cost; 10.37% lock-up/blockage discount</t>
        </is>
      </c>
      <c r="C32" t="inlineStr">
        <is>
          <t>estimate</t>
        </is>
      </c>
      <c r="D32" t="inlineStr">
        <is>
          <t>1</t>
        </is>
      </c>
      <c r="E32" t="inlineStr"/>
      <c r="F32" s="44" t="inlineStr">
        <is>
          <t>Tax: the run's 24% (H1-26 discrete tax $15.9B / ($62.8B + $4.5B) = 23.6%, supervisor; Q2 OCI tax $13,695M on $41,988M after-tax AFS gain = 24.6% of the pre-tax gain, XBRL). Lock-up: Finnerty (2012) average-strike put, 65% vol, 0.5 year = 10.37% (recomputed; 1 year 14.36%); vol basis SpaceX realized 67% since its June IPO (GOOGL Anthropic file).</t>
        </is>
      </c>
    </row>
    <row r="33">
      <c r="A33" s="44" t="inlineStr">
        <is>
          <t>Anthropic stake (AMZN deep model 2026-10-19)</t>
        </is>
      </c>
      <c r="B33" t="inlineStr">
        <is>
          <t>$183,692M after tax and lock-up (stakes block)</t>
        </is>
      </c>
      <c r="C33" t="inlineStr">
        <is>
          <t>estimate</t>
        </is>
      </c>
      <c r="D33" t="inlineStr">
        <is>
          <t>1</t>
        </is>
      </c>
      <c r="E33" t="inlineStr"/>
      <c r="F33" s="44" t="inlineStr">
        <is>
          <t>17.5987% x $1,500,000M = $263,980M; tax 0.24 x (263,980 - 18,000) = $59,035M; x (1 - 0.1037) = $183,692M. vs the run's $149.0B (190.4 - 0.24 x 172.4) in the SOTP leg: +$34,692M; the P/E leg carried no stakes before (see the P/E leg row).</t>
        </is>
      </c>
    </row>
    <row r="34">
      <c r="A34" s="44" t="inlineStr">
        <is>
          <t>Consensus EPS excludes Anthropic mark-to-market gains (no double count)</t>
        </is>
      </c>
      <c r="B34" t="inlineStr">
        <is>
          <t>Q2-26 GAAP EPS $5.75 vs consensus $1.82; FY26 consensus jumped from $8.73 (90 days ago) to $12.81-12.90 after the Q2 gain; FY27 $10.51 on both vendors</t>
        </is>
      </c>
      <c r="C34" t="inlineStr">
        <is>
          <t>consensus</t>
        </is>
      </c>
      <c r="D34" t="inlineStr">
        <is>
          <t>5, 4</t>
        </is>
      </c>
      <c r="E34" t="inlineStr">
        <is>
          <t>F27</t>
        </is>
      </c>
      <c r="F34" s="44" t="inlineStr">
        <is>
          <t>Q2-26 GAAP EPS $5.75 (F27) included $53.4B of non-operating income (Other income $53,415M, 10-Q) against a $1.82 consensus (TheWrap, https://www.thewrap.com/industry-news/business/amazon-earnings-q2-2026/); FY2026 consensus (Yahoo EPS trend, https://finance.yahoo.com/quote/AMZN/analysis/, read 2026-10-19): $8.73 90 days ago -&gt; $12.81 60 days ago -&gt; $12.90 now, a +$4.1 jump after the Q2 print, about the after-tax gain per share ($53.4B x 0.76 / 10.9B = $3.72); FY2027 moved only $10.00 -&gt; $10.49 over the same window ($10.51 at 2026-10-06, $10.55 now) and FY2028 $13.81 forecast no gains. So the P/E leg on consensus EPS values the core only and the stakes are added on top.</t>
        </is>
      </c>
    </row>
    <row r="35">
      <c r="A35" s="44" t="inlineStr">
        <is>
          <t>OpenAI stake (AMZN deep model 2026-10-19)</t>
        </is>
      </c>
      <c r="B35" t="inlineStr">
        <is>
          <t>$50,000M (5.87% at $852B post-money), at cost = last priced round; no tax</t>
        </is>
      </c>
      <c r="C35" t="inlineStr">
        <is>
          <t>estimate</t>
        </is>
      </c>
      <c r="D35" t="inlineStr">
        <is>
          <t>1</t>
        </is>
      </c>
      <c r="E35" t="inlineStr"/>
      <c r="F35" s="44" t="inlineStr">
        <is>
          <t>10-Q (https://www.sec.gov/Archives/edgar/data/1018724/000101872426000026/amzn-20260630.htm): $15.0B Series C in Q1-26, $35.0B letter-agreement commitment, $13.7B funded in Q2, carrying $28.7B, remaining $21.3B invested after 6/30; converts to common on an IPO. Round: $122B at $730B pre / $852B post, closed March 2026 (ValueAdd VC, https://valueaddvc.com/blog/openai-valuation-2026-852-billion-after-the-122b-raise); ~$7B employee share sale at $852B, 2026-08-10 (Dealroom, https://dealroom.co/news/144253-openai-closes-7b-share-sale-at-852b-valuation-ahead-of-ipo/). 50 / 852 = 5.87%. Held at cost: the last two priced transactions are at the round price; the preference protects the downside. Not in consensus EPS (no gain recognised, measurement alternative).</t>
        </is>
      </c>
    </row>
    <row r="36">
      <c r="A36" s="44" t="inlineStr">
        <is>
          <t>Other equity investments and warrants (AMZN deep model 2026-10-19)</t>
        </is>
      </c>
      <c r="B36" t="inlineStr">
        <is>
          <t>+$4,636M</t>
        </is>
      </c>
      <c r="C36" t="inlineStr">
        <is>
          <t>estimate</t>
        </is>
      </c>
      <c r="D36" t="inlineStr">
        <is>
          <t>1</t>
        </is>
      </c>
      <c r="E36" t="inlineStr"/>
      <c r="F36" s="44" t="inlineStr">
        <is>
          <t>10-Q (https://www.sec.gov/Archives/edgar/data/1018724/000101872426000026/amzn-20260630.htm): private company equity investments $122.3B (includes Anthropic preferred $92.5B and OpenAI Series C $28.7B) leaves $1.1B; + equity warrants $4.3B + equity-method $0.395B = $5.795B x 0.80 for tax and liquidity = $4,636M. Marketable equity securities ($3.498B Level 1 + $1.189B Level 2) sit in cash, cash equivalents and marketable securities, so they are already in net debt. Cross-check: notes 97.9 + private 122.3 + warrants 4.3 + equity-method 0.4 + marketable equity 4.7 = $229.6B, agent_3's $229.7B. Not in the run.</t>
        </is>
      </c>
    </row>
    <row r="37">
      <c r="A37" s="44" t="inlineStr">
        <is>
          <t>Globalstar acquisition (AMZN deep model 2026-10-19)</t>
        </is>
      </c>
      <c r="B37" t="inlineStr">
        <is>
          <t>-$10,900M on both legs</t>
        </is>
      </c>
      <c r="C37" t="inlineStr">
        <is>
          <t>reported</t>
        </is>
      </c>
      <c r="D37" t="inlineStr">
        <is>
          <t>1</t>
        </is>
      </c>
      <c r="E37" t="inlineStr"/>
      <c r="F37" s="44" t="inlineStr">
        <is>
          <t>10-Q (https://www.sec.gov/Archives/edgar/data/1018724/000101872426000026/amzn-20260630.htm): agreement 2026-04-13; $90.00 cash or 0.3210 AMZN shares per share, cash elections capped at 40%; implied EV ~$10.9B incl. debt; close 2027. Was deducted in the SOTP leg only; the P/E leg now deducts it too (an investing outflow not in EPS). No Globalstar shares in the count (value deducted in full).</t>
        </is>
      </c>
    </row>
    <row r="38">
      <c r="A38" s="44" t="inlineStr">
        <is>
          <t>Amazon Leo: loss in consensus earnings (AMZN deep model 2026-10-19)</t>
        </is>
      </c>
      <c r="B38" t="inlineStr">
        <is>
          <t>$2.5B pre-tax in the NTM year at the horizon (range 1.5-4.0)</t>
        </is>
      </c>
      <c r="C38" t="inlineStr">
        <is>
          <t>estimate</t>
        </is>
      </c>
      <c r="D38" t="inlineStr"/>
      <c r="E38" t="inlineStr"/>
      <c r="F38" s="44" t="inlineStr">
        <is>
          <t>Not disclosed. Barclays: Kuiper losses 'peak at $3.3 billion in 2025', an 80bp OI-margin drag (Investing.com 2024-12-20, https://investing.com/news/stock-market-news/how-will-amazon-fund-kuiper-barclays-weighs-in-3785104); Amazon: Q1-26 OI guide 'includes approximately $1 billion of higher year-over-year Amazon Leo costs' (https://www.sec.gov/Archives/edgar/data/1018724/000101872426000002/amzn-20251231xex991.htm); CFO: ~$1B higher 2026 Leo costs, &gt;20 launches in 2026 and &gt;30 in 2027 (Via Satellite 2026-02-09, https://www.satellitetoday.com/finance/2026/02/09/amazon-expects-to-increase-spending-on-amazon-leo-by-1b-in-2026/); costs sit in North America. So 2026 ~$4.3B (3.3 + 1.0, est.); judgment (not disclosed): once satellites enter service their cost runs through depreciation and early subscription revenue offsets operating costs, so the expensed loss falls from the 2026 level: $2.5B used for Oct-27 to Sep-28.</t>
        </is>
      </c>
    </row>
    <row r="39">
      <c r="A39" s="44" t="inlineStr">
        <is>
          <t>Amazon Leo: loss add-back (AMZN deep model 2026-10-19)</t>
        </is>
      </c>
      <c r="B39" t="inlineStr">
        <is>
          <t>+$45,188M</t>
        </is>
      </c>
      <c r="C39" t="inlineStr">
        <is>
          <t>estimate</t>
        </is>
      </c>
      <c r="D39" t="inlineStr"/>
      <c r="E39" t="inlineStr"/>
      <c r="F39" s="44" t="inlineStr">
        <is>
          <t>Exit k=0.8 re-set 2026-10-26: capitalised at the P/E leg multiple 22.88x (was 21.3x): 2,500 x 0.79 x 22.88 = 45,188.0 ($M). PREVIOUS DERIVATION: 2,500 x 0.79 x 21.3 = 42,067.5 (both legs; re-based to the stores multiple on the SOTP leg by the basis correction). Was 23x.</t>
        </is>
      </c>
    </row>
    <row r="40">
      <c r="A40" s="44" t="inlineStr">
        <is>
          <t>Amazon Leo: own value (AMZN deep model 2026-10-19)</t>
        </is>
      </c>
      <c r="B40" t="inlineStr">
        <is>
          <t>+$13,000M</t>
        </is>
      </c>
      <c r="C40" t="inlineStr">
        <is>
          <t>estimate</t>
        </is>
      </c>
      <c r="D40" t="inlineStr"/>
      <c r="E40" t="inlineStr"/>
      <c r="F40" s="44" t="inlineStr">
        <is>
          <t>Scenarios for a 2030 run-rate (est.): bear p.35 2M subs x $60 x 12 + $0.5B enterprise = ~$2.0B revenue at ~2x sales = $4B; base p.45 6M x $65 x 12 + $2.0B enterprise/government/direct-to-device (Globalstar) = $6.7B, 25% EBIT x 20 = $33.5B; bull p.20 12M x $66 x 12 + $4.5B = $14.0B, 35% EBIT x 22 = $108B. Weighted $38.1B, / 1.15^3 = $25.0B at the horizon, less ~$12B PV of the remaining first-generation build (analysts $16-20B in total, &gt;$10B invested per the FCC filing) (18 - 10 = ~$8B) and pre-scale burn (~$4B, INDmoney's assumed net pre-scale outflow) = ~$13B. Anchors: Starlink Q2-26 revenue $4.291B, OI $1.656B (38.6%), 12.0M subscribers, ARPU $66 (INDmoney, updated 2026-10-15, https://www.indmoney.com/blog/us-stocks/amazon-kuiper-vs-starlink-amzn-spcx-satellite-internet-stock-analysis); its illustrative Leo values -$1.3B / $3.8B / $19.8B; first-gen $16-20B, ~390 satellites by 2026-07-02, commercial service later in 2026 (Yahoo Finance, https://finance.yahoo.com/markets/stocks/articles/amazon-finally-taking-fight-starlink-163300161.html); Leo 'close to 400 satellites in orbit' (Q2 call).</t>
        </is>
      </c>
    </row>
    <row r="41">
      <c r="A41" s="44" t="inlineStr">
        <is>
          <t>Zoox: loss in consensus earnings (AMZN deep model 2026-10-19)</t>
        </is>
      </c>
      <c r="B41" t="inlineStr">
        <is>
          <t>$1.5B pre-tax a year (range 1.0-2.0)</t>
        </is>
      </c>
      <c r="C41" t="inlineStr">
        <is>
          <t>estimate</t>
        </is>
      </c>
      <c r="D41" t="inlineStr"/>
      <c r="E41" t="inlineStr"/>
      <c r="F41" s="44" t="inlineStr">
        <is>
          <t>Not disclosed. 5,029 employees (TipRanks, read 2026-10-19, https://www.tipranks.com/private-companies/zoox) x ~$0.3M fully loaded (est.) = ~$1.5B, plus fleet and depots ~$0.1-0.3B, less staff cost capitalised into the vehicle and factory build (est.): $1.5B used. Paid rides in Las Vegas from 2026-08-10 under the first NHTSA Part 555 exemption for a purpose-built robotaxi, NHTSA exemption announced 2026-07-30 'limits Zoox's commercial fleet up to 2,500 vehicles annually for two years' (TechCrunch, https://techcrunch.com/2026/07/30/zoox-clears-final-federal-hurdle-to-launch-paid-robotaxi-service/; first purpose-built robotaxi with a Part 555 exemption, Q2 8-K); Las Vegas service flips from free to paid on 2026-08-10 (AI Weekly summarising TechCrunch 2026-08-05, https://aiweekly.co/alerts/zoox-starts-charging-for-robotaxi-rides-in-las-vegas-aug-10).</t>
        </is>
      </c>
    </row>
    <row r="42">
      <c r="A42" s="44" t="inlineStr">
        <is>
          <t>Zoox: loss add-back (AMZN deep model 2026-10-19)</t>
        </is>
      </c>
      <c r="B42" t="inlineStr">
        <is>
          <t>+$27,113M</t>
        </is>
      </c>
      <c r="C42" t="inlineStr">
        <is>
          <t>estimate</t>
        </is>
      </c>
      <c r="D42" t="inlineStr"/>
      <c r="E42" t="inlineStr"/>
      <c r="F42" s="44" t="inlineStr">
        <is>
          <t>Exit k=0.8 re-set 2026-10-26: capitalised at the P/E leg multiple 22.88x (was 21.3x): 1,500 x 0.79 x 22.88 = 27,112.8 ($M). PREVIOUS DERIVATION: 1,500 x 0.79 x 21.3 = 25,240.5 (both legs; re-based on the SOTP leg). Was 23x.</t>
        </is>
      </c>
    </row>
    <row r="43">
      <c r="A43" s="44" t="inlineStr">
        <is>
          <t>Zoox: own value (AMZN deep model 2026-10-19)</t>
        </is>
      </c>
      <c r="B43" t="inlineStr">
        <is>
          <t>+$9,000M</t>
        </is>
      </c>
      <c r="C43" t="inlineStr">
        <is>
          <t>estimate</t>
        </is>
      </c>
      <c r="D43" t="inlineStr"/>
      <c r="E43" t="inlineStr"/>
      <c r="F43" s="44" t="inlineStr">
        <is>
          <t>Bear p.40 $2B (technology value; Amazon paid about $1.2B in 2020 after a $3.2B valuation in Zoox's last round, SiliconANGLE 2020-06-26, https://siliconangle.com/2020/06/26/amazon-acquires-autonomous-vehicle-startup-zoox-reported-1-2b-deal/), base p.45 $10B, bull p.15 $40B = $11.3B, x (1 - 20% haircut, no outside round, illiquid) = ~$9.0B. Comparable: Waymo $126B post-money (2026-02-02, https://waymo.com/blog/2026/02/waymo-raises-usd16-billion-investment-round) with an estimated 2,500-3,000 active vehicles (Not a Tesla App 2026-03-18, https://www.notateslaapp.com/news/3775/the-great-robotaxi-race-a-look-at-teslas-competition) vs Zoox's fleet of 105 (TechCrunch 2026-07-17, https://techcrunch.com/2026/07/17/zoox-issues-software-recall-after-a-robotaxi-got-confused-by-heavy-smoke/): fleet-pro-rata 126 x 105 / 2,750 = $4.8B.</t>
        </is>
      </c>
    </row>
    <row r="44">
      <c r="A44" s="44" t="inlineStr">
        <is>
          <t>Legal remedies, probability-weighted (AMZN deep model 2026-10-19)</t>
        </is>
      </c>
      <c r="B44" t="inlineStr">
        <is>
          <t>-$32,279M (driver-built)</t>
        </is>
      </c>
      <c r="C44" t="inlineStr">
        <is>
          <t>estimate</t>
        </is>
      </c>
      <c r="D44" t="inlineStr"/>
      <c r="E44" t="inlineStr"/>
      <c r="F44" s="44" t="inlineStr">
        <is>
          <t>Peer refresh 2026-10-26: the FTC remedy base (retail+ads value) is now the SOTP's Advertising + Stores parts (19.87x and 37.56x on the driver metrics, ~$954B, was 22x x metric) and the ad-auction forward-pricing piece uses the ads multiple 19.87x (0.4 x 50% x $2.9B x 0.79 x 19.87 = $9.1B, was 22x $10.1B); everything else unchanged; the sub-figures after this sentence are the base round's (22x, $1,025B) and are superseded by the totals here: FTC -$14.7B, ad-auction -$13.1B (damages -$4.0B + forward pricing -$9.1B), California/consumer -$4.0B, EU -$0.45B = -$32.3B (driver value -$32,278.7M). Driver formula constant $17,584M = the base round's $18,560M (set from the rounded total -$34.35B) - 10,080 + 9,104; the exact fixed pieces sum to $17,553M (4,000 + 9,104 + 4,000 + 449), a $31M rounding residue kept (removing it leaves the base horizon value at $256.82 and moves the bull case by +$0.01). FTC v. Amazon monopolization: trial 2027-03-29, delay to June denied 2026-10-09 (MLex, https://www.mlex.com/mlex/antitrust/articles/2536525/amazon-s-bid-to-delay-us-ftc-monopolization-trial-rejected-by-judge); FTC lost its Meta monopolization case on 2025-11-18 (Hogan Lovells, memorandum dated 2025-11-18, https://www.hlc.com/en/publications/federal-judge-says-meta-is-not-a-monopoly-ending-ftcs-longrunning-antitrust-case). p(liability) 0.35 (est.); given liability 0.8 behavioural (3% of the $1,025B retail+ads value) + 0.2 structural (10%) = $45.1B -&gt; -$15.8B. FTC + 22 states ad-auction suit (2026-08-31): auction-rule change from 2019 alleged to have cost advertisers '$20 billion or more', 'tens of billions' in damages sought (Reuters via The Star, https://www.thestar.com.my/tech/tech-news/2026/09/01/amazon-sued-by-ftc-and-over-20-us-states): damages p 0.5 x $8B (40% of the $20B alleged, est.) = -$4.0B; forward pricing 0.4 x 50% x $2.9B/yr (20 / 7 years) x 0.79 x 22 = -$10.1B. California AG pricing case (trial set 2027-01-19, CA AG, https://oag.ca.gov/news/press-releases/attorney-general-bonta-delivers-prime-victory-against-amazon-ongoing-price) and the U.S. consumer class actions (one certified, three pre-certification, 10-Q legal proceedings): -$4.0B (est.). EU: Luxembourg EUR 746M GDPR fine annulled 2026-03-12 (Chronicle, https://chronicle.lu/category/legal-ip/60106-luxembourg-court-annuls-cnpd-ruling-in-amazon-data-protection-case) p 0.4 x EUR 0.5B re-imposed (est.) + DMA marketplace p 0.2 x EUR 1.0B (est.), x EUR/USD 1.1212 (Twelve Data 2026-10-19, as in runs/2026-10-06/GOOGL/remaining_items_2026-10-19.md) = -$0.45B. No accrual is disclosed for any matter (10-Q legal proceedings; $7.1B tax contingencies excluded).</t>
        </is>
      </c>
    </row>
    <row r="45">
      <c r="A45" s="44" t="inlineStr">
        <is>
          <t>Conglomerate overlay 10% on non-core parts (AMZN deep model 2026-10-19)</t>
        </is>
      </c>
      <c r="B45" t="inlineStr">
        <is>
          <t>-26,033M</t>
        </is>
      </c>
      <c r="C45" t="inlineStr">
        <is>
          <t>estimate</t>
        </is>
      </c>
      <c r="D45" t="inlineStr"/>
      <c r="E45" t="inlineStr"/>
      <c r="F45" s="44" t="inlineStr">
        <is>
          <t>10% x $260,328M of post-haircut non-core parts (Anthropic 183,692 after 24% tax and the 10.37% lock-up, OpenAI 50,000, other investments 4,636, Leo 13,000, Zoox 9,000). Evidence (as in runs/2026-10-06/GOOGL/remaining_items_2026-10-19.md): Berger &amp; Ofek (1995) 13-15% diversification discount (JFE 37(1)); Campa &amp; Kedia (2002) and Villalonga (2004) find it shrinks or reverses after self-selection; listed holdcos SoftBank ~34-49%, Naspers/Prosus ~43% (August 2026) bundle tax, illiquidity, holdco costs and governance. Tax and lock-up are already deducted here and Amazon has no holdco layer, so only the agency part remains: 10%. Not applied to the core multiples, net debt or the loss add-backs.</t>
        </is>
      </c>
    </row>
    <row r="46">
      <c r="A46" s="44" t="inlineStr">
        <is>
          <t>P/E leg: stakes and equity-level adjustments added</t>
        </is>
      </c>
      <c r="B46" t="inlineStr">
        <is>
          <t>adjustments and stakes per share on 11,027.5M shares</t>
        </is>
      </c>
      <c r="C46" t="inlineStr">
        <is>
          <t>estimate</t>
        </is>
      </c>
      <c r="D46" t="inlineStr">
        <is>
          <t>1, 6, 7, 8, 9</t>
        </is>
      </c>
      <c r="E46" t="inlineStr"/>
      <c r="F46" s="44" t="inlineStr">
        <is>
          <t>AMZN deep model 2026-10-19: the supervisor left the stakes out of the P/E leg ('AMZN's own 24.4x already prices them'), but 23x is the CY2027 peer median less 2.3%, not AMZN's own multiple, and consensus EPS excludes the mark-to-market gains (row above), so the peer multiple on core EPS carries no stake value. Net debt stays out of this leg (interest is in EPS). Peers MSFT (OpenAI) and GOOGL (Anthropic, SpaceX) embed their own stakes in their multiples, a small upward bias in the 23.5x median (not adjusted).</t>
        </is>
      </c>
    </row>
    <row r="47">
      <c r="A47" s="44" t="inlineStr">
        <is>
          <t>Scenario bear</t>
        </is>
      </c>
      <c r="B47" t="inlineStr">
        <is>
          <t>$211.17 at p 0.25</t>
        </is>
      </c>
      <c r="C47" t="inlineStr">
        <is>
          <t>estimate</t>
        </is>
      </c>
      <c r="D47" t="inlineStr">
        <is>
          <t>4, 23</t>
        </is>
      </c>
      <c r="E47" t="inlineStr"/>
      <c r="F47" s="44" t="inlineStr">
        <is>
          <t>AMZN deep model 2026-10-19: AI-capex digestion or a lab customer stumble (forecasters' median bear $195): AWS growth toward the low-to-mid 20s while 2027 capex lifts D&amp;A; ~17.5x on NTM EPS ~$11 as ORCL trades, segment multiples cut by the same 24%, and Anthropic prices at ~$1.0T instead of $1.5T (stakes x 0.67). Engine deltas {"eps_pct": -0.15361929, "multiple": -5.5, "multiple_pct": -0.26560388} (stake re-mark folded into eps_pct / multiple_pct for the Sheet layout; original {eps_pct, multiple, multiple_pct, stake_pct} {"eps_pct": -0.121932, "multiple": -5.5, "multiple_pct": -0.23913, "stake_pct": -0.333333}); engine value $211.17. Prices before the deepening (forecasters' median, transcription): $195 / $280 / $350.</t>
        </is>
      </c>
    </row>
    <row r="48">
      <c r="A48" s="44" t="inlineStr">
        <is>
          <t>Scenario base</t>
        </is>
      </c>
      <c r="B48" t="inlineStr">
        <is>
          <t>$297.65 at p 0.5</t>
        </is>
      </c>
      <c r="C48" t="inlineStr">
        <is>
          <t>estimate</t>
        </is>
      </c>
      <c r="D48" t="inlineStr">
        <is>
          <t>4, 23</t>
        </is>
      </c>
      <c r="E48" t="inlineStr"/>
      <c r="F48" s="44" t="inlineStr">
        <is>
          <t>AMZN deep model 2026-10-19: Equals the reconciled fair value: consensus broadly delivered, AWS ~30% on reserved capacity and the $496B backlog, 23x NTM EPS; Anthropic IPO at ~$1.5T; ventures at their scenario values. Engine deltas {}; engine value $297.65. Prices before the deepening (forecasters' median, transcription): $195 / $280 / $350.</t>
        </is>
      </c>
    </row>
    <row r="49">
      <c r="A49" s="44" t="inlineStr">
        <is>
          <t>Scenario bull</t>
        </is>
      </c>
      <c r="B49" t="inlineStr">
        <is>
          <t>$348.84 at p 0.25</t>
        </is>
      </c>
      <c r="C49" t="inlineStr">
        <is>
          <t>estimate</t>
        </is>
      </c>
      <c r="D49" t="inlineStr">
        <is>
          <t>4, 23</t>
        </is>
      </c>
      <c r="E49" t="inlineStr"/>
      <c r="F49" s="44" t="inlineStr">
        <is>
          <t>AMZN deep model 2026-10-19: AWS holds 35%+ with Trainium, FCF inflects (forecasters' median bull $350 before stakes): ~25.5x on NTM EPS ~$13.75, segment multiples +11%, Anthropic at ~$1.92T (Polymarket first-day-close variant; stakes x 1.28). Engine deltas {"eps_pct": 0.11489804, "multiple": 2.5, "multiple_pct": 0.12968463} (stake re-mark folded into eps_pct / multiple_pct for the Sheet layout; original {eps_pct, multiple, multiple_pct, stake_pct} {"eps_pct": 0.097585, "multiple": 2.5, "multiple_pct": 0.108696, "stake_pct": 0.28}); engine value $348.84. Prices before the deepening (forecasters' median, transcription): $195 / $280 / $350.</t>
        </is>
      </c>
    </row>
    <row r="50">
      <c r="A50" s="44" t="inlineStr">
        <is>
          <t>driver:aws_ppe</t>
        </is>
      </c>
      <c r="B50" t="inlineStr">
        <is>
          <t>AWS average net property and equipment (installed capacity, $): 150.4 -&gt; 266.2/426.3/590.8 (estimate)</t>
        </is>
      </c>
      <c r="C50" t="inlineStr">
        <is>
          <t>estimate</t>
        </is>
      </c>
      <c r="D50" t="inlineStr"/>
      <c r="E50" t="inlineStr"/>
      <c r="F50" s="44" t="inlineStr">
        <is>
          <t>Year-end PP&amp;E = prior + AWS net additions - AWS D&amp;A (0.14 x average). Net additions = cash capex x 1.080 (FY25 net additions $142,352M / cash capex $131,819M, 10-K segment note / F57) x 0.76 (AWS share of H1-26 net additions 90,120 / 118,648). Cash capex: 2026 ~$220B (Q2 call; H1 $98,411M actual, fact pack), 2027 $277.4B, 2028 $296.9B (MarketScreener consensus, source 4). 2026 rolls from the actual 2026-06-30 balance $263,750M: + H2 net additions ($220B - $98.4B) x 1.080 x 0.76 - H2 D&amp;A (0.07 x H2 average) = 342.3; 2027-28 full-year roll. Year-ends 342.3, 510.3, 671.3.</t>
        </is>
      </c>
    </row>
    <row r="51">
      <c r="A51" s="44" t="inlineStr">
        <is>
          <t>driver:aws_turn</t>
        </is>
      </c>
      <c r="B51" t="inlineStr">
        <is>
          <t>AWS revenue per $ of average net PP&amp;E (capacity turnover): 0.8561 -&gt; 0.6528/0.5503/0.4972 (estimate)</t>
        </is>
      </c>
      <c r="C51" t="inlineStr">
        <is>
          <t>estimate</t>
        </is>
      </c>
      <c r="D51" t="inlineStr"/>
      <c r="E51" t="inlineStr"/>
      <c r="F51" s="44" t="inlineStr">
        <is>
          <t>Turnover = AWS revenue path / aws_ppe. Revenue: 2026 = H1 actual $79.8B + H2-25 ($33.0B + $35.6B, 8-K Q4-25 quarterly table) x 1.37 (Q2-26 growth) = $173.8B; 2027 +35% (power doubling end-2025 to end-2027 is ~+41%/yr; 2026's revenue grew ~6 points slower (35.0% vs 41.4%) than that, held) = $234.6B; 2028 +25.2% (agent_1 path, no capacity statement for 2028 beyond 'quite a bit reserved') = $293.8B.</t>
        </is>
      </c>
    </row>
    <row r="52">
      <c r="A52" s="44" t="inlineStr">
        <is>
          <t>driver:aws_ebitda_m</t>
        </is>
      </c>
      <c r="B52" t="inlineStr">
        <is>
          <t>AWS EBITDA margin (segment OI + segment D&amp;A) / AWS sales: 0.5209 -&gt; 0.571/0.585/0.6 (estimate)</t>
        </is>
      </c>
      <c r="C52" t="inlineStr">
        <is>
          <t>estimate</t>
        </is>
      </c>
      <c r="D52" t="inlineStr"/>
      <c r="E52" t="inlineStr"/>
      <c r="F52" s="44" t="inlineStr">
        <is>
          <t>2026 = H1-26 ex gain 57.1%; then +1.4 / +1.5 points to 58.5% / 60.0% (about 40% of the FY24-H1-26 pace of ~+3.8 pts/yr: Trainium mix and scale on the cash cost base).</t>
        </is>
      </c>
    </row>
    <row r="53">
      <c r="A53" s="44" t="inlineStr">
        <is>
          <t>driver:ads_rev</t>
        </is>
      </c>
      <c r="B53" t="inlineStr">
        <is>
          <t>Advertising services revenue: 68.64 -&gt; 85.44/102.5/121 (estimate)</t>
        </is>
      </c>
      <c r="C53" t="inlineStr">
        <is>
          <t>estimate</t>
        </is>
      </c>
      <c r="D53" t="inlineStr"/>
      <c r="E53" t="inlineStr"/>
      <c r="F53" s="44" t="inlineStr">
        <is>
          <t>2026 = H1 actual + H2-25 ($17,703M + $21,317M, 8-K Q4-25 quarterly table) x 1.24 = $85.4B; 2027 +20%, 2028 +18% (est.: deceleration from the ~25% run-rate; the deep model's ~$102B 2027 is the same path).</t>
        </is>
      </c>
    </row>
    <row r="54">
      <c r="A54" s="44" t="inlineStr">
        <is>
          <t>driver:stores_rev</t>
        </is>
      </c>
      <c r="B54" t="inlineStr">
        <is>
          <t>North America + International revenue excluding advertising (stores, 3P services, subscriptions, other): 519.6 -&gt; 579.8/626.2/676.3 (estimate)</t>
        </is>
      </c>
      <c r="C54" t="inlineStr">
        <is>
          <t>estimate</t>
        </is>
      </c>
      <c r="D54" t="inlineStr"/>
      <c r="E54" t="inlineStr"/>
      <c r="F54" s="44" t="inlineStr">
        <is>
          <t>2026 = H1 actual + H2-25 stores (NA+Intl H2-25 $324,970M - ads $39,020M) x 1.10 = $579.8B; 2027-28 +8% a year (est.: paid units ~+11% less 3P mix and price; consensus sales less AWS gives +9.7% / +12.7% for the whole segment, source 4).</t>
        </is>
      </c>
    </row>
    <row r="55">
      <c r="A55" s="44" t="inlineStr">
        <is>
          <t>driver:stores_m</t>
        </is>
      </c>
      <c r="B55" t="inlineStr">
        <is>
          <t>Operating margin of NA + International excluding advertising (ads at an assumed 50% margin): 0.0001 -&gt; 0.00162/0.00162/0.00162 (estimate)</t>
        </is>
      </c>
      <c r="C55" t="inlineStr">
        <is>
          <t>estimate</t>
        </is>
      </c>
      <c r="D55" t="inlineStr"/>
      <c r="E55" t="inlineStr"/>
      <c r="F55" s="44" t="inlineStr">
        <is>
          <t>2026 calibrated so that NA + Intl OI = H1-26 actual $20.5B + H2-25 $18.5B x 1.25 = $43.7B (old path $44B); held flat in 2027-28 (est.), so segment OI growth comes from ads. Includes Leo and Zoox losses (added back by the venture adjustments).</t>
        </is>
      </c>
    </row>
    <row r="57">
      <c r="A57" s="3" t="inlineStr">
        <is>
          <t>#</t>
        </is>
      </c>
      <c r="B57" s="3" t="inlineStr">
        <is>
          <t>Source</t>
        </is>
      </c>
      <c r="C57" s="3" t="inlineStr">
        <is>
          <t>Date</t>
        </is>
      </c>
      <c r="D57" s="3" t="inlineStr">
        <is>
          <t>Link</t>
        </is>
      </c>
    </row>
    <row r="58">
      <c r="A58" t="n">
        <v>1</v>
      </c>
      <c r="B58" s="44" t="inlineStr">
        <is>
          <t>Amazon.com Form 10-Q, quarter ended June 30, 2026 (Anthropic $92.5B + $97.9B; OpenAI $28.7B + $21.3B subsequent; debt face $133.0B; cash $78.2B; securities $44.8B; RPO ~$496B; Globalstar ~$10.9B; $15.9B discrete tax)</t>
        </is>
      </c>
      <c r="C58" t="inlineStr">
        <is>
          <t>2026-07-31</t>
        </is>
      </c>
      <c r="D58" t="inlineStr">
        <is>
          <t>https://www.sec.gov/Archives/edgar/data/1018724/000101872426000026/amzn-20260630.htm</t>
        </is>
      </c>
    </row>
    <row r="59">
      <c r="A59" t="n">
        <v>2</v>
      </c>
      <c r="B59" s="44" t="inlineStr">
        <is>
          <t>Amazon Q2 2026 earnings release (8-K Ex.99.1): segments, Q3 guidance, TTM FCF -$7.6B</t>
        </is>
      </c>
      <c r="C59" t="inlineStr">
        <is>
          <t>2026-07-30</t>
        </is>
      </c>
      <c r="D59" t="inlineStr">
        <is>
          <t>https://www.sec.gov/Archives/edgar/data/1018724/000101872426000024/amzn-20260630xex991.htm</t>
        </is>
      </c>
    </row>
    <row r="60">
      <c r="A60" t="n">
        <v>3</v>
      </c>
      <c r="B60" s="44" t="inlineStr">
        <is>
          <t>SEC EDGAR submissions feed, Amazon (CIK 1018724): Form 4 only since Sep 24</t>
        </is>
      </c>
      <c r="C60" t="inlineStr">
        <is>
          <t>2026-10-06</t>
        </is>
      </c>
      <c r="D60" t="inlineStr">
        <is>
          <t>https://data.sec.gov/submissions/CIK0001018724.json</t>
        </is>
      </c>
    </row>
    <row r="61">
      <c r="A61" t="n">
        <v>4</v>
      </c>
      <c r="B61" s="44" t="inlineStr">
        <is>
          <t>MarketScreener Amazon finances: EPS 2027 $10.51 / 2028 $13.81; net debt 2026 $22.3B / 2027 $74.0B; FCF; capex; EBIT; EBITDA</t>
        </is>
      </c>
      <c r="C61" t="inlineStr">
        <is>
          <t>2026-10-06</t>
        </is>
      </c>
      <c r="D61" t="inlineStr">
        <is>
          <t>https://www.marketscreener.com/quote/stock/AMAZON-COM-INC-12864605/finances/</t>
        </is>
      </c>
    </row>
    <row r="62">
      <c r="A62" t="n">
        <v>5</v>
      </c>
      <c r="B62" s="44" t="inlineStr">
        <is>
          <t>Yahoo Finance AMZN analysis: FY27 $10.51 (52), EPS trend, revisions, Q3 EPS $1.95 / revenue $202.03B</t>
        </is>
      </c>
      <c r="C62" t="inlineStr">
        <is>
          <t>2026-10-06</t>
        </is>
      </c>
      <c r="D62" t="inlineStr">
        <is>
          <t>https://finance.yahoo.com/quote/AMZN/analysis/</t>
        </is>
      </c>
    </row>
    <row r="63">
      <c r="A63" t="n">
        <v>6</v>
      </c>
      <c r="B63" s="44" t="inlineStr">
        <is>
          <t>MarketScreener Microsoft finances (FY Jun EPS FY27 $19.70, FY28 $23.58; price $529.30)</t>
        </is>
      </c>
      <c r="C63" t="inlineStr">
        <is>
          <t>2026-10-06</t>
        </is>
      </c>
      <c r="D63" t="inlineStr">
        <is>
          <t>https://www.marketscreener.com/quote/stock/MICROSOFT-CORPORATION-4835/finances/</t>
        </is>
      </c>
    </row>
    <row r="64">
      <c r="A64" t="n">
        <v>7</v>
      </c>
      <c r="B64" s="44" t="inlineStr">
        <is>
          <t>MarketScreener Alphabet finances (2027 P/E 23.3x)</t>
        </is>
      </c>
      <c r="C64" t="inlineStr">
        <is>
          <t>2026-10-06</t>
        </is>
      </c>
      <c r="D64" t="inlineStr">
        <is>
          <t>https://www.marketscreener.com/quote/stock/ALPHABET-INC-24203373/finances/</t>
        </is>
      </c>
    </row>
    <row r="65">
      <c r="A65" t="n">
        <v>8</v>
      </c>
      <c r="B65" s="44" t="inlineStr">
        <is>
          <t>MarketScreener Meta finances (2027 P/E 21.8x)</t>
        </is>
      </c>
      <c r="C65" t="inlineStr">
        <is>
          <t>2026-10-06</t>
        </is>
      </c>
      <c r="D65" t="inlineStr">
        <is>
          <t>https://www.marketscreener.com/quote/stock/META-PLATFORMS-INC-10547141/finances/</t>
        </is>
      </c>
    </row>
    <row r="66">
      <c r="A66" t="n">
        <v>9</v>
      </c>
      <c r="B66" s="44" t="inlineStr">
        <is>
          <t>MarketScreener Oracle finances (FY May EPS FY27 $6.643, FY28 $9.144; price $142.48)</t>
        </is>
      </c>
      <c r="C66" t="inlineStr">
        <is>
          <t>2026-10-06</t>
        </is>
      </c>
      <c r="D66" t="inlineStr">
        <is>
          <t>https://www.marketscreener.com/quote/stock/ORACLE-CORPORATION-13620698/finances/</t>
        </is>
      </c>
    </row>
    <row r="67">
      <c r="A67" t="n">
        <v>10</v>
      </c>
      <c r="B67" s="44" t="inlineStr">
        <is>
          <t>MarketScreener Walmart finances (FY Jan-28 P/E 33x)</t>
        </is>
      </c>
      <c r="C67" t="inlineStr">
        <is>
          <t>2026-10-06</t>
        </is>
      </c>
      <c r="D67" t="inlineStr">
        <is>
          <t>https://www.marketscreener.com/quote/stock/WALMART-INC-4841/finances/</t>
        </is>
      </c>
    </row>
    <row r="68">
      <c r="A68" t="n">
        <v>11</v>
      </c>
      <c r="B68" s="44" t="inlineStr">
        <is>
          <t>MarketScreener Costco finances (FY Aug EPS FY27 $22.78, FY28 $24.96; price $935.68)</t>
        </is>
      </c>
      <c r="C68" t="inlineStr">
        <is>
          <t>2026-10-06</t>
        </is>
      </c>
      <c r="D68" t="inlineStr">
        <is>
          <t>https://www.marketscreener.com/quote/stock/COSTCO-WHOLESALE-CORPORAT-4866/finances/</t>
        </is>
      </c>
    </row>
    <row r="69">
      <c r="A69" t="n">
        <v>12</v>
      </c>
      <c r="B69" s="44" t="inlineStr">
        <is>
          <t>MarketScreener MercadoLibre finances (2027 P/E 33x)</t>
        </is>
      </c>
      <c r="C69" t="inlineStr">
        <is>
          <t>2026-10-06</t>
        </is>
      </c>
      <c r="D69" t="inlineStr">
        <is>
          <t>https://www.marketscreener.com/quote/stock/MERCADOLIBRE-INC-58469/finances/</t>
        </is>
      </c>
    </row>
    <row r="70">
      <c r="A70" t="n">
        <v>13</v>
      </c>
      <c r="B70" s="44" t="inlineStr">
        <is>
          <t>MarketScreener Sea Limited finances (2027 P/E 23.5x)</t>
        </is>
      </c>
      <c r="C70" t="inlineStr">
        <is>
          <t>2026-10-06</t>
        </is>
      </c>
      <c r="D70" t="inlineStr">
        <is>
          <t>https://www.marketscreener.com/quote/stock/SEA-LIMITED-38150303/finances/</t>
        </is>
      </c>
    </row>
    <row r="71">
      <c r="A71" t="n">
        <v>14</v>
      </c>
      <c r="B71" s="44" t="inlineStr">
        <is>
          <t>MarketScreener Shopify finances (2027 P/E 77.8x)</t>
        </is>
      </c>
      <c r="C71" t="inlineStr">
        <is>
          <t>2026-10-06</t>
        </is>
      </c>
      <c r="D71" t="inlineStr">
        <is>
          <t>https://www.marketscreener.com/quote/stock/SHOPIFY-INC-22283351/finances/</t>
        </is>
      </c>
    </row>
    <row r="72">
      <c r="A72" t="n">
        <v>15</v>
      </c>
      <c r="B72" s="44" t="inlineStr">
        <is>
          <t>MarketScreener Alibaba finances (FY Mar EPS FY27 34.73, FY28 54.66 CNY; P/E FY27 21.4x)</t>
        </is>
      </c>
      <c r="C72" t="inlineStr">
        <is>
          <t>2026-10-06</t>
        </is>
      </c>
      <c r="D72" t="inlineStr">
        <is>
          <t>https://www.marketscreener.com/quote/stock/ALIBABA-GROUP-HOLDING-LIM-17916677/finances/</t>
        </is>
      </c>
    </row>
    <row r="73">
      <c r="A73" t="n">
        <v>16</v>
      </c>
      <c r="B73" s="44" t="inlineStr">
        <is>
          <t>MarketScreener PDD finances (2027 P/E 6.46x)</t>
        </is>
      </c>
      <c r="C73" t="inlineStr">
        <is>
          <t>2026-10-06</t>
        </is>
      </c>
      <c r="D73" t="inlineStr">
        <is>
          <t>https://www.marketscreener.com/quote/stock/PDD-HOLDINGS-INC-45049866/finances/</t>
        </is>
      </c>
    </row>
    <row r="74">
      <c r="A74" t="n">
        <v>17</v>
      </c>
      <c r="B74" s="44" t="inlineStr">
        <is>
          <t>FRED DGS10: 5.31% on 2026-10-05, 5.26% on 2026-09-29</t>
        </is>
      </c>
      <c r="C74" t="inlineStr">
        <is>
          <t>2026-10-05</t>
        </is>
      </c>
      <c r="D74" t="inlineStr">
        <is>
          <t>https://fred.stlouisfed.org/series/DGS10</t>
        </is>
      </c>
    </row>
    <row r="75">
      <c r="A75" t="n">
        <v>18</v>
      </c>
      <c r="B75" s="44" t="inlineStr">
        <is>
          <t>Federal Reserve implementation note: target range 3-3/4 to 4 percent, effective Sep 17, 2026</t>
        </is>
      </c>
      <c r="C75" t="inlineStr">
        <is>
          <t>2026-09-16</t>
        </is>
      </c>
      <c r="D75" t="inlineStr">
        <is>
          <t>https://www.federalreserve.gov/newsevents/pressreleases/monetary20260916a1.htm</t>
        </is>
      </c>
    </row>
    <row r="76">
      <c r="A76" t="n">
        <v>19</v>
      </c>
      <c r="B76" s="44" t="inlineStr">
        <is>
          <t>Federal Reserve FOMC calendar (Oct 27-28, Dec 8-9, 2026)</t>
        </is>
      </c>
      <c r="C76" t="inlineStr">
        <is>
          <t>2026-10-06</t>
        </is>
      </c>
      <c r="D76" t="inlineStr">
        <is>
          <t>https://www.federalreserve.gov/monetarypolicy/fomccalendars.htm</t>
        </is>
      </c>
    </row>
    <row r="77">
      <c r="A77" t="n">
        <v>20</v>
      </c>
      <c r="B77" s="44" t="inlineStr">
        <is>
          <t>Amazon IR press-release list 2026 (no Q3 webcast notice as of Oct 6; Q2 notice Jul 16)</t>
        </is>
      </c>
      <c r="C77" t="inlineStr">
        <is>
          <t>2026-10-06</t>
        </is>
      </c>
      <c r="D77" t="inlineStr">
        <is>
          <t>https://ir.aboutamazon.com/news-release/default.aspx</t>
        </is>
      </c>
    </row>
    <row r="78">
      <c r="A78" t="n">
        <v>21</v>
      </c>
      <c r="B78" s="44" t="inlineStr">
        <is>
          <t>AWS EC2 Capacity Blocks pricing: effective Oct 7, 2026 P6-B300 $16.146 (from $14.04), P6-B200 $14.208, P5 $5.970</t>
        </is>
      </c>
      <c r="C78" t="inlineStr">
        <is>
          <t>2026-10-06</t>
        </is>
      </c>
      <c r="D78" t="inlineStr">
        <is>
          <t>https://aws.amazon.com/ec2/capacityblocks/pricing/</t>
        </is>
      </c>
    </row>
    <row r="79">
      <c r="A79" t="n">
        <v>22</v>
      </c>
      <c r="B79" s="44" t="inlineStr">
        <is>
          <t>Amazon seeks to offload $8 billion of Nvidia chips to investors, FT reports (Reuters via The Star), context only</t>
        </is>
      </c>
      <c r="C79" t="inlineStr">
        <is>
          <t>2026-10-02</t>
        </is>
      </c>
      <c r="D79" t="inlineStr">
        <is>
          <t>https://www.thestar.com.my/tech/tech-news/2026/10/02/amazon-seeks-to-offload-8-billion-of-nvidia-chips-to-investors-ft-reports</t>
        </is>
      </c>
    </row>
    <row r="80">
      <c r="A80" t="n">
        <v>23</v>
      </c>
      <c r="B80" s="44" t="inlineStr">
        <is>
          <t>Standing view: AI data-center capex across NVIDIA customer groups 2026-2028 (Big-4 base 2027 $1,080B, 2028 $1,330B)</t>
        </is>
      </c>
      <c r="C80" t="inlineStr">
        <is>
          <t>2026-10-05</t>
        </is>
      </c>
      <c r="D80" t="inlineStr">
        <is>
          <t>/mnt/project-files/adhoc/nvda_customer_capex.md</t>
        </is>
      </c>
    </row>
    <row r="81">
      <c r="A81" t="n">
        <v>24</v>
      </c>
      <c r="B81" s="44" t="inlineStr">
        <is>
          <t>stockanalysis.com price history (Oct 6, 2026 closes): AMZN 256.29, MSFT 529.30, GOOGL 347.68, META 738.88, ORCL 144.77, WMT 107.20, COST 935.68, MELI 1,857.99, SE 96.53, SHOP 164.44, BABA 109.26, PDD 78.40</t>
        </is>
      </c>
      <c r="C81" t="inlineStr">
        <is>
          <t>2026-10-06</t>
        </is>
      </c>
      <c r="D81" t="inlineStr">
        <is>
          <t>https://stockanalysis.com/stocks/amzn/history/</t>
        </is>
      </c>
    </row>
    <row r="82">
      <c r="A82" t="n">
        <v>25</v>
      </c>
      <c r="B82" s="44" t="inlineStr">
        <is>
          <t>Twelve Data: USD/CNY 6.70534 (Oct 6, 2026 close); AMZN daily closes around the last three prints</t>
        </is>
      </c>
      <c r="C82" t="inlineStr">
        <is>
          <t>2026-10-06</t>
        </is>
      </c>
      <c r="D82" t="inlineStr">
        <is>
          <t>https://twelvedata.com/</t>
        </is>
      </c>
    </row>
    <row r="83">
      <c r="A83" t="n">
        <v>26</v>
      </c>
      <c r="B83" s="44" t="inlineStr">
        <is>
          <t>FRED DGS10 text data (5.26% 2026-09-29, 5.31% 2026-10-05)</t>
        </is>
      </c>
      <c r="C83" t="inlineStr">
        <is>
          <t>2026-10-06</t>
        </is>
      </c>
      <c r="D83" t="inlineStr">
        <is>
          <t>https://fred.stlouisfed.org/data/DGS10.txt</t>
        </is>
      </c>
    </row>
    <row r="84">
      <c r="A84" t="n">
        <v>27</v>
      </c>
      <c r="B84" s="44" t="inlineStr">
        <is>
          <t>Amazon Q2 2026 earnings call transcript (~$220B 2026 cash capex; 2027 capacity largely reserved; $496B backlog; 520bp ex derivative gain)</t>
        </is>
      </c>
      <c r="C84" t="inlineStr">
        <is>
          <t>2026-07-30</t>
        </is>
      </c>
      <c r="D84" t="inlineStr">
        <is>
          <t>https://www.theglobeandmail.com/investing/markets/stocks/AMZN/pressreleases/3730734/amazon-amzn-q2-2026-earnings-call-transcript/</t>
        </is>
      </c>
    </row>
    <row r="85">
      <c r="A85" t="n">
        <v>28</v>
      </c>
      <c r="B85" s="44" t="inlineStr">
        <is>
          <t>Amazon 8-K: closing of GBP 4.25B notes (Sep 14, 2026)</t>
        </is>
      </c>
      <c r="C85" t="inlineStr">
        <is>
          <t>2026-09-14</t>
        </is>
      </c>
      <c r="D85" t="inlineStr">
        <is>
          <t>https://www.sec.gov/Archives/edgar/data/1018724/000110465926107526/tm2624614d5_8k.htm</t>
        </is>
      </c>
    </row>
    <row r="86">
      <c r="A86" t="n">
        <v>29</v>
      </c>
      <c r="B86" s="44" t="inlineStr">
        <is>
          <t>AMZN consensus EPS by fiscal year (Nasdaq.com earnings forecast, Zacks consensus), saved 2026-10-26</t>
        </is>
      </c>
      <c r="C86" t="inlineStr">
        <is>
          <t>2026-10-26</t>
        </is>
      </c>
      <c r="D86" t="inlineStr">
        <is>
          <t>https://www.nasdaq.com/market-activity/stocks/amzn/earnings</t>
        </is>
      </c>
    </row>
    <row r="87">
      <c r="A87" t="n">
        <v>30</v>
      </c>
      <c r="B87" s="44" t="inlineStr">
        <is>
          <t>AMZN daily close history (Oct 23, 2026 close 248.0)</t>
        </is>
      </c>
      <c r="C87" t="inlineStr">
        <is>
          <t>2026-10-23</t>
        </is>
      </c>
      <c r="D87" t="inlineStr">
        <is>
          <t>https://finance.yahoo.com/quote/AMZN/history/</t>
        </is>
      </c>
    </row>
    <row r="88">
      <c r="A88" t="n">
        <v>31</v>
      </c>
      <c r="B88" s="44" t="inlineStr">
        <is>
          <t>APP consensus EPS by fiscal year (Nasdaq.com earnings forecast, Zacks consensus), saved 2026-10-26</t>
        </is>
      </c>
      <c r="C88" t="inlineStr">
        <is>
          <t>2026-10-26</t>
        </is>
      </c>
      <c r="D88" t="inlineStr">
        <is>
          <t>https://www.nasdaq.com/market-activity/stocks/app/earnings</t>
        </is>
      </c>
    </row>
    <row r="89">
      <c r="A89" t="n">
        <v>32</v>
      </c>
      <c r="B89" s="44" t="inlineStr">
        <is>
          <t>APP daily close history (Oct 23, 2026 close 260.25)</t>
        </is>
      </c>
      <c r="C89" t="inlineStr">
        <is>
          <t>2026-10-23</t>
        </is>
      </c>
      <c r="D89" t="inlineStr">
        <is>
          <t>https://finance.yahoo.com/quote/APP/history/</t>
        </is>
      </c>
    </row>
    <row r="90">
      <c r="A90" t="n">
        <v>33</v>
      </c>
      <c r="B90" s="44" t="inlineStr">
        <is>
          <t>COST consensus EPS by fiscal year (Nasdaq.com earnings forecast, Zacks consensus), saved 2026-10-26</t>
        </is>
      </c>
      <c r="C90" t="inlineStr">
        <is>
          <t>2026-10-26</t>
        </is>
      </c>
      <c r="D90" t="inlineStr">
        <is>
          <t>https://www.nasdaq.com/market-activity/stocks/cost/earnings</t>
        </is>
      </c>
    </row>
    <row r="91">
      <c r="A91" t="n">
        <v>34</v>
      </c>
      <c r="B91" s="44" t="inlineStr">
        <is>
          <t>COST daily close history (Oct 23, 2026 close 1003.32)</t>
        </is>
      </c>
      <c r="C91" t="inlineStr">
        <is>
          <t>2026-10-23</t>
        </is>
      </c>
      <c r="D91" t="inlineStr">
        <is>
          <t>https://finance.yahoo.com/quote/COST/history/</t>
        </is>
      </c>
    </row>
    <row r="92">
      <c r="A92" t="n">
        <v>35</v>
      </c>
      <c r="B92" s="44" t="inlineStr">
        <is>
          <t>GOOGL consensus EPS by fiscal year (Nasdaq.com earnings forecast, Zacks consensus), saved 2026-10-26</t>
        </is>
      </c>
      <c r="C92" t="inlineStr">
        <is>
          <t>2026-10-26</t>
        </is>
      </c>
      <c r="D92" t="inlineStr">
        <is>
          <t>https://www.nasdaq.com/market-activity/stocks/googl/earnings</t>
        </is>
      </c>
    </row>
    <row r="93">
      <c r="A93" t="n">
        <v>36</v>
      </c>
      <c r="B93" s="44" t="inlineStr">
        <is>
          <t>GOOGL daily close history (Oct 23, 2026 close 320.21)</t>
        </is>
      </c>
      <c r="C93" t="inlineStr">
        <is>
          <t>2026-10-23</t>
        </is>
      </c>
      <c r="D93" t="inlineStr">
        <is>
          <t>https://finance.yahoo.com/quote/GOOGL/history/</t>
        </is>
      </c>
    </row>
    <row r="94">
      <c r="A94" t="n">
        <v>37</v>
      </c>
      <c r="B94" s="44" t="inlineStr">
        <is>
          <t>MELI consensus EPS by fiscal year (Nasdaq.com earnings forecast, Zacks consensus), saved 2026-10-26</t>
        </is>
      </c>
      <c r="C94" t="inlineStr">
        <is>
          <t>2026-10-26</t>
        </is>
      </c>
      <c r="D94" t="inlineStr">
        <is>
          <t>https://www.nasdaq.com/market-activity/stocks/meli/earnings</t>
        </is>
      </c>
    </row>
    <row r="95">
      <c r="A95" t="n">
        <v>38</v>
      </c>
      <c r="B95" s="44" t="inlineStr">
        <is>
          <t>MELI daily close history (Oct 23, 2026 close 1810.15)</t>
        </is>
      </c>
      <c r="C95" t="inlineStr">
        <is>
          <t>2026-10-23</t>
        </is>
      </c>
      <c r="D95" t="inlineStr">
        <is>
          <t>https://finance.yahoo.com/quote/MELI/history/</t>
        </is>
      </c>
    </row>
    <row r="96">
      <c r="A96" t="n">
        <v>39</v>
      </c>
      <c r="B96" s="44" t="inlineStr">
        <is>
          <t>META consensus EPS by fiscal year (Nasdaq.com earnings forecast, Zacks consensus), saved 2026-10-26</t>
        </is>
      </c>
      <c r="C96" t="inlineStr">
        <is>
          <t>2026-10-26</t>
        </is>
      </c>
      <c r="D96" t="inlineStr">
        <is>
          <t>https://www.nasdaq.com/market-activity/stocks/meta/earnings</t>
        </is>
      </c>
    </row>
    <row r="97">
      <c r="A97" t="n">
        <v>40</v>
      </c>
      <c r="B97" s="44" t="inlineStr">
        <is>
          <t>META daily close history (Oct 23, 2026 close 642.62)</t>
        </is>
      </c>
      <c r="C97" t="inlineStr">
        <is>
          <t>2026-10-23</t>
        </is>
      </c>
      <c r="D97" t="inlineStr">
        <is>
          <t>https://finance.yahoo.com/quote/META/history/</t>
        </is>
      </c>
    </row>
    <row r="98">
      <c r="A98" t="n">
        <v>41</v>
      </c>
      <c r="B98" s="44" t="inlineStr">
        <is>
          <t>MSFT consensus EPS by fiscal year (Nasdaq.com earnings forecast, Zacks consensus), saved 2026-10-26</t>
        </is>
      </c>
      <c r="C98" t="inlineStr">
        <is>
          <t>2026-10-26</t>
        </is>
      </c>
      <c r="D98" t="inlineStr">
        <is>
          <t>https://www.nasdaq.com/market-activity/stocks/msft/earnings</t>
        </is>
      </c>
    </row>
    <row r="99">
      <c r="A99" t="n">
        <v>42</v>
      </c>
      <c r="B99" s="44" t="inlineStr">
        <is>
          <t>MSFT daily close history (Oct 23, 2026 close 524.51)</t>
        </is>
      </c>
      <c r="C99" t="inlineStr">
        <is>
          <t>2026-10-23</t>
        </is>
      </c>
      <c r="D99" t="inlineStr">
        <is>
          <t>https://finance.yahoo.com/quote/MSFT/history/</t>
        </is>
      </c>
    </row>
    <row r="100">
      <c r="A100" t="n">
        <v>43</v>
      </c>
      <c r="B100" s="44" t="inlineStr">
        <is>
          <t>ORCL consensus EPS by fiscal year (Nasdaq.com earnings forecast, Zacks consensus), saved 2026-10-26</t>
        </is>
      </c>
      <c r="C100" t="inlineStr">
        <is>
          <t>2026-10-26</t>
        </is>
      </c>
      <c r="D100" t="inlineStr">
        <is>
          <t>https://www.nasdaq.com/market-activity/stocks/orcl/earnings</t>
        </is>
      </c>
    </row>
    <row r="101">
      <c r="A101" t="n">
        <v>44</v>
      </c>
      <c r="B101" s="44" t="inlineStr">
        <is>
          <t>ORCL daily close history (Oct 23, 2026 close 126.16)</t>
        </is>
      </c>
      <c r="C101" t="inlineStr">
        <is>
          <t>2026-10-23</t>
        </is>
      </c>
      <c r="D101" t="inlineStr">
        <is>
          <t>https://finance.yahoo.com/quote/ORCL/history/</t>
        </is>
      </c>
    </row>
    <row r="102">
      <c r="A102" t="n">
        <v>45</v>
      </c>
      <c r="B102" s="44" t="inlineStr">
        <is>
          <t>RDDT consensus EPS by fiscal year (Nasdaq.com earnings forecast, Zacks consensus), saved 2026-10-26</t>
        </is>
      </c>
      <c r="C102" t="inlineStr">
        <is>
          <t>2026-10-26</t>
        </is>
      </c>
      <c r="D102" t="inlineStr">
        <is>
          <t>https://www.nasdaq.com/market-activity/stocks/rddt/earnings</t>
        </is>
      </c>
    </row>
    <row r="103">
      <c r="A103" t="n">
        <v>46</v>
      </c>
      <c r="B103" s="44" t="inlineStr">
        <is>
          <t>RDDT daily close history (Oct 23, 2026 close 144.25)</t>
        </is>
      </c>
      <c r="C103" t="inlineStr">
        <is>
          <t>2026-10-23</t>
        </is>
      </c>
      <c r="D103" t="inlineStr">
        <is>
          <t>https://finance.yahoo.com/quote/RDDT/history/</t>
        </is>
      </c>
    </row>
    <row r="104">
      <c r="A104" t="n">
        <v>47</v>
      </c>
      <c r="B104" s="44" t="inlineStr">
        <is>
          <t>SE consensus EPS by fiscal year (Nasdaq.com earnings forecast, Zacks consensus), saved 2026-10-26</t>
        </is>
      </c>
      <c r="C104" t="inlineStr">
        <is>
          <t>2026-10-26</t>
        </is>
      </c>
      <c r="D104" t="inlineStr">
        <is>
          <t>https://www.nasdaq.com/market-activity/stocks/se/earnings</t>
        </is>
      </c>
    </row>
    <row r="105">
      <c r="A105" t="n">
        <v>48</v>
      </c>
      <c r="B105" s="44" t="inlineStr">
        <is>
          <t>SE daily close history (Oct 23, 2026 close 74.63)</t>
        </is>
      </c>
      <c r="C105" t="inlineStr">
        <is>
          <t>2026-10-23</t>
        </is>
      </c>
      <c r="D105" t="inlineStr">
        <is>
          <t>https://finance.yahoo.com/quote/SE/history/</t>
        </is>
      </c>
    </row>
    <row r="106">
      <c r="A106" t="n">
        <v>49</v>
      </c>
      <c r="B106" s="44" t="inlineStr">
        <is>
          <t>SHOP consensus EPS by fiscal year (Nasdaq.com earnings forecast, Zacks consensus), saved 2026-10-26</t>
        </is>
      </c>
      <c r="C106" t="inlineStr">
        <is>
          <t>2026-10-26</t>
        </is>
      </c>
      <c r="D106" t="inlineStr">
        <is>
          <t>https://www.nasdaq.com/market-activity/stocks/shop/earnings</t>
        </is>
      </c>
    </row>
    <row r="107">
      <c r="A107" t="n">
        <v>50</v>
      </c>
      <c r="B107" s="44" t="inlineStr">
        <is>
          <t>SHOP daily close history (Oct 23, 2026 close 168.68)</t>
        </is>
      </c>
      <c r="C107" t="inlineStr">
        <is>
          <t>2026-10-23</t>
        </is>
      </c>
      <c r="D107" t="inlineStr">
        <is>
          <t>https://finance.yahoo.com/quote/SHOP/history/</t>
        </is>
      </c>
    </row>
    <row r="108">
      <c r="A108" t="n">
        <v>51</v>
      </c>
      <c r="B108" s="44" t="inlineStr">
        <is>
          <t>WMT consensus EPS by fiscal year (Nasdaq.com earnings forecast, Zacks consensus), saved 2026-10-26</t>
        </is>
      </c>
      <c r="C108" t="inlineStr">
        <is>
          <t>2026-10-26</t>
        </is>
      </c>
      <c r="D108" t="inlineStr">
        <is>
          <t>https://www.nasdaq.com/market-activity/stocks/wmt/earnings</t>
        </is>
      </c>
    </row>
    <row r="109">
      <c r="A109" t="n">
        <v>52</v>
      </c>
      <c r="B109" s="44" t="inlineStr">
        <is>
          <t>WMT daily close history (Oct 23, 2026 close 119.89)</t>
        </is>
      </c>
      <c r="C109" t="inlineStr">
        <is>
          <t>2026-10-23</t>
        </is>
      </c>
      <c r="D109" t="inlineStr">
        <is>
          <t>https://finance.yahoo.com/quote/WMT/history/</t>
        </is>
      </c>
    </row>
    <row r="110">
      <c r="A110" t="n">
        <v>53</v>
      </c>
      <c r="B110" s="44" t="inlineStr">
        <is>
          <t>Amazon 8-K Ex.99.1 results release 2024-08-01 (net sales and operating income; next-quarter guidance)</t>
        </is>
      </c>
      <c r="C110" t="inlineStr">
        <is>
          <t>2024-08-01</t>
        </is>
      </c>
      <c r="D110" t="inlineStr">
        <is>
          <t>https://www.sec.gov/Archives/edgar/data/1018724/000101872424000128/amzn-20240630xex991.htm</t>
        </is>
      </c>
    </row>
    <row r="111">
      <c r="A111" t="n">
        <v>54</v>
      </c>
      <c r="B111" s="44" t="inlineStr">
        <is>
          <t>Amazon 8-K Ex.99.1 results release 2024-10-31 (net sales and operating income; next-quarter guidance)</t>
        </is>
      </c>
      <c r="C111" t="inlineStr">
        <is>
          <t>2024-10-31</t>
        </is>
      </c>
      <c r="D111" t="inlineStr">
        <is>
          <t>https://www.sec.gov/Archives/edgar/data/1018724/000101872424000158/amzn-20240930xex991.htm</t>
        </is>
      </c>
    </row>
    <row r="112">
      <c r="A112" t="n">
        <v>55</v>
      </c>
      <c r="B112" s="44" t="inlineStr">
        <is>
          <t>Amazon 8-K Ex.99.1 results release 2025-02-06 (net sales and operating income; next-quarter guidance)</t>
        </is>
      </c>
      <c r="C112" t="inlineStr">
        <is>
          <t>2025-02-06</t>
        </is>
      </c>
      <c r="D112" t="inlineStr">
        <is>
          <t>https://www.sec.gov/Archives/edgar/data/1018724/000101872425000002/amzn-20241231xex991.htm</t>
        </is>
      </c>
    </row>
    <row r="113">
      <c r="A113" t="n">
        <v>56</v>
      </c>
      <c r="B113" s="44" t="inlineStr">
        <is>
          <t>Amazon 8-K Ex.99.1 results release 2025-05-01 (net sales and operating income; next-quarter guidance)</t>
        </is>
      </c>
      <c r="C113" t="inlineStr">
        <is>
          <t>2025-05-01</t>
        </is>
      </c>
      <c r="D113" t="inlineStr">
        <is>
          <t>https://www.sec.gov/Archives/edgar/data/1018724/000101872425000034/amzn-20250331xex991.htm</t>
        </is>
      </c>
    </row>
    <row r="114">
      <c r="A114" t="n">
        <v>57</v>
      </c>
      <c r="B114" s="44" t="inlineStr">
        <is>
          <t>Amazon 8-K Ex.99.1 results release 2025-07-31 (net sales and operating income; next-quarter guidance)</t>
        </is>
      </c>
      <c r="C114" t="inlineStr">
        <is>
          <t>2025-07-31</t>
        </is>
      </c>
      <c r="D114" t="inlineStr">
        <is>
          <t>https://www.sec.gov/Archives/edgar/data/1018724/000101872425000084/amzn-20250630xex991.htm</t>
        </is>
      </c>
    </row>
    <row r="115">
      <c r="A115" t="n">
        <v>58</v>
      </c>
      <c r="B115" s="44" t="inlineStr">
        <is>
          <t>Amazon 8-K Ex.99.1 results release 2025-10-30 (net sales and operating income; next-quarter guidance)</t>
        </is>
      </c>
      <c r="C115" t="inlineStr">
        <is>
          <t>2025-10-30</t>
        </is>
      </c>
      <c r="D115" t="inlineStr">
        <is>
          <t>https://www.sec.gov/Archives/edgar/data/1018724/000101872425000121/amzn-20250930xex991.htm</t>
        </is>
      </c>
    </row>
    <row r="116">
      <c r="A116" t="n">
        <v>59</v>
      </c>
      <c r="B116" s="44" t="inlineStr">
        <is>
          <t>Amazon 8-K Ex.99.1 results release 2026-02-05 (net sales and operating income; next-quarter guidance)</t>
        </is>
      </c>
      <c r="C116" t="inlineStr">
        <is>
          <t>2026-02-05</t>
        </is>
      </c>
      <c r="D116" t="inlineStr">
        <is>
          <t>https://www.sec.gov/Archives/edgar/data/1018724/000101872426000002/amzn-20251231xex991.htm</t>
        </is>
      </c>
    </row>
    <row r="117">
      <c r="A117" t="n">
        <v>60</v>
      </c>
      <c r="B117" s="44" t="inlineStr">
        <is>
          <t>Amazon 8-K Ex.99.1 results release 2026-04-29 (net sales and operating income; next-quarter guidance)</t>
        </is>
      </c>
      <c r="C117" t="inlineStr">
        <is>
          <t>2026-04-29</t>
        </is>
      </c>
      <c r="D117" t="inlineStr">
        <is>
          <t>https://www.sec.gov/Archives/edgar/data/1018724/000101872426000012/amzn-20260331xex991.htm</t>
        </is>
      </c>
    </row>
    <row r="118">
      <c r="A118" t="n">
        <v>61</v>
      </c>
      <c r="B118" s="44" t="inlineStr">
        <is>
          <t>Amazon 8-K Ex.99.1 results release 2026-07-30 (net sales and operating income; next-quarter guidance)</t>
        </is>
      </c>
      <c r="C118" t="inlineStr">
        <is>
          <t>2026-07-30</t>
        </is>
      </c>
      <c r="D118" t="inlineStr">
        <is>
          <t>https://www.sec.gov/Archives/edgar/data/1018724/000101872426000024/amzn-20260630xex991.htm</t>
        </is>
      </c>
    </row>
    <row r="120">
      <c r="A120" s="3" t="inlineStr">
        <is>
          <t>Fact id</t>
        </is>
      </c>
      <c r="B120" s="3" t="inlineStr">
        <is>
          <t>Figure</t>
        </is>
      </c>
      <c r="C120" s="3" t="inlineStr">
        <is>
          <t>Value</t>
        </is>
      </c>
      <c r="D120" s="3" t="inlineStr">
        <is>
          <t>Filing</t>
        </is>
      </c>
    </row>
    <row r="121">
      <c r="A121" t="inlineStr">
        <is>
          <t>F1</t>
        </is>
      </c>
      <c r="B121" t="inlineStr">
        <is>
          <t>revenue FY ending 2023-12-31 (us-gaap:RevenueFromContractWithCustomerExcludingAssessedTax)</t>
        </is>
      </c>
      <c r="C121" s="50" t="n">
        <v>574785000000</v>
      </c>
      <c r="D121" t="inlineStr">
        <is>
          <t>https://www.sec.gov/Archives/edgar/data/1018724/000101872426000004/</t>
        </is>
      </c>
    </row>
    <row r="122">
      <c r="A122" t="inlineStr">
        <is>
          <t>F2</t>
        </is>
      </c>
      <c r="B122" t="inlineStr">
        <is>
          <t>revenue FY ending 2024-12-31 (us-gaap:RevenueFromContractWithCustomerExcludingAssessedTax)</t>
        </is>
      </c>
      <c r="C122" s="50" t="n">
        <v>637959000000</v>
      </c>
      <c r="D122" t="inlineStr">
        <is>
          <t>https://www.sec.gov/Archives/edgar/data/1018724/000101872426000004/</t>
        </is>
      </c>
    </row>
    <row r="123">
      <c r="A123" t="inlineStr">
        <is>
          <t>F3</t>
        </is>
      </c>
      <c r="B123" t="inlineStr">
        <is>
          <t>revenue FY ending 2025-12-31 (us-gaap:RevenueFromContractWithCustomerExcludingAssessedTax)</t>
        </is>
      </c>
      <c r="C123" s="50" t="n">
        <v>716924000000</v>
      </c>
      <c r="D123" t="inlineStr">
        <is>
          <t>https://www.sec.gov/Archives/edgar/data/1018724/000101872426000004/</t>
        </is>
      </c>
    </row>
    <row r="124">
      <c r="A124" t="inlineStr">
        <is>
          <t>F4</t>
        </is>
      </c>
      <c r="B124" t="inlineStr">
        <is>
          <t>revenue YTD 2026-01-01 to 2026-06-30</t>
        </is>
      </c>
      <c r="C124" s="50" t="n">
        <v>382125000000</v>
      </c>
      <c r="D124" t="inlineStr">
        <is>
          <t>https://www.sec.gov/Archives/edgar/data/1018724/000101872426000026/</t>
        </is>
      </c>
    </row>
    <row r="125">
      <c r="A125" t="inlineStr">
        <is>
          <t>F5</t>
        </is>
      </c>
      <c r="B125" t="inlineStr">
        <is>
          <t>revenue prior-year YTD 2025-01-01 to 2025-06-30</t>
        </is>
      </c>
      <c r="C125" s="50" t="n">
        <v>323369000000</v>
      </c>
      <c r="D125" t="inlineStr">
        <is>
          <t>https://www.sec.gov/Archives/edgar/data/1018724/000101872426000026/</t>
        </is>
      </c>
    </row>
    <row r="126">
      <c r="A126" t="inlineStr">
        <is>
          <t>F6</t>
        </is>
      </c>
      <c r="B126" t="inlineStr">
        <is>
          <t>revenue TTM to 2026-06-30</t>
        </is>
      </c>
      <c r="C126" s="50" t="n">
        <v>775680000000</v>
      </c>
    </row>
    <row r="127">
      <c r="A127" t="inlineStr">
        <is>
          <t>F7</t>
        </is>
      </c>
      <c r="B127" t="inlineStr">
        <is>
          <t>revenue quarter 2026-04-01 to 2026-06-30</t>
        </is>
      </c>
      <c r="C127" s="50" t="n">
        <v>200606000000</v>
      </c>
      <c r="D127" t="inlineStr">
        <is>
          <t>https://www.sec.gov/Archives/edgar/data/1018724/000101872426000026/</t>
        </is>
      </c>
    </row>
    <row r="128">
      <c r="A128" t="inlineStr">
        <is>
          <t>F8</t>
        </is>
      </c>
      <c r="B128" t="inlineStr">
        <is>
          <t>operating_income FY ending 2023-12-31 (us-gaap:OperatingIncomeLoss)</t>
        </is>
      </c>
      <c r="C128" s="50" t="n">
        <v>36852000000</v>
      </c>
      <c r="D128" t="inlineStr">
        <is>
          <t>https://www.sec.gov/Archives/edgar/data/1018724/000101872426000004/</t>
        </is>
      </c>
    </row>
    <row r="129">
      <c r="A129" t="inlineStr">
        <is>
          <t>F9</t>
        </is>
      </c>
      <c r="B129" t="inlineStr">
        <is>
          <t>operating_income FY ending 2024-12-31 (us-gaap:OperatingIncomeLoss)</t>
        </is>
      </c>
      <c r="C129" s="50" t="n">
        <v>68593000000</v>
      </c>
      <c r="D129" t="inlineStr">
        <is>
          <t>https://www.sec.gov/Archives/edgar/data/1018724/000101872426000004/</t>
        </is>
      </c>
    </row>
    <row r="130">
      <c r="A130" t="inlineStr">
        <is>
          <t>F10</t>
        </is>
      </c>
      <c r="B130" t="inlineStr">
        <is>
          <t>operating_income FY ending 2025-12-31 (us-gaap:OperatingIncomeLoss)</t>
        </is>
      </c>
      <c r="C130" s="50" t="n">
        <v>79975000000</v>
      </c>
      <c r="D130" t="inlineStr">
        <is>
          <t>https://www.sec.gov/Archives/edgar/data/1018724/000101872426000004/</t>
        </is>
      </c>
    </row>
    <row r="131">
      <c r="A131" t="inlineStr">
        <is>
          <t>F11</t>
        </is>
      </c>
      <c r="B131" t="inlineStr">
        <is>
          <t>operating_income YTD 2026-01-01 to 2026-06-30</t>
        </is>
      </c>
      <c r="C131" s="50" t="n">
        <v>51313000000</v>
      </c>
      <c r="D131" t="inlineStr">
        <is>
          <t>https://www.sec.gov/Archives/edgar/data/1018724/000101872426000026/</t>
        </is>
      </c>
    </row>
    <row r="132">
      <c r="A132" t="inlineStr">
        <is>
          <t>F12</t>
        </is>
      </c>
      <c r="B132" t="inlineStr">
        <is>
          <t>operating_income prior-year YTD 2025-01-01 to 2025-06-30</t>
        </is>
      </c>
      <c r="C132" s="50" t="n">
        <v>37576000000</v>
      </c>
      <c r="D132" t="inlineStr">
        <is>
          <t>https://www.sec.gov/Archives/edgar/data/1018724/000101872426000026/</t>
        </is>
      </c>
    </row>
    <row r="133">
      <c r="A133" t="inlineStr">
        <is>
          <t>F13</t>
        </is>
      </c>
      <c r="B133" t="inlineStr">
        <is>
          <t>operating_income TTM to 2026-06-30</t>
        </is>
      </c>
      <c r="C133" s="50" t="n">
        <v>93712000000</v>
      </c>
    </row>
    <row r="134">
      <c r="A134" t="inlineStr">
        <is>
          <t>F14</t>
        </is>
      </c>
      <c r="B134" t="inlineStr">
        <is>
          <t>operating_income quarter 2026-04-01 to 2026-06-30</t>
        </is>
      </c>
      <c r="C134" s="50" t="n">
        <v>27461000000</v>
      </c>
      <c r="D134" t="inlineStr">
        <is>
          <t>https://www.sec.gov/Archives/edgar/data/1018724/000101872426000026/</t>
        </is>
      </c>
    </row>
    <row r="135">
      <c r="A135" t="inlineStr">
        <is>
          <t>F15</t>
        </is>
      </c>
      <c r="B135" t="inlineStr">
        <is>
          <t>net_income FY ending 2023-12-31 (us-gaap:NetIncomeLoss)</t>
        </is>
      </c>
      <c r="C135" s="50" t="n">
        <v>30425000000</v>
      </c>
      <c r="D135" t="inlineStr">
        <is>
          <t>https://www.sec.gov/Archives/edgar/data/1018724/000101872426000004/</t>
        </is>
      </c>
    </row>
    <row r="136">
      <c r="A136" t="inlineStr">
        <is>
          <t>F16</t>
        </is>
      </c>
      <c r="B136" t="inlineStr">
        <is>
          <t>net_income FY ending 2024-12-31 (us-gaap:NetIncomeLoss)</t>
        </is>
      </c>
      <c r="C136" s="50" t="n">
        <v>59248000000</v>
      </c>
      <c r="D136" t="inlineStr">
        <is>
          <t>https://www.sec.gov/Archives/edgar/data/1018724/000101872426000004/</t>
        </is>
      </c>
    </row>
    <row r="137">
      <c r="A137" t="inlineStr">
        <is>
          <t>F17</t>
        </is>
      </c>
      <c r="B137" t="inlineStr">
        <is>
          <t>net_income FY ending 2025-12-31 (us-gaap:NetIncomeLoss)</t>
        </is>
      </c>
      <c r="C137" s="50" t="n">
        <v>77670000000</v>
      </c>
      <c r="D137" t="inlineStr">
        <is>
          <t>https://www.sec.gov/Archives/edgar/data/1018724/000101872426000004/</t>
        </is>
      </c>
    </row>
    <row r="138">
      <c r="A138" t="inlineStr">
        <is>
          <t>F18</t>
        </is>
      </c>
      <c r="B138" t="inlineStr">
        <is>
          <t>net_income YTD 2026-01-01 to 2026-06-30</t>
        </is>
      </c>
      <c r="C138" s="50" t="n">
        <v>92902000000</v>
      </c>
      <c r="D138" t="inlineStr">
        <is>
          <t>https://www.sec.gov/Archives/edgar/data/1018724/000101872426000026/</t>
        </is>
      </c>
    </row>
    <row r="139">
      <c r="A139" t="inlineStr">
        <is>
          <t>F19</t>
        </is>
      </c>
      <c r="B139" t="inlineStr">
        <is>
          <t>net_income prior-year YTD 2025-01-01 to 2025-06-30</t>
        </is>
      </c>
      <c r="C139" s="50" t="n">
        <v>35291000000</v>
      </c>
      <c r="D139" t="inlineStr">
        <is>
          <t>https://www.sec.gov/Archives/edgar/data/1018724/000101872426000026/</t>
        </is>
      </c>
    </row>
    <row r="140">
      <c r="A140" t="inlineStr">
        <is>
          <t>F20</t>
        </is>
      </c>
      <c r="B140" t="inlineStr">
        <is>
          <t>net_income TTM to 2026-06-30</t>
        </is>
      </c>
      <c r="C140" s="50" t="n">
        <v>135281000000</v>
      </c>
    </row>
    <row r="141">
      <c r="A141" t="inlineStr">
        <is>
          <t>F21</t>
        </is>
      </c>
      <c r="B141" t="inlineStr">
        <is>
          <t>net_income quarter 2026-04-01 to 2026-06-30</t>
        </is>
      </c>
      <c r="C141" s="50" t="n">
        <v>62647000000</v>
      </c>
      <c r="D141" t="inlineStr">
        <is>
          <t>https://www.sec.gov/Archives/edgar/data/1018724/000101872426000026/</t>
        </is>
      </c>
    </row>
    <row r="142">
      <c r="A142" t="inlineStr">
        <is>
          <t>F22</t>
        </is>
      </c>
      <c r="B142" t="inlineStr">
        <is>
          <t>eps_diluted FY ending 2023-12-31 (us-gaap:EarningsPerShareDiluted)</t>
        </is>
      </c>
      <c r="C142" s="50" t="n">
        <v>2.9</v>
      </c>
      <c r="D142" t="inlineStr">
        <is>
          <t>https://www.sec.gov/Archives/edgar/data/1018724/000101872426000004/</t>
        </is>
      </c>
    </row>
    <row r="143">
      <c r="A143" t="inlineStr">
        <is>
          <t>F23</t>
        </is>
      </c>
      <c r="B143" t="inlineStr">
        <is>
          <t>eps_diluted FY ending 2024-12-31 (us-gaap:EarningsPerShareDiluted)</t>
        </is>
      </c>
      <c r="C143" s="50" t="n">
        <v>5.53</v>
      </c>
      <c r="D143" t="inlineStr">
        <is>
          <t>https://www.sec.gov/Archives/edgar/data/1018724/000101872426000004/</t>
        </is>
      </c>
    </row>
    <row r="144">
      <c r="A144" t="inlineStr">
        <is>
          <t>F24</t>
        </is>
      </c>
      <c r="B144" t="inlineStr">
        <is>
          <t>eps_diluted FY ending 2025-12-31 (us-gaap:EarningsPerShareDiluted)</t>
        </is>
      </c>
      <c r="C144" s="50" t="n">
        <v>7.17</v>
      </c>
      <c r="D144" t="inlineStr">
        <is>
          <t>https://www.sec.gov/Archives/edgar/data/1018724/000101872426000004/</t>
        </is>
      </c>
    </row>
    <row r="145">
      <c r="A145" t="inlineStr">
        <is>
          <t>F25</t>
        </is>
      </c>
      <c r="B145" t="inlineStr">
        <is>
          <t>eps_diluted YTD 2026-01-01 to 2026-06-30</t>
        </is>
      </c>
      <c r="C145" s="50" t="n">
        <v>8.529999999999999</v>
      </c>
      <c r="D145" t="inlineStr">
        <is>
          <t>https://www.sec.gov/Archives/edgar/data/1018724/000101872426000026/</t>
        </is>
      </c>
    </row>
    <row r="146">
      <c r="A146" t="inlineStr">
        <is>
          <t>F26</t>
        </is>
      </c>
      <c r="B146" t="inlineStr">
        <is>
          <t>eps_diluted prior-year YTD 2025-01-01 to 2025-06-30</t>
        </is>
      </c>
      <c r="C146" s="50" t="n">
        <v>3.27</v>
      </c>
      <c r="D146" t="inlineStr">
        <is>
          <t>https://www.sec.gov/Archives/edgar/data/1018724/000101872426000026/</t>
        </is>
      </c>
    </row>
    <row r="147">
      <c r="A147" t="inlineStr">
        <is>
          <t>F27</t>
        </is>
      </c>
      <c r="B147" t="inlineStr">
        <is>
          <t>eps_diluted quarter 2026-04-01 to 2026-06-30</t>
        </is>
      </c>
      <c r="C147" s="50" t="n">
        <v>5.75</v>
      </c>
      <c r="D147" t="inlineStr">
        <is>
          <t>https://www.sec.gov/Archives/edgar/data/1018724/000101872426000026/</t>
        </is>
      </c>
    </row>
    <row r="148">
      <c r="A148" t="inlineStr">
        <is>
          <t>F28</t>
        </is>
      </c>
      <c r="B148" t="inlineStr">
        <is>
          <t>diluted_shares_wavg FY ending 2023-12-31 (us-gaap:WeightedAverageNumberOfDilutedSharesOutstanding)</t>
        </is>
      </c>
      <c r="C148" s="50" t="n">
        <v>10492000000</v>
      </c>
      <c r="D148" t="inlineStr">
        <is>
          <t>https://www.sec.gov/Archives/edgar/data/1018724/000101872426000004/</t>
        </is>
      </c>
    </row>
    <row r="149">
      <c r="A149" t="inlineStr">
        <is>
          <t>F29</t>
        </is>
      </c>
      <c r="B149" t="inlineStr">
        <is>
          <t>diluted_shares_wavg FY ending 2024-12-31 (us-gaap:WeightedAverageNumberOfDilutedSharesOutstanding)</t>
        </is>
      </c>
      <c r="C149" s="50" t="n">
        <v>10721000000</v>
      </c>
      <c r="D149" t="inlineStr">
        <is>
          <t>https://www.sec.gov/Archives/edgar/data/1018724/000101872426000004/</t>
        </is>
      </c>
    </row>
    <row r="150">
      <c r="A150" t="inlineStr">
        <is>
          <t>F30</t>
        </is>
      </c>
      <c r="B150" t="inlineStr">
        <is>
          <t>diluted_shares_wavg FY ending 2025-12-31 (us-gaap:WeightedAverageNumberOfDilutedSharesOutstanding)</t>
        </is>
      </c>
      <c r="C150" s="50" t="n">
        <v>10827000000</v>
      </c>
      <c r="D150" t="inlineStr">
        <is>
          <t>https://www.sec.gov/Archives/edgar/data/1018724/000101872426000004/</t>
        </is>
      </c>
    </row>
    <row r="151">
      <c r="A151" t="inlineStr">
        <is>
          <t>F31</t>
        </is>
      </c>
      <c r="B151" t="inlineStr">
        <is>
          <t>diluted_shares_wavg YTD 2026-01-01 to 2026-06-30</t>
        </is>
      </c>
      <c r="C151" s="50" t="n">
        <v>10889000000</v>
      </c>
      <c r="D151" t="inlineStr">
        <is>
          <t>https://www.sec.gov/Archives/edgar/data/1018724/000101872426000026/</t>
        </is>
      </c>
    </row>
    <row r="152">
      <c r="A152" t="inlineStr">
        <is>
          <t>F32</t>
        </is>
      </c>
      <c r="B152" t="inlineStr">
        <is>
          <t>diluted_shares_wavg prior-year YTD 2025-01-01 to 2025-06-30</t>
        </is>
      </c>
      <c r="C152" s="50" t="n">
        <v>10800000000</v>
      </c>
      <c r="D152" t="inlineStr">
        <is>
          <t>https://www.sec.gov/Archives/edgar/data/1018724/000101872426000026/</t>
        </is>
      </c>
    </row>
    <row r="153">
      <c r="A153" t="inlineStr">
        <is>
          <t>F33</t>
        </is>
      </c>
      <c r="B153" t="inlineStr">
        <is>
          <t>diluted_shares_wavg quarter 2026-04-01 to 2026-06-30</t>
        </is>
      </c>
      <c r="C153" s="50" t="n">
        <v>10903000000</v>
      </c>
      <c r="D153" t="inlineStr">
        <is>
          <t>https://www.sec.gov/Archives/edgar/data/1018724/000101872426000026/</t>
        </is>
      </c>
    </row>
    <row r="154">
      <c r="A154" t="inlineStr">
        <is>
          <t>F34</t>
        </is>
      </c>
      <c r="B154" t="inlineStr">
        <is>
          <t>d_and_a FY ending 2023-12-31 (us-gaap:DepreciationDepletionAndAmortization)</t>
        </is>
      </c>
      <c r="C154" s="50" t="n">
        <v>48663000000</v>
      </c>
      <c r="D154" t="inlineStr">
        <is>
          <t>https://www.sec.gov/Archives/edgar/data/1018724/000101872426000004/</t>
        </is>
      </c>
    </row>
    <row r="155">
      <c r="A155" t="inlineStr">
        <is>
          <t>F35</t>
        </is>
      </c>
      <c r="B155" t="inlineStr">
        <is>
          <t>d_and_a FY ending 2024-12-31 (us-gaap:DepreciationDepletionAndAmortization)</t>
        </is>
      </c>
      <c r="C155" s="50" t="n">
        <v>52795000000</v>
      </c>
      <c r="D155" t="inlineStr">
        <is>
          <t>https://www.sec.gov/Archives/edgar/data/1018724/000101872426000004/</t>
        </is>
      </c>
    </row>
    <row r="156">
      <c r="A156" t="inlineStr">
        <is>
          <t>F36</t>
        </is>
      </c>
      <c r="B156" t="inlineStr">
        <is>
          <t>d_and_a FY ending 2025-12-31 (us-gaap:DepreciationDepletionAndAmortization)</t>
        </is>
      </c>
      <c r="C156" s="50" t="n">
        <v>65756000000</v>
      </c>
      <c r="D156" t="inlineStr">
        <is>
          <t>https://www.sec.gov/Archives/edgar/data/1018724/000101872426000004/</t>
        </is>
      </c>
    </row>
    <row r="157">
      <c r="A157" t="inlineStr">
        <is>
          <t>F37</t>
        </is>
      </c>
      <c r="B157" t="inlineStr">
        <is>
          <t>d_and_a YTD 2026-01-01 to 2026-06-30</t>
        </is>
      </c>
      <c r="C157" s="50" t="n">
        <v>38933000000</v>
      </c>
      <c r="D157" t="inlineStr">
        <is>
          <t>https://www.sec.gov/Archives/edgar/data/1018724/000101872426000026/</t>
        </is>
      </c>
    </row>
    <row r="158">
      <c r="A158" t="inlineStr">
        <is>
          <t>F38</t>
        </is>
      </c>
      <c r="B158" t="inlineStr">
        <is>
          <t>d_and_a prior-year YTD 2025-01-01 to 2025-06-30</t>
        </is>
      </c>
      <c r="C158" s="50" t="n">
        <v>29489000000</v>
      </c>
      <c r="D158" t="inlineStr">
        <is>
          <t>https://www.sec.gov/Archives/edgar/data/1018724/000101872426000026/</t>
        </is>
      </c>
    </row>
    <row r="159">
      <c r="A159" t="inlineStr">
        <is>
          <t>F39</t>
        </is>
      </c>
      <c r="B159" t="inlineStr">
        <is>
          <t>d_and_a TTM to 2026-06-30</t>
        </is>
      </c>
      <c r="C159" s="50" t="n">
        <v>75200000000</v>
      </c>
    </row>
    <row r="160">
      <c r="A160" t="inlineStr">
        <is>
          <t>F40</t>
        </is>
      </c>
      <c r="B160" t="inlineStr">
        <is>
          <t>d_and_a quarter 2026-04-01 to 2026-06-30</t>
        </is>
      </c>
      <c r="C160" s="50" t="n">
        <v>19988000000</v>
      </c>
      <c r="D160" t="inlineStr">
        <is>
          <t>https://www.sec.gov/Archives/edgar/data/1018724/000101872426000026/</t>
        </is>
      </c>
    </row>
    <row r="161">
      <c r="A161" t="inlineStr">
        <is>
          <t>F41</t>
        </is>
      </c>
      <c r="B161" t="inlineStr">
        <is>
          <t>sbc FY ending 2023-12-31 (us-gaap:ShareBasedCompensation)</t>
        </is>
      </c>
      <c r="C161" s="50" t="n">
        <v>24023000000</v>
      </c>
      <c r="D161" t="inlineStr">
        <is>
          <t>https://www.sec.gov/Archives/edgar/data/1018724/000101872426000004/</t>
        </is>
      </c>
    </row>
    <row r="162">
      <c r="A162" t="inlineStr">
        <is>
          <t>F42</t>
        </is>
      </c>
      <c r="B162" t="inlineStr">
        <is>
          <t>sbc FY ending 2024-12-31 (us-gaap:ShareBasedCompensation)</t>
        </is>
      </c>
      <c r="C162" s="50" t="n">
        <v>22011000000</v>
      </c>
      <c r="D162" t="inlineStr">
        <is>
          <t>https://www.sec.gov/Archives/edgar/data/1018724/000101872426000004/</t>
        </is>
      </c>
    </row>
    <row r="163">
      <c r="A163" t="inlineStr">
        <is>
          <t>F43</t>
        </is>
      </c>
      <c r="B163" t="inlineStr">
        <is>
          <t>sbc FY ending 2025-12-31 (us-gaap:ShareBasedCompensation)</t>
        </is>
      </c>
      <c r="C163" s="50" t="n">
        <v>19467000000</v>
      </c>
      <c r="D163" t="inlineStr">
        <is>
          <t>https://www.sec.gov/Archives/edgar/data/1018724/000101872426000004/</t>
        </is>
      </c>
    </row>
    <row r="164">
      <c r="A164" t="inlineStr">
        <is>
          <t>F44</t>
        </is>
      </c>
      <c r="B164" t="inlineStr">
        <is>
          <t>sbc YTD 2026-01-01 to 2026-06-30</t>
        </is>
      </c>
      <c r="C164" s="50" t="n">
        <v>10070000000</v>
      </c>
      <c r="D164" t="inlineStr">
        <is>
          <t>https://www.sec.gov/Archives/edgar/data/1018724/000101872426000026/</t>
        </is>
      </c>
    </row>
    <row r="165">
      <c r="A165" t="inlineStr">
        <is>
          <t>F45</t>
        </is>
      </c>
      <c r="B165" t="inlineStr">
        <is>
          <t>sbc prior-year YTD 2025-01-01 to 2025-06-30</t>
        </is>
      </c>
      <c r="C165" s="50" t="n">
        <v>10223000000</v>
      </c>
      <c r="D165" t="inlineStr">
        <is>
          <t>https://www.sec.gov/Archives/edgar/data/1018724/000101872426000026/</t>
        </is>
      </c>
    </row>
    <row r="166">
      <c r="A166" t="inlineStr">
        <is>
          <t>F46</t>
        </is>
      </c>
      <c r="B166" t="inlineStr">
        <is>
          <t>sbc TTM to 2026-06-30</t>
        </is>
      </c>
      <c r="C166" s="50" t="n">
        <v>19314000000</v>
      </c>
    </row>
    <row r="167">
      <c r="A167" t="inlineStr">
        <is>
          <t>F47</t>
        </is>
      </c>
      <c r="B167" t="inlineStr">
        <is>
          <t>sbc quarter 2026-04-01 to 2026-06-30</t>
        </is>
      </c>
      <c r="C167" s="50" t="n">
        <v>6038000000</v>
      </c>
      <c r="D167" t="inlineStr">
        <is>
          <t>https://www.sec.gov/Archives/edgar/data/1018724/000101872426000026/</t>
        </is>
      </c>
    </row>
    <row r="168">
      <c r="A168" t="inlineStr">
        <is>
          <t>F48</t>
        </is>
      </c>
      <c r="B168" t="inlineStr">
        <is>
          <t>cfo FY ending 2023-12-31 (us-gaap:NetCashProvidedByUsedInOperatingActivities)</t>
        </is>
      </c>
      <c r="C168" s="50" t="n">
        <v>84946000000</v>
      </c>
      <c r="D168" t="inlineStr">
        <is>
          <t>https://www.sec.gov/Archives/edgar/data/1018724/000101872426000004/</t>
        </is>
      </c>
    </row>
    <row r="169">
      <c r="A169" t="inlineStr">
        <is>
          <t>F49</t>
        </is>
      </c>
      <c r="B169" t="inlineStr">
        <is>
          <t>cfo FY ending 2024-12-31 (us-gaap:NetCashProvidedByUsedInOperatingActivities)</t>
        </is>
      </c>
      <c r="C169" s="50" t="n">
        <v>115877000000</v>
      </c>
      <c r="D169" t="inlineStr">
        <is>
          <t>https://www.sec.gov/Archives/edgar/data/1018724/000101872426000004/</t>
        </is>
      </c>
    </row>
    <row r="170">
      <c r="A170" t="inlineStr">
        <is>
          <t>F50</t>
        </is>
      </c>
      <c r="B170" t="inlineStr">
        <is>
          <t>cfo FY ending 2025-12-31 (us-gaap:NetCashProvidedByUsedInOperatingActivities)</t>
        </is>
      </c>
      <c r="C170" s="50" t="n">
        <v>139514000000</v>
      </c>
      <c r="D170" t="inlineStr">
        <is>
          <t>https://www.sec.gov/Archives/edgar/data/1018724/000101872426000004/</t>
        </is>
      </c>
    </row>
    <row r="171">
      <c r="A171" t="inlineStr">
        <is>
          <t>F51</t>
        </is>
      </c>
      <c r="B171" t="inlineStr">
        <is>
          <t>cfo YTD 2026-01-01 to 2026-06-30</t>
        </is>
      </c>
      <c r="C171" s="50" t="n">
        <v>71419000000</v>
      </c>
      <c r="D171" t="inlineStr">
        <is>
          <t>https://www.sec.gov/Archives/edgar/data/1018724/000101872426000026/</t>
        </is>
      </c>
    </row>
    <row r="172">
      <c r="A172" t="inlineStr">
        <is>
          <t>F52</t>
        </is>
      </c>
      <c r="B172" t="inlineStr">
        <is>
          <t>cfo prior-year YTD 2025-01-01 to 2025-06-30</t>
        </is>
      </c>
      <c r="C172" s="50" t="n">
        <v>49530000000</v>
      </c>
      <c r="D172" t="inlineStr">
        <is>
          <t>https://www.sec.gov/Archives/edgar/data/1018724/000101872426000026/</t>
        </is>
      </c>
    </row>
    <row r="173">
      <c r="A173" t="inlineStr">
        <is>
          <t>F53</t>
        </is>
      </c>
      <c r="B173" t="inlineStr">
        <is>
          <t>cfo TTM to 2026-06-30</t>
        </is>
      </c>
      <c r="C173" s="50" t="n">
        <v>161403000000</v>
      </c>
    </row>
    <row r="174">
      <c r="A174" t="inlineStr">
        <is>
          <t>F54</t>
        </is>
      </c>
      <c r="B174" t="inlineStr">
        <is>
          <t>cfo quarter 2026-04-01 to 2026-06-30</t>
        </is>
      </c>
      <c r="C174" s="50" t="n">
        <v>45387000000</v>
      </c>
      <c r="D174" t="inlineStr">
        <is>
          <t>https://www.sec.gov/Archives/edgar/data/1018724/000101872426000026/</t>
        </is>
      </c>
    </row>
    <row r="175">
      <c r="A175" t="inlineStr">
        <is>
          <t>F55</t>
        </is>
      </c>
      <c r="B175" t="inlineStr">
        <is>
          <t>capex FY ending 2023-12-31 (us-gaap:PaymentsToAcquireProductiveAssets)</t>
        </is>
      </c>
      <c r="C175" s="50" t="n">
        <v>52729000000</v>
      </c>
      <c r="D175" t="inlineStr">
        <is>
          <t>https://www.sec.gov/Archives/edgar/data/1018724/000101872426000004/</t>
        </is>
      </c>
    </row>
    <row r="176">
      <c r="A176" t="inlineStr">
        <is>
          <t>F56</t>
        </is>
      </c>
      <c r="B176" t="inlineStr">
        <is>
          <t>capex FY ending 2024-12-31 (us-gaap:PaymentsToAcquireProductiveAssets)</t>
        </is>
      </c>
      <c r="C176" s="50" t="n">
        <v>82999000000</v>
      </c>
      <c r="D176" t="inlineStr">
        <is>
          <t>https://www.sec.gov/Archives/edgar/data/1018724/000101872426000004/</t>
        </is>
      </c>
    </row>
    <row r="177">
      <c r="A177" t="inlineStr">
        <is>
          <t>F57</t>
        </is>
      </c>
      <c r="B177" t="inlineStr">
        <is>
          <t>capex FY ending 2025-12-31 (us-gaap:PaymentsToAcquireProductiveAssets)</t>
        </is>
      </c>
      <c r="C177" s="50" t="n">
        <v>131819000000</v>
      </c>
      <c r="D177" t="inlineStr">
        <is>
          <t>https://www.sec.gov/Archives/edgar/data/1018724/000101872426000004/</t>
        </is>
      </c>
    </row>
    <row r="178">
      <c r="A178" t="inlineStr">
        <is>
          <t>F58</t>
        </is>
      </c>
      <c r="B178" t="inlineStr">
        <is>
          <t>capex YTD 2026-01-01 to 2026-06-30</t>
        </is>
      </c>
      <c r="C178" s="50" t="n">
        <v>98411000000</v>
      </c>
      <c r="D178" t="inlineStr">
        <is>
          <t>https://www.sec.gov/Archives/edgar/data/1018724/000101872426000026/</t>
        </is>
      </c>
    </row>
    <row r="179">
      <c r="A179" t="inlineStr">
        <is>
          <t>F59</t>
        </is>
      </c>
      <c r="B179" t="inlineStr">
        <is>
          <t>capex prior-year YTD 2025-01-01 to 2025-06-30</t>
        </is>
      </c>
      <c r="C179" s="50" t="n">
        <v>57202000000</v>
      </c>
      <c r="D179" t="inlineStr">
        <is>
          <t>https://www.sec.gov/Archives/edgar/data/1018724/000101872426000026/</t>
        </is>
      </c>
    </row>
    <row r="180">
      <c r="A180" t="inlineStr">
        <is>
          <t>F60</t>
        </is>
      </c>
      <c r="B180" t="inlineStr">
        <is>
          <t>capex TTM to 2026-06-30</t>
        </is>
      </c>
      <c r="C180" s="50" t="n">
        <v>173028000000</v>
      </c>
    </row>
    <row r="181">
      <c r="A181" t="inlineStr">
        <is>
          <t>F61</t>
        </is>
      </c>
      <c r="B181" t="inlineStr">
        <is>
          <t>capex quarter 2026-04-01 to 2026-06-30</t>
        </is>
      </c>
      <c r="C181" s="50" t="n">
        <v>54208000000</v>
      </c>
      <c r="D181" t="inlineStr">
        <is>
          <t>https://www.sec.gov/Archives/edgar/data/1018724/000101872426000026/</t>
        </is>
      </c>
    </row>
    <row r="182">
      <c r="A182" t="inlineStr">
        <is>
          <t>F62</t>
        </is>
      </c>
      <c r="B182" t="inlineStr">
        <is>
          <t>interest_expense FY ending 2023-12-31 (us-gaap:InterestExpenseNonoperating)</t>
        </is>
      </c>
      <c r="C182" s="50" t="n">
        <v>3182000000</v>
      </c>
      <c r="D182" t="inlineStr">
        <is>
          <t>https://www.sec.gov/Archives/edgar/data/1018724/000101872426000004/</t>
        </is>
      </c>
    </row>
    <row r="183">
      <c r="A183" t="inlineStr">
        <is>
          <t>F63</t>
        </is>
      </c>
      <c r="B183" t="inlineStr">
        <is>
          <t>interest_expense FY ending 2024-12-31 (us-gaap:InterestExpenseNonoperating)</t>
        </is>
      </c>
      <c r="C183" s="50" t="n">
        <v>2406000000</v>
      </c>
      <c r="D183" t="inlineStr">
        <is>
          <t>https://www.sec.gov/Archives/edgar/data/1018724/000101872426000004/</t>
        </is>
      </c>
    </row>
    <row r="184">
      <c r="A184" t="inlineStr">
        <is>
          <t>F64</t>
        </is>
      </c>
      <c r="B184" t="inlineStr">
        <is>
          <t>interest_expense FY ending 2025-12-31 (us-gaap:InterestExpenseNonoperating)</t>
        </is>
      </c>
      <c r="C184" s="50" t="n">
        <v>2274000000</v>
      </c>
      <c r="D184" t="inlineStr">
        <is>
          <t>https://www.sec.gov/Archives/edgar/data/1018724/000101872426000004/</t>
        </is>
      </c>
    </row>
    <row r="185">
      <c r="A185" t="inlineStr">
        <is>
          <t>F65</t>
        </is>
      </c>
      <c r="B185" t="inlineStr">
        <is>
          <t>interest_expense YTD 2026-01-01 to 2026-06-30</t>
        </is>
      </c>
      <c r="C185" s="50" t="n">
        <v>2114000000</v>
      </c>
      <c r="D185" t="inlineStr">
        <is>
          <t>https://www.sec.gov/Archives/edgar/data/1018724/000101872426000026/</t>
        </is>
      </c>
    </row>
    <row r="186">
      <c r="A186" t="inlineStr">
        <is>
          <t>F66</t>
        </is>
      </c>
      <c r="B186" t="inlineStr">
        <is>
          <t>interest_expense prior-year YTD 2025-01-01 to 2025-06-30</t>
        </is>
      </c>
      <c r="C186" s="50" t="n">
        <v>1057000000</v>
      </c>
      <c r="D186" t="inlineStr">
        <is>
          <t>https://www.sec.gov/Archives/edgar/data/1018724/000101872426000026/</t>
        </is>
      </c>
    </row>
    <row r="187">
      <c r="A187" t="inlineStr">
        <is>
          <t>F67</t>
        </is>
      </c>
      <c r="B187" t="inlineStr">
        <is>
          <t>interest_expense TTM to 2026-06-30</t>
        </is>
      </c>
      <c r="C187" s="50" t="n">
        <v>3331000000</v>
      </c>
    </row>
    <row r="188">
      <c r="A188" t="inlineStr">
        <is>
          <t>F68</t>
        </is>
      </c>
      <c r="B188" t="inlineStr">
        <is>
          <t>interest_expense quarter 2026-04-01 to 2026-06-30</t>
        </is>
      </c>
      <c r="C188" s="50" t="n">
        <v>1314000000</v>
      </c>
      <c r="D188" t="inlineStr">
        <is>
          <t>https://www.sec.gov/Archives/edgar/data/1018724/000101872426000026/</t>
        </is>
      </c>
    </row>
    <row r="189">
      <c r="A189" t="inlineStr">
        <is>
          <t>F69</t>
        </is>
      </c>
      <c r="B189" t="inlineStr">
        <is>
          <t>income_tax FY ending 2023-12-31 (us-gaap:IncomeTaxExpenseBenefit)</t>
        </is>
      </c>
      <c r="C189" s="50" t="n">
        <v>7120000000</v>
      </c>
      <c r="D189" t="inlineStr">
        <is>
          <t>https://www.sec.gov/Archives/edgar/data/1018724/000101872426000004/</t>
        </is>
      </c>
    </row>
    <row r="190">
      <c r="A190" t="inlineStr">
        <is>
          <t>F70</t>
        </is>
      </c>
      <c r="B190" t="inlineStr">
        <is>
          <t>income_tax FY ending 2024-12-31 (us-gaap:IncomeTaxExpenseBenefit)</t>
        </is>
      </c>
      <c r="C190" s="50" t="n">
        <v>9265000000</v>
      </c>
      <c r="D190" t="inlineStr">
        <is>
          <t>https://www.sec.gov/Archives/edgar/data/1018724/000101872426000004/</t>
        </is>
      </c>
    </row>
    <row r="191">
      <c r="A191" t="inlineStr">
        <is>
          <t>F71</t>
        </is>
      </c>
      <c r="B191" t="inlineStr">
        <is>
          <t>income_tax FY ending 2025-12-31 (us-gaap:IncomeTaxExpenseBenefit)</t>
        </is>
      </c>
      <c r="C191" s="50" t="n">
        <v>19087000000</v>
      </c>
      <c r="D191" t="inlineStr">
        <is>
          <t>https://www.sec.gov/Archives/edgar/data/1018724/000101872426000004/</t>
        </is>
      </c>
    </row>
    <row r="192">
      <c r="A192" t="inlineStr">
        <is>
          <t>F72</t>
        </is>
      </c>
      <c r="B192" t="inlineStr">
        <is>
          <t>income_tax YTD 2026-01-01 to 2026-06-30</t>
        </is>
      </c>
      <c r="C192" s="50" t="n">
        <v>27759000000</v>
      </c>
      <c r="D192" t="inlineStr">
        <is>
          <t>https://www.sec.gov/Archives/edgar/data/1018724/000101872426000026/</t>
        </is>
      </c>
    </row>
    <row r="193">
      <c r="A193" t="inlineStr">
        <is>
          <t>F73</t>
        </is>
      </c>
      <c r="B193" t="inlineStr">
        <is>
          <t>income_tax prior-year YTD 2025-01-01 to 2025-06-30</t>
        </is>
      </c>
      <c r="C193" s="50" t="n">
        <v>7231000000</v>
      </c>
      <c r="D193" t="inlineStr">
        <is>
          <t>https://www.sec.gov/Archives/edgar/data/1018724/000101872426000026/</t>
        </is>
      </c>
    </row>
    <row r="194">
      <c r="A194" t="inlineStr">
        <is>
          <t>F74</t>
        </is>
      </c>
      <c r="B194" t="inlineStr">
        <is>
          <t>income_tax TTM to 2026-06-30</t>
        </is>
      </c>
      <c r="C194" s="50" t="n">
        <v>39615000000</v>
      </c>
    </row>
    <row r="195">
      <c r="A195" t="inlineStr">
        <is>
          <t>F75</t>
        </is>
      </c>
      <c r="B195" t="inlineStr">
        <is>
          <t>income_tax quarter 2026-04-01 to 2026-06-30</t>
        </is>
      </c>
      <c r="C195" s="50" t="n">
        <v>18199000000</v>
      </c>
      <c r="D195" t="inlineStr">
        <is>
          <t>https://www.sec.gov/Archives/edgar/data/1018724/000101872426000026/</t>
        </is>
      </c>
    </row>
    <row r="196">
      <c r="A196" t="inlineStr">
        <is>
          <t>F76</t>
        </is>
      </c>
      <c r="B196" t="inlineStr">
        <is>
          <t>pretax_income FY ending 2023-12-31 (us-gaap:IncomeLossFromContinuingOperationsBeforeIncomeTaxesMinorityInterestAndIncomeLossFromEquityMethodInvestments)</t>
        </is>
      </c>
      <c r="C196" s="50" t="n">
        <v>37557000000</v>
      </c>
      <c r="D196" t="inlineStr">
        <is>
          <t>https://www.sec.gov/Archives/edgar/data/1018724/000101872426000004/</t>
        </is>
      </c>
    </row>
    <row r="197">
      <c r="A197" t="inlineStr">
        <is>
          <t>F77</t>
        </is>
      </c>
      <c r="B197" t="inlineStr">
        <is>
          <t>pretax_income FY ending 2024-12-31 (us-gaap:IncomeLossFromContinuingOperationsBeforeIncomeTaxesMinorityInterestAndIncomeLossFromEquityMethodInvestments)</t>
        </is>
      </c>
      <c r="C197" s="50" t="n">
        <v>68614000000</v>
      </c>
      <c r="D197" t="inlineStr">
        <is>
          <t>https://www.sec.gov/Archives/edgar/data/1018724/000101872426000004/</t>
        </is>
      </c>
    </row>
    <row r="198">
      <c r="A198" t="inlineStr">
        <is>
          <t>F78</t>
        </is>
      </c>
      <c r="B198" t="inlineStr">
        <is>
          <t>pretax_income FY ending 2025-12-31 (us-gaap:IncomeLossFromContinuingOperationsBeforeIncomeTaxesMinorityInterestAndIncomeLossFromEquityMethodInvestments)</t>
        </is>
      </c>
      <c r="C198" s="50" t="n">
        <v>97311000000</v>
      </c>
      <c r="D198" t="inlineStr">
        <is>
          <t>https://www.sec.gov/Archives/edgar/data/1018724/000101872426000004/</t>
        </is>
      </c>
    </row>
    <row r="199">
      <c r="A199" t="inlineStr">
        <is>
          <t>F79</t>
        </is>
      </c>
      <c r="B199" t="inlineStr">
        <is>
          <t>pretax_income YTD 2026-01-01 to 2026-06-30</t>
        </is>
      </c>
      <c r="C199" s="50" t="n">
        <v>120691000000</v>
      </c>
      <c r="D199" t="inlineStr">
        <is>
          <t>https://www.sec.gov/Archives/edgar/data/1018724/000101872426000026/</t>
        </is>
      </c>
    </row>
    <row r="200">
      <c r="A200" t="inlineStr">
        <is>
          <t>F80</t>
        </is>
      </c>
      <c r="B200" t="inlineStr">
        <is>
          <t>pretax_income prior-year YTD 2025-01-01 to 2025-06-30</t>
        </is>
      </c>
      <c r="C200" s="50" t="n">
        <v>42536000000</v>
      </c>
      <c r="D200" t="inlineStr">
        <is>
          <t>https://www.sec.gov/Archives/edgar/data/1018724/000101872426000026/</t>
        </is>
      </c>
    </row>
    <row r="201">
      <c r="A201" t="inlineStr">
        <is>
          <t>F81</t>
        </is>
      </c>
      <c r="B201" t="inlineStr">
        <is>
          <t>pretax_income TTM to 2026-06-30</t>
        </is>
      </c>
      <c r="C201" s="50" t="n">
        <v>175466000000</v>
      </c>
    </row>
    <row r="202">
      <c r="A202" t="inlineStr">
        <is>
          <t>F82</t>
        </is>
      </c>
      <c r="B202" t="inlineStr">
        <is>
          <t>pretax_income quarter 2026-04-01 to 2026-06-30</t>
        </is>
      </c>
      <c r="C202" s="50" t="n">
        <v>80857000000</v>
      </c>
      <c r="D202" t="inlineStr">
        <is>
          <t>https://www.sec.gov/Archives/edgar/data/1018724/000101872426000026/</t>
        </is>
      </c>
    </row>
    <row r="203">
      <c r="A203" t="inlineStr">
        <is>
          <t>F83</t>
        </is>
      </c>
      <c r="B203" t="inlineStr">
        <is>
          <t>cash at 2026-06-30 (us-gaap:CashAndCashEquivalentsAtCarryingValue)</t>
        </is>
      </c>
      <c r="C203" s="50" t="n">
        <v>78213000000</v>
      </c>
      <c r="D203" t="inlineStr">
        <is>
          <t>https://www.sec.gov/Archives/edgar/data/1018724/000101872426000026/</t>
        </is>
      </c>
    </row>
    <row r="204">
      <c r="A204" t="inlineStr">
        <is>
          <t>F84</t>
        </is>
      </c>
      <c r="B204" t="inlineStr">
        <is>
          <t>st_investments at 2026-06-30 (us-gaap:MarketableSecuritiesCurrent)</t>
        </is>
      </c>
      <c r="C204" s="50" t="n">
        <v>44775000000</v>
      </c>
      <c r="D204" t="inlineStr">
        <is>
          <t>https://www.sec.gov/Archives/edgar/data/1018724/000101872426000026/</t>
        </is>
      </c>
    </row>
    <row r="205">
      <c r="A205" t="inlineStr">
        <is>
          <t>F85</t>
        </is>
      </c>
      <c r="B205" t="inlineStr">
        <is>
          <t>debt_total at 2026-06-30 (us-gaap:LongTermDebt)</t>
        </is>
      </c>
      <c r="C205" s="50" t="n">
        <v>132995000000</v>
      </c>
      <c r="D205" t="inlineStr">
        <is>
          <t>https://www.sec.gov/Archives/edgar/data/1018724/000101872426000026/</t>
        </is>
      </c>
    </row>
    <row r="206">
      <c r="A206" t="inlineStr">
        <is>
          <t>F86</t>
        </is>
      </c>
      <c r="B206" t="inlineStr">
        <is>
          <t>debt_noncurrent at 2026-06-30 (us-gaap:LongTermDebtNoncurrent)</t>
        </is>
      </c>
      <c r="C206" s="50" t="n">
        <v>128894000000</v>
      </c>
      <c r="D206" t="inlineStr">
        <is>
          <t>https://www.sec.gov/Archives/edgar/data/1018724/000101872426000026/</t>
        </is>
      </c>
    </row>
    <row r="207">
      <c r="A207" t="inlineStr">
        <is>
          <t>F87</t>
        </is>
      </c>
      <c r="B207" t="inlineStr">
        <is>
          <t>debt_current at 2026-06-30 (us-gaap:LongTermDebtCurrent)</t>
        </is>
      </c>
      <c r="C207" s="50" t="n">
        <v>3330000000</v>
      </c>
      <c r="D207" t="inlineStr">
        <is>
          <t>https://www.sec.gov/Archives/edgar/data/1018724/000101872426000026/</t>
        </is>
      </c>
    </row>
    <row r="208">
      <c r="A208" t="inlineStr">
        <is>
          <t>F88</t>
        </is>
      </c>
      <c r="B208" t="inlineStr">
        <is>
          <t>st_borrowings at 2026-06-30 (us-gaap:ShortTermBorrowings)</t>
        </is>
      </c>
      <c r="C208" s="50" t="n">
        <v>325000000</v>
      </c>
      <c r="D208" t="inlineStr">
        <is>
          <t>https://www.sec.gov/Archives/edgar/data/1018724/000101872426000026/</t>
        </is>
      </c>
    </row>
    <row r="209">
      <c r="A209" t="inlineStr">
        <is>
          <t>F89</t>
        </is>
      </c>
      <c r="B209" t="inlineStr">
        <is>
          <t>equity at 2026-06-30 (us-gaap:StockholdersEquity)</t>
        </is>
      </c>
      <c r="C209" s="50" t="n">
        <v>551620000000</v>
      </c>
      <c r="D209" t="inlineStr">
        <is>
          <t>https://www.sec.gov/Archives/edgar/data/1018724/000101872426000026/</t>
        </is>
      </c>
    </row>
    <row r="210">
      <c r="A210" t="inlineStr">
        <is>
          <t>F90</t>
        </is>
      </c>
      <c r="B210" t="inlineStr">
        <is>
          <t>shares outstanding (cover page, 1 class(es)) as of 2026-07-22</t>
        </is>
      </c>
      <c r="C210" s="50" t="n">
        <v>10786313572</v>
      </c>
      <c r="D210" t="inlineStr">
        <is>
          <t>https://www.sec.gov/Archives/edgar/data/1018724/000101872426000026/</t>
        </is>
      </c>
    </row>
    <row r="211">
      <c r="A211" t="inlineStr">
        <is>
          <t>F91</t>
        </is>
      </c>
      <c r="B211" t="inlineStr">
        <is>
          <t>total debt (XBRL tags; excludes leases unless tagged in; check the balance sheet)</t>
        </is>
      </c>
      <c r="C211" s="50" t="n">
        <v>133320000000</v>
      </c>
    </row>
    <row r="212">
      <c r="A212" t="inlineStr">
        <is>
          <t>F92</t>
        </is>
      </c>
      <c r="B212" t="inlineStr">
        <is>
          <t>net debt = debt - cash - short-term investments</t>
        </is>
      </c>
      <c r="C212" s="50" t="n">
        <v>10332000000</v>
      </c>
    </row>
    <row r="213">
      <c r="A213" t="inlineStr">
        <is>
          <t>F93</t>
        </is>
      </c>
      <c r="B213" t="inlineStr">
        <is>
          <t>EBITDA TTM (GAAP operating income + D&amp;A; not the company's adjusted EBITDA)</t>
        </is>
      </c>
      <c r="C213" s="50" t="n">
        <v>168912000000</v>
      </c>
    </row>
    <row r="214">
      <c r="A214" t="inlineStr">
        <is>
          <t>F94</t>
        </is>
      </c>
      <c r="B214" t="inlineStr">
        <is>
          <t>free cash flow TTM = operating cash flow - capex (before SBC adjustment)</t>
        </is>
      </c>
      <c r="C214" s="50" t="n">
        <v>-11625000000</v>
      </c>
    </row>
    <row r="215">
      <c r="A215" t="inlineStr">
        <is>
          <t>F95</t>
        </is>
      </c>
      <c r="B215" t="inlineStr">
        <is>
          <t>diluted EPS TTM approx = net income TTM / latest quarter diluted shares</t>
        </is>
      </c>
      <c r="C215" s="50" t="n">
        <v>12.40768595799321</v>
      </c>
    </row>
  </sheetData>
  <hyperlinks>
    <hyperlink xmlns:r="http://schemas.openxmlformats.org/officeDocument/2006/relationships" ref="D58" r:id="rId1"/>
    <hyperlink xmlns:r="http://schemas.openxmlformats.org/officeDocument/2006/relationships" ref="D59" r:id="rId2"/>
    <hyperlink xmlns:r="http://schemas.openxmlformats.org/officeDocument/2006/relationships" ref="D60" r:id="rId3"/>
    <hyperlink xmlns:r="http://schemas.openxmlformats.org/officeDocument/2006/relationships" ref="D61" r:id="rId4"/>
    <hyperlink xmlns:r="http://schemas.openxmlformats.org/officeDocument/2006/relationships" ref="D62" r:id="rId5"/>
    <hyperlink xmlns:r="http://schemas.openxmlformats.org/officeDocument/2006/relationships" ref="D63" r:id="rId6"/>
    <hyperlink xmlns:r="http://schemas.openxmlformats.org/officeDocument/2006/relationships" ref="D64" r:id="rId7"/>
    <hyperlink xmlns:r="http://schemas.openxmlformats.org/officeDocument/2006/relationships" ref="D65" r:id="rId8"/>
    <hyperlink xmlns:r="http://schemas.openxmlformats.org/officeDocument/2006/relationships" ref="D66" r:id="rId9"/>
    <hyperlink xmlns:r="http://schemas.openxmlformats.org/officeDocument/2006/relationships" ref="D67" r:id="rId10"/>
    <hyperlink xmlns:r="http://schemas.openxmlformats.org/officeDocument/2006/relationships" ref="D68" r:id="rId11"/>
    <hyperlink xmlns:r="http://schemas.openxmlformats.org/officeDocument/2006/relationships" ref="D69" r:id="rId12"/>
    <hyperlink xmlns:r="http://schemas.openxmlformats.org/officeDocument/2006/relationships" ref="D70" r:id="rId13"/>
    <hyperlink xmlns:r="http://schemas.openxmlformats.org/officeDocument/2006/relationships" ref="D71" r:id="rId14"/>
    <hyperlink xmlns:r="http://schemas.openxmlformats.org/officeDocument/2006/relationships" ref="D72" r:id="rId15"/>
    <hyperlink xmlns:r="http://schemas.openxmlformats.org/officeDocument/2006/relationships" ref="D73" r:id="rId16"/>
    <hyperlink xmlns:r="http://schemas.openxmlformats.org/officeDocument/2006/relationships" ref="D74" r:id="rId17"/>
    <hyperlink xmlns:r="http://schemas.openxmlformats.org/officeDocument/2006/relationships" ref="D75" r:id="rId18"/>
    <hyperlink xmlns:r="http://schemas.openxmlformats.org/officeDocument/2006/relationships" ref="D76" r:id="rId19"/>
    <hyperlink xmlns:r="http://schemas.openxmlformats.org/officeDocument/2006/relationships" ref="D77" r:id="rId20"/>
    <hyperlink xmlns:r="http://schemas.openxmlformats.org/officeDocument/2006/relationships" ref="D78" r:id="rId21"/>
    <hyperlink xmlns:r="http://schemas.openxmlformats.org/officeDocument/2006/relationships" ref="D79" r:id="rId22"/>
    <hyperlink xmlns:r="http://schemas.openxmlformats.org/officeDocument/2006/relationships" ref="D80" r:id="rId23"/>
    <hyperlink xmlns:r="http://schemas.openxmlformats.org/officeDocument/2006/relationships" ref="D81" r:id="rId24"/>
    <hyperlink xmlns:r="http://schemas.openxmlformats.org/officeDocument/2006/relationships" ref="D82" r:id="rId25"/>
    <hyperlink xmlns:r="http://schemas.openxmlformats.org/officeDocument/2006/relationships" ref="D83" r:id="rId26"/>
    <hyperlink xmlns:r="http://schemas.openxmlformats.org/officeDocument/2006/relationships" ref="D84" r:id="rId27"/>
    <hyperlink xmlns:r="http://schemas.openxmlformats.org/officeDocument/2006/relationships" ref="D85" r:id="rId28"/>
    <hyperlink xmlns:r="http://schemas.openxmlformats.org/officeDocument/2006/relationships" ref="D86" r:id="rId29"/>
    <hyperlink xmlns:r="http://schemas.openxmlformats.org/officeDocument/2006/relationships" ref="D87" r:id="rId30"/>
    <hyperlink xmlns:r="http://schemas.openxmlformats.org/officeDocument/2006/relationships" ref="D88" r:id="rId31"/>
    <hyperlink xmlns:r="http://schemas.openxmlformats.org/officeDocument/2006/relationships" ref="D89" r:id="rId32"/>
    <hyperlink xmlns:r="http://schemas.openxmlformats.org/officeDocument/2006/relationships" ref="D90" r:id="rId33"/>
    <hyperlink xmlns:r="http://schemas.openxmlformats.org/officeDocument/2006/relationships" ref="D91" r:id="rId34"/>
    <hyperlink xmlns:r="http://schemas.openxmlformats.org/officeDocument/2006/relationships" ref="D92" r:id="rId35"/>
    <hyperlink xmlns:r="http://schemas.openxmlformats.org/officeDocument/2006/relationships" ref="D93" r:id="rId36"/>
    <hyperlink xmlns:r="http://schemas.openxmlformats.org/officeDocument/2006/relationships" ref="D94" r:id="rId37"/>
    <hyperlink xmlns:r="http://schemas.openxmlformats.org/officeDocument/2006/relationships" ref="D95" r:id="rId38"/>
    <hyperlink xmlns:r="http://schemas.openxmlformats.org/officeDocument/2006/relationships" ref="D96" r:id="rId39"/>
    <hyperlink xmlns:r="http://schemas.openxmlformats.org/officeDocument/2006/relationships" ref="D97" r:id="rId40"/>
    <hyperlink xmlns:r="http://schemas.openxmlformats.org/officeDocument/2006/relationships" ref="D98" r:id="rId41"/>
    <hyperlink xmlns:r="http://schemas.openxmlformats.org/officeDocument/2006/relationships" ref="D99" r:id="rId42"/>
    <hyperlink xmlns:r="http://schemas.openxmlformats.org/officeDocument/2006/relationships" ref="D100" r:id="rId43"/>
    <hyperlink xmlns:r="http://schemas.openxmlformats.org/officeDocument/2006/relationships" ref="D101" r:id="rId44"/>
    <hyperlink xmlns:r="http://schemas.openxmlformats.org/officeDocument/2006/relationships" ref="D102" r:id="rId45"/>
    <hyperlink xmlns:r="http://schemas.openxmlformats.org/officeDocument/2006/relationships" ref="D103" r:id="rId46"/>
    <hyperlink xmlns:r="http://schemas.openxmlformats.org/officeDocument/2006/relationships" ref="D104" r:id="rId47"/>
    <hyperlink xmlns:r="http://schemas.openxmlformats.org/officeDocument/2006/relationships" ref="D105" r:id="rId48"/>
    <hyperlink xmlns:r="http://schemas.openxmlformats.org/officeDocument/2006/relationships" ref="D106" r:id="rId49"/>
    <hyperlink xmlns:r="http://schemas.openxmlformats.org/officeDocument/2006/relationships" ref="D107" r:id="rId50"/>
    <hyperlink xmlns:r="http://schemas.openxmlformats.org/officeDocument/2006/relationships" ref="D108" r:id="rId51"/>
    <hyperlink xmlns:r="http://schemas.openxmlformats.org/officeDocument/2006/relationships" ref="D109" r:id="rId52"/>
    <hyperlink xmlns:r="http://schemas.openxmlformats.org/officeDocument/2006/relationships" ref="D110" r:id="rId53"/>
    <hyperlink xmlns:r="http://schemas.openxmlformats.org/officeDocument/2006/relationships" ref="D111" r:id="rId54"/>
    <hyperlink xmlns:r="http://schemas.openxmlformats.org/officeDocument/2006/relationships" ref="D112" r:id="rId55"/>
    <hyperlink xmlns:r="http://schemas.openxmlformats.org/officeDocument/2006/relationships" ref="D113" r:id="rId56"/>
    <hyperlink xmlns:r="http://schemas.openxmlformats.org/officeDocument/2006/relationships" ref="D114" r:id="rId57"/>
    <hyperlink xmlns:r="http://schemas.openxmlformats.org/officeDocument/2006/relationships" ref="D115" r:id="rId58"/>
    <hyperlink xmlns:r="http://schemas.openxmlformats.org/officeDocument/2006/relationships" ref="D116" r:id="rId59"/>
    <hyperlink xmlns:r="http://schemas.openxmlformats.org/officeDocument/2006/relationships" ref="D117" r:id="rId60"/>
    <hyperlink xmlns:r="http://schemas.openxmlformats.org/officeDocument/2006/relationships" ref="D118" r:id="rId61"/>
    <hyperlink xmlns:r="http://schemas.openxmlformats.org/officeDocument/2006/relationships" ref="D121" r:id="rId62"/>
    <hyperlink xmlns:r="http://schemas.openxmlformats.org/officeDocument/2006/relationships" ref="D122" r:id="rId63"/>
    <hyperlink xmlns:r="http://schemas.openxmlformats.org/officeDocument/2006/relationships" ref="D123" r:id="rId64"/>
    <hyperlink xmlns:r="http://schemas.openxmlformats.org/officeDocument/2006/relationships" ref="D124" r:id="rId65"/>
    <hyperlink xmlns:r="http://schemas.openxmlformats.org/officeDocument/2006/relationships" ref="D125" r:id="rId66"/>
    <hyperlink xmlns:r="http://schemas.openxmlformats.org/officeDocument/2006/relationships" ref="D127" r:id="rId67"/>
    <hyperlink xmlns:r="http://schemas.openxmlformats.org/officeDocument/2006/relationships" ref="D128" r:id="rId68"/>
    <hyperlink xmlns:r="http://schemas.openxmlformats.org/officeDocument/2006/relationships" ref="D129" r:id="rId69"/>
    <hyperlink xmlns:r="http://schemas.openxmlformats.org/officeDocument/2006/relationships" ref="D130" r:id="rId70"/>
    <hyperlink xmlns:r="http://schemas.openxmlformats.org/officeDocument/2006/relationships" ref="D131" r:id="rId71"/>
    <hyperlink xmlns:r="http://schemas.openxmlformats.org/officeDocument/2006/relationships" ref="D132" r:id="rId72"/>
    <hyperlink xmlns:r="http://schemas.openxmlformats.org/officeDocument/2006/relationships" ref="D134" r:id="rId73"/>
    <hyperlink xmlns:r="http://schemas.openxmlformats.org/officeDocument/2006/relationships" ref="D135" r:id="rId74"/>
    <hyperlink xmlns:r="http://schemas.openxmlformats.org/officeDocument/2006/relationships" ref="D136" r:id="rId75"/>
    <hyperlink xmlns:r="http://schemas.openxmlformats.org/officeDocument/2006/relationships" ref="D137" r:id="rId76"/>
    <hyperlink xmlns:r="http://schemas.openxmlformats.org/officeDocument/2006/relationships" ref="D138" r:id="rId77"/>
    <hyperlink xmlns:r="http://schemas.openxmlformats.org/officeDocument/2006/relationships" ref="D139" r:id="rId78"/>
    <hyperlink xmlns:r="http://schemas.openxmlformats.org/officeDocument/2006/relationships" ref="D141" r:id="rId79"/>
    <hyperlink xmlns:r="http://schemas.openxmlformats.org/officeDocument/2006/relationships" ref="D142" r:id="rId80"/>
    <hyperlink xmlns:r="http://schemas.openxmlformats.org/officeDocument/2006/relationships" ref="D143" r:id="rId81"/>
    <hyperlink xmlns:r="http://schemas.openxmlformats.org/officeDocument/2006/relationships" ref="D144" r:id="rId82"/>
    <hyperlink xmlns:r="http://schemas.openxmlformats.org/officeDocument/2006/relationships" ref="D145" r:id="rId83"/>
    <hyperlink xmlns:r="http://schemas.openxmlformats.org/officeDocument/2006/relationships" ref="D146" r:id="rId84"/>
    <hyperlink xmlns:r="http://schemas.openxmlformats.org/officeDocument/2006/relationships" ref="D147" r:id="rId85"/>
    <hyperlink xmlns:r="http://schemas.openxmlformats.org/officeDocument/2006/relationships" ref="D148" r:id="rId86"/>
    <hyperlink xmlns:r="http://schemas.openxmlformats.org/officeDocument/2006/relationships" ref="D149" r:id="rId87"/>
    <hyperlink xmlns:r="http://schemas.openxmlformats.org/officeDocument/2006/relationships" ref="D150" r:id="rId88"/>
    <hyperlink xmlns:r="http://schemas.openxmlformats.org/officeDocument/2006/relationships" ref="D151" r:id="rId89"/>
    <hyperlink xmlns:r="http://schemas.openxmlformats.org/officeDocument/2006/relationships" ref="D152" r:id="rId90"/>
    <hyperlink xmlns:r="http://schemas.openxmlformats.org/officeDocument/2006/relationships" ref="D153" r:id="rId91"/>
    <hyperlink xmlns:r="http://schemas.openxmlformats.org/officeDocument/2006/relationships" ref="D154" r:id="rId92"/>
    <hyperlink xmlns:r="http://schemas.openxmlformats.org/officeDocument/2006/relationships" ref="D155" r:id="rId93"/>
    <hyperlink xmlns:r="http://schemas.openxmlformats.org/officeDocument/2006/relationships" ref="D156" r:id="rId94"/>
    <hyperlink xmlns:r="http://schemas.openxmlformats.org/officeDocument/2006/relationships" ref="D157" r:id="rId95"/>
    <hyperlink xmlns:r="http://schemas.openxmlformats.org/officeDocument/2006/relationships" ref="D158" r:id="rId96"/>
    <hyperlink xmlns:r="http://schemas.openxmlformats.org/officeDocument/2006/relationships" ref="D160" r:id="rId97"/>
    <hyperlink xmlns:r="http://schemas.openxmlformats.org/officeDocument/2006/relationships" ref="D161" r:id="rId98"/>
    <hyperlink xmlns:r="http://schemas.openxmlformats.org/officeDocument/2006/relationships" ref="D162" r:id="rId99"/>
    <hyperlink xmlns:r="http://schemas.openxmlformats.org/officeDocument/2006/relationships" ref="D163" r:id="rId100"/>
    <hyperlink xmlns:r="http://schemas.openxmlformats.org/officeDocument/2006/relationships" ref="D164" r:id="rId101"/>
    <hyperlink xmlns:r="http://schemas.openxmlformats.org/officeDocument/2006/relationships" ref="D165" r:id="rId102"/>
    <hyperlink xmlns:r="http://schemas.openxmlformats.org/officeDocument/2006/relationships" ref="D167" r:id="rId103"/>
    <hyperlink xmlns:r="http://schemas.openxmlformats.org/officeDocument/2006/relationships" ref="D168" r:id="rId104"/>
    <hyperlink xmlns:r="http://schemas.openxmlformats.org/officeDocument/2006/relationships" ref="D169" r:id="rId105"/>
    <hyperlink xmlns:r="http://schemas.openxmlformats.org/officeDocument/2006/relationships" ref="D170" r:id="rId106"/>
    <hyperlink xmlns:r="http://schemas.openxmlformats.org/officeDocument/2006/relationships" ref="D171" r:id="rId107"/>
    <hyperlink xmlns:r="http://schemas.openxmlformats.org/officeDocument/2006/relationships" ref="D172" r:id="rId108"/>
    <hyperlink xmlns:r="http://schemas.openxmlformats.org/officeDocument/2006/relationships" ref="D174" r:id="rId109"/>
    <hyperlink xmlns:r="http://schemas.openxmlformats.org/officeDocument/2006/relationships" ref="D175" r:id="rId110"/>
    <hyperlink xmlns:r="http://schemas.openxmlformats.org/officeDocument/2006/relationships" ref="D176" r:id="rId111"/>
    <hyperlink xmlns:r="http://schemas.openxmlformats.org/officeDocument/2006/relationships" ref="D177" r:id="rId112"/>
    <hyperlink xmlns:r="http://schemas.openxmlformats.org/officeDocument/2006/relationships" ref="D178" r:id="rId113"/>
    <hyperlink xmlns:r="http://schemas.openxmlformats.org/officeDocument/2006/relationships" ref="D179" r:id="rId114"/>
    <hyperlink xmlns:r="http://schemas.openxmlformats.org/officeDocument/2006/relationships" ref="D181" r:id="rId115"/>
    <hyperlink xmlns:r="http://schemas.openxmlformats.org/officeDocument/2006/relationships" ref="D182" r:id="rId116"/>
    <hyperlink xmlns:r="http://schemas.openxmlformats.org/officeDocument/2006/relationships" ref="D183" r:id="rId117"/>
    <hyperlink xmlns:r="http://schemas.openxmlformats.org/officeDocument/2006/relationships" ref="D184" r:id="rId118"/>
    <hyperlink xmlns:r="http://schemas.openxmlformats.org/officeDocument/2006/relationships" ref="D185" r:id="rId119"/>
    <hyperlink xmlns:r="http://schemas.openxmlformats.org/officeDocument/2006/relationships" ref="D186" r:id="rId120"/>
    <hyperlink xmlns:r="http://schemas.openxmlformats.org/officeDocument/2006/relationships" ref="D188" r:id="rId121"/>
    <hyperlink xmlns:r="http://schemas.openxmlformats.org/officeDocument/2006/relationships" ref="D189" r:id="rId122"/>
    <hyperlink xmlns:r="http://schemas.openxmlformats.org/officeDocument/2006/relationships" ref="D190" r:id="rId123"/>
    <hyperlink xmlns:r="http://schemas.openxmlformats.org/officeDocument/2006/relationships" ref="D191" r:id="rId124"/>
    <hyperlink xmlns:r="http://schemas.openxmlformats.org/officeDocument/2006/relationships" ref="D192" r:id="rId125"/>
    <hyperlink xmlns:r="http://schemas.openxmlformats.org/officeDocument/2006/relationships" ref="D193" r:id="rId126"/>
    <hyperlink xmlns:r="http://schemas.openxmlformats.org/officeDocument/2006/relationships" ref="D195" r:id="rId127"/>
    <hyperlink xmlns:r="http://schemas.openxmlformats.org/officeDocument/2006/relationships" ref="D196" r:id="rId128"/>
    <hyperlink xmlns:r="http://schemas.openxmlformats.org/officeDocument/2006/relationships" ref="D197" r:id="rId129"/>
    <hyperlink xmlns:r="http://schemas.openxmlformats.org/officeDocument/2006/relationships" ref="D198" r:id="rId130"/>
    <hyperlink xmlns:r="http://schemas.openxmlformats.org/officeDocument/2006/relationships" ref="D199" r:id="rId131"/>
    <hyperlink xmlns:r="http://schemas.openxmlformats.org/officeDocument/2006/relationships" ref="D200" r:id="rId132"/>
    <hyperlink xmlns:r="http://schemas.openxmlformats.org/officeDocument/2006/relationships" ref="D202" r:id="rId133"/>
    <hyperlink xmlns:r="http://schemas.openxmlformats.org/officeDocument/2006/relationships" ref="D203" r:id="rId134"/>
    <hyperlink xmlns:r="http://schemas.openxmlformats.org/officeDocument/2006/relationships" ref="D204" r:id="rId135"/>
    <hyperlink xmlns:r="http://schemas.openxmlformats.org/officeDocument/2006/relationships" ref="D205" r:id="rId136"/>
    <hyperlink xmlns:r="http://schemas.openxmlformats.org/officeDocument/2006/relationships" ref="D206" r:id="rId137"/>
    <hyperlink xmlns:r="http://schemas.openxmlformats.org/officeDocument/2006/relationships" ref="D207" r:id="rId138"/>
    <hyperlink xmlns:r="http://schemas.openxmlformats.org/officeDocument/2006/relationships" ref="D208" r:id="rId139"/>
    <hyperlink xmlns:r="http://schemas.openxmlformats.org/officeDocument/2006/relationships" ref="D209" r:id="rId140"/>
    <hyperlink xmlns:r="http://schemas.openxmlformats.org/officeDocument/2006/relationships" ref="D210" r:id="rId1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2026-10-26T22:41:22Z</dcterms:created>
  <dcterms:modified xmlns:dcterms="http://purl.org/dc/terms/" xmlns:xsi="http://www.w3.org/2001/XMLSchema-instance" xsi:type="dcterms:W3CDTF">2026-10-26T22:41:22Z</dcterms:modified>
</cp:coreProperties>
</file>