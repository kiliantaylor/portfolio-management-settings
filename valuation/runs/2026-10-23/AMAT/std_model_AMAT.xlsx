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Model" sheetId="2" state="visible" r:id="rId2"/>
    <sheet xmlns:r="http://schemas.openxmlformats.org/officeDocument/2006/relationships" name="Valuation" sheetId="3" state="visible" r:id="rId3"/>
    <sheet xmlns:r="http://schemas.openxmlformats.org/officeDocument/2006/relationships" name="Sensitivity" sheetId="4" state="visible" r:id="rId4"/>
    <sheet xmlns:r="http://schemas.openxmlformats.org/officeDocument/2006/relationships" name="Distribution" sheetId="5" state="visible" r:id="rId5"/>
    <sheet xmlns:r="http://schemas.openxmlformats.org/officeDocument/2006/relationships" name="Calc - research target (12m)" sheetId="6" state="visible" r:id="rId6"/>
    <sheet xmlns:r="http://schemas.openxmlformats.org/officeDocument/2006/relationships" name="Calc - bear" sheetId="7" state="visible" r:id="rId7"/>
    <sheet xmlns:r="http://schemas.openxmlformats.org/officeDocument/2006/relationships" name="Calc - base" sheetId="8" state="visible" r:id="rId8"/>
    <sheet xmlns:r="http://schemas.openxmlformats.org/officeDocument/2006/relationships" name="Calc - bull" sheetId="9" state="visible" r:id="rId9"/>
    <sheet xmlns:r="http://schemas.openxmlformats.org/officeDocument/2006/relationships" name="Agents" sheetId="10" state="visible" r:id="rId10"/>
    <sheet xmlns:r="http://schemas.openxmlformats.org/officeDocument/2006/relationships" name="Sources" sheetId="11" state="visible" r:id="rId11"/>
  </sheets>
  <definedNames/>
  <calcPr calcId="124519" fullCalcOnLoad="1"/>
</workbook>
</file>

<file path=xl/styles.xml><?xml version="1.0" encoding="utf-8"?>
<styleSheet xmlns="http://schemas.openxmlformats.org/spreadsheetml/2006/main">
  <numFmts count="12">
    <numFmt numFmtId="164" formatCode="yyyy-mm-dd"/>
    <numFmt numFmtId="165" formatCode="#,##0;(#,##0)"/>
    <numFmt numFmtId="166" formatCode="0.0%"/>
    <numFmt numFmtId="167" formatCode="0.00&quot;x&quot;"/>
    <numFmt numFmtId="168" formatCode="#,##0.0"/>
    <numFmt numFmtId="169" formatCode="$0.00"/>
    <numFmt numFmtId="170" formatCode="0.0"/>
    <numFmt numFmtId="171" formatCode="0.000"/>
    <numFmt numFmtId="172" formatCode="0.0000"/>
    <numFmt numFmtId="173" formatCode="0.0&quot;x&quot;"/>
    <numFmt numFmtId="174" formatCode="+0.0%;-0.0%;0.0%"/>
    <numFmt numFmtId="175" formatCode="yyyy-mm-dd hh:mm"/>
  </numFmts>
  <fonts count="8">
    <font>
      <name val="Calibri"/>
      <family val="2"/>
      <color theme="1"/>
      <sz val="11"/>
      <scheme val="minor"/>
    </font>
    <font>
      <b val="1"/>
    </font>
    <font>
      <color rgb="000000FF"/>
    </font>
    <font>
      <i val="1"/>
      <color rgb="00444444"/>
    </font>
    <font>
      <b val="1"/>
      <sz val="13"/>
    </font>
    <font>
      <i val="1"/>
      <color rgb="00666666"/>
    </font>
    <font>
      <color rgb="00C55A11"/>
    </font>
    <font>
      <color rgb="00008000"/>
    </font>
  </fonts>
  <fills count="4">
    <fill>
      <patternFill/>
    </fill>
    <fill>
      <patternFill patternType="gray125"/>
    </fill>
    <fill>
      <patternFill patternType="solid">
        <fgColor rgb="00D9E2F0"/>
      </patternFill>
    </fill>
    <fill>
      <patternFill patternType="solid">
        <fgColor rgb="00E8EEF7"/>
      </patternFill>
    </fill>
  </fills>
  <borders count="1">
    <border>
      <left/>
      <right/>
      <top/>
      <bottom/>
      <diagonal/>
    </border>
  </borders>
  <cellStyleXfs count="1">
    <xf numFmtId="0" fontId="0" fillId="0" borderId="0"/>
  </cellStyleXfs>
  <cellXfs count="50">
    <xf numFmtId="0" fontId="0" fillId="0" borderId="0" pivotButton="0" quotePrefix="0" xfId="0"/>
    <xf numFmtId="0" fontId="4" fillId="0" borderId="0" pivotButton="0" quotePrefix="0" xfId="0"/>
    <xf numFmtId="0" fontId="5" fillId="0" borderId="0" pivotButton="0" quotePrefix="0" xfId="0"/>
    <xf numFmtId="0" fontId="1" fillId="3" borderId="0" pivotButton="0" quotePrefix="0" xfId="0"/>
    <xf numFmtId="2" fontId="7" fillId="0" borderId="0" pivotButton="0" quotePrefix="0" xfId="0"/>
    <xf numFmtId="175" fontId="0" fillId="0" borderId="0" pivotButton="0" quotePrefix="0" xfId="0"/>
    <xf numFmtId="2" fontId="1" fillId="0" borderId="0" pivotButton="0" quotePrefix="0" xfId="0"/>
    <xf numFmtId="166" fontId="1" fillId="0" borderId="0" pivotButton="0" quotePrefix="0" xfId="0"/>
    <xf numFmtId="164" fontId="7" fillId="0" borderId="0" pivotButton="0" quotePrefix="0" xfId="0"/>
    <xf numFmtId="2" fontId="0" fillId="0" borderId="0" pivotButton="0" quotePrefix="0" xfId="0"/>
    <xf numFmtId="165" fontId="7" fillId="0" borderId="0" pivotButton="0" quotePrefix="0" xfId="0"/>
    <xf numFmtId="0" fontId="3" fillId="0" borderId="0" pivotButton="0" quotePrefix="0" xfId="0"/>
    <xf numFmtId="166" fontId="7" fillId="0" borderId="0" pivotButton="0" quotePrefix="0" xfId="0"/>
    <xf numFmtId="169" fontId="7" fillId="0" borderId="0" pivotButton="0" quotePrefix="0" xfId="0"/>
    <xf numFmtId="0" fontId="6" fillId="0" borderId="0" pivotButton="0" quotePrefix="0" xfId="0"/>
    <xf numFmtId="169" fontId="6" fillId="0" borderId="0" pivotButton="0" quotePrefix="0" xfId="0"/>
    <xf numFmtId="0" fontId="7" fillId="0" borderId="0" pivotButton="0" quotePrefix="0" xfId="0"/>
    <xf numFmtId="0" fontId="7" fillId="0" borderId="0" applyAlignment="1" pivotButton="0" quotePrefix="0" xfId="0">
      <alignment vertical="top" wrapText="1"/>
    </xf>
    <xf numFmtId="166" fontId="0" fillId="0" borderId="0" pivotButton="0" quotePrefix="0" xfId="0"/>
    <xf numFmtId="0" fontId="1" fillId="0" borderId="0" pivotButton="0" quotePrefix="0" xfId="0"/>
    <xf numFmtId="164" fontId="0" fillId="0" borderId="0" pivotButton="0" quotePrefix="0" xfId="0"/>
    <xf numFmtId="0" fontId="1" fillId="2" borderId="0" pivotButton="0" quotePrefix="0" xfId="0"/>
    <xf numFmtId="0" fontId="0" fillId="2" borderId="0" pivotButton="0" quotePrefix="0" xfId="0"/>
    <xf numFmtId="165" fontId="0" fillId="0" borderId="0" pivotButton="0" quotePrefix="0" xfId="0"/>
    <xf numFmtId="165" fontId="1" fillId="0" borderId="0" pivotButton="0" quotePrefix="0" xfId="0"/>
    <xf numFmtId="166" fontId="3" fillId="0" borderId="0" pivotButton="0" quotePrefix="0" xfId="0"/>
    <xf numFmtId="168" fontId="0" fillId="0" borderId="0" pivotButton="0" quotePrefix="0" xfId="0"/>
    <xf numFmtId="169" fontId="0" fillId="0" borderId="0" pivotButton="0" quotePrefix="0" xfId="0"/>
    <xf numFmtId="169" fontId="1" fillId="0" borderId="0" pivotButton="0" quotePrefix="0" xfId="0"/>
    <xf numFmtId="166" fontId="2" fillId="0" borderId="0" pivotButton="0" quotePrefix="0" xfId="0"/>
    <xf numFmtId="165" fontId="2" fillId="0" borderId="0" pivotButton="0" quotePrefix="0" xfId="0"/>
    <xf numFmtId="165" fontId="6" fillId="0" borderId="0" pivotButton="0" quotePrefix="0" xfId="0"/>
    <xf numFmtId="4" fontId="7" fillId="0" borderId="0" pivotButton="0" quotePrefix="0" xfId="0"/>
    <xf numFmtId="168" fontId="7" fillId="0" borderId="0" pivotButton="0" quotePrefix="0" xfId="0"/>
    <xf numFmtId="164" fontId="2" fillId="0" borderId="0" pivotButton="0" quotePrefix="0" xfId="0"/>
    <xf numFmtId="0" fontId="2" fillId="0" borderId="0" pivotButton="0" quotePrefix="0" xfId="0"/>
    <xf numFmtId="167" fontId="2" fillId="0" borderId="0" pivotButton="0" quotePrefix="0" xfId="0"/>
    <xf numFmtId="168" fontId="2" fillId="0" borderId="0" pivotButton="0" quotePrefix="0" xfId="0"/>
    <xf numFmtId="2" fontId="2" fillId="0" borderId="0" pivotButton="0" quotePrefix="0" xfId="0"/>
    <xf numFmtId="169" fontId="2" fillId="0" borderId="0" pivotButton="0" quotePrefix="0" xfId="0"/>
    <xf numFmtId="170" fontId="2" fillId="0" borderId="0" pivotButton="0" quotePrefix="0" xfId="0"/>
    <xf numFmtId="0" fontId="0" fillId="0" borderId="0" applyAlignment="1" pivotButton="0" quotePrefix="0" xfId="0">
      <alignment vertical="top" wrapText="1"/>
    </xf>
    <xf numFmtId="173" fontId="1" fillId="0" borderId="0" pivotButton="0" quotePrefix="0" xfId="0"/>
    <xf numFmtId="174" fontId="1" fillId="0" borderId="0" pivotButton="0" quotePrefix="0" xfId="0"/>
    <xf numFmtId="172" fontId="0" fillId="0" borderId="0" pivotButton="0" quotePrefix="0" xfId="0"/>
    <xf numFmtId="170" fontId="0" fillId="0" borderId="0" pivotButton="0" quotePrefix="0" xfId="0"/>
    <xf numFmtId="171" fontId="0" fillId="0" borderId="0" pivotButton="0" quotePrefix="0" xfId="0"/>
    <xf numFmtId="4" fontId="0" fillId="0" borderId="0" pivotButton="0" quotePrefix="0" xfId="0"/>
    <xf numFmtId="170" fontId="7" fillId="0" borderId="0" pivotButton="0" quotePrefix="0" xfId="0"/>
    <xf numFmtId="172"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1.xml.rels><Relationships xmlns="http://schemas.openxmlformats.org/package/2006/relationships"><Relationship Type="http://schemas.openxmlformats.org/officeDocument/2006/relationships/hyperlink" Target="https://www.digitimes.com/news/a20260901VL214/semicon-taiwan-wafer-fab-equipment-forecast-semi.html" TargetMode="External" Id="rId1"/><Relationship Type="http://schemas.openxmlformats.org/officeDocument/2006/relationships/hyperlink" Target="https://finance.yahoo.com/technology/articles/global-semiconductor-equipment-sales-forecast-140000150.html" TargetMode="External" Id="rId2"/><Relationship Type="http://schemas.openxmlformats.org/officeDocument/2006/relationships/hyperlink" Target="https://www.nbcnews.com/business/economy/us-china-extend-trade-truce-trump-rcna599525" TargetMode="External" Id="rId3"/><Relationship Type="http://schemas.openxmlformats.org/officeDocument/2006/relationships/hyperlink" Target="https://finance.yahoo.com/economy/policy/articles/us-china-extend-trade-war-145500229.html" TargetMode="External" Id="rId4"/><Relationship Type="http://schemas.openxmlformats.org/officeDocument/2006/relationships/hyperlink" Target="https://www.marketbeat.com/earnings/reports/2026-9-30-micron-technology-inc-stock/" TargetMode="External" Id="rId5"/><Relationship Type="http://schemas.openxmlformats.org/officeDocument/2006/relationships/hyperlink" Target="https://www.globenewswire.com/news-release/2026/08/26/3351673/14450/en/micron-technology-to-report-fiscal-fourth-quarter-results-on-september-30-2026.html" TargetMode="External" Id="rId6"/><Relationship Type="http://schemas.openxmlformats.org/officeDocument/2006/relationships/hyperlink" Target="https://twelvedata.com" TargetMode="External" Id="rId7"/><Relationship Type="http://schemas.openxmlformats.org/officeDocument/2006/relationships/hyperlink" Target="https://www.marketscreener.com/quote/stock/APPLIED-MATERIALS-INC-4850/finances/" TargetMode="External" Id="rId8"/><Relationship Type="http://schemas.openxmlformats.org/officeDocument/2006/relationships/hyperlink" Target="https://www.sec.gov/Archives/edgar/data/6951/000162828026058235/amat-20260726.htm" TargetMode="External" Id="rId9"/><Relationship Type="http://schemas.openxmlformats.org/officeDocument/2006/relationships/hyperlink" Target="https://www.sec.gov/Archives/edgar/data/0000006951/000162828026056699/exhibit991q32026earningsre.htm" TargetMode="External" Id="rId10"/><Relationship Type="http://schemas.openxmlformats.org/officeDocument/2006/relationships/hyperlink" Target="https://www.sec.gov/Archives/edgar/data/6951/000162828025051998/amat-20251113.htm" TargetMode="External" Id="rId11"/><Relationship Type="http://schemas.openxmlformats.org/officeDocument/2006/relationships/hyperlink" Target="https://api.nasdaq.com/api/analyst/LRCX/earnings-forecast" TargetMode="External" Id="rId12"/><Relationship Type="http://schemas.openxmlformats.org/officeDocument/2006/relationships/hyperlink" Target="https://query1.finance.yahoo.com/v8/finance/chart/LRCX?range=1mo&amp;interval=1d" TargetMode="External" Id="rId13"/><Relationship Type="http://schemas.openxmlformats.org/officeDocument/2006/relationships/hyperlink" Target="https://api.nasdaq.com/api/company/LRCX/earnings-surprise" TargetMode="External" Id="rId14"/><Relationship Type="http://schemas.openxmlformats.org/officeDocument/2006/relationships/hyperlink" Target="https://www.sec.gov/Archives/edgar/data/707549/000070754926000052/lrcx_exhibitx991xq1x2027.htm" TargetMode="External" Id="rId15"/><Relationship Type="http://schemas.openxmlformats.org/officeDocument/2006/relationships/hyperlink" Target="https://api.nasdaq.com/api/analyst/KLAC/earnings-forecast" TargetMode="External" Id="rId16"/><Relationship Type="http://schemas.openxmlformats.org/officeDocument/2006/relationships/hyperlink" Target="https://query1.finance.yahoo.com/v8/finance/chart/KLAC?range=1mo&amp;interval=1d" TargetMode="External" Id="rId17"/><Relationship Type="http://schemas.openxmlformats.org/officeDocument/2006/relationships/hyperlink" Target="https://api.nasdaq.com/api/company/KLAC/earnings-surprise" TargetMode="External" Id="rId18"/><Relationship Type="http://schemas.openxmlformats.org/officeDocument/2006/relationships/hyperlink" Target="https://www.sec.gov/Archives/edgar/data/319201/000031920126000024/exhibit991earningsrelease7.htm" TargetMode="External" Id="rId19"/><Relationship Type="http://schemas.openxmlformats.org/officeDocument/2006/relationships/hyperlink" Target="https://api.nasdaq.com/api/analyst/ASML/earnings-forecast" TargetMode="External" Id="rId20"/><Relationship Type="http://schemas.openxmlformats.org/officeDocument/2006/relationships/hyperlink" Target="https://query1.finance.yahoo.com/v8/finance/chart/ASML?range=1mo&amp;interval=1d" TargetMode="External" Id="rId21"/><Relationship Type="http://schemas.openxmlformats.org/officeDocument/2006/relationships/hyperlink" Target="https://api.nasdaq.com/api/company/ASML/earnings-surprise" TargetMode="External" Id="rId22"/><Relationship Type="http://schemas.openxmlformats.org/officeDocument/2006/relationships/hyperlink" Target="https://www.sec.gov/Archives/edgar/data/937966/000162828026065813/pressreleasefinancialresul.htm" TargetMode="External" Id="rId23"/><Relationship Type="http://schemas.openxmlformats.org/officeDocument/2006/relationships/hyperlink" Target="https://api.nasdaq.com/api/analyst/ONTO/earnings-forecast" TargetMode="External" Id="rId24"/><Relationship Type="http://schemas.openxmlformats.org/officeDocument/2006/relationships/hyperlink" Target="https://query1.finance.yahoo.com/v8/finance/chart/ONTO?range=1mo&amp;interval=1d" TargetMode="External" Id="rId25"/><Relationship Type="http://schemas.openxmlformats.org/officeDocument/2006/relationships/hyperlink" Target="https://api.nasdaq.com/api/company/ONTO/earnings-surprise" TargetMode="External" Id="rId26"/><Relationship Type="http://schemas.openxmlformats.org/officeDocument/2006/relationships/hyperlink" Target="https://www.sec.gov/Archives/edgar/data/704532/000119312526337990/onto-ex99_1.htm" TargetMode="External" Id="rId27"/><Relationship Type="http://schemas.openxmlformats.org/officeDocument/2006/relationships/hyperlink" Target="https://api.nasdaq.com/api/analyst/NVMI/earnings-forecast" TargetMode="External" Id="rId28"/><Relationship Type="http://schemas.openxmlformats.org/officeDocument/2006/relationships/hyperlink" Target="https://query1.finance.yahoo.com/v8/finance/chart/NVMI?range=1mo&amp;interval=1d" TargetMode="External" Id="rId29"/><Relationship Type="http://schemas.openxmlformats.org/officeDocument/2006/relationships/hyperlink" Target="https://api.nasdaq.com/api/company/NVMI/earnings-surprise" TargetMode="External" Id="rId30"/><Relationship Type="http://schemas.openxmlformats.org/officeDocument/2006/relationships/hyperlink" Target="https://www.sec.gov/Archives/edgar/data/1109345/000117891326003892/zk2635873.htm" TargetMode="External" Id="rId31"/><Relationship Type="http://schemas.openxmlformats.org/officeDocument/2006/relationships/hyperlink" Target="https://www.marketscreener.com/quote/stock/TOKYO-ELECTRON-LIMITED-6491071/finances/" TargetMode="External" Id="rId32"/><Relationship Type="http://schemas.openxmlformats.org/officeDocument/2006/relationships/hyperlink" Target="https://query1.finance.yahoo.com/v8/finance/chart/8035.T?range=1mo&amp;interval=1d" TargetMode="External" Id="rId33"/><Relationship Type="http://schemas.openxmlformats.org/officeDocument/2006/relationships/hyperlink" Target="https://envalith.com/en/companies/8035/segments" TargetMode="External" Id="rId34"/><Relationship Type="http://schemas.openxmlformats.org/officeDocument/2006/relationships/hyperlink" Target="https://www.marketscreener.com/quote/stock/ASM-INTERNATIONAL-N-V-6312/finances/" TargetMode="External" Id="rId35"/><Relationship Type="http://schemas.openxmlformats.org/officeDocument/2006/relationships/hyperlink" Target="https://query1.finance.yahoo.com/v8/finance/chart/ASM.AS?range=1mo&amp;interval=1d" TargetMode="External" Id="rId36"/><Relationship Type="http://schemas.openxmlformats.org/officeDocument/2006/relationships/hyperlink" Target="https://www.investegate.co.uk/announcement/gnw/asm-international-nv--0nx3/asm-reports-second-quarter-2026-results/9692080" TargetMode="External" Id="rId37"/><Relationship Type="http://schemas.openxmlformats.org/officeDocument/2006/relationships/hyperlink" Target="https://www.investegate.co.uk/announcement/gnw/asm-international-nv--0nx3/asm-reports-q4-and-full-year-2025-results/9456685" TargetMode="External" Id="rId38"/><Relationship Type="http://schemas.openxmlformats.org/officeDocument/2006/relationships/hyperlink" Target="https://www.marketscreener.com/quote/stock/KOKUSAI-ELECTRIC-CORPORAT-159798680/finances/" TargetMode="External" Id="rId39"/><Relationship Type="http://schemas.openxmlformats.org/officeDocument/2006/relationships/hyperlink" Target="https://query1.finance.yahoo.com/v8/finance/chart/6525.T?range=1mo&amp;interval=1d" TargetMode="External" Id="rId40"/><Relationship Type="http://schemas.openxmlformats.org/officeDocument/2006/relationships/hyperlink" Target="https://www2.infomart.co.jp/web/jp/images/upload/3795/140120260806511537_23726915.pdf" TargetMode="External" Id="rId41"/><Relationship Type="http://schemas.openxmlformats.org/officeDocument/2006/relationships/hyperlink" Target="https://www.stockopedia.com/share-prices/kokusai-electric-TYO:6525/news/table-kokusai-electric-2025-26-group-results-ifrs-019e6a25-648d-7e18-9c35-7e98cd0e64a0/" TargetMode="External" Id="rId42"/><Relationship Type="http://schemas.openxmlformats.org/officeDocument/2006/relationships/hyperlink" Target="https://www.marketscreener.com/quote/stock/SCREEN-HOLDINGS-CO-LTD-6491440/finances/" TargetMode="External" Id="rId43"/><Relationship Type="http://schemas.openxmlformats.org/officeDocument/2006/relationships/hyperlink" Target="https://query1.finance.yahoo.com/v8/finance/chart/7735.T?range=1mo&amp;interval=1d" TargetMode="External" Id="rId44"/><Relationship Type="http://schemas.openxmlformats.org/officeDocument/2006/relationships/hyperlink" Target="https://stockanalysis.com/quote/tyo/7735/financials/income-statement/" TargetMode="External" Id="rId45"/><Relationship Type="http://schemas.openxmlformats.org/officeDocument/2006/relationships/hyperlink" Target="https://www.marketscreener.com/quote/stock/LASERTEC-CORPORATION-11551536/finances/" TargetMode="External" Id="rId46"/><Relationship Type="http://schemas.openxmlformats.org/officeDocument/2006/relationships/hyperlink" Target="https://query1.finance.yahoo.com/v8/finance/chart/6920.T?range=1mo&amp;interval=1d" TargetMode="External" Id="rId47"/><Relationship Type="http://schemas.openxmlformats.org/officeDocument/2006/relationships/hyperlink" Target="https://simplywall.st/stocks/mx/semiconductors/bmv-6920-n/lasertec-shares" TargetMode="External" Id="rId48"/><Relationship Type="http://schemas.openxmlformats.org/officeDocument/2006/relationships/hyperlink" Target="https://www.sec.gov/Archives/edgar/data/6951/000162828025056742/" TargetMode="External" Id="rId49"/><Relationship Type="http://schemas.openxmlformats.org/officeDocument/2006/relationships/hyperlink" Target="https://www.sec.gov/Archives/edgar/data/6951/000162828025056742/" TargetMode="External" Id="rId50"/><Relationship Type="http://schemas.openxmlformats.org/officeDocument/2006/relationships/hyperlink" Target="https://www.sec.gov/Archives/edgar/data/6951/000162828025056742/" TargetMode="External" Id="rId51"/><Relationship Type="http://schemas.openxmlformats.org/officeDocument/2006/relationships/hyperlink" Target="https://www.sec.gov/Archives/edgar/data/6951/000162828026058235/" TargetMode="External" Id="rId52"/><Relationship Type="http://schemas.openxmlformats.org/officeDocument/2006/relationships/hyperlink" Target="https://www.sec.gov/Archives/edgar/data/6951/000162828026058235/" TargetMode="External" Id="rId53"/><Relationship Type="http://schemas.openxmlformats.org/officeDocument/2006/relationships/hyperlink" Target="https://www.sec.gov/Archives/edgar/data/6951/000162828026058235/" TargetMode="External" Id="rId54"/><Relationship Type="http://schemas.openxmlformats.org/officeDocument/2006/relationships/hyperlink" Target="https://www.sec.gov/Archives/edgar/data/6951/000162828025056742/" TargetMode="External" Id="rId55"/><Relationship Type="http://schemas.openxmlformats.org/officeDocument/2006/relationships/hyperlink" Target="https://www.sec.gov/Archives/edgar/data/6951/000162828025056742/" TargetMode="External" Id="rId56"/><Relationship Type="http://schemas.openxmlformats.org/officeDocument/2006/relationships/hyperlink" Target="https://www.sec.gov/Archives/edgar/data/6951/000162828025056742/" TargetMode="External" Id="rId57"/><Relationship Type="http://schemas.openxmlformats.org/officeDocument/2006/relationships/hyperlink" Target="https://www.sec.gov/Archives/edgar/data/6951/000162828026058235/" TargetMode="External" Id="rId58"/><Relationship Type="http://schemas.openxmlformats.org/officeDocument/2006/relationships/hyperlink" Target="https://www.sec.gov/Archives/edgar/data/6951/000162828026058235/" TargetMode="External" Id="rId59"/><Relationship Type="http://schemas.openxmlformats.org/officeDocument/2006/relationships/hyperlink" Target="https://www.sec.gov/Archives/edgar/data/6951/000162828026058235/" TargetMode="External" Id="rId60"/><Relationship Type="http://schemas.openxmlformats.org/officeDocument/2006/relationships/hyperlink" Target="https://www.sec.gov/Archives/edgar/data/6951/000162828025056742/" TargetMode="External" Id="rId61"/><Relationship Type="http://schemas.openxmlformats.org/officeDocument/2006/relationships/hyperlink" Target="https://www.sec.gov/Archives/edgar/data/6951/000162828025056742/" TargetMode="External" Id="rId62"/><Relationship Type="http://schemas.openxmlformats.org/officeDocument/2006/relationships/hyperlink" Target="https://www.sec.gov/Archives/edgar/data/6951/000162828025056742/" TargetMode="External" Id="rId63"/><Relationship Type="http://schemas.openxmlformats.org/officeDocument/2006/relationships/hyperlink" Target="https://www.sec.gov/Archives/edgar/data/6951/000162828026058235/" TargetMode="External" Id="rId64"/><Relationship Type="http://schemas.openxmlformats.org/officeDocument/2006/relationships/hyperlink" Target="https://www.sec.gov/Archives/edgar/data/6951/000162828026058235/" TargetMode="External" Id="rId65"/><Relationship Type="http://schemas.openxmlformats.org/officeDocument/2006/relationships/hyperlink" Target="https://www.sec.gov/Archives/edgar/data/6951/000162828026058235/" TargetMode="External" Id="rId66"/><Relationship Type="http://schemas.openxmlformats.org/officeDocument/2006/relationships/hyperlink" Target="https://www.sec.gov/Archives/edgar/data/6951/000162828025056742/" TargetMode="External" Id="rId67"/><Relationship Type="http://schemas.openxmlformats.org/officeDocument/2006/relationships/hyperlink" Target="https://www.sec.gov/Archives/edgar/data/6951/000162828025056742/" TargetMode="External" Id="rId68"/><Relationship Type="http://schemas.openxmlformats.org/officeDocument/2006/relationships/hyperlink" Target="https://www.sec.gov/Archives/edgar/data/6951/000162828025056742/" TargetMode="External" Id="rId69"/><Relationship Type="http://schemas.openxmlformats.org/officeDocument/2006/relationships/hyperlink" Target="https://www.sec.gov/Archives/edgar/data/6951/000162828026058235/" TargetMode="External" Id="rId70"/><Relationship Type="http://schemas.openxmlformats.org/officeDocument/2006/relationships/hyperlink" Target="https://www.sec.gov/Archives/edgar/data/6951/000162828026058235/" TargetMode="External" Id="rId71"/><Relationship Type="http://schemas.openxmlformats.org/officeDocument/2006/relationships/hyperlink" Target="https://www.sec.gov/Archives/edgar/data/6951/000162828026058235/" TargetMode="External" Id="rId72"/><Relationship Type="http://schemas.openxmlformats.org/officeDocument/2006/relationships/hyperlink" Target="https://www.sec.gov/Archives/edgar/data/6951/000162828025056742/" TargetMode="External" Id="rId73"/><Relationship Type="http://schemas.openxmlformats.org/officeDocument/2006/relationships/hyperlink" Target="https://www.sec.gov/Archives/edgar/data/6951/000162828025056742/" TargetMode="External" Id="rId74"/><Relationship Type="http://schemas.openxmlformats.org/officeDocument/2006/relationships/hyperlink" Target="https://www.sec.gov/Archives/edgar/data/6951/000162828025056742/" TargetMode="External" Id="rId75"/><Relationship Type="http://schemas.openxmlformats.org/officeDocument/2006/relationships/hyperlink" Target="https://www.sec.gov/Archives/edgar/data/6951/000162828026058235/" TargetMode="External" Id="rId76"/><Relationship Type="http://schemas.openxmlformats.org/officeDocument/2006/relationships/hyperlink" Target="https://www.sec.gov/Archives/edgar/data/6951/000162828026058235/" TargetMode="External" Id="rId77"/><Relationship Type="http://schemas.openxmlformats.org/officeDocument/2006/relationships/hyperlink" Target="https://www.sec.gov/Archives/edgar/data/6951/000162828026058235/" TargetMode="External" Id="rId78"/><Relationship Type="http://schemas.openxmlformats.org/officeDocument/2006/relationships/hyperlink" Target="https://www.sec.gov/Archives/edgar/data/6951/000162828025056742/" TargetMode="External" Id="rId79"/><Relationship Type="http://schemas.openxmlformats.org/officeDocument/2006/relationships/hyperlink" Target="https://www.sec.gov/Archives/edgar/data/6951/000162828025056742/" TargetMode="External" Id="rId80"/><Relationship Type="http://schemas.openxmlformats.org/officeDocument/2006/relationships/hyperlink" Target="https://www.sec.gov/Archives/edgar/data/6951/000162828025056742/" TargetMode="External" Id="rId81"/><Relationship Type="http://schemas.openxmlformats.org/officeDocument/2006/relationships/hyperlink" Target="https://www.sec.gov/Archives/edgar/data/6951/000162828026058235/" TargetMode="External" Id="rId82"/><Relationship Type="http://schemas.openxmlformats.org/officeDocument/2006/relationships/hyperlink" Target="https://www.sec.gov/Archives/edgar/data/6951/000162828026058235/" TargetMode="External" Id="rId83"/><Relationship Type="http://schemas.openxmlformats.org/officeDocument/2006/relationships/hyperlink" Target="https://www.sec.gov/Archives/edgar/data/6951/000162828026058235/" TargetMode="External" Id="rId84"/><Relationship Type="http://schemas.openxmlformats.org/officeDocument/2006/relationships/hyperlink" Target="https://www.sec.gov/Archives/edgar/data/6951/000162828025056742/" TargetMode="External" Id="rId85"/><Relationship Type="http://schemas.openxmlformats.org/officeDocument/2006/relationships/hyperlink" Target="https://www.sec.gov/Archives/edgar/data/6951/000162828025056742/" TargetMode="External" Id="rId86"/><Relationship Type="http://schemas.openxmlformats.org/officeDocument/2006/relationships/hyperlink" Target="https://www.sec.gov/Archives/edgar/data/6951/000162828025056742/" TargetMode="External" Id="rId87"/><Relationship Type="http://schemas.openxmlformats.org/officeDocument/2006/relationships/hyperlink" Target="https://www.sec.gov/Archives/edgar/data/6951/000162828026058235/" TargetMode="External" Id="rId88"/><Relationship Type="http://schemas.openxmlformats.org/officeDocument/2006/relationships/hyperlink" Target="https://www.sec.gov/Archives/edgar/data/6951/000162828026058235/" TargetMode="External" Id="rId89"/><Relationship Type="http://schemas.openxmlformats.org/officeDocument/2006/relationships/hyperlink" Target="https://www.sec.gov/Archives/edgar/data/6951/000162828026009694/" TargetMode="External" Id="rId90"/><Relationship Type="http://schemas.openxmlformats.org/officeDocument/2006/relationships/hyperlink" Target="https://www.sec.gov/Archives/edgar/data/6951/000162828025056742/" TargetMode="External" Id="rId91"/><Relationship Type="http://schemas.openxmlformats.org/officeDocument/2006/relationships/hyperlink" Target="https://www.sec.gov/Archives/edgar/data/6951/000162828025056742/" TargetMode="External" Id="rId92"/><Relationship Type="http://schemas.openxmlformats.org/officeDocument/2006/relationships/hyperlink" Target="https://www.sec.gov/Archives/edgar/data/6951/000162828025056742/" TargetMode="External" Id="rId93"/><Relationship Type="http://schemas.openxmlformats.org/officeDocument/2006/relationships/hyperlink" Target="https://www.sec.gov/Archives/edgar/data/6951/000162828026058235/" TargetMode="External" Id="rId94"/><Relationship Type="http://schemas.openxmlformats.org/officeDocument/2006/relationships/hyperlink" Target="https://www.sec.gov/Archives/edgar/data/6951/000162828026058235/" TargetMode="External" Id="rId95"/><Relationship Type="http://schemas.openxmlformats.org/officeDocument/2006/relationships/hyperlink" Target="https://www.sec.gov/Archives/edgar/data/6951/000162828026009694/" TargetMode="External" Id="rId96"/><Relationship Type="http://schemas.openxmlformats.org/officeDocument/2006/relationships/hyperlink" Target="https://www.sec.gov/Archives/edgar/data/6951/000162828025056742/" TargetMode="External" Id="rId97"/><Relationship Type="http://schemas.openxmlformats.org/officeDocument/2006/relationships/hyperlink" Target="https://www.sec.gov/Archives/edgar/data/6951/000162828025056742/" TargetMode="External" Id="rId98"/><Relationship Type="http://schemas.openxmlformats.org/officeDocument/2006/relationships/hyperlink" Target="https://www.sec.gov/Archives/edgar/data/6951/000162828025056742/" TargetMode="External" Id="rId99"/><Relationship Type="http://schemas.openxmlformats.org/officeDocument/2006/relationships/hyperlink" Target="https://www.sec.gov/Archives/edgar/data/6951/000162828026058235/" TargetMode="External" Id="rId100"/><Relationship Type="http://schemas.openxmlformats.org/officeDocument/2006/relationships/hyperlink" Target="https://www.sec.gov/Archives/edgar/data/6951/000162828026058235/" TargetMode="External" Id="rId101"/><Relationship Type="http://schemas.openxmlformats.org/officeDocument/2006/relationships/hyperlink" Target="https://www.sec.gov/Archives/edgar/data/6951/000162828026009694/" TargetMode="External" Id="rId102"/><Relationship Type="http://schemas.openxmlformats.org/officeDocument/2006/relationships/hyperlink" Target="https://www.sec.gov/Archives/edgar/data/6951/000162828025056742/" TargetMode="External" Id="rId103"/><Relationship Type="http://schemas.openxmlformats.org/officeDocument/2006/relationships/hyperlink" Target="https://www.sec.gov/Archives/edgar/data/6951/000162828025056742/" TargetMode="External" Id="rId104"/><Relationship Type="http://schemas.openxmlformats.org/officeDocument/2006/relationships/hyperlink" Target="https://www.sec.gov/Archives/edgar/data/6951/000162828025056742/" TargetMode="External" Id="rId105"/><Relationship Type="http://schemas.openxmlformats.org/officeDocument/2006/relationships/hyperlink" Target="https://www.sec.gov/Archives/edgar/data/6951/000162828026058235/" TargetMode="External" Id="rId106"/><Relationship Type="http://schemas.openxmlformats.org/officeDocument/2006/relationships/hyperlink" Target="https://www.sec.gov/Archives/edgar/data/6951/000162828026058235/" TargetMode="External" Id="rId107"/><Relationship Type="http://schemas.openxmlformats.org/officeDocument/2006/relationships/hyperlink" Target="https://www.sec.gov/Archives/edgar/data/6951/000162828026009694/" TargetMode="External" Id="rId108"/><Relationship Type="http://schemas.openxmlformats.org/officeDocument/2006/relationships/hyperlink" Target="https://www.sec.gov/Archives/edgar/data/6951/000162828025056742/" TargetMode="External" Id="rId109"/><Relationship Type="http://schemas.openxmlformats.org/officeDocument/2006/relationships/hyperlink" Target="https://www.sec.gov/Archives/edgar/data/6951/000162828025056742/" TargetMode="External" Id="rId110"/><Relationship Type="http://schemas.openxmlformats.org/officeDocument/2006/relationships/hyperlink" Target="https://www.sec.gov/Archives/edgar/data/6951/000162828025056742/" TargetMode="External" Id="rId111"/><Relationship Type="http://schemas.openxmlformats.org/officeDocument/2006/relationships/hyperlink" Target="https://www.sec.gov/Archives/edgar/data/6951/000162828026058235/" TargetMode="External" Id="rId112"/><Relationship Type="http://schemas.openxmlformats.org/officeDocument/2006/relationships/hyperlink" Target="https://www.sec.gov/Archives/edgar/data/6951/000162828026058235/" TargetMode="External" Id="rId113"/><Relationship Type="http://schemas.openxmlformats.org/officeDocument/2006/relationships/hyperlink" Target="https://www.sec.gov/Archives/edgar/data/6951/000162828026009694/" TargetMode="External" Id="rId114"/><Relationship Type="http://schemas.openxmlformats.org/officeDocument/2006/relationships/hyperlink" Target="https://www.sec.gov/Archives/edgar/data/6951/000162828025056742/" TargetMode="External" Id="rId115"/><Relationship Type="http://schemas.openxmlformats.org/officeDocument/2006/relationships/hyperlink" Target="https://www.sec.gov/Archives/edgar/data/6951/000162828025056742/" TargetMode="External" Id="rId116"/><Relationship Type="http://schemas.openxmlformats.org/officeDocument/2006/relationships/hyperlink" Target="https://www.sec.gov/Archives/edgar/data/6951/000162828025056742/" TargetMode="External" Id="rId117"/><Relationship Type="http://schemas.openxmlformats.org/officeDocument/2006/relationships/hyperlink" Target="https://www.sec.gov/Archives/edgar/data/6951/000162828026058235/" TargetMode="External" Id="rId118"/><Relationship Type="http://schemas.openxmlformats.org/officeDocument/2006/relationships/hyperlink" Target="https://www.sec.gov/Archives/edgar/data/6951/000162828026058235/" TargetMode="External" Id="rId119"/><Relationship Type="http://schemas.openxmlformats.org/officeDocument/2006/relationships/hyperlink" Target="https://www.sec.gov/Archives/edgar/data/6951/000162828026058235/" TargetMode="External" Id="rId120"/><Relationship Type="http://schemas.openxmlformats.org/officeDocument/2006/relationships/hyperlink" Target="https://www.sec.gov/Archives/edgar/data/6951/000162828025056742/" TargetMode="External" Id="rId121"/><Relationship Type="http://schemas.openxmlformats.org/officeDocument/2006/relationships/hyperlink" Target="https://www.sec.gov/Archives/edgar/data/6951/000162828025056742/" TargetMode="External" Id="rId122"/><Relationship Type="http://schemas.openxmlformats.org/officeDocument/2006/relationships/hyperlink" Target="https://www.sec.gov/Archives/edgar/data/6951/000162828025056742/" TargetMode="External" Id="rId123"/><Relationship Type="http://schemas.openxmlformats.org/officeDocument/2006/relationships/hyperlink" Target="https://www.sec.gov/Archives/edgar/data/6951/000162828026058235/" TargetMode="External" Id="rId124"/><Relationship Type="http://schemas.openxmlformats.org/officeDocument/2006/relationships/hyperlink" Target="https://www.sec.gov/Archives/edgar/data/6951/000162828026058235/" TargetMode="External" Id="rId125"/><Relationship Type="http://schemas.openxmlformats.org/officeDocument/2006/relationships/hyperlink" Target="https://www.sec.gov/Archives/edgar/data/6951/000162828026058235/" TargetMode="External" Id="rId126"/><Relationship Type="http://schemas.openxmlformats.org/officeDocument/2006/relationships/hyperlink" Target="https://www.sec.gov/Archives/edgar/data/6951/000162828025056742/" TargetMode="External" Id="rId127"/><Relationship Type="http://schemas.openxmlformats.org/officeDocument/2006/relationships/hyperlink" Target="https://www.sec.gov/Archives/edgar/data/6951/000162828025056742/" TargetMode="External" Id="rId128"/><Relationship Type="http://schemas.openxmlformats.org/officeDocument/2006/relationships/hyperlink" Target="https://www.sec.gov/Archives/edgar/data/6951/000162828025056742/" TargetMode="External" Id="rId129"/><Relationship Type="http://schemas.openxmlformats.org/officeDocument/2006/relationships/hyperlink" Target="https://www.sec.gov/Archives/edgar/data/6951/000162828026058235/" TargetMode="External" Id="rId130"/><Relationship Type="http://schemas.openxmlformats.org/officeDocument/2006/relationships/hyperlink" Target="https://www.sec.gov/Archives/edgar/data/6951/000162828026058235/" TargetMode="External" Id="rId131"/><Relationship Type="http://schemas.openxmlformats.org/officeDocument/2006/relationships/hyperlink" Target="https://www.sec.gov/Archives/edgar/data/6951/000162828026058235/" TargetMode="External" Id="rId132"/><Relationship Type="http://schemas.openxmlformats.org/officeDocument/2006/relationships/hyperlink" Target="https://www.sec.gov/Archives/edgar/data/6951/000162828026058235/" TargetMode="External" Id="rId133"/><Relationship Type="http://schemas.openxmlformats.org/officeDocument/2006/relationships/hyperlink" Target="https://www.sec.gov/Archives/edgar/data/6951/000162828026058235/" TargetMode="External" Id="rId134"/><Relationship Type="http://schemas.openxmlformats.org/officeDocument/2006/relationships/hyperlink" Target="https://www.sec.gov/Archives/edgar/data/6951/000162828026058235/" TargetMode="External" Id="rId135"/><Relationship Type="http://schemas.openxmlformats.org/officeDocument/2006/relationships/hyperlink" Target="https://www.sec.gov/Archives/edgar/data/6951/000162828026058235/" TargetMode="External" Id="rId136"/><Relationship Type="http://schemas.openxmlformats.org/officeDocument/2006/relationships/hyperlink" Target="https://www.sec.gov/Archives/edgar/data/6951/000162828026058235/" TargetMode="External" Id="rId137"/><Relationship Type="http://schemas.openxmlformats.org/officeDocument/2006/relationships/hyperlink" Target="https://www.sec.gov/Archives/edgar/data/6951/000162828026058235/" TargetMode="External" Id="rId138"/><Relationship Type="http://schemas.openxmlformats.org/officeDocument/2006/relationships/hyperlink" Target="https://www.sec.gov/Archives/edgar/data/6951/000162828026058235/" TargetMode="External" Id="rId139"/></Relationships>
</file>

<file path=xl/worksheets/sheet1.xml><?xml version="1.0" encoding="utf-8"?>
<worksheet xmlns="http://schemas.openxmlformats.org/spreadsheetml/2006/main">
  <sheetPr>
    <outlinePr summaryBelow="1" summaryRight="1"/>
    <pageSetUpPr/>
  </sheetPr>
  <dimension ref="A1:D57"/>
  <sheetViews>
    <sheetView showGridLines="0" workbookViewId="0">
      <selection activeCell="A1" sqref="A1"/>
    </sheetView>
  </sheetViews>
  <sheetFormatPr baseColWidth="8" defaultRowHeight="15"/>
  <cols>
    <col width="58" customWidth="1" min="1" max="1"/>
    <col width="16" customWidth="1" min="2" max="2"/>
    <col width="16" customWidth="1" min="3" max="3"/>
    <col width="70" customWidth="1" min="4" max="4"/>
  </cols>
  <sheetData>
    <row r="1">
      <c r="A1" s="1" t="inlineStr">
        <is>
          <t>AMAT standard model (trial) · research run 2026-10-23</t>
        </is>
      </c>
    </row>
    <row r="2">
      <c r="A2" s="2" t="inlineStr">
        <is>
          <t>The supervisor's reconciled assumption set as a live model. Trial: shown beside the blended page target, not used for trade levels until its weight is decided. Edit blue cells on Model (drivers) and Valuation (assumptions).</t>
        </is>
      </c>
    </row>
    <row r="3">
      <c r="A3" s="3" t="inlineStr">
        <is>
          <t>Price target box</t>
        </is>
      </c>
      <c r="B3" s="3" t="inlineStr">
        <is>
          <t>Value</t>
        </is>
      </c>
    </row>
    <row r="4">
      <c r="A4" t="inlineStr">
        <is>
          <t>Live price</t>
        </is>
      </c>
      <c r="B4" s="4">
        <f>IFERROR(GOOGLEFINANCE("AMAT","price"),Valuation!$B$66)</f>
        <v/>
      </c>
    </row>
    <row r="5">
      <c r="A5" t="inlineStr">
        <is>
          <t>Price as of</t>
        </is>
      </c>
      <c r="B5" s="5">
        <f>NOW()</f>
        <v/>
      </c>
    </row>
    <row r="6">
      <c r="A6" t="inlineStr">
        <is>
          <t>Model target (12-month median)</t>
        </is>
      </c>
      <c r="B6" s="6">
        <f>Distribution!$B$13</f>
        <v/>
      </c>
    </row>
    <row r="7">
      <c r="A7" t="inlineStr">
        <is>
          <t>Upside to model target from live price</t>
        </is>
      </c>
      <c r="B7" s="7">
        <f>B6/B4-1</f>
        <v/>
      </c>
    </row>
    <row r="8">
      <c r="A8" t="inlineStr">
        <is>
          <t>Research target (12m) (no scenario deltas)</t>
        </is>
      </c>
      <c r="B8" s="4">
        <f>Valuation!$D$6</f>
        <v/>
      </c>
    </row>
    <row r="9">
      <c r="A9" t="inlineStr">
        <is>
          <t>Probability-weighted mean</t>
        </is>
      </c>
      <c r="B9" s="4">
        <f>Distribution!$B$10</f>
        <v/>
      </c>
    </row>
    <row r="10">
      <c r="A10" t="inlineStr">
        <is>
          <t>10th percentile</t>
        </is>
      </c>
      <c r="B10" s="4">
        <f>Distribution!$B$14</f>
        <v/>
      </c>
    </row>
    <row r="11">
      <c r="A11" t="inlineStr">
        <is>
          <t>25th percentile</t>
        </is>
      </c>
      <c r="B11" s="4">
        <f>Distribution!$B$15</f>
        <v/>
      </c>
    </row>
    <row r="12">
      <c r="A12" t="inlineStr">
        <is>
          <t>75th percentile</t>
        </is>
      </c>
      <c r="B12" s="4">
        <f>Distribution!$B$16</f>
        <v/>
      </c>
    </row>
    <row r="13">
      <c r="A13" t="inlineStr">
        <is>
          <t>90th percentile</t>
        </is>
      </c>
      <c r="B13" s="4">
        <f>Distribution!$B$17</f>
        <v/>
      </c>
    </row>
    <row r="14">
      <c r="A14" t="inlineStr">
        <is>
          <t>Target date</t>
        </is>
      </c>
      <c r="B14" s="8">
        <f>Valuation!$B$44</f>
        <v/>
      </c>
    </row>
    <row r="15">
      <c r="A15" t="inlineStr">
        <is>
          <t>Price at the run</t>
        </is>
      </c>
      <c r="B15" s="4">
        <f>Valuation!$B$66</f>
        <v/>
      </c>
    </row>
    <row r="16">
      <c r="A16" t="inlineStr">
        <is>
          <t>Blended page target (options 67% + agents 33%, not live)</t>
        </is>
      </c>
      <c r="B16" s="9" t="n">
        <v>407.0897</v>
      </c>
    </row>
    <row r="17">
      <c r="A17" t="inlineStr">
        <is>
          <t>Supervisor research target (12m) (its own methods)</t>
        </is>
      </c>
      <c r="B17" s="9" t="n">
        <v>443.36</v>
      </c>
    </row>
    <row r="18">
      <c r="A18" t="inlineStr">
        <is>
          <t>Thesis break price (supervisor)</t>
        </is>
      </c>
      <c r="B18" s="9" t="n">
        <v>335</v>
      </c>
    </row>
    <row r="19">
      <c r="A19" t="inlineStr">
        <is>
          <t>Supervisor confidence</t>
        </is>
      </c>
      <c r="B19" t="inlineStr">
        <is>
          <t>medium</t>
        </is>
      </c>
    </row>
    <row r="21">
      <c r="A21" s="3" t="inlineStr">
        <is>
          <t>Key estimates</t>
        </is>
      </c>
      <c r="B21" s="3" t="inlineStr">
        <is>
          <t>FY2025A</t>
        </is>
      </c>
      <c r="C21" s="3">
        <f>Model!E5</f>
        <v/>
      </c>
      <c r="D21" s="3">
        <f>Model!F5</f>
        <v/>
      </c>
    </row>
    <row r="22">
      <c r="A22" t="inlineStr">
        <is>
          <t>Net sales</t>
        </is>
      </c>
      <c r="B22" s="10">
        <f>IF(Model!D11="","",Model!D11)</f>
        <v/>
      </c>
      <c r="C22" s="10">
        <f>Model!E11</f>
        <v/>
      </c>
      <c r="D22" s="10">
        <f>Model!F11</f>
        <v/>
      </c>
    </row>
    <row r="23">
      <c r="A23" s="11" t="inlineStr">
        <is>
          <t xml:space="preserve">  % YoY</t>
        </is>
      </c>
      <c r="B23" s="12">
        <f>IF(Model!D12="","",Model!D12)</f>
        <v/>
      </c>
      <c r="C23" s="12">
        <f>Model!E12</f>
        <v/>
      </c>
      <c r="D23" s="12">
        <f>Model!F12</f>
        <v/>
      </c>
    </row>
    <row r="24">
      <c r="A24" t="inlineStr">
        <is>
          <t>Pretax margin</t>
        </is>
      </c>
      <c r="B24" s="12">
        <f>IF(Model!D22="","",Model!D22)</f>
        <v/>
      </c>
      <c r="C24" s="12">
        <f>Model!E22</f>
        <v/>
      </c>
      <c r="D24" s="12">
        <f>Model!F22</f>
        <v/>
      </c>
    </row>
    <row r="25">
      <c r="A25" t="inlineStr">
        <is>
          <t>Diluted EPS (model)</t>
        </is>
      </c>
      <c r="B25" s="13">
        <f>IF(Model!D29="","",Model!D29)</f>
        <v/>
      </c>
      <c r="C25" s="13">
        <f>Model!E29</f>
        <v/>
      </c>
      <c r="D25" s="13">
        <f>Model!F29</f>
        <v/>
      </c>
    </row>
    <row r="26">
      <c r="A26" s="11" t="inlineStr">
        <is>
          <t xml:space="preserve">  % YoY</t>
        </is>
      </c>
      <c r="B26" s="12">
        <f>IF(Model!D30="","",Model!D30)</f>
        <v/>
      </c>
      <c r="C26" s="12">
        <f>Model!E30</f>
        <v/>
      </c>
      <c r="D26" s="12">
        <f>Model!F30</f>
        <v/>
      </c>
    </row>
    <row r="27">
      <c r="A27" t="inlineStr">
        <is>
          <t>Free cash flow to firm</t>
        </is>
      </c>
      <c r="B27" s="10">
        <f>IF(Model!D39="","",Model!D39)</f>
        <v/>
      </c>
      <c r="C27" s="10">
        <f>Model!E39</f>
        <v/>
      </c>
      <c r="D27" s="10">
        <f>Model!F39</f>
        <v/>
      </c>
    </row>
    <row r="28">
      <c r="A28" s="14" t="inlineStr">
        <is>
          <t>Consensus: EPS (non-GAAP)</t>
        </is>
      </c>
      <c r="C28" s="15" t="n">
        <v>13.18</v>
      </c>
    </row>
    <row r="29">
      <c r="A29" s="14" t="inlineStr">
        <is>
          <t>Consensus: EPS (non-GAAP)</t>
        </is>
      </c>
      <c r="D29" s="15" t="n">
        <v>18.43</v>
      </c>
    </row>
    <row r="31">
      <c r="A31" s="3" t="inlineStr">
        <is>
          <t>Valuation method</t>
        </is>
      </c>
      <c r="B31" s="3" t="inlineStr">
        <is>
          <t>Value per share</t>
        </is>
      </c>
      <c r="C31" s="3" t="inlineStr">
        <is>
          <t>Weight</t>
        </is>
      </c>
    </row>
    <row r="32">
      <c r="A32" s="16">
        <f>Valuation!A4</f>
        <v/>
      </c>
      <c r="B32" s="4">
        <f>Valuation!D4</f>
        <v/>
      </c>
      <c r="C32" s="12">
        <f>Valuation!E4</f>
        <v/>
      </c>
    </row>
    <row r="33">
      <c r="A33" s="16">
        <f>Valuation!A5</f>
        <v/>
      </c>
      <c r="B33" s="4">
        <f>Valuation!D5</f>
        <v/>
      </c>
      <c r="C33" s="12">
        <f>Valuation!E5</f>
        <v/>
      </c>
    </row>
    <row r="35">
      <c r="A35" s="3" t="inlineStr">
        <is>
          <t>Scenario</t>
        </is>
      </c>
      <c r="B35" s="3" t="inlineStr">
        <is>
          <t>Probability</t>
        </is>
      </c>
      <c r="C35" s="3" t="inlineStr">
        <is>
          <t>Value at target date</t>
        </is>
      </c>
      <c r="D35" s="3" t="inlineStr">
        <is>
          <t>What has to happen</t>
        </is>
      </c>
    </row>
    <row r="36">
      <c r="A36" s="16">
        <f>Distribution!A4</f>
        <v/>
      </c>
      <c r="B36" s="12">
        <f>Distribution!B4</f>
        <v/>
      </c>
      <c r="C36" s="4">
        <f>Distribution!C4</f>
        <v/>
      </c>
      <c r="D36" s="17">
        <f>Distribution!D4</f>
        <v/>
      </c>
    </row>
    <row r="37">
      <c r="A37" s="16">
        <f>Distribution!A5</f>
        <v/>
      </c>
      <c r="B37" s="12">
        <f>Distribution!B5</f>
        <v/>
      </c>
      <c r="C37" s="4">
        <f>Distribution!C5</f>
        <v/>
      </c>
      <c r="D37" s="17">
        <f>Distribution!D5</f>
        <v/>
      </c>
    </row>
    <row r="38">
      <c r="A38" s="16">
        <f>Distribution!A6</f>
        <v/>
      </c>
      <c r="B38" s="12">
        <f>Distribution!B6</f>
        <v/>
      </c>
      <c r="C38" s="4">
        <f>Distribution!C6</f>
        <v/>
      </c>
      <c r="D38" s="17">
        <f>Distribution!D6</f>
        <v/>
      </c>
    </row>
    <row r="40">
      <c r="A40" s="3" t="inlineStr">
        <is>
          <t>Price at target date</t>
        </is>
      </c>
      <c r="B40" s="3" t="inlineStr">
        <is>
          <t>Probability above</t>
        </is>
      </c>
    </row>
    <row r="41">
      <c r="A41" s="9">
        <f>ROUND(Valuation!$B$66*0.7,0)</f>
        <v/>
      </c>
      <c r="B41" s="18">
        <f>SUMPRODUCT(Distribution!$B$4:$B$6,1-NORMSDIST((LN(A41)-LN(Distribution!$C$4:$C$6))/Distribution!$B$9))</f>
        <v/>
      </c>
    </row>
    <row r="42">
      <c r="A42" s="9">
        <f>ROUND(Valuation!$B$66*0.8,0)</f>
        <v/>
      </c>
      <c r="B42" s="18">
        <f>SUMPRODUCT(Distribution!$B$4:$B$6,1-NORMSDIST((LN(A42)-LN(Distribution!$C$4:$C$6))/Distribution!$B$9))</f>
        <v/>
      </c>
    </row>
    <row r="43">
      <c r="A43" s="9">
        <f>ROUND(Valuation!$B$66*0.9,0)</f>
        <v/>
      </c>
      <c r="B43" s="18">
        <f>SUMPRODUCT(Distribution!$B$4:$B$6,1-NORMSDIST((LN(A43)-LN(Distribution!$C$4:$C$6))/Distribution!$B$9))</f>
        <v/>
      </c>
    </row>
    <row r="44">
      <c r="A44" s="9">
        <f>ROUND(Valuation!$B$66*1.0,0)</f>
        <v/>
      </c>
      <c r="B44" s="18">
        <f>SUMPRODUCT(Distribution!$B$4:$B$6,1-NORMSDIST((LN(A44)-LN(Distribution!$C$4:$C$6))/Distribution!$B$9))</f>
        <v/>
      </c>
    </row>
    <row r="45">
      <c r="A45" s="9">
        <f>ROUND(Valuation!$B$66*1.1,0)</f>
        <v/>
      </c>
      <c r="B45" s="18">
        <f>SUMPRODUCT(Distribution!$B$4:$B$6,1-NORMSDIST((LN(A45)-LN(Distribution!$C$4:$C$6))/Distribution!$B$9))</f>
        <v/>
      </c>
    </row>
    <row r="46">
      <c r="A46" s="9">
        <f>ROUND(Valuation!$B$66*1.2,0)</f>
        <v/>
      </c>
      <c r="B46" s="18">
        <f>SUMPRODUCT(Distribution!$B$4:$B$6,1-NORMSDIST((LN(A46)-LN(Distribution!$C$4:$C$6))/Distribution!$B$9))</f>
        <v/>
      </c>
    </row>
    <row r="47">
      <c r="A47" s="9">
        <f>ROUND(Valuation!$B$66*1.3,0)</f>
        <v/>
      </c>
      <c r="B47" s="18">
        <f>SUMPRODUCT(Distribution!$B$4:$B$6,1-NORMSDIST((LN(A47)-LN(Distribution!$C$4:$C$6))/Distribution!$B$9))</f>
        <v/>
      </c>
    </row>
    <row r="48">
      <c r="A48" s="9">
        <f>ROUND(Valuation!$B$66*1.5,0)</f>
        <v/>
      </c>
      <c r="B48" s="18">
        <f>SUMPRODUCT(Distribution!$B$4:$B$6,1-NORMSDIST((LN(A48)-LN(Distribution!$C$4:$C$6))/Distribution!$B$9))</f>
        <v/>
      </c>
    </row>
    <row r="50">
      <c r="A50" s="3" t="inlineStr">
        <is>
          <t>Model checks</t>
        </is>
      </c>
      <c r="B50" s="3" t="inlineStr">
        <is>
          <t>Status</t>
        </is>
      </c>
    </row>
    <row r="51">
      <c r="A51" t="inlineStr">
        <is>
          <t>Scenario probabilities sum to 100%</t>
        </is>
      </c>
      <c r="B51">
        <f>IF(ABS(Distribution!B8-1)&lt;0.005,"ok","FLAG: "&amp;TEXT(Distribution!B8,"0.0%"))</f>
        <v/>
      </c>
    </row>
    <row r="52">
      <c r="A52" t="inlineStr">
        <is>
          <t>WACC exceeds terminal growth by 1 point or more</t>
        </is>
      </c>
      <c r="B52">
        <f>IF('Calc - research target (12m)'!B55="ok","ok","FLAG")</f>
        <v/>
      </c>
    </row>
    <row r="53">
      <c r="A53" t="inlineStr">
        <is>
          <t>Projection runs a full year past the target date</t>
        </is>
      </c>
      <c r="B53">
        <f>IF('Calc - research target (12m)'!B56="ok","ok","FLAG")</f>
        <v/>
      </c>
    </row>
    <row r="54">
      <c r="A54" t="inlineStr">
        <is>
          <t>Method weights add up to more than zero</t>
        </is>
      </c>
      <c r="B54">
        <f>IF(SUM(Valuation!E4:E5)&gt;0,"ok","FLAG")</f>
        <v/>
      </c>
    </row>
    <row r="55">
      <c r="A55" t="inlineStr">
        <is>
          <t>Terminal value under 85% of the DCF</t>
        </is>
      </c>
      <c r="B55">
        <f>IF('Calc - research target (12m)'!B46&lt;0.85,"ok","note: "&amp;TEXT('Calc - research target (12m)'!B46,"0%")&amp;" of the DCF is terminal value")</f>
        <v/>
      </c>
    </row>
    <row r="56">
      <c r="A56" t="inlineStr">
        <is>
          <t>Matches the engine run at publication (target, research target (12m))</t>
        </is>
      </c>
      <c r="B56">
        <f>IF(AND(ABS(Distribution!$B$13-453.4421)&lt;0.01,ABS(Valuation!$D$6-443.3563)&lt;0.01),"ok","inputs edited since publication")</f>
        <v/>
      </c>
    </row>
    <row r="57">
      <c r="A57" s="19" t="inlineStr">
        <is>
          <t>All checks</t>
        </is>
      </c>
      <c r="B57" s="19">
        <f>IF(COUNTIF(B51:B56,"ok")=6,"all ok",6-COUNTIF(B51:B56,"ok")&amp;" to look at")</f>
        <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73"/>
  <sheetViews>
    <sheetView showGridLines="0" workbookViewId="0">
      <pane xSplit="1" ySplit="7" topLeftCell="B8" activePane="bottomRight" state="frozen"/>
      <selection pane="topRight"/>
      <selection pane="bottomLeft"/>
      <selection pane="bottomRight" activeCell="A1" sqref="A1"/>
    </sheetView>
  </sheetViews>
  <sheetFormatPr baseColWidth="8" defaultRowHeight="15"/>
  <cols>
    <col width="46" customWidth="1" min="1" max="1"/>
    <col width="12" customWidth="1" min="2" max="2"/>
    <col width="12" customWidth="1" min="3" max="3"/>
    <col width="12" customWidth="1" min="4" max="4"/>
    <col width="12" customWidth="1" min="5" max="5"/>
    <col width="12" customWidth="1" min="6" max="6"/>
    <col width="12" customWidth="1" min="7" max="7"/>
    <col width="60" customWidth="1" min="8" max="8"/>
  </cols>
  <sheetData>
    <row r="1">
      <c r="A1" s="1" t="inlineStr">
        <is>
          <t>AMAT: annual model, base case</t>
        </is>
      </c>
    </row>
    <row r="2">
      <c r="A2" s="2" t="inlineStr">
        <is>
          <t>(M of US dollars except per share; fiscal years named by the calendar year they end in)</t>
        </is>
      </c>
    </row>
    <row r="3">
      <c r="A3" s="2" t="inlineStr">
        <is>
          <t>Blue = input · black = formula · green = link to another tab · actuals from SEC filings (fact ids in the last column, links on Sources)</t>
        </is>
      </c>
    </row>
    <row r="5">
      <c r="A5" s="3" t="inlineStr">
        <is>
          <t>Fiscal year</t>
        </is>
      </c>
      <c r="B5" s="3" t="inlineStr">
        <is>
          <t>FY2023A</t>
        </is>
      </c>
      <c r="C5" s="3" t="inlineStr">
        <is>
          <t>FY2024A</t>
        </is>
      </c>
      <c r="D5" s="3" t="inlineStr">
        <is>
          <t>FY2025A</t>
        </is>
      </c>
      <c r="E5" s="3" t="inlineStr">
        <is>
          <t>FY2026E</t>
        </is>
      </c>
      <c r="F5" s="3" t="inlineStr">
        <is>
          <t>FY2027E</t>
        </is>
      </c>
      <c r="G5" s="3" t="inlineStr">
        <is>
          <t>FY2028E</t>
        </is>
      </c>
      <c r="H5" s="3" t="inlineStr">
        <is>
          <t>Source / note</t>
        </is>
      </c>
    </row>
    <row r="6">
      <c r="A6" t="inlineStr">
        <is>
          <t>Period end</t>
        </is>
      </c>
      <c r="B6" s="20" t="n">
        <v>45228</v>
      </c>
      <c r="C6" s="20" t="n">
        <v>45592</v>
      </c>
      <c r="D6" s="20" t="n">
        <v>45956</v>
      </c>
      <c r="E6" s="20">
        <f>IF(DAY(Valuation!$B$48+1)=1,EOMONTH(Valuation!$B$48,12*E7),EDATE(Valuation!$B$48,12*E7))</f>
        <v/>
      </c>
      <c r="F6" s="20">
        <f>IF(DAY(Valuation!$B$48+1)=1,EOMONTH(Valuation!$B$48,12*F7),EDATE(Valuation!$B$48,12*F7))</f>
        <v/>
      </c>
      <c r="G6" s="20">
        <f>IF(DAY(Valuation!$B$48+1)=1,EOMONTH(Valuation!$B$48,12*G7),EDATE(Valuation!$B$48,12*G7))</f>
        <v/>
      </c>
    </row>
    <row r="7">
      <c r="A7" t="inlineStr">
        <is>
          <t>Projection year</t>
        </is>
      </c>
      <c r="B7" t="n">
        <v>-2</v>
      </c>
      <c r="C7" t="n">
        <v>-1</v>
      </c>
      <c r="D7" t="n">
        <v>0</v>
      </c>
      <c r="E7" t="n">
        <v>1</v>
      </c>
      <c r="F7" t="n">
        <v>2</v>
      </c>
      <c r="G7" t="n">
        <v>3</v>
      </c>
    </row>
    <row r="10">
      <c r="A10" s="21" t="inlineStr">
        <is>
          <t>Sales</t>
        </is>
      </c>
      <c r="B10" s="22" t="n"/>
      <c r="C10" s="22" t="n"/>
      <c r="D10" s="22" t="n"/>
      <c r="E10" s="22" t="n"/>
      <c r="F10" s="22" t="n"/>
      <c r="G10" s="22" t="n"/>
      <c r="H10" s="22" t="n"/>
    </row>
    <row r="11">
      <c r="A11" s="19" t="inlineStr">
        <is>
          <t>Net sales</t>
        </is>
      </c>
      <c r="B11" s="23" t="n">
        <v>26517</v>
      </c>
      <c r="C11" s="23" t="n">
        <v>27176</v>
      </c>
      <c r="D11" s="23" t="n">
        <v>28368</v>
      </c>
      <c r="E11" s="24">
        <f>Valuation!$B$49*(1+E48)</f>
        <v/>
      </c>
      <c r="F11" s="24">
        <f>E11*(1+F48)</f>
        <v/>
      </c>
      <c r="G11" s="24">
        <f>F11*(1+G48)</f>
        <v/>
      </c>
      <c r="H11" s="2" t="inlineStr">
        <is>
          <t>SEC XBRL F1, F2, F3</t>
        </is>
      </c>
    </row>
    <row r="12">
      <c r="A12" s="11" t="inlineStr">
        <is>
          <t xml:space="preserve">  % YoY</t>
        </is>
      </c>
      <c r="C12" s="25">
        <f>IF(OR(C11="",B11="",B11=0),"",C11/B11-1)</f>
        <v/>
      </c>
      <c r="D12" s="25">
        <f>IF(OR(D11="",C11="",C11=0),"",D11/C11-1)</f>
        <v/>
      </c>
      <c r="E12" s="25">
        <f>E11/Valuation!$B$49-1</f>
        <v/>
      </c>
      <c r="F12" s="25">
        <f>F11/E11-1</f>
        <v/>
      </c>
      <c r="G12" s="25">
        <f>G11/F11-1</f>
        <v/>
      </c>
    </row>
    <row r="14">
      <c r="A14" s="21" t="inlineStr">
        <is>
          <t>Operating profit</t>
        </is>
      </c>
      <c r="B14" s="22" t="n"/>
      <c r="C14" s="22" t="n"/>
      <c r="D14" s="22" t="n"/>
      <c r="E14" s="22" t="n"/>
      <c r="F14" s="22" t="n"/>
      <c r="G14" s="22" t="n"/>
      <c r="H14" s="22" t="n"/>
    </row>
    <row r="15">
      <c r="A15" t="inlineStr">
        <is>
          <t>EBIT (operating income)</t>
        </is>
      </c>
      <c r="E15" s="23">
        <f>E11*E49</f>
        <v/>
      </c>
      <c r="F15" s="23">
        <f>F11*F49</f>
        <v/>
      </c>
      <c r="G15" s="23">
        <f>G11*G49</f>
        <v/>
      </c>
    </row>
    <row r="16">
      <c r="A16" s="11" t="inlineStr">
        <is>
          <t xml:space="preserve">  EBIT margin</t>
        </is>
      </c>
      <c r="E16" s="25">
        <f>E15/E11</f>
        <v/>
      </c>
      <c r="F16" s="25">
        <f>F15/F11</f>
        <v/>
      </c>
      <c r="G16" s="25">
        <f>G15/G11</f>
        <v/>
      </c>
    </row>
    <row r="17">
      <c r="A17" t="inlineStr">
        <is>
          <t>D&amp;A</t>
        </is>
      </c>
      <c r="B17" s="23" t="n">
        <v>515</v>
      </c>
      <c r="C17" s="23" t="n">
        <v>392</v>
      </c>
      <c r="D17" s="23" t="n">
        <v>435</v>
      </c>
      <c r="E17" s="23">
        <f>E11*E51</f>
        <v/>
      </c>
      <c r="F17" s="23">
        <f>F11*F51</f>
        <v/>
      </c>
      <c r="G17" s="23">
        <f>G11*G51</f>
        <v/>
      </c>
      <c r="H17" s="2" t="inlineStr">
        <is>
          <t>SEC XBRL F34, F35, F36</t>
        </is>
      </c>
    </row>
    <row r="18">
      <c r="A18" t="inlineStr">
        <is>
          <t>EBITDA</t>
        </is>
      </c>
      <c r="E18" s="23">
        <f>E15+E17</f>
        <v/>
      </c>
      <c r="F18" s="23">
        <f>F15+F17</f>
        <v/>
      </c>
      <c r="G18" s="23">
        <f>G15+G17</f>
        <v/>
      </c>
    </row>
    <row r="19">
      <c r="A19" s="11" t="inlineStr">
        <is>
          <t xml:space="preserve">  EBITDA margin</t>
        </is>
      </c>
      <c r="E19" s="25">
        <f>E18/E11</f>
        <v/>
      </c>
      <c r="F19" s="25">
        <f>F18/F11</f>
        <v/>
      </c>
      <c r="G19" s="25">
        <f>G18/G11</f>
        <v/>
      </c>
    </row>
    <row r="20">
      <c r="A20" t="inlineStr">
        <is>
          <t>Net interest income / (expense)</t>
        </is>
      </c>
      <c r="E20" s="23">
        <f>-Valuation!$B$57*Valuation!$B$55</f>
        <v/>
      </c>
      <c r="F20" s="23">
        <f>-Valuation!$B$57*E45</f>
        <v/>
      </c>
      <c r="G20" s="23">
        <f>-Valuation!$B$57*F45</f>
        <v/>
      </c>
      <c r="H20" s="2" t="inlineStr">
        <is>
          <t>rate x prior year-end net debt (memo roll)</t>
        </is>
      </c>
    </row>
    <row r="21">
      <c r="A21" s="19" t="inlineStr">
        <is>
          <t>Pretax income</t>
        </is>
      </c>
      <c r="B21" s="23" t="n">
        <v>7716</v>
      </c>
      <c r="C21" s="23" t="n">
        <v>8152</v>
      </c>
      <c r="D21" s="23" t="n">
        <v>9271</v>
      </c>
      <c r="E21" s="24">
        <f>E15+E20</f>
        <v/>
      </c>
      <c r="F21" s="24">
        <f>F15+F20</f>
        <v/>
      </c>
      <c r="G21" s="24">
        <f>G15+G20</f>
        <v/>
      </c>
      <c r="H21" s="2" t="inlineStr">
        <is>
          <t>SEC XBRL F90, F91, F92</t>
        </is>
      </c>
    </row>
    <row r="22">
      <c r="A22" s="11" t="inlineStr">
        <is>
          <t xml:space="preserve">  Pretax margin</t>
        </is>
      </c>
      <c r="B22" s="25">
        <f>B21/B11</f>
        <v/>
      </c>
      <c r="C22" s="25">
        <f>C21/C11</f>
        <v/>
      </c>
      <c r="D22" s="25">
        <f>D21/D11</f>
        <v/>
      </c>
      <c r="E22" s="25">
        <f>E21/E11</f>
        <v/>
      </c>
      <c r="F22" s="25">
        <f>F21/F11</f>
        <v/>
      </c>
      <c r="G22" s="25">
        <f>G21/G11</f>
        <v/>
      </c>
    </row>
    <row r="23">
      <c r="A23" t="inlineStr">
        <is>
          <t>Income tax</t>
        </is>
      </c>
      <c r="B23" s="23" t="n">
        <v>860</v>
      </c>
      <c r="C23" s="23" t="n">
        <v>975</v>
      </c>
      <c r="D23" s="23" t="n">
        <v>2273</v>
      </c>
      <c r="E23" s="23">
        <f>E21*E50</f>
        <v/>
      </c>
      <c r="F23" s="23">
        <f>F21*F50</f>
        <v/>
      </c>
      <c r="G23" s="23">
        <f>G21*G50</f>
        <v/>
      </c>
      <c r="H23" s="2" t="inlineStr">
        <is>
          <t>SEC XBRL F83, F84, F85</t>
        </is>
      </c>
    </row>
    <row r="24">
      <c r="A24" s="11" t="inlineStr">
        <is>
          <t xml:space="preserve">  Effective tax rate</t>
        </is>
      </c>
      <c r="B24" s="25">
        <f>B23/B21</f>
        <v/>
      </c>
      <c r="C24" s="25">
        <f>C23/C21</f>
        <v/>
      </c>
      <c r="D24" s="25">
        <f>D23/D21</f>
        <v/>
      </c>
      <c r="E24" s="25">
        <f>E23/E21</f>
        <v/>
      </c>
      <c r="F24" s="25">
        <f>F23/F21</f>
        <v/>
      </c>
      <c r="G24" s="25">
        <f>G23/G21</f>
        <v/>
      </c>
    </row>
    <row r="25">
      <c r="A25" s="19" t="inlineStr">
        <is>
          <t>Net income</t>
        </is>
      </c>
      <c r="B25" s="23" t="n">
        <v>6856</v>
      </c>
      <c r="C25" s="23" t="n">
        <v>7177</v>
      </c>
      <c r="D25" s="23" t="n">
        <v>6998</v>
      </c>
      <c r="E25" s="24">
        <f>E21-E23</f>
        <v/>
      </c>
      <c r="F25" s="24">
        <f>F21-F23</f>
        <v/>
      </c>
      <c r="G25" s="24">
        <f>G21-G23</f>
        <v/>
      </c>
      <c r="H25" s="2" t="inlineStr">
        <is>
          <t>SEC XBRL F15, F16, F17</t>
        </is>
      </c>
    </row>
    <row r="26">
      <c r="A26" s="11" t="inlineStr">
        <is>
          <t xml:space="preserve">  % YoY</t>
        </is>
      </c>
      <c r="C26" s="25">
        <f>IF(OR(C25="",B25="",B25=0),"",C25/B25-1)</f>
        <v/>
      </c>
      <c r="D26" s="25">
        <f>IF(OR(D25="",C25="",C25=0),"",D25/C25-1)</f>
        <v/>
      </c>
      <c r="E26" s="25">
        <f>IF(OR(D25="",D25=0),"",E25/D25-1)</f>
        <v/>
      </c>
      <c r="F26" s="25">
        <f>IF(OR(E25="",E25=0),"",F25/E25-1)</f>
        <v/>
      </c>
      <c r="G26" s="25">
        <f>IF(OR(F25="",F25=0),"",G25/F25-1)</f>
        <v/>
      </c>
    </row>
    <row r="27">
      <c r="A27" t="inlineStr">
        <is>
          <t>Diluted shares (M, average)</t>
        </is>
      </c>
      <c r="B27" s="23" t="n">
        <v>845</v>
      </c>
      <c r="C27" s="23" t="n">
        <v>834</v>
      </c>
      <c r="D27" s="23" t="n">
        <v>808</v>
      </c>
      <c r="E27" s="26">
        <f>Valuation!$B$59*(1+Valuation!$B$61)^(E7-0.5-((Valuation!$B$60-Valuation!$B$48)/365.25))</f>
        <v/>
      </c>
      <c r="F27" s="26">
        <f>Valuation!$B$59*(1+Valuation!$B$61)^(F7-0.5-((Valuation!$B$60-Valuation!$B$48)/365.25))</f>
        <v/>
      </c>
      <c r="G27" s="26">
        <f>Valuation!$B$59*(1+Valuation!$B$61)^(G7-0.5-((Valuation!$B$60-Valuation!$B$48)/365.25))</f>
        <v/>
      </c>
      <c r="H27" s="2" t="inlineStr">
        <is>
          <t>diluted count rolled at the annual change to mid-year</t>
        </is>
      </c>
    </row>
    <row r="28">
      <c r="A28" s="11" t="inlineStr">
        <is>
          <t xml:space="preserve">  % YoY</t>
        </is>
      </c>
      <c r="C28" s="25">
        <f>IF(OR(C27="",B27="",B27=0),"",C27/B27-1)</f>
        <v/>
      </c>
      <c r="D28" s="25">
        <f>IF(OR(D27="",C27="",C27=0),"",D27/C27-1)</f>
        <v/>
      </c>
      <c r="E28" s="25">
        <f>IF(OR(D27="",D27=0),"",E27/D27-1)</f>
        <v/>
      </c>
      <c r="F28" s="25">
        <f>IF(OR(E27="",E27=0),"",F27/E27-1)</f>
        <v/>
      </c>
      <c r="G28" s="25">
        <f>IF(OR(F27="",F27=0),"",G27/F27-1)</f>
        <v/>
      </c>
    </row>
    <row r="29">
      <c r="A29" s="19" t="inlineStr">
        <is>
          <t>Diluted EPS</t>
        </is>
      </c>
      <c r="B29" s="27" t="n">
        <v>8.109999999999999</v>
      </c>
      <c r="C29" s="27" t="n">
        <v>8.609999999999999</v>
      </c>
      <c r="D29" s="27" t="n">
        <v>8.66</v>
      </c>
      <c r="E29" s="28">
        <f>E25/E27</f>
        <v/>
      </c>
      <c r="F29" s="28">
        <f>F25/F27</f>
        <v/>
      </c>
      <c r="G29" s="28">
        <f>G25/G27</f>
        <v/>
      </c>
      <c r="H29" s="2" t="inlineStr">
        <is>
          <t>SEC XBRL F22, F23, F24</t>
        </is>
      </c>
    </row>
    <row r="30">
      <c r="A30" s="11" t="inlineStr">
        <is>
          <t xml:space="preserve">  % YoY</t>
        </is>
      </c>
      <c r="C30" s="25">
        <f>IF(OR(C29="",B29="",B29=0),"",C29/B29-1)</f>
        <v/>
      </c>
      <c r="D30" s="25">
        <f>IF(OR(D29="",C29="",C29=0),"",D29/C29-1)</f>
        <v/>
      </c>
      <c r="E30" s="25">
        <f>IF(OR(D29="",D29=0),"",E29/D29-1)</f>
        <v/>
      </c>
      <c r="F30" s="25">
        <f>IF(OR(E29="",E29=0),"",F29/E29-1)</f>
        <v/>
      </c>
      <c r="G30" s="25">
        <f>IF(OR(F29="",F29=0),"",G29/F29-1)</f>
        <v/>
      </c>
    </row>
    <row r="32">
      <c r="A32" s="21" t="inlineStr">
        <is>
          <t>Cash flow</t>
        </is>
      </c>
      <c r="B32" s="22" t="n"/>
      <c r="C32" s="22" t="n"/>
      <c r="D32" s="22" t="n"/>
      <c r="E32" s="22" t="n"/>
      <c r="F32" s="22" t="n"/>
      <c r="G32" s="22" t="n"/>
      <c r="H32" s="22" t="n"/>
    </row>
    <row r="33">
      <c r="A33" t="inlineStr">
        <is>
          <t>NOPAT (EBIT x (1 - tax))</t>
        </is>
      </c>
      <c r="E33" s="23">
        <f>E15*(1-E50)</f>
        <v/>
      </c>
      <c r="F33" s="23">
        <f>F15*(1-F50)</f>
        <v/>
      </c>
      <c r="G33" s="23">
        <f>G15*(1-G50)</f>
        <v/>
      </c>
    </row>
    <row r="34">
      <c r="A34" t="inlineStr">
        <is>
          <t>+ D&amp;A</t>
        </is>
      </c>
      <c r="B34" s="23">
        <f>B17</f>
        <v/>
      </c>
      <c r="C34" s="23">
        <f>C17</f>
        <v/>
      </c>
      <c r="D34" s="23">
        <f>D17</f>
        <v/>
      </c>
      <c r="E34" s="23">
        <f>E17</f>
        <v/>
      </c>
      <c r="F34" s="23">
        <f>F17</f>
        <v/>
      </c>
      <c r="G34" s="23">
        <f>G17</f>
        <v/>
      </c>
    </row>
    <row r="35">
      <c r="A35" t="inlineStr">
        <is>
          <t>- Capex</t>
        </is>
      </c>
      <c r="B35" s="23" t="n">
        <v>1106</v>
      </c>
      <c r="C35" s="23" t="n">
        <v>1190</v>
      </c>
      <c r="D35" s="23" t="n">
        <v>2260</v>
      </c>
      <c r="E35" s="23">
        <f>E11*E52</f>
        <v/>
      </c>
      <c r="F35" s="23">
        <f>F11*F52</f>
        <v/>
      </c>
      <c r="G35" s="23">
        <f>G11*G52</f>
        <v/>
      </c>
      <c r="H35" s="2" t="inlineStr">
        <is>
          <t>SEC XBRL F55, F56, F57</t>
        </is>
      </c>
    </row>
    <row r="36">
      <c r="A36" s="11" t="inlineStr">
        <is>
          <t xml:space="preserve">  Capex % of sales</t>
        </is>
      </c>
      <c r="B36" s="25">
        <f>B35/B11</f>
        <v/>
      </c>
      <c r="C36" s="25">
        <f>C35/C11</f>
        <v/>
      </c>
      <c r="D36" s="25">
        <f>D35/D11</f>
        <v/>
      </c>
      <c r="E36" s="25">
        <f>E35/E11</f>
        <v/>
      </c>
      <c r="F36" s="25">
        <f>F35/F11</f>
        <v/>
      </c>
      <c r="G36" s="25">
        <f>G35/G11</f>
        <v/>
      </c>
    </row>
    <row r="37">
      <c r="A37" t="inlineStr">
        <is>
          <t>- Working capital increase</t>
        </is>
      </c>
      <c r="E37" s="23">
        <f>E53*(E11-Valuation!$B$49)</f>
        <v/>
      </c>
      <c r="F37" s="23">
        <f>F53*(F11-E11)</f>
        <v/>
      </c>
      <c r="G37" s="23">
        <f>G53*(G11-F11)</f>
        <v/>
      </c>
    </row>
    <row r="38">
      <c r="A38" t="inlineStr">
        <is>
          <t>- Stock comp (adjusted EBIT only)</t>
        </is>
      </c>
      <c r="E38" s="23">
        <f>IF(AND(Valuation!$B$46="adjusted",Valuation!$B$47="cost"),E42*(1-E50),0)</f>
        <v/>
      </c>
      <c r="F38" s="23">
        <f>IF(AND(Valuation!$B$46="adjusted",Valuation!$B$47="cost"),F42*(1-F50),0)</f>
        <v/>
      </c>
      <c r="G38" s="23">
        <f>IF(AND(Valuation!$B$46="adjusted",Valuation!$B$47="cost"),G42*(1-G50),0)</f>
        <v/>
      </c>
    </row>
    <row r="39">
      <c r="A39" s="19" t="inlineStr">
        <is>
          <t>Free cash flow to firm</t>
        </is>
      </c>
      <c r="E39" s="24">
        <f>E33+E34-E35-E37-E38</f>
        <v/>
      </c>
      <c r="F39" s="24">
        <f>F33+F34-F35-F37-F38</f>
        <v/>
      </c>
      <c r="G39" s="24">
        <f>G33+G34-G35-G37-G38</f>
        <v/>
      </c>
      <c r="H39" s="2" t="inlineStr">
        <is>
          <t>what the DCF discounts (Calc tabs)</t>
        </is>
      </c>
    </row>
    <row r="40">
      <c r="A40" t="inlineStr">
        <is>
          <t>Operating cash flow (reported)</t>
        </is>
      </c>
      <c r="B40" s="23" t="n">
        <v>8700</v>
      </c>
      <c r="C40" s="23" t="n">
        <v>8677</v>
      </c>
      <c r="D40" s="23" t="n">
        <v>7958</v>
      </c>
      <c r="H40" s="2" t="inlineStr">
        <is>
          <t>SEC XBRL F48, F49, F50</t>
        </is>
      </c>
    </row>
    <row r="41">
      <c r="A41" t="inlineStr">
        <is>
          <t>FCF (operating cash flow - capex)</t>
        </is>
      </c>
      <c r="B41" s="23">
        <f>B40-B35</f>
        <v/>
      </c>
      <c r="C41" s="23">
        <f>C40-C35</f>
        <v/>
      </c>
      <c r="D41" s="23">
        <f>D40-D35</f>
        <v/>
      </c>
    </row>
    <row r="42">
      <c r="A42" t="inlineStr">
        <is>
          <t>Stock comp (memo)</t>
        </is>
      </c>
      <c r="B42" s="23" t="n">
        <v>490</v>
      </c>
      <c r="C42" s="23" t="n">
        <v>577</v>
      </c>
      <c r="D42" s="23" t="n">
        <v>668</v>
      </c>
      <c r="E42" s="23">
        <f>E11*E54</f>
        <v/>
      </c>
      <c r="F42" s="23">
        <f>F11*F54</f>
        <v/>
      </c>
      <c r="G42" s="23">
        <f>G11*G54</f>
        <v/>
      </c>
      <c r="H42" s="2" t="inlineStr">
        <is>
          <t>SEC XBRL F41, F42, F43</t>
        </is>
      </c>
    </row>
    <row r="43">
      <c r="A43" t="inlineStr">
        <is>
          <t>Buybacks + dividends + other uses</t>
        </is>
      </c>
      <c r="B43" s="23" t="n">
        <v>3164</v>
      </c>
      <c r="C43" s="23" t="n">
        <v>5015</v>
      </c>
      <c r="D43" s="23" t="n">
        <v>6279</v>
      </c>
      <c r="E43" s="23">
        <f>E11*E56+E55+E57</f>
        <v/>
      </c>
      <c r="F43" s="23">
        <f>F11*F56+F55+F57</f>
        <v/>
      </c>
      <c r="G43" s="23">
        <f>G11*G56+G55+G57</f>
        <v/>
      </c>
      <c r="H43" s="2" t="inlineStr">
        <is>
          <t>SEC XBRL F62, F69, F63, F70, F64, F71</t>
        </is>
      </c>
    </row>
    <row r="44">
      <c r="A44" s="11" t="inlineStr">
        <is>
          <t xml:space="preserve">  % of sales</t>
        </is>
      </c>
      <c r="B44" s="25">
        <f>B43/B11</f>
        <v/>
      </c>
      <c r="C44" s="25">
        <f>C43/C11</f>
        <v/>
      </c>
      <c r="D44" s="25">
        <f>D43/D11</f>
        <v/>
      </c>
      <c r="E44" s="25">
        <f>E43/E11</f>
        <v/>
      </c>
      <c r="F44" s="25">
        <f>F43/F11</f>
        <v/>
      </c>
      <c r="G44" s="25">
        <f>G43/G11</f>
        <v/>
      </c>
    </row>
    <row r="45">
      <c r="A45" t="inlineStr">
        <is>
          <t>Net debt / (net cash), year end (memo)</t>
        </is>
      </c>
      <c r="E45" s="23">
        <f>Valuation!$B$55-E39-E20*(1-E50)+E43</f>
        <v/>
      </c>
      <c r="F45" s="23">
        <f>E45-F39-F20*(1-F50)+F43</f>
        <v/>
      </c>
      <c r="G45" s="23">
        <f>F45-G39-G20*(1-G50)+G43</f>
        <v/>
      </c>
      <c r="H45" s="2" t="inlineStr">
        <is>
          <t>rolled from the balance-date figure; feeds interest only</t>
        </is>
      </c>
    </row>
    <row r="47">
      <c r="A47" s="21" t="inlineStr">
        <is>
          <t>Drivers (blue = input; a year left black carries the prior year)</t>
        </is>
      </c>
      <c r="B47" s="22" t="n"/>
      <c r="C47" s="22" t="n"/>
      <c r="D47" s="22" t="n"/>
      <c r="E47" s="22" t="n"/>
      <c r="F47" s="22" t="n"/>
      <c r="G47" s="22" t="n"/>
      <c r="H47" s="22" t="n"/>
    </row>
    <row r="48">
      <c r="A48" t="inlineStr">
        <is>
          <t>Revenue growth</t>
        </is>
      </c>
      <c r="C48" s="18">
        <f>C12</f>
        <v/>
      </c>
      <c r="D48" s="18">
        <f>D12</f>
        <v/>
      </c>
      <c r="E48" s="29" t="n">
        <v>0.2086871845029887</v>
      </c>
      <c r="F48" s="29" t="n">
        <v>0.1911864960419511</v>
      </c>
      <c r="G48" s="29" t="n">
        <v>0.2149428024212181</v>
      </c>
    </row>
    <row r="49">
      <c r="A49" t="inlineStr">
        <is>
          <t>EBIT margin</t>
        </is>
      </c>
      <c r="E49" s="29" t="n">
        <v>0.3293690932245601</v>
      </c>
      <c r="F49" s="29" t="n">
        <v>0.3480309662481679</v>
      </c>
      <c r="G49" s="29" t="n">
        <v>0.367579694850657</v>
      </c>
    </row>
    <row r="50">
      <c r="A50" t="inlineStr">
        <is>
          <t>Tax rate</t>
        </is>
      </c>
      <c r="B50" s="18">
        <f>B24</f>
        <v/>
      </c>
      <c r="C50" s="18">
        <f>C24</f>
        <v/>
      </c>
      <c r="D50" s="18">
        <f>D24</f>
        <v/>
      </c>
      <c r="E50" s="29" t="n">
        <v>0.11</v>
      </c>
      <c r="F50" s="18">
        <f>E50</f>
        <v/>
      </c>
      <c r="G50" s="18">
        <f>F50</f>
        <v/>
      </c>
    </row>
    <row r="51">
      <c r="A51" t="inlineStr">
        <is>
          <t>D&amp;A % revenue</t>
        </is>
      </c>
      <c r="B51" s="18">
        <f>B17/B11</f>
        <v/>
      </c>
      <c r="C51" s="18">
        <f>C17/C11</f>
        <v/>
      </c>
      <c r="D51" s="18">
        <f>D17/D11</f>
        <v/>
      </c>
      <c r="E51" s="29" t="n">
        <v>0.0171</v>
      </c>
      <c r="F51" s="18">
        <f>E51</f>
        <v/>
      </c>
      <c r="G51" s="18">
        <f>F51</f>
        <v/>
      </c>
    </row>
    <row r="52">
      <c r="A52" t="inlineStr">
        <is>
          <t>Capex % revenue</t>
        </is>
      </c>
      <c r="B52" s="18">
        <f>B36</f>
        <v/>
      </c>
      <c r="C52" s="18">
        <f>C36</f>
        <v/>
      </c>
      <c r="D52" s="18">
        <f>D36</f>
        <v/>
      </c>
      <c r="E52" s="29" t="n">
        <v>0.08989999999999999</v>
      </c>
      <c r="F52" s="18">
        <f>E52</f>
        <v/>
      </c>
      <c r="G52" s="18">
        <f>F52</f>
        <v/>
      </c>
    </row>
    <row r="53">
      <c r="A53" t="inlineStr">
        <is>
          <t>Working capital % of revenue increase</t>
        </is>
      </c>
      <c r="E53" s="29" t="n">
        <v>0.0896</v>
      </c>
      <c r="F53" s="18">
        <f>E53</f>
        <v/>
      </c>
      <c r="G53" s="18">
        <f>F53</f>
        <v/>
      </c>
    </row>
    <row r="54">
      <c r="A54" t="inlineStr">
        <is>
          <t>Stock comp % revenue</t>
        </is>
      </c>
      <c r="B54" s="18">
        <f>B42/B11</f>
        <v/>
      </c>
      <c r="C54" s="18">
        <f>C42/C11</f>
        <v/>
      </c>
      <c r="D54" s="18">
        <f>D42/D11</f>
        <v/>
      </c>
      <c r="E54" s="29" t="n">
        <v>0.0227</v>
      </c>
      <c r="F54" s="18">
        <f>E54</f>
        <v/>
      </c>
      <c r="G54" s="18">
        <f>F54</f>
        <v/>
      </c>
    </row>
    <row r="55">
      <c r="A55" t="inlineStr">
        <is>
          <t>Shareholder returns ($)</t>
        </is>
      </c>
      <c r="E55" s="30" t="n">
        <v>3543</v>
      </c>
      <c r="F55" s="23">
        <f>E55</f>
        <v/>
      </c>
      <c r="G55" s="23">
        <f>F55</f>
        <v/>
      </c>
    </row>
    <row r="56">
      <c r="A56" t="inlineStr">
        <is>
          <t>Shareholder returns % revenue</t>
        </is>
      </c>
      <c r="B56" s="18">
        <f>B44</f>
        <v/>
      </c>
      <c r="C56" s="18">
        <f>C44</f>
        <v/>
      </c>
      <c r="D56" s="18">
        <f>D44</f>
        <v/>
      </c>
      <c r="E56" s="29" t="n">
        <v>0</v>
      </c>
      <c r="F56" s="18">
        <f>E56</f>
        <v/>
      </c>
      <c r="G56" s="18">
        <f>F56</f>
        <v/>
      </c>
    </row>
    <row r="57">
      <c r="A57" t="inlineStr">
        <is>
          <t>Other uses of cash ($: M&amp;A, investments)</t>
        </is>
      </c>
      <c r="E57" s="30" t="n">
        <v>0</v>
      </c>
      <c r="F57" s="23">
        <f>E57</f>
        <v/>
      </c>
      <c r="G57" s="23">
        <f>F57</f>
        <v/>
      </c>
    </row>
    <row r="58">
      <c r="A58" t="inlineStr">
        <is>
          <t>Adj. EBITDA addback % revenue</t>
        </is>
      </c>
      <c r="E58" s="29" t="n">
        <v>0</v>
      </c>
      <c r="F58" s="18">
        <f>E58</f>
        <v/>
      </c>
      <c r="G58" s="18">
        <f>F58</f>
        <v/>
      </c>
    </row>
    <row r="60">
      <c r="A60" s="21" t="inlineStr">
        <is>
          <t>Versus company guidance and street consensus</t>
        </is>
      </c>
      <c r="B60" s="22" t="n"/>
      <c r="C60" s="22" t="n"/>
      <c r="D60" s="22" t="n"/>
      <c r="E60" s="22" t="n"/>
      <c r="F60" s="22" t="n"/>
      <c r="G60" s="22" t="n"/>
      <c r="H60" s="22" t="n"/>
    </row>
    <row r="61">
      <c r="A61" t="inlineStr">
        <is>
          <t>Consensus: EPS diluted (non-GAAP)</t>
        </is>
      </c>
      <c r="E61" s="15" t="n">
        <v>13.18</v>
      </c>
      <c r="H61" s="2" t="inlineStr">
        <is>
          <t>as of 2026-09-30; source 8 (MarketScreener AMAT finances, id 4850 (FY27 EPS $18.43, FY28)</t>
        </is>
      </c>
    </row>
    <row r="62">
      <c r="A62" s="11" t="inlineStr">
        <is>
          <t xml:space="preserve">  Model vs consensus</t>
        </is>
      </c>
      <c r="E62" s="25">
        <f>E29/E61-1</f>
        <v/>
      </c>
    </row>
    <row r="63">
      <c r="A63" t="inlineStr">
        <is>
          <t>Consensus: EPS diluted (non-GAAP)</t>
        </is>
      </c>
      <c r="F63" s="15" t="n">
        <v>18.43</v>
      </c>
      <c r="H63" s="2" t="inlineStr">
        <is>
          <t>as of 2026-09-29; source 8 (MarketScreener AMAT finances, id 4850 (FY27 EPS $18.43, FY28)</t>
        </is>
      </c>
    </row>
    <row r="64">
      <c r="A64" s="11" t="inlineStr">
        <is>
          <t xml:space="preserve">  Model vs consensus</t>
        </is>
      </c>
      <c r="F64" s="25">
        <f>F29/F63-1</f>
        <v/>
      </c>
    </row>
    <row r="65">
      <c r="A65" t="inlineStr">
        <is>
          <t>Consensus: EPS diluted (non-GAAP)</t>
        </is>
      </c>
      <c r="G65" s="15" t="n">
        <v>23.85</v>
      </c>
      <c r="H65" s="2" t="inlineStr">
        <is>
          <t>as of 2026-09-29; source 8 (MarketScreener AMAT finances, id 4850 (FY27 EPS $18.43, FY28)</t>
        </is>
      </c>
    </row>
    <row r="66">
      <c r="A66" s="11" t="inlineStr">
        <is>
          <t xml:space="preserve">  Model vs consensus</t>
        </is>
      </c>
      <c r="G66" s="25">
        <f>G29/G65-1</f>
        <v/>
      </c>
    </row>
    <row r="67">
      <c r="A67" t="inlineStr">
        <is>
          <t>Consensus: revenue (GAAP)</t>
        </is>
      </c>
      <c r="F67" s="31" t="n">
        <v>46170</v>
      </c>
      <c r="H67" s="2" t="inlineStr">
        <is>
          <t>as of 2026-09-29; source 8 (MarketScreener AMAT finances, id 4850 (FY27 EPS $18.43, FY28)</t>
        </is>
      </c>
    </row>
    <row r="68">
      <c r="A68" s="11" t="inlineStr">
        <is>
          <t xml:space="preserve">  Model vs consensus</t>
        </is>
      </c>
      <c r="F68" s="25">
        <f>F11/F67-1</f>
        <v/>
      </c>
    </row>
    <row r="69">
      <c r="A69" t="inlineStr">
        <is>
          <t>Consensus: revenue (GAAP)</t>
        </is>
      </c>
      <c r="G69" s="31" t="n">
        <v>55520</v>
      </c>
      <c r="H69" s="2" t="inlineStr">
        <is>
          <t>as of 2026-09-29; source 8 (MarketScreener AMAT finances, id 4850 (FY27 EPS $18.43, FY28)</t>
        </is>
      </c>
    </row>
    <row r="70">
      <c r="A70" s="11" t="inlineStr">
        <is>
          <t xml:space="preserve">  Model vs consensus</t>
        </is>
      </c>
      <c r="G70" s="25">
        <f>G11/G69-1</f>
        <v/>
      </c>
    </row>
    <row r="71">
      <c r="A71" t="inlineStr">
        <is>
          <t>Consensus: net income (non-GAAP)</t>
        </is>
      </c>
      <c r="G71" s="31" t="n">
        <v>18489</v>
      </c>
      <c r="H71" s="2" t="inlineStr">
        <is>
          <t>as of 2026-10-15; source 8 (MarketScreener AMAT finances, id 4850 (FY27 EPS $18.43, FY28)</t>
        </is>
      </c>
    </row>
    <row r="72">
      <c r="A72" t="inlineStr">
        <is>
          <t>Consensus: free cash flow (company definition (operating cash flow less capex))</t>
        </is>
      </c>
      <c r="F72" s="31" t="n">
        <v>10600</v>
      </c>
      <c r="H72" s="2" t="inlineStr">
        <is>
          <t>as of 2026-09-30; source 8 (MarketScreener AMAT finances, id 4850 (FY27 EPS $18.43, FY28)</t>
        </is>
      </c>
    </row>
    <row r="73">
      <c r="A73" t="inlineStr">
        <is>
          <t>Consensus: free cash flow (company definition (operating cash flow less capex))</t>
        </is>
      </c>
      <c r="G73" s="31" t="n">
        <v>13970</v>
      </c>
      <c r="H73" s="2" t="inlineStr">
        <is>
          <t>as of 2026-09-29; source 8 (MarketScreener AMAT finances, id 4850 (FY27 EPS $18.43, FY28)</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83"/>
  <sheetViews>
    <sheetView showGridLines="0" workbookViewId="0">
      <selection activeCell="A1" sqref="A1"/>
    </sheetView>
  </sheetViews>
  <sheetFormatPr baseColWidth="8" defaultRowHeight="15"/>
  <cols>
    <col width="52" customWidth="1" min="1" max="1"/>
    <col width="14" customWidth="1" min="2" max="2"/>
    <col width="14" customWidth="1" min="3" max="3"/>
    <col width="13" customWidth="1" min="4" max="4"/>
    <col width="13" customWidth="1" min="5" max="5"/>
    <col width="13" customWidth="1" min="6" max="6"/>
    <col width="13" customWidth="1" min="7" max="7"/>
    <col width="13" customWidth="1" min="8" max="8"/>
    <col width="13" customWidth="1" min="9" max="9"/>
    <col width="60" customWidth="1" min="10" max="10"/>
    <col width="13" customWidth="1" min="11" max="11"/>
  </cols>
  <sheetData>
    <row r="1">
      <c r="A1" s="1" t="inlineStr">
        <is>
          <t>AMAT: valuation and price target derivation</t>
        </is>
      </c>
    </row>
    <row r="2">
      <c r="A2" s="2" t="inlineStr">
        <is>
          <t>Value per share at the target date = weighted methods below; the 12-month target is the median of the scenario mix (Distribution tab).</t>
        </is>
      </c>
    </row>
    <row r="3">
      <c r="A3" s="3" t="inlineStr">
        <is>
          <t>Method</t>
        </is>
      </c>
      <c r="B3" s="3" t="inlineStr">
        <is>
          <t>Multiple</t>
        </is>
      </c>
      <c r="C3" s="3" t="inlineStr">
        <is>
          <t>Metric at target date</t>
        </is>
      </c>
      <c r="D3" s="3" t="inlineStr">
        <is>
          <t>Value per share</t>
        </is>
      </c>
      <c r="E3" s="3" t="inlineStr">
        <is>
          <t>Weight</t>
        </is>
      </c>
      <c r="F3" s="3" t="inlineStr">
        <is>
          <t>Contribution</t>
        </is>
      </c>
    </row>
    <row r="4">
      <c r="A4" s="16">
        <f>'Calc - research target (12m)'!A67</f>
        <v/>
      </c>
      <c r="B4" s="4">
        <f>IF('Calc - research target (12m)'!C67="","",'Calc - research target (12m)'!C67)</f>
        <v/>
      </c>
      <c r="C4" s="32">
        <f>IF('Calc - research target (12m)'!I67="","",'Calc - research target (12m)'!I67)</f>
        <v/>
      </c>
      <c r="D4" s="4">
        <f>'Calc - research target (12m)'!F67</f>
        <v/>
      </c>
      <c r="E4" s="12">
        <f>'Calc - research target (12m)'!G67</f>
        <v/>
      </c>
      <c r="F4" s="9">
        <f>D4*E4/SUM($E$4:$E$5)</f>
        <v/>
      </c>
    </row>
    <row r="5">
      <c r="A5" s="16">
        <f>'Calc - research target (12m)'!A68</f>
        <v/>
      </c>
      <c r="B5" s="4">
        <f>IF('Calc - research target (12m)'!C68="","",'Calc - research target (12m)'!C68)</f>
        <v/>
      </c>
      <c r="C5" s="32">
        <f>IF('Calc - research target (12m)'!I68="","",'Calc - research target (12m)'!I68)</f>
        <v/>
      </c>
      <c r="D5" s="4">
        <f>'Calc - research target (12m)'!F68</f>
        <v/>
      </c>
      <c r="E5" s="12">
        <f>'Calc - research target (12m)'!G68</f>
        <v/>
      </c>
      <c r="F5" s="9">
        <f>D5*E5/SUM($E$4:$E$5)</f>
        <v/>
      </c>
    </row>
    <row r="6">
      <c r="A6" s="19" t="inlineStr">
        <is>
          <t>Research target (12m) per share</t>
        </is>
      </c>
      <c r="D6" s="6">
        <f>'Calc - research target (12m)'!$F$69</f>
        <v/>
      </c>
      <c r="F6" s="6">
        <f>SUM(F4:F5)</f>
        <v/>
      </c>
    </row>
    <row r="8">
      <c r="A8" s="21" t="inlineStr">
        <is>
          <t>12-month EPS basis (what the P/E is applied to)</t>
        </is>
      </c>
      <c r="B8" s="22" t="n"/>
      <c r="C8" s="22" t="n"/>
      <c r="D8" s="22" t="n"/>
      <c r="E8" s="22" t="n"/>
      <c r="F8" s="22" t="n"/>
      <c r="G8" s="22" t="n"/>
      <c r="H8" s="22" t="n"/>
      <c r="I8" s="22" t="n"/>
    </row>
    <row r="9">
      <c r="A9" s="3" t="inlineStr">
        <is>
          <t>Fiscal year</t>
        </is>
      </c>
      <c r="B9" s="3">
        <f>Model!E5</f>
        <v/>
      </c>
      <c r="C9" s="3">
        <f>Model!F5</f>
        <v/>
      </c>
      <c r="D9" s="3">
        <f>Model!G5</f>
        <v/>
      </c>
    </row>
    <row r="10">
      <c r="A10" t="inlineStr">
        <is>
          <t>Share of the 12 months after the target date</t>
        </is>
      </c>
      <c r="B10" s="12">
        <f>'Calc - research target (12m)'!C38</f>
        <v/>
      </c>
      <c r="C10" s="12">
        <f>'Calc - research target (12m)'!D38</f>
        <v/>
      </c>
      <c r="D10" s="12">
        <f>'Calc - research target (12m)'!E38</f>
        <v/>
      </c>
    </row>
    <row r="11">
      <c r="A11" t="inlineStr">
        <is>
          <t>Model EPS (Model tab)</t>
        </is>
      </c>
      <c r="B11" s="13">
        <f>Model!E29</f>
        <v/>
      </c>
      <c r="C11" s="13">
        <f>Model!F29</f>
        <v/>
      </c>
      <c r="D11" s="13">
        <f>Model!G29</f>
        <v/>
      </c>
    </row>
    <row r="12">
      <c r="A12" t="inlineStr">
        <is>
          <t>Model EPS, next 12 months after the target date</t>
        </is>
      </c>
      <c r="B12" s="28">
        <f>SUMPRODUCT(B10:D10,B11:D11)</f>
        <v/>
      </c>
    </row>
    <row r="15">
      <c r="A15" s="21" t="inlineStr">
        <is>
          <t>DCF build (free cash flow to firm, discounted to the target date)</t>
        </is>
      </c>
      <c r="B15" s="22" t="n"/>
      <c r="C15" s="22" t="n"/>
      <c r="D15" s="22" t="n"/>
      <c r="E15" s="22" t="n"/>
      <c r="F15" s="22" t="n"/>
      <c r="G15" s="22" t="n"/>
      <c r="H15" s="22" t="n"/>
      <c r="I15" s="22" t="n"/>
    </row>
    <row r="16">
      <c r="A16" s="3" t="inlineStr">
        <is>
          <t>Fiscal year</t>
        </is>
      </c>
      <c r="B16" s="3">
        <f>Model!E5</f>
        <v/>
      </c>
      <c r="C16" s="3">
        <f>Model!F5</f>
        <v/>
      </c>
      <c r="D16" s="3">
        <f>Model!G5</f>
        <v/>
      </c>
    </row>
    <row r="17">
      <c r="A17" t="inlineStr">
        <is>
          <t>Free cash flow to firm</t>
        </is>
      </c>
      <c r="B17" s="10">
        <f>'Calc - research target (12m)'!C31</f>
        <v/>
      </c>
      <c r="C17" s="10">
        <f>'Calc - research target (12m)'!D31</f>
        <v/>
      </c>
      <c r="D17" s="10">
        <f>'Calc - research target (12m)'!E31</f>
        <v/>
      </c>
    </row>
    <row r="18">
      <c r="A18" t="inlineStr">
        <is>
          <t>Share of the year after the target date</t>
        </is>
      </c>
      <c r="B18" s="12">
        <f>'Calc - research target (12m)'!C35</f>
        <v/>
      </c>
      <c r="C18" s="12">
        <f>'Calc - research target (12m)'!D35</f>
        <v/>
      </c>
      <c r="D18" s="12">
        <f>'Calc - research target (12m)'!E35</f>
        <v/>
      </c>
    </row>
    <row r="19">
      <c r="A19" t="inlineStr">
        <is>
          <t>PV at target date</t>
        </is>
      </c>
      <c r="B19" s="10">
        <f>'Calc - research target (12m)'!C36</f>
        <v/>
      </c>
      <c r="C19" s="10">
        <f>'Calc - research target (12m)'!D36</f>
        <v/>
      </c>
      <c r="D19" s="10">
        <f>'Calc - research target (12m)'!E36</f>
        <v/>
      </c>
    </row>
    <row r="21">
      <c r="A21" t="inlineStr">
        <is>
          <t>PV of free cash flow after the target date</t>
        </is>
      </c>
      <c r="B21" s="10">
        <f>'Calc - research target (12m)'!B42</f>
        <v/>
      </c>
    </row>
    <row r="22">
      <c r="A22" t="inlineStr">
        <is>
          <t>Terminal value (final year)</t>
        </is>
      </c>
      <c r="B22" s="10">
        <f>'Calc - research target (12m)'!B43</f>
        <v/>
      </c>
    </row>
    <row r="23">
      <c r="A23" t="inlineStr">
        <is>
          <t>PV of terminal value</t>
        </is>
      </c>
      <c r="B23" s="10">
        <f>'Calc - research target (12m)'!B44</f>
        <v/>
      </c>
    </row>
    <row r="24">
      <c r="A24" t="inlineStr">
        <is>
          <t>Enterprise value at target date</t>
        </is>
      </c>
      <c r="B24" s="10">
        <f>'Calc - research target (12m)'!B45</f>
        <v/>
      </c>
    </row>
    <row r="25">
      <c r="A25" t="inlineStr">
        <is>
          <t>Terminal value share of DCF</t>
        </is>
      </c>
      <c r="B25" s="12">
        <f>'Calc - research target (12m)'!B46</f>
        <v/>
      </c>
    </row>
    <row r="26">
      <c r="A26" t="inlineStr">
        <is>
          <t>Net debt at target date</t>
        </is>
      </c>
      <c r="B26" s="10">
        <f>'Calc - research target (12m)'!B50</f>
        <v/>
      </c>
    </row>
    <row r="27">
      <c r="A27" t="inlineStr">
        <is>
          <t>Minority interests</t>
        </is>
      </c>
      <c r="B27" s="10">
        <f>'Calc - research target (12m)'!B51</f>
        <v/>
      </c>
    </row>
    <row r="28">
      <c r="A28" t="inlineStr">
        <is>
          <t>Adjustments</t>
        </is>
      </c>
      <c r="B28" s="10">
        <f>'Calc - research target (12m)'!B52</f>
        <v/>
      </c>
    </row>
    <row r="29">
      <c r="A29" t="inlineStr">
        <is>
          <t>Diluted shares at target date (M)</t>
        </is>
      </c>
      <c r="B29" s="33">
        <f>'Calc - research target (12m)'!B53</f>
        <v/>
      </c>
    </row>
    <row r="30">
      <c r="A30" t="inlineStr">
        <is>
          <t>DCF value per share</t>
        </is>
      </c>
      <c r="B30" s="4">
        <f>'Calc - research target (12m)'!F67</f>
        <v/>
      </c>
    </row>
    <row r="31">
      <c r="A31" t="inlineStr">
        <is>
          <t>WACC</t>
        </is>
      </c>
      <c r="B31" s="12">
        <f>'Calc - research target (12m)'!B12</f>
        <v/>
      </c>
    </row>
    <row r="41">
      <c r="A41" s="21" t="inlineStr">
        <is>
          <t>Assumptions (blue = input; sources on the Sources tab)</t>
        </is>
      </c>
      <c r="B41" s="22" t="n"/>
      <c r="C41" s="22" t="n"/>
      <c r="D41" s="22" t="n"/>
      <c r="E41" s="22" t="n"/>
      <c r="F41" s="22" t="n"/>
      <c r="G41" s="22" t="n"/>
      <c r="H41" s="22" t="n"/>
      <c r="I41" s="22" t="n"/>
    </row>
    <row r="42">
      <c r="A42" s="3" t="inlineStr">
        <is>
          <t>Input</t>
        </is>
      </c>
      <c r="B42" s="3" t="inlineStr">
        <is>
          <t>Value</t>
        </is>
      </c>
      <c r="C42" s="3" t="inlineStr">
        <is>
          <t>Basis / note</t>
        </is>
      </c>
    </row>
    <row r="43">
      <c r="A43" t="inlineStr">
        <is>
          <t>Run date (valuation as of)</t>
        </is>
      </c>
      <c r="B43" s="34" t="n">
        <v>46318</v>
      </c>
      <c r="C43" t="inlineStr"/>
    </row>
    <row r="44">
      <c r="A44" t="inlineStr">
        <is>
          <t>Target date (run date + 365 days)</t>
        </is>
      </c>
      <c r="B44" s="20">
        <f>B43+365</f>
        <v/>
      </c>
      <c r="C44" t="inlineStr">
        <is>
          <t>12-month horizon</t>
        </is>
      </c>
    </row>
    <row r="45">
      <c r="A45" t="inlineStr">
        <is>
          <t>Money unit</t>
        </is>
      </c>
      <c r="B45" s="35" t="inlineStr">
        <is>
          <t>$M</t>
        </is>
      </c>
      <c r="C45" t="inlineStr"/>
    </row>
    <row r="46">
      <c r="A46" t="inlineStr">
        <is>
          <t>EBIT basis (gaap / adjusted)</t>
        </is>
      </c>
      <c r="B46" s="35" t="inlineStr">
        <is>
          <t>adjusted</t>
        </is>
      </c>
      <c r="C46" t="inlineStr">
        <is>
          <t>gaap = after stock comp</t>
        </is>
      </c>
    </row>
    <row r="47">
      <c r="A47" t="inlineStr">
        <is>
          <t>Stock comp treatment (cost / dilution)</t>
        </is>
      </c>
      <c r="B47" s="35" t="inlineStr">
        <is>
          <t>dilution</t>
        </is>
      </c>
      <c r="C47" t="inlineStr">
        <is>
          <t>used only when EBIT is adjusted</t>
        </is>
      </c>
    </row>
    <row r="48">
      <c r="A48" t="inlineStr">
        <is>
          <t>Last reported fiscal year end</t>
        </is>
      </c>
      <c r="B48" s="34" t="n">
        <v>45956</v>
      </c>
      <c r="C48" t="inlineStr"/>
    </row>
    <row r="49">
      <c r="A49" t="inlineStr">
        <is>
          <t>Net sales, last reported year ($M)</t>
        </is>
      </c>
      <c r="B49" s="30" t="n">
        <v>28368</v>
      </c>
      <c r="C49" t="inlineStr"/>
    </row>
    <row r="50">
      <c r="A50" t="inlineStr">
        <is>
          <t>WACC</t>
        </is>
      </c>
      <c r="B50" s="29" t="n">
        <v>0.1364</v>
      </c>
      <c r="C50" t="inlineStr">
        <is>
          <t>filled in (not stated in this set's original work): cost of equity 0.1364 = T-bill 0.0412 + premium 0.0952 (beta 1.90 on the 5.00% market premium, the price target's market leg, 2026-09-29); after-tax debt 0.0423 x (1 - 0.110) on net debt and minorities 0 vs equity 409,608 (800.00M x $512.01) -&gt; WACC 0.1364</t>
        </is>
      </c>
    </row>
    <row r="51">
      <c r="A51" t="inlineStr">
        <is>
          <t>Terminal method (gordon / exit_multiple / steady_state)</t>
        </is>
      </c>
      <c r="B51" s="35" t="inlineStr">
        <is>
          <t>gordon</t>
        </is>
      </c>
      <c r="C51" t="inlineStr"/>
    </row>
    <row r="52">
      <c r="A52" t="inlineStr">
        <is>
          <t>Terminal growth</t>
        </is>
      </c>
      <c r="B52" s="29" t="n">
        <v>0.02</v>
      </c>
      <c r="C52" t="inlineStr"/>
    </row>
    <row r="53">
      <c r="A53" t="inlineStr">
        <is>
          <t>Exit EV/EBITDA (exit_multiple only)</t>
        </is>
      </c>
      <c r="B53" s="36" t="n"/>
      <c r="C53" t="inlineStr"/>
    </row>
    <row r="54">
      <c r="A54" t="inlineStr">
        <is>
          <t>Balance-sheet date</t>
        </is>
      </c>
      <c r="B54" s="34" t="n">
        <v>46229</v>
      </c>
      <c r="C54" t="inlineStr"/>
    </row>
    <row r="55">
      <c r="A55" t="inlineStr">
        <is>
          <t>Net debt / (net cash) at balance date ($M)</t>
        </is>
      </c>
      <c r="B55" s="30" t="n">
        <v>0</v>
      </c>
      <c r="C55" t="inlineStr">
        <is>
          <t>excludes operating leases</t>
        </is>
      </c>
    </row>
    <row r="56">
      <c r="A56" t="inlineStr">
        <is>
          <t>Minority interests + preferred stock</t>
        </is>
      </c>
      <c r="B56" s="30" t="n">
        <v>0</v>
      </c>
      <c r="C56" t="inlineStr"/>
    </row>
    <row r="57">
      <c r="A57" t="inlineStr">
        <is>
          <t>Interest rate on net debt / cash</t>
        </is>
      </c>
      <c r="B57" s="29" t="n">
        <v>0.0423</v>
      </c>
      <c r="C57" t="inlineStr"/>
    </row>
    <row r="58">
      <c r="A58" t="inlineStr">
        <is>
          <t>Net debt at target date (override; blank = bridge)</t>
        </is>
      </c>
      <c r="B58" s="30" t="n"/>
      <c r="C58" t="inlineStr"/>
    </row>
    <row r="59">
      <c r="A59" t="inlineStr">
        <is>
          <t>Diluted shares (M)</t>
        </is>
      </c>
      <c r="B59" s="37" t="n">
        <v>800</v>
      </c>
      <c r="C59" t="inlineStr"/>
    </row>
    <row r="60">
      <c r="A60" t="inlineStr">
        <is>
          <t>Share count date</t>
        </is>
      </c>
      <c r="B60" s="34" t="n">
        <v>46229</v>
      </c>
      <c r="C60" t="inlineStr"/>
    </row>
    <row r="61">
      <c r="A61" t="inlineStr">
        <is>
          <t>Annual change in diluted shares</t>
        </is>
      </c>
      <c r="B61" s="29" t="n">
        <v>-0.0106</v>
      </c>
      <c r="C61" t="inlineStr">
        <is>
          <t>net of buybacks and stock-comp dilution</t>
        </is>
      </c>
    </row>
    <row r="62">
      <c r="A62" t="inlineStr">
        <is>
          <t>Shares at target date (override; blank = from annual change)</t>
        </is>
      </c>
      <c r="B62" s="37" t="n">
        <v>790</v>
      </c>
      <c r="C62" t="inlineStr"/>
    </row>
    <row r="63">
      <c r="A63" t="inlineStr">
        <is>
          <t>DCF weight</t>
        </is>
      </c>
      <c r="B63" s="29" t="n">
        <v>0</v>
      </c>
      <c r="C63" t="inlineStr">
        <is>
          <t>Kilian 2026-10-21: 0 unless the name has a DCF leg (dcf_policy)</t>
        </is>
      </c>
    </row>
    <row r="64">
      <c r="A64" t="inlineStr">
        <is>
          <t>Sum-of-the-parts weight</t>
        </is>
      </c>
      <c r="B64" s="29" t="n">
        <v>0</v>
      </c>
      <c r="C64" t="inlineStr"/>
    </row>
    <row r="65">
      <c r="A65" t="inlineStr">
        <is>
          <t>Spread within each scenario (lognormal vol)</t>
        </is>
      </c>
      <c r="B65" s="29" t="n">
        <v>0.15</v>
      </c>
      <c r="C65" t="inlineStr"/>
    </row>
    <row r="66">
      <c r="A66" t="inlineStr">
        <is>
          <t>Share price at the run</t>
        </is>
      </c>
      <c r="B66" s="38" t="n">
        <v>377.24</v>
      </c>
      <c r="C66" t="inlineStr">
        <is>
          <t>close used by the run (2026-10-23)</t>
        </is>
      </c>
    </row>
    <row r="68">
      <c r="A68" s="3" t="inlineStr">
        <is>
          <t>Target multiple</t>
        </is>
      </c>
      <c r="B68" s="3" t="inlineStr">
        <is>
          <t>Multiple</t>
        </is>
      </c>
      <c r="C68" s="3" t="inlineStr">
        <is>
          <t>Weight</t>
        </is>
      </c>
      <c r="D68" s="3" t="inlineStr">
        <is>
          <t>Basis (ntm / ltm)</t>
        </is>
      </c>
      <c r="E68" s="3" t="inlineStr">
        <is>
          <t>EBITDA basis</t>
        </is>
      </c>
      <c r="F68" s="3" t="inlineStr">
        <is>
          <t>Stated EPS</t>
        </is>
      </c>
      <c r="G68" s="3" t="inlineStr">
        <is>
          <t>Stated FCF/share</t>
        </is>
      </c>
      <c r="H68" s="3" t="inlineStr">
        <is>
          <t>Levered</t>
        </is>
      </c>
      <c r="I68" s="3" t="inlineStr">
        <is>
          <t>Peer basis</t>
        </is>
      </c>
    </row>
    <row r="69">
      <c r="A69" s="35" t="inlineStr">
        <is>
          <t>P/E</t>
        </is>
      </c>
      <c r="B69" s="36" t="n">
        <v>21.13</v>
      </c>
      <c r="C69" s="29" t="n">
        <v>1</v>
      </c>
      <c r="D69" s="35" t="inlineStr">
        <is>
          <t>ntm</t>
        </is>
      </c>
      <c r="E69" s="35" t="inlineStr">
        <is>
          <t>gaap</t>
        </is>
      </c>
      <c r="F69" s="39" t="n"/>
      <c r="G69" s="39" t="n"/>
      <c r="H69" s="35" t="b">
        <v>1</v>
      </c>
      <c r="I69" t="inlineStr">
        <is>
          <t>Peer table 2026-10-23 (Kilian's approved WFE set, 2026-10-26), every row re-based to AMAT's EPS basis (stock comp a cost; acquired amortization out): median calendar-NTM P/E 22.615x of 10 front-end equipment makers (Lam Research 22.73, KLA 25.07, ASML (ADR) 26.66, Onto Innovation 18.02, Nova 25.48, Tokyo Electron 22.11, ASM International 22.50, Kokusai Electric 20.26, SCREEN Holdings 15.60, Lasertec 30.65). AMAT itself 20.77x ($377.24 / $18.16 Zacks NTM, which equals AMAT's non-GAAP basis: Q3 FY26 3.50 = 3.50). Multiple = the peer median, no discount (Kilian card 2026-10-26 06:24Z 'Peer median'). [driver model: NTM EPS computed from the drivers (NTM NOPAT / horizon shares).] Was 22.5x (agents' 21-23.5x band, no peer table). EXIT k=0.8 (2026-10-26T12:28Z): Exit-multiple rule (Kilian card 2026-10-26 12:16Z; METHOD.md Peer comparables): exit = peer median x (own NTM multiple / peer median)^k, k = 0.8. Peer median 22.615x; own 20.77x: AMAT $377.24 / Zacks NTM $18.16 (= AMAT non-GAAP basis: Q3 FY26 3.50 = 3.50) = 20.77x (comps_summary.amat_fwd_pe). 22.615 x (20.77 / 22.615)^0.8 = 22.615 x 0.9342 = 21.13x (was 22.62x).</t>
        </is>
      </c>
    </row>
    <row r="71">
      <c r="A71" s="3" t="inlineStr">
        <is>
          <t>Segment (sum of the parts)</t>
        </is>
      </c>
      <c r="B71" s="3" t="inlineStr">
        <is>
          <t>NTM metric</t>
        </is>
      </c>
      <c r="C71" s="3" t="inlineStr">
        <is>
          <t>Metric</t>
        </is>
      </c>
      <c r="D71" s="3" t="inlineStr">
        <is>
          <t>Multiple</t>
        </is>
      </c>
      <c r="E71" s="3" t="inlineStr">
        <is>
          <t>Note</t>
        </is>
      </c>
    </row>
    <row r="72">
      <c r="A72" s="11" t="inlineStr">
        <is>
          <t>none</t>
        </is>
      </c>
    </row>
    <row r="74">
      <c r="A74" s="3" t="inlineStr">
        <is>
          <t>Adjustment (equity level)</t>
        </is>
      </c>
      <c r="B74" s="3" t="inlineStr">
        <is>
          <t>Value</t>
        </is>
      </c>
      <c r="C74" s="3" t="inlineStr">
        <is>
          <t>Probability</t>
        </is>
      </c>
      <c r="D74" s="3" t="inlineStr">
        <is>
          <t>Note</t>
        </is>
      </c>
    </row>
    <row r="75">
      <c r="A75" s="35" t="inlineStr">
        <is>
          <t>Net cash, Q3 FY26 10-Q (2026-07-26)</t>
        </is>
      </c>
      <c r="B75" s="30" t="n">
        <v>7957</v>
      </c>
      <c r="C75" s="29" t="n">
        <v>1</v>
      </c>
      <c r="D75" t="inlineStr">
        <is>
          <t>cash 7,037 + short-term investments 2,196 + long-term investments 5,268 - short-term debt 1,299 - long-term debt 5,245 = 7,957 ($10.03/share on 793.6M shares; post-gate figure). Carried here, not in balance.net_debt, so it is added once to every leg, as the forecasters add net cash per share to each leg.</t>
        </is>
      </c>
    </row>
    <row r="77">
      <c r="A77" s="3" t="inlineStr">
        <is>
          <t>Custom method</t>
        </is>
      </c>
      <c r="B77" s="3" t="inlineStr">
        <is>
          <t>Value per share</t>
        </is>
      </c>
      <c r="C77" s="3" t="inlineStr">
        <is>
          <t>Weight</t>
        </is>
      </c>
      <c r="D77" s="3" t="inlineStr">
        <is>
          <t>Explanation</t>
        </is>
      </c>
    </row>
    <row r="78">
      <c r="A78" s="11" t="inlineStr">
        <is>
          <t>none</t>
        </is>
      </c>
    </row>
    <row r="80">
      <c r="A80" s="3" t="inlineStr">
        <is>
          <t>Scenario</t>
        </is>
      </c>
      <c r="B80" s="3" t="inlineStr">
        <is>
          <t>Probability</t>
        </is>
      </c>
      <c r="C80" s="3" t="inlineStr">
        <is>
          <t>Growth Δ</t>
        </is>
      </c>
      <c r="D80" s="3" t="inlineStr">
        <is>
          <t>Margin Δ</t>
        </is>
      </c>
      <c r="E80" s="3" t="inlineStr">
        <is>
          <t>Multiple Δ (turns)</t>
        </is>
      </c>
      <c r="F80" s="3" t="inlineStr">
        <is>
          <t>WACC Δ</t>
        </is>
      </c>
      <c r="G80" s="3" t="inlineStr">
        <is>
          <t>Multiple %Δ (FCF yield, segments)</t>
        </is>
      </c>
      <c r="H80" s="3" t="inlineStr">
        <is>
          <t>Stated EPS/FCF %Δ</t>
        </is>
      </c>
      <c r="I80" s="3" t="inlineStr">
        <is>
          <t>Custom methods %Δ</t>
        </is>
      </c>
      <c r="J80" s="3" t="inlineStr">
        <is>
          <t>Story</t>
        </is>
      </c>
    </row>
    <row r="81">
      <c r="A81" t="inlineStr">
        <is>
          <t>bear</t>
        </is>
      </c>
      <c r="B81" s="29" t="n">
        <v>0.25</v>
      </c>
      <c r="C81" s="29" t="n"/>
      <c r="D81" s="29" t="n"/>
      <c r="E81" s="40" t="n">
        <v>-6</v>
      </c>
      <c r="F81" s="29" t="n"/>
      <c r="G81" s="29" t="n">
        <v>-0.3636</v>
      </c>
      <c r="H81" s="29" t="n"/>
      <c r="I81" s="29" t="n"/>
      <c r="J81" s="41" t="inlineStr">
        <is>
          <t>Forecasters' median bear (the supervisor did not restate scenarios): a real 2027-28 WFE downturn (customer capex cuts, AI-capex digestion, the Affiliates Rule returning on Nov 10, 2026 unless extended); NTM EPS -20% (~$18.2) and the multiple -6 turns (16.5x). The supervisor's thesis break is $335 (~15x a ~$22.8 NTM EPS). Driver restatement: the -20% NTM EPS = WFE -15% vs path (2027-28 digestion), AGS -3% (Affiliates Rule: China service/parts, company ~$600M/yr at risk), GM -1 pt; multiple -6 turns kept.</t>
        </is>
      </c>
      <c r="K81" s="41" t="inlineStr">
        <is>
          <t>driver deltas: wfe -0.15 %; ags -0.03 %; gm -0.01</t>
        </is>
      </c>
    </row>
    <row r="82">
      <c r="A82" t="inlineStr">
        <is>
          <t>base</t>
        </is>
      </c>
      <c r="B82" s="29" t="n">
        <v>0.5</v>
      </c>
      <c r="C82" s="29" t="n"/>
      <c r="D82" s="29" t="n"/>
      <c r="E82" s="40" t="n">
        <v>0.5</v>
      </c>
      <c r="F82" s="29" t="n"/>
      <c r="G82" s="29" t="n">
        <v>0.0217</v>
      </c>
      <c r="H82" s="29" t="n"/>
      <c r="I82" s="29" t="n"/>
      <c r="J82" s="41" t="inlineStr">
        <is>
          <t>[exit k=0.8 2026-10-26: P/E 22.62x -&gt; 21.13x] Forecasters' median base: SEMI's path holds (2028 WFE raised to $220B), FY28 expectations +4.55% (~$23.8, about the $23.85 consensus) at 23x NTM. Driver model: SEMI 2028 $220B is now in the wfe driver, so the old +4.55% EPS delta is dropped; multiple +0.5 kept.</t>
        </is>
      </c>
    </row>
    <row r="83">
      <c r="A83" t="inlineStr">
        <is>
          <t>bull</t>
        </is>
      </c>
      <c r="B83" s="29" t="n">
        <v>0.25</v>
      </c>
      <c r="C83" s="29" t="n"/>
      <c r="D83" s="29" t="n"/>
      <c r="E83" s="40" t="n">
        <v>7</v>
      </c>
      <c r="F83" s="29" t="n"/>
      <c r="G83" s="29" t="n">
        <v>0.2373</v>
      </c>
      <c r="H83" s="29" t="n"/>
      <c r="I83" s="29" t="n"/>
      <c r="J83" s="41" t="inlineStr">
        <is>
          <t>Forecasters' median bull: the upcycle extends into 2028-29, FY28 EPS +20% (~$27.3) and the multiple +7 turns (29.5x). Driver restatement: the +20% EPS = WFE +10% (Lam Oct 21 &gt;$200B 2027 / sell-side +28-33%), share +4% (GAA, HBM, packaging), GM +1 pt (agent_1 low 50s); FY28 revenue ~$55.5B = consensus. Multiple +7 kept.</t>
        </is>
      </c>
      <c r="K83" s="41" t="inlineStr">
        <is>
          <t>driver deltas: wfe +0.1 %; shr +0.04 %; gm +0.01</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30"/>
  <sheetViews>
    <sheetView showGridLines="0" workbookViewId="0">
      <selection activeCell="A1" sqref="A1"/>
    </sheetView>
  </sheetViews>
  <sheetFormatPr baseColWidth="8" defaultRowHeight="15"/>
  <cols>
    <col width="30" customWidth="1" min="1" max="1"/>
    <col width="13" customWidth="1" min="2" max="2"/>
    <col width="13" customWidth="1" min="3" max="3"/>
    <col width="13" customWidth="1" min="4" max="4"/>
    <col width="13" customWidth="1" min="5" max="5"/>
    <col width="13" customWidth="1" min="6" max="6"/>
    <col width="13" customWidth="1" min="7" max="7"/>
  </cols>
  <sheetData>
    <row r="1">
      <c r="A1" s="1" t="inlineStr">
        <is>
          <t>AMAT: sensitivity tables (bold = current inputs; every cell recalculates from the live model)</t>
        </is>
      </c>
    </row>
    <row r="3">
      <c r="A3" s="19" t="inlineStr">
        <is>
          <t>DCF value per share: WACC (down) x terminal growth (across)</t>
        </is>
      </c>
    </row>
    <row r="4">
      <c r="A4" s="19" t="inlineStr">
        <is>
          <t>WACC \ growth</t>
        </is>
      </c>
      <c r="B4" s="7">
        <f>Valuation!$B$52+(-0.01)</f>
        <v/>
      </c>
      <c r="C4" s="7">
        <f>Valuation!$B$52+(-0.005)</f>
        <v/>
      </c>
      <c r="D4" s="7">
        <f>Valuation!$B$52+(0)</f>
        <v/>
      </c>
      <c r="E4" s="7">
        <f>Valuation!$B$52+(0.005)</f>
        <v/>
      </c>
      <c r="F4" s="7">
        <f>Valuation!$B$52+(0.01)</f>
        <v/>
      </c>
    </row>
    <row r="5">
      <c r="A5" s="7">
        <f>Valuation!$B$50+(-0.01)</f>
        <v/>
      </c>
      <c r="B5" s="9">
        <f>IF($A5-B$4&lt;=0.01,"n/a",((SUMPRODUCT('Calc - research target (12m)'!$C$31:$E$31,'Calc - research target (12m)'!$C$35:$E$35,(1+$A5)^(-('Calc - research target (12m)'!$C$19:$E$19-'Calc - research target (12m)'!$B$13)))+'Calc - research target (12m)'!$E$31*(1+B$4)/($A5-B$4)/(1+$A5)^('Calc - research target (12m)'!$B$16-'Calc - research target (12m)'!$B$13))-'Calc - research target (12m)'!$B$50-'Calc - research target (12m)'!$B$51+'Calc - research target (12m)'!$B$52)/'Calc - research target (12m)'!$B$53)</f>
        <v/>
      </c>
      <c r="C5" s="9">
        <f>IF($A5-C$4&lt;=0.01,"n/a",((SUMPRODUCT('Calc - research target (12m)'!$C$31:$E$31,'Calc - research target (12m)'!$C$35:$E$35,(1+$A5)^(-('Calc - research target (12m)'!$C$19:$E$19-'Calc - research target (12m)'!$B$13)))+'Calc - research target (12m)'!$E$31*(1+C$4)/($A5-C$4)/(1+$A5)^('Calc - research target (12m)'!$B$16-'Calc - research target (12m)'!$B$13))-'Calc - research target (12m)'!$B$50-'Calc - research target (12m)'!$B$51+'Calc - research target (12m)'!$B$52)/'Calc - research target (12m)'!$B$53)</f>
        <v/>
      </c>
      <c r="D5" s="9">
        <f>IF($A5-D$4&lt;=0.01,"n/a",((SUMPRODUCT('Calc - research target (12m)'!$C$31:$E$31,'Calc - research target (12m)'!$C$35:$E$35,(1+$A5)^(-('Calc - research target (12m)'!$C$19:$E$19-'Calc - research target (12m)'!$B$13)))+'Calc - research target (12m)'!$E$31*(1+D$4)/($A5-D$4)/(1+$A5)^('Calc - research target (12m)'!$B$16-'Calc - research target (12m)'!$B$13))-'Calc - research target (12m)'!$B$50-'Calc - research target (12m)'!$B$51+'Calc - research target (12m)'!$B$52)/'Calc - research target (12m)'!$B$53)</f>
        <v/>
      </c>
      <c r="E5" s="9">
        <f>IF($A5-E$4&lt;=0.01,"n/a",((SUMPRODUCT('Calc - research target (12m)'!$C$31:$E$31,'Calc - research target (12m)'!$C$35:$E$35,(1+$A5)^(-('Calc - research target (12m)'!$C$19:$E$19-'Calc - research target (12m)'!$B$13)))+'Calc - research target (12m)'!$E$31*(1+E$4)/($A5-E$4)/(1+$A5)^('Calc - research target (12m)'!$B$16-'Calc - research target (12m)'!$B$13))-'Calc - research target (12m)'!$B$50-'Calc - research target (12m)'!$B$51+'Calc - research target (12m)'!$B$52)/'Calc - research target (12m)'!$B$53)</f>
        <v/>
      </c>
      <c r="F5" s="9">
        <f>IF($A5-F$4&lt;=0.01,"n/a",((SUMPRODUCT('Calc - research target (12m)'!$C$31:$E$31,'Calc - research target (12m)'!$C$35:$E$35,(1+$A5)^(-('Calc - research target (12m)'!$C$19:$E$19-'Calc - research target (12m)'!$B$13)))+'Calc - research target (12m)'!$E$31*(1+F$4)/($A5-F$4)/(1+$A5)^('Calc - research target (12m)'!$B$16-'Calc - research target (12m)'!$B$13))-'Calc - research target (12m)'!$B$50-'Calc - research target (12m)'!$B$51+'Calc - research target (12m)'!$B$52)/'Calc - research target (12m)'!$B$53)</f>
        <v/>
      </c>
    </row>
    <row r="6">
      <c r="A6" s="7">
        <f>Valuation!$B$50+(-0.005)</f>
        <v/>
      </c>
      <c r="B6" s="9">
        <f>IF($A6-B$4&lt;=0.01,"n/a",((SUMPRODUCT('Calc - research target (12m)'!$C$31:$E$31,'Calc - research target (12m)'!$C$35:$E$35,(1+$A6)^(-('Calc - research target (12m)'!$C$19:$E$19-'Calc - research target (12m)'!$B$13)))+'Calc - research target (12m)'!$E$31*(1+B$4)/($A6-B$4)/(1+$A6)^('Calc - research target (12m)'!$B$16-'Calc - research target (12m)'!$B$13))-'Calc - research target (12m)'!$B$50-'Calc - research target (12m)'!$B$51+'Calc - research target (12m)'!$B$52)/'Calc - research target (12m)'!$B$53)</f>
        <v/>
      </c>
      <c r="C6" s="9">
        <f>IF($A6-C$4&lt;=0.01,"n/a",((SUMPRODUCT('Calc - research target (12m)'!$C$31:$E$31,'Calc - research target (12m)'!$C$35:$E$35,(1+$A6)^(-('Calc - research target (12m)'!$C$19:$E$19-'Calc - research target (12m)'!$B$13)))+'Calc - research target (12m)'!$E$31*(1+C$4)/($A6-C$4)/(1+$A6)^('Calc - research target (12m)'!$B$16-'Calc - research target (12m)'!$B$13))-'Calc - research target (12m)'!$B$50-'Calc - research target (12m)'!$B$51+'Calc - research target (12m)'!$B$52)/'Calc - research target (12m)'!$B$53)</f>
        <v/>
      </c>
      <c r="D6" s="9">
        <f>IF($A6-D$4&lt;=0.01,"n/a",((SUMPRODUCT('Calc - research target (12m)'!$C$31:$E$31,'Calc - research target (12m)'!$C$35:$E$35,(1+$A6)^(-('Calc - research target (12m)'!$C$19:$E$19-'Calc - research target (12m)'!$B$13)))+'Calc - research target (12m)'!$E$31*(1+D$4)/($A6-D$4)/(1+$A6)^('Calc - research target (12m)'!$B$16-'Calc - research target (12m)'!$B$13))-'Calc - research target (12m)'!$B$50-'Calc - research target (12m)'!$B$51+'Calc - research target (12m)'!$B$52)/'Calc - research target (12m)'!$B$53)</f>
        <v/>
      </c>
      <c r="E6" s="9">
        <f>IF($A6-E$4&lt;=0.01,"n/a",((SUMPRODUCT('Calc - research target (12m)'!$C$31:$E$31,'Calc - research target (12m)'!$C$35:$E$35,(1+$A6)^(-('Calc - research target (12m)'!$C$19:$E$19-'Calc - research target (12m)'!$B$13)))+'Calc - research target (12m)'!$E$31*(1+E$4)/($A6-E$4)/(1+$A6)^('Calc - research target (12m)'!$B$16-'Calc - research target (12m)'!$B$13))-'Calc - research target (12m)'!$B$50-'Calc - research target (12m)'!$B$51+'Calc - research target (12m)'!$B$52)/'Calc - research target (12m)'!$B$53)</f>
        <v/>
      </c>
      <c r="F6" s="9">
        <f>IF($A6-F$4&lt;=0.01,"n/a",((SUMPRODUCT('Calc - research target (12m)'!$C$31:$E$31,'Calc - research target (12m)'!$C$35:$E$35,(1+$A6)^(-('Calc - research target (12m)'!$C$19:$E$19-'Calc - research target (12m)'!$B$13)))+'Calc - research target (12m)'!$E$31*(1+F$4)/($A6-F$4)/(1+$A6)^('Calc - research target (12m)'!$B$16-'Calc - research target (12m)'!$B$13))-'Calc - research target (12m)'!$B$50-'Calc - research target (12m)'!$B$51+'Calc - research target (12m)'!$B$52)/'Calc - research target (12m)'!$B$53)</f>
        <v/>
      </c>
    </row>
    <row r="7">
      <c r="A7" s="7">
        <f>Valuation!$B$50+(0)</f>
        <v/>
      </c>
      <c r="B7" s="9">
        <f>IF($A7-B$4&lt;=0.01,"n/a",((SUMPRODUCT('Calc - research target (12m)'!$C$31:$E$31,'Calc - research target (12m)'!$C$35:$E$35,(1+$A7)^(-('Calc - research target (12m)'!$C$19:$E$19-'Calc - research target (12m)'!$B$13)))+'Calc - research target (12m)'!$E$31*(1+B$4)/($A7-B$4)/(1+$A7)^('Calc - research target (12m)'!$B$16-'Calc - research target (12m)'!$B$13))-'Calc - research target (12m)'!$B$50-'Calc - research target (12m)'!$B$51+'Calc - research target (12m)'!$B$52)/'Calc - research target (12m)'!$B$53)</f>
        <v/>
      </c>
      <c r="C7" s="9">
        <f>IF($A7-C$4&lt;=0.01,"n/a",((SUMPRODUCT('Calc - research target (12m)'!$C$31:$E$31,'Calc - research target (12m)'!$C$35:$E$35,(1+$A7)^(-('Calc - research target (12m)'!$C$19:$E$19-'Calc - research target (12m)'!$B$13)))+'Calc - research target (12m)'!$E$31*(1+C$4)/($A7-C$4)/(1+$A7)^('Calc - research target (12m)'!$B$16-'Calc - research target (12m)'!$B$13))-'Calc - research target (12m)'!$B$50-'Calc - research target (12m)'!$B$51+'Calc - research target (12m)'!$B$52)/'Calc - research target (12m)'!$B$53)</f>
        <v/>
      </c>
      <c r="D7" s="6">
        <f>IF($A7-D$4&lt;=0.01,"n/a",((SUMPRODUCT('Calc - research target (12m)'!$C$31:$E$31,'Calc - research target (12m)'!$C$35:$E$35,(1+$A7)^(-('Calc - research target (12m)'!$C$19:$E$19-'Calc - research target (12m)'!$B$13)))+'Calc - research target (12m)'!$E$31*(1+D$4)/($A7-D$4)/(1+$A7)^('Calc - research target (12m)'!$B$16-'Calc - research target (12m)'!$B$13))-'Calc - research target (12m)'!$B$50-'Calc - research target (12m)'!$B$51+'Calc - research target (12m)'!$B$52)/'Calc - research target (12m)'!$B$53)</f>
        <v/>
      </c>
      <c r="E7" s="9">
        <f>IF($A7-E$4&lt;=0.01,"n/a",((SUMPRODUCT('Calc - research target (12m)'!$C$31:$E$31,'Calc - research target (12m)'!$C$35:$E$35,(1+$A7)^(-('Calc - research target (12m)'!$C$19:$E$19-'Calc - research target (12m)'!$B$13)))+'Calc - research target (12m)'!$E$31*(1+E$4)/($A7-E$4)/(1+$A7)^('Calc - research target (12m)'!$B$16-'Calc - research target (12m)'!$B$13))-'Calc - research target (12m)'!$B$50-'Calc - research target (12m)'!$B$51+'Calc - research target (12m)'!$B$52)/'Calc - research target (12m)'!$B$53)</f>
        <v/>
      </c>
      <c r="F7" s="9">
        <f>IF($A7-F$4&lt;=0.01,"n/a",((SUMPRODUCT('Calc - research target (12m)'!$C$31:$E$31,'Calc - research target (12m)'!$C$35:$E$35,(1+$A7)^(-('Calc - research target (12m)'!$C$19:$E$19-'Calc - research target (12m)'!$B$13)))+'Calc - research target (12m)'!$E$31*(1+F$4)/($A7-F$4)/(1+$A7)^('Calc - research target (12m)'!$B$16-'Calc - research target (12m)'!$B$13))-'Calc - research target (12m)'!$B$50-'Calc - research target (12m)'!$B$51+'Calc - research target (12m)'!$B$52)/'Calc - research target (12m)'!$B$53)</f>
        <v/>
      </c>
    </row>
    <row r="8">
      <c r="A8" s="7">
        <f>Valuation!$B$50+(0.005)</f>
        <v/>
      </c>
      <c r="B8" s="9">
        <f>IF($A8-B$4&lt;=0.01,"n/a",((SUMPRODUCT('Calc - research target (12m)'!$C$31:$E$31,'Calc - research target (12m)'!$C$35:$E$35,(1+$A8)^(-('Calc - research target (12m)'!$C$19:$E$19-'Calc - research target (12m)'!$B$13)))+'Calc - research target (12m)'!$E$31*(1+B$4)/($A8-B$4)/(1+$A8)^('Calc - research target (12m)'!$B$16-'Calc - research target (12m)'!$B$13))-'Calc - research target (12m)'!$B$50-'Calc - research target (12m)'!$B$51+'Calc - research target (12m)'!$B$52)/'Calc - research target (12m)'!$B$53)</f>
        <v/>
      </c>
      <c r="C8" s="9">
        <f>IF($A8-C$4&lt;=0.01,"n/a",((SUMPRODUCT('Calc - research target (12m)'!$C$31:$E$31,'Calc - research target (12m)'!$C$35:$E$35,(1+$A8)^(-('Calc - research target (12m)'!$C$19:$E$19-'Calc - research target (12m)'!$B$13)))+'Calc - research target (12m)'!$E$31*(1+C$4)/($A8-C$4)/(1+$A8)^('Calc - research target (12m)'!$B$16-'Calc - research target (12m)'!$B$13))-'Calc - research target (12m)'!$B$50-'Calc - research target (12m)'!$B$51+'Calc - research target (12m)'!$B$52)/'Calc - research target (12m)'!$B$53)</f>
        <v/>
      </c>
      <c r="D8" s="9">
        <f>IF($A8-D$4&lt;=0.01,"n/a",((SUMPRODUCT('Calc - research target (12m)'!$C$31:$E$31,'Calc - research target (12m)'!$C$35:$E$35,(1+$A8)^(-('Calc - research target (12m)'!$C$19:$E$19-'Calc - research target (12m)'!$B$13)))+'Calc - research target (12m)'!$E$31*(1+D$4)/($A8-D$4)/(1+$A8)^('Calc - research target (12m)'!$B$16-'Calc - research target (12m)'!$B$13))-'Calc - research target (12m)'!$B$50-'Calc - research target (12m)'!$B$51+'Calc - research target (12m)'!$B$52)/'Calc - research target (12m)'!$B$53)</f>
        <v/>
      </c>
      <c r="E8" s="9">
        <f>IF($A8-E$4&lt;=0.01,"n/a",((SUMPRODUCT('Calc - research target (12m)'!$C$31:$E$31,'Calc - research target (12m)'!$C$35:$E$35,(1+$A8)^(-('Calc - research target (12m)'!$C$19:$E$19-'Calc - research target (12m)'!$B$13)))+'Calc - research target (12m)'!$E$31*(1+E$4)/($A8-E$4)/(1+$A8)^('Calc - research target (12m)'!$B$16-'Calc - research target (12m)'!$B$13))-'Calc - research target (12m)'!$B$50-'Calc - research target (12m)'!$B$51+'Calc - research target (12m)'!$B$52)/'Calc - research target (12m)'!$B$53)</f>
        <v/>
      </c>
      <c r="F8" s="9">
        <f>IF($A8-F$4&lt;=0.01,"n/a",((SUMPRODUCT('Calc - research target (12m)'!$C$31:$E$31,'Calc - research target (12m)'!$C$35:$E$35,(1+$A8)^(-('Calc - research target (12m)'!$C$19:$E$19-'Calc - research target (12m)'!$B$13)))+'Calc - research target (12m)'!$E$31*(1+F$4)/($A8-F$4)/(1+$A8)^('Calc - research target (12m)'!$B$16-'Calc - research target (12m)'!$B$13))-'Calc - research target (12m)'!$B$50-'Calc - research target (12m)'!$B$51+'Calc - research target (12m)'!$B$52)/'Calc - research target (12m)'!$B$53)</f>
        <v/>
      </c>
    </row>
    <row r="9">
      <c r="A9" s="7">
        <f>Valuation!$B$50+(0.01)</f>
        <v/>
      </c>
      <c r="B9" s="9">
        <f>IF($A9-B$4&lt;=0.01,"n/a",((SUMPRODUCT('Calc - research target (12m)'!$C$31:$E$31,'Calc - research target (12m)'!$C$35:$E$35,(1+$A9)^(-('Calc - research target (12m)'!$C$19:$E$19-'Calc - research target (12m)'!$B$13)))+'Calc - research target (12m)'!$E$31*(1+B$4)/($A9-B$4)/(1+$A9)^('Calc - research target (12m)'!$B$16-'Calc - research target (12m)'!$B$13))-'Calc - research target (12m)'!$B$50-'Calc - research target (12m)'!$B$51+'Calc - research target (12m)'!$B$52)/'Calc - research target (12m)'!$B$53)</f>
        <v/>
      </c>
      <c r="C9" s="9">
        <f>IF($A9-C$4&lt;=0.01,"n/a",((SUMPRODUCT('Calc - research target (12m)'!$C$31:$E$31,'Calc - research target (12m)'!$C$35:$E$35,(1+$A9)^(-('Calc - research target (12m)'!$C$19:$E$19-'Calc - research target (12m)'!$B$13)))+'Calc - research target (12m)'!$E$31*(1+C$4)/($A9-C$4)/(1+$A9)^('Calc - research target (12m)'!$B$16-'Calc - research target (12m)'!$B$13))-'Calc - research target (12m)'!$B$50-'Calc - research target (12m)'!$B$51+'Calc - research target (12m)'!$B$52)/'Calc - research target (12m)'!$B$53)</f>
        <v/>
      </c>
      <c r="D9" s="9">
        <f>IF($A9-D$4&lt;=0.01,"n/a",((SUMPRODUCT('Calc - research target (12m)'!$C$31:$E$31,'Calc - research target (12m)'!$C$35:$E$35,(1+$A9)^(-('Calc - research target (12m)'!$C$19:$E$19-'Calc - research target (12m)'!$B$13)))+'Calc - research target (12m)'!$E$31*(1+D$4)/($A9-D$4)/(1+$A9)^('Calc - research target (12m)'!$B$16-'Calc - research target (12m)'!$B$13))-'Calc - research target (12m)'!$B$50-'Calc - research target (12m)'!$B$51+'Calc - research target (12m)'!$B$52)/'Calc - research target (12m)'!$B$53)</f>
        <v/>
      </c>
      <c r="E9" s="9">
        <f>IF($A9-E$4&lt;=0.01,"n/a",((SUMPRODUCT('Calc - research target (12m)'!$C$31:$E$31,'Calc - research target (12m)'!$C$35:$E$35,(1+$A9)^(-('Calc - research target (12m)'!$C$19:$E$19-'Calc - research target (12m)'!$B$13)))+'Calc - research target (12m)'!$E$31*(1+E$4)/($A9-E$4)/(1+$A9)^('Calc - research target (12m)'!$B$16-'Calc - research target (12m)'!$B$13))-'Calc - research target (12m)'!$B$50-'Calc - research target (12m)'!$B$51+'Calc - research target (12m)'!$B$52)/'Calc - research target (12m)'!$B$53)</f>
        <v/>
      </c>
      <c r="F9" s="9">
        <f>IF($A9-F$4&lt;=0.01,"n/a",((SUMPRODUCT('Calc - research target (12m)'!$C$31:$E$31,'Calc - research target (12m)'!$C$35:$E$35,(1+$A9)^(-('Calc - research target (12m)'!$C$19:$E$19-'Calc - research target (12m)'!$B$13)))+'Calc - research target (12m)'!$E$31*(1+F$4)/($A9-F$4)/(1+$A9)^('Calc - research target (12m)'!$B$16-'Calc - research target (12m)'!$B$13))-'Calc - research target (12m)'!$B$50-'Calc - research target (12m)'!$B$51+'Calc - research target (12m)'!$B$52)/'Calc - research target (12m)'!$B$53)</f>
        <v/>
      </c>
    </row>
    <row r="11">
      <c r="A11" s="19" t="inlineStr">
        <is>
          <t>Research target (12m) per share: P/E multiple (down) x metric at target date (across)</t>
        </is>
      </c>
    </row>
    <row r="12">
      <c r="A12" s="19" t="inlineStr">
        <is>
          <t>Multiple \ metric</t>
        </is>
      </c>
      <c r="B12" s="24">
        <f>'Calc - research target (12m)'!$E$68*0.9</f>
        <v/>
      </c>
      <c r="C12" s="24">
        <f>'Calc - research target (12m)'!$E$68*0.95</f>
        <v/>
      </c>
      <c r="D12" s="24">
        <f>'Calc - research target (12m)'!$E$68*1.0</f>
        <v/>
      </c>
      <c r="E12" s="24">
        <f>'Calc - research target (12m)'!$E$68*1.05</f>
        <v/>
      </c>
      <c r="F12" s="24">
        <f>'Calc - research target (12m)'!$E$68*1.1</f>
        <v/>
      </c>
    </row>
    <row r="13">
      <c r="A13" s="42">
        <f>Valuation!$B$69+(-3)</f>
        <v/>
      </c>
      <c r="B13" s="9">
        <f>((SUMPRODUCT('Calc - research target (12m)'!$F$67:$F$68,'Calc - research target (12m)'!$G$67:$G$68)-'Calc - research target (12m)'!$F$68*'Calc - research target (12m)'!$G$68)+'Calc - research target (12m)'!$G$68*($A13*(B$12-'Calc - research target (12m)'!$B$54)/'Calc - research target (12m)'!$B$53+'Calc - research target (12m)'!$B$52/'Calc - research target (12m)'!$B$53))/SUM('Calc - research target (12m)'!$G$67:$G$68)</f>
        <v/>
      </c>
      <c r="C13" s="9">
        <f>((SUMPRODUCT('Calc - research target (12m)'!$F$67:$F$68,'Calc - research target (12m)'!$G$67:$G$68)-'Calc - research target (12m)'!$F$68*'Calc - research target (12m)'!$G$68)+'Calc - research target (12m)'!$G$68*($A13*(C$12-'Calc - research target (12m)'!$B$54)/'Calc - research target (12m)'!$B$53+'Calc - research target (12m)'!$B$52/'Calc - research target (12m)'!$B$53))/SUM('Calc - research target (12m)'!$G$67:$G$68)</f>
        <v/>
      </c>
      <c r="D13" s="9">
        <f>((SUMPRODUCT('Calc - research target (12m)'!$F$67:$F$68,'Calc - research target (12m)'!$G$67:$G$68)-'Calc - research target (12m)'!$F$68*'Calc - research target (12m)'!$G$68)+'Calc - research target (12m)'!$G$68*($A13*(D$12-'Calc - research target (12m)'!$B$54)/'Calc - research target (12m)'!$B$53+'Calc - research target (12m)'!$B$52/'Calc - research target (12m)'!$B$53))/SUM('Calc - research target (12m)'!$G$67:$G$68)</f>
        <v/>
      </c>
      <c r="E13" s="9">
        <f>((SUMPRODUCT('Calc - research target (12m)'!$F$67:$F$68,'Calc - research target (12m)'!$G$67:$G$68)-'Calc - research target (12m)'!$F$68*'Calc - research target (12m)'!$G$68)+'Calc - research target (12m)'!$G$68*($A13*(E$12-'Calc - research target (12m)'!$B$54)/'Calc - research target (12m)'!$B$53+'Calc - research target (12m)'!$B$52/'Calc - research target (12m)'!$B$53))/SUM('Calc - research target (12m)'!$G$67:$G$68)</f>
        <v/>
      </c>
      <c r="F13" s="9">
        <f>((SUMPRODUCT('Calc - research target (12m)'!$F$67:$F$68,'Calc - research target (12m)'!$G$67:$G$68)-'Calc - research target (12m)'!$F$68*'Calc - research target (12m)'!$G$68)+'Calc - research target (12m)'!$G$68*($A13*(F$12-'Calc - research target (12m)'!$B$54)/'Calc - research target (12m)'!$B$53+'Calc - research target (12m)'!$B$52/'Calc - research target (12m)'!$B$53))/SUM('Calc - research target (12m)'!$G$67:$G$68)</f>
        <v/>
      </c>
    </row>
    <row r="14">
      <c r="A14" s="42">
        <f>Valuation!$B$69+(-2)</f>
        <v/>
      </c>
      <c r="B14" s="9">
        <f>((SUMPRODUCT('Calc - research target (12m)'!$F$67:$F$68,'Calc - research target (12m)'!$G$67:$G$68)-'Calc - research target (12m)'!$F$68*'Calc - research target (12m)'!$G$68)+'Calc - research target (12m)'!$G$68*($A14*(B$12-'Calc - research target (12m)'!$B$54)/'Calc - research target (12m)'!$B$53+'Calc - research target (12m)'!$B$52/'Calc - research target (12m)'!$B$53))/SUM('Calc - research target (12m)'!$G$67:$G$68)</f>
        <v/>
      </c>
      <c r="C14" s="9">
        <f>((SUMPRODUCT('Calc - research target (12m)'!$F$67:$F$68,'Calc - research target (12m)'!$G$67:$G$68)-'Calc - research target (12m)'!$F$68*'Calc - research target (12m)'!$G$68)+'Calc - research target (12m)'!$G$68*($A14*(C$12-'Calc - research target (12m)'!$B$54)/'Calc - research target (12m)'!$B$53+'Calc - research target (12m)'!$B$52/'Calc - research target (12m)'!$B$53))/SUM('Calc - research target (12m)'!$G$67:$G$68)</f>
        <v/>
      </c>
      <c r="D14" s="9">
        <f>((SUMPRODUCT('Calc - research target (12m)'!$F$67:$F$68,'Calc - research target (12m)'!$G$67:$G$68)-'Calc - research target (12m)'!$F$68*'Calc - research target (12m)'!$G$68)+'Calc - research target (12m)'!$G$68*($A14*(D$12-'Calc - research target (12m)'!$B$54)/'Calc - research target (12m)'!$B$53+'Calc - research target (12m)'!$B$52/'Calc - research target (12m)'!$B$53))/SUM('Calc - research target (12m)'!$G$67:$G$68)</f>
        <v/>
      </c>
      <c r="E14" s="9">
        <f>((SUMPRODUCT('Calc - research target (12m)'!$F$67:$F$68,'Calc - research target (12m)'!$G$67:$G$68)-'Calc - research target (12m)'!$F$68*'Calc - research target (12m)'!$G$68)+'Calc - research target (12m)'!$G$68*($A14*(E$12-'Calc - research target (12m)'!$B$54)/'Calc - research target (12m)'!$B$53+'Calc - research target (12m)'!$B$52/'Calc - research target (12m)'!$B$53))/SUM('Calc - research target (12m)'!$G$67:$G$68)</f>
        <v/>
      </c>
      <c r="F14" s="9">
        <f>((SUMPRODUCT('Calc - research target (12m)'!$F$67:$F$68,'Calc - research target (12m)'!$G$67:$G$68)-'Calc - research target (12m)'!$F$68*'Calc - research target (12m)'!$G$68)+'Calc - research target (12m)'!$G$68*($A14*(F$12-'Calc - research target (12m)'!$B$54)/'Calc - research target (12m)'!$B$53+'Calc - research target (12m)'!$B$52/'Calc - research target (12m)'!$B$53))/SUM('Calc - research target (12m)'!$G$67:$G$68)</f>
        <v/>
      </c>
    </row>
    <row r="15">
      <c r="A15" s="42">
        <f>Valuation!$B$69+(-1)</f>
        <v/>
      </c>
      <c r="B15" s="9">
        <f>((SUMPRODUCT('Calc - research target (12m)'!$F$67:$F$68,'Calc - research target (12m)'!$G$67:$G$68)-'Calc - research target (12m)'!$F$68*'Calc - research target (12m)'!$G$68)+'Calc - research target (12m)'!$G$68*($A15*(B$12-'Calc - research target (12m)'!$B$54)/'Calc - research target (12m)'!$B$53+'Calc - research target (12m)'!$B$52/'Calc - research target (12m)'!$B$53))/SUM('Calc - research target (12m)'!$G$67:$G$68)</f>
        <v/>
      </c>
      <c r="C15" s="9">
        <f>((SUMPRODUCT('Calc - research target (12m)'!$F$67:$F$68,'Calc - research target (12m)'!$G$67:$G$68)-'Calc - research target (12m)'!$F$68*'Calc - research target (12m)'!$G$68)+'Calc - research target (12m)'!$G$68*($A15*(C$12-'Calc - research target (12m)'!$B$54)/'Calc - research target (12m)'!$B$53+'Calc - research target (12m)'!$B$52/'Calc - research target (12m)'!$B$53))/SUM('Calc - research target (12m)'!$G$67:$G$68)</f>
        <v/>
      </c>
      <c r="D15" s="9">
        <f>((SUMPRODUCT('Calc - research target (12m)'!$F$67:$F$68,'Calc - research target (12m)'!$G$67:$G$68)-'Calc - research target (12m)'!$F$68*'Calc - research target (12m)'!$G$68)+'Calc - research target (12m)'!$G$68*($A15*(D$12-'Calc - research target (12m)'!$B$54)/'Calc - research target (12m)'!$B$53+'Calc - research target (12m)'!$B$52/'Calc - research target (12m)'!$B$53))/SUM('Calc - research target (12m)'!$G$67:$G$68)</f>
        <v/>
      </c>
      <c r="E15" s="9">
        <f>((SUMPRODUCT('Calc - research target (12m)'!$F$67:$F$68,'Calc - research target (12m)'!$G$67:$G$68)-'Calc - research target (12m)'!$F$68*'Calc - research target (12m)'!$G$68)+'Calc - research target (12m)'!$G$68*($A15*(E$12-'Calc - research target (12m)'!$B$54)/'Calc - research target (12m)'!$B$53+'Calc - research target (12m)'!$B$52/'Calc - research target (12m)'!$B$53))/SUM('Calc - research target (12m)'!$G$67:$G$68)</f>
        <v/>
      </c>
      <c r="F15" s="9">
        <f>((SUMPRODUCT('Calc - research target (12m)'!$F$67:$F$68,'Calc - research target (12m)'!$G$67:$G$68)-'Calc - research target (12m)'!$F$68*'Calc - research target (12m)'!$G$68)+'Calc - research target (12m)'!$G$68*($A15*(F$12-'Calc - research target (12m)'!$B$54)/'Calc - research target (12m)'!$B$53+'Calc - research target (12m)'!$B$52/'Calc - research target (12m)'!$B$53))/SUM('Calc - research target (12m)'!$G$67:$G$68)</f>
        <v/>
      </c>
    </row>
    <row r="16">
      <c r="A16" s="42">
        <f>Valuation!$B$69+(0)</f>
        <v/>
      </c>
      <c r="B16" s="9">
        <f>((SUMPRODUCT('Calc - research target (12m)'!$F$67:$F$68,'Calc - research target (12m)'!$G$67:$G$68)-'Calc - research target (12m)'!$F$68*'Calc - research target (12m)'!$G$68)+'Calc - research target (12m)'!$G$68*($A16*(B$12-'Calc - research target (12m)'!$B$54)/'Calc - research target (12m)'!$B$53+'Calc - research target (12m)'!$B$52/'Calc - research target (12m)'!$B$53))/SUM('Calc - research target (12m)'!$G$67:$G$68)</f>
        <v/>
      </c>
      <c r="C16" s="9">
        <f>((SUMPRODUCT('Calc - research target (12m)'!$F$67:$F$68,'Calc - research target (12m)'!$G$67:$G$68)-'Calc - research target (12m)'!$F$68*'Calc - research target (12m)'!$G$68)+'Calc - research target (12m)'!$G$68*($A16*(C$12-'Calc - research target (12m)'!$B$54)/'Calc - research target (12m)'!$B$53+'Calc - research target (12m)'!$B$52/'Calc - research target (12m)'!$B$53))/SUM('Calc - research target (12m)'!$G$67:$G$68)</f>
        <v/>
      </c>
      <c r="D16" s="6">
        <f>((SUMPRODUCT('Calc - research target (12m)'!$F$67:$F$68,'Calc - research target (12m)'!$G$67:$G$68)-'Calc - research target (12m)'!$F$68*'Calc - research target (12m)'!$G$68)+'Calc - research target (12m)'!$G$68*($A16*(D$12-'Calc - research target (12m)'!$B$54)/'Calc - research target (12m)'!$B$53+'Calc - research target (12m)'!$B$52/'Calc - research target (12m)'!$B$53))/SUM('Calc - research target (12m)'!$G$67:$G$68)</f>
        <v/>
      </c>
      <c r="E16" s="9">
        <f>((SUMPRODUCT('Calc - research target (12m)'!$F$67:$F$68,'Calc - research target (12m)'!$G$67:$G$68)-'Calc - research target (12m)'!$F$68*'Calc - research target (12m)'!$G$68)+'Calc - research target (12m)'!$G$68*($A16*(E$12-'Calc - research target (12m)'!$B$54)/'Calc - research target (12m)'!$B$53+'Calc - research target (12m)'!$B$52/'Calc - research target (12m)'!$B$53))/SUM('Calc - research target (12m)'!$G$67:$G$68)</f>
        <v/>
      </c>
      <c r="F16" s="9">
        <f>((SUMPRODUCT('Calc - research target (12m)'!$F$67:$F$68,'Calc - research target (12m)'!$G$67:$G$68)-'Calc - research target (12m)'!$F$68*'Calc - research target (12m)'!$G$68)+'Calc - research target (12m)'!$G$68*($A16*(F$12-'Calc - research target (12m)'!$B$54)/'Calc - research target (12m)'!$B$53+'Calc - research target (12m)'!$B$52/'Calc - research target (12m)'!$B$53))/SUM('Calc - research target (12m)'!$G$67:$G$68)</f>
        <v/>
      </c>
    </row>
    <row r="17">
      <c r="A17" s="42">
        <f>Valuation!$B$69+(1)</f>
        <v/>
      </c>
      <c r="B17" s="9">
        <f>((SUMPRODUCT('Calc - research target (12m)'!$F$67:$F$68,'Calc - research target (12m)'!$G$67:$G$68)-'Calc - research target (12m)'!$F$68*'Calc - research target (12m)'!$G$68)+'Calc - research target (12m)'!$G$68*($A17*(B$12-'Calc - research target (12m)'!$B$54)/'Calc - research target (12m)'!$B$53+'Calc - research target (12m)'!$B$52/'Calc - research target (12m)'!$B$53))/SUM('Calc - research target (12m)'!$G$67:$G$68)</f>
        <v/>
      </c>
      <c r="C17" s="9">
        <f>((SUMPRODUCT('Calc - research target (12m)'!$F$67:$F$68,'Calc - research target (12m)'!$G$67:$G$68)-'Calc - research target (12m)'!$F$68*'Calc - research target (12m)'!$G$68)+'Calc - research target (12m)'!$G$68*($A17*(C$12-'Calc - research target (12m)'!$B$54)/'Calc - research target (12m)'!$B$53+'Calc - research target (12m)'!$B$52/'Calc - research target (12m)'!$B$53))/SUM('Calc - research target (12m)'!$G$67:$G$68)</f>
        <v/>
      </c>
      <c r="D17" s="9">
        <f>((SUMPRODUCT('Calc - research target (12m)'!$F$67:$F$68,'Calc - research target (12m)'!$G$67:$G$68)-'Calc - research target (12m)'!$F$68*'Calc - research target (12m)'!$G$68)+'Calc - research target (12m)'!$G$68*($A17*(D$12-'Calc - research target (12m)'!$B$54)/'Calc - research target (12m)'!$B$53+'Calc - research target (12m)'!$B$52/'Calc - research target (12m)'!$B$53))/SUM('Calc - research target (12m)'!$G$67:$G$68)</f>
        <v/>
      </c>
      <c r="E17" s="9">
        <f>((SUMPRODUCT('Calc - research target (12m)'!$F$67:$F$68,'Calc - research target (12m)'!$G$67:$G$68)-'Calc - research target (12m)'!$F$68*'Calc - research target (12m)'!$G$68)+'Calc - research target (12m)'!$G$68*($A17*(E$12-'Calc - research target (12m)'!$B$54)/'Calc - research target (12m)'!$B$53+'Calc - research target (12m)'!$B$52/'Calc - research target (12m)'!$B$53))/SUM('Calc - research target (12m)'!$G$67:$G$68)</f>
        <v/>
      </c>
      <c r="F17" s="9">
        <f>((SUMPRODUCT('Calc - research target (12m)'!$F$67:$F$68,'Calc - research target (12m)'!$G$67:$G$68)-'Calc - research target (12m)'!$F$68*'Calc - research target (12m)'!$G$68)+'Calc - research target (12m)'!$G$68*($A17*(F$12-'Calc - research target (12m)'!$B$54)/'Calc - research target (12m)'!$B$53+'Calc - research target (12m)'!$B$52/'Calc - research target (12m)'!$B$53))/SUM('Calc - research target (12m)'!$G$67:$G$68)</f>
        <v/>
      </c>
    </row>
    <row r="18">
      <c r="A18" s="42">
        <f>Valuation!$B$69+(2)</f>
        <v/>
      </c>
      <c r="B18" s="9">
        <f>((SUMPRODUCT('Calc - research target (12m)'!$F$67:$F$68,'Calc - research target (12m)'!$G$67:$G$68)-'Calc - research target (12m)'!$F$68*'Calc - research target (12m)'!$G$68)+'Calc - research target (12m)'!$G$68*($A18*(B$12-'Calc - research target (12m)'!$B$54)/'Calc - research target (12m)'!$B$53+'Calc - research target (12m)'!$B$52/'Calc - research target (12m)'!$B$53))/SUM('Calc - research target (12m)'!$G$67:$G$68)</f>
        <v/>
      </c>
      <c r="C18" s="9">
        <f>((SUMPRODUCT('Calc - research target (12m)'!$F$67:$F$68,'Calc - research target (12m)'!$G$67:$G$68)-'Calc - research target (12m)'!$F$68*'Calc - research target (12m)'!$G$68)+'Calc - research target (12m)'!$G$68*($A18*(C$12-'Calc - research target (12m)'!$B$54)/'Calc - research target (12m)'!$B$53+'Calc - research target (12m)'!$B$52/'Calc - research target (12m)'!$B$53))/SUM('Calc - research target (12m)'!$G$67:$G$68)</f>
        <v/>
      </c>
      <c r="D18" s="9">
        <f>((SUMPRODUCT('Calc - research target (12m)'!$F$67:$F$68,'Calc - research target (12m)'!$G$67:$G$68)-'Calc - research target (12m)'!$F$68*'Calc - research target (12m)'!$G$68)+'Calc - research target (12m)'!$G$68*($A18*(D$12-'Calc - research target (12m)'!$B$54)/'Calc - research target (12m)'!$B$53+'Calc - research target (12m)'!$B$52/'Calc - research target (12m)'!$B$53))/SUM('Calc - research target (12m)'!$G$67:$G$68)</f>
        <v/>
      </c>
      <c r="E18" s="9">
        <f>((SUMPRODUCT('Calc - research target (12m)'!$F$67:$F$68,'Calc - research target (12m)'!$G$67:$G$68)-'Calc - research target (12m)'!$F$68*'Calc - research target (12m)'!$G$68)+'Calc - research target (12m)'!$G$68*($A18*(E$12-'Calc - research target (12m)'!$B$54)/'Calc - research target (12m)'!$B$53+'Calc - research target (12m)'!$B$52/'Calc - research target (12m)'!$B$53))/SUM('Calc - research target (12m)'!$G$67:$G$68)</f>
        <v/>
      </c>
      <c r="F18" s="9">
        <f>((SUMPRODUCT('Calc - research target (12m)'!$F$67:$F$68,'Calc - research target (12m)'!$G$67:$G$68)-'Calc - research target (12m)'!$F$68*'Calc - research target (12m)'!$G$68)+'Calc - research target (12m)'!$G$68*($A18*(F$12-'Calc - research target (12m)'!$B$54)/'Calc - research target (12m)'!$B$53+'Calc - research target (12m)'!$B$52/'Calc - research target (12m)'!$B$53))/SUM('Calc - research target (12m)'!$G$67:$G$68)</f>
        <v/>
      </c>
    </row>
    <row r="19">
      <c r="A19" s="42">
        <f>Valuation!$B$69+(3)</f>
        <v/>
      </c>
      <c r="B19" s="9">
        <f>((SUMPRODUCT('Calc - research target (12m)'!$F$67:$F$68,'Calc - research target (12m)'!$G$67:$G$68)-'Calc - research target (12m)'!$F$68*'Calc - research target (12m)'!$G$68)+'Calc - research target (12m)'!$G$68*($A19*(B$12-'Calc - research target (12m)'!$B$54)/'Calc - research target (12m)'!$B$53+'Calc - research target (12m)'!$B$52/'Calc - research target (12m)'!$B$53))/SUM('Calc - research target (12m)'!$G$67:$G$68)</f>
        <v/>
      </c>
      <c r="C19" s="9">
        <f>((SUMPRODUCT('Calc - research target (12m)'!$F$67:$F$68,'Calc - research target (12m)'!$G$67:$G$68)-'Calc - research target (12m)'!$F$68*'Calc - research target (12m)'!$G$68)+'Calc - research target (12m)'!$G$68*($A19*(C$12-'Calc - research target (12m)'!$B$54)/'Calc - research target (12m)'!$B$53+'Calc - research target (12m)'!$B$52/'Calc - research target (12m)'!$B$53))/SUM('Calc - research target (12m)'!$G$67:$G$68)</f>
        <v/>
      </c>
      <c r="D19" s="9">
        <f>((SUMPRODUCT('Calc - research target (12m)'!$F$67:$F$68,'Calc - research target (12m)'!$G$67:$G$68)-'Calc - research target (12m)'!$F$68*'Calc - research target (12m)'!$G$68)+'Calc - research target (12m)'!$G$68*($A19*(D$12-'Calc - research target (12m)'!$B$54)/'Calc - research target (12m)'!$B$53+'Calc - research target (12m)'!$B$52/'Calc - research target (12m)'!$B$53))/SUM('Calc - research target (12m)'!$G$67:$G$68)</f>
        <v/>
      </c>
      <c r="E19" s="9">
        <f>((SUMPRODUCT('Calc - research target (12m)'!$F$67:$F$68,'Calc - research target (12m)'!$G$67:$G$68)-'Calc - research target (12m)'!$F$68*'Calc - research target (12m)'!$G$68)+'Calc - research target (12m)'!$G$68*($A19*(E$12-'Calc - research target (12m)'!$B$54)/'Calc - research target (12m)'!$B$53+'Calc - research target (12m)'!$B$52/'Calc - research target (12m)'!$B$53))/SUM('Calc - research target (12m)'!$G$67:$G$68)</f>
        <v/>
      </c>
      <c r="F19" s="9">
        <f>((SUMPRODUCT('Calc - research target (12m)'!$F$67:$F$68,'Calc - research target (12m)'!$G$67:$G$68)-'Calc - research target (12m)'!$F$68*'Calc - research target (12m)'!$G$68)+'Calc - research target (12m)'!$G$68*($A19*(F$12-'Calc - research target (12m)'!$B$54)/'Calc - research target (12m)'!$B$53+'Calc - research target (12m)'!$B$52/'Calc - research target (12m)'!$B$53))/SUM('Calc - research target (12m)'!$G$67:$G$68)</f>
        <v/>
      </c>
    </row>
    <row r="22">
      <c r="A22" s="19" t="inlineStr">
        <is>
          <t>FY2027E diluted EPS: revenue growth change in every year (down) x EBIT margin change (across)</t>
        </is>
      </c>
    </row>
    <row r="23">
      <c r="A23" s="19" t="inlineStr">
        <is>
          <t>Growth Δ \ margin Δ</t>
        </is>
      </c>
      <c r="B23" s="43" t="n">
        <v>-0.01</v>
      </c>
      <c r="C23" s="43" t="n">
        <v>-0.005</v>
      </c>
      <c r="D23" s="43" t="n">
        <v>0</v>
      </c>
      <c r="E23" s="43" t="n">
        <v>0.005</v>
      </c>
      <c r="F23" s="43" t="n">
        <v>0.01</v>
      </c>
    </row>
    <row r="24">
      <c r="A24" s="43" t="n">
        <v>-0.02</v>
      </c>
      <c r="B24" s="27">
        <f>(Valuation!$B$49*(1+Model!E48+$A24)*(1+Model!F48+$A24)*(Model!F49+B$23)+Model!F20)*(1-Model!F50)/Model!F27</f>
        <v/>
      </c>
      <c r="C24" s="27">
        <f>(Valuation!$B$49*(1+Model!E48+$A24)*(1+Model!F48+$A24)*(Model!F49+C$23)+Model!F20)*(1-Model!F50)/Model!F27</f>
        <v/>
      </c>
      <c r="D24" s="27">
        <f>(Valuation!$B$49*(1+Model!E48+$A24)*(1+Model!F48+$A24)*(Model!F49+D$23)+Model!F20)*(1-Model!F50)/Model!F27</f>
        <v/>
      </c>
      <c r="E24" s="27">
        <f>(Valuation!$B$49*(1+Model!E48+$A24)*(1+Model!F48+$A24)*(Model!F49+E$23)+Model!F20)*(1-Model!F50)/Model!F27</f>
        <v/>
      </c>
      <c r="F24" s="27">
        <f>(Valuation!$B$49*(1+Model!E48+$A24)*(1+Model!F48+$A24)*(Model!F49+F$23)+Model!F20)*(1-Model!F50)/Model!F27</f>
        <v/>
      </c>
    </row>
    <row r="25">
      <c r="A25" s="43" t="n">
        <v>-0.01</v>
      </c>
      <c r="B25" s="27">
        <f>(Valuation!$B$49*(1+Model!E48+$A25)*(1+Model!F48+$A25)*(Model!F49+B$23)+Model!F20)*(1-Model!F50)/Model!F27</f>
        <v/>
      </c>
      <c r="C25" s="27">
        <f>(Valuation!$B$49*(1+Model!E48+$A25)*(1+Model!F48+$A25)*(Model!F49+C$23)+Model!F20)*(1-Model!F50)/Model!F27</f>
        <v/>
      </c>
      <c r="D25" s="27">
        <f>(Valuation!$B$49*(1+Model!E48+$A25)*(1+Model!F48+$A25)*(Model!F49+D$23)+Model!F20)*(1-Model!F50)/Model!F27</f>
        <v/>
      </c>
      <c r="E25" s="27">
        <f>(Valuation!$B$49*(1+Model!E48+$A25)*(1+Model!F48+$A25)*(Model!F49+E$23)+Model!F20)*(1-Model!F50)/Model!F27</f>
        <v/>
      </c>
      <c r="F25" s="27">
        <f>(Valuation!$B$49*(1+Model!E48+$A25)*(1+Model!F48+$A25)*(Model!F49+F$23)+Model!F20)*(1-Model!F50)/Model!F27</f>
        <v/>
      </c>
    </row>
    <row r="26">
      <c r="A26" s="43" t="n">
        <v>0</v>
      </c>
      <c r="B26" s="27">
        <f>(Valuation!$B$49*(1+Model!E48+$A26)*(1+Model!F48+$A26)*(Model!F49+B$23)+Model!F20)*(1-Model!F50)/Model!F27</f>
        <v/>
      </c>
      <c r="C26" s="27">
        <f>(Valuation!$B$49*(1+Model!E48+$A26)*(1+Model!F48+$A26)*(Model!F49+C$23)+Model!F20)*(1-Model!F50)/Model!F27</f>
        <v/>
      </c>
      <c r="D26" s="28">
        <f>(Valuation!$B$49*(1+Model!E48+$A26)*(1+Model!F48+$A26)*(Model!F49+D$23)+Model!F20)*(1-Model!F50)/Model!F27</f>
        <v/>
      </c>
      <c r="E26" s="27">
        <f>(Valuation!$B$49*(1+Model!E48+$A26)*(1+Model!F48+$A26)*(Model!F49+E$23)+Model!F20)*(1-Model!F50)/Model!F27</f>
        <v/>
      </c>
      <c r="F26" s="27">
        <f>(Valuation!$B$49*(1+Model!E48+$A26)*(1+Model!F48+$A26)*(Model!F49+F$23)+Model!F20)*(1-Model!F50)/Model!F27</f>
        <v/>
      </c>
    </row>
    <row r="27">
      <c r="A27" s="43" t="n">
        <v>0.01</v>
      </c>
      <c r="B27" s="27">
        <f>(Valuation!$B$49*(1+Model!E48+$A27)*(1+Model!F48+$A27)*(Model!F49+B$23)+Model!F20)*(1-Model!F50)/Model!F27</f>
        <v/>
      </c>
      <c r="C27" s="27">
        <f>(Valuation!$B$49*(1+Model!E48+$A27)*(1+Model!F48+$A27)*(Model!F49+C$23)+Model!F20)*(1-Model!F50)/Model!F27</f>
        <v/>
      </c>
      <c r="D27" s="27">
        <f>(Valuation!$B$49*(1+Model!E48+$A27)*(1+Model!F48+$A27)*(Model!F49+D$23)+Model!F20)*(1-Model!F50)/Model!F27</f>
        <v/>
      </c>
      <c r="E27" s="27">
        <f>(Valuation!$B$49*(1+Model!E48+$A27)*(1+Model!F48+$A27)*(Model!F49+E$23)+Model!F20)*(1-Model!F50)/Model!F27</f>
        <v/>
      </c>
      <c r="F27" s="27">
        <f>(Valuation!$B$49*(1+Model!E48+$A27)*(1+Model!F48+$A27)*(Model!F49+F$23)+Model!F20)*(1-Model!F50)/Model!F27</f>
        <v/>
      </c>
    </row>
    <row r="28">
      <c r="A28" s="43" t="n">
        <v>0.02</v>
      </c>
      <c r="B28" s="27">
        <f>(Valuation!$B$49*(1+Model!E48+$A28)*(1+Model!F48+$A28)*(Model!F49+B$23)+Model!F20)*(1-Model!F50)/Model!F27</f>
        <v/>
      </c>
      <c r="C28" s="27">
        <f>(Valuation!$B$49*(1+Model!E48+$A28)*(1+Model!F48+$A28)*(Model!F49+C$23)+Model!F20)*(1-Model!F50)/Model!F27</f>
        <v/>
      </c>
      <c r="D28" s="27">
        <f>(Valuation!$B$49*(1+Model!E48+$A28)*(1+Model!F48+$A28)*(Model!F49+D$23)+Model!F20)*(1-Model!F50)/Model!F27</f>
        <v/>
      </c>
      <c r="E28" s="27">
        <f>(Valuation!$B$49*(1+Model!E48+$A28)*(1+Model!F48+$A28)*(Model!F49+E$23)+Model!F20)*(1-Model!F50)/Model!F27</f>
        <v/>
      </c>
      <c r="F28" s="27">
        <f>(Valuation!$B$49*(1+Model!E48+$A28)*(1+Model!F48+$A28)*(Model!F49+F$23)+Model!F20)*(1-Model!F50)/Model!F27</f>
        <v/>
      </c>
    </row>
    <row r="30">
      <c r="A30" s="2" t="inlineStr">
        <is>
          <t>Net interest and the share count are held at the base case in table 3.</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60"/>
  <sheetViews>
    <sheetView showGridLines="0" workbookViewId="0">
      <selection activeCell="A1" sqref="A1"/>
    </sheetView>
  </sheetViews>
  <sheetFormatPr baseColWidth="8" defaultRowHeight="15"/>
  <cols>
    <col width="26" customWidth="1" min="1" max="1"/>
    <col width="13" customWidth="1" min="2" max="2"/>
    <col width="13" customWidth="1" min="3" max="3"/>
    <col width="60"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s>
  <sheetData>
    <row r="1">
      <c r="A1" s="1" t="inlineStr">
        <is>
          <t>AMAT: 12-month distribution (mix of lognormals around each scenario value)</t>
        </is>
      </c>
    </row>
    <row r="3">
      <c r="A3" s="3" t="inlineStr">
        <is>
          <t>Scenario</t>
        </is>
      </c>
      <c r="B3" s="3" t="inlineStr">
        <is>
          <t>Probability</t>
        </is>
      </c>
      <c r="C3" s="3" t="inlineStr">
        <is>
          <t>Value at target date</t>
        </is>
      </c>
      <c r="D3" s="3" t="inlineStr">
        <is>
          <t>Story</t>
        </is>
      </c>
    </row>
    <row r="4">
      <c r="A4" t="inlineStr">
        <is>
          <t>bear</t>
        </is>
      </c>
      <c r="B4" s="12">
        <f>Valuation!B81</f>
        <v/>
      </c>
      <c r="C4" s="4">
        <f>'Calc - bear'!$F$69</f>
        <v/>
      </c>
      <c r="D4">
        <f>Valuation!J81</f>
        <v/>
      </c>
    </row>
    <row r="5">
      <c r="A5" t="inlineStr">
        <is>
          <t>base</t>
        </is>
      </c>
      <c r="B5" s="12">
        <f>Valuation!B82</f>
        <v/>
      </c>
      <c r="C5" s="4">
        <f>'Calc - base'!$F$69</f>
        <v/>
      </c>
      <c r="D5">
        <f>Valuation!J82</f>
        <v/>
      </c>
    </row>
    <row r="6">
      <c r="A6" t="inlineStr">
        <is>
          <t>bull</t>
        </is>
      </c>
      <c r="B6" s="12">
        <f>Valuation!B83</f>
        <v/>
      </c>
      <c r="C6" s="4">
        <f>'Calc - bull'!$F$69</f>
        <v/>
      </c>
      <c r="D6">
        <f>Valuation!J83</f>
        <v/>
      </c>
    </row>
    <row r="8">
      <c r="A8" t="inlineStr">
        <is>
          <t>Probabilities sum to</t>
        </is>
      </c>
      <c r="B8" s="18">
        <f>SUM(B4:B6)</f>
        <v/>
      </c>
    </row>
    <row r="9">
      <c r="A9" t="inlineStr">
        <is>
          <t>Spread within each scenario</t>
        </is>
      </c>
      <c r="B9" s="12">
        <f>Valuation!$B$65</f>
        <v/>
      </c>
    </row>
    <row r="10">
      <c r="A10" t="inlineStr">
        <is>
          <t>Probability-weighted mean</t>
        </is>
      </c>
      <c r="B10" s="9">
        <f>($B$4*$C$4+$B$5*$C$5+$B$6*$C$6)*EXP($B$9^2/2)</f>
        <v/>
      </c>
    </row>
    <row r="12">
      <c r="A12" s="3" t="inlineStr">
        <is>
          <t>Quantile</t>
        </is>
      </c>
      <c r="B12" s="3" t="inlineStr">
        <is>
          <t>Price</t>
        </is>
      </c>
    </row>
    <row r="13">
      <c r="A13" t="inlineStr">
        <is>
          <t>Median (model target)</t>
        </is>
      </c>
      <c r="B13" s="9">
        <f>SQRT(A60*B60)</f>
        <v/>
      </c>
    </row>
    <row r="14">
      <c r="A14" t="inlineStr">
        <is>
          <t>10th percentile</t>
        </is>
      </c>
      <c r="B14" s="9">
        <f>SQRT(D60*E60)</f>
        <v/>
      </c>
    </row>
    <row r="15">
      <c r="A15" t="inlineStr">
        <is>
          <t>25th percentile</t>
        </is>
      </c>
      <c r="B15" s="9">
        <f>SQRT(G60*H60)</f>
        <v/>
      </c>
    </row>
    <row r="16">
      <c r="A16" t="inlineStr">
        <is>
          <t>75th percentile</t>
        </is>
      </c>
      <c r="B16" s="9">
        <f>SQRT(J60*K60)</f>
        <v/>
      </c>
    </row>
    <row r="17">
      <c r="A17" t="inlineStr">
        <is>
          <t>90th percentile</t>
        </is>
      </c>
      <c r="B17" s="9">
        <f>SQRT(M60*N60)</f>
        <v/>
      </c>
    </row>
    <row r="19">
      <c r="A19" s="2" t="inlineStr">
        <is>
          <t>Each quantile solved by bisection (block: low, high, probability above the midpoint)</t>
        </is>
      </c>
    </row>
    <row r="20">
      <c r="A20" s="3" t="inlineStr">
        <is>
          <t>Median (model target): low</t>
        </is>
      </c>
      <c r="B20" s="3" t="inlineStr">
        <is>
          <t>high</t>
        </is>
      </c>
      <c r="C20" s="3" t="inlineStr">
        <is>
          <t>P(above mid)</t>
        </is>
      </c>
      <c r="D20" s="3" t="inlineStr">
        <is>
          <t>10th percentile: low</t>
        </is>
      </c>
      <c r="E20" s="3" t="inlineStr">
        <is>
          <t>high</t>
        </is>
      </c>
      <c r="F20" s="3" t="inlineStr">
        <is>
          <t>P(above mid)</t>
        </is>
      </c>
      <c r="G20" s="3" t="inlineStr">
        <is>
          <t>25th percentile: low</t>
        </is>
      </c>
      <c r="H20" s="3" t="inlineStr">
        <is>
          <t>high</t>
        </is>
      </c>
      <c r="I20" s="3" t="inlineStr">
        <is>
          <t>P(above mid)</t>
        </is>
      </c>
      <c r="J20" s="3" t="inlineStr">
        <is>
          <t>75th percentile: low</t>
        </is>
      </c>
      <c r="K20" s="3" t="inlineStr">
        <is>
          <t>high</t>
        </is>
      </c>
      <c r="L20" s="3" t="inlineStr">
        <is>
          <t>P(above mid)</t>
        </is>
      </c>
      <c r="M20" s="3" t="inlineStr">
        <is>
          <t>90th percentile: low</t>
        </is>
      </c>
      <c r="N20" s="3" t="inlineStr">
        <is>
          <t>high</t>
        </is>
      </c>
      <c r="O20" s="3" t="inlineStr">
        <is>
          <t>P(above mid)</t>
        </is>
      </c>
    </row>
    <row r="21">
      <c r="A21" s="9">
        <f>MIN($C$4,$C$5,$C$6)*0.2</f>
        <v/>
      </c>
      <c r="B21" s="9">
        <f>MAX($C$4,$C$5,$C$6)*4</f>
        <v/>
      </c>
      <c r="C21" s="44">
        <f>SUMPRODUCT($B$4:$B$6,1-NORMSDIST((LN(SQRT(A21*B21))-LN($C$4:$C$6))/$B$9))</f>
        <v/>
      </c>
      <c r="D21" s="9">
        <f>MIN($C$4,$C$5,$C$6)*0.2</f>
        <v/>
      </c>
      <c r="E21" s="9">
        <f>MAX($C$4,$C$5,$C$6)*4</f>
        <v/>
      </c>
      <c r="F21" s="44">
        <f>SUMPRODUCT($B$4:$B$6,1-NORMSDIST((LN(SQRT(D21*E21))-LN($C$4:$C$6))/$B$9))</f>
        <v/>
      </c>
      <c r="G21" s="9">
        <f>MIN($C$4,$C$5,$C$6)*0.2</f>
        <v/>
      </c>
      <c r="H21" s="9">
        <f>MAX($C$4,$C$5,$C$6)*4</f>
        <v/>
      </c>
      <c r="I21" s="44">
        <f>SUMPRODUCT($B$4:$B$6,1-NORMSDIST((LN(SQRT(G21*H21))-LN($C$4:$C$6))/$B$9))</f>
        <v/>
      </c>
      <c r="J21" s="9">
        <f>MIN($C$4,$C$5,$C$6)*0.2</f>
        <v/>
      </c>
      <c r="K21" s="9">
        <f>MAX($C$4,$C$5,$C$6)*4</f>
        <v/>
      </c>
      <c r="L21" s="44">
        <f>SUMPRODUCT($B$4:$B$6,1-NORMSDIST((LN(SQRT(J21*K21))-LN($C$4:$C$6))/$B$9))</f>
        <v/>
      </c>
      <c r="M21" s="9">
        <f>MIN($C$4,$C$5,$C$6)*0.2</f>
        <v/>
      </c>
      <c r="N21" s="9">
        <f>MAX($C$4,$C$5,$C$6)*4</f>
        <v/>
      </c>
      <c r="O21" s="44">
        <f>SUMPRODUCT($B$4:$B$6,1-NORMSDIST((LN(SQRT(M21*N21))-LN($C$4:$C$6))/$B$9))</f>
        <v/>
      </c>
    </row>
    <row r="22">
      <c r="A22" s="9">
        <f>IF(C21&gt;0.5,SQRT(A21*B21),A21)</f>
        <v/>
      </c>
      <c r="B22" s="9">
        <f>IF(C21&gt;0.5,B21,SQRT(A21*B21))</f>
        <v/>
      </c>
      <c r="C22" s="44">
        <f>SUMPRODUCT($B$4:$B$6,1-NORMSDIST((LN(SQRT(A22*B22))-LN($C$4:$C$6))/$B$9))</f>
        <v/>
      </c>
      <c r="D22" s="9">
        <f>IF(F21&gt;0.9,SQRT(D21*E21),D21)</f>
        <v/>
      </c>
      <c r="E22" s="9">
        <f>IF(F21&gt;0.9,E21,SQRT(D21*E21))</f>
        <v/>
      </c>
      <c r="F22" s="44">
        <f>SUMPRODUCT($B$4:$B$6,1-NORMSDIST((LN(SQRT(D22*E22))-LN($C$4:$C$6))/$B$9))</f>
        <v/>
      </c>
      <c r="G22" s="9">
        <f>IF(I21&gt;0.75,SQRT(G21*H21),G21)</f>
        <v/>
      </c>
      <c r="H22" s="9">
        <f>IF(I21&gt;0.75,H21,SQRT(G21*H21))</f>
        <v/>
      </c>
      <c r="I22" s="44">
        <f>SUMPRODUCT($B$4:$B$6,1-NORMSDIST((LN(SQRT(G22*H22))-LN($C$4:$C$6))/$B$9))</f>
        <v/>
      </c>
      <c r="J22" s="9">
        <f>IF(L21&gt;0.25,SQRT(J21*K21),J21)</f>
        <v/>
      </c>
      <c r="K22" s="9">
        <f>IF(L21&gt;0.25,K21,SQRT(J21*K21))</f>
        <v/>
      </c>
      <c r="L22" s="44">
        <f>SUMPRODUCT($B$4:$B$6,1-NORMSDIST((LN(SQRT(J22*K22))-LN($C$4:$C$6))/$B$9))</f>
        <v/>
      </c>
      <c r="M22" s="9">
        <f>IF(O21&gt;0.09999999999999998,SQRT(M21*N21),M21)</f>
        <v/>
      </c>
      <c r="N22" s="9">
        <f>IF(O21&gt;0.09999999999999998,N21,SQRT(M21*N21))</f>
        <v/>
      </c>
      <c r="O22" s="44">
        <f>SUMPRODUCT($B$4:$B$6,1-NORMSDIST((LN(SQRT(M22*N22))-LN($C$4:$C$6))/$B$9))</f>
        <v/>
      </c>
    </row>
    <row r="23">
      <c r="A23" s="9">
        <f>IF(C22&gt;0.5,SQRT(A22*B22),A22)</f>
        <v/>
      </c>
      <c r="B23" s="9">
        <f>IF(C22&gt;0.5,B22,SQRT(A22*B22))</f>
        <v/>
      </c>
      <c r="C23" s="44">
        <f>SUMPRODUCT($B$4:$B$6,1-NORMSDIST((LN(SQRT(A23*B23))-LN($C$4:$C$6))/$B$9))</f>
        <v/>
      </c>
      <c r="D23" s="9">
        <f>IF(F22&gt;0.9,SQRT(D22*E22),D22)</f>
        <v/>
      </c>
      <c r="E23" s="9">
        <f>IF(F22&gt;0.9,E22,SQRT(D22*E22))</f>
        <v/>
      </c>
      <c r="F23" s="44">
        <f>SUMPRODUCT($B$4:$B$6,1-NORMSDIST((LN(SQRT(D23*E23))-LN($C$4:$C$6))/$B$9))</f>
        <v/>
      </c>
      <c r="G23" s="9">
        <f>IF(I22&gt;0.75,SQRT(G22*H22),G22)</f>
        <v/>
      </c>
      <c r="H23" s="9">
        <f>IF(I22&gt;0.75,H22,SQRT(G22*H22))</f>
        <v/>
      </c>
      <c r="I23" s="44">
        <f>SUMPRODUCT($B$4:$B$6,1-NORMSDIST((LN(SQRT(G23*H23))-LN($C$4:$C$6))/$B$9))</f>
        <v/>
      </c>
      <c r="J23" s="9">
        <f>IF(L22&gt;0.25,SQRT(J22*K22),J22)</f>
        <v/>
      </c>
      <c r="K23" s="9">
        <f>IF(L22&gt;0.25,K22,SQRT(J22*K22))</f>
        <v/>
      </c>
      <c r="L23" s="44">
        <f>SUMPRODUCT($B$4:$B$6,1-NORMSDIST((LN(SQRT(J23*K23))-LN($C$4:$C$6))/$B$9))</f>
        <v/>
      </c>
      <c r="M23" s="9">
        <f>IF(O22&gt;0.09999999999999998,SQRT(M22*N22),M22)</f>
        <v/>
      </c>
      <c r="N23" s="9">
        <f>IF(O22&gt;0.09999999999999998,N22,SQRT(M22*N22))</f>
        <v/>
      </c>
      <c r="O23" s="44">
        <f>SUMPRODUCT($B$4:$B$6,1-NORMSDIST((LN(SQRT(M23*N23))-LN($C$4:$C$6))/$B$9))</f>
        <v/>
      </c>
    </row>
    <row r="24">
      <c r="A24" s="9">
        <f>IF(C23&gt;0.5,SQRT(A23*B23),A23)</f>
        <v/>
      </c>
      <c r="B24" s="9">
        <f>IF(C23&gt;0.5,B23,SQRT(A23*B23))</f>
        <v/>
      </c>
      <c r="C24" s="44">
        <f>SUMPRODUCT($B$4:$B$6,1-NORMSDIST((LN(SQRT(A24*B24))-LN($C$4:$C$6))/$B$9))</f>
        <v/>
      </c>
      <c r="D24" s="9">
        <f>IF(F23&gt;0.9,SQRT(D23*E23),D23)</f>
        <v/>
      </c>
      <c r="E24" s="9">
        <f>IF(F23&gt;0.9,E23,SQRT(D23*E23))</f>
        <v/>
      </c>
      <c r="F24" s="44">
        <f>SUMPRODUCT($B$4:$B$6,1-NORMSDIST((LN(SQRT(D24*E24))-LN($C$4:$C$6))/$B$9))</f>
        <v/>
      </c>
      <c r="G24" s="9">
        <f>IF(I23&gt;0.75,SQRT(G23*H23),G23)</f>
        <v/>
      </c>
      <c r="H24" s="9">
        <f>IF(I23&gt;0.75,H23,SQRT(G23*H23))</f>
        <v/>
      </c>
      <c r="I24" s="44">
        <f>SUMPRODUCT($B$4:$B$6,1-NORMSDIST((LN(SQRT(G24*H24))-LN($C$4:$C$6))/$B$9))</f>
        <v/>
      </c>
      <c r="J24" s="9">
        <f>IF(L23&gt;0.25,SQRT(J23*K23),J23)</f>
        <v/>
      </c>
      <c r="K24" s="9">
        <f>IF(L23&gt;0.25,K23,SQRT(J23*K23))</f>
        <v/>
      </c>
      <c r="L24" s="44">
        <f>SUMPRODUCT($B$4:$B$6,1-NORMSDIST((LN(SQRT(J24*K24))-LN($C$4:$C$6))/$B$9))</f>
        <v/>
      </c>
      <c r="M24" s="9">
        <f>IF(O23&gt;0.09999999999999998,SQRT(M23*N23),M23)</f>
        <v/>
      </c>
      <c r="N24" s="9">
        <f>IF(O23&gt;0.09999999999999998,N23,SQRT(M23*N23))</f>
        <v/>
      </c>
      <c r="O24" s="44">
        <f>SUMPRODUCT($B$4:$B$6,1-NORMSDIST((LN(SQRT(M24*N24))-LN($C$4:$C$6))/$B$9))</f>
        <v/>
      </c>
    </row>
    <row r="25">
      <c r="A25" s="9">
        <f>IF(C24&gt;0.5,SQRT(A24*B24),A24)</f>
        <v/>
      </c>
      <c r="B25" s="9">
        <f>IF(C24&gt;0.5,B24,SQRT(A24*B24))</f>
        <v/>
      </c>
      <c r="C25" s="44">
        <f>SUMPRODUCT($B$4:$B$6,1-NORMSDIST((LN(SQRT(A25*B25))-LN($C$4:$C$6))/$B$9))</f>
        <v/>
      </c>
      <c r="D25" s="9">
        <f>IF(F24&gt;0.9,SQRT(D24*E24),D24)</f>
        <v/>
      </c>
      <c r="E25" s="9">
        <f>IF(F24&gt;0.9,E24,SQRT(D24*E24))</f>
        <v/>
      </c>
      <c r="F25" s="44">
        <f>SUMPRODUCT($B$4:$B$6,1-NORMSDIST((LN(SQRT(D25*E25))-LN($C$4:$C$6))/$B$9))</f>
        <v/>
      </c>
      <c r="G25" s="9">
        <f>IF(I24&gt;0.75,SQRT(G24*H24),G24)</f>
        <v/>
      </c>
      <c r="H25" s="9">
        <f>IF(I24&gt;0.75,H24,SQRT(G24*H24))</f>
        <v/>
      </c>
      <c r="I25" s="44">
        <f>SUMPRODUCT($B$4:$B$6,1-NORMSDIST((LN(SQRT(G25*H25))-LN($C$4:$C$6))/$B$9))</f>
        <v/>
      </c>
      <c r="J25" s="9">
        <f>IF(L24&gt;0.25,SQRT(J24*K24),J24)</f>
        <v/>
      </c>
      <c r="K25" s="9">
        <f>IF(L24&gt;0.25,K24,SQRT(J24*K24))</f>
        <v/>
      </c>
      <c r="L25" s="44">
        <f>SUMPRODUCT($B$4:$B$6,1-NORMSDIST((LN(SQRT(J25*K25))-LN($C$4:$C$6))/$B$9))</f>
        <v/>
      </c>
      <c r="M25" s="9">
        <f>IF(O24&gt;0.09999999999999998,SQRT(M24*N24),M24)</f>
        <v/>
      </c>
      <c r="N25" s="9">
        <f>IF(O24&gt;0.09999999999999998,N24,SQRT(M24*N24))</f>
        <v/>
      </c>
      <c r="O25" s="44">
        <f>SUMPRODUCT($B$4:$B$6,1-NORMSDIST((LN(SQRT(M25*N25))-LN($C$4:$C$6))/$B$9))</f>
        <v/>
      </c>
    </row>
    <row r="26">
      <c r="A26" s="9">
        <f>IF(C25&gt;0.5,SQRT(A25*B25),A25)</f>
        <v/>
      </c>
      <c r="B26" s="9">
        <f>IF(C25&gt;0.5,B25,SQRT(A25*B25))</f>
        <v/>
      </c>
      <c r="C26" s="44">
        <f>SUMPRODUCT($B$4:$B$6,1-NORMSDIST((LN(SQRT(A26*B26))-LN($C$4:$C$6))/$B$9))</f>
        <v/>
      </c>
      <c r="D26" s="9">
        <f>IF(F25&gt;0.9,SQRT(D25*E25),D25)</f>
        <v/>
      </c>
      <c r="E26" s="9">
        <f>IF(F25&gt;0.9,E25,SQRT(D25*E25))</f>
        <v/>
      </c>
      <c r="F26" s="44">
        <f>SUMPRODUCT($B$4:$B$6,1-NORMSDIST((LN(SQRT(D26*E26))-LN($C$4:$C$6))/$B$9))</f>
        <v/>
      </c>
      <c r="G26" s="9">
        <f>IF(I25&gt;0.75,SQRT(G25*H25),G25)</f>
        <v/>
      </c>
      <c r="H26" s="9">
        <f>IF(I25&gt;0.75,H25,SQRT(G25*H25))</f>
        <v/>
      </c>
      <c r="I26" s="44">
        <f>SUMPRODUCT($B$4:$B$6,1-NORMSDIST((LN(SQRT(G26*H26))-LN($C$4:$C$6))/$B$9))</f>
        <v/>
      </c>
      <c r="J26" s="9">
        <f>IF(L25&gt;0.25,SQRT(J25*K25),J25)</f>
        <v/>
      </c>
      <c r="K26" s="9">
        <f>IF(L25&gt;0.25,K25,SQRT(J25*K25))</f>
        <v/>
      </c>
      <c r="L26" s="44">
        <f>SUMPRODUCT($B$4:$B$6,1-NORMSDIST((LN(SQRT(J26*K26))-LN($C$4:$C$6))/$B$9))</f>
        <v/>
      </c>
      <c r="M26" s="9">
        <f>IF(O25&gt;0.09999999999999998,SQRT(M25*N25),M25)</f>
        <v/>
      </c>
      <c r="N26" s="9">
        <f>IF(O25&gt;0.09999999999999998,N25,SQRT(M25*N25))</f>
        <v/>
      </c>
      <c r="O26" s="44">
        <f>SUMPRODUCT($B$4:$B$6,1-NORMSDIST((LN(SQRT(M26*N26))-LN($C$4:$C$6))/$B$9))</f>
        <v/>
      </c>
    </row>
    <row r="27">
      <c r="A27" s="9">
        <f>IF(C26&gt;0.5,SQRT(A26*B26),A26)</f>
        <v/>
      </c>
      <c r="B27" s="9">
        <f>IF(C26&gt;0.5,B26,SQRT(A26*B26))</f>
        <v/>
      </c>
      <c r="C27" s="44">
        <f>SUMPRODUCT($B$4:$B$6,1-NORMSDIST((LN(SQRT(A27*B27))-LN($C$4:$C$6))/$B$9))</f>
        <v/>
      </c>
      <c r="D27" s="9">
        <f>IF(F26&gt;0.9,SQRT(D26*E26),D26)</f>
        <v/>
      </c>
      <c r="E27" s="9">
        <f>IF(F26&gt;0.9,E26,SQRT(D26*E26))</f>
        <v/>
      </c>
      <c r="F27" s="44">
        <f>SUMPRODUCT($B$4:$B$6,1-NORMSDIST((LN(SQRT(D27*E27))-LN($C$4:$C$6))/$B$9))</f>
        <v/>
      </c>
      <c r="G27" s="9">
        <f>IF(I26&gt;0.75,SQRT(G26*H26),G26)</f>
        <v/>
      </c>
      <c r="H27" s="9">
        <f>IF(I26&gt;0.75,H26,SQRT(G26*H26))</f>
        <v/>
      </c>
      <c r="I27" s="44">
        <f>SUMPRODUCT($B$4:$B$6,1-NORMSDIST((LN(SQRT(G27*H27))-LN($C$4:$C$6))/$B$9))</f>
        <v/>
      </c>
      <c r="J27" s="9">
        <f>IF(L26&gt;0.25,SQRT(J26*K26),J26)</f>
        <v/>
      </c>
      <c r="K27" s="9">
        <f>IF(L26&gt;0.25,K26,SQRT(J26*K26))</f>
        <v/>
      </c>
      <c r="L27" s="44">
        <f>SUMPRODUCT($B$4:$B$6,1-NORMSDIST((LN(SQRT(J27*K27))-LN($C$4:$C$6))/$B$9))</f>
        <v/>
      </c>
      <c r="M27" s="9">
        <f>IF(O26&gt;0.09999999999999998,SQRT(M26*N26),M26)</f>
        <v/>
      </c>
      <c r="N27" s="9">
        <f>IF(O26&gt;0.09999999999999998,N26,SQRT(M26*N26))</f>
        <v/>
      </c>
      <c r="O27" s="44">
        <f>SUMPRODUCT($B$4:$B$6,1-NORMSDIST((LN(SQRT(M27*N27))-LN($C$4:$C$6))/$B$9))</f>
        <v/>
      </c>
    </row>
    <row r="28">
      <c r="A28" s="9">
        <f>IF(C27&gt;0.5,SQRT(A27*B27),A27)</f>
        <v/>
      </c>
      <c r="B28" s="9">
        <f>IF(C27&gt;0.5,B27,SQRT(A27*B27))</f>
        <v/>
      </c>
      <c r="C28" s="44">
        <f>SUMPRODUCT($B$4:$B$6,1-NORMSDIST((LN(SQRT(A28*B28))-LN($C$4:$C$6))/$B$9))</f>
        <v/>
      </c>
      <c r="D28" s="9">
        <f>IF(F27&gt;0.9,SQRT(D27*E27),D27)</f>
        <v/>
      </c>
      <c r="E28" s="9">
        <f>IF(F27&gt;0.9,E27,SQRT(D27*E27))</f>
        <v/>
      </c>
      <c r="F28" s="44">
        <f>SUMPRODUCT($B$4:$B$6,1-NORMSDIST((LN(SQRT(D28*E28))-LN($C$4:$C$6))/$B$9))</f>
        <v/>
      </c>
      <c r="G28" s="9">
        <f>IF(I27&gt;0.75,SQRT(G27*H27),G27)</f>
        <v/>
      </c>
      <c r="H28" s="9">
        <f>IF(I27&gt;0.75,H27,SQRT(G27*H27))</f>
        <v/>
      </c>
      <c r="I28" s="44">
        <f>SUMPRODUCT($B$4:$B$6,1-NORMSDIST((LN(SQRT(G28*H28))-LN($C$4:$C$6))/$B$9))</f>
        <v/>
      </c>
      <c r="J28" s="9">
        <f>IF(L27&gt;0.25,SQRT(J27*K27),J27)</f>
        <v/>
      </c>
      <c r="K28" s="9">
        <f>IF(L27&gt;0.25,K27,SQRT(J27*K27))</f>
        <v/>
      </c>
      <c r="L28" s="44">
        <f>SUMPRODUCT($B$4:$B$6,1-NORMSDIST((LN(SQRT(J28*K28))-LN($C$4:$C$6))/$B$9))</f>
        <v/>
      </c>
      <c r="M28" s="9">
        <f>IF(O27&gt;0.09999999999999998,SQRT(M27*N27),M27)</f>
        <v/>
      </c>
      <c r="N28" s="9">
        <f>IF(O27&gt;0.09999999999999998,N27,SQRT(M27*N27))</f>
        <v/>
      </c>
      <c r="O28" s="44">
        <f>SUMPRODUCT($B$4:$B$6,1-NORMSDIST((LN(SQRT(M28*N28))-LN($C$4:$C$6))/$B$9))</f>
        <v/>
      </c>
    </row>
    <row r="29">
      <c r="A29" s="9">
        <f>IF(C28&gt;0.5,SQRT(A28*B28),A28)</f>
        <v/>
      </c>
      <c r="B29" s="9">
        <f>IF(C28&gt;0.5,B28,SQRT(A28*B28))</f>
        <v/>
      </c>
      <c r="C29" s="44">
        <f>SUMPRODUCT($B$4:$B$6,1-NORMSDIST((LN(SQRT(A29*B29))-LN($C$4:$C$6))/$B$9))</f>
        <v/>
      </c>
      <c r="D29" s="9">
        <f>IF(F28&gt;0.9,SQRT(D28*E28),D28)</f>
        <v/>
      </c>
      <c r="E29" s="9">
        <f>IF(F28&gt;0.9,E28,SQRT(D28*E28))</f>
        <v/>
      </c>
      <c r="F29" s="44">
        <f>SUMPRODUCT($B$4:$B$6,1-NORMSDIST((LN(SQRT(D29*E29))-LN($C$4:$C$6))/$B$9))</f>
        <v/>
      </c>
      <c r="G29" s="9">
        <f>IF(I28&gt;0.75,SQRT(G28*H28),G28)</f>
        <v/>
      </c>
      <c r="H29" s="9">
        <f>IF(I28&gt;0.75,H28,SQRT(G28*H28))</f>
        <v/>
      </c>
      <c r="I29" s="44">
        <f>SUMPRODUCT($B$4:$B$6,1-NORMSDIST((LN(SQRT(G29*H29))-LN($C$4:$C$6))/$B$9))</f>
        <v/>
      </c>
      <c r="J29" s="9">
        <f>IF(L28&gt;0.25,SQRT(J28*K28),J28)</f>
        <v/>
      </c>
      <c r="K29" s="9">
        <f>IF(L28&gt;0.25,K28,SQRT(J28*K28))</f>
        <v/>
      </c>
      <c r="L29" s="44">
        <f>SUMPRODUCT($B$4:$B$6,1-NORMSDIST((LN(SQRT(J29*K29))-LN($C$4:$C$6))/$B$9))</f>
        <v/>
      </c>
      <c r="M29" s="9">
        <f>IF(O28&gt;0.09999999999999998,SQRT(M28*N28),M28)</f>
        <v/>
      </c>
      <c r="N29" s="9">
        <f>IF(O28&gt;0.09999999999999998,N28,SQRT(M28*N28))</f>
        <v/>
      </c>
      <c r="O29" s="44">
        <f>SUMPRODUCT($B$4:$B$6,1-NORMSDIST((LN(SQRT(M29*N29))-LN($C$4:$C$6))/$B$9))</f>
        <v/>
      </c>
    </row>
    <row r="30">
      <c r="A30" s="9">
        <f>IF(C29&gt;0.5,SQRT(A29*B29),A29)</f>
        <v/>
      </c>
      <c r="B30" s="9">
        <f>IF(C29&gt;0.5,B29,SQRT(A29*B29))</f>
        <v/>
      </c>
      <c r="C30" s="44">
        <f>SUMPRODUCT($B$4:$B$6,1-NORMSDIST((LN(SQRT(A30*B30))-LN($C$4:$C$6))/$B$9))</f>
        <v/>
      </c>
      <c r="D30" s="9">
        <f>IF(F29&gt;0.9,SQRT(D29*E29),D29)</f>
        <v/>
      </c>
      <c r="E30" s="9">
        <f>IF(F29&gt;0.9,E29,SQRT(D29*E29))</f>
        <v/>
      </c>
      <c r="F30" s="44">
        <f>SUMPRODUCT($B$4:$B$6,1-NORMSDIST((LN(SQRT(D30*E30))-LN($C$4:$C$6))/$B$9))</f>
        <v/>
      </c>
      <c r="G30" s="9">
        <f>IF(I29&gt;0.75,SQRT(G29*H29),G29)</f>
        <v/>
      </c>
      <c r="H30" s="9">
        <f>IF(I29&gt;0.75,H29,SQRT(G29*H29))</f>
        <v/>
      </c>
      <c r="I30" s="44">
        <f>SUMPRODUCT($B$4:$B$6,1-NORMSDIST((LN(SQRT(G30*H30))-LN($C$4:$C$6))/$B$9))</f>
        <v/>
      </c>
      <c r="J30" s="9">
        <f>IF(L29&gt;0.25,SQRT(J29*K29),J29)</f>
        <v/>
      </c>
      <c r="K30" s="9">
        <f>IF(L29&gt;0.25,K29,SQRT(J29*K29))</f>
        <v/>
      </c>
      <c r="L30" s="44">
        <f>SUMPRODUCT($B$4:$B$6,1-NORMSDIST((LN(SQRT(J30*K30))-LN($C$4:$C$6))/$B$9))</f>
        <v/>
      </c>
      <c r="M30" s="9">
        <f>IF(O29&gt;0.09999999999999998,SQRT(M29*N29),M29)</f>
        <v/>
      </c>
      <c r="N30" s="9">
        <f>IF(O29&gt;0.09999999999999998,N29,SQRT(M29*N29))</f>
        <v/>
      </c>
      <c r="O30" s="44">
        <f>SUMPRODUCT($B$4:$B$6,1-NORMSDIST((LN(SQRT(M30*N30))-LN($C$4:$C$6))/$B$9))</f>
        <v/>
      </c>
    </row>
    <row r="31">
      <c r="A31" s="9">
        <f>IF(C30&gt;0.5,SQRT(A30*B30),A30)</f>
        <v/>
      </c>
      <c r="B31" s="9">
        <f>IF(C30&gt;0.5,B30,SQRT(A30*B30))</f>
        <v/>
      </c>
      <c r="C31" s="44">
        <f>SUMPRODUCT($B$4:$B$6,1-NORMSDIST((LN(SQRT(A31*B31))-LN($C$4:$C$6))/$B$9))</f>
        <v/>
      </c>
      <c r="D31" s="9">
        <f>IF(F30&gt;0.9,SQRT(D30*E30),D30)</f>
        <v/>
      </c>
      <c r="E31" s="9">
        <f>IF(F30&gt;0.9,E30,SQRT(D30*E30))</f>
        <v/>
      </c>
      <c r="F31" s="44">
        <f>SUMPRODUCT($B$4:$B$6,1-NORMSDIST((LN(SQRT(D31*E31))-LN($C$4:$C$6))/$B$9))</f>
        <v/>
      </c>
      <c r="G31" s="9">
        <f>IF(I30&gt;0.75,SQRT(G30*H30),G30)</f>
        <v/>
      </c>
      <c r="H31" s="9">
        <f>IF(I30&gt;0.75,H30,SQRT(G30*H30))</f>
        <v/>
      </c>
      <c r="I31" s="44">
        <f>SUMPRODUCT($B$4:$B$6,1-NORMSDIST((LN(SQRT(G31*H31))-LN($C$4:$C$6))/$B$9))</f>
        <v/>
      </c>
      <c r="J31" s="9">
        <f>IF(L30&gt;0.25,SQRT(J30*K30),J30)</f>
        <v/>
      </c>
      <c r="K31" s="9">
        <f>IF(L30&gt;0.25,K30,SQRT(J30*K30))</f>
        <v/>
      </c>
      <c r="L31" s="44">
        <f>SUMPRODUCT($B$4:$B$6,1-NORMSDIST((LN(SQRT(J31*K31))-LN($C$4:$C$6))/$B$9))</f>
        <v/>
      </c>
      <c r="M31" s="9">
        <f>IF(O30&gt;0.09999999999999998,SQRT(M30*N30),M30)</f>
        <v/>
      </c>
      <c r="N31" s="9">
        <f>IF(O30&gt;0.09999999999999998,N30,SQRT(M30*N30))</f>
        <v/>
      </c>
      <c r="O31" s="44">
        <f>SUMPRODUCT($B$4:$B$6,1-NORMSDIST((LN(SQRT(M31*N31))-LN($C$4:$C$6))/$B$9))</f>
        <v/>
      </c>
    </row>
    <row r="32">
      <c r="A32" s="9">
        <f>IF(C31&gt;0.5,SQRT(A31*B31),A31)</f>
        <v/>
      </c>
      <c r="B32" s="9">
        <f>IF(C31&gt;0.5,B31,SQRT(A31*B31))</f>
        <v/>
      </c>
      <c r="C32" s="44">
        <f>SUMPRODUCT($B$4:$B$6,1-NORMSDIST((LN(SQRT(A32*B32))-LN($C$4:$C$6))/$B$9))</f>
        <v/>
      </c>
      <c r="D32" s="9">
        <f>IF(F31&gt;0.9,SQRT(D31*E31),D31)</f>
        <v/>
      </c>
      <c r="E32" s="9">
        <f>IF(F31&gt;0.9,E31,SQRT(D31*E31))</f>
        <v/>
      </c>
      <c r="F32" s="44">
        <f>SUMPRODUCT($B$4:$B$6,1-NORMSDIST((LN(SQRT(D32*E32))-LN($C$4:$C$6))/$B$9))</f>
        <v/>
      </c>
      <c r="G32" s="9">
        <f>IF(I31&gt;0.75,SQRT(G31*H31),G31)</f>
        <v/>
      </c>
      <c r="H32" s="9">
        <f>IF(I31&gt;0.75,H31,SQRT(G31*H31))</f>
        <v/>
      </c>
      <c r="I32" s="44">
        <f>SUMPRODUCT($B$4:$B$6,1-NORMSDIST((LN(SQRT(G32*H32))-LN($C$4:$C$6))/$B$9))</f>
        <v/>
      </c>
      <c r="J32" s="9">
        <f>IF(L31&gt;0.25,SQRT(J31*K31),J31)</f>
        <v/>
      </c>
      <c r="K32" s="9">
        <f>IF(L31&gt;0.25,K31,SQRT(J31*K31))</f>
        <v/>
      </c>
      <c r="L32" s="44">
        <f>SUMPRODUCT($B$4:$B$6,1-NORMSDIST((LN(SQRT(J32*K32))-LN($C$4:$C$6))/$B$9))</f>
        <v/>
      </c>
      <c r="M32" s="9">
        <f>IF(O31&gt;0.09999999999999998,SQRT(M31*N31),M31)</f>
        <v/>
      </c>
      <c r="N32" s="9">
        <f>IF(O31&gt;0.09999999999999998,N31,SQRT(M31*N31))</f>
        <v/>
      </c>
      <c r="O32" s="44">
        <f>SUMPRODUCT($B$4:$B$6,1-NORMSDIST((LN(SQRT(M32*N32))-LN($C$4:$C$6))/$B$9))</f>
        <v/>
      </c>
    </row>
    <row r="33">
      <c r="A33" s="9">
        <f>IF(C32&gt;0.5,SQRT(A32*B32),A32)</f>
        <v/>
      </c>
      <c r="B33" s="9">
        <f>IF(C32&gt;0.5,B32,SQRT(A32*B32))</f>
        <v/>
      </c>
      <c r="C33" s="44">
        <f>SUMPRODUCT($B$4:$B$6,1-NORMSDIST((LN(SQRT(A33*B33))-LN($C$4:$C$6))/$B$9))</f>
        <v/>
      </c>
      <c r="D33" s="9">
        <f>IF(F32&gt;0.9,SQRT(D32*E32),D32)</f>
        <v/>
      </c>
      <c r="E33" s="9">
        <f>IF(F32&gt;0.9,E32,SQRT(D32*E32))</f>
        <v/>
      </c>
      <c r="F33" s="44">
        <f>SUMPRODUCT($B$4:$B$6,1-NORMSDIST((LN(SQRT(D33*E33))-LN($C$4:$C$6))/$B$9))</f>
        <v/>
      </c>
      <c r="G33" s="9">
        <f>IF(I32&gt;0.75,SQRT(G32*H32),G32)</f>
        <v/>
      </c>
      <c r="H33" s="9">
        <f>IF(I32&gt;0.75,H32,SQRT(G32*H32))</f>
        <v/>
      </c>
      <c r="I33" s="44">
        <f>SUMPRODUCT($B$4:$B$6,1-NORMSDIST((LN(SQRT(G33*H33))-LN($C$4:$C$6))/$B$9))</f>
        <v/>
      </c>
      <c r="J33" s="9">
        <f>IF(L32&gt;0.25,SQRT(J32*K32),J32)</f>
        <v/>
      </c>
      <c r="K33" s="9">
        <f>IF(L32&gt;0.25,K32,SQRT(J32*K32))</f>
        <v/>
      </c>
      <c r="L33" s="44">
        <f>SUMPRODUCT($B$4:$B$6,1-NORMSDIST((LN(SQRT(J33*K33))-LN($C$4:$C$6))/$B$9))</f>
        <v/>
      </c>
      <c r="M33" s="9">
        <f>IF(O32&gt;0.09999999999999998,SQRT(M32*N32),M32)</f>
        <v/>
      </c>
      <c r="N33" s="9">
        <f>IF(O32&gt;0.09999999999999998,N32,SQRT(M32*N32))</f>
        <v/>
      </c>
      <c r="O33" s="44">
        <f>SUMPRODUCT($B$4:$B$6,1-NORMSDIST((LN(SQRT(M33*N33))-LN($C$4:$C$6))/$B$9))</f>
        <v/>
      </c>
    </row>
    <row r="34">
      <c r="A34" s="9">
        <f>IF(C33&gt;0.5,SQRT(A33*B33),A33)</f>
        <v/>
      </c>
      <c r="B34" s="9">
        <f>IF(C33&gt;0.5,B33,SQRT(A33*B33))</f>
        <v/>
      </c>
      <c r="C34" s="44">
        <f>SUMPRODUCT($B$4:$B$6,1-NORMSDIST((LN(SQRT(A34*B34))-LN($C$4:$C$6))/$B$9))</f>
        <v/>
      </c>
      <c r="D34" s="9">
        <f>IF(F33&gt;0.9,SQRT(D33*E33),D33)</f>
        <v/>
      </c>
      <c r="E34" s="9">
        <f>IF(F33&gt;0.9,E33,SQRT(D33*E33))</f>
        <v/>
      </c>
      <c r="F34" s="44">
        <f>SUMPRODUCT($B$4:$B$6,1-NORMSDIST((LN(SQRT(D34*E34))-LN($C$4:$C$6))/$B$9))</f>
        <v/>
      </c>
      <c r="G34" s="9">
        <f>IF(I33&gt;0.75,SQRT(G33*H33),G33)</f>
        <v/>
      </c>
      <c r="H34" s="9">
        <f>IF(I33&gt;0.75,H33,SQRT(G33*H33))</f>
        <v/>
      </c>
      <c r="I34" s="44">
        <f>SUMPRODUCT($B$4:$B$6,1-NORMSDIST((LN(SQRT(G34*H34))-LN($C$4:$C$6))/$B$9))</f>
        <v/>
      </c>
      <c r="J34" s="9">
        <f>IF(L33&gt;0.25,SQRT(J33*K33),J33)</f>
        <v/>
      </c>
      <c r="K34" s="9">
        <f>IF(L33&gt;0.25,K33,SQRT(J33*K33))</f>
        <v/>
      </c>
      <c r="L34" s="44">
        <f>SUMPRODUCT($B$4:$B$6,1-NORMSDIST((LN(SQRT(J34*K34))-LN($C$4:$C$6))/$B$9))</f>
        <v/>
      </c>
      <c r="M34" s="9">
        <f>IF(O33&gt;0.09999999999999998,SQRT(M33*N33),M33)</f>
        <v/>
      </c>
      <c r="N34" s="9">
        <f>IF(O33&gt;0.09999999999999998,N33,SQRT(M33*N33))</f>
        <v/>
      </c>
      <c r="O34" s="44">
        <f>SUMPRODUCT($B$4:$B$6,1-NORMSDIST((LN(SQRT(M34*N34))-LN($C$4:$C$6))/$B$9))</f>
        <v/>
      </c>
    </row>
    <row r="35">
      <c r="A35" s="9">
        <f>IF(C34&gt;0.5,SQRT(A34*B34),A34)</f>
        <v/>
      </c>
      <c r="B35" s="9">
        <f>IF(C34&gt;0.5,B34,SQRT(A34*B34))</f>
        <v/>
      </c>
      <c r="C35" s="44">
        <f>SUMPRODUCT($B$4:$B$6,1-NORMSDIST((LN(SQRT(A35*B35))-LN($C$4:$C$6))/$B$9))</f>
        <v/>
      </c>
      <c r="D35" s="9">
        <f>IF(F34&gt;0.9,SQRT(D34*E34),D34)</f>
        <v/>
      </c>
      <c r="E35" s="9">
        <f>IF(F34&gt;0.9,E34,SQRT(D34*E34))</f>
        <v/>
      </c>
      <c r="F35" s="44">
        <f>SUMPRODUCT($B$4:$B$6,1-NORMSDIST((LN(SQRT(D35*E35))-LN($C$4:$C$6))/$B$9))</f>
        <v/>
      </c>
      <c r="G35" s="9">
        <f>IF(I34&gt;0.75,SQRT(G34*H34),G34)</f>
        <v/>
      </c>
      <c r="H35" s="9">
        <f>IF(I34&gt;0.75,H34,SQRT(G34*H34))</f>
        <v/>
      </c>
      <c r="I35" s="44">
        <f>SUMPRODUCT($B$4:$B$6,1-NORMSDIST((LN(SQRT(G35*H35))-LN($C$4:$C$6))/$B$9))</f>
        <v/>
      </c>
      <c r="J35" s="9">
        <f>IF(L34&gt;0.25,SQRT(J34*K34),J34)</f>
        <v/>
      </c>
      <c r="K35" s="9">
        <f>IF(L34&gt;0.25,K34,SQRT(J34*K34))</f>
        <v/>
      </c>
      <c r="L35" s="44">
        <f>SUMPRODUCT($B$4:$B$6,1-NORMSDIST((LN(SQRT(J35*K35))-LN($C$4:$C$6))/$B$9))</f>
        <v/>
      </c>
      <c r="M35" s="9">
        <f>IF(O34&gt;0.09999999999999998,SQRT(M34*N34),M34)</f>
        <v/>
      </c>
      <c r="N35" s="9">
        <f>IF(O34&gt;0.09999999999999998,N34,SQRT(M34*N34))</f>
        <v/>
      </c>
      <c r="O35" s="44">
        <f>SUMPRODUCT($B$4:$B$6,1-NORMSDIST((LN(SQRT(M35*N35))-LN($C$4:$C$6))/$B$9))</f>
        <v/>
      </c>
    </row>
    <row r="36">
      <c r="A36" s="9">
        <f>IF(C35&gt;0.5,SQRT(A35*B35),A35)</f>
        <v/>
      </c>
      <c r="B36" s="9">
        <f>IF(C35&gt;0.5,B35,SQRT(A35*B35))</f>
        <v/>
      </c>
      <c r="C36" s="44">
        <f>SUMPRODUCT($B$4:$B$6,1-NORMSDIST((LN(SQRT(A36*B36))-LN($C$4:$C$6))/$B$9))</f>
        <v/>
      </c>
      <c r="D36" s="9">
        <f>IF(F35&gt;0.9,SQRT(D35*E35),D35)</f>
        <v/>
      </c>
      <c r="E36" s="9">
        <f>IF(F35&gt;0.9,E35,SQRT(D35*E35))</f>
        <v/>
      </c>
      <c r="F36" s="44">
        <f>SUMPRODUCT($B$4:$B$6,1-NORMSDIST((LN(SQRT(D36*E36))-LN($C$4:$C$6))/$B$9))</f>
        <v/>
      </c>
      <c r="G36" s="9">
        <f>IF(I35&gt;0.75,SQRT(G35*H35),G35)</f>
        <v/>
      </c>
      <c r="H36" s="9">
        <f>IF(I35&gt;0.75,H35,SQRT(G35*H35))</f>
        <v/>
      </c>
      <c r="I36" s="44">
        <f>SUMPRODUCT($B$4:$B$6,1-NORMSDIST((LN(SQRT(G36*H36))-LN($C$4:$C$6))/$B$9))</f>
        <v/>
      </c>
      <c r="J36" s="9">
        <f>IF(L35&gt;0.25,SQRT(J35*K35),J35)</f>
        <v/>
      </c>
      <c r="K36" s="9">
        <f>IF(L35&gt;0.25,K35,SQRT(J35*K35))</f>
        <v/>
      </c>
      <c r="L36" s="44">
        <f>SUMPRODUCT($B$4:$B$6,1-NORMSDIST((LN(SQRT(J36*K36))-LN($C$4:$C$6))/$B$9))</f>
        <v/>
      </c>
      <c r="M36" s="9">
        <f>IF(O35&gt;0.09999999999999998,SQRT(M35*N35),M35)</f>
        <v/>
      </c>
      <c r="N36" s="9">
        <f>IF(O35&gt;0.09999999999999998,N35,SQRT(M35*N35))</f>
        <v/>
      </c>
      <c r="O36" s="44">
        <f>SUMPRODUCT($B$4:$B$6,1-NORMSDIST((LN(SQRT(M36*N36))-LN($C$4:$C$6))/$B$9))</f>
        <v/>
      </c>
    </row>
    <row r="37">
      <c r="A37" s="9">
        <f>IF(C36&gt;0.5,SQRT(A36*B36),A36)</f>
        <v/>
      </c>
      <c r="B37" s="9">
        <f>IF(C36&gt;0.5,B36,SQRT(A36*B36))</f>
        <v/>
      </c>
      <c r="C37" s="44">
        <f>SUMPRODUCT($B$4:$B$6,1-NORMSDIST((LN(SQRT(A37*B37))-LN($C$4:$C$6))/$B$9))</f>
        <v/>
      </c>
      <c r="D37" s="9">
        <f>IF(F36&gt;0.9,SQRT(D36*E36),D36)</f>
        <v/>
      </c>
      <c r="E37" s="9">
        <f>IF(F36&gt;0.9,E36,SQRT(D36*E36))</f>
        <v/>
      </c>
      <c r="F37" s="44">
        <f>SUMPRODUCT($B$4:$B$6,1-NORMSDIST((LN(SQRT(D37*E37))-LN($C$4:$C$6))/$B$9))</f>
        <v/>
      </c>
      <c r="G37" s="9">
        <f>IF(I36&gt;0.75,SQRT(G36*H36),G36)</f>
        <v/>
      </c>
      <c r="H37" s="9">
        <f>IF(I36&gt;0.75,H36,SQRT(G36*H36))</f>
        <v/>
      </c>
      <c r="I37" s="44">
        <f>SUMPRODUCT($B$4:$B$6,1-NORMSDIST((LN(SQRT(G37*H37))-LN($C$4:$C$6))/$B$9))</f>
        <v/>
      </c>
      <c r="J37" s="9">
        <f>IF(L36&gt;0.25,SQRT(J36*K36),J36)</f>
        <v/>
      </c>
      <c r="K37" s="9">
        <f>IF(L36&gt;0.25,K36,SQRT(J36*K36))</f>
        <v/>
      </c>
      <c r="L37" s="44">
        <f>SUMPRODUCT($B$4:$B$6,1-NORMSDIST((LN(SQRT(J37*K37))-LN($C$4:$C$6))/$B$9))</f>
        <v/>
      </c>
      <c r="M37" s="9">
        <f>IF(O36&gt;0.09999999999999998,SQRT(M36*N36),M36)</f>
        <v/>
      </c>
      <c r="N37" s="9">
        <f>IF(O36&gt;0.09999999999999998,N36,SQRT(M36*N36))</f>
        <v/>
      </c>
      <c r="O37" s="44">
        <f>SUMPRODUCT($B$4:$B$6,1-NORMSDIST((LN(SQRT(M37*N37))-LN($C$4:$C$6))/$B$9))</f>
        <v/>
      </c>
    </row>
    <row r="38">
      <c r="A38" s="9">
        <f>IF(C37&gt;0.5,SQRT(A37*B37),A37)</f>
        <v/>
      </c>
      <c r="B38" s="9">
        <f>IF(C37&gt;0.5,B37,SQRT(A37*B37))</f>
        <v/>
      </c>
      <c r="C38" s="44">
        <f>SUMPRODUCT($B$4:$B$6,1-NORMSDIST((LN(SQRT(A38*B38))-LN($C$4:$C$6))/$B$9))</f>
        <v/>
      </c>
      <c r="D38" s="9">
        <f>IF(F37&gt;0.9,SQRT(D37*E37),D37)</f>
        <v/>
      </c>
      <c r="E38" s="9">
        <f>IF(F37&gt;0.9,E37,SQRT(D37*E37))</f>
        <v/>
      </c>
      <c r="F38" s="44">
        <f>SUMPRODUCT($B$4:$B$6,1-NORMSDIST((LN(SQRT(D38*E38))-LN($C$4:$C$6))/$B$9))</f>
        <v/>
      </c>
      <c r="G38" s="9">
        <f>IF(I37&gt;0.75,SQRT(G37*H37),G37)</f>
        <v/>
      </c>
      <c r="H38" s="9">
        <f>IF(I37&gt;0.75,H37,SQRT(G37*H37))</f>
        <v/>
      </c>
      <c r="I38" s="44">
        <f>SUMPRODUCT($B$4:$B$6,1-NORMSDIST((LN(SQRT(G38*H38))-LN($C$4:$C$6))/$B$9))</f>
        <v/>
      </c>
      <c r="J38" s="9">
        <f>IF(L37&gt;0.25,SQRT(J37*K37),J37)</f>
        <v/>
      </c>
      <c r="K38" s="9">
        <f>IF(L37&gt;0.25,K37,SQRT(J37*K37))</f>
        <v/>
      </c>
      <c r="L38" s="44">
        <f>SUMPRODUCT($B$4:$B$6,1-NORMSDIST((LN(SQRT(J38*K38))-LN($C$4:$C$6))/$B$9))</f>
        <v/>
      </c>
      <c r="M38" s="9">
        <f>IF(O37&gt;0.09999999999999998,SQRT(M37*N37),M37)</f>
        <v/>
      </c>
      <c r="N38" s="9">
        <f>IF(O37&gt;0.09999999999999998,N37,SQRT(M37*N37))</f>
        <v/>
      </c>
      <c r="O38" s="44">
        <f>SUMPRODUCT($B$4:$B$6,1-NORMSDIST((LN(SQRT(M38*N38))-LN($C$4:$C$6))/$B$9))</f>
        <v/>
      </c>
    </row>
    <row r="39">
      <c r="A39" s="9">
        <f>IF(C38&gt;0.5,SQRT(A38*B38),A38)</f>
        <v/>
      </c>
      <c r="B39" s="9">
        <f>IF(C38&gt;0.5,B38,SQRT(A38*B38))</f>
        <v/>
      </c>
      <c r="C39" s="44">
        <f>SUMPRODUCT($B$4:$B$6,1-NORMSDIST((LN(SQRT(A39*B39))-LN($C$4:$C$6))/$B$9))</f>
        <v/>
      </c>
      <c r="D39" s="9">
        <f>IF(F38&gt;0.9,SQRT(D38*E38),D38)</f>
        <v/>
      </c>
      <c r="E39" s="9">
        <f>IF(F38&gt;0.9,E38,SQRT(D38*E38))</f>
        <v/>
      </c>
      <c r="F39" s="44">
        <f>SUMPRODUCT($B$4:$B$6,1-NORMSDIST((LN(SQRT(D39*E39))-LN($C$4:$C$6))/$B$9))</f>
        <v/>
      </c>
      <c r="G39" s="9">
        <f>IF(I38&gt;0.75,SQRT(G38*H38),G38)</f>
        <v/>
      </c>
      <c r="H39" s="9">
        <f>IF(I38&gt;0.75,H38,SQRT(G38*H38))</f>
        <v/>
      </c>
      <c r="I39" s="44">
        <f>SUMPRODUCT($B$4:$B$6,1-NORMSDIST((LN(SQRT(G39*H39))-LN($C$4:$C$6))/$B$9))</f>
        <v/>
      </c>
      <c r="J39" s="9">
        <f>IF(L38&gt;0.25,SQRT(J38*K38),J38)</f>
        <v/>
      </c>
      <c r="K39" s="9">
        <f>IF(L38&gt;0.25,K38,SQRT(J38*K38))</f>
        <v/>
      </c>
      <c r="L39" s="44">
        <f>SUMPRODUCT($B$4:$B$6,1-NORMSDIST((LN(SQRT(J39*K39))-LN($C$4:$C$6))/$B$9))</f>
        <v/>
      </c>
      <c r="M39" s="9">
        <f>IF(O38&gt;0.09999999999999998,SQRT(M38*N38),M38)</f>
        <v/>
      </c>
      <c r="N39" s="9">
        <f>IF(O38&gt;0.09999999999999998,N38,SQRT(M38*N38))</f>
        <v/>
      </c>
      <c r="O39" s="44">
        <f>SUMPRODUCT($B$4:$B$6,1-NORMSDIST((LN(SQRT(M39*N39))-LN($C$4:$C$6))/$B$9))</f>
        <v/>
      </c>
    </row>
    <row r="40">
      <c r="A40" s="9">
        <f>IF(C39&gt;0.5,SQRT(A39*B39),A39)</f>
        <v/>
      </c>
      <c r="B40" s="9">
        <f>IF(C39&gt;0.5,B39,SQRT(A39*B39))</f>
        <v/>
      </c>
      <c r="C40" s="44">
        <f>SUMPRODUCT($B$4:$B$6,1-NORMSDIST((LN(SQRT(A40*B40))-LN($C$4:$C$6))/$B$9))</f>
        <v/>
      </c>
      <c r="D40" s="9">
        <f>IF(F39&gt;0.9,SQRT(D39*E39),D39)</f>
        <v/>
      </c>
      <c r="E40" s="9">
        <f>IF(F39&gt;0.9,E39,SQRT(D39*E39))</f>
        <v/>
      </c>
      <c r="F40" s="44">
        <f>SUMPRODUCT($B$4:$B$6,1-NORMSDIST((LN(SQRT(D40*E40))-LN($C$4:$C$6))/$B$9))</f>
        <v/>
      </c>
      <c r="G40" s="9">
        <f>IF(I39&gt;0.75,SQRT(G39*H39),G39)</f>
        <v/>
      </c>
      <c r="H40" s="9">
        <f>IF(I39&gt;0.75,H39,SQRT(G39*H39))</f>
        <v/>
      </c>
      <c r="I40" s="44">
        <f>SUMPRODUCT($B$4:$B$6,1-NORMSDIST((LN(SQRT(G40*H40))-LN($C$4:$C$6))/$B$9))</f>
        <v/>
      </c>
      <c r="J40" s="9">
        <f>IF(L39&gt;0.25,SQRT(J39*K39),J39)</f>
        <v/>
      </c>
      <c r="K40" s="9">
        <f>IF(L39&gt;0.25,K39,SQRT(J39*K39))</f>
        <v/>
      </c>
      <c r="L40" s="44">
        <f>SUMPRODUCT($B$4:$B$6,1-NORMSDIST((LN(SQRT(J40*K40))-LN($C$4:$C$6))/$B$9))</f>
        <v/>
      </c>
      <c r="M40" s="9">
        <f>IF(O39&gt;0.09999999999999998,SQRT(M39*N39),M39)</f>
        <v/>
      </c>
      <c r="N40" s="9">
        <f>IF(O39&gt;0.09999999999999998,N39,SQRT(M39*N39))</f>
        <v/>
      </c>
      <c r="O40" s="44">
        <f>SUMPRODUCT($B$4:$B$6,1-NORMSDIST((LN(SQRT(M40*N40))-LN($C$4:$C$6))/$B$9))</f>
        <v/>
      </c>
    </row>
    <row r="41">
      <c r="A41" s="9">
        <f>IF(C40&gt;0.5,SQRT(A40*B40),A40)</f>
        <v/>
      </c>
      <c r="B41" s="9">
        <f>IF(C40&gt;0.5,B40,SQRT(A40*B40))</f>
        <v/>
      </c>
      <c r="C41" s="44">
        <f>SUMPRODUCT($B$4:$B$6,1-NORMSDIST((LN(SQRT(A41*B41))-LN($C$4:$C$6))/$B$9))</f>
        <v/>
      </c>
      <c r="D41" s="9">
        <f>IF(F40&gt;0.9,SQRT(D40*E40),D40)</f>
        <v/>
      </c>
      <c r="E41" s="9">
        <f>IF(F40&gt;0.9,E40,SQRT(D40*E40))</f>
        <v/>
      </c>
      <c r="F41" s="44">
        <f>SUMPRODUCT($B$4:$B$6,1-NORMSDIST((LN(SQRT(D41*E41))-LN($C$4:$C$6))/$B$9))</f>
        <v/>
      </c>
      <c r="G41" s="9">
        <f>IF(I40&gt;0.75,SQRT(G40*H40),G40)</f>
        <v/>
      </c>
      <c r="H41" s="9">
        <f>IF(I40&gt;0.75,H40,SQRT(G40*H40))</f>
        <v/>
      </c>
      <c r="I41" s="44">
        <f>SUMPRODUCT($B$4:$B$6,1-NORMSDIST((LN(SQRT(G41*H41))-LN($C$4:$C$6))/$B$9))</f>
        <v/>
      </c>
      <c r="J41" s="9">
        <f>IF(L40&gt;0.25,SQRT(J40*K40),J40)</f>
        <v/>
      </c>
      <c r="K41" s="9">
        <f>IF(L40&gt;0.25,K40,SQRT(J40*K40))</f>
        <v/>
      </c>
      <c r="L41" s="44">
        <f>SUMPRODUCT($B$4:$B$6,1-NORMSDIST((LN(SQRT(J41*K41))-LN($C$4:$C$6))/$B$9))</f>
        <v/>
      </c>
      <c r="M41" s="9">
        <f>IF(O40&gt;0.09999999999999998,SQRT(M40*N40),M40)</f>
        <v/>
      </c>
      <c r="N41" s="9">
        <f>IF(O40&gt;0.09999999999999998,N40,SQRT(M40*N40))</f>
        <v/>
      </c>
      <c r="O41" s="44">
        <f>SUMPRODUCT($B$4:$B$6,1-NORMSDIST((LN(SQRT(M41*N41))-LN($C$4:$C$6))/$B$9))</f>
        <v/>
      </c>
    </row>
    <row r="42">
      <c r="A42" s="9">
        <f>IF(C41&gt;0.5,SQRT(A41*B41),A41)</f>
        <v/>
      </c>
      <c r="B42" s="9">
        <f>IF(C41&gt;0.5,B41,SQRT(A41*B41))</f>
        <v/>
      </c>
      <c r="C42" s="44">
        <f>SUMPRODUCT($B$4:$B$6,1-NORMSDIST((LN(SQRT(A42*B42))-LN($C$4:$C$6))/$B$9))</f>
        <v/>
      </c>
      <c r="D42" s="9">
        <f>IF(F41&gt;0.9,SQRT(D41*E41),D41)</f>
        <v/>
      </c>
      <c r="E42" s="9">
        <f>IF(F41&gt;0.9,E41,SQRT(D41*E41))</f>
        <v/>
      </c>
      <c r="F42" s="44">
        <f>SUMPRODUCT($B$4:$B$6,1-NORMSDIST((LN(SQRT(D42*E42))-LN($C$4:$C$6))/$B$9))</f>
        <v/>
      </c>
      <c r="G42" s="9">
        <f>IF(I41&gt;0.75,SQRT(G41*H41),G41)</f>
        <v/>
      </c>
      <c r="H42" s="9">
        <f>IF(I41&gt;0.75,H41,SQRT(G41*H41))</f>
        <v/>
      </c>
      <c r="I42" s="44">
        <f>SUMPRODUCT($B$4:$B$6,1-NORMSDIST((LN(SQRT(G42*H42))-LN($C$4:$C$6))/$B$9))</f>
        <v/>
      </c>
      <c r="J42" s="9">
        <f>IF(L41&gt;0.25,SQRT(J41*K41),J41)</f>
        <v/>
      </c>
      <c r="K42" s="9">
        <f>IF(L41&gt;0.25,K41,SQRT(J41*K41))</f>
        <v/>
      </c>
      <c r="L42" s="44">
        <f>SUMPRODUCT($B$4:$B$6,1-NORMSDIST((LN(SQRT(J42*K42))-LN($C$4:$C$6))/$B$9))</f>
        <v/>
      </c>
      <c r="M42" s="9">
        <f>IF(O41&gt;0.09999999999999998,SQRT(M41*N41),M41)</f>
        <v/>
      </c>
      <c r="N42" s="9">
        <f>IF(O41&gt;0.09999999999999998,N41,SQRT(M41*N41))</f>
        <v/>
      </c>
      <c r="O42" s="44">
        <f>SUMPRODUCT($B$4:$B$6,1-NORMSDIST((LN(SQRT(M42*N42))-LN($C$4:$C$6))/$B$9))</f>
        <v/>
      </c>
    </row>
    <row r="43">
      <c r="A43" s="9">
        <f>IF(C42&gt;0.5,SQRT(A42*B42),A42)</f>
        <v/>
      </c>
      <c r="B43" s="9">
        <f>IF(C42&gt;0.5,B42,SQRT(A42*B42))</f>
        <v/>
      </c>
      <c r="C43" s="44">
        <f>SUMPRODUCT($B$4:$B$6,1-NORMSDIST((LN(SQRT(A43*B43))-LN($C$4:$C$6))/$B$9))</f>
        <v/>
      </c>
      <c r="D43" s="9">
        <f>IF(F42&gt;0.9,SQRT(D42*E42),D42)</f>
        <v/>
      </c>
      <c r="E43" s="9">
        <f>IF(F42&gt;0.9,E42,SQRT(D42*E42))</f>
        <v/>
      </c>
      <c r="F43" s="44">
        <f>SUMPRODUCT($B$4:$B$6,1-NORMSDIST((LN(SQRT(D43*E43))-LN($C$4:$C$6))/$B$9))</f>
        <v/>
      </c>
      <c r="G43" s="9">
        <f>IF(I42&gt;0.75,SQRT(G42*H42),G42)</f>
        <v/>
      </c>
      <c r="H43" s="9">
        <f>IF(I42&gt;0.75,H42,SQRT(G42*H42))</f>
        <v/>
      </c>
      <c r="I43" s="44">
        <f>SUMPRODUCT($B$4:$B$6,1-NORMSDIST((LN(SQRT(G43*H43))-LN($C$4:$C$6))/$B$9))</f>
        <v/>
      </c>
      <c r="J43" s="9">
        <f>IF(L42&gt;0.25,SQRT(J42*K42),J42)</f>
        <v/>
      </c>
      <c r="K43" s="9">
        <f>IF(L42&gt;0.25,K42,SQRT(J42*K42))</f>
        <v/>
      </c>
      <c r="L43" s="44">
        <f>SUMPRODUCT($B$4:$B$6,1-NORMSDIST((LN(SQRT(J43*K43))-LN($C$4:$C$6))/$B$9))</f>
        <v/>
      </c>
      <c r="M43" s="9">
        <f>IF(O42&gt;0.09999999999999998,SQRT(M42*N42),M42)</f>
        <v/>
      </c>
      <c r="N43" s="9">
        <f>IF(O42&gt;0.09999999999999998,N42,SQRT(M42*N42))</f>
        <v/>
      </c>
      <c r="O43" s="44">
        <f>SUMPRODUCT($B$4:$B$6,1-NORMSDIST((LN(SQRT(M43*N43))-LN($C$4:$C$6))/$B$9))</f>
        <v/>
      </c>
    </row>
    <row r="44">
      <c r="A44" s="9">
        <f>IF(C43&gt;0.5,SQRT(A43*B43),A43)</f>
        <v/>
      </c>
      <c r="B44" s="9">
        <f>IF(C43&gt;0.5,B43,SQRT(A43*B43))</f>
        <v/>
      </c>
      <c r="C44" s="44">
        <f>SUMPRODUCT($B$4:$B$6,1-NORMSDIST((LN(SQRT(A44*B44))-LN($C$4:$C$6))/$B$9))</f>
        <v/>
      </c>
      <c r="D44" s="9">
        <f>IF(F43&gt;0.9,SQRT(D43*E43),D43)</f>
        <v/>
      </c>
      <c r="E44" s="9">
        <f>IF(F43&gt;0.9,E43,SQRT(D43*E43))</f>
        <v/>
      </c>
      <c r="F44" s="44">
        <f>SUMPRODUCT($B$4:$B$6,1-NORMSDIST((LN(SQRT(D44*E44))-LN($C$4:$C$6))/$B$9))</f>
        <v/>
      </c>
      <c r="G44" s="9">
        <f>IF(I43&gt;0.75,SQRT(G43*H43),G43)</f>
        <v/>
      </c>
      <c r="H44" s="9">
        <f>IF(I43&gt;0.75,H43,SQRT(G43*H43))</f>
        <v/>
      </c>
      <c r="I44" s="44">
        <f>SUMPRODUCT($B$4:$B$6,1-NORMSDIST((LN(SQRT(G44*H44))-LN($C$4:$C$6))/$B$9))</f>
        <v/>
      </c>
      <c r="J44" s="9">
        <f>IF(L43&gt;0.25,SQRT(J43*K43),J43)</f>
        <v/>
      </c>
      <c r="K44" s="9">
        <f>IF(L43&gt;0.25,K43,SQRT(J43*K43))</f>
        <v/>
      </c>
      <c r="L44" s="44">
        <f>SUMPRODUCT($B$4:$B$6,1-NORMSDIST((LN(SQRT(J44*K44))-LN($C$4:$C$6))/$B$9))</f>
        <v/>
      </c>
      <c r="M44" s="9">
        <f>IF(O43&gt;0.09999999999999998,SQRT(M43*N43),M43)</f>
        <v/>
      </c>
      <c r="N44" s="9">
        <f>IF(O43&gt;0.09999999999999998,N43,SQRT(M43*N43))</f>
        <v/>
      </c>
      <c r="O44" s="44">
        <f>SUMPRODUCT($B$4:$B$6,1-NORMSDIST((LN(SQRT(M44*N44))-LN($C$4:$C$6))/$B$9))</f>
        <v/>
      </c>
    </row>
    <row r="45">
      <c r="A45" s="9">
        <f>IF(C44&gt;0.5,SQRT(A44*B44),A44)</f>
        <v/>
      </c>
      <c r="B45" s="9">
        <f>IF(C44&gt;0.5,B44,SQRT(A44*B44))</f>
        <v/>
      </c>
      <c r="C45" s="44">
        <f>SUMPRODUCT($B$4:$B$6,1-NORMSDIST((LN(SQRT(A45*B45))-LN($C$4:$C$6))/$B$9))</f>
        <v/>
      </c>
      <c r="D45" s="9">
        <f>IF(F44&gt;0.9,SQRT(D44*E44),D44)</f>
        <v/>
      </c>
      <c r="E45" s="9">
        <f>IF(F44&gt;0.9,E44,SQRT(D44*E44))</f>
        <v/>
      </c>
      <c r="F45" s="44">
        <f>SUMPRODUCT($B$4:$B$6,1-NORMSDIST((LN(SQRT(D45*E45))-LN($C$4:$C$6))/$B$9))</f>
        <v/>
      </c>
      <c r="G45" s="9">
        <f>IF(I44&gt;0.75,SQRT(G44*H44),G44)</f>
        <v/>
      </c>
      <c r="H45" s="9">
        <f>IF(I44&gt;0.75,H44,SQRT(G44*H44))</f>
        <v/>
      </c>
      <c r="I45" s="44">
        <f>SUMPRODUCT($B$4:$B$6,1-NORMSDIST((LN(SQRT(G45*H45))-LN($C$4:$C$6))/$B$9))</f>
        <v/>
      </c>
      <c r="J45" s="9">
        <f>IF(L44&gt;0.25,SQRT(J44*K44),J44)</f>
        <v/>
      </c>
      <c r="K45" s="9">
        <f>IF(L44&gt;0.25,K44,SQRT(J44*K44))</f>
        <v/>
      </c>
      <c r="L45" s="44">
        <f>SUMPRODUCT($B$4:$B$6,1-NORMSDIST((LN(SQRT(J45*K45))-LN($C$4:$C$6))/$B$9))</f>
        <v/>
      </c>
      <c r="M45" s="9">
        <f>IF(O44&gt;0.09999999999999998,SQRT(M44*N44),M44)</f>
        <v/>
      </c>
      <c r="N45" s="9">
        <f>IF(O44&gt;0.09999999999999998,N44,SQRT(M44*N44))</f>
        <v/>
      </c>
      <c r="O45" s="44">
        <f>SUMPRODUCT($B$4:$B$6,1-NORMSDIST((LN(SQRT(M45*N45))-LN($C$4:$C$6))/$B$9))</f>
        <v/>
      </c>
    </row>
    <row r="46">
      <c r="A46" s="9">
        <f>IF(C45&gt;0.5,SQRT(A45*B45),A45)</f>
        <v/>
      </c>
      <c r="B46" s="9">
        <f>IF(C45&gt;0.5,B45,SQRT(A45*B45))</f>
        <v/>
      </c>
      <c r="C46" s="44">
        <f>SUMPRODUCT($B$4:$B$6,1-NORMSDIST((LN(SQRT(A46*B46))-LN($C$4:$C$6))/$B$9))</f>
        <v/>
      </c>
      <c r="D46" s="9">
        <f>IF(F45&gt;0.9,SQRT(D45*E45),D45)</f>
        <v/>
      </c>
      <c r="E46" s="9">
        <f>IF(F45&gt;0.9,E45,SQRT(D45*E45))</f>
        <v/>
      </c>
      <c r="F46" s="44">
        <f>SUMPRODUCT($B$4:$B$6,1-NORMSDIST((LN(SQRT(D46*E46))-LN($C$4:$C$6))/$B$9))</f>
        <v/>
      </c>
      <c r="G46" s="9">
        <f>IF(I45&gt;0.75,SQRT(G45*H45),G45)</f>
        <v/>
      </c>
      <c r="H46" s="9">
        <f>IF(I45&gt;0.75,H45,SQRT(G45*H45))</f>
        <v/>
      </c>
      <c r="I46" s="44">
        <f>SUMPRODUCT($B$4:$B$6,1-NORMSDIST((LN(SQRT(G46*H46))-LN($C$4:$C$6))/$B$9))</f>
        <v/>
      </c>
      <c r="J46" s="9">
        <f>IF(L45&gt;0.25,SQRT(J45*K45),J45)</f>
        <v/>
      </c>
      <c r="K46" s="9">
        <f>IF(L45&gt;0.25,K45,SQRT(J45*K45))</f>
        <v/>
      </c>
      <c r="L46" s="44">
        <f>SUMPRODUCT($B$4:$B$6,1-NORMSDIST((LN(SQRT(J46*K46))-LN($C$4:$C$6))/$B$9))</f>
        <v/>
      </c>
      <c r="M46" s="9">
        <f>IF(O45&gt;0.09999999999999998,SQRT(M45*N45),M45)</f>
        <v/>
      </c>
      <c r="N46" s="9">
        <f>IF(O45&gt;0.09999999999999998,N45,SQRT(M45*N45))</f>
        <v/>
      </c>
      <c r="O46" s="44">
        <f>SUMPRODUCT($B$4:$B$6,1-NORMSDIST((LN(SQRT(M46*N46))-LN($C$4:$C$6))/$B$9))</f>
        <v/>
      </c>
    </row>
    <row r="47">
      <c r="A47" s="9">
        <f>IF(C46&gt;0.5,SQRT(A46*B46),A46)</f>
        <v/>
      </c>
      <c r="B47" s="9">
        <f>IF(C46&gt;0.5,B46,SQRT(A46*B46))</f>
        <v/>
      </c>
      <c r="C47" s="44">
        <f>SUMPRODUCT($B$4:$B$6,1-NORMSDIST((LN(SQRT(A47*B47))-LN($C$4:$C$6))/$B$9))</f>
        <v/>
      </c>
      <c r="D47" s="9">
        <f>IF(F46&gt;0.9,SQRT(D46*E46),D46)</f>
        <v/>
      </c>
      <c r="E47" s="9">
        <f>IF(F46&gt;0.9,E46,SQRT(D46*E46))</f>
        <v/>
      </c>
      <c r="F47" s="44">
        <f>SUMPRODUCT($B$4:$B$6,1-NORMSDIST((LN(SQRT(D47*E47))-LN($C$4:$C$6))/$B$9))</f>
        <v/>
      </c>
      <c r="G47" s="9">
        <f>IF(I46&gt;0.75,SQRT(G46*H46),G46)</f>
        <v/>
      </c>
      <c r="H47" s="9">
        <f>IF(I46&gt;0.75,H46,SQRT(G46*H46))</f>
        <v/>
      </c>
      <c r="I47" s="44">
        <f>SUMPRODUCT($B$4:$B$6,1-NORMSDIST((LN(SQRT(G47*H47))-LN($C$4:$C$6))/$B$9))</f>
        <v/>
      </c>
      <c r="J47" s="9">
        <f>IF(L46&gt;0.25,SQRT(J46*K46),J46)</f>
        <v/>
      </c>
      <c r="K47" s="9">
        <f>IF(L46&gt;0.25,K46,SQRT(J46*K46))</f>
        <v/>
      </c>
      <c r="L47" s="44">
        <f>SUMPRODUCT($B$4:$B$6,1-NORMSDIST((LN(SQRT(J47*K47))-LN($C$4:$C$6))/$B$9))</f>
        <v/>
      </c>
      <c r="M47" s="9">
        <f>IF(O46&gt;0.09999999999999998,SQRT(M46*N46),M46)</f>
        <v/>
      </c>
      <c r="N47" s="9">
        <f>IF(O46&gt;0.09999999999999998,N46,SQRT(M46*N46))</f>
        <v/>
      </c>
      <c r="O47" s="44">
        <f>SUMPRODUCT($B$4:$B$6,1-NORMSDIST((LN(SQRT(M47*N47))-LN($C$4:$C$6))/$B$9))</f>
        <v/>
      </c>
    </row>
    <row r="48">
      <c r="A48" s="9">
        <f>IF(C47&gt;0.5,SQRT(A47*B47),A47)</f>
        <v/>
      </c>
      <c r="B48" s="9">
        <f>IF(C47&gt;0.5,B47,SQRT(A47*B47))</f>
        <v/>
      </c>
      <c r="C48" s="44">
        <f>SUMPRODUCT($B$4:$B$6,1-NORMSDIST((LN(SQRT(A48*B48))-LN($C$4:$C$6))/$B$9))</f>
        <v/>
      </c>
      <c r="D48" s="9">
        <f>IF(F47&gt;0.9,SQRT(D47*E47),D47)</f>
        <v/>
      </c>
      <c r="E48" s="9">
        <f>IF(F47&gt;0.9,E47,SQRT(D47*E47))</f>
        <v/>
      </c>
      <c r="F48" s="44">
        <f>SUMPRODUCT($B$4:$B$6,1-NORMSDIST((LN(SQRT(D48*E48))-LN($C$4:$C$6))/$B$9))</f>
        <v/>
      </c>
      <c r="G48" s="9">
        <f>IF(I47&gt;0.75,SQRT(G47*H47),G47)</f>
        <v/>
      </c>
      <c r="H48" s="9">
        <f>IF(I47&gt;0.75,H47,SQRT(G47*H47))</f>
        <v/>
      </c>
      <c r="I48" s="44">
        <f>SUMPRODUCT($B$4:$B$6,1-NORMSDIST((LN(SQRT(G48*H48))-LN($C$4:$C$6))/$B$9))</f>
        <v/>
      </c>
      <c r="J48" s="9">
        <f>IF(L47&gt;0.25,SQRT(J47*K47),J47)</f>
        <v/>
      </c>
      <c r="K48" s="9">
        <f>IF(L47&gt;0.25,K47,SQRT(J47*K47))</f>
        <v/>
      </c>
      <c r="L48" s="44">
        <f>SUMPRODUCT($B$4:$B$6,1-NORMSDIST((LN(SQRT(J48*K48))-LN($C$4:$C$6))/$B$9))</f>
        <v/>
      </c>
      <c r="M48" s="9">
        <f>IF(O47&gt;0.09999999999999998,SQRT(M47*N47),M47)</f>
        <v/>
      </c>
      <c r="N48" s="9">
        <f>IF(O47&gt;0.09999999999999998,N47,SQRT(M47*N47))</f>
        <v/>
      </c>
      <c r="O48" s="44">
        <f>SUMPRODUCT($B$4:$B$6,1-NORMSDIST((LN(SQRT(M48*N48))-LN($C$4:$C$6))/$B$9))</f>
        <v/>
      </c>
    </row>
    <row r="49">
      <c r="A49" s="9">
        <f>IF(C48&gt;0.5,SQRT(A48*B48),A48)</f>
        <v/>
      </c>
      <c r="B49" s="9">
        <f>IF(C48&gt;0.5,B48,SQRT(A48*B48))</f>
        <v/>
      </c>
      <c r="C49" s="44">
        <f>SUMPRODUCT($B$4:$B$6,1-NORMSDIST((LN(SQRT(A49*B49))-LN($C$4:$C$6))/$B$9))</f>
        <v/>
      </c>
      <c r="D49" s="9">
        <f>IF(F48&gt;0.9,SQRT(D48*E48),D48)</f>
        <v/>
      </c>
      <c r="E49" s="9">
        <f>IF(F48&gt;0.9,E48,SQRT(D48*E48))</f>
        <v/>
      </c>
      <c r="F49" s="44">
        <f>SUMPRODUCT($B$4:$B$6,1-NORMSDIST((LN(SQRT(D49*E49))-LN($C$4:$C$6))/$B$9))</f>
        <v/>
      </c>
      <c r="G49" s="9">
        <f>IF(I48&gt;0.75,SQRT(G48*H48),G48)</f>
        <v/>
      </c>
      <c r="H49" s="9">
        <f>IF(I48&gt;0.75,H48,SQRT(G48*H48))</f>
        <v/>
      </c>
      <c r="I49" s="44">
        <f>SUMPRODUCT($B$4:$B$6,1-NORMSDIST((LN(SQRT(G49*H49))-LN($C$4:$C$6))/$B$9))</f>
        <v/>
      </c>
      <c r="J49" s="9">
        <f>IF(L48&gt;0.25,SQRT(J48*K48),J48)</f>
        <v/>
      </c>
      <c r="K49" s="9">
        <f>IF(L48&gt;0.25,K48,SQRT(J48*K48))</f>
        <v/>
      </c>
      <c r="L49" s="44">
        <f>SUMPRODUCT($B$4:$B$6,1-NORMSDIST((LN(SQRT(J49*K49))-LN($C$4:$C$6))/$B$9))</f>
        <v/>
      </c>
      <c r="M49" s="9">
        <f>IF(O48&gt;0.09999999999999998,SQRT(M48*N48),M48)</f>
        <v/>
      </c>
      <c r="N49" s="9">
        <f>IF(O48&gt;0.09999999999999998,N48,SQRT(M48*N48))</f>
        <v/>
      </c>
      <c r="O49" s="44">
        <f>SUMPRODUCT($B$4:$B$6,1-NORMSDIST((LN(SQRT(M49*N49))-LN($C$4:$C$6))/$B$9))</f>
        <v/>
      </c>
    </row>
    <row r="50">
      <c r="A50" s="9">
        <f>IF(C49&gt;0.5,SQRT(A49*B49),A49)</f>
        <v/>
      </c>
      <c r="B50" s="9">
        <f>IF(C49&gt;0.5,B49,SQRT(A49*B49))</f>
        <v/>
      </c>
      <c r="C50" s="44">
        <f>SUMPRODUCT($B$4:$B$6,1-NORMSDIST((LN(SQRT(A50*B50))-LN($C$4:$C$6))/$B$9))</f>
        <v/>
      </c>
      <c r="D50" s="9">
        <f>IF(F49&gt;0.9,SQRT(D49*E49),D49)</f>
        <v/>
      </c>
      <c r="E50" s="9">
        <f>IF(F49&gt;0.9,E49,SQRT(D49*E49))</f>
        <v/>
      </c>
      <c r="F50" s="44">
        <f>SUMPRODUCT($B$4:$B$6,1-NORMSDIST((LN(SQRT(D50*E50))-LN($C$4:$C$6))/$B$9))</f>
        <v/>
      </c>
      <c r="G50" s="9">
        <f>IF(I49&gt;0.75,SQRT(G49*H49),G49)</f>
        <v/>
      </c>
      <c r="H50" s="9">
        <f>IF(I49&gt;0.75,H49,SQRT(G49*H49))</f>
        <v/>
      </c>
      <c r="I50" s="44">
        <f>SUMPRODUCT($B$4:$B$6,1-NORMSDIST((LN(SQRT(G50*H50))-LN($C$4:$C$6))/$B$9))</f>
        <v/>
      </c>
      <c r="J50" s="9">
        <f>IF(L49&gt;0.25,SQRT(J49*K49),J49)</f>
        <v/>
      </c>
      <c r="K50" s="9">
        <f>IF(L49&gt;0.25,K49,SQRT(J49*K49))</f>
        <v/>
      </c>
      <c r="L50" s="44">
        <f>SUMPRODUCT($B$4:$B$6,1-NORMSDIST((LN(SQRT(J50*K50))-LN($C$4:$C$6))/$B$9))</f>
        <v/>
      </c>
      <c r="M50" s="9">
        <f>IF(O49&gt;0.09999999999999998,SQRT(M49*N49),M49)</f>
        <v/>
      </c>
      <c r="N50" s="9">
        <f>IF(O49&gt;0.09999999999999998,N49,SQRT(M49*N49))</f>
        <v/>
      </c>
      <c r="O50" s="44">
        <f>SUMPRODUCT($B$4:$B$6,1-NORMSDIST((LN(SQRT(M50*N50))-LN($C$4:$C$6))/$B$9))</f>
        <v/>
      </c>
    </row>
    <row r="51">
      <c r="A51" s="9">
        <f>IF(C50&gt;0.5,SQRT(A50*B50),A50)</f>
        <v/>
      </c>
      <c r="B51" s="9">
        <f>IF(C50&gt;0.5,B50,SQRT(A50*B50))</f>
        <v/>
      </c>
      <c r="C51" s="44">
        <f>SUMPRODUCT($B$4:$B$6,1-NORMSDIST((LN(SQRT(A51*B51))-LN($C$4:$C$6))/$B$9))</f>
        <v/>
      </c>
      <c r="D51" s="9">
        <f>IF(F50&gt;0.9,SQRT(D50*E50),D50)</f>
        <v/>
      </c>
      <c r="E51" s="9">
        <f>IF(F50&gt;0.9,E50,SQRT(D50*E50))</f>
        <v/>
      </c>
      <c r="F51" s="44">
        <f>SUMPRODUCT($B$4:$B$6,1-NORMSDIST((LN(SQRT(D51*E51))-LN($C$4:$C$6))/$B$9))</f>
        <v/>
      </c>
      <c r="G51" s="9">
        <f>IF(I50&gt;0.75,SQRT(G50*H50),G50)</f>
        <v/>
      </c>
      <c r="H51" s="9">
        <f>IF(I50&gt;0.75,H50,SQRT(G50*H50))</f>
        <v/>
      </c>
      <c r="I51" s="44">
        <f>SUMPRODUCT($B$4:$B$6,1-NORMSDIST((LN(SQRT(G51*H51))-LN($C$4:$C$6))/$B$9))</f>
        <v/>
      </c>
      <c r="J51" s="9">
        <f>IF(L50&gt;0.25,SQRT(J50*K50),J50)</f>
        <v/>
      </c>
      <c r="K51" s="9">
        <f>IF(L50&gt;0.25,K50,SQRT(J50*K50))</f>
        <v/>
      </c>
      <c r="L51" s="44">
        <f>SUMPRODUCT($B$4:$B$6,1-NORMSDIST((LN(SQRT(J51*K51))-LN($C$4:$C$6))/$B$9))</f>
        <v/>
      </c>
      <c r="M51" s="9">
        <f>IF(O50&gt;0.09999999999999998,SQRT(M50*N50),M50)</f>
        <v/>
      </c>
      <c r="N51" s="9">
        <f>IF(O50&gt;0.09999999999999998,N50,SQRT(M50*N50))</f>
        <v/>
      </c>
      <c r="O51" s="44">
        <f>SUMPRODUCT($B$4:$B$6,1-NORMSDIST((LN(SQRT(M51*N51))-LN($C$4:$C$6))/$B$9))</f>
        <v/>
      </c>
    </row>
    <row r="52">
      <c r="A52" s="9">
        <f>IF(C51&gt;0.5,SQRT(A51*B51),A51)</f>
        <v/>
      </c>
      <c r="B52" s="9">
        <f>IF(C51&gt;0.5,B51,SQRT(A51*B51))</f>
        <v/>
      </c>
      <c r="C52" s="44">
        <f>SUMPRODUCT($B$4:$B$6,1-NORMSDIST((LN(SQRT(A52*B52))-LN($C$4:$C$6))/$B$9))</f>
        <v/>
      </c>
      <c r="D52" s="9">
        <f>IF(F51&gt;0.9,SQRT(D51*E51),D51)</f>
        <v/>
      </c>
      <c r="E52" s="9">
        <f>IF(F51&gt;0.9,E51,SQRT(D51*E51))</f>
        <v/>
      </c>
      <c r="F52" s="44">
        <f>SUMPRODUCT($B$4:$B$6,1-NORMSDIST((LN(SQRT(D52*E52))-LN($C$4:$C$6))/$B$9))</f>
        <v/>
      </c>
      <c r="G52" s="9">
        <f>IF(I51&gt;0.75,SQRT(G51*H51),G51)</f>
        <v/>
      </c>
      <c r="H52" s="9">
        <f>IF(I51&gt;0.75,H51,SQRT(G51*H51))</f>
        <v/>
      </c>
      <c r="I52" s="44">
        <f>SUMPRODUCT($B$4:$B$6,1-NORMSDIST((LN(SQRT(G52*H52))-LN($C$4:$C$6))/$B$9))</f>
        <v/>
      </c>
      <c r="J52" s="9">
        <f>IF(L51&gt;0.25,SQRT(J51*K51),J51)</f>
        <v/>
      </c>
      <c r="K52" s="9">
        <f>IF(L51&gt;0.25,K51,SQRT(J51*K51))</f>
        <v/>
      </c>
      <c r="L52" s="44">
        <f>SUMPRODUCT($B$4:$B$6,1-NORMSDIST((LN(SQRT(J52*K52))-LN($C$4:$C$6))/$B$9))</f>
        <v/>
      </c>
      <c r="M52" s="9">
        <f>IF(O51&gt;0.09999999999999998,SQRT(M51*N51),M51)</f>
        <v/>
      </c>
      <c r="N52" s="9">
        <f>IF(O51&gt;0.09999999999999998,N51,SQRT(M51*N51))</f>
        <v/>
      </c>
      <c r="O52" s="44">
        <f>SUMPRODUCT($B$4:$B$6,1-NORMSDIST((LN(SQRT(M52*N52))-LN($C$4:$C$6))/$B$9))</f>
        <v/>
      </c>
    </row>
    <row r="53">
      <c r="A53" s="9">
        <f>IF(C52&gt;0.5,SQRT(A52*B52),A52)</f>
        <v/>
      </c>
      <c r="B53" s="9">
        <f>IF(C52&gt;0.5,B52,SQRT(A52*B52))</f>
        <v/>
      </c>
      <c r="C53" s="44">
        <f>SUMPRODUCT($B$4:$B$6,1-NORMSDIST((LN(SQRT(A53*B53))-LN($C$4:$C$6))/$B$9))</f>
        <v/>
      </c>
      <c r="D53" s="9">
        <f>IF(F52&gt;0.9,SQRT(D52*E52),D52)</f>
        <v/>
      </c>
      <c r="E53" s="9">
        <f>IF(F52&gt;0.9,E52,SQRT(D52*E52))</f>
        <v/>
      </c>
      <c r="F53" s="44">
        <f>SUMPRODUCT($B$4:$B$6,1-NORMSDIST((LN(SQRT(D53*E53))-LN($C$4:$C$6))/$B$9))</f>
        <v/>
      </c>
      <c r="G53" s="9">
        <f>IF(I52&gt;0.75,SQRT(G52*H52),G52)</f>
        <v/>
      </c>
      <c r="H53" s="9">
        <f>IF(I52&gt;0.75,H52,SQRT(G52*H52))</f>
        <v/>
      </c>
      <c r="I53" s="44">
        <f>SUMPRODUCT($B$4:$B$6,1-NORMSDIST((LN(SQRT(G53*H53))-LN($C$4:$C$6))/$B$9))</f>
        <v/>
      </c>
      <c r="J53" s="9">
        <f>IF(L52&gt;0.25,SQRT(J52*K52),J52)</f>
        <v/>
      </c>
      <c r="K53" s="9">
        <f>IF(L52&gt;0.25,K52,SQRT(J52*K52))</f>
        <v/>
      </c>
      <c r="L53" s="44">
        <f>SUMPRODUCT($B$4:$B$6,1-NORMSDIST((LN(SQRT(J53*K53))-LN($C$4:$C$6))/$B$9))</f>
        <v/>
      </c>
      <c r="M53" s="9">
        <f>IF(O52&gt;0.09999999999999998,SQRT(M52*N52),M52)</f>
        <v/>
      </c>
      <c r="N53" s="9">
        <f>IF(O52&gt;0.09999999999999998,N52,SQRT(M52*N52))</f>
        <v/>
      </c>
      <c r="O53" s="44">
        <f>SUMPRODUCT($B$4:$B$6,1-NORMSDIST((LN(SQRT(M53*N53))-LN($C$4:$C$6))/$B$9))</f>
        <v/>
      </c>
    </row>
    <row r="54">
      <c r="A54" s="9">
        <f>IF(C53&gt;0.5,SQRT(A53*B53),A53)</f>
        <v/>
      </c>
      <c r="B54" s="9">
        <f>IF(C53&gt;0.5,B53,SQRT(A53*B53))</f>
        <v/>
      </c>
      <c r="C54" s="44">
        <f>SUMPRODUCT($B$4:$B$6,1-NORMSDIST((LN(SQRT(A54*B54))-LN($C$4:$C$6))/$B$9))</f>
        <v/>
      </c>
      <c r="D54" s="9">
        <f>IF(F53&gt;0.9,SQRT(D53*E53),D53)</f>
        <v/>
      </c>
      <c r="E54" s="9">
        <f>IF(F53&gt;0.9,E53,SQRT(D53*E53))</f>
        <v/>
      </c>
      <c r="F54" s="44">
        <f>SUMPRODUCT($B$4:$B$6,1-NORMSDIST((LN(SQRT(D54*E54))-LN($C$4:$C$6))/$B$9))</f>
        <v/>
      </c>
      <c r="G54" s="9">
        <f>IF(I53&gt;0.75,SQRT(G53*H53),G53)</f>
        <v/>
      </c>
      <c r="H54" s="9">
        <f>IF(I53&gt;0.75,H53,SQRT(G53*H53))</f>
        <v/>
      </c>
      <c r="I54" s="44">
        <f>SUMPRODUCT($B$4:$B$6,1-NORMSDIST((LN(SQRT(G54*H54))-LN($C$4:$C$6))/$B$9))</f>
        <v/>
      </c>
      <c r="J54" s="9">
        <f>IF(L53&gt;0.25,SQRT(J53*K53),J53)</f>
        <v/>
      </c>
      <c r="K54" s="9">
        <f>IF(L53&gt;0.25,K53,SQRT(J53*K53))</f>
        <v/>
      </c>
      <c r="L54" s="44">
        <f>SUMPRODUCT($B$4:$B$6,1-NORMSDIST((LN(SQRT(J54*K54))-LN($C$4:$C$6))/$B$9))</f>
        <v/>
      </c>
      <c r="M54" s="9">
        <f>IF(O53&gt;0.09999999999999998,SQRT(M53*N53),M53)</f>
        <v/>
      </c>
      <c r="N54" s="9">
        <f>IF(O53&gt;0.09999999999999998,N53,SQRT(M53*N53))</f>
        <v/>
      </c>
      <c r="O54" s="44">
        <f>SUMPRODUCT($B$4:$B$6,1-NORMSDIST((LN(SQRT(M54*N54))-LN($C$4:$C$6))/$B$9))</f>
        <v/>
      </c>
    </row>
    <row r="55">
      <c r="A55" s="9">
        <f>IF(C54&gt;0.5,SQRT(A54*B54),A54)</f>
        <v/>
      </c>
      <c r="B55" s="9">
        <f>IF(C54&gt;0.5,B54,SQRT(A54*B54))</f>
        <v/>
      </c>
      <c r="C55" s="44">
        <f>SUMPRODUCT($B$4:$B$6,1-NORMSDIST((LN(SQRT(A55*B55))-LN($C$4:$C$6))/$B$9))</f>
        <v/>
      </c>
      <c r="D55" s="9">
        <f>IF(F54&gt;0.9,SQRT(D54*E54),D54)</f>
        <v/>
      </c>
      <c r="E55" s="9">
        <f>IF(F54&gt;0.9,E54,SQRT(D54*E54))</f>
        <v/>
      </c>
      <c r="F55" s="44">
        <f>SUMPRODUCT($B$4:$B$6,1-NORMSDIST((LN(SQRT(D55*E55))-LN($C$4:$C$6))/$B$9))</f>
        <v/>
      </c>
      <c r="G55" s="9">
        <f>IF(I54&gt;0.75,SQRT(G54*H54),G54)</f>
        <v/>
      </c>
      <c r="H55" s="9">
        <f>IF(I54&gt;0.75,H54,SQRT(G54*H54))</f>
        <v/>
      </c>
      <c r="I55" s="44">
        <f>SUMPRODUCT($B$4:$B$6,1-NORMSDIST((LN(SQRT(G55*H55))-LN($C$4:$C$6))/$B$9))</f>
        <v/>
      </c>
      <c r="J55" s="9">
        <f>IF(L54&gt;0.25,SQRT(J54*K54),J54)</f>
        <v/>
      </c>
      <c r="K55" s="9">
        <f>IF(L54&gt;0.25,K54,SQRT(J54*K54))</f>
        <v/>
      </c>
      <c r="L55" s="44">
        <f>SUMPRODUCT($B$4:$B$6,1-NORMSDIST((LN(SQRT(J55*K55))-LN($C$4:$C$6))/$B$9))</f>
        <v/>
      </c>
      <c r="M55" s="9">
        <f>IF(O54&gt;0.09999999999999998,SQRT(M54*N54),M54)</f>
        <v/>
      </c>
      <c r="N55" s="9">
        <f>IF(O54&gt;0.09999999999999998,N54,SQRT(M54*N54))</f>
        <v/>
      </c>
      <c r="O55" s="44">
        <f>SUMPRODUCT($B$4:$B$6,1-NORMSDIST((LN(SQRT(M55*N55))-LN($C$4:$C$6))/$B$9))</f>
        <v/>
      </c>
    </row>
    <row r="56">
      <c r="A56" s="9">
        <f>IF(C55&gt;0.5,SQRT(A55*B55),A55)</f>
        <v/>
      </c>
      <c r="B56" s="9">
        <f>IF(C55&gt;0.5,B55,SQRT(A55*B55))</f>
        <v/>
      </c>
      <c r="C56" s="44">
        <f>SUMPRODUCT($B$4:$B$6,1-NORMSDIST((LN(SQRT(A56*B56))-LN($C$4:$C$6))/$B$9))</f>
        <v/>
      </c>
      <c r="D56" s="9">
        <f>IF(F55&gt;0.9,SQRT(D55*E55),D55)</f>
        <v/>
      </c>
      <c r="E56" s="9">
        <f>IF(F55&gt;0.9,E55,SQRT(D55*E55))</f>
        <v/>
      </c>
      <c r="F56" s="44">
        <f>SUMPRODUCT($B$4:$B$6,1-NORMSDIST((LN(SQRT(D56*E56))-LN($C$4:$C$6))/$B$9))</f>
        <v/>
      </c>
      <c r="G56" s="9">
        <f>IF(I55&gt;0.75,SQRT(G55*H55),G55)</f>
        <v/>
      </c>
      <c r="H56" s="9">
        <f>IF(I55&gt;0.75,H55,SQRT(G55*H55))</f>
        <v/>
      </c>
      <c r="I56" s="44">
        <f>SUMPRODUCT($B$4:$B$6,1-NORMSDIST((LN(SQRT(G56*H56))-LN($C$4:$C$6))/$B$9))</f>
        <v/>
      </c>
      <c r="J56" s="9">
        <f>IF(L55&gt;0.25,SQRT(J55*K55),J55)</f>
        <v/>
      </c>
      <c r="K56" s="9">
        <f>IF(L55&gt;0.25,K55,SQRT(J55*K55))</f>
        <v/>
      </c>
      <c r="L56" s="44">
        <f>SUMPRODUCT($B$4:$B$6,1-NORMSDIST((LN(SQRT(J56*K56))-LN($C$4:$C$6))/$B$9))</f>
        <v/>
      </c>
      <c r="M56" s="9">
        <f>IF(O55&gt;0.09999999999999998,SQRT(M55*N55),M55)</f>
        <v/>
      </c>
      <c r="N56" s="9">
        <f>IF(O55&gt;0.09999999999999998,N55,SQRT(M55*N55))</f>
        <v/>
      </c>
      <c r="O56" s="44">
        <f>SUMPRODUCT($B$4:$B$6,1-NORMSDIST((LN(SQRT(M56*N56))-LN($C$4:$C$6))/$B$9))</f>
        <v/>
      </c>
    </row>
    <row r="57">
      <c r="A57" s="9">
        <f>IF(C56&gt;0.5,SQRT(A56*B56),A56)</f>
        <v/>
      </c>
      <c r="B57" s="9">
        <f>IF(C56&gt;0.5,B56,SQRT(A56*B56))</f>
        <v/>
      </c>
      <c r="C57" s="44">
        <f>SUMPRODUCT($B$4:$B$6,1-NORMSDIST((LN(SQRT(A57*B57))-LN($C$4:$C$6))/$B$9))</f>
        <v/>
      </c>
      <c r="D57" s="9">
        <f>IF(F56&gt;0.9,SQRT(D56*E56),D56)</f>
        <v/>
      </c>
      <c r="E57" s="9">
        <f>IF(F56&gt;0.9,E56,SQRT(D56*E56))</f>
        <v/>
      </c>
      <c r="F57" s="44">
        <f>SUMPRODUCT($B$4:$B$6,1-NORMSDIST((LN(SQRT(D57*E57))-LN($C$4:$C$6))/$B$9))</f>
        <v/>
      </c>
      <c r="G57" s="9">
        <f>IF(I56&gt;0.75,SQRT(G56*H56),G56)</f>
        <v/>
      </c>
      <c r="H57" s="9">
        <f>IF(I56&gt;0.75,H56,SQRT(G56*H56))</f>
        <v/>
      </c>
      <c r="I57" s="44">
        <f>SUMPRODUCT($B$4:$B$6,1-NORMSDIST((LN(SQRT(G57*H57))-LN($C$4:$C$6))/$B$9))</f>
        <v/>
      </c>
      <c r="J57" s="9">
        <f>IF(L56&gt;0.25,SQRT(J56*K56),J56)</f>
        <v/>
      </c>
      <c r="K57" s="9">
        <f>IF(L56&gt;0.25,K56,SQRT(J56*K56))</f>
        <v/>
      </c>
      <c r="L57" s="44">
        <f>SUMPRODUCT($B$4:$B$6,1-NORMSDIST((LN(SQRT(J57*K57))-LN($C$4:$C$6))/$B$9))</f>
        <v/>
      </c>
      <c r="M57" s="9">
        <f>IF(O56&gt;0.09999999999999998,SQRT(M56*N56),M56)</f>
        <v/>
      </c>
      <c r="N57" s="9">
        <f>IF(O56&gt;0.09999999999999998,N56,SQRT(M56*N56))</f>
        <v/>
      </c>
      <c r="O57" s="44">
        <f>SUMPRODUCT($B$4:$B$6,1-NORMSDIST((LN(SQRT(M57*N57))-LN($C$4:$C$6))/$B$9))</f>
        <v/>
      </c>
    </row>
    <row r="58">
      <c r="A58" s="9">
        <f>IF(C57&gt;0.5,SQRT(A57*B57),A57)</f>
        <v/>
      </c>
      <c r="B58" s="9">
        <f>IF(C57&gt;0.5,B57,SQRT(A57*B57))</f>
        <v/>
      </c>
      <c r="C58" s="44">
        <f>SUMPRODUCT($B$4:$B$6,1-NORMSDIST((LN(SQRT(A58*B58))-LN($C$4:$C$6))/$B$9))</f>
        <v/>
      </c>
      <c r="D58" s="9">
        <f>IF(F57&gt;0.9,SQRT(D57*E57),D57)</f>
        <v/>
      </c>
      <c r="E58" s="9">
        <f>IF(F57&gt;0.9,E57,SQRT(D57*E57))</f>
        <v/>
      </c>
      <c r="F58" s="44">
        <f>SUMPRODUCT($B$4:$B$6,1-NORMSDIST((LN(SQRT(D58*E58))-LN($C$4:$C$6))/$B$9))</f>
        <v/>
      </c>
      <c r="G58" s="9">
        <f>IF(I57&gt;0.75,SQRT(G57*H57),G57)</f>
        <v/>
      </c>
      <c r="H58" s="9">
        <f>IF(I57&gt;0.75,H57,SQRT(G57*H57))</f>
        <v/>
      </c>
      <c r="I58" s="44">
        <f>SUMPRODUCT($B$4:$B$6,1-NORMSDIST((LN(SQRT(G58*H58))-LN($C$4:$C$6))/$B$9))</f>
        <v/>
      </c>
      <c r="J58" s="9">
        <f>IF(L57&gt;0.25,SQRT(J57*K57),J57)</f>
        <v/>
      </c>
      <c r="K58" s="9">
        <f>IF(L57&gt;0.25,K57,SQRT(J57*K57))</f>
        <v/>
      </c>
      <c r="L58" s="44">
        <f>SUMPRODUCT($B$4:$B$6,1-NORMSDIST((LN(SQRT(J58*K58))-LN($C$4:$C$6))/$B$9))</f>
        <v/>
      </c>
      <c r="M58" s="9">
        <f>IF(O57&gt;0.09999999999999998,SQRT(M57*N57),M57)</f>
        <v/>
      </c>
      <c r="N58" s="9">
        <f>IF(O57&gt;0.09999999999999998,N57,SQRT(M57*N57))</f>
        <v/>
      </c>
      <c r="O58" s="44">
        <f>SUMPRODUCT($B$4:$B$6,1-NORMSDIST((LN(SQRT(M58*N58))-LN($C$4:$C$6))/$B$9))</f>
        <v/>
      </c>
    </row>
    <row r="59">
      <c r="A59" s="9">
        <f>IF(C58&gt;0.5,SQRT(A58*B58),A58)</f>
        <v/>
      </c>
      <c r="B59" s="9">
        <f>IF(C58&gt;0.5,B58,SQRT(A58*B58))</f>
        <v/>
      </c>
      <c r="C59" s="44">
        <f>SUMPRODUCT($B$4:$B$6,1-NORMSDIST((LN(SQRT(A59*B59))-LN($C$4:$C$6))/$B$9))</f>
        <v/>
      </c>
      <c r="D59" s="9">
        <f>IF(F58&gt;0.9,SQRT(D58*E58),D58)</f>
        <v/>
      </c>
      <c r="E59" s="9">
        <f>IF(F58&gt;0.9,E58,SQRT(D58*E58))</f>
        <v/>
      </c>
      <c r="F59" s="44">
        <f>SUMPRODUCT($B$4:$B$6,1-NORMSDIST((LN(SQRT(D59*E59))-LN($C$4:$C$6))/$B$9))</f>
        <v/>
      </c>
      <c r="G59" s="9">
        <f>IF(I58&gt;0.75,SQRT(G58*H58),G58)</f>
        <v/>
      </c>
      <c r="H59" s="9">
        <f>IF(I58&gt;0.75,H58,SQRT(G58*H58))</f>
        <v/>
      </c>
      <c r="I59" s="44">
        <f>SUMPRODUCT($B$4:$B$6,1-NORMSDIST((LN(SQRT(G59*H59))-LN($C$4:$C$6))/$B$9))</f>
        <v/>
      </c>
      <c r="J59" s="9">
        <f>IF(L58&gt;0.25,SQRT(J58*K58),J58)</f>
        <v/>
      </c>
      <c r="K59" s="9">
        <f>IF(L58&gt;0.25,K58,SQRT(J58*K58))</f>
        <v/>
      </c>
      <c r="L59" s="44">
        <f>SUMPRODUCT($B$4:$B$6,1-NORMSDIST((LN(SQRT(J59*K59))-LN($C$4:$C$6))/$B$9))</f>
        <v/>
      </c>
      <c r="M59" s="9">
        <f>IF(O58&gt;0.09999999999999998,SQRT(M58*N58),M58)</f>
        <v/>
      </c>
      <c r="N59" s="9">
        <f>IF(O58&gt;0.09999999999999998,N58,SQRT(M58*N58))</f>
        <v/>
      </c>
      <c r="O59" s="44">
        <f>SUMPRODUCT($B$4:$B$6,1-NORMSDIST((LN(SQRT(M59*N59))-LN($C$4:$C$6))/$B$9))</f>
        <v/>
      </c>
    </row>
    <row r="60">
      <c r="A60" s="9">
        <f>IF(C59&gt;0.5,SQRT(A59*B59),A59)</f>
        <v/>
      </c>
      <c r="B60" s="9">
        <f>IF(C59&gt;0.5,B59,SQRT(A59*B59))</f>
        <v/>
      </c>
      <c r="C60" s="44">
        <f>SUMPRODUCT($B$4:$B$6,1-NORMSDIST((LN(SQRT(A60*B60))-LN($C$4:$C$6))/$B$9))</f>
        <v/>
      </c>
      <c r="D60" s="9">
        <f>IF(F59&gt;0.9,SQRT(D59*E59),D59)</f>
        <v/>
      </c>
      <c r="E60" s="9">
        <f>IF(F59&gt;0.9,E59,SQRT(D59*E59))</f>
        <v/>
      </c>
      <c r="F60" s="44">
        <f>SUMPRODUCT($B$4:$B$6,1-NORMSDIST((LN(SQRT(D60*E60))-LN($C$4:$C$6))/$B$9))</f>
        <v/>
      </c>
      <c r="G60" s="9">
        <f>IF(I59&gt;0.75,SQRT(G59*H59),G59)</f>
        <v/>
      </c>
      <c r="H60" s="9">
        <f>IF(I59&gt;0.75,H59,SQRT(G59*H59))</f>
        <v/>
      </c>
      <c r="I60" s="44">
        <f>SUMPRODUCT($B$4:$B$6,1-NORMSDIST((LN(SQRT(G60*H60))-LN($C$4:$C$6))/$B$9))</f>
        <v/>
      </c>
      <c r="J60" s="9">
        <f>IF(L59&gt;0.25,SQRT(J59*K59),J59)</f>
        <v/>
      </c>
      <c r="K60" s="9">
        <f>IF(L59&gt;0.25,K59,SQRT(J59*K59))</f>
        <v/>
      </c>
      <c r="L60" s="44">
        <f>SUMPRODUCT($B$4:$B$6,1-NORMSDIST((LN(SQRT(J60*K60))-LN($C$4:$C$6))/$B$9))</f>
        <v/>
      </c>
      <c r="M60" s="9">
        <f>IF(O59&gt;0.09999999999999998,SQRT(M59*N59),M59)</f>
        <v/>
      </c>
      <c r="N60" s="9">
        <f>IF(O59&gt;0.09999999999999998,N59,SQRT(M59*N59))</f>
        <v/>
      </c>
      <c r="O60" s="44">
        <f>SUMPRODUCT($B$4:$B$6,1-NORMSDIST((LN(SQRT(M60*N60))-LN($C$4:$C$6))/$B$9))</f>
        <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69"/>
  <sheetViews>
    <sheetView showGridLines="0" workbookViewId="0">
      <pane xSplit="1" ySplit="18" topLeftCell="B19" activePane="bottomRight" state="frozen"/>
      <selection pane="topRight"/>
      <selection pane="bottomLeft"/>
      <selection pane="bottomRight" activeCell="A1" sqref="A1"/>
    </sheetView>
  </sheetViews>
  <sheetFormatPr baseColWidth="8" defaultRowHeight="15"/>
  <cols>
    <col width="46" customWidth="1" min="1" max="1"/>
    <col width="13" customWidth="1" min="2" max="2"/>
    <col width="13" customWidth="1" min="3" max="3"/>
    <col width="13" customWidth="1" min="4" max="4"/>
    <col width="13" customWidth="1" min="5" max="5"/>
  </cols>
  <sheetData>
    <row r="1">
      <c r="A1" s="1" t="inlineStr">
        <is>
          <t>AMAT engine calculation: research target (12m) (reconciled set, no scenario deltas)</t>
        </is>
      </c>
    </row>
    <row r="2">
      <c r="A2" s="2" t="inlineStr">
        <is>
          <t>Machinery behind the Valuation and Distribution tabs; drivers come from Model, assumptions from Valuation.</t>
        </is>
      </c>
    </row>
    <row r="4">
      <c r="A4" t="inlineStr">
        <is>
          <t>Scenario Growth Δ</t>
        </is>
      </c>
      <c r="B4" s="18" t="n">
        <v>0</v>
      </c>
    </row>
    <row r="5">
      <c r="A5" t="inlineStr">
        <is>
          <t>Scenario Margin Δ</t>
        </is>
      </c>
      <c r="B5" s="18" t="n">
        <v>0</v>
      </c>
    </row>
    <row r="6">
      <c r="A6" t="inlineStr">
        <is>
          <t>Scenario Multiple Δ (turns)</t>
        </is>
      </c>
      <c r="B6" s="45" t="n">
        <v>0</v>
      </c>
    </row>
    <row r="7">
      <c r="A7" t="inlineStr">
        <is>
          <t>Scenario WACC Δ</t>
        </is>
      </c>
      <c r="B7" s="18" t="n">
        <v>0</v>
      </c>
    </row>
    <row r="8">
      <c r="A8" t="inlineStr">
        <is>
          <t>Scenario Multiple %Δ</t>
        </is>
      </c>
      <c r="B8" s="18" t="n">
        <v>0</v>
      </c>
    </row>
    <row r="9">
      <c r="A9" t="inlineStr">
        <is>
          <t>Scenario Stated EPS/FCF %Δ</t>
        </is>
      </c>
      <c r="B9" s="18" t="n">
        <v>0</v>
      </c>
    </row>
    <row r="10">
      <c r="A10" t="inlineStr">
        <is>
          <t>Scenario Custom %Δ</t>
        </is>
      </c>
      <c r="B10" s="18" t="n">
        <v>0</v>
      </c>
    </row>
    <row r="12">
      <c r="A12" t="inlineStr">
        <is>
          <t>WACC</t>
        </is>
      </c>
      <c r="B12" s="18">
        <f>Valuation!$B$50+B7</f>
        <v/>
      </c>
    </row>
    <row r="13">
      <c r="A13" t="inlineStr">
        <is>
          <t>Years from last FY end to target date</t>
        </is>
      </c>
      <c r="B13" s="46">
        <f>(Valuation!$B$44-Valuation!$B$48)/365.25</f>
        <v/>
      </c>
    </row>
    <row r="14">
      <c r="A14" t="inlineStr">
        <is>
          <t>Years from last FY end to balance date</t>
        </is>
      </c>
      <c r="B14" s="46">
        <f>(Valuation!$B$54-Valuation!$B$48)/365.25</f>
        <v/>
      </c>
    </row>
    <row r="15">
      <c r="A15" t="inlineStr">
        <is>
          <t>Years from last FY end to share count date</t>
        </is>
      </c>
      <c r="B15" s="46">
        <f>(Valuation!$B$60-Valuation!$B$48)/365.25</f>
        <v/>
      </c>
    </row>
    <row r="16">
      <c r="A16" t="inlineStr">
        <is>
          <t>Projected years</t>
        </is>
      </c>
      <c r="B16" t="n">
        <v>3</v>
      </c>
    </row>
    <row r="18">
      <c r="A18" s="3" t="inlineStr">
        <is>
          <t>Projection</t>
        </is>
      </c>
      <c r="B18" s="3" t="inlineStr">
        <is>
          <t>Base</t>
        </is>
      </c>
      <c r="C18" s="3">
        <f>Model!E5</f>
        <v/>
      </c>
      <c r="D18" s="3">
        <f>Model!F5</f>
        <v/>
      </c>
      <c r="E18" s="3">
        <f>Model!G5</f>
        <v/>
      </c>
    </row>
    <row r="19">
      <c r="A19" t="inlineStr">
        <is>
          <t>Year index</t>
        </is>
      </c>
      <c r="B19" t="n">
        <v>0</v>
      </c>
      <c r="C19" t="n">
        <v>1</v>
      </c>
      <c r="D19" t="n">
        <v>2</v>
      </c>
      <c r="E19" t="n">
        <v>3</v>
      </c>
    </row>
    <row r="20">
      <c r="A20" t="inlineStr">
        <is>
          <t>Period end</t>
        </is>
      </c>
      <c r="C20" s="20">
        <f>Valuation!$B$48+ROUND(365.25*C19,0)</f>
        <v/>
      </c>
      <c r="D20" s="20">
        <f>Valuation!$B$48+ROUND(365.25*D19,0)</f>
        <v/>
      </c>
      <c r="E20" s="20">
        <f>Valuation!$B$48+ROUND(365.25*E19,0)</f>
        <v/>
      </c>
    </row>
    <row r="21">
      <c r="A21" t="inlineStr">
        <is>
          <t>Revenue growth</t>
        </is>
      </c>
      <c r="C21" s="18">
        <f>Model!E48+$B$4</f>
        <v/>
      </c>
      <c r="D21" s="18">
        <f>Model!F48+$B$4</f>
        <v/>
      </c>
      <c r="E21" s="18">
        <f>Model!G48+$B$4</f>
        <v/>
      </c>
    </row>
    <row r="22">
      <c r="A22" t="inlineStr">
        <is>
          <t>Revenue</t>
        </is>
      </c>
      <c r="B22" s="23">
        <f>Valuation!$B$49</f>
        <v/>
      </c>
      <c r="C22" s="23">
        <f>B22*(1+C21)</f>
        <v/>
      </c>
      <c r="D22" s="23">
        <f>C22*(1+D21)</f>
        <v/>
      </c>
      <c r="E22" s="23">
        <f>D22*(1+E21)</f>
        <v/>
      </c>
    </row>
    <row r="23">
      <c r="A23" t="inlineStr">
        <is>
          <t>EBIT margin</t>
        </is>
      </c>
      <c r="C23" s="18">
        <f>Model!E49+$B$5</f>
        <v/>
      </c>
      <c r="D23" s="18">
        <f>Model!F49+$B$5</f>
        <v/>
      </c>
      <c r="E23" s="18">
        <f>Model!G49+$B$5</f>
        <v/>
      </c>
    </row>
    <row r="24">
      <c r="A24" t="inlineStr">
        <is>
          <t>EBIT</t>
        </is>
      </c>
      <c r="C24" s="23">
        <f>C22*C23</f>
        <v/>
      </c>
      <c r="D24" s="23">
        <f>D22*D23</f>
        <v/>
      </c>
      <c r="E24" s="23">
        <f>E22*E23</f>
        <v/>
      </c>
    </row>
    <row r="25">
      <c r="A25" t="inlineStr">
        <is>
          <t>Tax rate</t>
        </is>
      </c>
      <c r="C25" s="18">
        <f>Model!E50</f>
        <v/>
      </c>
      <c r="D25" s="18">
        <f>Model!F50</f>
        <v/>
      </c>
      <c r="E25" s="18">
        <f>Model!G50</f>
        <v/>
      </c>
    </row>
    <row r="26">
      <c r="A26" t="inlineStr">
        <is>
          <t>NOPAT</t>
        </is>
      </c>
      <c r="C26" s="23">
        <f>C24*(1-C25)</f>
        <v/>
      </c>
      <c r="D26" s="23">
        <f>D24*(1-D25)</f>
        <v/>
      </c>
      <c r="E26" s="23">
        <f>E24*(1-E25)</f>
        <v/>
      </c>
    </row>
    <row r="27">
      <c r="A27" t="inlineStr">
        <is>
          <t>D&amp;A</t>
        </is>
      </c>
      <c r="C27" s="23">
        <f>C22*(Model!E51)</f>
        <v/>
      </c>
      <c r="D27" s="23">
        <f>D22*(Model!F51)</f>
        <v/>
      </c>
      <c r="E27" s="23">
        <f>E22*(Model!G51)</f>
        <v/>
      </c>
    </row>
    <row r="28">
      <c r="A28" t="inlineStr">
        <is>
          <t>Capex</t>
        </is>
      </c>
      <c r="C28" s="23">
        <f>C22*(Model!E52)</f>
        <v/>
      </c>
      <c r="D28" s="23">
        <f>D22*(Model!F52)</f>
        <v/>
      </c>
      <c r="E28" s="23">
        <f>E22*(Model!G52)</f>
        <v/>
      </c>
    </row>
    <row r="29">
      <c r="A29" t="inlineStr">
        <is>
          <t>Working capital increase</t>
        </is>
      </c>
      <c r="C29" s="23">
        <f>(Model!E53)*(C22-B22)</f>
        <v/>
      </c>
      <c r="D29" s="23">
        <f>(Model!F53)*(D22-C22)</f>
        <v/>
      </c>
      <c r="E29" s="23">
        <f>(Model!G53)*(E22-D22)</f>
        <v/>
      </c>
    </row>
    <row r="30">
      <c r="A30" t="inlineStr">
        <is>
          <t>Stock comp</t>
        </is>
      </c>
      <c r="C30" s="23">
        <f>C22*(Model!E54)</f>
        <v/>
      </c>
      <c r="D30" s="23">
        <f>D22*(Model!F54)</f>
        <v/>
      </c>
      <c r="E30" s="23">
        <f>E22*(Model!G54)</f>
        <v/>
      </c>
    </row>
    <row r="31">
      <c r="A31" t="inlineStr">
        <is>
          <t>Free cash flow to firm</t>
        </is>
      </c>
      <c r="C31" s="23">
        <f>C26+C27-C28-C29-IF(AND(Valuation!$B$46="adjusted",Valuation!$B$47="cost"),C30*(1-C25),0)</f>
        <v/>
      </c>
      <c r="D31" s="23">
        <f>D26+D27-D28-D29-IF(AND(Valuation!$B$46="adjusted",Valuation!$B$47="cost"),D30*(1-D25),0)</f>
        <v/>
      </c>
      <c r="E31" s="23">
        <f>E26+E27-E28-E29-IF(AND(Valuation!$B$46="adjusted",Valuation!$B$47="cost"),E30*(1-E25),0)</f>
        <v/>
      </c>
    </row>
    <row r="32">
      <c r="A32" t="inlineStr">
        <is>
          <t>EBITDA</t>
        </is>
      </c>
      <c r="C32" s="23">
        <f>C24+C27</f>
        <v/>
      </c>
      <c r="D32" s="23">
        <f>D24+D27</f>
        <v/>
      </c>
      <c r="E32" s="23">
        <f>E24+E27</f>
        <v/>
      </c>
    </row>
    <row r="33">
      <c r="A33" t="inlineStr">
        <is>
          <t>Adj. EBITDA</t>
        </is>
      </c>
      <c r="C33" s="23">
        <f>C24+C27+C22*(Model!E58)</f>
        <v/>
      </c>
      <c r="D33" s="23">
        <f>D24+D27+D22*(Model!F58)</f>
        <v/>
      </c>
      <c r="E33" s="23">
        <f>E24+E27+E22*(Model!G58)</f>
        <v/>
      </c>
    </row>
    <row r="34">
      <c r="A34" t="inlineStr">
        <is>
          <t>Shareholder returns + other uses</t>
        </is>
      </c>
      <c r="C34" s="23">
        <f>C22*Model!E56+Model!E55+Model!E57</f>
        <v/>
      </c>
      <c r="D34" s="23">
        <f>D22*Model!F56+Model!F55+Model!F57</f>
        <v/>
      </c>
      <c r="E34" s="23">
        <f>E22*Model!G56+Model!G55+Model!G57</f>
        <v/>
      </c>
    </row>
    <row r="35">
      <c r="A35" t="inlineStr">
        <is>
          <t>Share of year after target date</t>
        </is>
      </c>
      <c r="C35" s="46">
        <f>IF(C19&lt;=$B$13,0,C19-MAX(C19-1,$B$13))</f>
        <v/>
      </c>
      <c r="D35" s="46">
        <f>IF(D19&lt;=$B$13,0,D19-MAX(D19-1,$B$13))</f>
        <v/>
      </c>
      <c r="E35" s="46">
        <f>IF(E19&lt;=$B$13,0,E19-MAX(E19-1,$B$13))</f>
        <v/>
      </c>
    </row>
    <row r="36">
      <c r="A36" t="inlineStr">
        <is>
          <t>PV at target date of FCFF</t>
        </is>
      </c>
      <c r="C36" s="23">
        <f>IF(C35=0,0,C31*C35/(1+$B$12)^(C19-$B$13))</f>
        <v/>
      </c>
      <c r="D36" s="23">
        <f>IF(D35=0,0,D31*D35/(1+$B$12)^(D19-$B$13))</f>
        <v/>
      </c>
      <c r="E36" s="23">
        <f>IF(E35=0,0,E31*E35/(1+$B$12)^(E19-$B$13))</f>
        <v/>
      </c>
    </row>
    <row r="37">
      <c r="A37" t="inlineStr">
        <is>
          <t>Overlap: balance date to target date</t>
        </is>
      </c>
      <c r="C37" s="46">
        <f>MAX(0,MIN(C19,$B$13)-MAX(C19-1,$B$14))</f>
        <v/>
      </c>
      <c r="D37" s="46">
        <f>MAX(0,MIN(D19,$B$13)-MAX(D19-1,$B$14))</f>
        <v/>
      </c>
      <c r="E37" s="46">
        <f>MAX(0,MIN(E19,$B$13)-MAX(E19-1,$B$14))</f>
        <v/>
      </c>
    </row>
    <row r="38">
      <c r="A38" t="inlineStr">
        <is>
          <t>NTM weight at target date</t>
        </is>
      </c>
      <c r="C38" s="46">
        <f>MAX(0,MIN(C19,$B$13+1)-MAX(C19-1,$B$13))</f>
        <v/>
      </c>
      <c r="D38" s="46">
        <f>MAX(0,MIN(D19,$B$13+1)-MAX(D19-1,$B$13))</f>
        <v/>
      </c>
      <c r="E38" s="46">
        <f>MAX(0,MIN(E19,$B$13+1)-MAX(E19-1,$B$13))</f>
        <v/>
      </c>
    </row>
    <row r="39">
      <c r="A39" t="inlineStr">
        <is>
          <t>LTM weight at target date</t>
        </is>
      </c>
      <c r="B39" s="46">
        <f>MAX(0,MIN(0,$B$13)-MAX(-1,$B$13-1))</f>
        <v/>
      </c>
      <c r="C39" s="46">
        <f>MAX(0,MIN(C19,$B$13)-MAX(C19-1,$B$13-1))</f>
        <v/>
      </c>
      <c r="D39" s="46">
        <f>MAX(0,MIN(D19,$B$13)-MAX(D19-1,$B$13-1))</f>
        <v/>
      </c>
      <c r="E39" s="46">
        <f>MAX(0,MIN(E19,$B$13)-MAX(E19-1,$B$13-1))</f>
        <v/>
      </c>
    </row>
    <row r="41">
      <c r="A41" s="19" t="inlineStr">
        <is>
          <t>Value at the target date</t>
        </is>
      </c>
    </row>
    <row r="42">
      <c r="A42" t="inlineStr">
        <is>
          <t>PV of free cash flow after the target date</t>
        </is>
      </c>
      <c r="B42" s="23">
        <f>SUM($C$36:$E$36)</f>
        <v/>
      </c>
    </row>
    <row r="43">
      <c r="A43" t="inlineStr">
        <is>
          <t>Terminal value at final year</t>
        </is>
      </c>
      <c r="B43" s="23">
        <f>IF(Valuation!$B$51="exit_multiple",Valuation!$B$53*E32,E31*(1+Valuation!$B$52)/($B$12-Valuation!$B$52))</f>
        <v/>
      </c>
    </row>
    <row r="44">
      <c r="A44" t="inlineStr">
        <is>
          <t>PV of terminal value at target date</t>
        </is>
      </c>
      <c r="B44" s="23">
        <f>B43/(1+$B$12)^($B$16-$B$13)</f>
        <v/>
      </c>
    </row>
    <row r="45">
      <c r="A45" t="inlineStr">
        <is>
          <t>DCF enterprise value at target date</t>
        </is>
      </c>
      <c r="B45" s="23">
        <f>B42+B44</f>
        <v/>
      </c>
    </row>
    <row r="46">
      <c r="A46" t="inlineStr">
        <is>
          <t>Terminal value share of DCF</t>
        </is>
      </c>
      <c r="B46" s="18">
        <f>B44/B45</f>
        <v/>
      </c>
    </row>
    <row r="47">
      <c r="A47" t="inlineStr">
        <is>
          <t>Free cash flow earned, balance date to target date</t>
        </is>
      </c>
      <c r="B47" s="23">
        <f>SUMPRODUCT($C$37:$E$37,$C$31:$E$31)</f>
        <v/>
      </c>
    </row>
    <row r="48">
      <c r="A48" t="inlineStr">
        <is>
          <t>Shareholder returns + other uses paid</t>
        </is>
      </c>
      <c r="B48" s="23">
        <f>SUMPRODUCT($C$37:$E$37,$C$34:$E$34)</f>
        <v/>
      </c>
    </row>
    <row r="49">
      <c r="A49" t="inlineStr">
        <is>
          <t>Interest drag on net debt</t>
        </is>
      </c>
      <c r="B49" s="23">
        <f>Valuation!$B$57*(1-$C$25)*MAX(Valuation!$B$55,0)*MAX($B$13-$B$14,0)</f>
        <v/>
      </c>
    </row>
    <row r="50">
      <c r="A50" t="inlineStr">
        <is>
          <t>Net debt at target date</t>
        </is>
      </c>
      <c r="B50" s="23">
        <f>IF(Valuation!$B$58="",Valuation!$B$55-B47+B49+B48,Valuation!$B$58)</f>
        <v/>
      </c>
    </row>
    <row r="51">
      <c r="A51" t="inlineStr">
        <is>
          <t>Minority interests</t>
        </is>
      </c>
      <c r="B51" s="23">
        <f>Valuation!$B$56</f>
        <v/>
      </c>
    </row>
    <row r="52">
      <c r="A52" t="inlineStr">
        <is>
          <t>Adjustments (probability-weighted)</t>
        </is>
      </c>
      <c r="B52" s="23">
        <f>(Valuation!B75)*Valuation!C75+0</f>
        <v/>
      </c>
    </row>
    <row r="53">
      <c r="A53" t="inlineStr">
        <is>
          <t>Diluted shares at target date (M)</t>
        </is>
      </c>
      <c r="B53" s="26">
        <f>IF(Valuation!$B$62="",Valuation!$B$59*(1+Valuation!$B$61)^MAX($B$13-$B$15,0),Valuation!$B$62)</f>
        <v/>
      </c>
    </row>
    <row r="54">
      <c r="A54" t="inlineStr">
        <is>
          <t>After-tax interest on target-date net debt</t>
        </is>
      </c>
      <c r="B54" s="23">
        <f>Valuation!$B$57*(1-$C$25)*MAX(B50,0)</f>
        <v/>
      </c>
    </row>
    <row r="55">
      <c r="A55" t="inlineStr">
        <is>
          <t>Check: WACC vs terminal growth</t>
        </is>
      </c>
      <c r="B55">
        <f>IF(AND(Valuation!$B$51&lt;&gt;"exit_multiple",$B$12&lt;=Valuation!$B$52+0.01),"WACC must exceed terminal growth by 1 point","ok")</f>
        <v/>
      </c>
    </row>
    <row r="56">
      <c r="A56" t="inlineStr">
        <is>
          <t>Check: projection length</t>
        </is>
      </c>
      <c r="B56">
        <f>IF(OR($B$13&gt;=$B$16-1,$B$13+1&gt;$B$16),"add projected years past the target date","ok")</f>
        <v/>
      </c>
    </row>
    <row r="58">
      <c r="A58" s="3" t="inlineStr">
        <is>
          <t>Metric at target date</t>
        </is>
      </c>
      <c r="B58" s="3" t="inlineStr">
        <is>
          <t>Next 12 months</t>
        </is>
      </c>
      <c r="C58" s="3" t="inlineStr">
        <is>
          <t>Last 12 months</t>
        </is>
      </c>
    </row>
    <row r="59">
      <c r="A59" t="inlineStr">
        <is>
          <t>Revenue</t>
        </is>
      </c>
      <c r="B59" s="23">
        <f>SUMPRODUCT($C$38:$E$38,$C$22:$E$22)</f>
        <v/>
      </c>
      <c r="C59" s="23">
        <f>SUMPRODUCT($C$39:$E$39,$C$22:$E$22)+$B$39*$B$22</f>
        <v/>
      </c>
    </row>
    <row r="60">
      <c r="A60" t="inlineStr">
        <is>
          <t>EBIT</t>
        </is>
      </c>
      <c r="B60" s="23">
        <f>SUMPRODUCT($C$38:$E$38,$C$24:$E$24)</f>
        <v/>
      </c>
      <c r="C60" s="23">
        <f>SUMPRODUCT($C$39:$E$39,$C$24:$E$24)</f>
        <v/>
      </c>
    </row>
    <row r="61">
      <c r="A61" t="inlineStr">
        <is>
          <t>EBITDA</t>
        </is>
      </c>
      <c r="B61" s="23">
        <f>SUMPRODUCT($C$38:$E$38,$C$32:$E$32)</f>
        <v/>
      </c>
      <c r="C61" s="23">
        <f>SUMPRODUCT($C$39:$E$39,$C$32:$E$32)</f>
        <v/>
      </c>
    </row>
    <row r="62">
      <c r="A62" t="inlineStr">
        <is>
          <t>Adj. EBITDA</t>
        </is>
      </c>
      <c r="B62" s="23">
        <f>SUMPRODUCT($C$38:$E$38,$C$33:$E$33)</f>
        <v/>
      </c>
      <c r="C62" s="23">
        <f>SUMPRODUCT($C$39:$E$39,$C$33:$E$33)</f>
        <v/>
      </c>
    </row>
    <row r="63">
      <c r="A63" t="inlineStr">
        <is>
          <t>NOPAT</t>
        </is>
      </c>
      <c r="B63" s="23">
        <f>SUMPRODUCT($C$38:$E$38,$C$26:$E$26)</f>
        <v/>
      </c>
      <c r="C63" s="23">
        <f>SUMPRODUCT($C$39:$E$39,$C$26:$E$26)</f>
        <v/>
      </c>
    </row>
    <row r="64">
      <c r="A64" t="inlineStr">
        <is>
          <t>Free cash flow to firm</t>
        </is>
      </c>
      <c r="B64" s="23">
        <f>SUMPRODUCT($C$38:$E$38,$C$31:$E$31)</f>
        <v/>
      </c>
      <c r="C64" s="23">
        <f>SUMPRODUCT($C$39:$E$39,$C$31:$E$31)</f>
        <v/>
      </c>
    </row>
    <row r="66">
      <c r="A66" s="3" t="inlineStr">
        <is>
          <t>Valuation method</t>
        </is>
      </c>
      <c r="B66" s="3" t="inlineStr">
        <is>
          <t>Metric</t>
        </is>
      </c>
      <c r="C66" s="3" t="inlineStr">
        <is>
          <t>Multiple used</t>
        </is>
      </c>
      <c r="D66" s="3" t="inlineStr">
        <is>
          <t>Basis</t>
        </is>
      </c>
      <c r="E66" s="3" t="inlineStr">
        <is>
          <t>Metric at target date</t>
        </is>
      </c>
      <c r="F66" s="3" t="inlineStr">
        <is>
          <t>Value per share</t>
        </is>
      </c>
      <c r="G66" s="3" t="inlineStr">
        <is>
          <t>Weight</t>
        </is>
      </c>
      <c r="H66" s="3" t="inlineStr">
        <is>
          <t>Metric key</t>
        </is>
      </c>
      <c r="I66" s="3" t="inlineStr">
        <is>
          <t>Metric shown (stated per-share figure when used)</t>
        </is>
      </c>
    </row>
    <row r="67">
      <c r="A67" t="inlineStr">
        <is>
          <t>DCF (cash flow to target date + terminal)</t>
        </is>
      </c>
      <c r="F67" s="9">
        <f>((B45)-$B$50-$B$51+$B$52)/$B$53</f>
        <v/>
      </c>
      <c r="G67" s="18">
        <f>Valuation!$B$63</f>
        <v/>
      </c>
    </row>
    <row r="68">
      <c r="A68">
        <f>"Multiple: "&amp;Valuation!A69&amp;" ("&amp;Valuation!D69&amp;")"</f>
        <v/>
      </c>
      <c r="B68">
        <f>Valuation!A69</f>
        <v/>
      </c>
      <c r="C68" s="9">
        <f>IF(B68="FCF yield",(Valuation!B69)*(1-$B$8),(Valuation!B69)+IF(B68="EV/sales",0.1,1)*$B$6)</f>
        <v/>
      </c>
      <c r="D68">
        <f>Valuation!D69</f>
        <v/>
      </c>
      <c r="E68" s="23">
        <f>IF(D68="ltm",CHOOSE(H68,$C$59,$C$60,$C$61,$C$62,$C$63,$C$64),CHOOSE(H68,$B$59,$B$60,$B$61,$B$62,$B$63,$B$64))</f>
        <v/>
      </c>
      <c r="F68" s="9">
        <f>IF(OR(B68="EV/EBITDA",B68="EV/sales",B68="EV/EBIT"),((C68*E68)-$B$50-$B$51+$B$52)/$B$53,IF(B68="P/E",IF(Valuation!F69&lt;&gt;"",C68*(Valuation!F69)*(1+$B$9),C68*(E68-$B$54)/$B$53),IF(Valuation!G69&lt;&gt;"",(Valuation!G69)*(1+$B$9)/C68,(E68-IF(Valuation!H69,$B$54,0))/C68/$B$53))+$B$52/$B$53)</f>
        <v/>
      </c>
      <c r="G68" s="18">
        <f>Valuation!C69</f>
        <v/>
      </c>
      <c r="H68">
        <f>IF(B68="EV/sales",1,IF(B68="EV/EBIT",2,IF(B68="EV/EBITDA",IF(Valuation!E69="adjusted",4,3),IF(B68="P/E",5,6))))</f>
        <v/>
      </c>
      <c r="I68" s="47">
        <f>IF(AND(B68="P/E",Valuation!F69&lt;&gt;""),(Valuation!F69)*(1+$B$9),IF(AND(B68="FCF yield",Valuation!G69&lt;&gt;""),(Valuation!G69)*(1+$B$9),E68))</f>
        <v/>
      </c>
    </row>
    <row r="69">
      <c r="A69" s="19" t="inlineStr">
        <is>
          <t>Value per share at target date (weighted methods)</t>
        </is>
      </c>
      <c r="F69" s="6">
        <f>SUMPRODUCT(F67:F68,G67:G68)/SUM(G67:G68)</f>
        <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55"/>
  <sheetViews>
    <sheetView showGridLines="0" workbookViewId="0">
      <pane xSplit="1" ySplit="18" topLeftCell="B19" activePane="bottomRight" state="frozen"/>
      <selection pane="topRight"/>
      <selection pane="bottomLeft"/>
      <selection pane="bottomRight" activeCell="A1" sqref="A1"/>
    </sheetView>
  </sheetViews>
  <sheetFormatPr baseColWidth="8" defaultRowHeight="15"/>
  <cols>
    <col width="46" customWidth="1" min="1" max="1"/>
    <col width="13" customWidth="1" min="2" max="2"/>
    <col width="13" customWidth="1" min="3" max="3"/>
    <col width="13" customWidth="1" min="4" max="4"/>
    <col width="13" customWidth="1" min="5" max="5"/>
  </cols>
  <sheetData>
    <row r="1">
      <c r="A1" s="1" t="inlineStr">
        <is>
          <t>AMAT engine calculation: bear scenario</t>
        </is>
      </c>
    </row>
    <row r="2">
      <c r="A2" s="2" t="inlineStr">
        <is>
          <t>Machinery behind the Valuation and Distribution tabs; drivers come from Model, assumptions from Valuation.</t>
        </is>
      </c>
    </row>
    <row r="4">
      <c r="A4" t="inlineStr">
        <is>
          <t>Scenario Growth Δ</t>
        </is>
      </c>
      <c r="B4" s="12">
        <f>N(Valuation!C81)</f>
        <v/>
      </c>
    </row>
    <row r="5">
      <c r="A5" t="inlineStr">
        <is>
          <t>Scenario Margin Δ</t>
        </is>
      </c>
      <c r="B5" s="12">
        <f>N(Valuation!D81)</f>
        <v/>
      </c>
    </row>
    <row r="6">
      <c r="A6" t="inlineStr">
        <is>
          <t>Scenario Multiple Δ (turns)</t>
        </is>
      </c>
      <c r="B6" s="48">
        <f>N(Valuation!E81)</f>
        <v/>
      </c>
    </row>
    <row r="7">
      <c r="A7" t="inlineStr">
        <is>
          <t>Scenario WACC Δ</t>
        </is>
      </c>
      <c r="B7" s="12">
        <f>N(Valuation!F81)</f>
        <v/>
      </c>
    </row>
    <row r="8">
      <c r="A8" t="inlineStr">
        <is>
          <t>Scenario Multiple %Δ</t>
        </is>
      </c>
      <c r="B8" s="12">
        <f>N(Valuation!G81)</f>
        <v/>
      </c>
    </row>
    <row r="9">
      <c r="A9" t="inlineStr">
        <is>
          <t>Scenario Stated EPS/FCF %Δ</t>
        </is>
      </c>
      <c r="B9" s="12">
        <f>N(Valuation!H81)</f>
        <v/>
      </c>
    </row>
    <row r="10">
      <c r="A10" t="inlineStr">
        <is>
          <t>Scenario Custom %Δ</t>
        </is>
      </c>
      <c r="B10" s="12">
        <f>N(Valuation!I81)</f>
        <v/>
      </c>
    </row>
    <row r="12">
      <c r="A12" t="inlineStr">
        <is>
          <t>WACC</t>
        </is>
      </c>
      <c r="B12" s="18">
        <f>Valuation!$B$50+B7</f>
        <v/>
      </c>
    </row>
    <row r="13">
      <c r="A13" t="inlineStr">
        <is>
          <t>Years from last FY end to target date</t>
        </is>
      </c>
      <c r="B13" s="46">
        <f>(Valuation!$B$44-Valuation!$B$48)/365.25</f>
        <v/>
      </c>
    </row>
    <row r="14">
      <c r="A14" t="inlineStr">
        <is>
          <t>Years from last FY end to balance date</t>
        </is>
      </c>
      <c r="B14" s="46">
        <f>(Valuation!$B$54-Valuation!$B$48)/365.25</f>
        <v/>
      </c>
    </row>
    <row r="15">
      <c r="A15" t="inlineStr">
        <is>
          <t>Years from last FY end to share count date</t>
        </is>
      </c>
      <c r="B15" s="46">
        <f>(Valuation!$B$60-Valuation!$B$48)/365.25</f>
        <v/>
      </c>
    </row>
    <row r="16">
      <c r="A16" t="inlineStr">
        <is>
          <t>Projected years</t>
        </is>
      </c>
      <c r="B16" t="n">
        <v>3</v>
      </c>
    </row>
    <row r="18">
      <c r="A18" s="3" t="inlineStr">
        <is>
          <t>Projection</t>
        </is>
      </c>
      <c r="B18" s="3" t="inlineStr">
        <is>
          <t>Base</t>
        </is>
      </c>
      <c r="C18" s="3">
        <f>Model!E5</f>
        <v/>
      </c>
      <c r="D18" s="3">
        <f>Model!F5</f>
        <v/>
      </c>
      <c r="E18" s="3">
        <f>Model!G5</f>
        <v/>
      </c>
    </row>
    <row r="19">
      <c r="A19" t="inlineStr">
        <is>
          <t>Year index</t>
        </is>
      </c>
      <c r="B19" t="n">
        <v>0</v>
      </c>
      <c r="C19" t="n">
        <v>1</v>
      </c>
      <c r="D19" t="n">
        <v>2</v>
      </c>
      <c r="E19" t="n">
        <v>3</v>
      </c>
    </row>
    <row r="20">
      <c r="A20" t="inlineStr">
        <is>
          <t>Period end</t>
        </is>
      </c>
      <c r="C20" s="20">
        <f>Valuation!$B$48+ROUND(365.25*C19,0)</f>
        <v/>
      </c>
      <c r="D20" s="20">
        <f>Valuation!$B$48+ROUND(365.25*D19,0)</f>
        <v/>
      </c>
      <c r="E20" s="20">
        <f>Valuation!$B$48+ROUND(365.25*E19,0)</f>
        <v/>
      </c>
    </row>
    <row r="21">
      <c r="A21" t="inlineStr">
        <is>
          <t>Revenue growth</t>
        </is>
      </c>
      <c r="C21" s="18">
        <f>Model!E48+$B$4+$B$250</f>
        <v/>
      </c>
      <c r="D21" s="18">
        <f>Model!F48+$B$4+$B$252</f>
        <v/>
      </c>
      <c r="E21" s="18">
        <f>Model!G48+$B$4+$B$254</f>
        <v/>
      </c>
    </row>
    <row r="22">
      <c r="A22" t="inlineStr">
        <is>
          <t>Revenue</t>
        </is>
      </c>
      <c r="B22" s="23">
        <f>Valuation!$B$49</f>
        <v/>
      </c>
      <c r="C22" s="23">
        <f>B22*(1+C21)</f>
        <v/>
      </c>
      <c r="D22" s="23">
        <f>C22*(1+D21)</f>
        <v/>
      </c>
      <c r="E22" s="23">
        <f>D22*(1+E21)</f>
        <v/>
      </c>
    </row>
    <row r="23">
      <c r="A23" t="inlineStr">
        <is>
          <t>EBIT margin</t>
        </is>
      </c>
      <c r="C23" s="18">
        <f>Model!E49+$B$5+$B$251</f>
        <v/>
      </c>
      <c r="D23" s="18">
        <f>Model!F49+$B$5+$B$253</f>
        <v/>
      </c>
      <c r="E23" s="18">
        <f>Model!G49+$B$5+$B$255</f>
        <v/>
      </c>
    </row>
    <row r="24">
      <c r="A24" t="inlineStr">
        <is>
          <t>EBIT</t>
        </is>
      </c>
      <c r="C24" s="23">
        <f>C22*C23</f>
        <v/>
      </c>
      <c r="D24" s="23">
        <f>D22*D23</f>
        <v/>
      </c>
      <c r="E24" s="23">
        <f>E22*E23</f>
        <v/>
      </c>
    </row>
    <row r="25">
      <c r="A25" t="inlineStr">
        <is>
          <t>Tax rate</t>
        </is>
      </c>
      <c r="C25" s="18">
        <f>Model!E50</f>
        <v/>
      </c>
      <c r="D25" s="18">
        <f>Model!F50</f>
        <v/>
      </c>
      <c r="E25" s="18">
        <f>Model!G50</f>
        <v/>
      </c>
    </row>
    <row r="26">
      <c r="A26" t="inlineStr">
        <is>
          <t>NOPAT</t>
        </is>
      </c>
      <c r="C26" s="23">
        <f>C24*(1-C25)</f>
        <v/>
      </c>
      <c r="D26" s="23">
        <f>D24*(1-D25)</f>
        <v/>
      </c>
      <c r="E26" s="23">
        <f>E24*(1-E25)</f>
        <v/>
      </c>
    </row>
    <row r="27">
      <c r="A27" t="inlineStr">
        <is>
          <t>D&amp;A</t>
        </is>
      </c>
      <c r="C27" s="23">
        <f>C22*(Model!E51)</f>
        <v/>
      </c>
      <c r="D27" s="23">
        <f>D22*(Model!F51)</f>
        <v/>
      </c>
      <c r="E27" s="23">
        <f>E22*(Model!G51)</f>
        <v/>
      </c>
    </row>
    <row r="28">
      <c r="A28" t="inlineStr">
        <is>
          <t>Capex</t>
        </is>
      </c>
      <c r="C28" s="23">
        <f>C22*(Model!E52)</f>
        <v/>
      </c>
      <c r="D28" s="23">
        <f>D22*(Model!F52)</f>
        <v/>
      </c>
      <c r="E28" s="23">
        <f>E22*(Model!G52)</f>
        <v/>
      </c>
    </row>
    <row r="29">
      <c r="A29" t="inlineStr">
        <is>
          <t>Working capital increase</t>
        </is>
      </c>
      <c r="C29" s="23">
        <f>(Model!E53)*(C22-B22)</f>
        <v/>
      </c>
      <c r="D29" s="23">
        <f>(Model!F53)*(D22-C22)</f>
        <v/>
      </c>
      <c r="E29" s="23">
        <f>(Model!G53)*(E22-D22)</f>
        <v/>
      </c>
    </row>
    <row r="30">
      <c r="A30" t="inlineStr">
        <is>
          <t>Stock comp</t>
        </is>
      </c>
      <c r="C30" s="23">
        <f>C22*(Model!E54)</f>
        <v/>
      </c>
      <c r="D30" s="23">
        <f>D22*(Model!F54)</f>
        <v/>
      </c>
      <c r="E30" s="23">
        <f>E22*(Model!G54)</f>
        <v/>
      </c>
    </row>
    <row r="31">
      <c r="A31" t="inlineStr">
        <is>
          <t>Free cash flow to firm</t>
        </is>
      </c>
      <c r="C31" s="23">
        <f>C26+C27-C28-C29-IF(AND(Valuation!$B$46="adjusted",Valuation!$B$47="cost"),C30*(1-C25),0)</f>
        <v/>
      </c>
      <c r="D31" s="23">
        <f>D26+D27-D28-D29-IF(AND(Valuation!$B$46="adjusted",Valuation!$B$47="cost"),D30*(1-D25),0)</f>
        <v/>
      </c>
      <c r="E31" s="23">
        <f>E26+E27-E28-E29-IF(AND(Valuation!$B$46="adjusted",Valuation!$B$47="cost"),E30*(1-E25),0)</f>
        <v/>
      </c>
    </row>
    <row r="32">
      <c r="A32" t="inlineStr">
        <is>
          <t>EBITDA</t>
        </is>
      </c>
      <c r="C32" s="23">
        <f>C24+C27</f>
        <v/>
      </c>
      <c r="D32" s="23">
        <f>D24+D27</f>
        <v/>
      </c>
      <c r="E32" s="23">
        <f>E24+E27</f>
        <v/>
      </c>
    </row>
    <row r="33">
      <c r="A33" t="inlineStr">
        <is>
          <t>Adj. EBITDA</t>
        </is>
      </c>
      <c r="C33" s="23">
        <f>C24+C27+C22*(Model!E58)</f>
        <v/>
      </c>
      <c r="D33" s="23">
        <f>D24+D27+D22*(Model!F58)</f>
        <v/>
      </c>
      <c r="E33" s="23">
        <f>E24+E27+E22*(Model!G58)</f>
        <v/>
      </c>
    </row>
    <row r="34">
      <c r="A34" t="inlineStr">
        <is>
          <t>Shareholder returns + other uses</t>
        </is>
      </c>
      <c r="C34" s="23">
        <f>C22*Model!E56+Model!E55+Model!E57</f>
        <v/>
      </c>
      <c r="D34" s="23">
        <f>D22*Model!F56+Model!F55+Model!F57</f>
        <v/>
      </c>
      <c r="E34" s="23">
        <f>E22*Model!G56+Model!G55+Model!G57</f>
        <v/>
      </c>
    </row>
    <row r="35">
      <c r="A35" t="inlineStr">
        <is>
          <t>Share of year after target date</t>
        </is>
      </c>
      <c r="C35" s="46">
        <f>IF(C19&lt;=$B$13,0,C19-MAX(C19-1,$B$13))</f>
        <v/>
      </c>
      <c r="D35" s="46">
        <f>IF(D19&lt;=$B$13,0,D19-MAX(D19-1,$B$13))</f>
        <v/>
      </c>
      <c r="E35" s="46">
        <f>IF(E19&lt;=$B$13,0,E19-MAX(E19-1,$B$13))</f>
        <v/>
      </c>
    </row>
    <row r="36">
      <c r="A36" t="inlineStr">
        <is>
          <t>PV at target date of FCFF</t>
        </is>
      </c>
      <c r="C36" s="23">
        <f>IF(C35=0,0,C31*C35/(1+$B$12)^(C19-$B$13))</f>
        <v/>
      </c>
      <c r="D36" s="23">
        <f>IF(D35=0,0,D31*D35/(1+$B$12)^(D19-$B$13))</f>
        <v/>
      </c>
      <c r="E36" s="23">
        <f>IF(E35=0,0,E31*E35/(1+$B$12)^(E19-$B$13))</f>
        <v/>
      </c>
    </row>
    <row r="37">
      <c r="A37" t="inlineStr">
        <is>
          <t>Overlap: balance date to target date</t>
        </is>
      </c>
      <c r="C37" s="46">
        <f>MAX(0,MIN(C19,$B$13)-MAX(C19-1,$B$14))</f>
        <v/>
      </c>
      <c r="D37" s="46">
        <f>MAX(0,MIN(D19,$B$13)-MAX(D19-1,$B$14))</f>
        <v/>
      </c>
      <c r="E37" s="46">
        <f>MAX(0,MIN(E19,$B$13)-MAX(E19-1,$B$14))</f>
        <v/>
      </c>
    </row>
    <row r="38">
      <c r="A38" t="inlineStr">
        <is>
          <t>NTM weight at target date</t>
        </is>
      </c>
      <c r="C38" s="46">
        <f>MAX(0,MIN(C19,$B$13+1)-MAX(C19-1,$B$13))</f>
        <v/>
      </c>
      <c r="D38" s="46">
        <f>MAX(0,MIN(D19,$B$13+1)-MAX(D19-1,$B$13))</f>
        <v/>
      </c>
      <c r="E38" s="46">
        <f>MAX(0,MIN(E19,$B$13+1)-MAX(E19-1,$B$13))</f>
        <v/>
      </c>
    </row>
    <row r="39">
      <c r="A39" t="inlineStr">
        <is>
          <t>LTM weight at target date</t>
        </is>
      </c>
      <c r="B39" s="46">
        <f>MAX(0,MIN(0,$B$13)-MAX(-1,$B$13-1))</f>
        <v/>
      </c>
      <c r="C39" s="46">
        <f>MAX(0,MIN(C19,$B$13)-MAX(C19-1,$B$13-1))</f>
        <v/>
      </c>
      <c r="D39" s="46">
        <f>MAX(0,MIN(D19,$B$13)-MAX(D19-1,$B$13-1))</f>
        <v/>
      </c>
      <c r="E39" s="46">
        <f>MAX(0,MIN(E19,$B$13)-MAX(E19-1,$B$13-1))</f>
        <v/>
      </c>
    </row>
    <row r="41">
      <c r="A41" s="19" t="inlineStr">
        <is>
          <t>Value at the target date</t>
        </is>
      </c>
    </row>
    <row r="42">
      <c r="A42" t="inlineStr">
        <is>
          <t>PV of free cash flow after the target date</t>
        </is>
      </c>
      <c r="B42" s="23">
        <f>SUM($C$36:$E$36)</f>
        <v/>
      </c>
    </row>
    <row r="43">
      <c r="A43" t="inlineStr">
        <is>
          <t>Terminal value at final year</t>
        </is>
      </c>
      <c r="B43" s="23">
        <f>IF(Valuation!$B$51="exit_multiple",Valuation!$B$53*E32,E31*(1+Valuation!$B$52)/($B$12-Valuation!$B$52))</f>
        <v/>
      </c>
    </row>
    <row r="44">
      <c r="A44" t="inlineStr">
        <is>
          <t>PV of terminal value at target date</t>
        </is>
      </c>
      <c r="B44" s="23">
        <f>B43/(1+$B$12)^($B$16-$B$13)</f>
        <v/>
      </c>
    </row>
    <row r="45">
      <c r="A45" t="inlineStr">
        <is>
          <t>DCF enterprise value at target date</t>
        </is>
      </c>
      <c r="B45" s="23">
        <f>B42+B44</f>
        <v/>
      </c>
    </row>
    <row r="46">
      <c r="A46" t="inlineStr">
        <is>
          <t>Terminal value share of DCF</t>
        </is>
      </c>
      <c r="B46" s="18">
        <f>B44/B45</f>
        <v/>
      </c>
    </row>
    <row r="47">
      <c r="A47" t="inlineStr">
        <is>
          <t>Free cash flow earned, balance date to target date</t>
        </is>
      </c>
      <c r="B47" s="23">
        <f>SUMPRODUCT($C$37:$E$37,$C$31:$E$31)</f>
        <v/>
      </c>
    </row>
    <row r="48">
      <c r="A48" t="inlineStr">
        <is>
          <t>Shareholder returns + other uses paid</t>
        </is>
      </c>
      <c r="B48" s="23">
        <f>SUMPRODUCT($C$37:$E$37,$C$34:$E$34)</f>
        <v/>
      </c>
    </row>
    <row r="49">
      <c r="A49" t="inlineStr">
        <is>
          <t>Interest drag on net debt</t>
        </is>
      </c>
      <c r="B49" s="23">
        <f>Valuation!$B$57*(1-$C$25)*MAX(Valuation!$B$55,0)*MAX($B$13-$B$14,0)</f>
        <v/>
      </c>
    </row>
    <row r="50">
      <c r="A50" t="inlineStr">
        <is>
          <t>Net debt at target date</t>
        </is>
      </c>
      <c r="B50" s="23">
        <f>IF(Valuation!$B$58="",Valuation!$B$55-B47+B49+B48,Valuation!$B$58)</f>
        <v/>
      </c>
    </row>
    <row r="51">
      <c r="A51" t="inlineStr">
        <is>
          <t>Minority interests</t>
        </is>
      </c>
      <c r="B51" s="23">
        <f>Valuation!$B$56</f>
        <v/>
      </c>
    </row>
    <row r="52">
      <c r="A52" t="inlineStr">
        <is>
          <t>Adjustments (probability-weighted)</t>
        </is>
      </c>
      <c r="B52" s="23">
        <f>(Valuation!B75)*Valuation!C75+0</f>
        <v/>
      </c>
    </row>
    <row r="53">
      <c r="A53" t="inlineStr">
        <is>
          <t>Diluted shares at target date (M)</t>
        </is>
      </c>
      <c r="B53" s="26">
        <f>IF(Valuation!$B$62="",Valuation!$B$59*(1+Valuation!$B$61)^MAX($B$13-$B$15,0),Valuation!$B$62)</f>
        <v/>
      </c>
    </row>
    <row r="54">
      <c r="A54" t="inlineStr">
        <is>
          <t>After-tax interest on target-date net debt</t>
        </is>
      </c>
      <c r="B54" s="23">
        <f>Valuation!$B$57*(1-$C$25)*MAX(B50,0)</f>
        <v/>
      </c>
    </row>
    <row r="55">
      <c r="A55" t="inlineStr">
        <is>
          <t>Check: WACC vs terminal growth</t>
        </is>
      </c>
      <c r="B55">
        <f>IF(AND(Valuation!$B$51&lt;&gt;"exit_multiple",$B$12&lt;=Valuation!$B$52+0.01),"WACC must exceed terminal growth by 1 point","ok")</f>
        <v/>
      </c>
    </row>
    <row r="56">
      <c r="A56" t="inlineStr">
        <is>
          <t>Check: projection length</t>
        </is>
      </c>
      <c r="B56">
        <f>IF(OR($B$13&gt;=$B$16-1,$B$13+1&gt;$B$16),"add projected years past the target date","ok")</f>
        <v/>
      </c>
    </row>
    <row r="58">
      <c r="A58" s="3" t="inlineStr">
        <is>
          <t>Metric at target date</t>
        </is>
      </c>
      <c r="B58" s="3" t="inlineStr">
        <is>
          <t>Next 12 months</t>
        </is>
      </c>
      <c r="C58" s="3" t="inlineStr">
        <is>
          <t>Last 12 months</t>
        </is>
      </c>
    </row>
    <row r="59">
      <c r="A59" t="inlineStr">
        <is>
          <t>Revenue</t>
        </is>
      </c>
      <c r="B59" s="23">
        <f>SUMPRODUCT($C$38:$E$38,$C$22:$E$22)</f>
        <v/>
      </c>
      <c r="C59" s="23">
        <f>SUMPRODUCT($C$39:$E$39,$C$22:$E$22)+$B$39*$B$22</f>
        <v/>
      </c>
    </row>
    <row r="60">
      <c r="A60" t="inlineStr">
        <is>
          <t>EBIT</t>
        </is>
      </c>
      <c r="B60" s="23">
        <f>SUMPRODUCT($C$38:$E$38,$C$24:$E$24)</f>
        <v/>
      </c>
      <c r="C60" s="23">
        <f>SUMPRODUCT($C$39:$E$39,$C$24:$E$24)</f>
        <v/>
      </c>
    </row>
    <row r="61">
      <c r="A61" t="inlineStr">
        <is>
          <t>EBITDA</t>
        </is>
      </c>
      <c r="B61" s="23">
        <f>SUMPRODUCT($C$38:$E$38,$C$32:$E$32)</f>
        <v/>
      </c>
      <c r="C61" s="23">
        <f>SUMPRODUCT($C$39:$E$39,$C$32:$E$32)</f>
        <v/>
      </c>
    </row>
    <row r="62">
      <c r="A62" t="inlineStr">
        <is>
          <t>Adj. EBITDA</t>
        </is>
      </c>
      <c r="B62" s="23">
        <f>SUMPRODUCT($C$38:$E$38,$C$33:$E$33)</f>
        <v/>
      </c>
      <c r="C62" s="23">
        <f>SUMPRODUCT($C$39:$E$39,$C$33:$E$33)</f>
        <v/>
      </c>
    </row>
    <row r="63">
      <c r="A63" t="inlineStr">
        <is>
          <t>NOPAT</t>
        </is>
      </c>
      <c r="B63" s="23">
        <f>SUMPRODUCT($C$38:$E$38,$C$26:$E$26)</f>
        <v/>
      </c>
      <c r="C63" s="23">
        <f>SUMPRODUCT($C$39:$E$39,$C$26:$E$26)</f>
        <v/>
      </c>
    </row>
    <row r="64">
      <c r="A64" t="inlineStr">
        <is>
          <t>Free cash flow to firm</t>
        </is>
      </c>
      <c r="B64" s="23">
        <f>SUMPRODUCT($C$38:$E$38,$C$31:$E$31)</f>
        <v/>
      </c>
      <c r="C64" s="23">
        <f>SUMPRODUCT($C$39:$E$39,$C$31:$E$31)</f>
        <v/>
      </c>
    </row>
    <row r="66">
      <c r="A66" s="3" t="inlineStr">
        <is>
          <t>Valuation method</t>
        </is>
      </c>
      <c r="B66" s="3" t="inlineStr">
        <is>
          <t>Metric</t>
        </is>
      </c>
      <c r="C66" s="3" t="inlineStr">
        <is>
          <t>Multiple used</t>
        </is>
      </c>
      <c r="D66" s="3" t="inlineStr">
        <is>
          <t>Basis</t>
        </is>
      </c>
      <c r="E66" s="3" t="inlineStr">
        <is>
          <t>Metric at target date</t>
        </is>
      </c>
      <c r="F66" s="3" t="inlineStr">
        <is>
          <t>Value per share</t>
        </is>
      </c>
      <c r="G66" s="3" t="inlineStr">
        <is>
          <t>Weight</t>
        </is>
      </c>
      <c r="H66" s="3" t="inlineStr">
        <is>
          <t>Metric key</t>
        </is>
      </c>
      <c r="I66" s="3" t="inlineStr">
        <is>
          <t>Metric shown (stated per-share figure when used)</t>
        </is>
      </c>
    </row>
    <row r="67">
      <c r="A67" t="inlineStr">
        <is>
          <t>DCF (cash flow to target date + terminal)</t>
        </is>
      </c>
      <c r="F67" s="9">
        <f>((B45)-$B$50-$B$51+$B$52)/$B$53</f>
        <v/>
      </c>
      <c r="G67" s="18">
        <f>Valuation!$B$63</f>
        <v/>
      </c>
    </row>
    <row r="68">
      <c r="A68">
        <f>"Multiple: "&amp;Valuation!A69&amp;" ("&amp;Valuation!D69&amp;")"</f>
        <v/>
      </c>
      <c r="B68">
        <f>Valuation!A69</f>
        <v/>
      </c>
      <c r="C68" s="9">
        <f>IF(B68="FCF yield",(Valuation!B69)*(1-$B$8),(Valuation!B69)+IF(B68="EV/sales",0.1,1)*$B$6)</f>
        <v/>
      </c>
      <c r="D68">
        <f>Valuation!D69</f>
        <v/>
      </c>
      <c r="E68" s="23">
        <f>IF(D68="ltm",CHOOSE(H68,$C$59,$C$60,$C$61,$C$62,$C$63,$C$64),CHOOSE(H68,$B$59,$B$60,$B$61,$B$62,$B$63,$B$64))</f>
        <v/>
      </c>
      <c r="F68" s="9">
        <f>IF(OR(B68="EV/EBITDA",B68="EV/sales",B68="EV/EBIT"),((C68*E68)-$B$50-$B$51+$B$52)/$B$53,IF(B68="P/E",IF(Valuation!F69&lt;&gt;"",C68*(Valuation!F69)*(1+$B$9),C68*(E68-$B$54)/$B$53),IF(Valuation!G69&lt;&gt;"",(Valuation!G69)*(1+$B$9)/C68,(E68-IF(Valuation!H69,$B$54,0))/C68/$B$53))+$B$52/$B$53)</f>
        <v/>
      </c>
      <c r="G68" s="18">
        <f>Valuation!C69</f>
        <v/>
      </c>
      <c r="H68">
        <f>IF(B68="EV/sales",1,IF(B68="EV/EBIT",2,IF(B68="EV/EBITDA",IF(Valuation!E69="adjusted",4,3),IF(B68="P/E",5,6))))</f>
        <v/>
      </c>
      <c r="I68" s="47">
        <f>IF(AND(B68="P/E",Valuation!F69&lt;&gt;""),(Valuation!F69)*(1+$B$9),IF(AND(B68="FCF yield",Valuation!G69&lt;&gt;""),(Valuation!G69)*(1+$B$9),E68))</f>
        <v/>
      </c>
    </row>
    <row r="69">
      <c r="A69" s="19" t="inlineStr">
        <is>
          <t>Value per share at target date (weighted methods)</t>
        </is>
      </c>
      <c r="F69" s="6">
        <f>SUMPRODUCT(F67:F68,G67:G68)/SUM(G67:G68)</f>
        <v/>
      </c>
    </row>
    <row r="249">
      <c r="A249" s="19" t="inlineStr">
        <is>
          <t>Driver scenario shifts: line-item changes model_drivers.py resolves from this scenario's driver deltas (added to the Model tab inputs)</t>
        </is>
      </c>
    </row>
    <row r="250">
      <c r="A250" t="inlineStr">
        <is>
          <t>Revenue growth, year 1</t>
        </is>
      </c>
      <c r="B250" s="49" t="n">
        <v>-0.1462509386982913</v>
      </c>
    </row>
    <row r="251">
      <c r="A251" t="inlineStr">
        <is>
          <t>EBIT margin, year 1</t>
        </is>
      </c>
      <c r="B251" s="49" t="n">
        <v>-0.03354621821298509</v>
      </c>
    </row>
    <row r="252">
      <c r="A252" t="inlineStr">
        <is>
          <t>Revenue growth, year 2</t>
        </is>
      </c>
      <c r="B252" s="49" t="n">
        <v>-0.003054731350511375</v>
      </c>
    </row>
    <row r="253">
      <c r="A253" t="inlineStr">
        <is>
          <t>EBIT margin, year 2</t>
        </is>
      </c>
      <c r="B253" s="49" t="n">
        <v>-0.03220746985177941</v>
      </c>
    </row>
    <row r="254">
      <c r="A254" t="inlineStr">
        <is>
          <t>Revenue growth, year 3</t>
        </is>
      </c>
      <c r="B254" s="49" t="n">
        <v>-0.004512869697943289</v>
      </c>
    </row>
    <row r="255">
      <c r="A255" t="inlineStr">
        <is>
          <t>EBIT margin, year 3</t>
        </is>
      </c>
      <c r="B255" s="49" t="n">
        <v>-0.03033757973285717</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69"/>
  <sheetViews>
    <sheetView showGridLines="0" workbookViewId="0">
      <pane xSplit="1" ySplit="18" topLeftCell="B19" activePane="bottomRight" state="frozen"/>
      <selection pane="topRight"/>
      <selection pane="bottomLeft"/>
      <selection pane="bottomRight" activeCell="A1" sqref="A1"/>
    </sheetView>
  </sheetViews>
  <sheetFormatPr baseColWidth="8" defaultRowHeight="15"/>
  <cols>
    <col width="46" customWidth="1" min="1" max="1"/>
    <col width="13" customWidth="1" min="2" max="2"/>
    <col width="13" customWidth="1" min="3" max="3"/>
    <col width="13" customWidth="1" min="4" max="4"/>
    <col width="13" customWidth="1" min="5" max="5"/>
  </cols>
  <sheetData>
    <row r="1">
      <c r="A1" s="1" t="inlineStr">
        <is>
          <t>AMAT engine calculation: base scenario</t>
        </is>
      </c>
    </row>
    <row r="2">
      <c r="A2" s="2" t="inlineStr">
        <is>
          <t>Machinery behind the Valuation and Distribution tabs; drivers come from Model, assumptions from Valuation.</t>
        </is>
      </c>
    </row>
    <row r="4">
      <c r="A4" t="inlineStr">
        <is>
          <t>Scenario Growth Δ</t>
        </is>
      </c>
      <c r="B4" s="12">
        <f>N(Valuation!C82)</f>
        <v/>
      </c>
    </row>
    <row r="5">
      <c r="A5" t="inlineStr">
        <is>
          <t>Scenario Margin Δ</t>
        </is>
      </c>
      <c r="B5" s="12">
        <f>N(Valuation!D82)</f>
        <v/>
      </c>
    </row>
    <row r="6">
      <c r="A6" t="inlineStr">
        <is>
          <t>Scenario Multiple Δ (turns)</t>
        </is>
      </c>
      <c r="B6" s="48">
        <f>N(Valuation!E82)</f>
        <v/>
      </c>
    </row>
    <row r="7">
      <c r="A7" t="inlineStr">
        <is>
          <t>Scenario WACC Δ</t>
        </is>
      </c>
      <c r="B7" s="12">
        <f>N(Valuation!F82)</f>
        <v/>
      </c>
    </row>
    <row r="8">
      <c r="A8" t="inlineStr">
        <is>
          <t>Scenario Multiple %Δ</t>
        </is>
      </c>
      <c r="B8" s="12">
        <f>N(Valuation!G82)</f>
        <v/>
      </c>
    </row>
    <row r="9">
      <c r="A9" t="inlineStr">
        <is>
          <t>Scenario Stated EPS/FCF %Δ</t>
        </is>
      </c>
      <c r="B9" s="12">
        <f>N(Valuation!H82)</f>
        <v/>
      </c>
    </row>
    <row r="10">
      <c r="A10" t="inlineStr">
        <is>
          <t>Scenario Custom %Δ</t>
        </is>
      </c>
      <c r="B10" s="12">
        <f>N(Valuation!I82)</f>
        <v/>
      </c>
    </row>
    <row r="12">
      <c r="A12" t="inlineStr">
        <is>
          <t>WACC</t>
        </is>
      </c>
      <c r="B12" s="18">
        <f>Valuation!$B$50+B7</f>
        <v/>
      </c>
    </row>
    <row r="13">
      <c r="A13" t="inlineStr">
        <is>
          <t>Years from last FY end to target date</t>
        </is>
      </c>
      <c r="B13" s="46">
        <f>(Valuation!$B$44-Valuation!$B$48)/365.25</f>
        <v/>
      </c>
    </row>
    <row r="14">
      <c r="A14" t="inlineStr">
        <is>
          <t>Years from last FY end to balance date</t>
        </is>
      </c>
      <c r="B14" s="46">
        <f>(Valuation!$B$54-Valuation!$B$48)/365.25</f>
        <v/>
      </c>
    </row>
    <row r="15">
      <c r="A15" t="inlineStr">
        <is>
          <t>Years from last FY end to share count date</t>
        </is>
      </c>
      <c r="B15" s="46">
        <f>(Valuation!$B$60-Valuation!$B$48)/365.25</f>
        <v/>
      </c>
    </row>
    <row r="16">
      <c r="A16" t="inlineStr">
        <is>
          <t>Projected years</t>
        </is>
      </c>
      <c r="B16" t="n">
        <v>3</v>
      </c>
    </row>
    <row r="18">
      <c r="A18" s="3" t="inlineStr">
        <is>
          <t>Projection</t>
        </is>
      </c>
      <c r="B18" s="3" t="inlineStr">
        <is>
          <t>Base</t>
        </is>
      </c>
      <c r="C18" s="3">
        <f>Model!E5</f>
        <v/>
      </c>
      <c r="D18" s="3">
        <f>Model!F5</f>
        <v/>
      </c>
      <c r="E18" s="3">
        <f>Model!G5</f>
        <v/>
      </c>
    </row>
    <row r="19">
      <c r="A19" t="inlineStr">
        <is>
          <t>Year index</t>
        </is>
      </c>
      <c r="B19" t="n">
        <v>0</v>
      </c>
      <c r="C19" t="n">
        <v>1</v>
      </c>
      <c r="D19" t="n">
        <v>2</v>
      </c>
      <c r="E19" t="n">
        <v>3</v>
      </c>
    </row>
    <row r="20">
      <c r="A20" t="inlineStr">
        <is>
          <t>Period end</t>
        </is>
      </c>
      <c r="C20" s="20">
        <f>Valuation!$B$48+ROUND(365.25*C19,0)</f>
        <v/>
      </c>
      <c r="D20" s="20">
        <f>Valuation!$B$48+ROUND(365.25*D19,0)</f>
        <v/>
      </c>
      <c r="E20" s="20">
        <f>Valuation!$B$48+ROUND(365.25*E19,0)</f>
        <v/>
      </c>
    </row>
    <row r="21">
      <c r="A21" t="inlineStr">
        <is>
          <t>Revenue growth</t>
        </is>
      </c>
      <c r="C21" s="18">
        <f>Model!E48+$B$4</f>
        <v/>
      </c>
      <c r="D21" s="18">
        <f>Model!F48+$B$4</f>
        <v/>
      </c>
      <c r="E21" s="18">
        <f>Model!G48+$B$4</f>
        <v/>
      </c>
    </row>
    <row r="22">
      <c r="A22" t="inlineStr">
        <is>
          <t>Revenue</t>
        </is>
      </c>
      <c r="B22" s="23">
        <f>Valuation!$B$49</f>
        <v/>
      </c>
      <c r="C22" s="23">
        <f>B22*(1+C21)</f>
        <v/>
      </c>
      <c r="D22" s="23">
        <f>C22*(1+D21)</f>
        <v/>
      </c>
      <c r="E22" s="23">
        <f>D22*(1+E21)</f>
        <v/>
      </c>
    </row>
    <row r="23">
      <c r="A23" t="inlineStr">
        <is>
          <t>EBIT margin</t>
        </is>
      </c>
      <c r="C23" s="18">
        <f>Model!E49+$B$5</f>
        <v/>
      </c>
      <c r="D23" s="18">
        <f>Model!F49+$B$5</f>
        <v/>
      </c>
      <c r="E23" s="18">
        <f>Model!G49+$B$5</f>
        <v/>
      </c>
    </row>
    <row r="24">
      <c r="A24" t="inlineStr">
        <is>
          <t>EBIT</t>
        </is>
      </c>
      <c r="C24" s="23">
        <f>C22*C23</f>
        <v/>
      </c>
      <c r="D24" s="23">
        <f>D22*D23</f>
        <v/>
      </c>
      <c r="E24" s="23">
        <f>E22*E23</f>
        <v/>
      </c>
    </row>
    <row r="25">
      <c r="A25" t="inlineStr">
        <is>
          <t>Tax rate</t>
        </is>
      </c>
      <c r="C25" s="18">
        <f>Model!E50</f>
        <v/>
      </c>
      <c r="D25" s="18">
        <f>Model!F50</f>
        <v/>
      </c>
      <c r="E25" s="18">
        <f>Model!G50</f>
        <v/>
      </c>
    </row>
    <row r="26">
      <c r="A26" t="inlineStr">
        <is>
          <t>NOPAT</t>
        </is>
      </c>
      <c r="C26" s="23">
        <f>C24*(1-C25)</f>
        <v/>
      </c>
      <c r="D26" s="23">
        <f>D24*(1-D25)</f>
        <v/>
      </c>
      <c r="E26" s="23">
        <f>E24*(1-E25)</f>
        <v/>
      </c>
    </row>
    <row r="27">
      <c r="A27" t="inlineStr">
        <is>
          <t>D&amp;A</t>
        </is>
      </c>
      <c r="C27" s="23">
        <f>C22*(Model!E51)</f>
        <v/>
      </c>
      <c r="D27" s="23">
        <f>D22*(Model!F51)</f>
        <v/>
      </c>
      <c r="E27" s="23">
        <f>E22*(Model!G51)</f>
        <v/>
      </c>
    </row>
    <row r="28">
      <c r="A28" t="inlineStr">
        <is>
          <t>Capex</t>
        </is>
      </c>
      <c r="C28" s="23">
        <f>C22*(Model!E52)</f>
        <v/>
      </c>
      <c r="D28" s="23">
        <f>D22*(Model!F52)</f>
        <v/>
      </c>
      <c r="E28" s="23">
        <f>E22*(Model!G52)</f>
        <v/>
      </c>
    </row>
    <row r="29">
      <c r="A29" t="inlineStr">
        <is>
          <t>Working capital increase</t>
        </is>
      </c>
      <c r="C29" s="23">
        <f>(Model!E53)*(C22-B22)</f>
        <v/>
      </c>
      <c r="D29" s="23">
        <f>(Model!F53)*(D22-C22)</f>
        <v/>
      </c>
      <c r="E29" s="23">
        <f>(Model!G53)*(E22-D22)</f>
        <v/>
      </c>
    </row>
    <row r="30">
      <c r="A30" t="inlineStr">
        <is>
          <t>Stock comp</t>
        </is>
      </c>
      <c r="C30" s="23">
        <f>C22*(Model!E54)</f>
        <v/>
      </c>
      <c r="D30" s="23">
        <f>D22*(Model!F54)</f>
        <v/>
      </c>
      <c r="E30" s="23">
        <f>E22*(Model!G54)</f>
        <v/>
      </c>
    </row>
    <row r="31">
      <c r="A31" t="inlineStr">
        <is>
          <t>Free cash flow to firm</t>
        </is>
      </c>
      <c r="C31" s="23">
        <f>C26+C27-C28-C29-IF(AND(Valuation!$B$46="adjusted",Valuation!$B$47="cost"),C30*(1-C25),0)</f>
        <v/>
      </c>
      <c r="D31" s="23">
        <f>D26+D27-D28-D29-IF(AND(Valuation!$B$46="adjusted",Valuation!$B$47="cost"),D30*(1-D25),0)</f>
        <v/>
      </c>
      <c r="E31" s="23">
        <f>E26+E27-E28-E29-IF(AND(Valuation!$B$46="adjusted",Valuation!$B$47="cost"),E30*(1-E25),0)</f>
        <v/>
      </c>
    </row>
    <row r="32">
      <c r="A32" t="inlineStr">
        <is>
          <t>EBITDA</t>
        </is>
      </c>
      <c r="C32" s="23">
        <f>C24+C27</f>
        <v/>
      </c>
      <c r="D32" s="23">
        <f>D24+D27</f>
        <v/>
      </c>
      <c r="E32" s="23">
        <f>E24+E27</f>
        <v/>
      </c>
    </row>
    <row r="33">
      <c r="A33" t="inlineStr">
        <is>
          <t>Adj. EBITDA</t>
        </is>
      </c>
      <c r="C33" s="23">
        <f>C24+C27+C22*(Model!E58)</f>
        <v/>
      </c>
      <c r="D33" s="23">
        <f>D24+D27+D22*(Model!F58)</f>
        <v/>
      </c>
      <c r="E33" s="23">
        <f>E24+E27+E22*(Model!G58)</f>
        <v/>
      </c>
    </row>
    <row r="34">
      <c r="A34" t="inlineStr">
        <is>
          <t>Shareholder returns + other uses</t>
        </is>
      </c>
      <c r="C34" s="23">
        <f>C22*Model!E56+Model!E55+Model!E57</f>
        <v/>
      </c>
      <c r="D34" s="23">
        <f>D22*Model!F56+Model!F55+Model!F57</f>
        <v/>
      </c>
      <c r="E34" s="23">
        <f>E22*Model!G56+Model!G55+Model!G57</f>
        <v/>
      </c>
    </row>
    <row r="35">
      <c r="A35" t="inlineStr">
        <is>
          <t>Share of year after target date</t>
        </is>
      </c>
      <c r="C35" s="46">
        <f>IF(C19&lt;=$B$13,0,C19-MAX(C19-1,$B$13))</f>
        <v/>
      </c>
      <c r="D35" s="46">
        <f>IF(D19&lt;=$B$13,0,D19-MAX(D19-1,$B$13))</f>
        <v/>
      </c>
      <c r="E35" s="46">
        <f>IF(E19&lt;=$B$13,0,E19-MAX(E19-1,$B$13))</f>
        <v/>
      </c>
    </row>
    <row r="36">
      <c r="A36" t="inlineStr">
        <is>
          <t>PV at target date of FCFF</t>
        </is>
      </c>
      <c r="C36" s="23">
        <f>IF(C35=0,0,C31*C35/(1+$B$12)^(C19-$B$13))</f>
        <v/>
      </c>
      <c r="D36" s="23">
        <f>IF(D35=0,0,D31*D35/(1+$B$12)^(D19-$B$13))</f>
        <v/>
      </c>
      <c r="E36" s="23">
        <f>IF(E35=0,0,E31*E35/(1+$B$12)^(E19-$B$13))</f>
        <v/>
      </c>
    </row>
    <row r="37">
      <c r="A37" t="inlineStr">
        <is>
          <t>Overlap: balance date to target date</t>
        </is>
      </c>
      <c r="C37" s="46">
        <f>MAX(0,MIN(C19,$B$13)-MAX(C19-1,$B$14))</f>
        <v/>
      </c>
      <c r="D37" s="46">
        <f>MAX(0,MIN(D19,$B$13)-MAX(D19-1,$B$14))</f>
        <v/>
      </c>
      <c r="E37" s="46">
        <f>MAX(0,MIN(E19,$B$13)-MAX(E19-1,$B$14))</f>
        <v/>
      </c>
    </row>
    <row r="38">
      <c r="A38" t="inlineStr">
        <is>
          <t>NTM weight at target date</t>
        </is>
      </c>
      <c r="C38" s="46">
        <f>MAX(0,MIN(C19,$B$13+1)-MAX(C19-1,$B$13))</f>
        <v/>
      </c>
      <c r="D38" s="46">
        <f>MAX(0,MIN(D19,$B$13+1)-MAX(D19-1,$B$13))</f>
        <v/>
      </c>
      <c r="E38" s="46">
        <f>MAX(0,MIN(E19,$B$13+1)-MAX(E19-1,$B$13))</f>
        <v/>
      </c>
    </row>
    <row r="39">
      <c r="A39" t="inlineStr">
        <is>
          <t>LTM weight at target date</t>
        </is>
      </c>
      <c r="B39" s="46">
        <f>MAX(0,MIN(0,$B$13)-MAX(-1,$B$13-1))</f>
        <v/>
      </c>
      <c r="C39" s="46">
        <f>MAX(0,MIN(C19,$B$13)-MAX(C19-1,$B$13-1))</f>
        <v/>
      </c>
      <c r="D39" s="46">
        <f>MAX(0,MIN(D19,$B$13)-MAX(D19-1,$B$13-1))</f>
        <v/>
      </c>
      <c r="E39" s="46">
        <f>MAX(0,MIN(E19,$B$13)-MAX(E19-1,$B$13-1))</f>
        <v/>
      </c>
    </row>
    <row r="41">
      <c r="A41" s="19" t="inlineStr">
        <is>
          <t>Value at the target date</t>
        </is>
      </c>
    </row>
    <row r="42">
      <c r="A42" t="inlineStr">
        <is>
          <t>PV of free cash flow after the target date</t>
        </is>
      </c>
      <c r="B42" s="23">
        <f>SUM($C$36:$E$36)</f>
        <v/>
      </c>
    </row>
    <row r="43">
      <c r="A43" t="inlineStr">
        <is>
          <t>Terminal value at final year</t>
        </is>
      </c>
      <c r="B43" s="23">
        <f>IF(Valuation!$B$51="exit_multiple",Valuation!$B$53*E32,E31*(1+Valuation!$B$52)/($B$12-Valuation!$B$52))</f>
        <v/>
      </c>
    </row>
    <row r="44">
      <c r="A44" t="inlineStr">
        <is>
          <t>PV of terminal value at target date</t>
        </is>
      </c>
      <c r="B44" s="23">
        <f>B43/(1+$B$12)^($B$16-$B$13)</f>
        <v/>
      </c>
    </row>
    <row r="45">
      <c r="A45" t="inlineStr">
        <is>
          <t>DCF enterprise value at target date</t>
        </is>
      </c>
      <c r="B45" s="23">
        <f>B42+B44</f>
        <v/>
      </c>
    </row>
    <row r="46">
      <c r="A46" t="inlineStr">
        <is>
          <t>Terminal value share of DCF</t>
        </is>
      </c>
      <c r="B46" s="18">
        <f>B44/B45</f>
        <v/>
      </c>
    </row>
    <row r="47">
      <c r="A47" t="inlineStr">
        <is>
          <t>Free cash flow earned, balance date to target date</t>
        </is>
      </c>
      <c r="B47" s="23">
        <f>SUMPRODUCT($C$37:$E$37,$C$31:$E$31)</f>
        <v/>
      </c>
    </row>
    <row r="48">
      <c r="A48" t="inlineStr">
        <is>
          <t>Shareholder returns + other uses paid</t>
        </is>
      </c>
      <c r="B48" s="23">
        <f>SUMPRODUCT($C$37:$E$37,$C$34:$E$34)</f>
        <v/>
      </c>
    </row>
    <row r="49">
      <c r="A49" t="inlineStr">
        <is>
          <t>Interest drag on net debt</t>
        </is>
      </c>
      <c r="B49" s="23">
        <f>Valuation!$B$57*(1-$C$25)*MAX(Valuation!$B$55,0)*MAX($B$13-$B$14,0)</f>
        <v/>
      </c>
    </row>
    <row r="50">
      <c r="A50" t="inlineStr">
        <is>
          <t>Net debt at target date</t>
        </is>
      </c>
      <c r="B50" s="23">
        <f>IF(Valuation!$B$58="",Valuation!$B$55-B47+B49+B48,Valuation!$B$58)</f>
        <v/>
      </c>
    </row>
    <row r="51">
      <c r="A51" t="inlineStr">
        <is>
          <t>Minority interests</t>
        </is>
      </c>
      <c r="B51" s="23">
        <f>Valuation!$B$56</f>
        <v/>
      </c>
    </row>
    <row r="52">
      <c r="A52" t="inlineStr">
        <is>
          <t>Adjustments (probability-weighted)</t>
        </is>
      </c>
      <c r="B52" s="23">
        <f>(Valuation!B75)*Valuation!C75+0</f>
        <v/>
      </c>
    </row>
    <row r="53">
      <c r="A53" t="inlineStr">
        <is>
          <t>Diluted shares at target date (M)</t>
        </is>
      </c>
      <c r="B53" s="26">
        <f>IF(Valuation!$B$62="",Valuation!$B$59*(1+Valuation!$B$61)^MAX($B$13-$B$15,0),Valuation!$B$62)</f>
        <v/>
      </c>
    </row>
    <row r="54">
      <c r="A54" t="inlineStr">
        <is>
          <t>After-tax interest on target-date net debt</t>
        </is>
      </c>
      <c r="B54" s="23">
        <f>Valuation!$B$57*(1-$C$25)*MAX(B50,0)</f>
        <v/>
      </c>
    </row>
    <row r="55">
      <c r="A55" t="inlineStr">
        <is>
          <t>Check: WACC vs terminal growth</t>
        </is>
      </c>
      <c r="B55">
        <f>IF(AND(Valuation!$B$51&lt;&gt;"exit_multiple",$B$12&lt;=Valuation!$B$52+0.01),"WACC must exceed terminal growth by 1 point","ok")</f>
        <v/>
      </c>
    </row>
    <row r="56">
      <c r="A56" t="inlineStr">
        <is>
          <t>Check: projection length</t>
        </is>
      </c>
      <c r="B56">
        <f>IF(OR($B$13&gt;=$B$16-1,$B$13+1&gt;$B$16),"add projected years past the target date","ok")</f>
        <v/>
      </c>
    </row>
    <row r="58">
      <c r="A58" s="3" t="inlineStr">
        <is>
          <t>Metric at target date</t>
        </is>
      </c>
      <c r="B58" s="3" t="inlineStr">
        <is>
          <t>Next 12 months</t>
        </is>
      </c>
      <c r="C58" s="3" t="inlineStr">
        <is>
          <t>Last 12 months</t>
        </is>
      </c>
    </row>
    <row r="59">
      <c r="A59" t="inlineStr">
        <is>
          <t>Revenue</t>
        </is>
      </c>
      <c r="B59" s="23">
        <f>SUMPRODUCT($C$38:$E$38,$C$22:$E$22)</f>
        <v/>
      </c>
      <c r="C59" s="23">
        <f>SUMPRODUCT($C$39:$E$39,$C$22:$E$22)+$B$39*$B$22</f>
        <v/>
      </c>
    </row>
    <row r="60">
      <c r="A60" t="inlineStr">
        <is>
          <t>EBIT</t>
        </is>
      </c>
      <c r="B60" s="23">
        <f>SUMPRODUCT($C$38:$E$38,$C$24:$E$24)</f>
        <v/>
      </c>
      <c r="C60" s="23">
        <f>SUMPRODUCT($C$39:$E$39,$C$24:$E$24)</f>
        <v/>
      </c>
    </row>
    <row r="61">
      <c r="A61" t="inlineStr">
        <is>
          <t>EBITDA</t>
        </is>
      </c>
      <c r="B61" s="23">
        <f>SUMPRODUCT($C$38:$E$38,$C$32:$E$32)</f>
        <v/>
      </c>
      <c r="C61" s="23">
        <f>SUMPRODUCT($C$39:$E$39,$C$32:$E$32)</f>
        <v/>
      </c>
    </row>
    <row r="62">
      <c r="A62" t="inlineStr">
        <is>
          <t>Adj. EBITDA</t>
        </is>
      </c>
      <c r="B62" s="23">
        <f>SUMPRODUCT($C$38:$E$38,$C$33:$E$33)</f>
        <v/>
      </c>
      <c r="C62" s="23">
        <f>SUMPRODUCT($C$39:$E$39,$C$33:$E$33)</f>
        <v/>
      </c>
    </row>
    <row r="63">
      <c r="A63" t="inlineStr">
        <is>
          <t>NOPAT</t>
        </is>
      </c>
      <c r="B63" s="23">
        <f>SUMPRODUCT($C$38:$E$38,$C$26:$E$26)</f>
        <v/>
      </c>
      <c r="C63" s="23">
        <f>SUMPRODUCT($C$39:$E$39,$C$26:$E$26)</f>
        <v/>
      </c>
    </row>
    <row r="64">
      <c r="A64" t="inlineStr">
        <is>
          <t>Free cash flow to firm</t>
        </is>
      </c>
      <c r="B64" s="23">
        <f>SUMPRODUCT($C$38:$E$38,$C$31:$E$31)</f>
        <v/>
      </c>
      <c r="C64" s="23">
        <f>SUMPRODUCT($C$39:$E$39,$C$31:$E$31)</f>
        <v/>
      </c>
    </row>
    <row r="66">
      <c r="A66" s="3" t="inlineStr">
        <is>
          <t>Valuation method</t>
        </is>
      </c>
      <c r="B66" s="3" t="inlineStr">
        <is>
          <t>Metric</t>
        </is>
      </c>
      <c r="C66" s="3" t="inlineStr">
        <is>
          <t>Multiple used</t>
        </is>
      </c>
      <c r="D66" s="3" t="inlineStr">
        <is>
          <t>Basis</t>
        </is>
      </c>
      <c r="E66" s="3" t="inlineStr">
        <is>
          <t>Metric at target date</t>
        </is>
      </c>
      <c r="F66" s="3" t="inlineStr">
        <is>
          <t>Value per share</t>
        </is>
      </c>
      <c r="G66" s="3" t="inlineStr">
        <is>
          <t>Weight</t>
        </is>
      </c>
      <c r="H66" s="3" t="inlineStr">
        <is>
          <t>Metric key</t>
        </is>
      </c>
      <c r="I66" s="3" t="inlineStr">
        <is>
          <t>Metric shown (stated per-share figure when used)</t>
        </is>
      </c>
    </row>
    <row r="67">
      <c r="A67" t="inlineStr">
        <is>
          <t>DCF (cash flow to target date + terminal)</t>
        </is>
      </c>
      <c r="F67" s="9">
        <f>((B45)-$B$50-$B$51+$B$52)/$B$53</f>
        <v/>
      </c>
      <c r="G67" s="18">
        <f>Valuation!$B$63</f>
        <v/>
      </c>
    </row>
    <row r="68">
      <c r="A68">
        <f>"Multiple: "&amp;Valuation!A69&amp;" ("&amp;Valuation!D69&amp;")"</f>
        <v/>
      </c>
      <c r="B68">
        <f>Valuation!A69</f>
        <v/>
      </c>
      <c r="C68" s="9">
        <f>IF(B68="FCF yield",(Valuation!B69)*(1-$B$8),(Valuation!B69)+IF(B68="EV/sales",0.1,1)*$B$6)</f>
        <v/>
      </c>
      <c r="D68">
        <f>Valuation!D69</f>
        <v/>
      </c>
      <c r="E68" s="23">
        <f>IF(D68="ltm",CHOOSE(H68,$C$59,$C$60,$C$61,$C$62,$C$63,$C$64),CHOOSE(H68,$B$59,$B$60,$B$61,$B$62,$B$63,$B$64))</f>
        <v/>
      </c>
      <c r="F68" s="9">
        <f>IF(OR(B68="EV/EBITDA",B68="EV/sales",B68="EV/EBIT"),((C68*E68)-$B$50-$B$51+$B$52)/$B$53,IF(B68="P/E",IF(Valuation!F69&lt;&gt;"",C68*(Valuation!F69)*(1+$B$9),C68*(E68-$B$54)/$B$53),IF(Valuation!G69&lt;&gt;"",(Valuation!G69)*(1+$B$9)/C68,(E68-IF(Valuation!H69,$B$54,0))/C68/$B$53))+$B$52/$B$53)</f>
        <v/>
      </c>
      <c r="G68" s="18">
        <f>Valuation!C69</f>
        <v/>
      </c>
      <c r="H68">
        <f>IF(B68="EV/sales",1,IF(B68="EV/EBIT",2,IF(B68="EV/EBITDA",IF(Valuation!E69="adjusted",4,3),IF(B68="P/E",5,6))))</f>
        <v/>
      </c>
      <c r="I68" s="47">
        <f>IF(AND(B68="P/E",Valuation!F69&lt;&gt;""),(Valuation!F69)*(1+$B$9),IF(AND(B68="FCF yield",Valuation!G69&lt;&gt;""),(Valuation!G69)*(1+$B$9),E68))</f>
        <v/>
      </c>
    </row>
    <row r="69">
      <c r="A69" s="19" t="inlineStr">
        <is>
          <t>Value per share at target date (weighted methods)</t>
        </is>
      </c>
      <c r="F69" s="6">
        <f>SUMPRODUCT(F67:F68,G67:G68)/SUM(G67:G68)</f>
        <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I255"/>
  <sheetViews>
    <sheetView showGridLines="0" workbookViewId="0">
      <pane xSplit="1" ySplit="18" topLeftCell="B19" activePane="bottomRight" state="frozen"/>
      <selection pane="topRight"/>
      <selection pane="bottomLeft"/>
      <selection pane="bottomRight" activeCell="A1" sqref="A1"/>
    </sheetView>
  </sheetViews>
  <sheetFormatPr baseColWidth="8" defaultRowHeight="15"/>
  <cols>
    <col width="46" customWidth="1" min="1" max="1"/>
    <col width="13" customWidth="1" min="2" max="2"/>
    <col width="13" customWidth="1" min="3" max="3"/>
    <col width="13" customWidth="1" min="4" max="4"/>
    <col width="13" customWidth="1" min="5" max="5"/>
  </cols>
  <sheetData>
    <row r="1">
      <c r="A1" s="1" t="inlineStr">
        <is>
          <t>AMAT engine calculation: bull scenario</t>
        </is>
      </c>
    </row>
    <row r="2">
      <c r="A2" s="2" t="inlineStr">
        <is>
          <t>Machinery behind the Valuation and Distribution tabs; drivers come from Model, assumptions from Valuation.</t>
        </is>
      </c>
    </row>
    <row r="4">
      <c r="A4" t="inlineStr">
        <is>
          <t>Scenario Growth Δ</t>
        </is>
      </c>
      <c r="B4" s="12">
        <f>N(Valuation!C83)</f>
        <v/>
      </c>
    </row>
    <row r="5">
      <c r="A5" t="inlineStr">
        <is>
          <t>Scenario Margin Δ</t>
        </is>
      </c>
      <c r="B5" s="12">
        <f>N(Valuation!D83)</f>
        <v/>
      </c>
    </row>
    <row r="6">
      <c r="A6" t="inlineStr">
        <is>
          <t>Scenario Multiple Δ (turns)</t>
        </is>
      </c>
      <c r="B6" s="48">
        <f>N(Valuation!E83)</f>
        <v/>
      </c>
    </row>
    <row r="7">
      <c r="A7" t="inlineStr">
        <is>
          <t>Scenario WACC Δ</t>
        </is>
      </c>
      <c r="B7" s="12">
        <f>N(Valuation!F83)</f>
        <v/>
      </c>
    </row>
    <row r="8">
      <c r="A8" t="inlineStr">
        <is>
          <t>Scenario Multiple %Δ</t>
        </is>
      </c>
      <c r="B8" s="12">
        <f>N(Valuation!G83)</f>
        <v/>
      </c>
    </row>
    <row r="9">
      <c r="A9" t="inlineStr">
        <is>
          <t>Scenario Stated EPS/FCF %Δ</t>
        </is>
      </c>
      <c r="B9" s="12">
        <f>N(Valuation!H83)</f>
        <v/>
      </c>
    </row>
    <row r="10">
      <c r="A10" t="inlineStr">
        <is>
          <t>Scenario Custom %Δ</t>
        </is>
      </c>
      <c r="B10" s="12">
        <f>N(Valuation!I83)</f>
        <v/>
      </c>
    </row>
    <row r="12">
      <c r="A12" t="inlineStr">
        <is>
          <t>WACC</t>
        </is>
      </c>
      <c r="B12" s="18">
        <f>Valuation!$B$50+B7</f>
        <v/>
      </c>
    </row>
    <row r="13">
      <c r="A13" t="inlineStr">
        <is>
          <t>Years from last FY end to target date</t>
        </is>
      </c>
      <c r="B13" s="46">
        <f>(Valuation!$B$44-Valuation!$B$48)/365.25</f>
        <v/>
      </c>
    </row>
    <row r="14">
      <c r="A14" t="inlineStr">
        <is>
          <t>Years from last FY end to balance date</t>
        </is>
      </c>
      <c r="B14" s="46">
        <f>(Valuation!$B$54-Valuation!$B$48)/365.25</f>
        <v/>
      </c>
    </row>
    <row r="15">
      <c r="A15" t="inlineStr">
        <is>
          <t>Years from last FY end to share count date</t>
        </is>
      </c>
      <c r="B15" s="46">
        <f>(Valuation!$B$60-Valuation!$B$48)/365.25</f>
        <v/>
      </c>
    </row>
    <row r="16">
      <c r="A16" t="inlineStr">
        <is>
          <t>Projected years</t>
        </is>
      </c>
      <c r="B16" t="n">
        <v>3</v>
      </c>
    </row>
    <row r="18">
      <c r="A18" s="3" t="inlineStr">
        <is>
          <t>Projection</t>
        </is>
      </c>
      <c r="B18" s="3" t="inlineStr">
        <is>
          <t>Base</t>
        </is>
      </c>
      <c r="C18" s="3">
        <f>Model!E5</f>
        <v/>
      </c>
      <c r="D18" s="3">
        <f>Model!F5</f>
        <v/>
      </c>
      <c r="E18" s="3">
        <f>Model!G5</f>
        <v/>
      </c>
    </row>
    <row r="19">
      <c r="A19" t="inlineStr">
        <is>
          <t>Year index</t>
        </is>
      </c>
      <c r="B19" t="n">
        <v>0</v>
      </c>
      <c r="C19" t="n">
        <v>1</v>
      </c>
      <c r="D19" t="n">
        <v>2</v>
      </c>
      <c r="E19" t="n">
        <v>3</v>
      </c>
    </row>
    <row r="20">
      <c r="A20" t="inlineStr">
        <is>
          <t>Period end</t>
        </is>
      </c>
      <c r="C20" s="20">
        <f>Valuation!$B$48+ROUND(365.25*C19,0)</f>
        <v/>
      </c>
      <c r="D20" s="20">
        <f>Valuation!$B$48+ROUND(365.25*D19,0)</f>
        <v/>
      </c>
      <c r="E20" s="20">
        <f>Valuation!$B$48+ROUND(365.25*E19,0)</f>
        <v/>
      </c>
    </row>
    <row r="21">
      <c r="A21" t="inlineStr">
        <is>
          <t>Revenue growth</t>
        </is>
      </c>
      <c r="C21" s="18">
        <f>Model!E48+$B$4+$B$250</f>
        <v/>
      </c>
      <c r="D21" s="18">
        <f>Model!F48+$B$4+$B$252</f>
        <v/>
      </c>
      <c r="E21" s="18">
        <f>Model!G48+$B$4+$B$254</f>
        <v/>
      </c>
    </row>
    <row r="22">
      <c r="A22" t="inlineStr">
        <is>
          <t>Revenue</t>
        </is>
      </c>
      <c r="B22" s="23">
        <f>Valuation!$B$49</f>
        <v/>
      </c>
      <c r="C22" s="23">
        <f>B22*(1+C21)</f>
        <v/>
      </c>
      <c r="D22" s="23">
        <f>C22*(1+D21)</f>
        <v/>
      </c>
      <c r="E22" s="23">
        <f>D22*(1+E21)</f>
        <v/>
      </c>
    </row>
    <row r="23">
      <c r="A23" t="inlineStr">
        <is>
          <t>EBIT margin</t>
        </is>
      </c>
      <c r="C23" s="18">
        <f>Model!E49+$B$5+$B$251</f>
        <v/>
      </c>
      <c r="D23" s="18">
        <f>Model!F49+$B$5+$B$253</f>
        <v/>
      </c>
      <c r="E23" s="18">
        <f>Model!G49+$B$5+$B$255</f>
        <v/>
      </c>
    </row>
    <row r="24">
      <c r="A24" t="inlineStr">
        <is>
          <t>EBIT</t>
        </is>
      </c>
      <c r="C24" s="23">
        <f>C22*C23</f>
        <v/>
      </c>
      <c r="D24" s="23">
        <f>D22*D23</f>
        <v/>
      </c>
      <c r="E24" s="23">
        <f>E22*E23</f>
        <v/>
      </c>
    </row>
    <row r="25">
      <c r="A25" t="inlineStr">
        <is>
          <t>Tax rate</t>
        </is>
      </c>
      <c r="C25" s="18">
        <f>Model!E50</f>
        <v/>
      </c>
      <c r="D25" s="18">
        <f>Model!F50</f>
        <v/>
      </c>
      <c r="E25" s="18">
        <f>Model!G50</f>
        <v/>
      </c>
    </row>
    <row r="26">
      <c r="A26" t="inlineStr">
        <is>
          <t>NOPAT</t>
        </is>
      </c>
      <c r="C26" s="23">
        <f>C24*(1-C25)</f>
        <v/>
      </c>
      <c r="D26" s="23">
        <f>D24*(1-D25)</f>
        <v/>
      </c>
      <c r="E26" s="23">
        <f>E24*(1-E25)</f>
        <v/>
      </c>
    </row>
    <row r="27">
      <c r="A27" t="inlineStr">
        <is>
          <t>D&amp;A</t>
        </is>
      </c>
      <c r="C27" s="23">
        <f>C22*(Model!E51)</f>
        <v/>
      </c>
      <c r="D27" s="23">
        <f>D22*(Model!F51)</f>
        <v/>
      </c>
      <c r="E27" s="23">
        <f>E22*(Model!G51)</f>
        <v/>
      </c>
    </row>
    <row r="28">
      <c r="A28" t="inlineStr">
        <is>
          <t>Capex</t>
        </is>
      </c>
      <c r="C28" s="23">
        <f>C22*(Model!E52)</f>
        <v/>
      </c>
      <c r="D28" s="23">
        <f>D22*(Model!F52)</f>
        <v/>
      </c>
      <c r="E28" s="23">
        <f>E22*(Model!G52)</f>
        <v/>
      </c>
    </row>
    <row r="29">
      <c r="A29" t="inlineStr">
        <is>
          <t>Working capital increase</t>
        </is>
      </c>
      <c r="C29" s="23">
        <f>(Model!E53)*(C22-B22)</f>
        <v/>
      </c>
      <c r="D29" s="23">
        <f>(Model!F53)*(D22-C22)</f>
        <v/>
      </c>
      <c r="E29" s="23">
        <f>(Model!G53)*(E22-D22)</f>
        <v/>
      </c>
    </row>
    <row r="30">
      <c r="A30" t="inlineStr">
        <is>
          <t>Stock comp</t>
        </is>
      </c>
      <c r="C30" s="23">
        <f>C22*(Model!E54)</f>
        <v/>
      </c>
      <c r="D30" s="23">
        <f>D22*(Model!F54)</f>
        <v/>
      </c>
      <c r="E30" s="23">
        <f>E22*(Model!G54)</f>
        <v/>
      </c>
    </row>
    <row r="31">
      <c r="A31" t="inlineStr">
        <is>
          <t>Free cash flow to firm</t>
        </is>
      </c>
      <c r="C31" s="23">
        <f>C26+C27-C28-C29-IF(AND(Valuation!$B$46="adjusted",Valuation!$B$47="cost"),C30*(1-C25),0)</f>
        <v/>
      </c>
      <c r="D31" s="23">
        <f>D26+D27-D28-D29-IF(AND(Valuation!$B$46="adjusted",Valuation!$B$47="cost"),D30*(1-D25),0)</f>
        <v/>
      </c>
      <c r="E31" s="23">
        <f>E26+E27-E28-E29-IF(AND(Valuation!$B$46="adjusted",Valuation!$B$47="cost"),E30*(1-E25),0)</f>
        <v/>
      </c>
    </row>
    <row r="32">
      <c r="A32" t="inlineStr">
        <is>
          <t>EBITDA</t>
        </is>
      </c>
      <c r="C32" s="23">
        <f>C24+C27</f>
        <v/>
      </c>
      <c r="D32" s="23">
        <f>D24+D27</f>
        <v/>
      </c>
      <c r="E32" s="23">
        <f>E24+E27</f>
        <v/>
      </c>
    </row>
    <row r="33">
      <c r="A33" t="inlineStr">
        <is>
          <t>Adj. EBITDA</t>
        </is>
      </c>
      <c r="C33" s="23">
        <f>C24+C27+C22*(Model!E58)</f>
        <v/>
      </c>
      <c r="D33" s="23">
        <f>D24+D27+D22*(Model!F58)</f>
        <v/>
      </c>
      <c r="E33" s="23">
        <f>E24+E27+E22*(Model!G58)</f>
        <v/>
      </c>
    </row>
    <row r="34">
      <c r="A34" t="inlineStr">
        <is>
          <t>Shareholder returns + other uses</t>
        </is>
      </c>
      <c r="C34" s="23">
        <f>C22*Model!E56+Model!E55+Model!E57</f>
        <v/>
      </c>
      <c r="D34" s="23">
        <f>D22*Model!F56+Model!F55+Model!F57</f>
        <v/>
      </c>
      <c r="E34" s="23">
        <f>E22*Model!G56+Model!G55+Model!G57</f>
        <v/>
      </c>
    </row>
    <row r="35">
      <c r="A35" t="inlineStr">
        <is>
          <t>Share of year after target date</t>
        </is>
      </c>
      <c r="C35" s="46">
        <f>IF(C19&lt;=$B$13,0,C19-MAX(C19-1,$B$13))</f>
        <v/>
      </c>
      <c r="D35" s="46">
        <f>IF(D19&lt;=$B$13,0,D19-MAX(D19-1,$B$13))</f>
        <v/>
      </c>
      <c r="E35" s="46">
        <f>IF(E19&lt;=$B$13,0,E19-MAX(E19-1,$B$13))</f>
        <v/>
      </c>
    </row>
    <row r="36">
      <c r="A36" t="inlineStr">
        <is>
          <t>PV at target date of FCFF</t>
        </is>
      </c>
      <c r="C36" s="23">
        <f>IF(C35=0,0,C31*C35/(1+$B$12)^(C19-$B$13))</f>
        <v/>
      </c>
      <c r="D36" s="23">
        <f>IF(D35=0,0,D31*D35/(1+$B$12)^(D19-$B$13))</f>
        <v/>
      </c>
      <c r="E36" s="23">
        <f>IF(E35=0,0,E31*E35/(1+$B$12)^(E19-$B$13))</f>
        <v/>
      </c>
    </row>
    <row r="37">
      <c r="A37" t="inlineStr">
        <is>
          <t>Overlap: balance date to target date</t>
        </is>
      </c>
      <c r="C37" s="46">
        <f>MAX(0,MIN(C19,$B$13)-MAX(C19-1,$B$14))</f>
        <v/>
      </c>
      <c r="D37" s="46">
        <f>MAX(0,MIN(D19,$B$13)-MAX(D19-1,$B$14))</f>
        <v/>
      </c>
      <c r="E37" s="46">
        <f>MAX(0,MIN(E19,$B$13)-MAX(E19-1,$B$14))</f>
        <v/>
      </c>
    </row>
    <row r="38">
      <c r="A38" t="inlineStr">
        <is>
          <t>NTM weight at target date</t>
        </is>
      </c>
      <c r="C38" s="46">
        <f>MAX(0,MIN(C19,$B$13+1)-MAX(C19-1,$B$13))</f>
        <v/>
      </c>
      <c r="D38" s="46">
        <f>MAX(0,MIN(D19,$B$13+1)-MAX(D19-1,$B$13))</f>
        <v/>
      </c>
      <c r="E38" s="46">
        <f>MAX(0,MIN(E19,$B$13+1)-MAX(E19-1,$B$13))</f>
        <v/>
      </c>
    </row>
    <row r="39">
      <c r="A39" t="inlineStr">
        <is>
          <t>LTM weight at target date</t>
        </is>
      </c>
      <c r="B39" s="46">
        <f>MAX(0,MIN(0,$B$13)-MAX(-1,$B$13-1))</f>
        <v/>
      </c>
      <c r="C39" s="46">
        <f>MAX(0,MIN(C19,$B$13)-MAX(C19-1,$B$13-1))</f>
        <v/>
      </c>
      <c r="D39" s="46">
        <f>MAX(0,MIN(D19,$B$13)-MAX(D19-1,$B$13-1))</f>
        <v/>
      </c>
      <c r="E39" s="46">
        <f>MAX(0,MIN(E19,$B$13)-MAX(E19-1,$B$13-1))</f>
        <v/>
      </c>
    </row>
    <row r="41">
      <c r="A41" s="19" t="inlineStr">
        <is>
          <t>Value at the target date</t>
        </is>
      </c>
    </row>
    <row r="42">
      <c r="A42" t="inlineStr">
        <is>
          <t>PV of free cash flow after the target date</t>
        </is>
      </c>
      <c r="B42" s="23">
        <f>SUM($C$36:$E$36)</f>
        <v/>
      </c>
    </row>
    <row r="43">
      <c r="A43" t="inlineStr">
        <is>
          <t>Terminal value at final year</t>
        </is>
      </c>
      <c r="B43" s="23">
        <f>IF(Valuation!$B$51="exit_multiple",Valuation!$B$53*E32,E31*(1+Valuation!$B$52)/($B$12-Valuation!$B$52))</f>
        <v/>
      </c>
    </row>
    <row r="44">
      <c r="A44" t="inlineStr">
        <is>
          <t>PV of terminal value at target date</t>
        </is>
      </c>
      <c r="B44" s="23">
        <f>B43/(1+$B$12)^($B$16-$B$13)</f>
        <v/>
      </c>
    </row>
    <row r="45">
      <c r="A45" t="inlineStr">
        <is>
          <t>DCF enterprise value at target date</t>
        </is>
      </c>
      <c r="B45" s="23">
        <f>B42+B44</f>
        <v/>
      </c>
    </row>
    <row r="46">
      <c r="A46" t="inlineStr">
        <is>
          <t>Terminal value share of DCF</t>
        </is>
      </c>
      <c r="B46" s="18">
        <f>B44/B45</f>
        <v/>
      </c>
    </row>
    <row r="47">
      <c r="A47" t="inlineStr">
        <is>
          <t>Free cash flow earned, balance date to target date</t>
        </is>
      </c>
      <c r="B47" s="23">
        <f>SUMPRODUCT($C$37:$E$37,$C$31:$E$31)</f>
        <v/>
      </c>
    </row>
    <row r="48">
      <c r="A48" t="inlineStr">
        <is>
          <t>Shareholder returns + other uses paid</t>
        </is>
      </c>
      <c r="B48" s="23">
        <f>SUMPRODUCT($C$37:$E$37,$C$34:$E$34)</f>
        <v/>
      </c>
    </row>
    <row r="49">
      <c r="A49" t="inlineStr">
        <is>
          <t>Interest drag on net debt</t>
        </is>
      </c>
      <c r="B49" s="23">
        <f>Valuation!$B$57*(1-$C$25)*MAX(Valuation!$B$55,0)*MAX($B$13-$B$14,0)</f>
        <v/>
      </c>
    </row>
    <row r="50">
      <c r="A50" t="inlineStr">
        <is>
          <t>Net debt at target date</t>
        </is>
      </c>
      <c r="B50" s="23">
        <f>IF(Valuation!$B$58="",Valuation!$B$55-B47+B49+B48,Valuation!$B$58)</f>
        <v/>
      </c>
    </row>
    <row r="51">
      <c r="A51" t="inlineStr">
        <is>
          <t>Minority interests</t>
        </is>
      </c>
      <c r="B51" s="23">
        <f>Valuation!$B$56</f>
        <v/>
      </c>
    </row>
    <row r="52">
      <c r="A52" t="inlineStr">
        <is>
          <t>Adjustments (probability-weighted)</t>
        </is>
      </c>
      <c r="B52" s="23">
        <f>(Valuation!B75)*Valuation!C75+0</f>
        <v/>
      </c>
    </row>
    <row r="53">
      <c r="A53" t="inlineStr">
        <is>
          <t>Diluted shares at target date (M)</t>
        </is>
      </c>
      <c r="B53" s="26">
        <f>IF(Valuation!$B$62="",Valuation!$B$59*(1+Valuation!$B$61)^MAX($B$13-$B$15,0),Valuation!$B$62)</f>
        <v/>
      </c>
    </row>
    <row r="54">
      <c r="A54" t="inlineStr">
        <is>
          <t>After-tax interest on target-date net debt</t>
        </is>
      </c>
      <c r="B54" s="23">
        <f>Valuation!$B$57*(1-$C$25)*MAX(B50,0)</f>
        <v/>
      </c>
    </row>
    <row r="55">
      <c r="A55" t="inlineStr">
        <is>
          <t>Check: WACC vs terminal growth</t>
        </is>
      </c>
      <c r="B55">
        <f>IF(AND(Valuation!$B$51&lt;&gt;"exit_multiple",$B$12&lt;=Valuation!$B$52+0.01),"WACC must exceed terminal growth by 1 point","ok")</f>
        <v/>
      </c>
    </row>
    <row r="56">
      <c r="A56" t="inlineStr">
        <is>
          <t>Check: projection length</t>
        </is>
      </c>
      <c r="B56">
        <f>IF(OR($B$13&gt;=$B$16-1,$B$13+1&gt;$B$16),"add projected years past the target date","ok")</f>
        <v/>
      </c>
    </row>
    <row r="58">
      <c r="A58" s="3" t="inlineStr">
        <is>
          <t>Metric at target date</t>
        </is>
      </c>
      <c r="B58" s="3" t="inlineStr">
        <is>
          <t>Next 12 months</t>
        </is>
      </c>
      <c r="C58" s="3" t="inlineStr">
        <is>
          <t>Last 12 months</t>
        </is>
      </c>
    </row>
    <row r="59">
      <c r="A59" t="inlineStr">
        <is>
          <t>Revenue</t>
        </is>
      </c>
      <c r="B59" s="23">
        <f>SUMPRODUCT($C$38:$E$38,$C$22:$E$22)</f>
        <v/>
      </c>
      <c r="C59" s="23">
        <f>SUMPRODUCT($C$39:$E$39,$C$22:$E$22)+$B$39*$B$22</f>
        <v/>
      </c>
    </row>
    <row r="60">
      <c r="A60" t="inlineStr">
        <is>
          <t>EBIT</t>
        </is>
      </c>
      <c r="B60" s="23">
        <f>SUMPRODUCT($C$38:$E$38,$C$24:$E$24)</f>
        <v/>
      </c>
      <c r="C60" s="23">
        <f>SUMPRODUCT($C$39:$E$39,$C$24:$E$24)</f>
        <v/>
      </c>
    </row>
    <row r="61">
      <c r="A61" t="inlineStr">
        <is>
          <t>EBITDA</t>
        </is>
      </c>
      <c r="B61" s="23">
        <f>SUMPRODUCT($C$38:$E$38,$C$32:$E$32)</f>
        <v/>
      </c>
      <c r="C61" s="23">
        <f>SUMPRODUCT($C$39:$E$39,$C$32:$E$32)</f>
        <v/>
      </c>
    </row>
    <row r="62">
      <c r="A62" t="inlineStr">
        <is>
          <t>Adj. EBITDA</t>
        </is>
      </c>
      <c r="B62" s="23">
        <f>SUMPRODUCT($C$38:$E$38,$C$33:$E$33)</f>
        <v/>
      </c>
      <c r="C62" s="23">
        <f>SUMPRODUCT($C$39:$E$39,$C$33:$E$33)</f>
        <v/>
      </c>
    </row>
    <row r="63">
      <c r="A63" t="inlineStr">
        <is>
          <t>NOPAT</t>
        </is>
      </c>
      <c r="B63" s="23">
        <f>SUMPRODUCT($C$38:$E$38,$C$26:$E$26)</f>
        <v/>
      </c>
      <c r="C63" s="23">
        <f>SUMPRODUCT($C$39:$E$39,$C$26:$E$26)</f>
        <v/>
      </c>
    </row>
    <row r="64">
      <c r="A64" t="inlineStr">
        <is>
          <t>Free cash flow to firm</t>
        </is>
      </c>
      <c r="B64" s="23">
        <f>SUMPRODUCT($C$38:$E$38,$C$31:$E$31)</f>
        <v/>
      </c>
      <c r="C64" s="23">
        <f>SUMPRODUCT($C$39:$E$39,$C$31:$E$31)</f>
        <v/>
      </c>
    </row>
    <row r="66">
      <c r="A66" s="3" t="inlineStr">
        <is>
          <t>Valuation method</t>
        </is>
      </c>
      <c r="B66" s="3" t="inlineStr">
        <is>
          <t>Metric</t>
        </is>
      </c>
      <c r="C66" s="3" t="inlineStr">
        <is>
          <t>Multiple used</t>
        </is>
      </c>
      <c r="D66" s="3" t="inlineStr">
        <is>
          <t>Basis</t>
        </is>
      </c>
      <c r="E66" s="3" t="inlineStr">
        <is>
          <t>Metric at target date</t>
        </is>
      </c>
      <c r="F66" s="3" t="inlineStr">
        <is>
          <t>Value per share</t>
        </is>
      </c>
      <c r="G66" s="3" t="inlineStr">
        <is>
          <t>Weight</t>
        </is>
      </c>
      <c r="H66" s="3" t="inlineStr">
        <is>
          <t>Metric key</t>
        </is>
      </c>
      <c r="I66" s="3" t="inlineStr">
        <is>
          <t>Metric shown (stated per-share figure when used)</t>
        </is>
      </c>
    </row>
    <row r="67">
      <c r="A67" t="inlineStr">
        <is>
          <t>DCF (cash flow to target date + terminal)</t>
        </is>
      </c>
      <c r="F67" s="9">
        <f>((B45)-$B$50-$B$51+$B$52)/$B$53</f>
        <v/>
      </c>
      <c r="G67" s="18">
        <f>Valuation!$B$63</f>
        <v/>
      </c>
    </row>
    <row r="68">
      <c r="A68">
        <f>"Multiple: "&amp;Valuation!A69&amp;" ("&amp;Valuation!D69&amp;")"</f>
        <v/>
      </c>
      <c r="B68">
        <f>Valuation!A69</f>
        <v/>
      </c>
      <c r="C68" s="9">
        <f>IF(B68="FCF yield",(Valuation!B69)*(1-$B$8),(Valuation!B69)+IF(B68="EV/sales",0.1,1)*$B$6)</f>
        <v/>
      </c>
      <c r="D68">
        <f>Valuation!D69</f>
        <v/>
      </c>
      <c r="E68" s="23">
        <f>IF(D68="ltm",CHOOSE(H68,$C$59,$C$60,$C$61,$C$62,$C$63,$C$64),CHOOSE(H68,$B$59,$B$60,$B$61,$B$62,$B$63,$B$64))</f>
        <v/>
      </c>
      <c r="F68" s="9">
        <f>IF(OR(B68="EV/EBITDA",B68="EV/sales",B68="EV/EBIT"),((C68*E68)-$B$50-$B$51+$B$52)/$B$53,IF(B68="P/E",IF(Valuation!F69&lt;&gt;"",C68*(Valuation!F69)*(1+$B$9),C68*(E68-$B$54)/$B$53),IF(Valuation!G69&lt;&gt;"",(Valuation!G69)*(1+$B$9)/C68,(E68-IF(Valuation!H69,$B$54,0))/C68/$B$53))+$B$52/$B$53)</f>
        <v/>
      </c>
      <c r="G68" s="18">
        <f>Valuation!C69</f>
        <v/>
      </c>
      <c r="H68">
        <f>IF(B68="EV/sales",1,IF(B68="EV/EBIT",2,IF(B68="EV/EBITDA",IF(Valuation!E69="adjusted",4,3),IF(B68="P/E",5,6))))</f>
        <v/>
      </c>
      <c r="I68" s="47">
        <f>IF(AND(B68="P/E",Valuation!F69&lt;&gt;""),(Valuation!F69)*(1+$B$9),IF(AND(B68="FCF yield",Valuation!G69&lt;&gt;""),(Valuation!G69)*(1+$B$9),E68))</f>
        <v/>
      </c>
    </row>
    <row r="69">
      <c r="A69" s="19" t="inlineStr">
        <is>
          <t>Value per share at target date (weighted methods)</t>
        </is>
      </c>
      <c r="F69" s="6">
        <f>SUMPRODUCT(F67:F68,G67:G68)/SUM(G67:G68)</f>
        <v/>
      </c>
    </row>
    <row r="249">
      <c r="A249" s="19" t="inlineStr">
        <is>
          <t>Driver scenario shifts: line-item changes model_drivers.py resolves from this scenario's driver deltas (added to the Model tab inputs)</t>
        </is>
      </c>
    </row>
    <row r="250">
      <c r="A250" t="inlineStr">
        <is>
          <t>Revenue growth, year 1</t>
        </is>
      </c>
      <c r="B250" s="49" t="n">
        <v>0.1334922086323334</v>
      </c>
    </row>
    <row r="251">
      <c r="A251" t="inlineStr">
        <is>
          <t>EBIT margin, year 1</t>
        </is>
      </c>
      <c r="B251" s="49" t="n">
        <v>0.02701260163194485</v>
      </c>
    </row>
    <row r="252">
      <c r="A252" t="inlineStr">
        <is>
          <t>Revenue growth, year 2</t>
        </is>
      </c>
      <c r="B252" s="49" t="n">
        <v>0.002687448899618028</v>
      </c>
    </row>
    <row r="253">
      <c r="A253" t="inlineStr">
        <is>
          <t>EBIT margin, year 2</t>
        </is>
      </c>
      <c r="B253" s="49" t="n">
        <v>0.02603171417873307</v>
      </c>
    </row>
    <row r="254">
      <c r="A254" t="inlineStr">
        <is>
          <t>Revenue growth, year 3</t>
        </is>
      </c>
      <c r="B254" s="49" t="n">
        <v>0.0040643938093885</v>
      </c>
    </row>
    <row r="255">
      <c r="A255" t="inlineStr">
        <is>
          <t>EBIT margin, year 3</t>
        </is>
      </c>
      <c r="B255" s="49" t="n">
        <v>0.02467142870414357</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M9"/>
  <sheetViews>
    <sheetView showGridLines="0" workbookViewId="0">
      <selection activeCell="A1" sqref="A1"/>
    </sheetView>
  </sheetViews>
  <sheetFormatPr baseColWidth="8" defaultRowHeight="15"/>
  <cols>
    <col width="14" customWidth="1" min="1" max="1"/>
    <col width="34" customWidth="1" min="12" max="12"/>
    <col width="70" customWidth="1" min="13" max="13"/>
  </cols>
  <sheetData>
    <row r="1">
      <c r="A1" s="1" t="inlineStr">
        <is>
          <t>AMAT: each forecaster's own assumption set through the same engine (from model_engine.json, not live)</t>
        </is>
      </c>
    </row>
    <row r="3">
      <c r="A3" s="3" t="inlineStr">
        <is>
          <t>Set</t>
        </is>
      </c>
      <c r="B3" s="3" t="inlineStr">
        <is>
          <t>Research target (12m)</t>
        </is>
      </c>
      <c r="C3" s="3" t="inlineStr">
        <is>
          <t>Median</t>
        </is>
      </c>
      <c r="D3" s="3" t="inlineStr">
        <is>
          <t>25th pct</t>
        </is>
      </c>
      <c r="E3" s="3" t="inlineStr">
        <is>
          <t>75th pct</t>
        </is>
      </c>
      <c r="F3" s="3" t="inlineStr">
        <is>
          <t>WACC</t>
        </is>
      </c>
      <c r="G3" s="3" t="inlineStr">
        <is>
          <t>Y1 growth</t>
        </is>
      </c>
      <c r="H3" s="3" t="inlineStr">
        <is>
          <t>Y1 margin</t>
        </is>
      </c>
      <c r="I3" s="3" t="inlineStr">
        <is>
          <t>Terminal growth</t>
        </is>
      </c>
      <c r="J3" s="3" t="inlineStr">
        <is>
          <t>DCF weight</t>
        </is>
      </c>
      <c r="K3" s="3" t="inlineStr">
        <is>
          <t>Years</t>
        </is>
      </c>
      <c r="L3" s="3" t="inlineStr">
        <is>
          <t>Multiples</t>
        </is>
      </c>
      <c r="M3" s="3" t="inlineStr">
        <is>
          <t>Supervisor's note</t>
        </is>
      </c>
    </row>
    <row r="4">
      <c r="A4" t="inlineStr">
        <is>
          <t>supervisor</t>
        </is>
      </c>
      <c r="B4" s="9" t="n">
        <v>443.3562568588413</v>
      </c>
      <c r="C4" s="9" t="n">
        <v>453.4421054320606</v>
      </c>
      <c r="D4" s="9" t="n">
        <v>334.7690145290616</v>
      </c>
      <c r="E4" s="9" t="n">
        <v>578.2097501065632</v>
      </c>
      <c r="F4" s="18" t="n">
        <v>0.1364</v>
      </c>
      <c r="G4" s="18" t="n">
        <v>0.2086871845029887</v>
      </c>
      <c r="H4" s="18" t="n">
        <v>0.3293690932245601</v>
      </c>
      <c r="I4" s="18" t="n">
        <v>0.02</v>
      </c>
      <c r="J4" s="18" t="n">
        <v>0</v>
      </c>
      <c r="K4" t="n">
        <v>3</v>
      </c>
      <c r="L4" t="inlineStr">
        <is>
          <t>P/E 21.13 (ntm)</t>
        </is>
      </c>
      <c r="M4" s="41" t="inlineStr"/>
    </row>
    <row r="5">
      <c r="A5" t="inlineStr">
        <is>
          <t>agent_1</t>
        </is>
      </c>
      <c r="M5" t="inlineStr">
        <is>
          <t>engine error: no model_inputs found</t>
        </is>
      </c>
    </row>
    <row r="6">
      <c r="A6" t="inlineStr">
        <is>
          <t>agent_2</t>
        </is>
      </c>
      <c r="M6" t="inlineStr">
        <is>
          <t>engine error: no model_inputs found</t>
        </is>
      </c>
    </row>
    <row r="7">
      <c r="A7" t="inlineStr">
        <is>
          <t>agent_3</t>
        </is>
      </c>
      <c r="M7" t="inlineStr">
        <is>
          <t>engine error: no model_inputs found</t>
        </is>
      </c>
    </row>
    <row r="8">
      <c r="A8" t="inlineStr">
        <is>
          <t>agent_4</t>
        </is>
      </c>
      <c r="M8" t="inlineStr">
        <is>
          <t>engine error: no model_inputs found</t>
        </is>
      </c>
    </row>
    <row r="9">
      <c r="A9" t="inlineStr">
        <is>
          <t>agent_5</t>
        </is>
      </c>
      <c r="M9" t="inlineStr">
        <is>
          <t>engine error: no model_inputs found</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209"/>
  <sheetViews>
    <sheetView showGridLines="0" workbookViewId="0">
      <selection activeCell="A1" sqref="A1"/>
    </sheetView>
  </sheetViews>
  <sheetFormatPr baseColWidth="8" defaultRowHeight="15"/>
  <cols>
    <col width="34" customWidth="1" min="1" max="1"/>
    <col width="50" customWidth="1" min="2" max="2"/>
    <col width="40" customWidth="1" min="4" max="4"/>
    <col width="70" customWidth="1" min="6" max="6"/>
  </cols>
  <sheetData>
    <row r="1">
      <c r="A1" s="1" t="inlineStr">
        <is>
          <t>AMAT: where each input comes from (source numbers point to the list below; F ids to the SEC fact table)</t>
        </is>
      </c>
    </row>
    <row r="3">
      <c r="A3" s="3" t="inlineStr">
        <is>
          <t>Input</t>
        </is>
      </c>
      <c r="B3" s="3" t="inlineStr">
        <is>
          <t>Value</t>
        </is>
      </c>
      <c r="C3" s="3" t="inlineStr">
        <is>
          <t>Basis</t>
        </is>
      </c>
      <c r="D3" s="3" t="inlineStr">
        <is>
          <t>Sources</t>
        </is>
      </c>
      <c r="E3" s="3" t="inlineStr">
        <is>
          <t>SEC fact ids</t>
        </is>
      </c>
      <c r="F3" s="3" t="inlineStr">
        <is>
          <t>Derivation</t>
        </is>
      </c>
    </row>
    <row r="4">
      <c r="A4" s="41" t="inlineStr">
        <is>
          <t>Base year revenue FY2025 (fy_end 2025-10-26)</t>
        </is>
      </c>
      <c r="B4" t="inlineStr">
        <is>
          <t>28368.0</t>
        </is>
      </c>
      <c r="C4" t="inlineStr">
        <is>
          <t>reported</t>
        </is>
      </c>
      <c r="D4" t="inlineStr"/>
      <c r="E4" t="inlineStr">
        <is>
          <t>F3</t>
        </is>
      </c>
      <c r="F4" s="41" t="inlineStr">
        <is>
          <t>filled in (not stated in this set's original work): 10-K FY2025 revenue 28,368 (F3).</t>
        </is>
      </c>
    </row>
    <row r="5">
      <c r="A5" s="41" t="inlineStr">
        <is>
          <t>FY2026 revenue growth</t>
        </is>
      </c>
      <c r="B5" t="inlineStr">
        <is>
          <t>0.2087</t>
        </is>
      </c>
      <c r="C5" t="inlineStr">
        <is>
          <t>driver</t>
        </is>
      </c>
      <c r="D5" t="inlineStr">
        <is>
          <t>10, 9</t>
        </is>
      </c>
      <c r="E5" t="inlineStr">
        <is>
          <t>F3, F6</t>
        </is>
      </c>
      <c r="F5" s="41" t="inlineStr">
        <is>
          <t>Computed from drivers (driver_build.years): revenue = wfe x shr x 1000 + ags + 1185; EBIT = rev x gm - opex; see drivers[]. Was: Not settled by the supervisor; Q3 FY26 8-K outlook (source 10) and 10-Q nine months (source 9), as in every forecaster set: FY2026 revenue 34,287 = nine months to 2026-07-26 24,037 (10-Q; F6 derivation) + Q4 FY26 outlook midpoint 10,250 (Q3 FY26 8-K Ex. 99.1); growth 34,287 / 28,368 - 1 = 0.2087.</t>
        </is>
      </c>
    </row>
    <row r="6">
      <c r="A6" s="41" t="inlineStr">
        <is>
          <t>FY2027 revenue growth</t>
        </is>
      </c>
      <c r="B6" t="inlineStr">
        <is>
          <t>0.3474</t>
        </is>
      </c>
      <c r="C6" t="inlineStr">
        <is>
          <t>driver</t>
        </is>
      </c>
      <c r="D6" t="inlineStr">
        <is>
          <t>8</t>
        </is>
      </c>
      <c r="E6" t="inlineStr"/>
      <c r="F6" s="41" t="inlineStr">
        <is>
          <t>Computed from drivers (driver_build.years): revenue = wfe x shr x 1000 + ags + 1185; EBIT = rev x gm - opex; see drivers[]. Was: Not settled by the supervisor: forecasters' median FY27 consensus revenue $46.2B (MarketScreener, source 8; 46,312M on 2026-10-15). Growth 46,200 / 34,287 - 1 = 0.3474.</t>
        </is>
      </c>
    </row>
    <row r="7">
      <c r="A7" s="41" t="inlineStr">
        <is>
          <t>FY2028 revenue growth</t>
        </is>
      </c>
      <c r="B7" t="inlineStr">
        <is>
          <t>0.2013</t>
        </is>
      </c>
      <c r="C7" t="inlineStr">
        <is>
          <t>driver</t>
        </is>
      </c>
      <c r="D7" t="inlineStr">
        <is>
          <t>8</t>
        </is>
      </c>
      <c r="E7" t="inlineStr"/>
      <c r="F7" s="41" t="inlineStr">
        <is>
          <t>Computed from drivers (driver_build.years): revenue = wfe x shr x 1000 + ags + 1185; EBIT = rev x gm - opex; see drivers[]. Was: Not settled by the supervisor: forecasters' median FY28 revenue $55.5B (consensus; 55,857M on 2026-10-15). Growth 55,500 / 46,200 - 1 = 0.2013.</t>
        </is>
      </c>
    </row>
    <row r="8">
      <c r="A8" s="41" t="inlineStr">
        <is>
          <t>FY2026 EBIT margin (non-GAAP)</t>
        </is>
      </c>
      <c r="B8" t="inlineStr">
        <is>
          <t>0.3343</t>
        </is>
      </c>
      <c r="C8" t="inlineStr">
        <is>
          <t>driver</t>
        </is>
      </c>
      <c r="D8" t="inlineStr">
        <is>
          <t>10</t>
        </is>
      </c>
      <c r="E8" t="inlineStr">
        <is>
          <t>F33</t>
        </is>
      </c>
      <c r="F8" s="41" t="inlineStr">
        <is>
          <t>Computed from drivers (driver_build.years): revenue = wfe x shr x 1000 + ags + 1185; EBIT = rev x gm - opex; see drivers[]. Was: Not settled by the supervisor; agent_1's cited FY26 EPS, used in every forecaster set. FY26 non-GAAP EPS $12.75 (9M $8.73 + Q4 outlook midpoint $4.02, Q3 FY26 8-K Ex. 99.1) x 800M diluted shares (F33) = 10,200 net income / 34,287 revenue = 0.2975 net margin; / (1 - 0.11 non-GAAP tax) = 0.3343. Interest income on net cash is ignored (it is small against operating income).</t>
        </is>
      </c>
    </row>
    <row r="9">
      <c r="A9" s="41" t="inlineStr">
        <is>
          <t>FY2027 EBIT margin (non-GAAP)</t>
        </is>
      </c>
      <c r="B9" t="inlineStr">
        <is>
          <t>0.3551</t>
        </is>
      </c>
      <c r="C9" t="inlineStr">
        <is>
          <t>driver</t>
        </is>
      </c>
      <c r="D9" t="inlineStr">
        <is>
          <t>8</t>
        </is>
      </c>
      <c r="E9" t="inlineStr"/>
      <c r="F9" s="41" t="inlineStr">
        <is>
          <t>Computed from drivers (driver_build.years): revenue = wfe x shr x 1000 + ags + 1185; EBIT = rev x gm - opex; see drivers[]. Was: Not settled by the supervisor: forecasters' median (agents 1, 3, 4, 5) consensus FY27 net income $14.6B. Net margin 14,600 / 46,200 = 0.3160; / (1 - 0.11) = 0.3551.</t>
        </is>
      </c>
    </row>
    <row r="10">
      <c r="A10" s="41" t="inlineStr">
        <is>
          <t>FY2028 EBIT margin (non-GAAP)</t>
        </is>
      </c>
      <c r="B10" t="inlineStr">
        <is>
          <t>0.3643</t>
        </is>
      </c>
      <c r="C10" t="inlineStr">
        <is>
          <t>driver</t>
        </is>
      </c>
      <c r="D10" t="inlineStr">
        <is>
          <t>8, 1</t>
        </is>
      </c>
      <c r="E10" t="inlineStr"/>
      <c r="F10" s="41" t="inlineStr">
        <is>
          <t>Computed from drivers (driver_build.years): revenue = wfe x shr x 1000 + ags + 1185; EBIT = rev x gm - opex; see drivers[]. Was: Supervisor: NTM EPS ~$22.8 (23.85 x 0.955 = 22.78) x 790M (forecasters' median share count) = 17,996 net income. Net margin 17,996 / 55,500 = 0.3243; / (1 - 0.11) = 0.3643.</t>
        </is>
      </c>
    </row>
    <row r="11">
      <c r="A11" s="41" t="inlineStr">
        <is>
          <t>Tax rate (non-GAAP, all years)</t>
        </is>
      </c>
      <c r="B11" t="inlineStr">
        <is>
          <t>0.11</t>
        </is>
      </c>
      <c r="C11" t="inlineStr">
        <is>
          <t>reported</t>
        </is>
      </c>
      <c r="D11" t="inlineStr">
        <is>
          <t>10</t>
        </is>
      </c>
      <c r="E11" t="inlineStr"/>
      <c r="F11" s="41" t="inlineStr">
        <is>
          <t>Not settled by the supervisor: forecasters' median non-GAAP tax rate 11.0% (agents 1 and 3 cite it from the Q3 FY26 8-K Ex. 99.1, source 10; the other three sets were filled in with it).</t>
        </is>
      </c>
    </row>
    <row r="12">
      <c r="A12" s="41" t="inlineStr">
        <is>
          <t>D&amp;A % revenue</t>
        </is>
      </c>
      <c r="B12" t="inlineStr">
        <is>
          <t>0.0171</t>
        </is>
      </c>
      <c r="C12" t="inlineStr">
        <is>
          <t>reported</t>
        </is>
      </c>
      <c r="D12" t="inlineStr"/>
      <c r="E12" t="inlineStr">
        <is>
          <t>F39, F6</t>
        </is>
      </c>
      <c r="F12" s="41" t="inlineStr">
        <is>
          <t>filled in (not stated in this set's original work): TTM D&amp;A 527 (F39) / TTM revenue 30,837 (F6) = 0.0171.</t>
        </is>
      </c>
    </row>
    <row r="13">
      <c r="A13" s="41" t="inlineStr">
        <is>
          <t>Capex % revenue</t>
        </is>
      </c>
      <c r="B13" t="inlineStr">
        <is>
          <t>0.0899</t>
        </is>
      </c>
      <c r="C13" t="inlineStr">
        <is>
          <t>reported</t>
        </is>
      </c>
      <c r="D13" t="inlineStr"/>
      <c r="E13" t="inlineStr">
        <is>
          <t>F60, F6</t>
        </is>
      </c>
      <c r="F13" s="41" t="inlineStr">
        <is>
          <t>filled in (not stated in this set's original work): TTM capex 2,773 (F60) / TTM revenue 30,837 (F6) = 0.0899 (elevated facilities capex, which the forecasters expect to continue).</t>
        </is>
      </c>
    </row>
    <row r="14">
      <c r="A14" s="41" t="inlineStr">
        <is>
          <t>Working capital % of incremental revenue</t>
        </is>
      </c>
      <c r="B14" t="inlineStr">
        <is>
          <t>0.0896</t>
        </is>
      </c>
      <c r="C14" t="inlineStr">
        <is>
          <t>estimate</t>
        </is>
      </c>
      <c r="D14" t="inlineStr">
        <is>
          <t>10</t>
        </is>
      </c>
      <c r="E14" t="inlineStr">
        <is>
          <t>F39, F60, F6</t>
        </is>
      </c>
      <c r="F14" s="41" t="inlineStr">
        <is>
          <t>Not settled by the supervisor: forecasters' median working-capital driver 0.0896 (agents' values 0.2087, 0.0594, 0.0776, 0.0896, 0.1392; each derived from that set's stated FCF conversion or margin). D&amp;A and capex are filled in (not stated in this set's original work).</t>
        </is>
      </c>
    </row>
    <row r="15">
      <c r="A15" s="41" t="inlineStr">
        <is>
          <t>Stock comp % revenue (memo; sbc_treatment dilution)</t>
        </is>
      </c>
      <c r="B15" t="inlineStr">
        <is>
          <t>0.0227</t>
        </is>
      </c>
      <c r="C15" t="inlineStr">
        <is>
          <t>reported</t>
        </is>
      </c>
      <c r="D15" t="inlineStr"/>
      <c r="E15" t="inlineStr">
        <is>
          <t>F46, F6</t>
        </is>
      </c>
      <c r="F15" s="41" t="inlineStr">
        <is>
          <t>filled in (not stated in this set's original work): TTM SBC 701 (F46) / 30,837 (F6) = 0.0227. Counted once: the set's EPS is non-GAAP and the share count (800M -&gt; 790M) is net of buybacks and stock-comp issuance, so FCFF does not deduct SBC again.</t>
        </is>
      </c>
    </row>
    <row r="16">
      <c r="A16" s="41" t="inlineStr">
        <is>
          <t>Shareholder returns per year (dividends + buybacks)</t>
        </is>
      </c>
      <c r="B16" t="inlineStr">
        <is>
          <t>3543.0</t>
        </is>
      </c>
      <c r="C16" t="inlineStr">
        <is>
          <t>reported</t>
        </is>
      </c>
      <c r="D16" t="inlineStr"/>
      <c r="E16" t="inlineStr">
        <is>
          <t>F67, F74</t>
        </is>
      </c>
      <c r="F16" s="41" t="inlineStr">
        <is>
          <t>filled in (not stated in this set's original work): TTM buybacks 2,028 (F67) + dividends 1,515 (F74) = 3,543; only moves the DCF leg's net-cash bridge.</t>
        </is>
      </c>
    </row>
    <row r="17">
      <c r="A17" s="41" t="inlineStr">
        <is>
          <t>Terminal growth</t>
        </is>
      </c>
      <c r="B17" t="inlineStr">
        <is>
          <t>0.02</t>
        </is>
      </c>
      <c r="C17" t="inlineStr">
        <is>
          <t>judgment</t>
        </is>
      </c>
      <c r="D17" t="inlineStr"/>
      <c r="E17" t="inlineStr"/>
      <c r="F17" s="41" t="inlineStr">
        <is>
          <t>filled in (not stated in this set's original work): the run states no terminal growth; 0.02 is the engine's default. It only affects the DCF leg (weight 0) and the reverse-DCF WACC.</t>
        </is>
      </c>
    </row>
    <row r="18">
      <c r="A18" s="41" t="inlineStr">
        <is>
          <t>WACC</t>
        </is>
      </c>
      <c r="B18" t="inlineStr">
        <is>
          <t>0.1364</t>
        </is>
      </c>
      <c r="C18" t="inlineStr">
        <is>
          <t>estimate</t>
        </is>
      </c>
      <c r="D18" t="inlineStr"/>
      <c r="E18" t="inlineStr"/>
      <c r="F18" s="41" t="inlineStr">
        <is>
          <t>filled in (not stated in this set's original work): cost of equity 0.1364 = T-bill 0.0412 + premium 0.0952 (beta 1.90 on the 5.00% market premium, the price target's market leg, 2026-09-29); after-tax debt 0.0423 x (1 - 0.110) on net debt and minorities 0 vs equity 409,608 (800.00M x $512.01) -&gt; WACC 0.1364</t>
        </is>
      </c>
    </row>
    <row r="19">
      <c r="A19" s="41" t="inlineStr">
        <is>
          <t>Balance-sheet date</t>
        </is>
      </c>
      <c r="B19" t="inlineStr">
        <is>
          <t>2026-07-26</t>
        </is>
      </c>
      <c r="C19" t="inlineStr">
        <is>
          <t>reported</t>
        </is>
      </c>
      <c r="D19" t="inlineStr">
        <is>
          <t>9</t>
        </is>
      </c>
      <c r="E19" t="inlineStr">
        <is>
          <t>F97</t>
        </is>
      </c>
      <c r="F19" s="41" t="inlineStr">
        <is>
          <t>Q3 FY26 10-Q balance sheet (quarter ended 2026-07-26), the date of the net cash the set adds.</t>
        </is>
      </c>
    </row>
    <row r="20">
      <c r="A20" s="41" t="inlineStr">
        <is>
          <t>Net cash (equity adjustment)</t>
        </is>
      </c>
      <c r="B20" t="inlineStr">
        <is>
          <t>7957.0</t>
        </is>
      </c>
      <c r="C20" t="inlineStr">
        <is>
          <t>reported</t>
        </is>
      </c>
      <c r="D20" t="inlineStr">
        <is>
          <t>9</t>
        </is>
      </c>
      <c r="E20" t="inlineStr">
        <is>
          <t>F97, F98, F99, F101</t>
        </is>
      </c>
      <c r="F20" s="41" t="inlineStr">
        <is>
          <t>Supervisor's fair value: + $10.0/share net cash (10-Q, July 26, 2026: cash and investments 14,501 less debt 6,544 = 7,957 on 793.6M shares). 10-Q: cash 7,037 (F97) + short-term investments 2,196 (F98) + long-term investments 5,268 (10-Q; not in the fact pack's tags) - short-term debt 1,299 (F101) - long-term debt 5,245 (F99) = 7,957 = $10.03/share on 793.6M shares (F103). The fact pack's F105 (-1,490) is narrower: it leaves out the long-term investments and adds F100 (1,199, the current notes, which agent_3 reads as inside the 1,299 short-term debt). In the engine 7,957 / 790M horizon shares = $10.07/share, $0.04 above the $10.03 the set adds.</t>
        </is>
      </c>
    </row>
    <row r="21">
      <c r="A21" s="41" t="inlineStr">
        <is>
          <t>balance.net_debt</t>
        </is>
      </c>
      <c r="B21" t="inlineStr">
        <is>
          <t>0.0</t>
        </is>
      </c>
      <c r="C21" t="inlineStr">
        <is>
          <t>judgment</t>
        </is>
      </c>
      <c r="D21" t="inlineStr"/>
      <c r="E21" t="inlineStr"/>
      <c r="F21" s="41" t="inlineStr">
        <is>
          <t>Set to 0 because the 7,957 net cash is carried as an equity adjustment (counting it in both places would add it twice in the DCF leg).</t>
        </is>
      </c>
    </row>
    <row r="22">
      <c r="A22" s="41" t="inlineStr">
        <is>
          <t>Interest rate on debt</t>
        </is>
      </c>
      <c r="B22" t="inlineStr">
        <is>
          <t>0.0423</t>
        </is>
      </c>
      <c r="C22" t="inlineStr">
        <is>
          <t>reported</t>
        </is>
      </c>
      <c r="D22" t="inlineStr"/>
      <c r="E22" t="inlineStr">
        <is>
          <t>F81, F99, F101</t>
        </is>
      </c>
      <c r="F22" s="41" t="inlineStr">
        <is>
          <t>filled in (not stated in this set's original work): TTM interest expense 277 (F81) / debt 6,544 (F101 1,299 + F99 5,245) = 0.0423; unused while AMAT holds net cash.</t>
        </is>
      </c>
    </row>
    <row r="23">
      <c r="A23" s="41" t="inlineStr">
        <is>
          <t>Diluted shares now</t>
        </is>
      </c>
      <c r="B23" t="inlineStr">
        <is>
          <t>800.0</t>
        </is>
      </c>
      <c r="C23" t="inlineStr">
        <is>
          <t>reported</t>
        </is>
      </c>
      <c r="D23" t="inlineStr">
        <is>
          <t>9</t>
        </is>
      </c>
      <c r="E23" t="inlineStr">
        <is>
          <t>F33</t>
        </is>
      </c>
      <c r="F23" s="41" t="inlineStr">
        <is>
          <t>Not settled by the supervisor: forecasters' median 800M diluted in FQ3 (F33).</t>
        </is>
      </c>
    </row>
    <row r="24">
      <c r="A24" s="41" t="inlineStr">
        <is>
          <t>Diluted shares at horizon</t>
        </is>
      </c>
      <c r="B24" t="inlineStr">
        <is>
          <t>790.0</t>
        </is>
      </c>
      <c r="C24" t="inlineStr">
        <is>
          <t>estimate</t>
        </is>
      </c>
      <c r="D24" t="inlineStr">
        <is>
          <t>9</t>
        </is>
      </c>
      <c r="E24" t="inlineStr">
        <is>
          <t>F33, F103</t>
        </is>
      </c>
      <c r="F24" s="41" t="inlineStr">
        <is>
          <t>Not settled by the supervisor (it divides net cash by 793.6M shares outstanding): forecasters' median ~790M at the horizon.</t>
        </is>
      </c>
    </row>
    <row r="25">
      <c r="A25" s="41" t="inlineStr">
        <is>
          <t>Shares annual change</t>
        </is>
      </c>
      <c r="B25" t="inlineStr">
        <is>
          <t>-0.0106</t>
        </is>
      </c>
      <c r="C25" t="inlineStr">
        <is>
          <t>estimate</t>
        </is>
      </c>
      <c r="D25" t="inlineStr"/>
      <c r="E25" t="inlineStr">
        <is>
          <t>F33</t>
        </is>
      </c>
      <c r="F25" s="41" t="inlineStr">
        <is>
          <t>Derived: (790 / 800)^(1 / 1.177 years from 2026-07-26 to 2027-09-29) - 1 = -0.0106; shares.horizon 790 is what the engine uses.</t>
        </is>
      </c>
    </row>
    <row r="26">
      <c r="A26" s="41" t="inlineStr">
        <is>
          <t>P/E: NTM EPS at Sep-2027 (FY28)</t>
        </is>
      </c>
      <c r="B26" t="inlineStr">
        <is>
          <t>None</t>
        </is>
      </c>
      <c r="C26" t="inlineStr">
        <is>
          <t>driver</t>
        </is>
      </c>
      <c r="D26" t="inlineStr">
        <is>
          <t>8, 1, 2</t>
        </is>
      </c>
      <c r="E26" t="inlineStr"/>
      <c r="F26" s="41" t="inlineStr">
        <is>
          <t>Computed by the engine from the driver-led projection (NTM NOPAT at Sep-2027 / 790M horizon shares); was the stated 22.78 (FY28 consensus 23.85 x 0.955).</t>
        </is>
      </c>
    </row>
    <row r="27">
      <c r="A27" s="41" t="inlineStr">
        <is>
          <t>P/E: multiple</t>
        </is>
      </c>
      <c r="B27" t="inlineStr">
        <is>
          <t>21.13</t>
        </is>
      </c>
      <c r="C27" t="inlineStr">
        <is>
          <t>estimate</t>
        </is>
      </c>
      <c r="D27" t="inlineStr">
        <is>
          <t>12, 16, 20, 24, 28, 32, 35, 39, 43, 46</t>
        </is>
      </c>
      <c r="E27" t="inlineStr"/>
      <c r="F27" s="41" t="inlineStr">
        <is>
          <t>Exit-multiple rule (Kilian card 2026-10-26 12:16Z; METHOD.md Peer comparables): exit = peer median x (own NTM multiple / peer median)^k, k = 0.8. Peer median 22.615x (unchanged, gated 2026-10-26: see the rest of this derivation). Own multiple 20.77x on the peers' basis: AMAT $377.24 / Zacks NTM $18.16 (= AMAT non-GAAP basis: Q3 FY26 3.50 = 3.50) = 20.77x (comps_summary.amat_fwd_pe). Exit = 22.615 x (20.77 / 22.615)^0.8 = 22.615 x 0.9342 = 21.13x (was 22.62x). PREVIOUS DERIVATION: Median of the 10 re-based peer calendar-NTM P/E rows below (2026-10-23 closes): sorted 15.60, 18.02, 20.26, 22.11, 22.50, 22.73, 25.07, 25.48, 26.66, 30.65; median = (22.50 + 22.73) / 2 = 22.615 -&gt; 22.62x. Each row reconciles its provider EPS to the company's own GAAP and adjusted figures and re-bases to AMAT's non-GAAP basis (Q3 FY26 8-K Ex. 99.1: AMAT excludes acquired-intangible amortization, integration/deal costs, legal settlement, restructuring, strategic-investment gains/losses and tax items; stock comp stays a cost). Two rows move: ASM International 22.84 -&gt; 22.50 and Kokusai 21.37 -&gt; 20.26 (acquisition-related charges added back), the rest are already on AMAT's basis. Was 22.5x (supervisor judgment inside the agents' 21-23.5x band). AMAT's own 20.77x (-8% to the median) is not carried: Kilian picked the median on the card of 2026-10-26 06:24Z.</t>
        </is>
      </c>
    </row>
    <row r="28">
      <c r="A28" s="41" t="inlineStr">
        <is>
          <t>P/E: weight</t>
        </is>
      </c>
      <c r="B28" t="inlineStr">
        <is>
          <t>1.0</t>
        </is>
      </c>
      <c r="C28" t="inlineStr">
        <is>
          <t>judgment</t>
        </is>
      </c>
      <c r="D28" t="inlineStr"/>
      <c r="E28" t="inlineStr"/>
      <c r="F28" s="41" t="inlineStr">
        <is>
          <t>The supervisor's fair value is a single P/E build plus net cash.</t>
        </is>
      </c>
    </row>
    <row r="29">
      <c r="A29" s="41" t="inlineStr">
        <is>
          <t>Scenario bear: probability and deltas</t>
        </is>
      </c>
      <c r="B29" t="inlineStr">
        <is>
          <t>{"prob": 0.25, "multiple": -6.0, "eps_pct": -0.2, "multiple_pct": -0.3636}</t>
        </is>
      </c>
      <c r="C29" t="inlineStr">
        <is>
          <t>judgment</t>
        </is>
      </c>
      <c r="D29" t="inlineStr"/>
      <c r="E29" t="inlineStr"/>
      <c r="F29" s="41" t="inlineStr">
        <is>
          <t>Forecasters' median bear: p 0.25 (0.27/0.23/0.25/0.25/0.25), -6 turns (-4.5/-7/-6/-6.5/-5.5), EPS -20% (-20.45/-12.77/-20.93/-15.91/-20%). FCF multiple_pct for the record only (no FCF leg).</t>
        </is>
      </c>
    </row>
    <row r="30">
      <c r="A30" s="41" t="inlineStr">
        <is>
          <t>Scenario base: probability and deltas</t>
        </is>
      </c>
      <c r="B30" t="inlineStr">
        <is>
          <t>{"prob": 0.5, "multiple": 0.5, "eps_pct": 0.0455, "multiple_pct": 0.0217}</t>
        </is>
      </c>
      <c r="C30" t="inlineStr">
        <is>
          <t>judgment</t>
        </is>
      </c>
      <c r="D30" t="inlineStr"/>
      <c r="E30" t="inlineStr"/>
      <c r="F30" s="41" t="inlineStr">
        <is>
          <t>Forecasters' median base: p 0.50, +0.5 turn (0/+0.5/0/+0.5/+0.5), EPS +4.55% (+4.55/0/+4.65/+4.55/+2.22%).</t>
        </is>
      </c>
    </row>
    <row r="31">
      <c r="A31" s="41" t="inlineStr">
        <is>
          <t>Scenario bull: probability and deltas</t>
        </is>
      </c>
      <c r="B31" t="inlineStr">
        <is>
          <t>{"prob": 0.25, "multiple": 7.0, "eps_pct": 0.2, "multiple_pct": 0.2373}</t>
        </is>
      </c>
      <c r="C31" t="inlineStr">
        <is>
          <t>judgment</t>
        </is>
      </c>
      <c r="D31" t="inlineStr"/>
      <c r="E31" t="inlineStr"/>
      <c r="F31" s="41" t="inlineStr">
        <is>
          <t>Forecasters' median bull: p 0.25, +7 turns (7/7/8.5/8.5/7), EPS +20% (+20.45/+10.64/+20.93/+15.91/+20%).</t>
        </is>
      </c>
    </row>
    <row r="32">
      <c r="A32" s="41" t="inlineStr">
        <is>
          <t>Scenario vol (within-scenario)</t>
        </is>
      </c>
      <c r="B32" t="inlineStr">
        <is>
          <t>0.15</t>
        </is>
      </c>
      <c r="C32" t="inlineStr">
        <is>
          <t>judgment</t>
        </is>
      </c>
      <c r="D32" t="inlineStr"/>
      <c r="E32" t="inlineStr"/>
      <c r="F32" s="41" t="inlineStr">
        <is>
          <t>filled in (not stated in this set's original work): engine default 0.15. The original work states only total-distribution spreads (lognormal sigmas of ~0.42-0.60 around the whole ladder), which include the bear/base/bull spread.</t>
        </is>
      </c>
    </row>
    <row r="33">
      <c r="A33" s="41" t="inlineStr">
        <is>
          <t>reference (guidance and consensus)</t>
        </is>
      </c>
      <c r="B33" t="inlineStr">
        <is>
          <t>see reference</t>
        </is>
      </c>
      <c r="C33" t="inlineStr">
        <is>
          <t>consensus</t>
        </is>
      </c>
      <c r="D33" t="inlineStr">
        <is>
          <t>8, 10</t>
        </is>
      </c>
      <c r="E33" t="inlineStr"/>
      <c r="F33" s="41" t="inlineStr">
        <is>
          <t>Only figures the run's files cite, with their dates: the Q4 FY26 outlook (8-K Ex. 99.1) and MarketScreener consensus; Yahoo and StockAnalysis figures are not in the supervisor's sources and are left out.</t>
        </is>
      </c>
    </row>
    <row r="34">
      <c r="A34" s="41" t="inlineStr">
        <is>
          <t>Other revenue (Corporate and Other incl. Display), all years</t>
        </is>
      </c>
      <c r="B34" t="inlineStr">
        <is>
          <t>1185.0</t>
        </is>
      </c>
      <c r="C34" t="inlineStr">
        <is>
          <t>reported</t>
        </is>
      </c>
      <c r="D34" t="inlineStr">
        <is>
          <t>9</t>
        </is>
      </c>
      <c r="E34" t="inlineStr"/>
      <c r="F34" s="41" t="inlineStr">
        <is>
          <t>10-K FY2025 (acc 0001628280-25-056742) segment revenue table and Q4 FY25 8-K Ex. 99.1 (acc 0001628280-25-051998): Corporate and Other FY2025 1,185 (Display 1.06B); 10-Q Q3 FY26 (source 9) 9M FY26 Other 886 + Q3 rate 294 = ~1,180 FY26; held flat (plain constant in driver_build, ~2-3% of revenue).</t>
        </is>
      </c>
    </row>
    <row r="35">
      <c r="A35" s="41" t="inlineStr">
        <is>
          <t>driver:wfe</t>
        </is>
      </c>
      <c r="B35" t="inlineStr">
        <is>
          <t>Wafer fab equipment market, calendar year (SEMI): 116.9 -&gt; 143.9/175.3/220 (primary)</t>
        </is>
      </c>
      <c r="C35" t="inlineStr">
        <is>
          <t>primary</t>
        </is>
      </c>
      <c r="D35" t="inlineStr"/>
      <c r="E35" t="inlineStr"/>
      <c r="F35" s="41" t="inlineStr">
        <is>
          <t>2026-2027 = agents' median (all five cite SEMI July: 143.9 / 175.3). 2028: the four-agent median is SEMI July ~$200B (+14.1%); I take SEMI's own later figure, $220B (Sept 1, agent_5 and the supervisor's source review: "That reason is out of date"), because it is the same industry body superseding its July number. Check vs later evidence: Lam Research Oct 21 call (adhoc amat_review.md) puts 2026 WFE at mid-$150B and 2027 preliminary &gt;$200B (+29%); that is a peer management view (not taken at face value), carried as the bull move and as a judgment call. Consensus FY27 revenue $46.2B implies ~+42% Semiconductor Systems growth, i.e. WFE well above SEMI or a share gain; not adopted.</t>
        </is>
      </c>
    </row>
    <row r="36">
      <c r="A36" s="41" t="inlineStr">
        <is>
          <t>driver:shr</t>
        </is>
      </c>
      <c r="B36" t="inlineStr">
        <is>
          <t>AMAT Semiconductor Systems revenue / SEMI WFE (FY26 segment basis): 0.1839 -&gt; 0.1827/0.1827/0.1827 (estimate)</t>
        </is>
      </c>
      <c r="C36" t="inlineStr">
        <is>
          <t>estimate</t>
        </is>
      </c>
      <c r="D36" t="inlineStr"/>
      <c r="E36" t="inlineStr"/>
      <c r="F36" s="41" t="inlineStr">
        <is>
          <t>FY2025 recast to the FY2026 segment basis: original 9M FY25 SS 16,038 (20,798 - Q4 4,760) vs recast 16,562 -&gt; 200mm reclass 524 per 9M (~175/qtr); Q4 FY25 assumed the same 175 -&gt; FY25 SS 20,798 + 699 = 21,497, AGS 6,385 - 699 = 5,686 (estimate on filing figures; the FY2026 10-K will restate FY25 exactly). Base 21,497 / 116.9B = 0.18389. FY2026 SS = 9M 18,146 + Q4 8,151 (Q4 total 10,250 midpoint - AGS ~1,800 (Q3 1,781 + ~1%) - Other 299 (FY Other held at 1,185 less 9M 886; Q3 was 294)) = 26,297 / 143.9 = 0.18275 (share ~flat vs FY25 on SEMI's series: SS +22.3% vs WFE +23.1%). FY27-28 held flat = agents' median (agents 1, 3, 4: "roughly flat" / Castellano "flat ~19-20%" on his own WFE basis); share gains are the agents' bull story only.</t>
        </is>
      </c>
    </row>
    <row r="37">
      <c r="A37" s="41" t="inlineStr">
        <is>
          <t>driver:ags</t>
        </is>
      </c>
      <c r="B37" t="inlineStr">
        <is>
          <t>Applied Global Services revenue (installed-base services, spares, upgrades; FY26 segment basis): 5,686 -&gt; 6,805/7,622/8,232 (estimate)</t>
        </is>
      </c>
      <c r="C37" t="inlineStr">
        <is>
          <t>estimate</t>
        </is>
      </c>
      <c r="D37" t="inlineStr"/>
      <c r="E37" t="inlineStr"/>
      <c r="F37" s="41" t="inlineStr">
        <is>
          <t>FY2025 recast to the FY2026 segment basis: original 9M FY25 SS 16,038 (20,798 - Q4 4,760) vs recast 16,562 -&gt; 200mm reclass 524 per 9M (~175/qtr); Q4 FY25 assumed the same 175 -&gt; FY25 SS 20,798 + 699 = 21,497, AGS 6,385 - 699 = 5,686 (estimate on filing figures; the FY2026 10-K will restate FY25 exactly). FY2026 = 9M 5,005 + Q4 ~1,800 (Q3 1,781 + ~1%) = 6,805 (+19.7% on 5,686; 9M +18.2% recast). FY27 +12% = 7,622 and FY28 +8% = 8,232: fades from FY26's utilization-led ~+19% toward the FY23-25 CAGR of +5.5% (5,732 -&gt; 6,385, 10-K) as the installed base keeps growing with WFE. No agent states an AGS number (fewer than 2 views; the supervisor states none).</t>
        </is>
      </c>
    </row>
    <row r="38">
      <c r="A38" s="41" t="inlineStr">
        <is>
          <t>driver:gm</t>
        </is>
      </c>
      <c r="B38" t="inlineStr">
        <is>
          <t>Non-GAAP gross margin: 0.4877 -&gt; 0.5004/0.506/0.508 (estimate)</t>
        </is>
      </c>
      <c r="C38" t="inlineStr">
        <is>
          <t>estimate</t>
        </is>
      </c>
      <c r="D38" t="inlineStr"/>
      <c r="E38" t="inlineStr"/>
      <c r="F38" s="41" t="inlineStr">
        <is>
          <t>FY2026 = (11,992 + Q4 10,250 x 50.4% Q3 rate) / 34,287 = 50.04% (no GM guide). FY27 50.6%, FY28 50.8%: +0.2 pt/yr from the Q3 50.4% run-rate. History is +1.2 pt/yr (47.6% FY24 -&gt; 48.8% FY25 -&gt; ~50.0% FY26; 13 straight quarters of y/y expansion); I take less because agent_1 frames "low 50s" as the bull case and fewer than 2 agents state a base number.</t>
        </is>
      </c>
    </row>
    <row r="39">
      <c r="A39" s="41" t="inlineStr">
        <is>
          <t>driver:opex</t>
        </is>
      </c>
      <c r="B39" t="inlineStr">
        <is>
          <t>Non-GAAP operating expenses (RD&amp;E + marketing &amp; selling + G&amp;A): 5,273 -&gt; 5,865/6,452/6,968 (estimate)</t>
        </is>
      </c>
      <c r="C39" t="inlineStr">
        <is>
          <t>estimate</t>
        </is>
      </c>
      <c r="D39" t="inlineStr"/>
      <c r="E39" t="inlineStr"/>
      <c r="F39" s="41" t="inlineStr">
        <is>
          <t>FY2026 = 4,253 + Q4 1,612; Q4 backed out of the $4.02 EPS guide: 4.02 x ~798M = 3,208 net / (1 - 11%) = 3,604 pre-tax - ~50 other income (Q3: 3.50 x 800 / 0.89 = 3,146 vs OI 3,096; the Q3 8-K's reported non-GAAP pre-tax is 3,141, i.e. ~45) = 3,554 OI; Q4 GP 10,250 x 50.4% = 5,166 -&gt; opex 1,612. FY26 +11.2% (FY25 +5.4% on FY24 5,002). FY27 +10% = 6,452 (RD&amp;E +22% y/y in Q3), FY28 +8% = 6,968. Consensus FY27 (EPS 18.43 on $46.2B) implies ~6.9B at a 50.5% GM; mine is lower at lower revenue.</t>
        </is>
      </c>
    </row>
    <row r="40">
      <c r="A40" s="41" t="inlineStr">
        <is>
          <t>Peer NTM P/E: Lam Research (LRCX)</t>
        </is>
      </c>
      <c r="B40" t="inlineStr">
        <is>
          <t>22.73</t>
        </is>
      </c>
      <c r="C40" t="inlineStr">
        <is>
          <t>estimate</t>
        </is>
      </c>
      <c r="D40" t="inlineStr">
        <is>
          <t>12, 13, 14, 15</t>
        </is>
      </c>
      <c r="E40" t="inlineStr"/>
      <c r="F40" s="41" t="inlineStr">
        <is>
          <t>USD 230.1 close 2026-10-23 / AMAT-basis NTM EPS 10.123 = 22.73x (provider basis 22.73x). NTM from 2026-10-23 = w x FY1 + (1 - w) x FY2, w = days to FY1 end (2027-06-30) / 365 = 0.6849; FY1 9.48, FY2 11.52; provider NTM EPS 10.123 re-based to AMAT's EPS basis (non-GAAP: stock comp a cost; acquired-intangible amortization, deal/restructuring costs, investment gains and tax items excluded) = 10.123 (factor 1) = 10.123. Provider check: Zacks actual Sep-2026 quarter EPS 2.20 = Lam's non-GAAP 2.20 (GAAP 2.19; Q1 FY27 8-K Ex. 99.1). Lam's adjustments are acquired-intangible amortization, deferred-comp (EDC) revaluation that nets to ~0 and a tax-law item; stock comp stays in. AMAT's basis also excludes acquisition amortization and tax items and keeps stock comp, so AMAT-basis EPS = 2.20 = Zacks: factor 1.000. Growth FY2/FY1 +21.5%. Consensus: Zacks via Nasdaq.com.</t>
        </is>
      </c>
    </row>
    <row r="41">
      <c r="A41" s="41" t="inlineStr">
        <is>
          <t>Peer NTM P/E: KLA (KLAC)</t>
        </is>
      </c>
      <c r="B41" t="inlineStr">
        <is>
          <t>25.07</t>
        </is>
      </c>
      <c r="C41" t="inlineStr">
        <is>
          <t>estimate</t>
        </is>
      </c>
      <c r="D41" t="inlineStr">
        <is>
          <t>16, 17, 18, 19</t>
        </is>
      </c>
      <c r="E41" t="inlineStr"/>
      <c r="F41" s="41" t="inlineStr">
        <is>
          <t>USD 145.61 close 2026-10-23 / AMAT-basis NTM EPS 5.808 = 25.07x (provider basis 25.07x). NTM from 2026-10-23 = w x FY1 + (1 - w) x FY2, w = days to FY1 end (2027-06-30) / 365 = 0.6849; FY1 5.43, FY2 6.63; provider NTM EPS 5.808 re-based to AMAT's EPS basis (non-GAAP: stock comp a cost; acquired-intangible amortization, deal/restructuring costs, investment gains and tax items excluded) = 5.808 (factor 1) = 5.808. Provider check: Zacks actual Jun-2026 quarter EPS 1.05 = KLA's non-GAAP 1.05 (GAAP 1.04; Q4 FY26 8-K Ex. 99.1). KLA's adjustments are acquisition-related charges, restructuring, impairment and discrete tax items; stock comp stays in, as at AMAT: factor 1.000. Post 10:1 split of 2026-06-12 on both price and EPS. Growth FY2/FY1 +22.1%. Consensus: Zacks via Nasdaq.com.</t>
        </is>
      </c>
    </row>
    <row r="42">
      <c r="A42" s="41" t="inlineStr">
        <is>
          <t>Peer NTM P/E: ASML (ADR) (ASML)</t>
        </is>
      </c>
      <c r="B42" t="inlineStr">
        <is>
          <t>26.66</t>
        </is>
      </c>
      <c r="C42" t="inlineStr">
        <is>
          <t>estimate</t>
        </is>
      </c>
      <c r="D42" t="inlineStr">
        <is>
          <t>20, 21, 22, 23</t>
        </is>
      </c>
      <c r="E42" t="inlineStr"/>
      <c r="F42" s="41" t="inlineStr">
        <is>
          <t>USD 1,571.8 close 2026-10-23 / AMAT-basis NTM EPS 58.965 = 26.66x (provider basis 26.66x). NTM from 2026-10-23 = w x FY1 + (1 - w) x FY2, w = days to FY1 end (2026-12-31) / 365 = 0.1890; FY1 46.03, FY2 61.98; provider NTM EPS 58.965 re-based to AMAT's EPS basis (non-GAAP: stock comp a cost; acquired-intangible amortization, deal/restructuring costs, investment gains and tax items excluded) = 58.965 (factor 1) = 58.965. Provider check: Zacks actual Sep-2026 quarter EPS $14.89 per ADR = ASML's US GAAP basic EPS EUR 12.95 (Q3 2026 release) at ~1.15 USD/EUR; ASML publishes no adjusted EPS, stock comp is a cost. AMAT would also strip acquired-intangible amortization, which is small at ASML: factor 1.000. Growth FY2/FY1 +34.7%. Consensus: Zacks via Nasdaq.com.</t>
        </is>
      </c>
    </row>
    <row r="43">
      <c r="A43" s="41" t="inlineStr">
        <is>
          <t>Peer NTM P/E: Onto Innovation (ONTO)</t>
        </is>
      </c>
      <c r="B43" t="inlineStr">
        <is>
          <t>18.02</t>
        </is>
      </c>
      <c r="C43" t="inlineStr">
        <is>
          <t>estimate</t>
        </is>
      </c>
      <c r="D43" t="inlineStr">
        <is>
          <t>24, 25, 26, 27</t>
        </is>
      </c>
      <c r="E43" t="inlineStr"/>
      <c r="F43" s="41" t="inlineStr">
        <is>
          <t>USD 198.68 close 2026-10-23 / AMAT-basis NTM EPS 11.024 = 18.02x (provider basis 18.02x). NTM from 2026-10-23 = w x FY1 + (1 - w) x FY2, w = days to FY1 end (2026-12-31) / 365 = 0.1890; FY1 8.04, FY2 11.72; provider NTM EPS 11.024 re-based to AMAT's EPS basis (non-GAAP: stock comp a cost; acquired-intangible amortization, deal/restructuring costs, investment gains and tax items excluded) = 11.024 (factor 1) = 11.024. Provider check: Zacks actual Jun-2026 quarter EPS 1.93 = Onto's non-GAAP 1.93 (GAAP 1.21; Q2 2026 8-K Ex. 99.1). The 0.72 gap is M&amp;A expenses 0.17, restructuring 0.31, intangible amortization 0.39, tax -0.15; no stock-comp add-back. AMAT excludes the same kinds of items (acquisition amortization, integration/deal costs, restructuring, tax effects) and keeps stock comp: factor 1.000. Growth FY2/FY1 +45.8%. Consensus: Zacks via Nasdaq.com.</t>
        </is>
      </c>
    </row>
    <row r="44">
      <c r="A44" s="41" t="inlineStr">
        <is>
          <t>Peer NTM P/E: Nova (NVMI)</t>
        </is>
      </c>
      <c r="B44" t="inlineStr">
        <is>
          <t>25.48</t>
        </is>
      </c>
      <c r="C44" t="inlineStr">
        <is>
          <t>estimate</t>
        </is>
      </c>
      <c r="D44" t="inlineStr">
        <is>
          <t>28, 29, 30, 31</t>
        </is>
      </c>
      <c r="E44" t="inlineStr"/>
      <c r="F44" s="41" t="inlineStr">
        <is>
          <t>USD 311.35 close 2026-10-23 / AMAT-basis NTM EPS 12.217 = 25.48x (provider basis 25.48x). NTM from 2026-10-23 = w x FY1 + (1 - w) x FY2, w = days to FY1 end (2026-12-31) / 365 = 0.1890; FY1 9.89, FY2 12.76; provider NTM EPS 12.217 re-based to AMAT's EPS basis (non-GAAP: stock comp a cost; acquired-intangible amortization, deal/restructuring costs, investment gains and tax items excluded) = 12.217 x 1.0000 = 12.217. Provider check: Nova's non-GAAP (Q2 2026 6-K) adds back stock comp, acquired amortization, debt-cost amortization and lease/loan revaluation: GAAP 2.20 / non-GAAP 2.51 (Q2), 2.04 / 2.33 (Q1). Zacks actual 2.35 / 2.15 = non-GAAP less after-tax stock comp: 2.51 - 6,764 x (1 - 14.7%) / 34,450 = 2.34; 2.33 - 7,305 x (1 - 16.0%) / 34,439 = 2.15 (tax = the quarter's tax effect / total adjustments, 1,970 / 13,419 and 2,104 / 13,110). So Zacks keeps stock comp as a cost and strips acquired amortization, as AMAT does. Left as Zacks treats them: debt-cost amortization (~0.02 a share a quarter after tax, under 1%) and FX revaluation of leases/loans, which swings sign (-6,955K a year earlier). Factor 1.000. Growth FY2/FY1 +29.0%. Consensus: Zacks via Nasdaq.com.</t>
        </is>
      </c>
    </row>
    <row r="45">
      <c r="A45" s="41" t="inlineStr">
        <is>
          <t>Peer NTM P/E: Tokyo Electron (8035.T)</t>
        </is>
      </c>
      <c r="B45" t="inlineStr">
        <is>
          <t>22.11</t>
        </is>
      </c>
      <c r="C45" t="inlineStr">
        <is>
          <t>estimate</t>
        </is>
      </c>
      <c r="D45" t="inlineStr">
        <is>
          <t>32, 33, 34</t>
        </is>
      </c>
      <c r="E45" t="inlineStr"/>
      <c r="F45" s="41" t="inlineStr">
        <is>
          <t>JPY 9,458.0 close 2026-10-23 / AMAT-basis NTM EPS 427.864 = 22.11x (provider basis 22.11x). NTM from 2026-10-23 = w x FY1 + (1 - w) x FY2, w = days to FY1 end (2027-03-31) / 365 = 0.4356; FY1 344.9, FY2 491.9; provider NTM EPS 427.864 re-based to AMAT's EPS basis (non-GAAP: stock comp a cost; acquired-intangible amortization, deal/restructuring costs, investment gains and tax items excluded) = 427.864 (factor 1) = 427.864. Provider check: MarketScreener FY3/26 actual EPS 250.9 = Tokyo Electron's reported J-GAAP EPS JPY 1,254.57 / 5 (5:1 split 2026-09-29; Yahoo split record), so the series is reported and split-adjusted; price is post-split. J-GAAP expenses stock comp; acquired-intangible amortization is negligible: factor 1.000. Growth FY2/FY1 +42.6%. Home listing, local currency on both sides (no FX); consensus: MarketScreener.</t>
        </is>
      </c>
    </row>
    <row r="46">
      <c r="A46" s="41" t="inlineStr">
        <is>
          <t>Peer NTM P/E: ASM International (ASM.AS)</t>
        </is>
      </c>
      <c r="B46" t="inlineStr">
        <is>
          <t>22.5</t>
        </is>
      </c>
      <c r="C46" t="inlineStr">
        <is>
          <t>estimate</t>
        </is>
      </c>
      <c r="D46" t="inlineStr">
        <is>
          <t>35, 36, 37, 38</t>
        </is>
      </c>
      <c r="E46" t="inlineStr"/>
      <c r="F46" s="41" t="inlineStr">
        <is>
          <t>EUR 699.8 close 2026-10-23 / AMAT-basis NTM EPS 31.096 = 22.50x (provider basis 22.84x). NTM from 2026-10-23 = w x FY1 + (1 - w) x FY2, w = days to FY1 end (2026-12-31) / 365 = 0.1890; FY1 23.27, FY2 32.35; provider NTM EPS 30.634 re-based to AMAT's EPS basis (non-GAAP: stock comp a cost; acquired-intangible amortization, deal/restructuring costs, investment gains and tax items excluded) = 30.634 +0.463 = 31.096. Provider check: MarketScreener FY2025 actual EPS 14.70 vs reported ~14.77 (net earnings EUR 723.7M), i.e. reported IFRS. ASM's adjusted net earnings exceed reported by EUR 7.5M a quarter (Q1 2026 246.0 vs 238.5; Q2 292.9 vs 285.4). Per the release's Annex 3 that gap is purchase-price amortization (Reno, LPE, Axus) plus Axus-deal retention stock comp and the Axus earn-out fair-value change, less tax; ASM's own estimate of the total net impact is EUR 26.8M for 2026 and 21.7M for 2027. All of it is acquisition-related, which AMAT's basis excludes (acquired amortization; integration and deal costs). NTM add-back = 0.189 x 26.8 + 0.811 x 21.7 = EUR 22.66M / 48.95M shares (Q2 285.4 / EPS 5.83) = EUR 0.463. If the Axus retention stock comp (3.7 of ~8.7 pre-tax in Q2) were instead kept as a cost, the add-back would be ~EUR 0.26 and the row 22.65x; the median would be 22.69x instead of 22.62x. Growth FY2/FY1 +39.0%. Home listing, local currency on both sides (no FX); consensus: MarketScreener.</t>
        </is>
      </c>
    </row>
    <row r="47">
      <c r="A47" s="41" t="inlineStr">
        <is>
          <t>Peer NTM P/E: Kokusai Electric (6525.T)</t>
        </is>
      </c>
      <c r="B47" t="inlineStr">
        <is>
          <t>20.26</t>
        </is>
      </c>
      <c r="C47" t="inlineStr">
        <is>
          <t>estimate</t>
        </is>
      </c>
      <c r="D47" t="inlineStr">
        <is>
          <t>39, 40, 41, 42</t>
        </is>
      </c>
      <c r="E47" t="inlineStr"/>
      <c r="F47" s="41" t="inlineStr">
        <is>
          <t>JPY 6,822.0 close 2026-10-23 / AMAT-basis NTM EPS 336.784 = 20.26x (provider basis 21.37x). NTM from 2026-10-23 = w x FY1 + (1 - w) x FY2, w = days to FY1 end (2027-03-31) / 365 = 0.4356; FY1 250.2, FY2 372.5; provider NTM EPS 319.224 re-based to AMAT's EPS basis (non-GAAP: stock comp a cost; acquired-intangible amortization, deal/restructuring costs, investment gains and tax items excluded) = 319.224 +17.560 = 336.784. Provider check: MarketScreener FY3/26 actual EPS 129 = Kokusai's reported IFRS basic EPS 129.00 (net income 30,099M); its own adjusted net income is 34,095M (146 a share). AMAT's basis adds back acquired amortization but keeps stock comp: PPA amortization 5,905M a year (1,476M a quarter; Q1 FY27/3 briefing p.32), after tax at the net-income reconciliation's rate 1,764 / 5,760 = 30.6% (5,760 = -508 + 368 + 5,905 - 5): 5,905 x (1 - 0.306) = 4,097M / 233.3M shares (30,099 / 129) = JPY 17.56 added. Kokusai's stock-comp add-back is -5M (nil). Growth FY2/FY1 +48.9%. Home listing, local currency on both sides (no FX); consensus: MarketScreener.</t>
        </is>
      </c>
    </row>
    <row r="48">
      <c r="A48" s="41" t="inlineStr">
        <is>
          <t>Peer NTM P/E: SCREEN Holdings (7735.T)</t>
        </is>
      </c>
      <c r="B48" t="inlineStr">
        <is>
          <t>15.6</t>
        </is>
      </c>
      <c r="C48" t="inlineStr">
        <is>
          <t>estimate</t>
        </is>
      </c>
      <c r="D48" t="inlineStr">
        <is>
          <t>43, 44, 45</t>
        </is>
      </c>
      <c r="E48" t="inlineStr"/>
      <c r="F48" s="41" t="inlineStr">
        <is>
          <t>JPY 11,630.0 close 2026-10-23 / AMAT-basis NTM EPS 745.716 = 15.60x (provider basis 15.60x). NTM from 2026-10-23 = w x FY1 + (1 - w) x FY2, w = days to FY1 end (2027-03-31) / 365 = 0.4356; FY1 626.8, FY2 837.5; provider NTM EPS 745.716 re-based to AMAT's EPS basis (non-GAAP: stock comp a cost; acquired-intangible amortization, deal/restructuring costs, investment gains and tax items excluded) = 745.716 (factor 1) = 745.716. Provider check: MarketScreener FY3/26 actual EPS 486.6 = SCREEN's reported J-GAAP net income JPY 92,003M / 189M shares, already on the post-split count (2:1 split 2026-03-30; Yahoo split record); price is post-split. Stock comp expensed, negligible acquired amortization: factor 1.000. Growth FY2/FY1 +33.6%. Home listing, local currency on both sides (no FX); consensus: MarketScreener.</t>
        </is>
      </c>
    </row>
    <row r="49">
      <c r="A49" s="41" t="inlineStr">
        <is>
          <t>Peer NTM P/E: Lasertec (6920.T)</t>
        </is>
      </c>
      <c r="B49" t="inlineStr">
        <is>
          <t>30.65</t>
        </is>
      </c>
      <c r="C49" t="inlineStr">
        <is>
          <t>estimate</t>
        </is>
      </c>
      <c r="D49" t="inlineStr">
        <is>
          <t>46, 47, 48</t>
        </is>
      </c>
      <c r="E49" t="inlineStr"/>
      <c r="F49" s="41" t="inlineStr">
        <is>
          <t>JPY 38,040.0 close 2026-10-23 / AMAT-basis NTM EPS 1241.192 = 30.65x (provider basis 30.65x). NTM from 2026-10-23 = w x FY1 + (1 - w) x FY2, w = days to FY1 end (2027-06-30) / 365 = 0.6849; FY1 1118.0, FY2 1509.0; provider NTM EPS 1241.192 re-based to AMAT's EPS basis (non-GAAP: stock comp a cost; acquired-intangible amortization, deal/restructuring costs, investment gains and tax items excluded) = 1241.192 (factor 1) = 1241.192. Provider check: MarketScreener FY6/26 actual EPS 863 = Lasertec's reported J-GAAP EPS 863.76; no splits, no acquisitions, stock comp expensed: factor 1.000. Growth FY2/FY1 +35.0%. Home listing, local currency on both sides (no FX); consensus: MarketScreener.</t>
        </is>
      </c>
    </row>
    <row r="51">
      <c r="A51" s="3" t="inlineStr">
        <is>
          <t>#</t>
        </is>
      </c>
      <c r="B51" s="3" t="inlineStr">
        <is>
          <t>Source</t>
        </is>
      </c>
      <c r="C51" s="3" t="inlineStr">
        <is>
          <t>Date</t>
        </is>
      </c>
      <c r="D51" s="3" t="inlineStr">
        <is>
          <t>Link</t>
        </is>
      </c>
    </row>
    <row r="52">
      <c r="A52" t="n">
        <v>1</v>
      </c>
      <c r="B52" s="41" t="inlineStr">
        <is>
          <t>Digitimes: SEMI lifts 2028 wafer fab equipment forecast to US$220 billion</t>
        </is>
      </c>
      <c r="C52" t="inlineStr">
        <is>
          <t>2026-09-01</t>
        </is>
      </c>
      <c r="D52" t="inlineStr">
        <is>
          <t>https://www.digitimes.com/news/a20260901VL214/semicon-taiwan-wafer-fab-equipment-forecast-semi.html</t>
        </is>
      </c>
    </row>
    <row r="53">
      <c r="A53" t="n">
        <v>2</v>
      </c>
      <c r="B53" s="41" t="inlineStr">
        <is>
          <t>SEMI mid-year equipment forecast, Yahoo Finance syndication of the SEMI release (WFE +23.1% to $143.9B in 2026, +21.8% in 2027, +14.1% in 2028 to ~$200B); the semi.org page returned HTTP 403</t>
        </is>
      </c>
      <c r="C53" t="inlineStr">
        <is>
          <t>2026-07-14</t>
        </is>
      </c>
      <c r="D53" t="inlineStr">
        <is>
          <t>https://finance.yahoo.com/technology/articles/global-semiconductor-equipment-sales-forecast-140000150.html</t>
        </is>
      </c>
    </row>
    <row r="54">
      <c r="A54" t="n">
        <v>3</v>
      </c>
      <c r="B54" s="41" t="inlineStr">
        <is>
          <t>NBC News: U.S. and China agree to extend trade truce through Jan. 10, Bessent says</t>
        </is>
      </c>
      <c r="C54" t="inlineStr">
        <is>
          <t>2026-09-23</t>
        </is>
      </c>
      <c r="D54" t="inlineStr">
        <is>
          <t>https://www.nbcnews.com/business/economy/us-china-extend-trade-truce-trump-rcna599525</t>
        </is>
      </c>
    </row>
    <row r="55">
      <c r="A55" t="n">
        <v>4</v>
      </c>
      <c r="B55" s="41" t="inlineStr">
        <is>
          <t>Yahoo Finance: US, China to extend trade war truce by 2 months</t>
        </is>
      </c>
      <c r="C55" t="inlineStr">
        <is>
          <t>2026-09</t>
        </is>
      </c>
      <c r="D55" t="inlineStr">
        <is>
          <t>https://finance.yahoo.com/economy/policy/articles/us-china-extend-trade-war-145500229.html</t>
        </is>
      </c>
    </row>
    <row r="56">
      <c r="A56" t="n">
        <v>5</v>
      </c>
      <c r="B56" s="41" t="inlineStr">
        <is>
          <t>MarketBeat: MU Q4 2026 earnings report 9/30/2026 (actuals pending)</t>
        </is>
      </c>
      <c r="C56" t="inlineStr">
        <is>
          <t>2026-09-30</t>
        </is>
      </c>
      <c r="D56" t="inlineStr">
        <is>
          <t>https://www.marketbeat.com/earnings/reports/2026-9-30-micron-technology-inc-stock/</t>
        </is>
      </c>
    </row>
    <row r="57">
      <c r="A57" t="n">
        <v>6</v>
      </c>
      <c r="B57" s="41" t="inlineStr">
        <is>
          <t>Micron to report fiscal fourth quarter results on September 30, 2026</t>
        </is>
      </c>
      <c r="C57" t="inlineStr">
        <is>
          <t>2026-08-26</t>
        </is>
      </c>
      <c r="D57" t="inlineStr">
        <is>
          <t>https://www.globenewswire.com/news-release/2026/08/26/3351673/14450/en/micron-technology-to-report-fiscal-fourth-quarter-results-on-september-30-2026.html</t>
        </is>
      </c>
    </row>
    <row r="58">
      <c r="A58" t="n">
        <v>7</v>
      </c>
      <c r="B58" s="41" t="inlineStr">
        <is>
          <t>Twelve Data AMAT quote (Sep 30 intraday ~$509.46; prev close $512.01); daily closes Jun 30 $723.00, Sep 16 $415.38 (Twelve Data time series)</t>
        </is>
      </c>
      <c r="C58" t="inlineStr">
        <is>
          <t>2026-09-30</t>
        </is>
      </c>
      <c r="D58" t="inlineStr">
        <is>
          <t>https://twelvedata.com</t>
        </is>
      </c>
    </row>
    <row r="59">
      <c r="A59" t="n">
        <v>8</v>
      </c>
      <c r="B59" s="41" t="inlineStr">
        <is>
          <t>MarketScreener AMAT finances, id 4850 (FY27 EPS $18.43, FY28 $23.85; net sales 46,312M / 55,857M on 2026-10-15)</t>
        </is>
      </c>
      <c r="C59" t="inlineStr">
        <is>
          <t>2026-09-29</t>
        </is>
      </c>
      <c r="D59" t="inlineStr">
        <is>
          <t>https://www.marketscreener.com/quote/stock/APPLIED-MATERIALS-INC-4850/finances/</t>
        </is>
      </c>
    </row>
    <row r="60">
      <c r="A60" t="n">
        <v>9</v>
      </c>
      <c r="B60" s="41" t="inlineStr">
        <is>
          <t>Applied Materials Form 10-Q, quarter ended July 26, 2026 (balance sheet: cash 7,037, ST inv 2,196, LT inv 5,268, ST debt 1,299, LT debt 5,245; equity investments 2,421; 793,597,443 shares)</t>
        </is>
      </c>
      <c r="C60" t="inlineStr">
        <is>
          <t>2026-08-20</t>
        </is>
      </c>
      <c r="D60" t="inlineStr">
        <is>
          <t>https://www.sec.gov/Archives/edgar/data/6951/000162828026058235/amat-20260726.htm</t>
        </is>
      </c>
    </row>
    <row r="61">
      <c r="A61" t="n">
        <v>10</v>
      </c>
      <c r="B61" s="41" t="inlineStr">
        <is>
          <t>Applied Materials Q3 FY2026 results, 8-K Ex. 99.1 (China 28%; FCF; Q4 FY26 outlook)</t>
        </is>
      </c>
      <c r="C61" t="inlineStr">
        <is>
          <t>2026-08-13</t>
        </is>
      </c>
      <c r="D61" t="inlineStr">
        <is>
          <t>https://www.sec.gov/Archives/edgar/data/0000006951/000162828026056699/exhibit991q32026earningsre.htm</t>
        </is>
      </c>
    </row>
    <row r="62">
      <c r="A62" t="n">
        <v>11</v>
      </c>
      <c r="B62" s="41" t="inlineStr">
        <is>
          <t>Applied Materials 8-K, Item 2.02, Nov 13, 2025 (FQ4 FY25 results date, basis for 'mid-November')</t>
        </is>
      </c>
      <c r="C62" t="inlineStr">
        <is>
          <t>2025-11-13</t>
        </is>
      </c>
      <c r="D62" t="inlineStr">
        <is>
          <t>https://www.sec.gov/Archives/edgar/data/6951/000162828025051998/amat-20251113.htm</t>
        </is>
      </c>
    </row>
    <row r="63">
      <c r="A63" t="n">
        <v>12</v>
      </c>
      <c r="B63" s="41" t="inlineStr">
        <is>
          <t>Nasdaq.com analyst earnings forecast (Zacks consensus EPS), LRCX: FY ending 2027-06-30 $9.48 (15 est.), FY ending 2028-06-30 $11.52 (10 est.); snapshot data/estimates/LRCX.json retrieved 2026-10-26</t>
        </is>
      </c>
      <c r="C63" t="inlineStr">
        <is>
          <t>2026-10-26</t>
        </is>
      </c>
      <c r="D63" t="inlineStr">
        <is>
          <t>https://api.nasdaq.com/api/analyst/LRCX/earnings-forecast</t>
        </is>
      </c>
    </row>
    <row r="64">
      <c r="A64" t="n">
        <v>13</v>
      </c>
      <c r="B64" s="41" t="inlineStr">
        <is>
          <t>Yahoo Finance chart feed LRCX: close 2026-10-23 230.1 USD</t>
        </is>
      </c>
      <c r="C64" t="inlineStr">
        <is>
          <t>2026-10-26</t>
        </is>
      </c>
      <c r="D64" t="inlineStr">
        <is>
          <t>https://query1.finance.yahoo.com/v8/finance/chart/LRCX?range=1mo&amp;interval=1d</t>
        </is>
      </c>
    </row>
    <row r="65">
      <c r="A65" t="n">
        <v>14</v>
      </c>
      <c r="B65" s="41" t="inlineStr">
        <is>
          <t>Nasdaq.com earnings surprise (Zacks actual EPS by quarter), LRCX</t>
        </is>
      </c>
      <c r="C65" t="inlineStr">
        <is>
          <t>2026-10-26</t>
        </is>
      </c>
      <c r="D65" t="inlineStr">
        <is>
          <t>https://api.nasdaq.com/api/company/LRCX/earnings-surprise</t>
        </is>
      </c>
    </row>
    <row r="66">
      <c r="A66" t="n">
        <v>15</v>
      </c>
      <c r="B66" s="41" t="inlineStr">
        <is>
          <t>Lam Research Q1 FY27 results, 8-K Ex. 99.1 (2026-10-21): GAAP 2.19 / non-GAAP 2.20 diluted EPS and reconciliation</t>
        </is>
      </c>
      <c r="C66" t="inlineStr">
        <is>
          <t>2026-10-26</t>
        </is>
      </c>
      <c r="D66" t="inlineStr">
        <is>
          <t>https://www.sec.gov/Archives/edgar/data/707549/000070754926000052/lrcx_exhibitx991xq1x2027.htm</t>
        </is>
      </c>
    </row>
    <row r="67">
      <c r="A67" t="n">
        <v>16</v>
      </c>
      <c r="B67" s="41" t="inlineStr">
        <is>
          <t>Nasdaq.com analyst earnings forecast (Zacks consensus EPS), KLAC: FY ending 2027-06-30 $5.43 (10 est.), FY ending 2028-06-30 $6.63 (8 est.); snapshot data/estimates/KLAC.json retrieved 2026-10-26</t>
        </is>
      </c>
      <c r="C67" t="inlineStr">
        <is>
          <t>2026-10-26</t>
        </is>
      </c>
      <c r="D67" t="inlineStr">
        <is>
          <t>https://api.nasdaq.com/api/analyst/KLAC/earnings-forecast</t>
        </is>
      </c>
    </row>
    <row r="68">
      <c r="A68" t="n">
        <v>17</v>
      </c>
      <c r="B68" s="41" t="inlineStr">
        <is>
          <t>Yahoo Finance chart feed KLAC: close 2026-10-23 145.61 USD</t>
        </is>
      </c>
      <c r="C68" t="inlineStr">
        <is>
          <t>2026-10-26</t>
        </is>
      </c>
      <c r="D68" t="inlineStr">
        <is>
          <t>https://query1.finance.yahoo.com/v8/finance/chart/KLAC?range=1mo&amp;interval=1d</t>
        </is>
      </c>
    </row>
    <row r="69">
      <c r="A69" t="n">
        <v>18</v>
      </c>
      <c r="B69" s="41" t="inlineStr">
        <is>
          <t>Nasdaq.com earnings surprise (Zacks actual EPS by quarter), KLAC</t>
        </is>
      </c>
      <c r="C69" t="inlineStr">
        <is>
          <t>2026-10-26</t>
        </is>
      </c>
      <c r="D69" t="inlineStr">
        <is>
          <t>https://api.nasdaq.com/api/company/KLAC/earnings-surprise</t>
        </is>
      </c>
    </row>
    <row r="70">
      <c r="A70" t="n">
        <v>19</v>
      </c>
      <c r="B70" s="41" t="inlineStr">
        <is>
          <t>KLA Q4 FY26 results, 8-K Ex. 99.1 (2026-07-28): GAAP 1.04 / non-GAAP 1.05 diluted EPS and reconciliation</t>
        </is>
      </c>
      <c r="C70" t="inlineStr">
        <is>
          <t>2026-10-26</t>
        </is>
      </c>
      <c r="D70" t="inlineStr">
        <is>
          <t>https://www.sec.gov/Archives/edgar/data/319201/000031920126000024/exhibit991earningsrelease7.htm</t>
        </is>
      </c>
    </row>
    <row r="71">
      <c r="A71" t="n">
        <v>20</v>
      </c>
      <c r="B71" s="41" t="inlineStr">
        <is>
          <t>Nasdaq.com analyst earnings forecast (Zacks consensus EPS), ASML: FY ending 2026-12-31 $46.03 (7 est.), FY ending 2027-12-31 $61.98 (7 est.); snapshot data/estimates/ASML.json retrieved 2026-10-26</t>
        </is>
      </c>
      <c r="C71" t="inlineStr">
        <is>
          <t>2026-10-26</t>
        </is>
      </c>
      <c r="D71" t="inlineStr">
        <is>
          <t>https://api.nasdaq.com/api/analyst/ASML/earnings-forecast</t>
        </is>
      </c>
    </row>
    <row r="72">
      <c r="A72" t="n">
        <v>21</v>
      </c>
      <c r="B72" s="41" t="inlineStr">
        <is>
          <t>Yahoo Finance chart feed ASML: close 2026-10-23 1,571.8 USD</t>
        </is>
      </c>
      <c r="C72" t="inlineStr">
        <is>
          <t>2026-10-26</t>
        </is>
      </c>
      <c r="D72" t="inlineStr">
        <is>
          <t>https://query1.finance.yahoo.com/v8/finance/chart/ASML?range=1mo&amp;interval=1d</t>
        </is>
      </c>
    </row>
    <row r="73">
      <c r="A73" t="n">
        <v>22</v>
      </c>
      <c r="B73" s="41" t="inlineStr">
        <is>
          <t>Nasdaq.com earnings surprise (Zacks actual EPS by quarter), ASML</t>
        </is>
      </c>
      <c r="C73" t="inlineStr">
        <is>
          <t>2026-10-26</t>
        </is>
      </c>
      <c r="D73" t="inlineStr">
        <is>
          <t>https://api.nasdaq.com/api/company/ASML/earnings-surprise</t>
        </is>
      </c>
    </row>
    <row r="74">
      <c r="A74" t="n">
        <v>23</v>
      </c>
      <c r="B74" s="41" t="inlineStr">
        <is>
          <t>ASML Q3 2026 results press release, 6-K (2026-10-14): net income EUR 4,960M, basic EPS EUR 12.95, US GAAP</t>
        </is>
      </c>
      <c r="C74" t="inlineStr">
        <is>
          <t>2026-10-26</t>
        </is>
      </c>
      <c r="D74" t="inlineStr">
        <is>
          <t>https://www.sec.gov/Archives/edgar/data/937966/000162828026065813/pressreleasefinancialresul.htm</t>
        </is>
      </c>
    </row>
    <row r="75">
      <c r="A75" t="n">
        <v>24</v>
      </c>
      <c r="B75" s="41" t="inlineStr">
        <is>
          <t>Nasdaq.com analyst earnings forecast (Zacks consensus EPS), ONTO: FY ending 2026-12-31 $8.04 (6 est.), FY ending 2027-12-31 $11.72 (7 est.); snapshot data/estimates/ONTO.json retrieved 2026-10-26</t>
        </is>
      </c>
      <c r="C75" t="inlineStr">
        <is>
          <t>2026-10-26</t>
        </is>
      </c>
      <c r="D75" t="inlineStr">
        <is>
          <t>https://api.nasdaq.com/api/analyst/ONTO/earnings-forecast</t>
        </is>
      </c>
    </row>
    <row r="76">
      <c r="A76" t="n">
        <v>25</v>
      </c>
      <c r="B76" s="41" t="inlineStr">
        <is>
          <t>Yahoo Finance chart feed ONTO: close 2026-10-23 198.68 USD</t>
        </is>
      </c>
      <c r="C76" t="inlineStr">
        <is>
          <t>2026-10-26</t>
        </is>
      </c>
      <c r="D76" t="inlineStr">
        <is>
          <t>https://query1.finance.yahoo.com/v8/finance/chart/ONTO?range=1mo&amp;interval=1d</t>
        </is>
      </c>
    </row>
    <row r="77">
      <c r="A77" t="n">
        <v>26</v>
      </c>
      <c r="B77" s="41" t="inlineStr">
        <is>
          <t>Nasdaq.com earnings surprise (Zacks actual EPS by quarter), ONTO</t>
        </is>
      </c>
      <c r="C77" t="inlineStr">
        <is>
          <t>2026-10-26</t>
        </is>
      </c>
      <c r="D77" t="inlineStr">
        <is>
          <t>https://api.nasdaq.com/api/company/ONTO/earnings-surprise</t>
        </is>
      </c>
    </row>
    <row r="78">
      <c r="A78" t="n">
        <v>27</v>
      </c>
      <c r="B78" s="41" t="inlineStr">
        <is>
          <t>Onto Innovation Q2 2026 results, 8-K Ex. 99.1 (2026-08-06): GAAP 1.21 / non-GAAP 1.93 and reconciliation</t>
        </is>
      </c>
      <c r="C78" t="inlineStr">
        <is>
          <t>2026-10-26</t>
        </is>
      </c>
      <c r="D78" t="inlineStr">
        <is>
          <t>https://www.sec.gov/Archives/edgar/data/704532/000119312526337990/onto-ex99_1.htm</t>
        </is>
      </c>
    </row>
    <row r="79">
      <c r="A79" t="n">
        <v>28</v>
      </c>
      <c r="B79" s="41" t="inlineStr">
        <is>
          <t>Nasdaq.com analyst earnings forecast (Zacks consensus EPS), NVMI: FY ending 2026-12-31 $9.89 (3 est.), FY ending 2027-12-31 $12.76 (3 est.); snapshot data/estimates/NVMI.json retrieved 2026-10-26</t>
        </is>
      </c>
      <c r="C79" t="inlineStr">
        <is>
          <t>2026-10-26</t>
        </is>
      </c>
      <c r="D79" t="inlineStr">
        <is>
          <t>https://api.nasdaq.com/api/analyst/NVMI/earnings-forecast</t>
        </is>
      </c>
    </row>
    <row r="80">
      <c r="A80" t="n">
        <v>29</v>
      </c>
      <c r="B80" s="41" t="inlineStr">
        <is>
          <t>Yahoo Finance chart feed NVMI: close 2026-10-23 311.35 USD</t>
        </is>
      </c>
      <c r="C80" t="inlineStr">
        <is>
          <t>2026-10-26</t>
        </is>
      </c>
      <c r="D80" t="inlineStr">
        <is>
          <t>https://query1.finance.yahoo.com/v8/finance/chart/NVMI?range=1mo&amp;interval=1d</t>
        </is>
      </c>
    </row>
    <row r="81">
      <c r="A81" t="n">
        <v>30</v>
      </c>
      <c r="B81" s="41" t="inlineStr">
        <is>
          <t>Nasdaq.com earnings surprise (Zacks actual EPS by quarter), NVMI</t>
        </is>
      </c>
      <c r="C81" t="inlineStr">
        <is>
          <t>2026-10-26</t>
        </is>
      </c>
      <c r="D81" t="inlineStr">
        <is>
          <t>https://api.nasdaq.com/api/company/NVMI/earnings-surprise</t>
        </is>
      </c>
    </row>
    <row r="82">
      <c r="A82" t="n">
        <v>31</v>
      </c>
      <c r="B82" s="41" t="inlineStr">
        <is>
          <t>Nova Q2 2026 results, 6-K (2026-08-06): GAAP 2.20 / non-GAAP 2.51 diluted EPS (Q1 2.04 / 2.33) and reconciliation incl. stock comp 6,764 / 7,305</t>
        </is>
      </c>
      <c r="C82" t="inlineStr">
        <is>
          <t>2026-10-26</t>
        </is>
      </c>
      <c r="D82" t="inlineStr">
        <is>
          <t>https://www.sec.gov/Archives/edgar/data/1109345/000117891326003892/zk2635873.htm</t>
        </is>
      </c>
    </row>
    <row r="83">
      <c r="A83" t="n">
        <v>32</v>
      </c>
      <c r="B83" s="41" t="inlineStr">
        <is>
          <t>MarketScreener Tokyo Electron finances page: EPS (JPY) FY ending 2027-03-31 344.9, FY ending 2028-03-31 491.9 (estimates); consensus section last close 9,458.0</t>
        </is>
      </c>
      <c r="C83" t="inlineStr">
        <is>
          <t>2026-10-26</t>
        </is>
      </c>
      <c r="D83" t="inlineStr">
        <is>
          <t>https://www.marketscreener.com/quote/stock/TOKYO-ELECTRON-LIMITED-6491071/finances/</t>
        </is>
      </c>
    </row>
    <row r="84">
      <c r="A84" t="n">
        <v>33</v>
      </c>
      <c r="B84" s="41" t="inlineStr">
        <is>
          <t>Yahoo Finance chart feed 8035.T: close 2026-10-23 9,458.0 JPY</t>
        </is>
      </c>
      <c r="C84" t="inlineStr">
        <is>
          <t>2026-10-26</t>
        </is>
      </c>
      <c r="D84" t="inlineStr">
        <is>
          <t>https://query1.finance.yahoo.com/v8/finance/chart/8035.T?range=1mo&amp;interval=1d</t>
        </is>
      </c>
    </row>
    <row r="85">
      <c r="A85" t="n">
        <v>34</v>
      </c>
      <c r="B85" s="41" t="inlineStr">
        <is>
          <t>envalith Tokyo Electron FY3/26 results (net income JPY 574,454M, EPS JPY 1,254.57; release 2026-04-30)</t>
        </is>
      </c>
      <c r="C85" t="inlineStr">
        <is>
          <t>2026-10-26</t>
        </is>
      </c>
      <c r="D85" t="inlineStr">
        <is>
          <t>https://envalith.com/en/companies/8035/segments</t>
        </is>
      </c>
    </row>
    <row r="86">
      <c r="A86" t="n">
        <v>35</v>
      </c>
      <c r="B86" s="41" t="inlineStr">
        <is>
          <t>MarketScreener ASM International finances page: EPS (EUR) FY ending 2026-12-31 23.27, FY ending 2027-12-31 32.35 (estimates); consensus section last close 699.8</t>
        </is>
      </c>
      <c r="C86" t="inlineStr">
        <is>
          <t>2026-10-26</t>
        </is>
      </c>
      <c r="D86" t="inlineStr">
        <is>
          <t>https://www.marketscreener.com/quote/stock/ASM-INTERNATIONAL-N-V-6312/finances/</t>
        </is>
      </c>
    </row>
    <row r="87">
      <c r="A87" t="n">
        <v>36</v>
      </c>
      <c r="B87" s="41" t="inlineStr">
        <is>
          <t>Yahoo Finance chart feed ASM.AS: close 2026-10-23 699.8 EUR</t>
        </is>
      </c>
      <c r="C87" t="inlineStr">
        <is>
          <t>2026-10-26</t>
        </is>
      </c>
      <c r="D87" t="inlineStr">
        <is>
          <t>https://query1.finance.yahoo.com/v8/finance/chart/ASM.AS?range=1mo&amp;interval=1d</t>
        </is>
      </c>
    </row>
    <row r="88">
      <c r="A88" t="n">
        <v>37</v>
      </c>
      <c r="B88" s="41" t="inlineStr">
        <is>
          <t>ASM reports second quarter 2026 results (2026-07-28): net earnings 285.4 / adjusted 292.9; Q1 238.5 / 246.0 (EUR M); Annex 3 (attached PDF): adjustment items and ASM's estimates of their net impact, EUR 26.8M 2026, 21.7M 2027</t>
        </is>
      </c>
      <c r="C88" t="inlineStr">
        <is>
          <t>2026-10-26</t>
        </is>
      </c>
      <c r="D88" t="inlineStr">
        <is>
          <t>https://www.investegate.co.uk/announcement/gnw/asm-international-nv--0nx3/asm-reports-second-quarter-2026-results/9692080</t>
        </is>
      </c>
    </row>
    <row r="89">
      <c r="A89" t="n">
        <v>38</v>
      </c>
      <c r="B89" s="41" t="inlineStr">
        <is>
          <t>ASM reports Q4 and full-year 2025 results: Q4 166.1 / 169.6, Q3 384.1 / 206.2 (EUR M; ASMPT reversal)</t>
        </is>
      </c>
      <c r="C89" t="inlineStr">
        <is>
          <t>2026-10-26</t>
        </is>
      </c>
      <c r="D89" t="inlineStr">
        <is>
          <t>https://www.investegate.co.uk/announcement/gnw/asm-international-nv--0nx3/asm-reports-q4-and-full-year-2025-results/9456685</t>
        </is>
      </c>
    </row>
    <row r="90">
      <c r="A90" t="n">
        <v>39</v>
      </c>
      <c r="B90" s="41" t="inlineStr">
        <is>
          <t>MarketScreener Kokusai Electric finances page: EPS (JPY) FY ending 2027-03-31 250.2, FY ending 2028-03-31 372.5 (estimates); consensus section last close 6,822.0</t>
        </is>
      </c>
      <c r="C90" t="inlineStr">
        <is>
          <t>2026-10-26</t>
        </is>
      </c>
      <c r="D90" t="inlineStr">
        <is>
          <t>https://www.marketscreener.com/quote/stock/KOKUSAI-ELECTRIC-CORPORAT-159798680/finances/</t>
        </is>
      </c>
    </row>
    <row r="91">
      <c r="A91" t="n">
        <v>40</v>
      </c>
      <c r="B91" s="41" t="inlineStr">
        <is>
          <t>Yahoo Finance chart feed 6525.T: close 2026-10-23 6,822.0 JPY</t>
        </is>
      </c>
      <c r="C91" t="inlineStr">
        <is>
          <t>2026-10-26</t>
        </is>
      </c>
      <c r="D91" t="inlineStr">
        <is>
          <t>https://query1.finance.yahoo.com/v8/finance/chart/6525.T?range=1mo&amp;interval=1d</t>
        </is>
      </c>
    </row>
    <row r="92">
      <c r="A92" t="n">
        <v>41</v>
      </c>
      <c r="B92" s="41" t="inlineStr">
        <is>
          <t>Kokusai Electric, Financial Briefings Q1 FY3/2027 (2026-08-06), Reconciliation of Adjusted Items p.32</t>
        </is>
      </c>
      <c r="C92" t="inlineStr">
        <is>
          <t>2026-10-26</t>
        </is>
      </c>
      <c r="D92" t="inlineStr">
        <is>
          <t>https://www2.infomart.co.jp/web/jp/images/upload/3795/140120260806511537_23726915.pdf</t>
        </is>
      </c>
    </row>
    <row r="93">
      <c r="A93" t="n">
        <v>42</v>
      </c>
      <c r="B93" s="41" t="inlineStr">
        <is>
          <t>Stockopedia: Kokusai Electric 2025/26 group results (IFRS), basic EPS JPY 129.00</t>
        </is>
      </c>
      <c r="C93" t="inlineStr">
        <is>
          <t>2026-10-26</t>
        </is>
      </c>
      <c r="D93" t="inlineStr">
        <is>
          <t>https://www.stockopedia.com/share-prices/kokusai-electric-TYO:6525/news/table-kokusai-electric-2025-26-group-results-ifrs-019e6a25-648d-7e18-9c35-7e98cd0e64a0/</t>
        </is>
      </c>
    </row>
    <row r="94">
      <c r="A94" t="n">
        <v>43</v>
      </c>
      <c r="B94" s="41" t="inlineStr">
        <is>
          <t>MarketScreener SCREEN Holdings finances page: EPS (JPY) FY ending 2027-03-31 626.8, FY ending 2028-03-31 837.5 (estimates); consensus section last close 11,630.0</t>
        </is>
      </c>
      <c r="C94" t="inlineStr">
        <is>
          <t>2026-10-26</t>
        </is>
      </c>
      <c r="D94" t="inlineStr">
        <is>
          <t>https://www.marketscreener.com/quote/stock/SCREEN-HOLDINGS-CO-LTD-6491440/finances/</t>
        </is>
      </c>
    </row>
    <row r="95">
      <c r="A95" t="n">
        <v>44</v>
      </c>
      <c r="B95" s="41" t="inlineStr">
        <is>
          <t>Yahoo Finance chart feed 7735.T: close 2026-10-23 11,630.0 JPY</t>
        </is>
      </c>
      <c r="C95" t="inlineStr">
        <is>
          <t>2026-10-26</t>
        </is>
      </c>
      <c r="D95" t="inlineStr">
        <is>
          <t>https://query1.finance.yahoo.com/v8/finance/chart/7735.T?range=1mo&amp;interval=1d</t>
        </is>
      </c>
    </row>
    <row r="96">
      <c r="A96" t="n">
        <v>45</v>
      </c>
      <c r="B96" s="41" t="inlineStr">
        <is>
          <t>stockanalysis SCREEN Holdings income statement: FY3/26 net income 92,003M, basic EPS 486.62 on 189M shares</t>
        </is>
      </c>
      <c r="C96" t="inlineStr">
        <is>
          <t>2026-10-26</t>
        </is>
      </c>
      <c r="D96" t="inlineStr">
        <is>
          <t>https://stockanalysis.com/quote/tyo/7735/financials/income-statement/</t>
        </is>
      </c>
    </row>
    <row r="97">
      <c r="A97" t="n">
        <v>46</v>
      </c>
      <c r="B97" s="41" t="inlineStr">
        <is>
          <t>MarketScreener Lasertec finances page: EPS (JPY) FY ending 2027-06-30 1118.0, FY ending 2028-06-30 1509.0 (estimates); consensus section last close 38,040.0</t>
        </is>
      </c>
      <c r="C97" t="inlineStr">
        <is>
          <t>2026-10-26</t>
        </is>
      </c>
      <c r="D97" t="inlineStr">
        <is>
          <t>https://www.marketscreener.com/quote/stock/LASERTEC-CORPORATION-11551536/finances/</t>
        </is>
      </c>
    </row>
    <row r="98">
      <c r="A98" t="n">
        <v>47</v>
      </c>
      <c r="B98" s="41" t="inlineStr">
        <is>
          <t>Yahoo Finance chart feed 6920.T: close 2026-10-23 38,040.0 JPY</t>
        </is>
      </c>
      <c r="C98" t="inlineStr">
        <is>
          <t>2026-10-26</t>
        </is>
      </c>
      <c r="D98" t="inlineStr">
        <is>
          <t>https://query1.finance.yahoo.com/v8/finance/chart/6920.T?range=1mo&amp;interval=1d</t>
        </is>
      </c>
    </row>
    <row r="99">
      <c r="A99" t="n">
        <v>48</v>
      </c>
      <c r="B99" s="41" t="inlineStr">
        <is>
          <t>Simply Wall St Lasertec: EPS 863.76 for the year to 2026-06-30</t>
        </is>
      </c>
      <c r="C99" t="inlineStr">
        <is>
          <t>2026-10-26</t>
        </is>
      </c>
      <c r="D99" t="inlineStr">
        <is>
          <t>https://simplywall.st/stocks/mx/semiconductors/bmv-6920-n/lasertec-shares</t>
        </is>
      </c>
    </row>
    <row r="101">
      <c r="A101" s="3" t="inlineStr">
        <is>
          <t>Fact id</t>
        </is>
      </c>
      <c r="B101" s="3" t="inlineStr">
        <is>
          <t>Figure</t>
        </is>
      </c>
      <c r="C101" s="3" t="inlineStr">
        <is>
          <t>Value</t>
        </is>
      </c>
      <c r="D101" s="3" t="inlineStr">
        <is>
          <t>Filing</t>
        </is>
      </c>
    </row>
    <row r="102">
      <c r="A102" t="inlineStr">
        <is>
          <t>F1</t>
        </is>
      </c>
      <c r="B102" t="inlineStr">
        <is>
          <t>revenue FY ending 2023-10-29 (us-gaap:RevenueFromContractWithCustomerExcludingAssessedTax)</t>
        </is>
      </c>
      <c r="C102" s="47" t="n">
        <v>26517000000</v>
      </c>
      <c r="D102" t="inlineStr">
        <is>
          <t>https://www.sec.gov/Archives/edgar/data/6951/000162828025056742/</t>
        </is>
      </c>
    </row>
    <row r="103">
      <c r="A103" t="inlineStr">
        <is>
          <t>F2</t>
        </is>
      </c>
      <c r="B103" t="inlineStr">
        <is>
          <t>revenue FY ending 2024-10-27 (us-gaap:RevenueFromContractWithCustomerExcludingAssessedTax)</t>
        </is>
      </c>
      <c r="C103" s="47" t="n">
        <v>27176000000</v>
      </c>
      <c r="D103" t="inlineStr">
        <is>
          <t>https://www.sec.gov/Archives/edgar/data/6951/000162828025056742/</t>
        </is>
      </c>
    </row>
    <row r="104">
      <c r="A104" t="inlineStr">
        <is>
          <t>F3</t>
        </is>
      </c>
      <c r="B104" t="inlineStr">
        <is>
          <t>revenue FY ending 2025-10-26 (us-gaap:RevenueFromContractWithCustomerExcludingAssessedTax)</t>
        </is>
      </c>
      <c r="C104" s="47" t="n">
        <v>28368000000</v>
      </c>
      <c r="D104" t="inlineStr">
        <is>
          <t>https://www.sec.gov/Archives/edgar/data/6951/000162828025056742/</t>
        </is>
      </c>
    </row>
    <row r="105">
      <c r="A105" t="inlineStr">
        <is>
          <t>F4</t>
        </is>
      </c>
      <c r="B105" t="inlineStr">
        <is>
          <t>revenue YTD 2025-10-27 to 2026-07-26</t>
        </is>
      </c>
      <c r="C105" s="47" t="n">
        <v>24037000000</v>
      </c>
      <c r="D105" t="inlineStr">
        <is>
          <t>https://www.sec.gov/Archives/edgar/data/6951/000162828026058235/</t>
        </is>
      </c>
    </row>
    <row r="106">
      <c r="A106" t="inlineStr">
        <is>
          <t>F5</t>
        </is>
      </c>
      <c r="B106" t="inlineStr">
        <is>
          <t>revenue prior-year YTD 2024-10-28 to 2025-07-27</t>
        </is>
      </c>
      <c r="C106" s="47" t="n">
        <v>21568000000</v>
      </c>
      <c r="D106" t="inlineStr">
        <is>
          <t>https://www.sec.gov/Archives/edgar/data/6951/000162828026058235/</t>
        </is>
      </c>
    </row>
    <row r="107">
      <c r="A107" t="inlineStr">
        <is>
          <t>F6</t>
        </is>
      </c>
      <c r="B107" t="inlineStr">
        <is>
          <t>revenue TTM to 2026-07-26</t>
        </is>
      </c>
      <c r="C107" s="47" t="n">
        <v>30837000000</v>
      </c>
    </row>
    <row r="108">
      <c r="A108" t="inlineStr">
        <is>
          <t>F7</t>
        </is>
      </c>
      <c r="B108" t="inlineStr">
        <is>
          <t>revenue quarter 2026-04-27 to 2026-07-26</t>
        </is>
      </c>
      <c r="C108" s="47" t="n">
        <v>9115000000</v>
      </c>
      <c r="D108" t="inlineStr">
        <is>
          <t>https://www.sec.gov/Archives/edgar/data/6951/000162828026058235/</t>
        </is>
      </c>
    </row>
    <row r="109">
      <c r="A109" t="inlineStr">
        <is>
          <t>F8</t>
        </is>
      </c>
      <c r="B109" t="inlineStr">
        <is>
          <t>operating_income FY ending 2023-10-29 (us-gaap:OperatingIncomeLoss)</t>
        </is>
      </c>
      <c r="C109" s="47" t="n">
        <v>7654000000</v>
      </c>
      <c r="D109" t="inlineStr">
        <is>
          <t>https://www.sec.gov/Archives/edgar/data/6951/000162828025056742/</t>
        </is>
      </c>
    </row>
    <row r="110">
      <c r="A110" t="inlineStr">
        <is>
          <t>F9</t>
        </is>
      </c>
      <c r="B110" t="inlineStr">
        <is>
          <t>operating_income FY ending 2024-10-27 (us-gaap:OperatingIncomeLoss)</t>
        </is>
      </c>
      <c r="C110" s="47" t="n">
        <v>7867000000</v>
      </c>
      <c r="D110" t="inlineStr">
        <is>
          <t>https://www.sec.gov/Archives/edgar/data/6951/000162828025056742/</t>
        </is>
      </c>
    </row>
    <row r="111">
      <c r="A111" t="inlineStr">
        <is>
          <t>F10</t>
        </is>
      </c>
      <c r="B111" t="inlineStr">
        <is>
          <t>operating_income FY ending 2025-10-26 (us-gaap:OperatingIncomeLoss)</t>
        </is>
      </c>
      <c r="C111" s="47" t="n">
        <v>8289000000</v>
      </c>
      <c r="D111" t="inlineStr">
        <is>
          <t>https://www.sec.gov/Archives/edgar/data/6951/000162828025056742/</t>
        </is>
      </c>
    </row>
    <row r="112">
      <c r="A112" t="inlineStr">
        <is>
          <t>F11</t>
        </is>
      </c>
      <c r="B112" t="inlineStr">
        <is>
          <t>operating_income YTD 2025-10-27 to 2026-07-26</t>
        </is>
      </c>
      <c r="C112" s="47" t="n">
        <v>7429000000</v>
      </c>
      <c r="D112" t="inlineStr">
        <is>
          <t>https://www.sec.gov/Archives/edgar/data/6951/000162828026058235/</t>
        </is>
      </c>
    </row>
    <row r="113">
      <c r="A113" t="inlineStr">
        <is>
          <t>F12</t>
        </is>
      </c>
      <c r="B113" t="inlineStr">
        <is>
          <t>operating_income prior-year YTD 2024-10-28 to 2025-07-27</t>
        </is>
      </c>
      <c r="C113" s="47" t="n">
        <v>6577000000</v>
      </c>
      <c r="D113" t="inlineStr">
        <is>
          <t>https://www.sec.gov/Archives/edgar/data/6951/000162828026058235/</t>
        </is>
      </c>
    </row>
    <row r="114">
      <c r="A114" t="inlineStr">
        <is>
          <t>F13</t>
        </is>
      </c>
      <c r="B114" t="inlineStr">
        <is>
          <t>operating_income TTM to 2026-07-26</t>
        </is>
      </c>
      <c r="C114" s="47" t="n">
        <v>9141000000</v>
      </c>
    </row>
    <row r="115">
      <c r="A115" t="inlineStr">
        <is>
          <t>F14</t>
        </is>
      </c>
      <c r="B115" t="inlineStr">
        <is>
          <t>operating_income quarter 2026-04-27 to 2026-07-26</t>
        </is>
      </c>
      <c r="C115" s="47" t="n">
        <v>3075000000</v>
      </c>
      <c r="D115" t="inlineStr">
        <is>
          <t>https://www.sec.gov/Archives/edgar/data/6951/000162828026058235/</t>
        </is>
      </c>
    </row>
    <row r="116">
      <c r="A116" t="inlineStr">
        <is>
          <t>F15</t>
        </is>
      </c>
      <c r="B116" t="inlineStr">
        <is>
          <t>net_income FY ending 2023-10-29 (us-gaap:NetIncomeLoss)</t>
        </is>
      </c>
      <c r="C116" s="47" t="n">
        <v>6856000000</v>
      </c>
      <c r="D116" t="inlineStr">
        <is>
          <t>https://www.sec.gov/Archives/edgar/data/6951/000162828025056742/</t>
        </is>
      </c>
    </row>
    <row r="117">
      <c r="A117" t="inlineStr">
        <is>
          <t>F16</t>
        </is>
      </c>
      <c r="B117" t="inlineStr">
        <is>
          <t>net_income FY ending 2024-10-27 (us-gaap:NetIncomeLoss)</t>
        </is>
      </c>
      <c r="C117" s="47" t="n">
        <v>7177000000</v>
      </c>
      <c r="D117" t="inlineStr">
        <is>
          <t>https://www.sec.gov/Archives/edgar/data/6951/000162828025056742/</t>
        </is>
      </c>
    </row>
    <row r="118">
      <c r="A118" t="inlineStr">
        <is>
          <t>F17</t>
        </is>
      </c>
      <c r="B118" t="inlineStr">
        <is>
          <t>net_income FY ending 2025-10-26 (us-gaap:NetIncomeLoss)</t>
        </is>
      </c>
      <c r="C118" s="47" t="n">
        <v>6998000000</v>
      </c>
      <c r="D118" t="inlineStr">
        <is>
          <t>https://www.sec.gov/Archives/edgar/data/6951/000162828025056742/</t>
        </is>
      </c>
    </row>
    <row r="119">
      <c r="A119" t="inlineStr">
        <is>
          <t>F18</t>
        </is>
      </c>
      <c r="B119" t="inlineStr">
        <is>
          <t>net_income YTD 2025-10-27 to 2026-07-26</t>
        </is>
      </c>
      <c r="C119" s="47" t="n">
        <v>7370000000</v>
      </c>
      <c r="D119" t="inlineStr">
        <is>
          <t>https://www.sec.gov/Archives/edgar/data/6951/000162828026058235/</t>
        </is>
      </c>
    </row>
    <row r="120">
      <c r="A120" t="inlineStr">
        <is>
          <t>F19</t>
        </is>
      </c>
      <c r="B120" t="inlineStr">
        <is>
          <t>net_income prior-year YTD 2024-10-28 to 2025-07-27</t>
        </is>
      </c>
      <c r="C120" s="47" t="n">
        <v>5101000000</v>
      </c>
      <c r="D120" t="inlineStr">
        <is>
          <t>https://www.sec.gov/Archives/edgar/data/6951/000162828026058235/</t>
        </is>
      </c>
    </row>
    <row r="121">
      <c r="A121" t="inlineStr">
        <is>
          <t>F20</t>
        </is>
      </c>
      <c r="B121" t="inlineStr">
        <is>
          <t>net_income TTM to 2026-07-26</t>
        </is>
      </c>
      <c r="C121" s="47" t="n">
        <v>9267000000</v>
      </c>
    </row>
    <row r="122">
      <c r="A122" t="inlineStr">
        <is>
          <t>F21</t>
        </is>
      </c>
      <c r="B122" t="inlineStr">
        <is>
          <t>net_income quarter 2026-04-27 to 2026-07-26</t>
        </is>
      </c>
      <c r="C122" s="47" t="n">
        <v>2538000000</v>
      </c>
      <c r="D122" t="inlineStr">
        <is>
          <t>https://www.sec.gov/Archives/edgar/data/6951/000162828026058235/</t>
        </is>
      </c>
    </row>
    <row r="123">
      <c r="A123" t="inlineStr">
        <is>
          <t>F22</t>
        </is>
      </c>
      <c r="B123" t="inlineStr">
        <is>
          <t>eps_diluted FY ending 2023-10-29 (us-gaap:EarningsPerShareDiluted)</t>
        </is>
      </c>
      <c r="C123" s="47" t="n">
        <v>8.109999999999999</v>
      </c>
      <c r="D123" t="inlineStr">
        <is>
          <t>https://www.sec.gov/Archives/edgar/data/6951/000162828025056742/</t>
        </is>
      </c>
    </row>
    <row r="124">
      <c r="A124" t="inlineStr">
        <is>
          <t>F23</t>
        </is>
      </c>
      <c r="B124" t="inlineStr">
        <is>
          <t>eps_diluted FY ending 2024-10-27 (us-gaap:EarningsPerShareDiluted)</t>
        </is>
      </c>
      <c r="C124" s="47" t="n">
        <v>8.609999999999999</v>
      </c>
      <c r="D124" t="inlineStr">
        <is>
          <t>https://www.sec.gov/Archives/edgar/data/6951/000162828025056742/</t>
        </is>
      </c>
    </row>
    <row r="125">
      <c r="A125" t="inlineStr">
        <is>
          <t>F24</t>
        </is>
      </c>
      <c r="B125" t="inlineStr">
        <is>
          <t>eps_diluted FY ending 2025-10-26 (us-gaap:EarningsPerShareDiluted)</t>
        </is>
      </c>
      <c r="C125" s="47" t="n">
        <v>8.66</v>
      </c>
      <c r="D125" t="inlineStr">
        <is>
          <t>https://www.sec.gov/Archives/edgar/data/6951/000162828025056742/</t>
        </is>
      </c>
    </row>
    <row r="126">
      <c r="A126" t="inlineStr">
        <is>
          <t>F25</t>
        </is>
      </c>
      <c r="B126" t="inlineStr">
        <is>
          <t>eps_diluted YTD 2025-10-27 to 2026-07-26</t>
        </is>
      </c>
      <c r="C126" s="47" t="n">
        <v>9.220000000000001</v>
      </c>
      <c r="D126" t="inlineStr">
        <is>
          <t>https://www.sec.gov/Archives/edgar/data/6951/000162828026058235/</t>
        </is>
      </c>
    </row>
    <row r="127">
      <c r="A127" t="inlineStr">
        <is>
          <t>F26</t>
        </is>
      </c>
      <c r="B127" t="inlineStr">
        <is>
          <t>eps_diluted prior-year YTD 2024-10-28 to 2025-07-27</t>
        </is>
      </c>
      <c r="C127" s="47" t="n">
        <v>6.29</v>
      </c>
      <c r="D127" t="inlineStr">
        <is>
          <t>https://www.sec.gov/Archives/edgar/data/6951/000162828026058235/</t>
        </is>
      </c>
    </row>
    <row r="128">
      <c r="A128" t="inlineStr">
        <is>
          <t>F27</t>
        </is>
      </c>
      <c r="B128" t="inlineStr">
        <is>
          <t>eps_diluted quarter 2026-04-27 to 2026-07-26</t>
        </is>
      </c>
      <c r="C128" s="47" t="n">
        <v>3.17</v>
      </c>
      <c r="D128" t="inlineStr">
        <is>
          <t>https://www.sec.gov/Archives/edgar/data/6951/000162828026058235/</t>
        </is>
      </c>
    </row>
    <row r="129">
      <c r="A129" t="inlineStr">
        <is>
          <t>F28</t>
        </is>
      </c>
      <c r="B129" t="inlineStr">
        <is>
          <t>diluted_shares_wavg FY ending 2023-10-29 (us-gaap:WeightedAverageNumberOfDilutedSharesOutstanding)</t>
        </is>
      </c>
      <c r="C129" s="47" t="n">
        <v>845000000</v>
      </c>
      <c r="D129" t="inlineStr">
        <is>
          <t>https://www.sec.gov/Archives/edgar/data/6951/000162828025056742/</t>
        </is>
      </c>
    </row>
    <row r="130">
      <c r="A130" t="inlineStr">
        <is>
          <t>F29</t>
        </is>
      </c>
      <c r="B130" t="inlineStr">
        <is>
          <t>diluted_shares_wavg FY ending 2024-10-27 (us-gaap:WeightedAverageNumberOfDilutedSharesOutstanding)</t>
        </is>
      </c>
      <c r="C130" s="47" t="n">
        <v>834000000</v>
      </c>
      <c r="D130" t="inlineStr">
        <is>
          <t>https://www.sec.gov/Archives/edgar/data/6951/000162828025056742/</t>
        </is>
      </c>
    </row>
    <row r="131">
      <c r="A131" t="inlineStr">
        <is>
          <t>F30</t>
        </is>
      </c>
      <c r="B131" t="inlineStr">
        <is>
          <t>diluted_shares_wavg FY ending 2025-10-26 (us-gaap:WeightedAverageNumberOfDilutedSharesOutstanding)</t>
        </is>
      </c>
      <c r="C131" s="47" t="n">
        <v>808000000</v>
      </c>
      <c r="D131" t="inlineStr">
        <is>
          <t>https://www.sec.gov/Archives/edgar/data/6951/000162828025056742/</t>
        </is>
      </c>
    </row>
    <row r="132">
      <c r="A132" t="inlineStr">
        <is>
          <t>F31</t>
        </is>
      </c>
      <c r="B132" t="inlineStr">
        <is>
          <t>diluted_shares_wavg YTD 2025-10-27 to 2026-07-26</t>
        </is>
      </c>
      <c r="C132" s="47" t="n">
        <v>799000000</v>
      </c>
      <c r="D132" t="inlineStr">
        <is>
          <t>https://www.sec.gov/Archives/edgar/data/6951/000162828026058235/</t>
        </is>
      </c>
    </row>
    <row r="133">
      <c r="A133" t="inlineStr">
        <is>
          <t>F32</t>
        </is>
      </c>
      <c r="B133" t="inlineStr">
        <is>
          <t>diluted_shares_wavg prior-year YTD 2024-10-28 to 2025-07-27</t>
        </is>
      </c>
      <c r="C133" s="47" t="n">
        <v>811000000</v>
      </c>
      <c r="D133" t="inlineStr">
        <is>
          <t>https://www.sec.gov/Archives/edgar/data/6951/000162828026058235/</t>
        </is>
      </c>
    </row>
    <row r="134">
      <c r="A134" t="inlineStr">
        <is>
          <t>F33</t>
        </is>
      </c>
      <c r="B134" t="inlineStr">
        <is>
          <t>diluted_shares_wavg quarter 2026-04-27 to 2026-07-26</t>
        </is>
      </c>
      <c r="C134" s="47" t="n">
        <v>800000000</v>
      </c>
      <c r="D134" t="inlineStr">
        <is>
          <t>https://www.sec.gov/Archives/edgar/data/6951/000162828026058235/</t>
        </is>
      </c>
    </row>
    <row r="135">
      <c r="A135" t="inlineStr">
        <is>
          <t>F34</t>
        </is>
      </c>
      <c r="B135" t="inlineStr">
        <is>
          <t>d_and_a FY ending 2023-10-29 (us-gaap:DepreciationAndAmortization)</t>
        </is>
      </c>
      <c r="C135" s="47" t="n">
        <v>515000000</v>
      </c>
      <c r="D135" t="inlineStr">
        <is>
          <t>https://www.sec.gov/Archives/edgar/data/6951/000162828025056742/</t>
        </is>
      </c>
    </row>
    <row r="136">
      <c r="A136" t="inlineStr">
        <is>
          <t>F35</t>
        </is>
      </c>
      <c r="B136" t="inlineStr">
        <is>
          <t>d_and_a FY ending 2024-10-27 (us-gaap:DepreciationAndAmortization)</t>
        </is>
      </c>
      <c r="C136" s="47" t="n">
        <v>392000000</v>
      </c>
      <c r="D136" t="inlineStr">
        <is>
          <t>https://www.sec.gov/Archives/edgar/data/6951/000162828025056742/</t>
        </is>
      </c>
    </row>
    <row r="137">
      <c r="A137" t="inlineStr">
        <is>
          <t>F36</t>
        </is>
      </c>
      <c r="B137" t="inlineStr">
        <is>
          <t>d_and_a FY ending 2025-10-26 (us-gaap:DepreciationAndAmortization)</t>
        </is>
      </c>
      <c r="C137" s="47" t="n">
        <v>435000000</v>
      </c>
      <c r="D137" t="inlineStr">
        <is>
          <t>https://www.sec.gov/Archives/edgar/data/6951/000162828025056742/</t>
        </is>
      </c>
    </row>
    <row r="138">
      <c r="A138" t="inlineStr">
        <is>
          <t>F37</t>
        </is>
      </c>
      <c r="B138" t="inlineStr">
        <is>
          <t>d_and_a YTD 2025-10-27 to 2026-07-26</t>
        </is>
      </c>
      <c r="C138" s="47" t="n">
        <v>413000000</v>
      </c>
      <c r="D138" t="inlineStr">
        <is>
          <t>https://www.sec.gov/Archives/edgar/data/6951/000162828026058235/</t>
        </is>
      </c>
    </row>
    <row r="139">
      <c r="A139" t="inlineStr">
        <is>
          <t>F38</t>
        </is>
      </c>
      <c r="B139" t="inlineStr">
        <is>
          <t>d_and_a prior-year YTD 2024-10-28 to 2025-07-27</t>
        </is>
      </c>
      <c r="C139" s="47" t="n">
        <v>321000000</v>
      </c>
      <c r="D139" t="inlineStr">
        <is>
          <t>https://www.sec.gov/Archives/edgar/data/6951/000162828026058235/</t>
        </is>
      </c>
    </row>
    <row r="140">
      <c r="A140" t="inlineStr">
        <is>
          <t>F39</t>
        </is>
      </c>
      <c r="B140" t="inlineStr">
        <is>
          <t>d_and_a TTM to 2026-07-26</t>
        </is>
      </c>
      <c r="C140" s="47" t="n">
        <v>527000000</v>
      </c>
    </row>
    <row r="141">
      <c r="A141" t="inlineStr">
        <is>
          <t>F40</t>
        </is>
      </c>
      <c r="B141" t="inlineStr">
        <is>
          <t>d_and_a quarter 2026-04-27 to 2026-07-26</t>
        </is>
      </c>
      <c r="C141" s="47" t="n">
        <v>151000000</v>
      </c>
      <c r="D141" t="inlineStr">
        <is>
          <t>https://www.sec.gov/Archives/edgar/data/6951/000162828026058235/</t>
        </is>
      </c>
    </row>
    <row r="142">
      <c r="A142" t="inlineStr">
        <is>
          <t>F41</t>
        </is>
      </c>
      <c r="B142" t="inlineStr">
        <is>
          <t>sbc FY ending 2023-10-29 (us-gaap:ShareBasedCompensation)</t>
        </is>
      </c>
      <c r="C142" s="47" t="n">
        <v>490000000</v>
      </c>
      <c r="D142" t="inlineStr">
        <is>
          <t>https://www.sec.gov/Archives/edgar/data/6951/000162828025056742/</t>
        </is>
      </c>
    </row>
    <row r="143">
      <c r="A143" t="inlineStr">
        <is>
          <t>F42</t>
        </is>
      </c>
      <c r="B143" t="inlineStr">
        <is>
          <t>sbc FY ending 2024-10-27 (us-gaap:ShareBasedCompensation)</t>
        </is>
      </c>
      <c r="C143" s="47" t="n">
        <v>577000000</v>
      </c>
      <c r="D143" t="inlineStr">
        <is>
          <t>https://www.sec.gov/Archives/edgar/data/6951/000162828025056742/</t>
        </is>
      </c>
    </row>
    <row r="144">
      <c r="A144" t="inlineStr">
        <is>
          <t>F43</t>
        </is>
      </c>
      <c r="B144" t="inlineStr">
        <is>
          <t>sbc FY ending 2025-10-26 (us-gaap:ShareBasedCompensation)</t>
        </is>
      </c>
      <c r="C144" s="47" t="n">
        <v>668000000</v>
      </c>
      <c r="D144" t="inlineStr">
        <is>
          <t>https://www.sec.gov/Archives/edgar/data/6951/000162828025056742/</t>
        </is>
      </c>
    </row>
    <row r="145">
      <c r="A145" t="inlineStr">
        <is>
          <t>F44</t>
        </is>
      </c>
      <c r="B145" t="inlineStr">
        <is>
          <t>sbc YTD 2025-10-27 to 2026-07-26</t>
        </is>
      </c>
      <c r="C145" s="47" t="n">
        <v>545000000</v>
      </c>
      <c r="D145" t="inlineStr">
        <is>
          <t>https://www.sec.gov/Archives/edgar/data/6951/000162828026058235/</t>
        </is>
      </c>
    </row>
    <row r="146">
      <c r="A146" t="inlineStr">
        <is>
          <t>F45</t>
        </is>
      </c>
      <c r="B146" t="inlineStr">
        <is>
          <t>sbc prior-year YTD 2024-10-28 to 2025-07-27</t>
        </is>
      </c>
      <c r="C146" s="47" t="n">
        <v>512000000</v>
      </c>
      <c r="D146" t="inlineStr">
        <is>
          <t>https://www.sec.gov/Archives/edgar/data/6951/000162828026058235/</t>
        </is>
      </c>
    </row>
    <row r="147">
      <c r="A147" t="inlineStr">
        <is>
          <t>F46</t>
        </is>
      </c>
      <c r="B147" t="inlineStr">
        <is>
          <t>sbc TTM to 2026-07-26</t>
        </is>
      </c>
      <c r="C147" s="47" t="n">
        <v>701000000</v>
      </c>
    </row>
    <row r="148">
      <c r="A148" t="inlineStr">
        <is>
          <t>F47</t>
        </is>
      </c>
      <c r="B148" t="inlineStr">
        <is>
          <t>sbc quarter 2025-10-27 to 2026-01-25</t>
        </is>
      </c>
      <c r="C148" s="47" t="n">
        <v>207000000</v>
      </c>
      <c r="D148" t="inlineStr">
        <is>
          <t>https://www.sec.gov/Archives/edgar/data/6951/000162828026009694/</t>
        </is>
      </c>
    </row>
    <row r="149">
      <c r="A149" t="inlineStr">
        <is>
          <t>F48</t>
        </is>
      </c>
      <c r="B149" t="inlineStr">
        <is>
          <t>cfo FY ending 2023-10-29 (us-gaap:NetCashProvidedByUsedInOperatingActivities)</t>
        </is>
      </c>
      <c r="C149" s="47" t="n">
        <v>8700000000</v>
      </c>
      <c r="D149" t="inlineStr">
        <is>
          <t>https://www.sec.gov/Archives/edgar/data/6951/000162828025056742/</t>
        </is>
      </c>
    </row>
    <row r="150">
      <c r="A150" t="inlineStr">
        <is>
          <t>F49</t>
        </is>
      </c>
      <c r="B150" t="inlineStr">
        <is>
          <t>cfo FY ending 2024-10-27 (us-gaap:NetCashProvidedByUsedInOperatingActivities)</t>
        </is>
      </c>
      <c r="C150" s="47" t="n">
        <v>8677000000</v>
      </c>
      <c r="D150" t="inlineStr">
        <is>
          <t>https://www.sec.gov/Archives/edgar/data/6951/000162828025056742/</t>
        </is>
      </c>
    </row>
    <row r="151">
      <c r="A151" t="inlineStr">
        <is>
          <t>F50</t>
        </is>
      </c>
      <c r="B151" t="inlineStr">
        <is>
          <t>cfo FY ending 2025-10-26 (us-gaap:NetCashProvidedByUsedInOperatingActivities)</t>
        </is>
      </c>
      <c r="C151" s="47" t="n">
        <v>7958000000</v>
      </c>
      <c r="D151" t="inlineStr">
        <is>
          <t>https://www.sec.gov/Archives/edgar/data/6951/000162828025056742/</t>
        </is>
      </c>
    </row>
    <row r="152">
      <c r="A152" t="inlineStr">
        <is>
          <t>F51</t>
        </is>
      </c>
      <c r="B152" t="inlineStr">
        <is>
          <t>cfo YTD 2025-10-27 to 2026-07-26</t>
        </is>
      </c>
      <c r="C152" s="47" t="n">
        <v>5568000000</v>
      </c>
      <c r="D152" t="inlineStr">
        <is>
          <t>https://www.sec.gov/Archives/edgar/data/6951/000162828026058235/</t>
        </is>
      </c>
    </row>
    <row r="153">
      <c r="A153" t="inlineStr">
        <is>
          <t>F52</t>
        </is>
      </c>
      <c r="B153" t="inlineStr">
        <is>
          <t>cfo prior-year YTD 2024-10-28 to 2025-07-27</t>
        </is>
      </c>
      <c r="C153" s="47" t="n">
        <v>5130000000</v>
      </c>
      <c r="D153" t="inlineStr">
        <is>
          <t>https://www.sec.gov/Archives/edgar/data/6951/000162828026058235/</t>
        </is>
      </c>
    </row>
    <row r="154">
      <c r="A154" t="inlineStr">
        <is>
          <t>F53</t>
        </is>
      </c>
      <c r="B154" t="inlineStr">
        <is>
          <t>cfo TTM to 2026-07-26</t>
        </is>
      </c>
      <c r="C154" s="47" t="n">
        <v>8396000000</v>
      </c>
    </row>
    <row r="155">
      <c r="A155" t="inlineStr">
        <is>
          <t>F54</t>
        </is>
      </c>
      <c r="B155" t="inlineStr">
        <is>
          <t>cfo quarter 2025-10-27 to 2026-01-25</t>
        </is>
      </c>
      <c r="C155" s="47" t="n">
        <v>1686000000</v>
      </c>
      <c r="D155" t="inlineStr">
        <is>
          <t>https://www.sec.gov/Archives/edgar/data/6951/000162828026009694/</t>
        </is>
      </c>
    </row>
    <row r="156">
      <c r="A156" t="inlineStr">
        <is>
          <t>F55</t>
        </is>
      </c>
      <c r="B156" t="inlineStr">
        <is>
          <t>capex FY ending 2023-10-29 (us-gaap:PaymentsToAcquirePropertyPlantAndEquipment)</t>
        </is>
      </c>
      <c r="C156" s="47" t="n">
        <v>1106000000</v>
      </c>
      <c r="D156" t="inlineStr">
        <is>
          <t>https://www.sec.gov/Archives/edgar/data/6951/000162828025056742/</t>
        </is>
      </c>
    </row>
    <row r="157">
      <c r="A157" t="inlineStr">
        <is>
          <t>F56</t>
        </is>
      </c>
      <c r="B157" t="inlineStr">
        <is>
          <t>capex FY ending 2024-10-27 (us-gaap:PaymentsToAcquirePropertyPlantAndEquipment)</t>
        </is>
      </c>
      <c r="C157" s="47" t="n">
        <v>1190000000</v>
      </c>
      <c r="D157" t="inlineStr">
        <is>
          <t>https://www.sec.gov/Archives/edgar/data/6951/000162828025056742/</t>
        </is>
      </c>
    </row>
    <row r="158">
      <c r="A158" t="inlineStr">
        <is>
          <t>F57</t>
        </is>
      </c>
      <c r="B158" t="inlineStr">
        <is>
          <t>capex FY ending 2025-10-26 (us-gaap:PaymentsToAcquirePropertyPlantAndEquipment)</t>
        </is>
      </c>
      <c r="C158" s="47" t="n">
        <v>2260000000</v>
      </c>
      <c r="D158" t="inlineStr">
        <is>
          <t>https://www.sec.gov/Archives/edgar/data/6951/000162828025056742/</t>
        </is>
      </c>
    </row>
    <row r="159">
      <c r="A159" t="inlineStr">
        <is>
          <t>F58</t>
        </is>
      </c>
      <c r="B159" t="inlineStr">
        <is>
          <t>capex YTD 2025-10-27 to 2026-07-26</t>
        </is>
      </c>
      <c r="C159" s="47" t="n">
        <v>1988000000</v>
      </c>
      <c r="D159" t="inlineStr">
        <is>
          <t>https://www.sec.gov/Archives/edgar/data/6951/000162828026058235/</t>
        </is>
      </c>
    </row>
    <row r="160">
      <c r="A160" t="inlineStr">
        <is>
          <t>F59</t>
        </is>
      </c>
      <c r="B160" t="inlineStr">
        <is>
          <t>capex prior-year YTD 2024-10-28 to 2025-07-27</t>
        </is>
      </c>
      <c r="C160" s="47" t="n">
        <v>1475000000</v>
      </c>
      <c r="D160" t="inlineStr">
        <is>
          <t>https://www.sec.gov/Archives/edgar/data/6951/000162828026058235/</t>
        </is>
      </c>
    </row>
    <row r="161">
      <c r="A161" t="inlineStr">
        <is>
          <t>F60</t>
        </is>
      </c>
      <c r="B161" t="inlineStr">
        <is>
          <t>capex TTM to 2026-07-26</t>
        </is>
      </c>
      <c r="C161" s="47" t="n">
        <v>2773000000</v>
      </c>
    </row>
    <row r="162">
      <c r="A162" t="inlineStr">
        <is>
          <t>F61</t>
        </is>
      </c>
      <c r="B162" t="inlineStr">
        <is>
          <t>capex quarter 2025-10-27 to 2026-01-25</t>
        </is>
      </c>
      <c r="C162" s="47" t="n">
        <v>646000000</v>
      </c>
      <c r="D162" t="inlineStr">
        <is>
          <t>https://www.sec.gov/Archives/edgar/data/6951/000162828026009694/</t>
        </is>
      </c>
    </row>
    <row r="163">
      <c r="A163" t="inlineStr">
        <is>
          <t>F62</t>
        </is>
      </c>
      <c r="B163" t="inlineStr">
        <is>
          <t>buybacks FY ending 2023-10-29 (us-gaap:PaymentsForRepurchaseOfCommonStock)</t>
        </is>
      </c>
      <c r="C163" s="47" t="n">
        <v>2189000000</v>
      </c>
      <c r="D163" t="inlineStr">
        <is>
          <t>https://www.sec.gov/Archives/edgar/data/6951/000162828025056742/</t>
        </is>
      </c>
    </row>
    <row r="164">
      <c r="A164" t="inlineStr">
        <is>
          <t>F63</t>
        </is>
      </c>
      <c r="B164" t="inlineStr">
        <is>
          <t>buybacks FY ending 2024-10-27 (us-gaap:PaymentsForRepurchaseOfCommonStock)</t>
        </is>
      </c>
      <c r="C164" s="47" t="n">
        <v>3823000000</v>
      </c>
      <c r="D164" t="inlineStr">
        <is>
          <t>https://www.sec.gov/Archives/edgar/data/6951/000162828025056742/</t>
        </is>
      </c>
    </row>
    <row r="165">
      <c r="A165" t="inlineStr">
        <is>
          <t>F64</t>
        </is>
      </c>
      <c r="B165" t="inlineStr">
        <is>
          <t>buybacks FY ending 2025-10-26 (us-gaap:PaymentsForRepurchaseOfCommonStock)</t>
        </is>
      </c>
      <c r="C165" s="47" t="n">
        <v>4895000000</v>
      </c>
      <c r="D165" t="inlineStr">
        <is>
          <t>https://www.sec.gov/Archives/edgar/data/6951/000162828025056742/</t>
        </is>
      </c>
    </row>
    <row r="166">
      <c r="A166" t="inlineStr">
        <is>
          <t>F65</t>
        </is>
      </c>
      <c r="B166" t="inlineStr">
        <is>
          <t>buybacks YTD 2025-10-27 to 2026-07-26</t>
        </is>
      </c>
      <c r="C166" s="47" t="n">
        <v>1177000000</v>
      </c>
      <c r="D166" t="inlineStr">
        <is>
          <t>https://www.sec.gov/Archives/edgar/data/6951/000162828026058235/</t>
        </is>
      </c>
    </row>
    <row r="167">
      <c r="A167" t="inlineStr">
        <is>
          <t>F66</t>
        </is>
      </c>
      <c r="B167" t="inlineStr">
        <is>
          <t>buybacks prior-year YTD 2024-10-28 to 2025-07-27</t>
        </is>
      </c>
      <c r="C167" s="47" t="n">
        <v>4044000000</v>
      </c>
      <c r="D167" t="inlineStr">
        <is>
          <t>https://www.sec.gov/Archives/edgar/data/6951/000162828026058235/</t>
        </is>
      </c>
    </row>
    <row r="168">
      <c r="A168" t="inlineStr">
        <is>
          <t>F67</t>
        </is>
      </c>
      <c r="B168" t="inlineStr">
        <is>
          <t>buybacks TTM to 2026-07-26</t>
        </is>
      </c>
      <c r="C168" s="47" t="n">
        <v>2028000000</v>
      </c>
    </row>
    <row r="169">
      <c r="A169" t="inlineStr">
        <is>
          <t>F68</t>
        </is>
      </c>
      <c r="B169" t="inlineStr">
        <is>
          <t>buybacks quarter 2025-10-27 to 2026-01-25</t>
        </is>
      </c>
      <c r="C169" s="47" t="n">
        <v>337000000</v>
      </c>
      <c r="D169" t="inlineStr">
        <is>
          <t>https://www.sec.gov/Archives/edgar/data/6951/000162828026009694/</t>
        </is>
      </c>
    </row>
    <row r="170">
      <c r="A170" t="inlineStr">
        <is>
          <t>F69</t>
        </is>
      </c>
      <c r="B170" t="inlineStr">
        <is>
          <t>dividends_paid FY ending 2023-10-29 (us-gaap:PaymentsOfDividends)</t>
        </is>
      </c>
      <c r="C170" s="47" t="n">
        <v>975000000</v>
      </c>
      <c r="D170" t="inlineStr">
        <is>
          <t>https://www.sec.gov/Archives/edgar/data/6951/000162828025056742/</t>
        </is>
      </c>
    </row>
    <row r="171">
      <c r="A171" t="inlineStr">
        <is>
          <t>F70</t>
        </is>
      </c>
      <c r="B171" t="inlineStr">
        <is>
          <t>dividends_paid FY ending 2024-10-27 (us-gaap:PaymentsOfDividends)</t>
        </is>
      </c>
      <c r="C171" s="47" t="n">
        <v>1192000000</v>
      </c>
      <c r="D171" t="inlineStr">
        <is>
          <t>https://www.sec.gov/Archives/edgar/data/6951/000162828025056742/</t>
        </is>
      </c>
    </row>
    <row r="172">
      <c r="A172" t="inlineStr">
        <is>
          <t>F71</t>
        </is>
      </c>
      <c r="B172" t="inlineStr">
        <is>
          <t>dividends_paid FY ending 2025-10-26 (us-gaap:PaymentsOfDividends)</t>
        </is>
      </c>
      <c r="C172" s="47" t="n">
        <v>1384000000</v>
      </c>
      <c r="D172" t="inlineStr">
        <is>
          <t>https://www.sec.gov/Archives/edgar/data/6951/000162828025056742/</t>
        </is>
      </c>
    </row>
    <row r="173">
      <c r="A173" t="inlineStr">
        <is>
          <t>F72</t>
        </is>
      </c>
      <c r="B173" t="inlineStr">
        <is>
          <t>dividends_paid YTD 2025-10-27 to 2026-07-26</t>
        </is>
      </c>
      <c r="C173" s="47" t="n">
        <v>1150000000</v>
      </c>
      <c r="D173" t="inlineStr">
        <is>
          <t>https://www.sec.gov/Archives/edgar/data/6951/000162828026058235/</t>
        </is>
      </c>
    </row>
    <row r="174">
      <c r="A174" t="inlineStr">
        <is>
          <t>F73</t>
        </is>
      </c>
      <c r="B174" t="inlineStr">
        <is>
          <t>dividends_paid prior-year YTD 2024-10-28 to 2025-07-27</t>
        </is>
      </c>
      <c r="C174" s="47" t="n">
        <v>1019000000</v>
      </c>
      <c r="D174" t="inlineStr">
        <is>
          <t>https://www.sec.gov/Archives/edgar/data/6951/000162828026058235/</t>
        </is>
      </c>
    </row>
    <row r="175">
      <c r="A175" t="inlineStr">
        <is>
          <t>F74</t>
        </is>
      </c>
      <c r="B175" t="inlineStr">
        <is>
          <t>dividends_paid TTM to 2026-07-26</t>
        </is>
      </c>
      <c r="C175" s="47" t="n">
        <v>1515000000</v>
      </c>
    </row>
    <row r="176">
      <c r="A176" t="inlineStr">
        <is>
          <t>F75</t>
        </is>
      </c>
      <c r="B176" t="inlineStr">
        <is>
          <t>dividends_paid quarter 2025-10-27 to 2026-01-25</t>
        </is>
      </c>
      <c r="C176" s="47" t="n">
        <v>365000000</v>
      </c>
      <c r="D176" t="inlineStr">
        <is>
          <t>https://www.sec.gov/Archives/edgar/data/6951/000162828026009694/</t>
        </is>
      </c>
    </row>
    <row r="177">
      <c r="A177" t="inlineStr">
        <is>
          <t>F76</t>
        </is>
      </c>
      <c r="B177" t="inlineStr">
        <is>
          <t>interest_expense FY ending 2023-10-29 (us-gaap:InterestExpenseNonoperating)</t>
        </is>
      </c>
      <c r="C177" s="47" t="n">
        <v>238000000</v>
      </c>
      <c r="D177" t="inlineStr">
        <is>
          <t>https://www.sec.gov/Archives/edgar/data/6951/000162828025056742/</t>
        </is>
      </c>
    </row>
    <row r="178">
      <c r="A178" t="inlineStr">
        <is>
          <t>F77</t>
        </is>
      </c>
      <c r="B178" t="inlineStr">
        <is>
          <t>interest_expense FY ending 2024-10-27 (us-gaap:InterestExpenseNonoperating)</t>
        </is>
      </c>
      <c r="C178" s="47" t="n">
        <v>247000000</v>
      </c>
      <c r="D178" t="inlineStr">
        <is>
          <t>https://www.sec.gov/Archives/edgar/data/6951/000162828025056742/</t>
        </is>
      </c>
    </row>
    <row r="179">
      <c r="A179" t="inlineStr">
        <is>
          <t>F78</t>
        </is>
      </c>
      <c r="B179" t="inlineStr">
        <is>
          <t>interest_expense FY ending 2025-10-26 (us-gaap:InterestExpenseNonoperating)</t>
        </is>
      </c>
      <c r="C179" s="47" t="n">
        <v>269000000</v>
      </c>
      <c r="D179" t="inlineStr">
        <is>
          <t>https://www.sec.gov/Archives/edgar/data/6951/000162828025056742/</t>
        </is>
      </c>
    </row>
    <row r="180">
      <c r="A180" t="inlineStr">
        <is>
          <t>F79</t>
        </is>
      </c>
      <c r="B180" t="inlineStr">
        <is>
          <t>interest_expense YTD 2025-10-27 to 2026-07-26</t>
        </is>
      </c>
      <c r="C180" s="47" t="n">
        <v>206000000</v>
      </c>
      <c r="D180" t="inlineStr">
        <is>
          <t>https://www.sec.gov/Archives/edgar/data/6951/000162828026058235/</t>
        </is>
      </c>
    </row>
    <row r="181">
      <c r="A181" t="inlineStr">
        <is>
          <t>F80</t>
        </is>
      </c>
      <c r="B181" t="inlineStr">
        <is>
          <t>interest_expense prior-year YTD 2024-10-28 to 2025-07-27</t>
        </is>
      </c>
      <c r="C181" s="47" t="n">
        <v>198000000</v>
      </c>
      <c r="D181" t="inlineStr">
        <is>
          <t>https://www.sec.gov/Archives/edgar/data/6951/000162828026058235/</t>
        </is>
      </c>
    </row>
    <row r="182">
      <c r="A182" t="inlineStr">
        <is>
          <t>F81</t>
        </is>
      </c>
      <c r="B182" t="inlineStr">
        <is>
          <t>interest_expense TTM to 2026-07-26</t>
        </is>
      </c>
      <c r="C182" s="47" t="n">
        <v>277000000</v>
      </c>
    </row>
    <row r="183">
      <c r="A183" t="inlineStr">
        <is>
          <t>F82</t>
        </is>
      </c>
      <c r="B183" t="inlineStr">
        <is>
          <t>interest_expense quarter 2026-04-27 to 2026-07-26</t>
        </is>
      </c>
      <c r="C183" s="47" t="n">
        <v>68000000</v>
      </c>
      <c r="D183" t="inlineStr">
        <is>
          <t>https://www.sec.gov/Archives/edgar/data/6951/000162828026058235/</t>
        </is>
      </c>
    </row>
    <row r="184">
      <c r="A184" t="inlineStr">
        <is>
          <t>F83</t>
        </is>
      </c>
      <c r="B184" t="inlineStr">
        <is>
          <t>income_tax FY ending 2023-10-29 (us-gaap:IncomeTaxExpenseBenefit)</t>
        </is>
      </c>
      <c r="C184" s="47" t="n">
        <v>860000000</v>
      </c>
      <c r="D184" t="inlineStr">
        <is>
          <t>https://www.sec.gov/Archives/edgar/data/6951/000162828025056742/</t>
        </is>
      </c>
    </row>
    <row r="185">
      <c r="A185" t="inlineStr">
        <is>
          <t>F84</t>
        </is>
      </c>
      <c r="B185" t="inlineStr">
        <is>
          <t>income_tax FY ending 2024-10-27 (us-gaap:IncomeTaxExpenseBenefit)</t>
        </is>
      </c>
      <c r="C185" s="47" t="n">
        <v>975000000</v>
      </c>
      <c r="D185" t="inlineStr">
        <is>
          <t>https://www.sec.gov/Archives/edgar/data/6951/000162828025056742/</t>
        </is>
      </c>
    </row>
    <row r="186">
      <c r="A186" t="inlineStr">
        <is>
          <t>F85</t>
        </is>
      </c>
      <c r="B186" t="inlineStr">
        <is>
          <t>income_tax FY ending 2025-10-26 (us-gaap:IncomeTaxExpenseBenefit)</t>
        </is>
      </c>
      <c r="C186" s="47" t="n">
        <v>2273000000</v>
      </c>
      <c r="D186" t="inlineStr">
        <is>
          <t>https://www.sec.gov/Archives/edgar/data/6951/000162828025056742/</t>
        </is>
      </c>
    </row>
    <row r="187">
      <c r="A187" t="inlineStr">
        <is>
          <t>F86</t>
        </is>
      </c>
      <c r="B187" t="inlineStr">
        <is>
          <t>income_tax YTD 2025-10-27 to 2026-07-26</t>
        </is>
      </c>
      <c r="C187" s="47" t="n">
        <v>1090000000</v>
      </c>
      <c r="D187" t="inlineStr">
        <is>
          <t>https://www.sec.gov/Archives/edgar/data/6951/000162828026058235/</t>
        </is>
      </c>
    </row>
    <row r="188">
      <c r="A188" t="inlineStr">
        <is>
          <t>F87</t>
        </is>
      </c>
      <c r="B188" t="inlineStr">
        <is>
          <t>income_tax prior-year YTD 2024-10-28 to 2025-07-27</t>
        </is>
      </c>
      <c r="C188" s="47" t="n">
        <v>1903000000</v>
      </c>
      <c r="D188" t="inlineStr">
        <is>
          <t>https://www.sec.gov/Archives/edgar/data/6951/000162828026058235/</t>
        </is>
      </c>
    </row>
    <row r="189">
      <c r="A189" t="inlineStr">
        <is>
          <t>F88</t>
        </is>
      </c>
      <c r="B189" t="inlineStr">
        <is>
          <t>income_tax TTM to 2026-07-26</t>
        </is>
      </c>
      <c r="C189" s="47" t="n">
        <v>1460000000</v>
      </c>
    </row>
    <row r="190">
      <c r="A190" t="inlineStr">
        <is>
          <t>F89</t>
        </is>
      </c>
      <c r="B190" t="inlineStr">
        <is>
          <t>income_tax quarter 2026-04-27 to 2026-07-26</t>
        </is>
      </c>
      <c r="C190" s="47" t="n">
        <v>369000000</v>
      </c>
      <c r="D190" t="inlineStr">
        <is>
          <t>https://www.sec.gov/Archives/edgar/data/6951/000162828026058235/</t>
        </is>
      </c>
    </row>
    <row r="191">
      <c r="A191" t="inlineStr">
        <is>
          <t>F90</t>
        </is>
      </c>
      <c r="B191" t="inlineStr">
        <is>
          <t>pretax_income FY ending 2023-10-29 (us-gaap:IncomeLossFromContinuingOperationsBeforeIncomeTaxesExtraordinaryItemsNoncontrollingInterest)</t>
        </is>
      </c>
      <c r="C191" s="47" t="n">
        <v>7716000000</v>
      </c>
      <c r="D191" t="inlineStr">
        <is>
          <t>https://www.sec.gov/Archives/edgar/data/6951/000162828025056742/</t>
        </is>
      </c>
    </row>
    <row r="192">
      <c r="A192" t="inlineStr">
        <is>
          <t>F91</t>
        </is>
      </c>
      <c r="B192" t="inlineStr">
        <is>
          <t>pretax_income FY ending 2024-10-27 (us-gaap:IncomeLossFromContinuingOperationsBeforeIncomeTaxesExtraordinaryItemsNoncontrollingInterest)</t>
        </is>
      </c>
      <c r="C192" s="47" t="n">
        <v>8152000000</v>
      </c>
      <c r="D192" t="inlineStr">
        <is>
          <t>https://www.sec.gov/Archives/edgar/data/6951/000162828025056742/</t>
        </is>
      </c>
    </row>
    <row r="193">
      <c r="A193" t="inlineStr">
        <is>
          <t>F92</t>
        </is>
      </c>
      <c r="B193" t="inlineStr">
        <is>
          <t>pretax_income FY ending 2025-10-26 (us-gaap:IncomeLossFromContinuingOperationsBeforeIncomeTaxesExtraordinaryItemsNoncontrollingInterest)</t>
        </is>
      </c>
      <c r="C193" s="47" t="n">
        <v>9271000000</v>
      </c>
      <c r="D193" t="inlineStr">
        <is>
          <t>https://www.sec.gov/Archives/edgar/data/6951/000162828025056742/</t>
        </is>
      </c>
    </row>
    <row r="194">
      <c r="A194" t="inlineStr">
        <is>
          <t>F93</t>
        </is>
      </c>
      <c r="B194" t="inlineStr">
        <is>
          <t>pretax_income YTD 2025-10-27 to 2026-07-26</t>
        </is>
      </c>
      <c r="C194" s="47" t="n">
        <v>8460000000</v>
      </c>
      <c r="D194" t="inlineStr">
        <is>
          <t>https://www.sec.gov/Archives/edgar/data/6951/000162828026058235/</t>
        </is>
      </c>
    </row>
    <row r="195">
      <c r="A195" t="inlineStr">
        <is>
          <t>F94</t>
        </is>
      </c>
      <c r="B195" t="inlineStr">
        <is>
          <t>pretax_income prior-year YTD 2024-10-28 to 2025-07-27</t>
        </is>
      </c>
      <c r="C195" s="47" t="n">
        <v>7004000000</v>
      </c>
      <c r="D195" t="inlineStr">
        <is>
          <t>https://www.sec.gov/Archives/edgar/data/6951/000162828026058235/</t>
        </is>
      </c>
    </row>
    <row r="196">
      <c r="A196" t="inlineStr">
        <is>
          <t>F95</t>
        </is>
      </c>
      <c r="B196" t="inlineStr">
        <is>
          <t>pretax_income TTM to 2026-07-26</t>
        </is>
      </c>
      <c r="C196" s="47" t="n">
        <v>10727000000</v>
      </c>
    </row>
    <row r="197">
      <c r="A197" t="inlineStr">
        <is>
          <t>F96</t>
        </is>
      </c>
      <c r="B197" t="inlineStr">
        <is>
          <t>pretax_income quarter 2026-04-27 to 2026-07-26</t>
        </is>
      </c>
      <c r="C197" s="47" t="n">
        <v>2907000000</v>
      </c>
      <c r="D197" t="inlineStr">
        <is>
          <t>https://www.sec.gov/Archives/edgar/data/6951/000162828026058235/</t>
        </is>
      </c>
    </row>
    <row r="198">
      <c r="A198" t="inlineStr">
        <is>
          <t>F97</t>
        </is>
      </c>
      <c r="B198" t="inlineStr">
        <is>
          <t>cash at 2026-07-26 (us-gaap:CashAndCashEquivalentsAtCarryingValue)</t>
        </is>
      </c>
      <c r="C198" s="47" t="n">
        <v>7037000000</v>
      </c>
      <c r="D198" t="inlineStr">
        <is>
          <t>https://www.sec.gov/Archives/edgar/data/6951/000162828026058235/</t>
        </is>
      </c>
    </row>
    <row r="199">
      <c r="A199" t="inlineStr">
        <is>
          <t>F98</t>
        </is>
      </c>
      <c r="B199" t="inlineStr">
        <is>
          <t>st_investments at 2026-07-26 (us-gaap:ShortTermInvestments)</t>
        </is>
      </c>
      <c r="C199" s="47" t="n">
        <v>2196000000</v>
      </c>
      <c r="D199" t="inlineStr">
        <is>
          <t>https://www.sec.gov/Archives/edgar/data/6951/000162828026058235/</t>
        </is>
      </c>
    </row>
    <row r="200">
      <c r="A200" t="inlineStr">
        <is>
          <t>F99</t>
        </is>
      </c>
      <c r="B200" t="inlineStr">
        <is>
          <t>debt_noncurrent at 2026-07-26 (us-gaap:LongTermDebtNoncurrent)</t>
        </is>
      </c>
      <c r="C200" s="47" t="n">
        <v>5245000000</v>
      </c>
      <c r="D200" t="inlineStr">
        <is>
          <t>https://www.sec.gov/Archives/edgar/data/6951/000162828026058235/</t>
        </is>
      </c>
    </row>
    <row r="201">
      <c r="A201" t="inlineStr">
        <is>
          <t>F100</t>
        </is>
      </c>
      <c r="B201" t="inlineStr">
        <is>
          <t>debt_current at 2026-07-26 (us-gaap:LongTermDebtCurrent)</t>
        </is>
      </c>
      <c r="C201" s="47" t="n">
        <v>1199000000</v>
      </c>
      <c r="D201" t="inlineStr">
        <is>
          <t>https://www.sec.gov/Archives/edgar/data/6951/000162828026058235/</t>
        </is>
      </c>
    </row>
    <row r="202">
      <c r="A202" t="inlineStr">
        <is>
          <t>F101</t>
        </is>
      </c>
      <c r="B202" t="inlineStr">
        <is>
          <t>st_borrowings at 2026-07-26 (us-gaap:ShortTermBorrowings)</t>
        </is>
      </c>
      <c r="C202" s="47" t="n">
        <v>1299000000</v>
      </c>
      <c r="D202" t="inlineStr">
        <is>
          <t>https://www.sec.gov/Archives/edgar/data/6951/000162828026058235/</t>
        </is>
      </c>
    </row>
    <row r="203">
      <c r="A203" t="inlineStr">
        <is>
          <t>F102</t>
        </is>
      </c>
      <c r="B203" t="inlineStr">
        <is>
          <t>equity at 2026-07-26 (us-gaap:StockholdersEquity)</t>
        </is>
      </c>
      <c r="C203" s="47" t="n">
        <v>25626000000</v>
      </c>
      <c r="D203" t="inlineStr">
        <is>
          <t>https://www.sec.gov/Archives/edgar/data/6951/000162828026058235/</t>
        </is>
      </c>
    </row>
    <row r="204">
      <c r="A204" t="inlineStr">
        <is>
          <t>F103</t>
        </is>
      </c>
      <c r="B204" t="inlineStr">
        <is>
          <t>shares outstanding (cover page, 1 class(es)) as of 2026-07-26</t>
        </is>
      </c>
      <c r="C204" s="47" t="n">
        <v>793597443</v>
      </c>
      <c r="D204" t="inlineStr">
        <is>
          <t>https://www.sec.gov/Archives/edgar/data/6951/000162828026058235/</t>
        </is>
      </c>
    </row>
    <row r="205">
      <c r="A205" t="inlineStr">
        <is>
          <t>F104</t>
        </is>
      </c>
      <c r="B205" t="inlineStr">
        <is>
          <t>total debt (XBRL tags; excludes leases unless tagged in; check the balance sheet)</t>
        </is>
      </c>
      <c r="C205" s="47" t="n">
        <v>7743000000</v>
      </c>
    </row>
    <row r="206">
      <c r="A206" t="inlineStr">
        <is>
          <t>F105</t>
        </is>
      </c>
      <c r="B206" t="inlineStr">
        <is>
          <t>net debt = debt - cash - short-term investments</t>
        </is>
      </c>
      <c r="C206" s="47" t="n">
        <v>-1490000000</v>
      </c>
    </row>
    <row r="207">
      <c r="A207" t="inlineStr">
        <is>
          <t>F106</t>
        </is>
      </c>
      <c r="B207" t="inlineStr">
        <is>
          <t>EBITDA TTM (GAAP operating income + D&amp;A; not the company's adjusted EBITDA)</t>
        </is>
      </c>
      <c r="C207" s="47" t="n">
        <v>9668000000</v>
      </c>
    </row>
    <row r="208">
      <c r="A208" t="inlineStr">
        <is>
          <t>F107</t>
        </is>
      </c>
      <c r="B208" t="inlineStr">
        <is>
          <t>free cash flow TTM = operating cash flow - capex (before SBC adjustment)</t>
        </is>
      </c>
      <c r="C208" s="47" t="n">
        <v>5623000000</v>
      </c>
    </row>
    <row r="209">
      <c r="A209" t="inlineStr">
        <is>
          <t>F108</t>
        </is>
      </c>
      <c r="B209" t="inlineStr">
        <is>
          <t>diluted EPS TTM approx = net income TTM / latest quarter diluted shares</t>
        </is>
      </c>
      <c r="C209" s="47" t="n">
        <v>11.58375</v>
      </c>
    </row>
  </sheetData>
  <hyperlinks>
    <hyperlink xmlns:r="http://schemas.openxmlformats.org/officeDocument/2006/relationships" ref="D52" r:id="rId1"/>
    <hyperlink xmlns:r="http://schemas.openxmlformats.org/officeDocument/2006/relationships" ref="D53" r:id="rId2"/>
    <hyperlink xmlns:r="http://schemas.openxmlformats.org/officeDocument/2006/relationships" ref="D54" r:id="rId3"/>
    <hyperlink xmlns:r="http://schemas.openxmlformats.org/officeDocument/2006/relationships" ref="D55" r:id="rId4"/>
    <hyperlink xmlns:r="http://schemas.openxmlformats.org/officeDocument/2006/relationships" ref="D56" r:id="rId5"/>
    <hyperlink xmlns:r="http://schemas.openxmlformats.org/officeDocument/2006/relationships" ref="D57" r:id="rId6"/>
    <hyperlink xmlns:r="http://schemas.openxmlformats.org/officeDocument/2006/relationships" ref="D58" r:id="rId7"/>
    <hyperlink xmlns:r="http://schemas.openxmlformats.org/officeDocument/2006/relationships" ref="D59" r:id="rId8"/>
    <hyperlink xmlns:r="http://schemas.openxmlformats.org/officeDocument/2006/relationships" ref="D60" r:id="rId9"/>
    <hyperlink xmlns:r="http://schemas.openxmlformats.org/officeDocument/2006/relationships" ref="D61" r:id="rId10"/>
    <hyperlink xmlns:r="http://schemas.openxmlformats.org/officeDocument/2006/relationships" ref="D62" r:id="rId11"/>
    <hyperlink xmlns:r="http://schemas.openxmlformats.org/officeDocument/2006/relationships" ref="D63" r:id="rId12"/>
    <hyperlink xmlns:r="http://schemas.openxmlformats.org/officeDocument/2006/relationships" ref="D64" r:id="rId13"/>
    <hyperlink xmlns:r="http://schemas.openxmlformats.org/officeDocument/2006/relationships" ref="D65" r:id="rId14"/>
    <hyperlink xmlns:r="http://schemas.openxmlformats.org/officeDocument/2006/relationships" ref="D66" r:id="rId15"/>
    <hyperlink xmlns:r="http://schemas.openxmlformats.org/officeDocument/2006/relationships" ref="D67" r:id="rId16"/>
    <hyperlink xmlns:r="http://schemas.openxmlformats.org/officeDocument/2006/relationships" ref="D68" r:id="rId17"/>
    <hyperlink xmlns:r="http://schemas.openxmlformats.org/officeDocument/2006/relationships" ref="D69" r:id="rId18"/>
    <hyperlink xmlns:r="http://schemas.openxmlformats.org/officeDocument/2006/relationships" ref="D70" r:id="rId19"/>
    <hyperlink xmlns:r="http://schemas.openxmlformats.org/officeDocument/2006/relationships" ref="D71" r:id="rId20"/>
    <hyperlink xmlns:r="http://schemas.openxmlformats.org/officeDocument/2006/relationships" ref="D72" r:id="rId21"/>
    <hyperlink xmlns:r="http://schemas.openxmlformats.org/officeDocument/2006/relationships" ref="D73" r:id="rId22"/>
    <hyperlink xmlns:r="http://schemas.openxmlformats.org/officeDocument/2006/relationships" ref="D74" r:id="rId23"/>
    <hyperlink xmlns:r="http://schemas.openxmlformats.org/officeDocument/2006/relationships" ref="D75" r:id="rId24"/>
    <hyperlink xmlns:r="http://schemas.openxmlformats.org/officeDocument/2006/relationships" ref="D76" r:id="rId25"/>
    <hyperlink xmlns:r="http://schemas.openxmlformats.org/officeDocument/2006/relationships" ref="D77" r:id="rId26"/>
    <hyperlink xmlns:r="http://schemas.openxmlformats.org/officeDocument/2006/relationships" ref="D78" r:id="rId27"/>
    <hyperlink xmlns:r="http://schemas.openxmlformats.org/officeDocument/2006/relationships" ref="D79" r:id="rId28"/>
    <hyperlink xmlns:r="http://schemas.openxmlformats.org/officeDocument/2006/relationships" ref="D80" r:id="rId29"/>
    <hyperlink xmlns:r="http://schemas.openxmlformats.org/officeDocument/2006/relationships" ref="D81" r:id="rId30"/>
    <hyperlink xmlns:r="http://schemas.openxmlformats.org/officeDocument/2006/relationships" ref="D82" r:id="rId31"/>
    <hyperlink xmlns:r="http://schemas.openxmlformats.org/officeDocument/2006/relationships" ref="D83" r:id="rId32"/>
    <hyperlink xmlns:r="http://schemas.openxmlformats.org/officeDocument/2006/relationships" ref="D84" r:id="rId33"/>
    <hyperlink xmlns:r="http://schemas.openxmlformats.org/officeDocument/2006/relationships" ref="D85" r:id="rId34"/>
    <hyperlink xmlns:r="http://schemas.openxmlformats.org/officeDocument/2006/relationships" ref="D86" r:id="rId35"/>
    <hyperlink xmlns:r="http://schemas.openxmlformats.org/officeDocument/2006/relationships" ref="D87" r:id="rId36"/>
    <hyperlink xmlns:r="http://schemas.openxmlformats.org/officeDocument/2006/relationships" ref="D88" r:id="rId37"/>
    <hyperlink xmlns:r="http://schemas.openxmlformats.org/officeDocument/2006/relationships" ref="D89" r:id="rId38"/>
    <hyperlink xmlns:r="http://schemas.openxmlformats.org/officeDocument/2006/relationships" ref="D90" r:id="rId39"/>
    <hyperlink xmlns:r="http://schemas.openxmlformats.org/officeDocument/2006/relationships" ref="D91" r:id="rId40"/>
    <hyperlink xmlns:r="http://schemas.openxmlformats.org/officeDocument/2006/relationships" ref="D92" r:id="rId41"/>
    <hyperlink xmlns:r="http://schemas.openxmlformats.org/officeDocument/2006/relationships" ref="D93" r:id="rId42"/>
    <hyperlink xmlns:r="http://schemas.openxmlformats.org/officeDocument/2006/relationships" ref="D94" r:id="rId43"/>
    <hyperlink xmlns:r="http://schemas.openxmlformats.org/officeDocument/2006/relationships" ref="D95" r:id="rId44"/>
    <hyperlink xmlns:r="http://schemas.openxmlformats.org/officeDocument/2006/relationships" ref="D96" r:id="rId45"/>
    <hyperlink xmlns:r="http://schemas.openxmlformats.org/officeDocument/2006/relationships" ref="D97" r:id="rId46"/>
    <hyperlink xmlns:r="http://schemas.openxmlformats.org/officeDocument/2006/relationships" ref="D98" r:id="rId47"/>
    <hyperlink xmlns:r="http://schemas.openxmlformats.org/officeDocument/2006/relationships" ref="D99" r:id="rId48"/>
    <hyperlink xmlns:r="http://schemas.openxmlformats.org/officeDocument/2006/relationships" ref="D102" r:id="rId49"/>
    <hyperlink xmlns:r="http://schemas.openxmlformats.org/officeDocument/2006/relationships" ref="D103" r:id="rId50"/>
    <hyperlink xmlns:r="http://schemas.openxmlformats.org/officeDocument/2006/relationships" ref="D104" r:id="rId51"/>
    <hyperlink xmlns:r="http://schemas.openxmlformats.org/officeDocument/2006/relationships" ref="D105" r:id="rId52"/>
    <hyperlink xmlns:r="http://schemas.openxmlformats.org/officeDocument/2006/relationships" ref="D106" r:id="rId53"/>
    <hyperlink xmlns:r="http://schemas.openxmlformats.org/officeDocument/2006/relationships" ref="D108" r:id="rId54"/>
    <hyperlink xmlns:r="http://schemas.openxmlformats.org/officeDocument/2006/relationships" ref="D109" r:id="rId55"/>
    <hyperlink xmlns:r="http://schemas.openxmlformats.org/officeDocument/2006/relationships" ref="D110" r:id="rId56"/>
    <hyperlink xmlns:r="http://schemas.openxmlformats.org/officeDocument/2006/relationships" ref="D111" r:id="rId57"/>
    <hyperlink xmlns:r="http://schemas.openxmlformats.org/officeDocument/2006/relationships" ref="D112" r:id="rId58"/>
    <hyperlink xmlns:r="http://schemas.openxmlformats.org/officeDocument/2006/relationships" ref="D113" r:id="rId59"/>
    <hyperlink xmlns:r="http://schemas.openxmlformats.org/officeDocument/2006/relationships" ref="D115" r:id="rId60"/>
    <hyperlink xmlns:r="http://schemas.openxmlformats.org/officeDocument/2006/relationships" ref="D116" r:id="rId61"/>
    <hyperlink xmlns:r="http://schemas.openxmlformats.org/officeDocument/2006/relationships" ref="D117" r:id="rId62"/>
    <hyperlink xmlns:r="http://schemas.openxmlformats.org/officeDocument/2006/relationships" ref="D118" r:id="rId63"/>
    <hyperlink xmlns:r="http://schemas.openxmlformats.org/officeDocument/2006/relationships" ref="D119" r:id="rId64"/>
    <hyperlink xmlns:r="http://schemas.openxmlformats.org/officeDocument/2006/relationships" ref="D120" r:id="rId65"/>
    <hyperlink xmlns:r="http://schemas.openxmlformats.org/officeDocument/2006/relationships" ref="D122" r:id="rId66"/>
    <hyperlink xmlns:r="http://schemas.openxmlformats.org/officeDocument/2006/relationships" ref="D123" r:id="rId67"/>
    <hyperlink xmlns:r="http://schemas.openxmlformats.org/officeDocument/2006/relationships" ref="D124" r:id="rId68"/>
    <hyperlink xmlns:r="http://schemas.openxmlformats.org/officeDocument/2006/relationships" ref="D125" r:id="rId69"/>
    <hyperlink xmlns:r="http://schemas.openxmlformats.org/officeDocument/2006/relationships" ref="D126" r:id="rId70"/>
    <hyperlink xmlns:r="http://schemas.openxmlformats.org/officeDocument/2006/relationships" ref="D127" r:id="rId71"/>
    <hyperlink xmlns:r="http://schemas.openxmlformats.org/officeDocument/2006/relationships" ref="D128" r:id="rId72"/>
    <hyperlink xmlns:r="http://schemas.openxmlformats.org/officeDocument/2006/relationships" ref="D129" r:id="rId73"/>
    <hyperlink xmlns:r="http://schemas.openxmlformats.org/officeDocument/2006/relationships" ref="D130" r:id="rId74"/>
    <hyperlink xmlns:r="http://schemas.openxmlformats.org/officeDocument/2006/relationships" ref="D131" r:id="rId75"/>
    <hyperlink xmlns:r="http://schemas.openxmlformats.org/officeDocument/2006/relationships" ref="D132" r:id="rId76"/>
    <hyperlink xmlns:r="http://schemas.openxmlformats.org/officeDocument/2006/relationships" ref="D133" r:id="rId77"/>
    <hyperlink xmlns:r="http://schemas.openxmlformats.org/officeDocument/2006/relationships" ref="D134" r:id="rId78"/>
    <hyperlink xmlns:r="http://schemas.openxmlformats.org/officeDocument/2006/relationships" ref="D135" r:id="rId79"/>
    <hyperlink xmlns:r="http://schemas.openxmlformats.org/officeDocument/2006/relationships" ref="D136" r:id="rId80"/>
    <hyperlink xmlns:r="http://schemas.openxmlformats.org/officeDocument/2006/relationships" ref="D137" r:id="rId81"/>
    <hyperlink xmlns:r="http://schemas.openxmlformats.org/officeDocument/2006/relationships" ref="D138" r:id="rId82"/>
    <hyperlink xmlns:r="http://schemas.openxmlformats.org/officeDocument/2006/relationships" ref="D139" r:id="rId83"/>
    <hyperlink xmlns:r="http://schemas.openxmlformats.org/officeDocument/2006/relationships" ref="D141" r:id="rId84"/>
    <hyperlink xmlns:r="http://schemas.openxmlformats.org/officeDocument/2006/relationships" ref="D142" r:id="rId85"/>
    <hyperlink xmlns:r="http://schemas.openxmlformats.org/officeDocument/2006/relationships" ref="D143" r:id="rId86"/>
    <hyperlink xmlns:r="http://schemas.openxmlformats.org/officeDocument/2006/relationships" ref="D144" r:id="rId87"/>
    <hyperlink xmlns:r="http://schemas.openxmlformats.org/officeDocument/2006/relationships" ref="D145" r:id="rId88"/>
    <hyperlink xmlns:r="http://schemas.openxmlformats.org/officeDocument/2006/relationships" ref="D146" r:id="rId89"/>
    <hyperlink xmlns:r="http://schemas.openxmlformats.org/officeDocument/2006/relationships" ref="D148" r:id="rId90"/>
    <hyperlink xmlns:r="http://schemas.openxmlformats.org/officeDocument/2006/relationships" ref="D149" r:id="rId91"/>
    <hyperlink xmlns:r="http://schemas.openxmlformats.org/officeDocument/2006/relationships" ref="D150" r:id="rId92"/>
    <hyperlink xmlns:r="http://schemas.openxmlformats.org/officeDocument/2006/relationships" ref="D151" r:id="rId93"/>
    <hyperlink xmlns:r="http://schemas.openxmlformats.org/officeDocument/2006/relationships" ref="D152" r:id="rId94"/>
    <hyperlink xmlns:r="http://schemas.openxmlformats.org/officeDocument/2006/relationships" ref="D153" r:id="rId95"/>
    <hyperlink xmlns:r="http://schemas.openxmlformats.org/officeDocument/2006/relationships" ref="D155" r:id="rId96"/>
    <hyperlink xmlns:r="http://schemas.openxmlformats.org/officeDocument/2006/relationships" ref="D156" r:id="rId97"/>
    <hyperlink xmlns:r="http://schemas.openxmlformats.org/officeDocument/2006/relationships" ref="D157" r:id="rId98"/>
    <hyperlink xmlns:r="http://schemas.openxmlformats.org/officeDocument/2006/relationships" ref="D158" r:id="rId99"/>
    <hyperlink xmlns:r="http://schemas.openxmlformats.org/officeDocument/2006/relationships" ref="D159" r:id="rId100"/>
    <hyperlink xmlns:r="http://schemas.openxmlformats.org/officeDocument/2006/relationships" ref="D160" r:id="rId101"/>
    <hyperlink xmlns:r="http://schemas.openxmlformats.org/officeDocument/2006/relationships" ref="D162" r:id="rId102"/>
    <hyperlink xmlns:r="http://schemas.openxmlformats.org/officeDocument/2006/relationships" ref="D163" r:id="rId103"/>
    <hyperlink xmlns:r="http://schemas.openxmlformats.org/officeDocument/2006/relationships" ref="D164" r:id="rId104"/>
    <hyperlink xmlns:r="http://schemas.openxmlformats.org/officeDocument/2006/relationships" ref="D165" r:id="rId105"/>
    <hyperlink xmlns:r="http://schemas.openxmlformats.org/officeDocument/2006/relationships" ref="D166" r:id="rId106"/>
    <hyperlink xmlns:r="http://schemas.openxmlformats.org/officeDocument/2006/relationships" ref="D167" r:id="rId107"/>
    <hyperlink xmlns:r="http://schemas.openxmlformats.org/officeDocument/2006/relationships" ref="D169" r:id="rId108"/>
    <hyperlink xmlns:r="http://schemas.openxmlformats.org/officeDocument/2006/relationships" ref="D170" r:id="rId109"/>
    <hyperlink xmlns:r="http://schemas.openxmlformats.org/officeDocument/2006/relationships" ref="D171" r:id="rId110"/>
    <hyperlink xmlns:r="http://schemas.openxmlformats.org/officeDocument/2006/relationships" ref="D172" r:id="rId111"/>
    <hyperlink xmlns:r="http://schemas.openxmlformats.org/officeDocument/2006/relationships" ref="D173" r:id="rId112"/>
    <hyperlink xmlns:r="http://schemas.openxmlformats.org/officeDocument/2006/relationships" ref="D174" r:id="rId113"/>
    <hyperlink xmlns:r="http://schemas.openxmlformats.org/officeDocument/2006/relationships" ref="D176" r:id="rId114"/>
    <hyperlink xmlns:r="http://schemas.openxmlformats.org/officeDocument/2006/relationships" ref="D177" r:id="rId115"/>
    <hyperlink xmlns:r="http://schemas.openxmlformats.org/officeDocument/2006/relationships" ref="D178" r:id="rId116"/>
    <hyperlink xmlns:r="http://schemas.openxmlformats.org/officeDocument/2006/relationships" ref="D179" r:id="rId117"/>
    <hyperlink xmlns:r="http://schemas.openxmlformats.org/officeDocument/2006/relationships" ref="D180" r:id="rId118"/>
    <hyperlink xmlns:r="http://schemas.openxmlformats.org/officeDocument/2006/relationships" ref="D181" r:id="rId119"/>
    <hyperlink xmlns:r="http://schemas.openxmlformats.org/officeDocument/2006/relationships" ref="D183" r:id="rId120"/>
    <hyperlink xmlns:r="http://schemas.openxmlformats.org/officeDocument/2006/relationships" ref="D184" r:id="rId121"/>
    <hyperlink xmlns:r="http://schemas.openxmlformats.org/officeDocument/2006/relationships" ref="D185" r:id="rId122"/>
    <hyperlink xmlns:r="http://schemas.openxmlformats.org/officeDocument/2006/relationships" ref="D186" r:id="rId123"/>
    <hyperlink xmlns:r="http://schemas.openxmlformats.org/officeDocument/2006/relationships" ref="D187" r:id="rId124"/>
    <hyperlink xmlns:r="http://schemas.openxmlformats.org/officeDocument/2006/relationships" ref="D188" r:id="rId125"/>
    <hyperlink xmlns:r="http://schemas.openxmlformats.org/officeDocument/2006/relationships" ref="D190" r:id="rId126"/>
    <hyperlink xmlns:r="http://schemas.openxmlformats.org/officeDocument/2006/relationships" ref="D191" r:id="rId127"/>
    <hyperlink xmlns:r="http://schemas.openxmlformats.org/officeDocument/2006/relationships" ref="D192" r:id="rId128"/>
    <hyperlink xmlns:r="http://schemas.openxmlformats.org/officeDocument/2006/relationships" ref="D193" r:id="rId129"/>
    <hyperlink xmlns:r="http://schemas.openxmlformats.org/officeDocument/2006/relationships" ref="D194" r:id="rId130"/>
    <hyperlink xmlns:r="http://schemas.openxmlformats.org/officeDocument/2006/relationships" ref="D195" r:id="rId131"/>
    <hyperlink xmlns:r="http://schemas.openxmlformats.org/officeDocument/2006/relationships" ref="D197" r:id="rId132"/>
    <hyperlink xmlns:r="http://schemas.openxmlformats.org/officeDocument/2006/relationships" ref="D198" r:id="rId133"/>
    <hyperlink xmlns:r="http://schemas.openxmlformats.org/officeDocument/2006/relationships" ref="D199" r:id="rId134"/>
    <hyperlink xmlns:r="http://schemas.openxmlformats.org/officeDocument/2006/relationships" ref="D200" r:id="rId135"/>
    <hyperlink xmlns:r="http://schemas.openxmlformats.org/officeDocument/2006/relationships" ref="D201" r:id="rId136"/>
    <hyperlink xmlns:r="http://schemas.openxmlformats.org/officeDocument/2006/relationships" ref="D202" r:id="rId137"/>
    <hyperlink xmlns:r="http://schemas.openxmlformats.org/officeDocument/2006/relationships" ref="D203" r:id="rId138"/>
    <hyperlink xmlns:r="http://schemas.openxmlformats.org/officeDocument/2006/relationships" ref="D204" r:id="rId139"/>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2026-10-26T22:41:15Z</dcterms:created>
  <dcterms:modified xmlns:dcterms="http://purl.org/dc/terms/" xmlns:xsi="http://www.w3.org/2001/XMLSchema-instance" xsi:type="dcterms:W3CDTF">2026-10-26T22:41:15Z</dcterms:modified>
</cp:coreProperties>
</file>