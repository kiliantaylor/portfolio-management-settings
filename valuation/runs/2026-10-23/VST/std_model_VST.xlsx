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odel" sheetId="2" state="visible" r:id="rId2"/>
    <sheet xmlns:r="http://schemas.openxmlformats.org/officeDocument/2006/relationships" name="Valuation" sheetId="3" state="visible" r:id="rId3"/>
    <sheet xmlns:r="http://schemas.openxmlformats.org/officeDocument/2006/relationships" name="Sensitivity" sheetId="4" state="visible" r:id="rId4"/>
    <sheet xmlns:r="http://schemas.openxmlformats.org/officeDocument/2006/relationships" name="Distribution" sheetId="5" state="visible" r:id="rId5"/>
    <sheet xmlns:r="http://schemas.openxmlformats.org/officeDocument/2006/relationships" name="Calc - research target (12m)" sheetId="6" state="visible" r:id="rId6"/>
    <sheet xmlns:r="http://schemas.openxmlformats.org/officeDocument/2006/relationships" name="Calc - bear" sheetId="7" state="visible" r:id="rId7"/>
    <sheet xmlns:r="http://schemas.openxmlformats.org/officeDocument/2006/relationships" name="Calc - base" sheetId="8" state="visible" r:id="rId8"/>
    <sheet xmlns:r="http://schemas.openxmlformats.org/officeDocument/2006/relationships" name="Calc - bull" sheetId="9" state="visible" r:id="rId9"/>
    <sheet xmlns:r="http://schemas.openxmlformats.org/officeDocument/2006/relationships" name="Agents" sheetId="10" state="visible" r:id="rId10"/>
    <sheet xmlns:r="http://schemas.openxmlformats.org/officeDocument/2006/relationships" name="Sourc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2">
    <numFmt numFmtId="164" formatCode="yyyy-mm-dd"/>
    <numFmt numFmtId="165" formatCode="#,##0;(#,##0)"/>
    <numFmt numFmtId="166" formatCode="0.0%"/>
    <numFmt numFmtId="167" formatCode="0.00&quot;x&quot;"/>
    <numFmt numFmtId="168" formatCode="#,##0.0"/>
    <numFmt numFmtId="169" formatCode="$0.00"/>
    <numFmt numFmtId="170" formatCode="0.0"/>
    <numFmt numFmtId="171" formatCode="0.000"/>
    <numFmt numFmtId="172" formatCode="0.0000"/>
    <numFmt numFmtId="173" formatCode="0.0&quot;x&quot;"/>
    <numFmt numFmtId="174" formatCode="+0.0%;-0.0%;0.0%"/>
    <numFmt numFmtId="175" formatCode="yyyy-mm-dd hh:mm"/>
  </numFmts>
  <fonts count="8">
    <font>
      <name val="Calibri"/>
      <family val="2"/>
      <color theme="1"/>
      <sz val="11"/>
      <scheme val="minor"/>
    </font>
    <font>
      <b val="1"/>
    </font>
    <font>
      <color rgb="000000FF"/>
    </font>
    <font>
      <i val="1"/>
      <color rgb="00444444"/>
    </font>
    <font>
      <b val="1"/>
      <sz val="13"/>
    </font>
    <font>
      <i val="1"/>
      <color rgb="00666666"/>
    </font>
    <font>
      <color rgb="00008000"/>
    </font>
    <font>
      <color rgb="007030A0"/>
    </font>
  </fonts>
  <fills count="4">
    <fill>
      <patternFill/>
    </fill>
    <fill>
      <patternFill patternType="gray125"/>
    </fill>
    <fill>
      <patternFill patternType="solid">
        <fgColor rgb="00D9E2F0"/>
      </patternFill>
    </fill>
    <fill>
      <patternFill patternType="solid">
        <fgColor rgb="00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3" borderId="0" pivotButton="0" quotePrefix="0" xfId="0"/>
    <xf numFmtId="2" fontId="6" fillId="0" borderId="0" pivotButton="0" quotePrefix="0" xfId="0"/>
    <xf numFmtId="175" fontId="0" fillId="0" borderId="0" pivotButton="0" quotePrefix="0" xfId="0"/>
    <xf numFmtId="2" fontId="1" fillId="0" borderId="0" pivotButton="0" quotePrefix="0" xfId="0"/>
    <xf numFmtId="166" fontId="1" fillId="0" borderId="0" pivotButton="0" quotePrefix="0" xfId="0"/>
    <xf numFmtId="164" fontId="6" fillId="0" borderId="0" pivotButton="0" quotePrefix="0" xfId="0"/>
    <xf numFmtId="2" fontId="0" fillId="0" borderId="0" pivotButton="0" quotePrefix="0" xfId="0"/>
    <xf numFmtId="165" fontId="6" fillId="0" borderId="0" pivotButton="0" quotePrefix="0" xfId="0"/>
    <xf numFmtId="0" fontId="3" fillId="0" borderId="0" pivotButton="0" quotePrefix="0" xfId="0"/>
    <xf numFmtId="166" fontId="6" fillId="0" borderId="0" pivotButton="0" quotePrefix="0" xfId="0"/>
    <xf numFmtId="169" fontId="6" fillId="0" borderId="0" pivotButton="0" quotePrefix="0" xfId="0"/>
    <xf numFmtId="0" fontId="6" fillId="0" borderId="0" pivotButton="0" quotePrefix="0" xfId="0"/>
    <xf numFmtId="0" fontId="6" fillId="0" borderId="0" applyAlignment="1" pivotButton="0" quotePrefix="0" xfId="0">
      <alignment vertical="top" wrapText="1"/>
    </xf>
    <xf numFmtId="166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165" fontId="0" fillId="0" borderId="0" pivotButton="0" quotePrefix="0" xfId="0"/>
    <xf numFmtId="166" fontId="2" fillId="0" borderId="0" pivotButton="0" quotePrefix="0" xfId="0"/>
    <xf numFmtId="165" fontId="1" fillId="0" borderId="0" pivotButton="0" quotePrefix="0" xfId="0"/>
    <xf numFmtId="165" fontId="2" fillId="0" borderId="0" pivotButton="0" quotePrefix="0" xfId="0"/>
    <xf numFmtId="166" fontId="3" fillId="0" borderId="0" pivotButton="0" quotePrefix="0" xfId="0"/>
    <xf numFmtId="168" fontId="0" fillId="0" borderId="0" pivotButton="0" quotePrefix="0" xfId="0"/>
    <xf numFmtId="169" fontId="0" fillId="0" borderId="0" pivotButton="0" quotePrefix="0" xfId="0"/>
    <xf numFmtId="169" fontId="1" fillId="0" borderId="0" pivotButton="0" quotePrefix="0" xfId="0"/>
    <xf numFmtId="165" fontId="7" fillId="0" borderId="0" pivotButton="0" quotePrefix="0" xfId="0"/>
    <xf numFmtId="4" fontId="6" fillId="0" borderId="0" pivotButton="0" quotePrefix="0" xfId="0"/>
    <xf numFmtId="168" fontId="6" fillId="0" borderId="0" pivotButton="0" quotePrefix="0" xfId="0"/>
    <xf numFmtId="164" fontId="2" fillId="0" borderId="0" pivotButton="0" quotePrefix="0" xfId="0"/>
    <xf numFmtId="0" fontId="2" fillId="0" borderId="0" pivotButton="0" quotePrefix="0" xfId="0"/>
    <xf numFmtId="167" fontId="2" fillId="0" borderId="0" pivotButton="0" quotePrefix="0" xfId="0"/>
    <xf numFmtId="168" fontId="2" fillId="0" borderId="0" pivotButton="0" quotePrefix="0" xfId="0"/>
    <xf numFmtId="2" fontId="2" fillId="0" borderId="0" pivotButton="0" quotePrefix="0" xfId="0"/>
    <xf numFmtId="169" fontId="2" fillId="0" borderId="0" pivotButton="0" quotePrefix="0" xfId="0"/>
    <xf numFmtId="170" fontId="2" fillId="0" borderId="0" pivotButton="0" quotePrefix="0" xfId="0"/>
    <xf numFmtId="0" fontId="0" fillId="0" borderId="0" applyAlignment="1" pivotButton="0" quotePrefix="0" xfId="0">
      <alignment vertical="top" wrapText="1"/>
    </xf>
    <xf numFmtId="173" fontId="1" fillId="0" borderId="0" pivotButton="0" quotePrefix="0" xfId="0"/>
    <xf numFmtId="174" fontId="1" fillId="0" borderId="0" pivotButton="0" quotePrefix="0" xfId="0"/>
    <xf numFmtId="172" fontId="0" fillId="0" borderId="0" pivotButton="0" quotePrefix="0" xfId="0"/>
    <xf numFmtId="170" fontId="0" fillId="0" borderId="0" pivotButton="0" quotePrefix="0" xfId="0"/>
    <xf numFmtId="171" fontId="0" fillId="0" borderId="0" pivotButton="0" quotePrefix="0" xfId="0"/>
    <xf numFmtId="4" fontId="0" fillId="0" borderId="0" pivotButton="0" quotePrefix="0" xfId="0"/>
    <xf numFmtId="170" fontId="6" fillId="0" borderId="0" pivotButton="0" quotePrefix="0" xfId="0"/>
    <xf numFmtId="172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Relationships xmlns="http://schemas.openxmlformats.org/package/2006/relationships"><Relationship Type="http://schemas.openxmlformats.org/officeDocument/2006/relationships/hyperlink" Target="https://www.sec.gov/Archives/edgar/data/1692819/000169281926000017/vistra-20260630xearningsre.htm" TargetMode="External" Id="rId1"/><Relationship Type="http://schemas.openxmlformats.org/officeDocument/2006/relationships/hyperlink" Target="https://app.bigdata.com/documents/195B479A48CB63C52BC7051FD044E9A5" TargetMode="External" Id="rId2"/><Relationship Type="http://schemas.openxmlformats.org/officeDocument/2006/relationships/hyperlink" Target="https://www.sec.gov/Archives/edgar/data/1692819/000119312526002589/d62722d8k.htm" TargetMode="External" Id="rId3"/><Relationship Type="http://schemas.openxmlformats.org/officeDocument/2006/relationships/hyperlink" Target="https://www.sec.gov/Archives/edgar/data/1692819/000119312526002589/d62722dex991.htm" TargetMode="External" Id="rId4"/><Relationship Type="http://schemas.openxmlformats.org/officeDocument/2006/relationships/hyperlink" Target="https://www.bls.gov/news.release/cpi.nr0.htm" TargetMode="External" Id="rId5"/><Relationship Type="http://schemas.openxmlformats.org/officeDocument/2006/relationships/hyperlink" Target="https://www.pjm.com/pjmfiles/directory/etariff/FercOrders/9154/20260929-er26-3380-000.pdf" TargetMode="External" Id="rId6"/><Relationship Type="http://schemas.openxmlformats.org/officeDocument/2006/relationships/hyperlink" Target="https://www.pjm.com/-/media/DotCom/documents/ferc/filings/2026/20260406-er26-1556-000.pdf" TargetMode="External" Id="rId7"/><Relationship Type="http://schemas.openxmlformats.org/officeDocument/2006/relationships/hyperlink" Target="https://www.troutmanenergyreport.com/2026/05/ferc-accepts-pjm-capacity-market-price-collar-extension/" TargetMode="External" Id="rId8"/><Relationship Type="http://schemas.openxmlformats.org/officeDocument/2006/relationships/hyperlink" Target="https://finviz.com/news/396792/vistra-to-report-third-quarter-results-on-nov-6-2026" TargetMode="External" Id="rId9"/><Relationship Type="http://schemas.openxmlformats.org/officeDocument/2006/relationships/hyperlink" Target="https://fred.stlouisfed.org/series/DGS10" TargetMode="External" Id="rId10"/><Relationship Type="http://schemas.openxmlformats.org/officeDocument/2006/relationships/hyperlink" Target="https://www.federalreserve.gov/monetarypolicy/fomccalendars.htm" TargetMode="External" Id="rId11"/><Relationship Type="http://schemas.openxmlformats.org/officeDocument/2006/relationships/hyperlink" Target="https://www.sec.gov/Archives/edgar/data/0001622536/000162253626000065/a20260805q22026earningsrel.htm" TargetMode="External" Id="rId12"/><Relationship Type="http://schemas.openxmlformats.org/officeDocument/2006/relationships/hyperlink" Target="https://data.sec.gov/api/xbrl/companyfacts/CIK0001692819.json" TargetMode="External" Id="rId13"/><Relationship Type="http://schemas.openxmlformats.org/officeDocument/2006/relationships/hyperlink" Target="https://www.sec.gov/Archives/edgar/data/1692819/000114036126037577/ef20082680_8k.htm" TargetMode="External" Id="rId14"/><Relationship Type="http://schemas.openxmlformats.org/officeDocument/2006/relationships/hyperlink" Target="https://www.sec.gov/Archives/edgar/data/1692819/000169281926000019/vistra-20260630.htm" TargetMode="External" Id="rId15"/><Relationship Type="http://schemas.openxmlformats.org/officeDocument/2006/relationships/hyperlink" Target="https://www.sec.gov/Archives/edgar/data/1692819/000169281926000006/vistra-20251231.htm" TargetMode="External" Id="rId16"/><Relationship Type="http://schemas.openxmlformats.org/officeDocument/2006/relationships/hyperlink" Target="/mnt/project-files/valuation/runs/2026-10-14/VST/peers.md" TargetMode="External" Id="rId17"/><Relationship Type="http://schemas.openxmlformats.org/officeDocument/2006/relationships/hyperlink" Target="/mnt/project-files/adhoc/nvda_customer_capex.md" TargetMode="External" Id="rId18"/><Relationship Type="http://schemas.openxmlformats.org/officeDocument/2006/relationships/hyperlink" Target="https://www.pjm.com/-/media/DotCom/committees-groups/workshops/prtmdw/2026/20260714/20260714-item-04b---bifurcated-capacity-market-under-pjm-path-a-option-2---michael-kurtz-presentation.pdf" TargetMode="External" Id="rId19"/><Relationship Type="http://schemas.openxmlformats.org/officeDocument/2006/relationships/hyperlink" Target="https://www.sec.gov/Archives/edgar/data/1692819/000114036126036130/ny20081693x2_424b5.htm" TargetMode="External" Id="rId20"/><Relationship Type="http://schemas.openxmlformats.org/officeDocument/2006/relationships/hyperlink" Target="https://www.sec.gov/Archives/edgar/data/1692819/000169281926000006/" TargetMode="External" Id="rId21"/><Relationship Type="http://schemas.openxmlformats.org/officeDocument/2006/relationships/hyperlink" Target="https://www.sec.gov/Archives/edgar/data/1692819/000169281926000006/" TargetMode="External" Id="rId22"/><Relationship Type="http://schemas.openxmlformats.org/officeDocument/2006/relationships/hyperlink" Target="https://www.sec.gov/Archives/edgar/data/1692819/000169281926000006/" TargetMode="External" Id="rId23"/><Relationship Type="http://schemas.openxmlformats.org/officeDocument/2006/relationships/hyperlink" Target="https://www.sec.gov/Archives/edgar/data/1692819/000169281926000019/" TargetMode="External" Id="rId24"/><Relationship Type="http://schemas.openxmlformats.org/officeDocument/2006/relationships/hyperlink" Target="https://www.sec.gov/Archives/edgar/data/1692819/000169281926000019/" TargetMode="External" Id="rId25"/><Relationship Type="http://schemas.openxmlformats.org/officeDocument/2006/relationships/hyperlink" Target="https://www.sec.gov/Archives/edgar/data/1692819/000169281926000019/" TargetMode="External" Id="rId26"/><Relationship Type="http://schemas.openxmlformats.org/officeDocument/2006/relationships/hyperlink" Target="https://www.sec.gov/Archives/edgar/data/1692819/000169281926000006/" TargetMode="External" Id="rId27"/><Relationship Type="http://schemas.openxmlformats.org/officeDocument/2006/relationships/hyperlink" Target="https://www.sec.gov/Archives/edgar/data/1692819/000169281926000006/" TargetMode="External" Id="rId28"/><Relationship Type="http://schemas.openxmlformats.org/officeDocument/2006/relationships/hyperlink" Target="https://www.sec.gov/Archives/edgar/data/1692819/000169281926000006/" TargetMode="External" Id="rId29"/><Relationship Type="http://schemas.openxmlformats.org/officeDocument/2006/relationships/hyperlink" Target="https://www.sec.gov/Archives/edgar/data/1692819/000169281926000019/" TargetMode="External" Id="rId30"/><Relationship Type="http://schemas.openxmlformats.org/officeDocument/2006/relationships/hyperlink" Target="https://www.sec.gov/Archives/edgar/data/1692819/000169281926000019/" TargetMode="External" Id="rId31"/><Relationship Type="http://schemas.openxmlformats.org/officeDocument/2006/relationships/hyperlink" Target="https://www.sec.gov/Archives/edgar/data/1692819/000169281926000019/" TargetMode="External" Id="rId32"/><Relationship Type="http://schemas.openxmlformats.org/officeDocument/2006/relationships/hyperlink" Target="https://www.sec.gov/Archives/edgar/data/1692819/000169281926000006/" TargetMode="External" Id="rId33"/><Relationship Type="http://schemas.openxmlformats.org/officeDocument/2006/relationships/hyperlink" Target="https://www.sec.gov/Archives/edgar/data/1692819/000169281926000006/" TargetMode="External" Id="rId34"/><Relationship Type="http://schemas.openxmlformats.org/officeDocument/2006/relationships/hyperlink" Target="https://www.sec.gov/Archives/edgar/data/1692819/000169281926000006/" TargetMode="External" Id="rId35"/><Relationship Type="http://schemas.openxmlformats.org/officeDocument/2006/relationships/hyperlink" Target="https://www.sec.gov/Archives/edgar/data/1692819/000169281926000019/" TargetMode="External" Id="rId36"/><Relationship Type="http://schemas.openxmlformats.org/officeDocument/2006/relationships/hyperlink" Target="https://www.sec.gov/Archives/edgar/data/1692819/000169281926000019/" TargetMode="External" Id="rId37"/><Relationship Type="http://schemas.openxmlformats.org/officeDocument/2006/relationships/hyperlink" Target="https://www.sec.gov/Archives/edgar/data/1692819/000169281926000019/" TargetMode="External" Id="rId38"/><Relationship Type="http://schemas.openxmlformats.org/officeDocument/2006/relationships/hyperlink" Target="https://www.sec.gov/Archives/edgar/data/1692819/000169281926000006/" TargetMode="External" Id="rId39"/><Relationship Type="http://schemas.openxmlformats.org/officeDocument/2006/relationships/hyperlink" Target="https://www.sec.gov/Archives/edgar/data/1692819/000169281926000006/" TargetMode="External" Id="rId40"/><Relationship Type="http://schemas.openxmlformats.org/officeDocument/2006/relationships/hyperlink" Target="https://www.sec.gov/Archives/edgar/data/1692819/000169281926000006/" TargetMode="External" Id="rId41"/><Relationship Type="http://schemas.openxmlformats.org/officeDocument/2006/relationships/hyperlink" Target="https://www.sec.gov/Archives/edgar/data/1692819/000169281926000019/" TargetMode="External" Id="rId42"/><Relationship Type="http://schemas.openxmlformats.org/officeDocument/2006/relationships/hyperlink" Target="https://www.sec.gov/Archives/edgar/data/1692819/000169281926000019/" TargetMode="External" Id="rId43"/><Relationship Type="http://schemas.openxmlformats.org/officeDocument/2006/relationships/hyperlink" Target="https://www.sec.gov/Archives/edgar/data/1692819/000169281926000019/" TargetMode="External" Id="rId44"/><Relationship Type="http://schemas.openxmlformats.org/officeDocument/2006/relationships/hyperlink" Target="https://www.sec.gov/Archives/edgar/data/1692819/000169281926000006/" TargetMode="External" Id="rId45"/><Relationship Type="http://schemas.openxmlformats.org/officeDocument/2006/relationships/hyperlink" Target="https://www.sec.gov/Archives/edgar/data/1692819/000169281926000006/" TargetMode="External" Id="rId46"/><Relationship Type="http://schemas.openxmlformats.org/officeDocument/2006/relationships/hyperlink" Target="https://www.sec.gov/Archives/edgar/data/1692819/000169281926000006/" TargetMode="External" Id="rId47"/><Relationship Type="http://schemas.openxmlformats.org/officeDocument/2006/relationships/hyperlink" Target="https://www.sec.gov/Archives/edgar/data/1692819/000169281926000019/" TargetMode="External" Id="rId48"/><Relationship Type="http://schemas.openxmlformats.org/officeDocument/2006/relationships/hyperlink" Target="https://www.sec.gov/Archives/edgar/data/1692819/000169281926000019/" TargetMode="External" Id="rId49"/><Relationship Type="http://schemas.openxmlformats.org/officeDocument/2006/relationships/hyperlink" Target="https://www.sec.gov/Archives/edgar/data/1692819/000169281926000019/" TargetMode="External" Id="rId50"/><Relationship Type="http://schemas.openxmlformats.org/officeDocument/2006/relationships/hyperlink" Target="https://www.sec.gov/Archives/edgar/data/1692819/000169281926000006/" TargetMode="External" Id="rId51"/><Relationship Type="http://schemas.openxmlformats.org/officeDocument/2006/relationships/hyperlink" Target="https://www.sec.gov/Archives/edgar/data/1692819/000169281926000006/" TargetMode="External" Id="rId52"/><Relationship Type="http://schemas.openxmlformats.org/officeDocument/2006/relationships/hyperlink" Target="https://www.sec.gov/Archives/edgar/data/1692819/000169281926000006/" TargetMode="External" Id="rId53"/><Relationship Type="http://schemas.openxmlformats.org/officeDocument/2006/relationships/hyperlink" Target="https://www.sec.gov/Archives/edgar/data/1692819/000169281926000019/" TargetMode="External" Id="rId54"/><Relationship Type="http://schemas.openxmlformats.org/officeDocument/2006/relationships/hyperlink" Target="https://www.sec.gov/Archives/edgar/data/1692819/000169281926000019/" TargetMode="External" Id="rId55"/><Relationship Type="http://schemas.openxmlformats.org/officeDocument/2006/relationships/hyperlink" Target="https://www.sec.gov/Archives/edgar/data/1692819/000169281926000019/" TargetMode="External" Id="rId56"/><Relationship Type="http://schemas.openxmlformats.org/officeDocument/2006/relationships/hyperlink" Target="https://www.sec.gov/Archives/edgar/data/1692819/000169281926000006/" TargetMode="External" Id="rId57"/><Relationship Type="http://schemas.openxmlformats.org/officeDocument/2006/relationships/hyperlink" Target="https://www.sec.gov/Archives/edgar/data/1692819/000169281926000006/" TargetMode="External" Id="rId58"/><Relationship Type="http://schemas.openxmlformats.org/officeDocument/2006/relationships/hyperlink" Target="https://www.sec.gov/Archives/edgar/data/1692819/000169281926000006/" TargetMode="External" Id="rId59"/><Relationship Type="http://schemas.openxmlformats.org/officeDocument/2006/relationships/hyperlink" Target="https://www.sec.gov/Archives/edgar/data/1692819/000169281926000019/" TargetMode="External" Id="rId60"/><Relationship Type="http://schemas.openxmlformats.org/officeDocument/2006/relationships/hyperlink" Target="https://www.sec.gov/Archives/edgar/data/1692819/000169281926000019/" TargetMode="External" Id="rId61"/><Relationship Type="http://schemas.openxmlformats.org/officeDocument/2006/relationships/hyperlink" Target="https://www.sec.gov/Archives/edgar/data/1692819/000169281926000014/" TargetMode="External" Id="rId62"/><Relationship Type="http://schemas.openxmlformats.org/officeDocument/2006/relationships/hyperlink" Target="https://www.sec.gov/Archives/edgar/data/1692819/000169281926000006/" TargetMode="External" Id="rId63"/><Relationship Type="http://schemas.openxmlformats.org/officeDocument/2006/relationships/hyperlink" Target="https://www.sec.gov/Archives/edgar/data/1692819/000169281926000006/" TargetMode="External" Id="rId64"/><Relationship Type="http://schemas.openxmlformats.org/officeDocument/2006/relationships/hyperlink" Target="https://www.sec.gov/Archives/edgar/data/1692819/000169281926000006/" TargetMode="External" Id="rId65"/><Relationship Type="http://schemas.openxmlformats.org/officeDocument/2006/relationships/hyperlink" Target="https://www.sec.gov/Archives/edgar/data/1692819/000169281926000019/" TargetMode="External" Id="rId66"/><Relationship Type="http://schemas.openxmlformats.org/officeDocument/2006/relationships/hyperlink" Target="https://www.sec.gov/Archives/edgar/data/1692819/000169281926000019/" TargetMode="External" Id="rId67"/><Relationship Type="http://schemas.openxmlformats.org/officeDocument/2006/relationships/hyperlink" Target="https://www.sec.gov/Archives/edgar/data/1692819/000169281926000014/" TargetMode="External" Id="rId68"/><Relationship Type="http://schemas.openxmlformats.org/officeDocument/2006/relationships/hyperlink" Target="https://www.sec.gov/Archives/edgar/data/1692819/000169281926000006/" TargetMode="External" Id="rId69"/><Relationship Type="http://schemas.openxmlformats.org/officeDocument/2006/relationships/hyperlink" Target="https://www.sec.gov/Archives/edgar/data/1692819/000169281926000006/" TargetMode="External" Id="rId70"/><Relationship Type="http://schemas.openxmlformats.org/officeDocument/2006/relationships/hyperlink" Target="https://www.sec.gov/Archives/edgar/data/1692819/000169281926000006/" TargetMode="External" Id="rId71"/><Relationship Type="http://schemas.openxmlformats.org/officeDocument/2006/relationships/hyperlink" Target="https://www.sec.gov/Archives/edgar/data/1692819/000169281926000019/" TargetMode="External" Id="rId72"/><Relationship Type="http://schemas.openxmlformats.org/officeDocument/2006/relationships/hyperlink" Target="https://www.sec.gov/Archives/edgar/data/1692819/000169281926000019/" TargetMode="External" Id="rId73"/><Relationship Type="http://schemas.openxmlformats.org/officeDocument/2006/relationships/hyperlink" Target="https://www.sec.gov/Archives/edgar/data/1692819/000169281926000014/" TargetMode="External" Id="rId74"/><Relationship Type="http://schemas.openxmlformats.org/officeDocument/2006/relationships/hyperlink" Target="https://www.sec.gov/Archives/edgar/data/1692819/000169281926000006/" TargetMode="External" Id="rId75"/><Relationship Type="http://schemas.openxmlformats.org/officeDocument/2006/relationships/hyperlink" Target="https://www.sec.gov/Archives/edgar/data/1692819/000169281926000006/" TargetMode="External" Id="rId76"/><Relationship Type="http://schemas.openxmlformats.org/officeDocument/2006/relationships/hyperlink" Target="https://www.sec.gov/Archives/edgar/data/1692819/000169281926000006/" TargetMode="External" Id="rId77"/><Relationship Type="http://schemas.openxmlformats.org/officeDocument/2006/relationships/hyperlink" Target="https://www.sec.gov/Archives/edgar/data/1692819/000169281926000019/" TargetMode="External" Id="rId78"/><Relationship Type="http://schemas.openxmlformats.org/officeDocument/2006/relationships/hyperlink" Target="https://www.sec.gov/Archives/edgar/data/1692819/000169281926000019/" TargetMode="External" Id="rId79"/><Relationship Type="http://schemas.openxmlformats.org/officeDocument/2006/relationships/hyperlink" Target="https://www.sec.gov/Archives/edgar/data/1692819/000169281926000014/" TargetMode="External" Id="rId80"/><Relationship Type="http://schemas.openxmlformats.org/officeDocument/2006/relationships/hyperlink" Target="https://www.sec.gov/Archives/edgar/data/1692819/000169281926000006/" TargetMode="External" Id="rId81"/><Relationship Type="http://schemas.openxmlformats.org/officeDocument/2006/relationships/hyperlink" Target="https://www.sec.gov/Archives/edgar/data/1692819/000169281926000006/" TargetMode="External" Id="rId82"/><Relationship Type="http://schemas.openxmlformats.org/officeDocument/2006/relationships/hyperlink" Target="https://www.sec.gov/Archives/edgar/data/1692819/000169281926000006/" TargetMode="External" Id="rId83"/><Relationship Type="http://schemas.openxmlformats.org/officeDocument/2006/relationships/hyperlink" Target="https://www.sec.gov/Archives/edgar/data/1692819/000169281926000019/" TargetMode="External" Id="rId84"/><Relationship Type="http://schemas.openxmlformats.org/officeDocument/2006/relationships/hyperlink" Target="https://www.sec.gov/Archives/edgar/data/1692819/000169281926000019/" TargetMode="External" Id="rId85"/><Relationship Type="http://schemas.openxmlformats.org/officeDocument/2006/relationships/hyperlink" Target="https://www.sec.gov/Archives/edgar/data/1692819/000169281926000014/" TargetMode="External" Id="rId86"/><Relationship Type="http://schemas.openxmlformats.org/officeDocument/2006/relationships/hyperlink" Target="https://www.sec.gov/Archives/edgar/data/1692819/000169281926000006/" TargetMode="External" Id="rId87"/><Relationship Type="http://schemas.openxmlformats.org/officeDocument/2006/relationships/hyperlink" Target="https://www.sec.gov/Archives/edgar/data/1692819/000169281926000006/" TargetMode="External" Id="rId88"/><Relationship Type="http://schemas.openxmlformats.org/officeDocument/2006/relationships/hyperlink" Target="https://www.sec.gov/Archives/edgar/data/1692819/000169281926000006/" TargetMode="External" Id="rId89"/><Relationship Type="http://schemas.openxmlformats.org/officeDocument/2006/relationships/hyperlink" Target="https://www.sec.gov/Archives/edgar/data/1692819/000169281926000019/" TargetMode="External" Id="rId90"/><Relationship Type="http://schemas.openxmlformats.org/officeDocument/2006/relationships/hyperlink" Target="https://www.sec.gov/Archives/edgar/data/1692819/000169281926000019/" TargetMode="External" Id="rId91"/><Relationship Type="http://schemas.openxmlformats.org/officeDocument/2006/relationships/hyperlink" Target="https://www.sec.gov/Archives/edgar/data/1692819/000169281926000019/" TargetMode="External" Id="rId92"/><Relationship Type="http://schemas.openxmlformats.org/officeDocument/2006/relationships/hyperlink" Target="https://www.sec.gov/Archives/edgar/data/1692819/000169281926000006/" TargetMode="External" Id="rId93"/><Relationship Type="http://schemas.openxmlformats.org/officeDocument/2006/relationships/hyperlink" Target="https://www.sec.gov/Archives/edgar/data/1692819/000169281926000006/" TargetMode="External" Id="rId94"/><Relationship Type="http://schemas.openxmlformats.org/officeDocument/2006/relationships/hyperlink" Target="https://www.sec.gov/Archives/edgar/data/1692819/000169281926000006/" TargetMode="External" Id="rId95"/><Relationship Type="http://schemas.openxmlformats.org/officeDocument/2006/relationships/hyperlink" Target="https://www.sec.gov/Archives/edgar/data/1692819/000169281926000019/" TargetMode="External" Id="rId96"/><Relationship Type="http://schemas.openxmlformats.org/officeDocument/2006/relationships/hyperlink" Target="https://www.sec.gov/Archives/edgar/data/1692819/000169281926000019/" TargetMode="External" Id="rId97"/><Relationship Type="http://schemas.openxmlformats.org/officeDocument/2006/relationships/hyperlink" Target="https://www.sec.gov/Archives/edgar/data/1692819/000169281926000019/" TargetMode="External" Id="rId98"/><Relationship Type="http://schemas.openxmlformats.org/officeDocument/2006/relationships/hyperlink" Target="https://www.sec.gov/Archives/edgar/data/1692819/000169281926000006/" TargetMode="External" Id="rId99"/><Relationship Type="http://schemas.openxmlformats.org/officeDocument/2006/relationships/hyperlink" Target="https://www.sec.gov/Archives/edgar/data/1692819/000169281926000006/" TargetMode="External" Id="rId100"/><Relationship Type="http://schemas.openxmlformats.org/officeDocument/2006/relationships/hyperlink" Target="https://www.sec.gov/Archives/edgar/data/1692819/000169281926000006/" TargetMode="External" Id="rId101"/><Relationship Type="http://schemas.openxmlformats.org/officeDocument/2006/relationships/hyperlink" Target="https://www.sec.gov/Archives/edgar/data/1692819/000169281926000019/" TargetMode="External" Id="rId102"/><Relationship Type="http://schemas.openxmlformats.org/officeDocument/2006/relationships/hyperlink" Target="https://www.sec.gov/Archives/edgar/data/1692819/000169281926000019/" TargetMode="External" Id="rId103"/><Relationship Type="http://schemas.openxmlformats.org/officeDocument/2006/relationships/hyperlink" Target="https://www.sec.gov/Archives/edgar/data/1692819/000169281926000019/" TargetMode="External" Id="rId104"/><Relationship Type="http://schemas.openxmlformats.org/officeDocument/2006/relationships/hyperlink" Target="https://www.sec.gov/Archives/edgar/data/1692819/000169281926000019/" TargetMode="External" Id="rId105"/><Relationship Type="http://schemas.openxmlformats.org/officeDocument/2006/relationships/hyperlink" Target="https://www.sec.gov/Archives/edgar/data/1692819/000169281926000019/" TargetMode="External" Id="rId106"/><Relationship Type="http://schemas.openxmlformats.org/officeDocument/2006/relationships/hyperlink" Target="https://www.sec.gov/Archives/edgar/data/1692819/000169281926000019/" TargetMode="External" Id="rId107"/><Relationship Type="http://schemas.openxmlformats.org/officeDocument/2006/relationships/hyperlink" Target="https://www.sec.gov/Archives/edgar/data/1692819/000169281926000019/" TargetMode="External" Id="rId108"/><Relationship Type="http://schemas.openxmlformats.org/officeDocument/2006/relationships/hyperlink" Target="https://www.sec.gov/Archives/edgar/data/1692819/000169281926000019/" TargetMode="External" Id="rId109"/><Relationship Type="http://schemas.openxmlformats.org/officeDocument/2006/relationships/hyperlink" Target="https://www.sec.gov/Archives/edgar/data/1692819/000169281926000019/" TargetMode="External" Id="rId110"/><Relationship Type="http://schemas.openxmlformats.org/officeDocument/2006/relationships/hyperlink" Target="https://www.sec.gov/Archives/edgar/data/1692819/000169281926000019/" TargetMode="External" Id="rId1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16" customWidth="1" min="2" max="2"/>
    <col width="16" customWidth="1" min="3" max="3"/>
    <col width="70" customWidth="1" min="4" max="4"/>
  </cols>
  <sheetData>
    <row r="1">
      <c r="A1" s="1" t="inlineStr">
        <is>
          <t>VST standard model (trial) · research run 2026-10-23</t>
        </is>
      </c>
    </row>
    <row r="2">
      <c r="A2" s="2" t="inlineStr">
        <is>
          <t>The supervisor's reconciled assumption set as a live model. Trial: shown beside the blended page target, not used for trade levels until its weight is decided. Edit blue cells on Model (drivers) and Valuation (assumptions).</t>
        </is>
      </c>
    </row>
    <row r="3">
      <c r="A3" s="3" t="inlineStr">
        <is>
          <t>Price target box</t>
        </is>
      </c>
      <c r="B3" s="3" t="inlineStr">
        <is>
          <t>Value</t>
        </is>
      </c>
    </row>
    <row r="4">
      <c r="A4" t="inlineStr">
        <is>
          <t>Live price</t>
        </is>
      </c>
      <c r="B4" s="4">
        <f>IFERROR(GOOGLEFINANCE("VST","price"),Valuation!$B$66)</f>
        <v/>
      </c>
    </row>
    <row r="5">
      <c r="A5" t="inlineStr">
        <is>
          <t>Price as of</t>
        </is>
      </c>
      <c r="B5" s="5">
        <f>NOW()</f>
        <v/>
      </c>
    </row>
    <row r="6">
      <c r="A6" t="inlineStr">
        <is>
          <t>Model target (12-month median)</t>
        </is>
      </c>
      <c r="B6" s="6">
        <f>Distribution!$B$13</f>
        <v/>
      </c>
    </row>
    <row r="7">
      <c r="A7" t="inlineStr">
        <is>
          <t>Upside to model target from live price</t>
        </is>
      </c>
      <c r="B7" s="7">
        <f>B6/B4-1</f>
        <v/>
      </c>
    </row>
    <row r="8">
      <c r="A8" t="inlineStr">
        <is>
          <t>Research target (12m) (no scenario deltas)</t>
        </is>
      </c>
      <c r="B8" s="4">
        <f>Valuation!$D$6</f>
        <v/>
      </c>
    </row>
    <row r="9">
      <c r="A9" t="inlineStr">
        <is>
          <t>Probability-weighted mean</t>
        </is>
      </c>
      <c r="B9" s="4">
        <f>Distribution!$B$10</f>
        <v/>
      </c>
    </row>
    <row r="10">
      <c r="A10" t="inlineStr">
        <is>
          <t>10th percentile</t>
        </is>
      </c>
      <c r="B10" s="4">
        <f>Distribution!$B$14</f>
        <v/>
      </c>
    </row>
    <row r="11">
      <c r="A11" t="inlineStr">
        <is>
          <t>25th percentile</t>
        </is>
      </c>
      <c r="B11" s="4">
        <f>Distribution!$B$15</f>
        <v/>
      </c>
    </row>
    <row r="12">
      <c r="A12" t="inlineStr">
        <is>
          <t>75th percentile</t>
        </is>
      </c>
      <c r="B12" s="4">
        <f>Distribution!$B$16</f>
        <v/>
      </c>
    </row>
    <row r="13">
      <c r="A13" t="inlineStr">
        <is>
          <t>90th percentile</t>
        </is>
      </c>
      <c r="B13" s="4">
        <f>Distribution!$B$17</f>
        <v/>
      </c>
    </row>
    <row r="14">
      <c r="A14" t="inlineStr">
        <is>
          <t>Target date</t>
        </is>
      </c>
      <c r="B14" s="8">
        <f>Valuation!$B$44</f>
        <v/>
      </c>
    </row>
    <row r="15">
      <c r="A15" t="inlineStr">
        <is>
          <t>Price at the run</t>
        </is>
      </c>
      <c r="B15" s="4">
        <f>Valuation!$B$66</f>
        <v/>
      </c>
    </row>
    <row r="16">
      <c r="A16" t="inlineStr">
        <is>
          <t>Blended page target (options 67% + agents 33%, not live)</t>
        </is>
      </c>
      <c r="B16" s="9" t="n">
        <v>144.6756</v>
      </c>
    </row>
    <row r="17">
      <c r="A17" t="inlineStr">
        <is>
          <t>Supervisor research target (12m) (its own methods)</t>
        </is>
      </c>
      <c r="B17" s="9" t="n">
        <v>147.67</v>
      </c>
    </row>
    <row r="18">
      <c r="A18" t="inlineStr">
        <is>
          <t>Thesis break price (supervisor)</t>
        </is>
      </c>
      <c r="B18" s="9" t="n">
        <v>115</v>
      </c>
    </row>
    <row r="19">
      <c r="A19" t="inlineStr">
        <is>
          <t>Supervisor confidence</t>
        </is>
      </c>
      <c r="B19" t="inlineStr">
        <is>
          <t>medium</t>
        </is>
      </c>
    </row>
    <row r="21">
      <c r="A21" s="3" t="inlineStr">
        <is>
          <t>Key estimates</t>
        </is>
      </c>
      <c r="B21" s="3" t="inlineStr">
        <is>
          <t>FY2025A</t>
        </is>
      </c>
      <c r="C21" s="3">
        <f>Model!E5</f>
        <v/>
      </c>
      <c r="D21" s="3">
        <f>Model!F5</f>
        <v/>
      </c>
    </row>
    <row r="22">
      <c r="A22" t="inlineStr">
        <is>
          <t>Net sales</t>
        </is>
      </c>
      <c r="B22" s="10">
        <f>IF(Model!D24="","",Model!D24)</f>
        <v/>
      </c>
      <c r="C22" s="10">
        <f>Model!E24</f>
        <v/>
      </c>
      <c r="D22" s="10">
        <f>Model!F24</f>
        <v/>
      </c>
    </row>
    <row r="23">
      <c r="A23" s="11" t="inlineStr">
        <is>
          <t xml:space="preserve">  % YoY</t>
        </is>
      </c>
      <c r="B23" s="12">
        <f>IF(Model!D25="","",Model!D25)</f>
        <v/>
      </c>
      <c r="C23" s="12">
        <f>Model!E25</f>
        <v/>
      </c>
      <c r="D23" s="12">
        <f>Model!F25</f>
        <v/>
      </c>
    </row>
    <row r="24">
      <c r="A24" t="inlineStr">
        <is>
          <t>Pretax margin</t>
        </is>
      </c>
      <c r="B24" s="12">
        <f>IF(Model!D35="","",Model!D35)</f>
        <v/>
      </c>
      <c r="C24" s="12">
        <f>Model!E35</f>
        <v/>
      </c>
      <c r="D24" s="12">
        <f>Model!F35</f>
        <v/>
      </c>
    </row>
    <row r="25">
      <c r="A25" t="inlineStr">
        <is>
          <t>Diluted EPS (model)</t>
        </is>
      </c>
      <c r="B25" s="13">
        <f>IF(Model!D42="","",Model!D42)</f>
        <v/>
      </c>
      <c r="C25" s="13">
        <f>Model!E42</f>
        <v/>
      </c>
      <c r="D25" s="13">
        <f>Model!F42</f>
        <v/>
      </c>
    </row>
    <row r="26">
      <c r="A26" s="11" t="inlineStr">
        <is>
          <t xml:space="preserve">  % YoY</t>
        </is>
      </c>
      <c r="B26" s="12">
        <f>IF(Model!D43="","",Model!D43)</f>
        <v/>
      </c>
      <c r="C26" s="12">
        <f>Model!E43</f>
        <v/>
      </c>
      <c r="D26" s="12">
        <f>Model!F43</f>
        <v/>
      </c>
    </row>
    <row r="27">
      <c r="A27" t="inlineStr">
        <is>
          <t>Free cash flow to firm</t>
        </is>
      </c>
      <c r="B27" s="10">
        <f>IF(Model!D52="","",Model!D52)</f>
        <v/>
      </c>
      <c r="C27" s="10">
        <f>Model!E52</f>
        <v/>
      </c>
      <c r="D27" s="10">
        <f>Model!F52</f>
        <v/>
      </c>
    </row>
    <row r="29">
      <c r="A29" s="3" t="inlineStr">
        <is>
          <t>Valuation method</t>
        </is>
      </c>
      <c r="B29" s="3" t="inlineStr">
        <is>
          <t>Value per share</t>
        </is>
      </c>
      <c r="C29" s="3" t="inlineStr">
        <is>
          <t>Weight</t>
        </is>
      </c>
    </row>
    <row r="30">
      <c r="A30" s="14">
        <f>Valuation!A4</f>
        <v/>
      </c>
      <c r="B30" s="4">
        <f>Valuation!D4</f>
        <v/>
      </c>
      <c r="C30" s="12">
        <f>Valuation!E4</f>
        <v/>
      </c>
    </row>
    <row r="31">
      <c r="A31" s="14">
        <f>Valuation!A5</f>
        <v/>
      </c>
      <c r="B31" s="4">
        <f>Valuation!D5</f>
        <v/>
      </c>
      <c r="C31" s="12">
        <f>Valuation!E5</f>
        <v/>
      </c>
    </row>
    <row r="33">
      <c r="A33" s="3" t="inlineStr">
        <is>
          <t>Scenario</t>
        </is>
      </c>
      <c r="B33" s="3" t="inlineStr">
        <is>
          <t>Probability</t>
        </is>
      </c>
      <c r="C33" s="3" t="inlineStr">
        <is>
          <t>Value at target date</t>
        </is>
      </c>
      <c r="D33" s="3" t="inlineStr">
        <is>
          <t>What has to happen</t>
        </is>
      </c>
    </row>
    <row r="34">
      <c r="A34" s="14">
        <f>Distribution!A4</f>
        <v/>
      </c>
      <c r="B34" s="12">
        <f>Distribution!B4</f>
        <v/>
      </c>
      <c r="C34" s="4">
        <f>Distribution!C4</f>
        <v/>
      </c>
      <c r="D34" s="15">
        <f>Distribution!D4</f>
        <v/>
      </c>
    </row>
    <row r="35">
      <c r="A35" s="14">
        <f>Distribution!A5</f>
        <v/>
      </c>
      <c r="B35" s="12">
        <f>Distribution!B5</f>
        <v/>
      </c>
      <c r="C35" s="4">
        <f>Distribution!C5</f>
        <v/>
      </c>
      <c r="D35" s="15">
        <f>Distribution!D5</f>
        <v/>
      </c>
    </row>
    <row r="36">
      <c r="A36" s="14">
        <f>Distribution!A6</f>
        <v/>
      </c>
      <c r="B36" s="12">
        <f>Distribution!B6</f>
        <v/>
      </c>
      <c r="C36" s="4">
        <f>Distribution!C6</f>
        <v/>
      </c>
      <c r="D36" s="15">
        <f>Distribution!D6</f>
        <v/>
      </c>
    </row>
    <row r="38">
      <c r="A38" s="3" t="inlineStr">
        <is>
          <t>Price at target date</t>
        </is>
      </c>
      <c r="B38" s="3" t="inlineStr">
        <is>
          <t>Probability above</t>
        </is>
      </c>
    </row>
    <row r="39">
      <c r="A39" s="9">
        <f>ROUND(Valuation!$B$66*0.7,0)</f>
        <v/>
      </c>
      <c r="B39" s="16">
        <f>SUMPRODUCT(Distribution!$B$4:$B$6,1-NORMSDIST((LN(A39)-LN(Distribution!$C$4:$C$6))/Distribution!$B$9))</f>
        <v/>
      </c>
    </row>
    <row r="40">
      <c r="A40" s="9">
        <f>ROUND(Valuation!$B$66*0.8,0)</f>
        <v/>
      </c>
      <c r="B40" s="16">
        <f>SUMPRODUCT(Distribution!$B$4:$B$6,1-NORMSDIST((LN(A40)-LN(Distribution!$C$4:$C$6))/Distribution!$B$9))</f>
        <v/>
      </c>
    </row>
    <row r="41">
      <c r="A41" s="9">
        <f>ROUND(Valuation!$B$66*0.9,0)</f>
        <v/>
      </c>
      <c r="B41" s="16">
        <f>SUMPRODUCT(Distribution!$B$4:$B$6,1-NORMSDIST((LN(A41)-LN(Distribution!$C$4:$C$6))/Distribution!$B$9))</f>
        <v/>
      </c>
    </row>
    <row r="42">
      <c r="A42" s="9">
        <f>ROUND(Valuation!$B$66*1.0,0)</f>
        <v/>
      </c>
      <c r="B42" s="16">
        <f>SUMPRODUCT(Distribution!$B$4:$B$6,1-NORMSDIST((LN(A42)-LN(Distribution!$C$4:$C$6))/Distribution!$B$9))</f>
        <v/>
      </c>
    </row>
    <row r="43">
      <c r="A43" s="9">
        <f>ROUND(Valuation!$B$66*1.1,0)</f>
        <v/>
      </c>
      <c r="B43" s="16">
        <f>SUMPRODUCT(Distribution!$B$4:$B$6,1-NORMSDIST((LN(A43)-LN(Distribution!$C$4:$C$6))/Distribution!$B$9))</f>
        <v/>
      </c>
    </row>
    <row r="44">
      <c r="A44" s="9">
        <f>ROUND(Valuation!$B$66*1.2,0)</f>
        <v/>
      </c>
      <c r="B44" s="16">
        <f>SUMPRODUCT(Distribution!$B$4:$B$6,1-NORMSDIST((LN(A44)-LN(Distribution!$C$4:$C$6))/Distribution!$B$9))</f>
        <v/>
      </c>
    </row>
    <row r="45">
      <c r="A45" s="9">
        <f>ROUND(Valuation!$B$66*1.3,0)</f>
        <v/>
      </c>
      <c r="B45" s="16">
        <f>SUMPRODUCT(Distribution!$B$4:$B$6,1-NORMSDIST((LN(A45)-LN(Distribution!$C$4:$C$6))/Distribution!$B$9))</f>
        <v/>
      </c>
    </row>
    <row r="46">
      <c r="A46" s="9">
        <f>ROUND(Valuation!$B$66*1.5,0)</f>
        <v/>
      </c>
      <c r="B46" s="16">
        <f>SUMPRODUCT(Distribution!$B$4:$B$6,1-NORMSDIST((LN(A46)-LN(Distribution!$C$4:$C$6))/Distribution!$B$9))</f>
        <v/>
      </c>
    </row>
    <row r="48">
      <c r="A48" s="3" t="inlineStr">
        <is>
          <t>Model checks</t>
        </is>
      </c>
      <c r="B48" s="3" t="inlineStr">
        <is>
          <t>Status</t>
        </is>
      </c>
    </row>
    <row r="49">
      <c r="A49" t="inlineStr">
        <is>
          <t>Scenario probabilities sum to 100%</t>
        </is>
      </c>
      <c r="B49">
        <f>IF(ABS(Distribution!B8-1)&lt;0.005,"ok","FLAG: "&amp;TEXT(Distribution!B8,"0.0%"))</f>
        <v/>
      </c>
    </row>
    <row r="50">
      <c r="A50" t="inlineStr">
        <is>
          <t>WACC exceeds terminal growth by 1 point or more</t>
        </is>
      </c>
      <c r="B50">
        <f>IF('Calc - research target (12m)'!B55="ok","ok","FLAG")</f>
        <v/>
      </c>
    </row>
    <row r="51">
      <c r="A51" t="inlineStr">
        <is>
          <t>Projection runs a full year past the target date</t>
        </is>
      </c>
      <c r="B51">
        <f>IF('Calc - research target (12m)'!B56="ok","ok","FLAG")</f>
        <v/>
      </c>
    </row>
    <row r="52">
      <c r="A52" t="inlineStr">
        <is>
          <t>Method weights add up to more than zero</t>
        </is>
      </c>
      <c r="B52">
        <f>IF(SUM(Valuation!E4:E5)&gt;0,"ok","FLAG")</f>
        <v/>
      </c>
    </row>
    <row r="53">
      <c r="A53" t="inlineStr">
        <is>
          <t>Terminal value under 85% of the DCF</t>
        </is>
      </c>
      <c r="B53">
        <f>IF('Calc - research target (12m)'!B46&lt;0.85,"ok","note: "&amp;TEXT('Calc - research target (12m)'!B46,"0%")&amp;" of the DCF is terminal value")</f>
        <v/>
      </c>
    </row>
    <row r="54">
      <c r="A54" t="inlineStr">
        <is>
          <t>Segment base revenues tie to the last reported net sales (within 2%)</t>
        </is>
      </c>
      <c r="B54">
        <f>IF(ABS(Valuation!$B$88/Valuation!$B$49-1)&lt;=0.02,"ok","FLAG")</f>
        <v/>
      </c>
    </row>
    <row r="55">
      <c r="A55" t="inlineStr">
        <is>
          <t>Matches the engine run at publication (target, research target (12m))</t>
        </is>
      </c>
      <c r="B55">
        <f>IF(AND(ABS(Distribution!$B$13-144.4938)&lt;0.01,ABS(Valuation!$D$6-147.6735)&lt;0.01),"ok","inputs edited since publication")</f>
        <v/>
      </c>
    </row>
    <row r="56">
      <c r="A56" s="17" t="inlineStr">
        <is>
          <t>All checks</t>
        </is>
      </c>
      <c r="B56" s="17">
        <f>IF(COUNTIF(B49:B55,"ok")=7,"all ok",7-COUNTIF(B49:B55,"ok")&amp;" to look at")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6"/>
  <sheetViews>
    <sheetView showGridLines="0"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60" customWidth="1" min="8" max="8"/>
  </cols>
  <sheetData>
    <row r="1">
      <c r="A1" s="1" t="inlineStr">
        <is>
          <t>VST: annual model, base case</t>
        </is>
      </c>
    </row>
    <row r="2">
      <c r="A2" s="2" t="inlineStr">
        <is>
          <t>(M of US dollars except per share; fiscal years named by the calendar year they end in)</t>
        </is>
      </c>
    </row>
    <row r="3">
      <c r="A3" s="2" t="inlineStr">
        <is>
          <t>Blue = input · black = formula · green = link to another tab · actuals from SEC filings (fact ids in the last column, links on Sources)</t>
        </is>
      </c>
    </row>
    <row r="5">
      <c r="A5" s="3" t="inlineStr">
        <is>
          <t>Fiscal year</t>
        </is>
      </c>
      <c r="B5" s="3" t="inlineStr">
        <is>
          <t>FY2023A</t>
        </is>
      </c>
      <c r="C5" s="3" t="inlineStr">
        <is>
          <t>FY2024A</t>
        </is>
      </c>
      <c r="D5" s="3" t="inlineStr">
        <is>
          <t>FY2025A</t>
        </is>
      </c>
      <c r="E5" s="3" t="inlineStr">
        <is>
          <t>FY2026E</t>
        </is>
      </c>
      <c r="F5" s="3" t="inlineStr">
        <is>
          <t>FY2027E</t>
        </is>
      </c>
      <c r="G5" s="3" t="inlineStr">
        <is>
          <t>FY2028E</t>
        </is>
      </c>
      <c r="H5" s="3" t="inlineStr">
        <is>
          <t>Source / note</t>
        </is>
      </c>
    </row>
    <row r="6">
      <c r="A6" t="inlineStr">
        <is>
          <t>Period end</t>
        </is>
      </c>
      <c r="B6" s="18" t="n">
        <v>45291</v>
      </c>
      <c r="C6" s="18" t="n">
        <v>45657</v>
      </c>
      <c r="D6" s="18" t="n">
        <v>46022</v>
      </c>
      <c r="E6" s="18">
        <f>IF(DAY(Valuation!$B$48+1)=1,EOMONTH(Valuation!$B$48,12*E7),EDATE(Valuation!$B$48,12*E7))</f>
        <v/>
      </c>
      <c r="F6" s="18">
        <f>IF(DAY(Valuation!$B$48+1)=1,EOMONTH(Valuation!$B$48,12*F7),EDATE(Valuation!$B$48,12*F7))</f>
        <v/>
      </c>
      <c r="G6" s="18">
        <f>IF(DAY(Valuation!$B$48+1)=1,EOMONTH(Valuation!$B$48,12*G7),EDATE(Valuation!$B$48,12*G7))</f>
        <v/>
      </c>
    </row>
    <row r="7">
      <c r="A7" t="inlineStr">
        <is>
          <t>Projection year</t>
        </is>
      </c>
      <c r="B7" t="n">
        <v>-2</v>
      </c>
      <c r="C7" t="n">
        <v>-1</v>
      </c>
      <c r="D7" t="n">
        <v>0</v>
      </c>
      <c r="E7" t="n">
        <v>1</v>
      </c>
      <c r="F7" t="n">
        <v>2</v>
      </c>
      <c r="G7" t="n">
        <v>3</v>
      </c>
    </row>
    <row r="10">
      <c r="A10" s="19" t="inlineStr">
        <is>
          <t>Segment build (blue = input: revenue growth and EBIT margin by segment and year)</t>
        </is>
      </c>
      <c r="B10" s="20" t="n"/>
      <c r="C10" s="20" t="n"/>
      <c r="D10" s="20" t="n"/>
      <c r="E10" s="20" t="n"/>
      <c r="F10" s="20" t="n"/>
      <c r="G10" s="20" t="n"/>
      <c r="H10" s="20" t="n"/>
    </row>
    <row r="11">
      <c r="A11" t="inlineStr">
        <is>
          <t>Generation</t>
        </is>
      </c>
      <c r="D11" s="10">
        <f>Valuation!$B$86</f>
        <v/>
      </c>
      <c r="E11" s="21">
        <f>Valuation!$B$86*(1+E12)</f>
        <v/>
      </c>
      <c r="F11" s="21">
        <f>E11*(1+F12)</f>
        <v/>
      </c>
      <c r="G11" s="21">
        <f>F11*(1+G12)</f>
        <v/>
      </c>
    </row>
    <row r="12">
      <c r="A12" s="11" t="inlineStr">
        <is>
          <t xml:space="preserve">  Revenue growth</t>
        </is>
      </c>
      <c r="E12" s="22" t="n">
        <v>0.199429629518127</v>
      </c>
      <c r="F12" s="22" t="n">
        <v>0.0903781015527414</v>
      </c>
      <c r="G12" s="22" t="n">
        <v>0.001156479581315262</v>
      </c>
    </row>
    <row r="13">
      <c r="A13" t="inlineStr">
        <is>
          <t xml:space="preserve">  Segment EBIT</t>
        </is>
      </c>
      <c r="E13" s="21">
        <f>E11*E14</f>
        <v/>
      </c>
      <c r="F13" s="21">
        <f>F11*F14</f>
        <v/>
      </c>
      <c r="G13" s="21">
        <f>G11*G14</f>
        <v/>
      </c>
    </row>
    <row r="14">
      <c r="A14" s="11" t="inlineStr">
        <is>
          <t xml:space="preserve">  EBIT margin</t>
        </is>
      </c>
      <c r="E14" s="22" t="n">
        <v>1.472503075909161</v>
      </c>
      <c r="F14" s="22" t="n">
        <v>1.50429303442785</v>
      </c>
      <c r="G14" s="22" t="n">
        <v>1.499669465450242</v>
      </c>
    </row>
    <row r="15">
      <c r="A15" t="inlineStr">
        <is>
          <t>Retail</t>
        </is>
      </c>
      <c r="D15" s="10">
        <f>Valuation!$B$87</f>
        <v/>
      </c>
      <c r="E15" s="21">
        <f>Valuation!$B$87*(1+E16)</f>
        <v/>
      </c>
      <c r="F15" s="21">
        <f>E15*(1+F16)</f>
        <v/>
      </c>
      <c r="G15" s="21">
        <f>F15*(1+G16)</f>
        <v/>
      </c>
    </row>
    <row r="16">
      <c r="A16" s="11" t="inlineStr">
        <is>
          <t xml:space="preserve">  Revenue growth</t>
        </is>
      </c>
      <c r="E16" s="22" t="n">
        <v>0.007847597878675616</v>
      </c>
      <c r="F16" s="22" t="n">
        <v>0.03202610763869673</v>
      </c>
      <c r="G16" s="22" t="n">
        <v>0.004204071199461978</v>
      </c>
    </row>
    <row r="17">
      <c r="A17" t="inlineStr">
        <is>
          <t xml:space="preserve">  Segment EBIT</t>
        </is>
      </c>
      <c r="E17" s="21">
        <f>E15*E18</f>
        <v/>
      </c>
      <c r="F17" s="21">
        <f>F15*F18</f>
        <v/>
      </c>
      <c r="G17" s="21">
        <f>G15*G18</f>
        <v/>
      </c>
    </row>
    <row r="18">
      <c r="A18" s="11" t="inlineStr">
        <is>
          <t xml:space="preserve">  EBIT margin</t>
        </is>
      </c>
      <c r="E18" s="22" t="n">
        <v>0.006035026101759535</v>
      </c>
      <c r="F18" s="22" t="n">
        <v>0.00388993240287066</v>
      </c>
      <c r="G18" s="22" t="n">
        <v>0.004265865848400406</v>
      </c>
    </row>
    <row r="19">
      <c r="A19" t="inlineStr">
        <is>
          <t>Total segment revenue (= net sales)</t>
        </is>
      </c>
      <c r="D19" s="23">
        <f>D11+D15</f>
        <v/>
      </c>
      <c r="E19" s="23">
        <f>E11+E15</f>
        <v/>
      </c>
      <c r="F19" s="23">
        <f>F11+F15</f>
        <v/>
      </c>
      <c r="G19" s="23">
        <f>G11+G15</f>
        <v/>
      </c>
      <c r="H19" s="2" t="inlineStr">
        <is>
          <t>base revenues on Valuation (segment build); net sales = this total</t>
        </is>
      </c>
    </row>
    <row r="20">
      <c r="A20" t="inlineStr">
        <is>
          <t>Total segment EBIT</t>
        </is>
      </c>
      <c r="E20" s="23">
        <f>E13+E17</f>
        <v/>
      </c>
      <c r="F20" s="23">
        <f>F13+F17</f>
        <v/>
      </c>
      <c r="G20" s="23">
        <f>G13+G17</f>
        <v/>
      </c>
    </row>
    <row r="21">
      <c r="A21" t="inlineStr">
        <is>
          <t>Corporate / unallocated EBIT (blue = input)</t>
        </is>
      </c>
      <c r="E21" s="24" t="n">
        <v>-2880</v>
      </c>
      <c r="F21" s="24" t="n">
        <v>-3116</v>
      </c>
      <c r="G21" s="24" t="n">
        <v>-3223</v>
      </c>
      <c r="H21" s="2" t="inlineStr">
        <is>
          <t>years[].corporate_ebit; EBIT = total segment EBIT + corporate</t>
        </is>
      </c>
    </row>
    <row r="23">
      <c r="A23" s="19" t="inlineStr">
        <is>
          <t>Sales</t>
        </is>
      </c>
      <c r="B23" s="20" t="n"/>
      <c r="C23" s="20" t="n"/>
      <c r="D23" s="20" t="n"/>
      <c r="E23" s="20" t="n"/>
      <c r="F23" s="20" t="n"/>
      <c r="G23" s="20" t="n"/>
      <c r="H23" s="20" t="n"/>
    </row>
    <row r="24">
      <c r="A24" s="17" t="inlineStr">
        <is>
          <t>Net sales</t>
        </is>
      </c>
      <c r="B24" s="21" t="n">
        <v>13804</v>
      </c>
      <c r="C24" s="21" t="n">
        <v>14761</v>
      </c>
      <c r="D24" s="21" t="n">
        <v>17586</v>
      </c>
      <c r="E24" s="23">
        <f>E19</f>
        <v/>
      </c>
      <c r="F24" s="23">
        <f>F19</f>
        <v/>
      </c>
      <c r="G24" s="23">
        <f>G19</f>
        <v/>
      </c>
      <c r="H24" s="2" t="inlineStr">
        <is>
          <t>SEC XBRL F1, F2, F3</t>
        </is>
      </c>
    </row>
    <row r="25">
      <c r="A25" s="11" t="inlineStr">
        <is>
          <t xml:space="preserve">  % YoY</t>
        </is>
      </c>
      <c r="C25" s="25">
        <f>IF(OR(C24="",B24="",B24=0),"",C24/B24-1)</f>
        <v/>
      </c>
      <c r="D25" s="25">
        <f>IF(OR(D24="",C24="",C24=0),"",D24/C24-1)</f>
        <v/>
      </c>
      <c r="E25" s="25">
        <f>E24/Valuation!$B$49-1</f>
        <v/>
      </c>
      <c r="F25" s="25">
        <f>F24/E24-1</f>
        <v/>
      </c>
      <c r="G25" s="25">
        <f>G24/F24-1</f>
        <v/>
      </c>
    </row>
    <row r="27">
      <c r="A27" s="19" t="inlineStr">
        <is>
          <t>Operating profit</t>
        </is>
      </c>
      <c r="B27" s="20" t="n"/>
      <c r="C27" s="20" t="n"/>
      <c r="D27" s="20" t="n"/>
      <c r="E27" s="20" t="n"/>
      <c r="F27" s="20" t="n"/>
      <c r="G27" s="20" t="n"/>
      <c r="H27" s="20" t="n"/>
    </row>
    <row r="28">
      <c r="A28" t="inlineStr">
        <is>
          <t>EBIT (operating income)</t>
        </is>
      </c>
      <c r="E28" s="21">
        <f>E20+E21</f>
        <v/>
      </c>
      <c r="F28" s="21">
        <f>F20+F21</f>
        <v/>
      </c>
      <c r="G28" s="21">
        <f>G20+G21</f>
        <v/>
      </c>
    </row>
    <row r="29">
      <c r="A29" s="11" t="inlineStr">
        <is>
          <t xml:space="preserve">  EBIT margin</t>
        </is>
      </c>
      <c r="E29" s="25">
        <f>E28/E24</f>
        <v/>
      </c>
      <c r="F29" s="25">
        <f>F28/F24</f>
        <v/>
      </c>
      <c r="G29" s="25">
        <f>G28/G24</f>
        <v/>
      </c>
    </row>
    <row r="30">
      <c r="A30" t="inlineStr">
        <is>
          <t>D&amp;A</t>
        </is>
      </c>
      <c r="B30" s="21" t="n">
        <v>1502</v>
      </c>
      <c r="C30" s="21" t="n">
        <v>1843</v>
      </c>
      <c r="D30" s="21" t="n">
        <v>1986</v>
      </c>
      <c r="E30" s="21">
        <f>E24*E64</f>
        <v/>
      </c>
      <c r="F30" s="21">
        <f>F24*F64</f>
        <v/>
      </c>
      <c r="G30" s="21">
        <f>G24*G64</f>
        <v/>
      </c>
      <c r="H30" s="2" t="inlineStr">
        <is>
          <t>SEC XBRL F34, F35, F36</t>
        </is>
      </c>
    </row>
    <row r="31">
      <c r="A31" t="inlineStr">
        <is>
          <t>EBITDA</t>
        </is>
      </c>
      <c r="E31" s="21">
        <f>E28+E30</f>
        <v/>
      </c>
      <c r="F31" s="21">
        <f>F28+F30</f>
        <v/>
      </c>
      <c r="G31" s="21">
        <f>G28+G30</f>
        <v/>
      </c>
    </row>
    <row r="32">
      <c r="A32" s="11" t="inlineStr">
        <is>
          <t xml:space="preserve">  EBITDA margin</t>
        </is>
      </c>
      <c r="E32" s="25">
        <f>E31/E24</f>
        <v/>
      </c>
      <c r="F32" s="25">
        <f>F31/F24</f>
        <v/>
      </c>
      <c r="G32" s="25">
        <f>G31/G24</f>
        <v/>
      </c>
    </row>
    <row r="33">
      <c r="A33" t="inlineStr">
        <is>
          <t>Net interest income / (expense)</t>
        </is>
      </c>
      <c r="E33" s="21">
        <f>-Valuation!$B$57*Valuation!$B$55</f>
        <v/>
      </c>
      <c r="F33" s="21">
        <f>-Valuation!$B$57*E58</f>
        <v/>
      </c>
      <c r="G33" s="21">
        <f>-Valuation!$B$57*F58</f>
        <v/>
      </c>
      <c r="H33" s="2" t="inlineStr">
        <is>
          <t>rate x prior year-end net debt (memo roll)</t>
        </is>
      </c>
    </row>
    <row r="34">
      <c r="A34" s="17" t="inlineStr">
        <is>
          <t>Pretax income</t>
        </is>
      </c>
      <c r="B34" s="21" t="n">
        <v>2000</v>
      </c>
      <c r="C34" s="21" t="n">
        <v>3467</v>
      </c>
      <c r="D34" s="21" t="n">
        <v>1123</v>
      </c>
      <c r="E34" s="23">
        <f>E28+E33</f>
        <v/>
      </c>
      <c r="F34" s="23">
        <f>F28+F33</f>
        <v/>
      </c>
      <c r="G34" s="23">
        <f>G28+G33</f>
        <v/>
      </c>
      <c r="H34" s="2" t="inlineStr">
        <is>
          <t>SEC XBRL F90, F91, F92</t>
        </is>
      </c>
    </row>
    <row r="35">
      <c r="A35" s="11" t="inlineStr">
        <is>
          <t xml:space="preserve">  Pretax margin</t>
        </is>
      </c>
      <c r="B35" s="25">
        <f>B34/B24</f>
        <v/>
      </c>
      <c r="C35" s="25">
        <f>C34/C24</f>
        <v/>
      </c>
      <c r="D35" s="25">
        <f>D34/D24</f>
        <v/>
      </c>
      <c r="E35" s="25">
        <f>E34/E24</f>
        <v/>
      </c>
      <c r="F35" s="25">
        <f>F34/F24</f>
        <v/>
      </c>
      <c r="G35" s="25">
        <f>G34/G24</f>
        <v/>
      </c>
    </row>
    <row r="36">
      <c r="A36" t="inlineStr">
        <is>
          <t>Income tax</t>
        </is>
      </c>
      <c r="B36" s="21" t="n">
        <v>508</v>
      </c>
      <c r="C36" s="21" t="n">
        <v>655</v>
      </c>
      <c r="D36" s="21" t="n">
        <v>179</v>
      </c>
      <c r="E36" s="21">
        <f>E34*E63</f>
        <v/>
      </c>
      <c r="F36" s="21">
        <f>F34*F63</f>
        <v/>
      </c>
      <c r="G36" s="21">
        <f>G34*G63</f>
        <v/>
      </c>
      <c r="H36" s="2" t="inlineStr">
        <is>
          <t>SEC XBRL F83, F84, F85</t>
        </is>
      </c>
    </row>
    <row r="37">
      <c r="A37" s="11" t="inlineStr">
        <is>
          <t xml:space="preserve">  Effective tax rate</t>
        </is>
      </c>
      <c r="B37" s="25">
        <f>B36/B34</f>
        <v/>
      </c>
      <c r="C37" s="25">
        <f>C36/C34</f>
        <v/>
      </c>
      <c r="D37" s="25">
        <f>D36/D34</f>
        <v/>
      </c>
      <c r="E37" s="25">
        <f>E36/E34</f>
        <v/>
      </c>
      <c r="F37" s="25">
        <f>F36/F34</f>
        <v/>
      </c>
      <c r="G37" s="25">
        <f>G36/G34</f>
        <v/>
      </c>
    </row>
    <row r="38">
      <c r="A38" s="17" t="inlineStr">
        <is>
          <t>Net income</t>
        </is>
      </c>
      <c r="B38" s="21" t="n">
        <v>1493</v>
      </c>
      <c r="C38" s="21" t="n">
        <v>2659</v>
      </c>
      <c r="D38" s="21" t="n">
        <v>944</v>
      </c>
      <c r="E38" s="23">
        <f>E34-E36</f>
        <v/>
      </c>
      <c r="F38" s="23">
        <f>F34-F36</f>
        <v/>
      </c>
      <c r="G38" s="23">
        <f>G34-G36</f>
        <v/>
      </c>
      <c r="H38" s="2" t="inlineStr">
        <is>
          <t>SEC XBRL F15, F16, F17</t>
        </is>
      </c>
    </row>
    <row r="39">
      <c r="A39" s="11" t="inlineStr">
        <is>
          <t xml:space="preserve">  % YoY</t>
        </is>
      </c>
      <c r="C39" s="25">
        <f>IF(OR(C38="",B38="",B38=0),"",C38/B38-1)</f>
        <v/>
      </c>
      <c r="D39" s="25">
        <f>IF(OR(D38="",C38="",C38=0),"",D38/C38-1)</f>
        <v/>
      </c>
      <c r="E39" s="25">
        <f>IF(OR(D38="",D38=0),"",E38/D38-1)</f>
        <v/>
      </c>
      <c r="F39" s="25">
        <f>IF(OR(E38="",E38=0),"",F38/E38-1)</f>
        <v/>
      </c>
      <c r="G39" s="25">
        <f>IF(OR(F38="",F38=0),"",G38/F38-1)</f>
        <v/>
      </c>
    </row>
    <row r="40">
      <c r="A40" t="inlineStr">
        <is>
          <t>Diluted shares (M, average)</t>
        </is>
      </c>
      <c r="B40" s="21" t="n">
        <v>375.19311</v>
      </c>
      <c r="C40" s="21" t="n">
        <v>352.56706</v>
      </c>
      <c r="D40" s="21" t="n">
        <v>345.656067</v>
      </c>
      <c r="E40" s="26">
        <f>Valuation!$B$59*(1+Valuation!$B$61)^(E7-0.5-((Valuation!$B$60-Valuation!$B$48)/365.25))</f>
        <v/>
      </c>
      <c r="F40" s="26">
        <f>Valuation!$B$59*(1+Valuation!$B$61)^(F7-0.5-((Valuation!$B$60-Valuation!$B$48)/365.25))</f>
        <v/>
      </c>
      <c r="G40" s="26">
        <f>Valuation!$B$59*(1+Valuation!$B$61)^(G7-0.5-((Valuation!$B$60-Valuation!$B$48)/365.25))</f>
        <v/>
      </c>
      <c r="H40" s="2" t="inlineStr">
        <is>
          <t>diluted count rolled at the annual change to mid-year</t>
        </is>
      </c>
    </row>
    <row r="41">
      <c r="A41" s="11" t="inlineStr">
        <is>
          <t xml:space="preserve">  % YoY</t>
        </is>
      </c>
      <c r="C41" s="25">
        <f>IF(OR(C40="",B40="",B40=0),"",C40/B40-1)</f>
        <v/>
      </c>
      <c r="D41" s="25">
        <f>IF(OR(D40="",C40="",C40=0),"",D40/C40-1)</f>
        <v/>
      </c>
      <c r="E41" s="25">
        <f>IF(OR(D40="",D40=0),"",E40/D40-1)</f>
        <v/>
      </c>
      <c r="F41" s="25">
        <f>IF(OR(E40="",E40=0),"",F40/E40-1)</f>
        <v/>
      </c>
      <c r="G41" s="25">
        <f>IF(OR(F40="",F40=0),"",G40/F40-1)</f>
        <v/>
      </c>
    </row>
    <row r="42">
      <c r="A42" s="17" t="inlineStr">
        <is>
          <t>Diluted EPS</t>
        </is>
      </c>
      <c r="B42" s="27" t="n">
        <v>3.58</v>
      </c>
      <c r="C42" s="27" t="n">
        <v>7</v>
      </c>
      <c r="D42" s="27" t="n">
        <v>2.18</v>
      </c>
      <c r="E42" s="28">
        <f>E38/E40</f>
        <v/>
      </c>
      <c r="F42" s="28">
        <f>F38/F40</f>
        <v/>
      </c>
      <c r="G42" s="28">
        <f>G38/G40</f>
        <v/>
      </c>
      <c r="H42" s="2" t="inlineStr">
        <is>
          <t>SEC XBRL F22, F23, F24</t>
        </is>
      </c>
    </row>
    <row r="43">
      <c r="A43" s="11" t="inlineStr">
        <is>
          <t xml:space="preserve">  % YoY</t>
        </is>
      </c>
      <c r="C43" s="25">
        <f>IF(OR(C42="",B42="",B42=0),"",C42/B42-1)</f>
        <v/>
      </c>
      <c r="D43" s="25">
        <f>IF(OR(D42="",C42="",C42=0),"",D42/C42-1)</f>
        <v/>
      </c>
      <c r="E43" s="25">
        <f>IF(OR(D42="",D42=0),"",E42/D42-1)</f>
        <v/>
      </c>
      <c r="F43" s="25">
        <f>IF(OR(E42="",E42=0),"",F42/E42-1)</f>
        <v/>
      </c>
      <c r="G43" s="25">
        <f>IF(OR(F42="",F42=0),"",G42/F42-1)</f>
        <v/>
      </c>
    </row>
    <row r="45">
      <c r="A45" s="19" t="inlineStr">
        <is>
          <t>Cash flow</t>
        </is>
      </c>
      <c r="B45" s="20" t="n"/>
      <c r="C45" s="20" t="n"/>
      <c r="D45" s="20" t="n"/>
      <c r="E45" s="20" t="n"/>
      <c r="F45" s="20" t="n"/>
      <c r="G45" s="20" t="n"/>
      <c r="H45" s="20" t="n"/>
    </row>
    <row r="46">
      <c r="A46" t="inlineStr">
        <is>
          <t>NOPAT (EBIT x (1 - tax))</t>
        </is>
      </c>
      <c r="E46" s="21">
        <f>E28*(1-E63)</f>
        <v/>
      </c>
      <c r="F46" s="21">
        <f>F28*(1-F63)</f>
        <v/>
      </c>
      <c r="G46" s="21">
        <f>G28*(1-G63)</f>
        <v/>
      </c>
    </row>
    <row r="47">
      <c r="A47" t="inlineStr">
        <is>
          <t>+ D&amp;A</t>
        </is>
      </c>
      <c r="B47" s="21">
        <f>B30</f>
        <v/>
      </c>
      <c r="C47" s="21">
        <f>C30</f>
        <v/>
      </c>
      <c r="D47" s="21">
        <f>D30</f>
        <v/>
      </c>
      <c r="E47" s="21">
        <f>E30</f>
        <v/>
      </c>
      <c r="F47" s="21">
        <f>F30</f>
        <v/>
      </c>
      <c r="G47" s="21">
        <f>G30</f>
        <v/>
      </c>
    </row>
    <row r="48">
      <c r="A48" t="inlineStr">
        <is>
          <t>- Capex</t>
        </is>
      </c>
      <c r="B48" s="21" t="n">
        <v>1676</v>
      </c>
      <c r="C48" s="21" t="n">
        <v>2078</v>
      </c>
      <c r="D48" s="21" t="n">
        <v>2752</v>
      </c>
      <c r="E48" s="21">
        <f>E24*E65</f>
        <v/>
      </c>
      <c r="F48" s="21">
        <f>F24*F65</f>
        <v/>
      </c>
      <c r="G48" s="21">
        <f>G24*G65</f>
        <v/>
      </c>
      <c r="H48" s="2" t="inlineStr">
        <is>
          <t>SEC XBRL F55, F56, F57</t>
        </is>
      </c>
    </row>
    <row r="49">
      <c r="A49" s="11" t="inlineStr">
        <is>
          <t xml:space="preserve">  Capex % of sales</t>
        </is>
      </c>
      <c r="B49" s="25">
        <f>B48/B24</f>
        <v/>
      </c>
      <c r="C49" s="25">
        <f>C48/C24</f>
        <v/>
      </c>
      <c r="D49" s="25">
        <f>D48/D24</f>
        <v/>
      </c>
      <c r="E49" s="25">
        <f>E48/E24</f>
        <v/>
      </c>
      <c r="F49" s="25">
        <f>F48/F24</f>
        <v/>
      </c>
      <c r="G49" s="25">
        <f>G48/G24</f>
        <v/>
      </c>
    </row>
    <row r="50">
      <c r="A50" t="inlineStr">
        <is>
          <t>- Working capital increase</t>
        </is>
      </c>
      <c r="E50" s="21">
        <f>E66*(E24-Valuation!$B$49)</f>
        <v/>
      </c>
      <c r="F50" s="21">
        <f>F66*(F24-E24)</f>
        <v/>
      </c>
      <c r="G50" s="21">
        <f>G66*(G24-F24)</f>
        <v/>
      </c>
    </row>
    <row r="51">
      <c r="A51" t="inlineStr">
        <is>
          <t>- Stock comp (adjusted EBIT only)</t>
        </is>
      </c>
      <c r="E51" s="21">
        <f>IF(AND(Valuation!$B$46="adjusted",Valuation!$B$47="cost"),E55*(1-E63),0)</f>
        <v/>
      </c>
      <c r="F51" s="21">
        <f>IF(AND(Valuation!$B$46="adjusted",Valuation!$B$47="cost"),F55*(1-F63),0)</f>
        <v/>
      </c>
      <c r="G51" s="21">
        <f>IF(AND(Valuation!$B$46="adjusted",Valuation!$B$47="cost"),G55*(1-G63),0)</f>
        <v/>
      </c>
    </row>
    <row r="52">
      <c r="A52" s="17" t="inlineStr">
        <is>
          <t>Free cash flow to firm</t>
        </is>
      </c>
      <c r="E52" s="23">
        <f>E46+E47-E48-E50-E51</f>
        <v/>
      </c>
      <c r="F52" s="23">
        <f>F46+F47-F48-F50-F51</f>
        <v/>
      </c>
      <c r="G52" s="23">
        <f>G46+G47-G48-G50-G51</f>
        <v/>
      </c>
      <c r="H52" s="2" t="inlineStr">
        <is>
          <t>what the DCF discounts (Calc tabs)</t>
        </is>
      </c>
    </row>
    <row r="53">
      <c r="A53" t="inlineStr">
        <is>
          <t>Operating cash flow (reported)</t>
        </is>
      </c>
      <c r="B53" s="21" t="n">
        <v>5453</v>
      </c>
      <c r="C53" s="21" t="n">
        <v>4563</v>
      </c>
      <c r="D53" s="21" t="n">
        <v>4070</v>
      </c>
      <c r="H53" s="2" t="inlineStr">
        <is>
          <t>SEC XBRL F48, F49, F50</t>
        </is>
      </c>
    </row>
    <row r="54">
      <c r="A54" t="inlineStr">
        <is>
          <t>FCF (operating cash flow - capex)</t>
        </is>
      </c>
      <c r="B54" s="21">
        <f>B53-B48</f>
        <v/>
      </c>
      <c r="C54" s="21">
        <f>C53-C48</f>
        <v/>
      </c>
      <c r="D54" s="21">
        <f>D53-D48</f>
        <v/>
      </c>
    </row>
    <row r="55">
      <c r="A55" t="inlineStr">
        <is>
          <t>Stock comp (memo)</t>
        </is>
      </c>
      <c r="B55" s="21" t="n">
        <v>77</v>
      </c>
      <c r="C55" s="21" t="n">
        <v>100</v>
      </c>
      <c r="D55" s="21" t="n">
        <v>113</v>
      </c>
      <c r="E55" s="21">
        <f>E24*E67</f>
        <v/>
      </c>
      <c r="F55" s="21">
        <f>F24*F67</f>
        <v/>
      </c>
      <c r="G55" s="21">
        <f>G24*G67</f>
        <v/>
      </c>
      <c r="H55" s="2" t="inlineStr">
        <is>
          <t>SEC XBRL F41, F42, F43</t>
        </is>
      </c>
    </row>
    <row r="56">
      <c r="A56" t="inlineStr">
        <is>
          <t>Buybacks + dividends + other uses</t>
        </is>
      </c>
      <c r="B56" s="21" t="n">
        <v>1558</v>
      </c>
      <c r="C56" s="21" t="n">
        <v>1571</v>
      </c>
      <c r="D56" s="21" t="n">
        <v>1334</v>
      </c>
      <c r="E56" s="21">
        <f>E24*E69+E68+E70</f>
        <v/>
      </c>
      <c r="F56" s="21">
        <f>F24*F69+F68+F70</f>
        <v/>
      </c>
      <c r="G56" s="21">
        <f>G24*G69+G68+G70</f>
        <v/>
      </c>
      <c r="H56" s="2" t="inlineStr">
        <is>
          <t>SEC XBRL F62, F69, F63, F70, F64, F71</t>
        </is>
      </c>
    </row>
    <row r="57">
      <c r="A57" s="11" t="inlineStr">
        <is>
          <t xml:space="preserve">  % of sales</t>
        </is>
      </c>
      <c r="B57" s="25">
        <f>B56/B24</f>
        <v/>
      </c>
      <c r="C57" s="25">
        <f>C56/C24</f>
        <v/>
      </c>
      <c r="D57" s="25">
        <f>D56/D24</f>
        <v/>
      </c>
      <c r="E57" s="25">
        <f>E56/E24</f>
        <v/>
      </c>
      <c r="F57" s="25">
        <f>F56/F24</f>
        <v/>
      </c>
      <c r="G57" s="25">
        <f>G56/G24</f>
        <v/>
      </c>
    </row>
    <row r="58">
      <c r="A58" t="inlineStr">
        <is>
          <t>Net debt / (net cash), year end (memo)</t>
        </is>
      </c>
      <c r="E58" s="21">
        <f>Valuation!$B$55-E52-E33*(1-E63)+E56</f>
        <v/>
      </c>
      <c r="F58" s="21">
        <f>E58-F52-F33*(1-F63)+F56</f>
        <v/>
      </c>
      <c r="G58" s="21">
        <f>F58-G52-G33*(1-G63)+G56</f>
        <v/>
      </c>
      <c r="H58" s="2" t="inlineStr">
        <is>
          <t>rolled from the balance-date figure; feeds interest only</t>
        </is>
      </c>
    </row>
    <row r="60">
      <c r="A60" s="19" t="inlineStr">
        <is>
          <t>Drivers (blue = input; a year left black carries the prior year)</t>
        </is>
      </c>
      <c r="B60" s="20" t="n"/>
      <c r="C60" s="20" t="n"/>
      <c r="D60" s="20" t="n"/>
      <c r="E60" s="20" t="n"/>
      <c r="F60" s="20" t="n"/>
      <c r="G60" s="20" t="n"/>
      <c r="H60" s="20" t="n"/>
    </row>
    <row r="61">
      <c r="A61" t="inlineStr">
        <is>
          <t>Revenue growth</t>
        </is>
      </c>
      <c r="C61" s="16">
        <f>C25</f>
        <v/>
      </c>
      <c r="D61" s="16">
        <f>D25</f>
        <v/>
      </c>
      <c r="E61" s="22">
        <f>E25</f>
        <v/>
      </c>
      <c r="F61" s="16">
        <f>F25</f>
        <v/>
      </c>
      <c r="G61" s="16">
        <f>G25</f>
        <v/>
      </c>
      <c r="H61" s="2" t="inlineStr">
        <is>
          <t>implied by the segment build (edit the segment rows)</t>
        </is>
      </c>
    </row>
    <row r="62">
      <c r="A62" t="inlineStr">
        <is>
          <t>EBIT margin</t>
        </is>
      </c>
      <c r="E62" s="22">
        <f>E29</f>
        <v/>
      </c>
      <c r="F62" s="16">
        <f>F29</f>
        <v/>
      </c>
      <c r="G62" s="16">
        <f>G29</f>
        <v/>
      </c>
      <c r="H62" s="2" t="inlineStr">
        <is>
          <t>implied by the segment build and corporate EBIT</t>
        </is>
      </c>
    </row>
    <row r="63">
      <c r="A63" t="inlineStr">
        <is>
          <t>Tax rate</t>
        </is>
      </c>
      <c r="B63" s="16">
        <f>B37</f>
        <v/>
      </c>
      <c r="C63" s="16">
        <f>C37</f>
        <v/>
      </c>
      <c r="D63" s="16">
        <f>D37</f>
        <v/>
      </c>
      <c r="E63" s="22" t="n">
        <v>0.2</v>
      </c>
      <c r="F63" s="16">
        <f>E63</f>
        <v/>
      </c>
      <c r="G63" s="16">
        <f>F63</f>
        <v/>
      </c>
    </row>
    <row r="64">
      <c r="A64" t="inlineStr">
        <is>
          <t>D&amp;A % revenue</t>
        </is>
      </c>
      <c r="B64" s="16">
        <f>B30/B24</f>
        <v/>
      </c>
      <c r="C64" s="16">
        <f>C30/C24</f>
        <v/>
      </c>
      <c r="D64" s="16">
        <f>D30/D24</f>
        <v/>
      </c>
      <c r="E64" s="22" t="n">
        <v>0.11</v>
      </c>
      <c r="F64" s="16">
        <f>E64</f>
        <v/>
      </c>
      <c r="G64" s="16">
        <f>F64</f>
        <v/>
      </c>
    </row>
    <row r="65">
      <c r="A65" t="inlineStr">
        <is>
          <t>Capex % revenue</t>
        </is>
      </c>
      <c r="B65" s="16">
        <f>B49</f>
        <v/>
      </c>
      <c r="C65" s="16">
        <f>C49</f>
        <v/>
      </c>
      <c r="D65" s="16">
        <f>D49</f>
        <v/>
      </c>
      <c r="E65" s="22" t="n">
        <v>0.145</v>
      </c>
      <c r="F65" s="22" t="n">
        <v>0.135</v>
      </c>
      <c r="G65" s="22" t="n">
        <v>0.105</v>
      </c>
    </row>
    <row r="66">
      <c r="A66" t="inlineStr">
        <is>
          <t>Working capital % of revenue increase</t>
        </is>
      </c>
      <c r="E66" s="22" t="n">
        <v>0.03</v>
      </c>
      <c r="F66" s="16">
        <f>E66</f>
        <v/>
      </c>
      <c r="G66" s="16">
        <f>F66</f>
        <v/>
      </c>
    </row>
    <row r="67">
      <c r="A67" t="inlineStr">
        <is>
          <t>Stock comp % revenue</t>
        </is>
      </c>
      <c r="B67" s="16">
        <f>B55/B24</f>
        <v/>
      </c>
      <c r="C67" s="16">
        <f>C55/C24</f>
        <v/>
      </c>
      <c r="D67" s="16">
        <f>D55/D24</f>
        <v/>
      </c>
      <c r="E67" s="22" t="n">
        <v>0.007</v>
      </c>
      <c r="F67" s="16">
        <f>E67</f>
        <v/>
      </c>
      <c r="G67" s="16">
        <f>F67</f>
        <v/>
      </c>
    </row>
    <row r="68">
      <c r="A68" t="inlineStr">
        <is>
          <t>Shareholder returns ($)</t>
        </is>
      </c>
      <c r="E68" s="24" t="n">
        <v>1500</v>
      </c>
      <c r="F68" s="24" t="n">
        <v>1500</v>
      </c>
      <c r="G68" s="24" t="n">
        <v>1500</v>
      </c>
    </row>
    <row r="69">
      <c r="A69" t="inlineStr">
        <is>
          <t>Shareholder returns % revenue</t>
        </is>
      </c>
      <c r="B69" s="16">
        <f>B57</f>
        <v/>
      </c>
      <c r="C69" s="16">
        <f>C57</f>
        <v/>
      </c>
      <c r="D69" s="16">
        <f>D57</f>
        <v/>
      </c>
      <c r="E69" s="22" t="n">
        <v>0</v>
      </c>
      <c r="F69" s="16">
        <f>E69</f>
        <v/>
      </c>
      <c r="G69" s="16">
        <f>F69</f>
        <v/>
      </c>
    </row>
    <row r="70">
      <c r="A70" t="inlineStr">
        <is>
          <t>Other uses of cash ($: M&amp;A, investments)</t>
        </is>
      </c>
      <c r="E70" s="24" t="n">
        <v>0</v>
      </c>
      <c r="F70" s="24" t="n">
        <v>0</v>
      </c>
      <c r="G70" s="24" t="n">
        <v>0</v>
      </c>
    </row>
    <row r="71">
      <c r="A71" t="inlineStr">
        <is>
          <t>Adj. EBITDA addback % revenue</t>
        </is>
      </c>
      <c r="E71" s="22" t="n">
        <v>0</v>
      </c>
      <c r="F71" s="16">
        <f>E71</f>
        <v/>
      </c>
      <c r="G71" s="16">
        <f>F71</f>
        <v/>
      </c>
    </row>
    <row r="73">
      <c r="A73" s="19" t="inlineStr">
        <is>
          <t>Versus company guidance and street consensus</t>
        </is>
      </c>
      <c r="B73" s="20" t="n"/>
      <c r="C73" s="20" t="n"/>
      <c r="D73" s="20" t="n"/>
      <c r="E73" s="20" t="n"/>
      <c r="F73" s="20" t="n"/>
      <c r="G73" s="20" t="n"/>
      <c r="H73" s="20" t="n"/>
    </row>
    <row r="74">
      <c r="A74" t="inlineStr">
        <is>
          <t>Guidance: Adjusted EBITDA (Ongoing Operations) (Ongoing Operations Adjusted EBITDA (adds back non-cash comp $137M, D&amp;A incl. nuclear fuel amortization, unrealized hedge marks)), midpoint</t>
        </is>
      </c>
      <c r="E74" s="29">
        <f>AVERAGE(6800,7600)</f>
        <v/>
      </c>
      <c r="H74" s="2" t="inlineStr">
        <is>
          <t>6800 to 7600; as of 2026-08-07; source 1, 2 (Vistra Q2 2026 results news release (8-K Ex. 99.1): 2026 gui)</t>
        </is>
      </c>
    </row>
    <row r="75">
      <c r="A75" t="inlineStr">
        <is>
          <t>Guidance: Adjusted FCFbG (Ongoing Operations) (Ongoing Operations Adjusted Free Cash Flow before Growth), midpoint</t>
        </is>
      </c>
      <c r="E75" s="29">
        <f>AVERAGE(3925,4725)</f>
        <v/>
      </c>
      <c r="H75" s="2" t="inlineStr">
        <is>
          <t>3925 to 4725; as of 2026-08-07; source 1 (Vistra Q2 2026 results news release (8-K Ex. 99.1): 2026 gui)</t>
        </is>
      </c>
    </row>
    <row r="76">
      <c r="A76" t="inlineStr">
        <is>
          <t>Guidance: Adjusted EBITDA midpoint opportunity (not guidance) (Ongoing Operations Adjusted EBITDA; excludes Cogentrix and the Meta PPA premium; curves as of 2025-10-31), midpoint</t>
        </is>
      </c>
      <c r="F76" s="29">
        <f>AVERAGE(7400,7800)</f>
        <v/>
      </c>
      <c r="H76" s="2" t="inlineStr">
        <is>
          <t>7400 to 7800; as of 2026-08-07; source 1, 2 (Vistra Q2 2026 results news release (8-K Ex. 99.1): 2026 gui)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8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4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60" customWidth="1" min="10" max="10"/>
    <col width="13" customWidth="1" min="11" max="11"/>
  </cols>
  <sheetData>
    <row r="1">
      <c r="A1" s="1" t="inlineStr">
        <is>
          <t>VST: valuation and price target derivation</t>
        </is>
      </c>
    </row>
    <row r="2">
      <c r="A2" s="2" t="inlineStr">
        <is>
          <t>Value per share at the target date = weighted methods below; the 12-month target is the median of the scenario mix (Distribution tab).</t>
        </is>
      </c>
    </row>
    <row r="3">
      <c r="A3" s="3" t="inlineStr">
        <is>
          <t>Method</t>
        </is>
      </c>
      <c r="B3" s="3" t="inlineStr">
        <is>
          <t>Multiple</t>
        </is>
      </c>
      <c r="C3" s="3" t="inlineStr">
        <is>
          <t>Metric at target date</t>
        </is>
      </c>
      <c r="D3" s="3" t="inlineStr">
        <is>
          <t>Value per share</t>
        </is>
      </c>
      <c r="E3" s="3" t="inlineStr">
        <is>
          <t>Weight</t>
        </is>
      </c>
      <c r="F3" s="3" t="inlineStr">
        <is>
          <t>Contribution</t>
        </is>
      </c>
    </row>
    <row r="4">
      <c r="A4" s="14">
        <f>'Calc - research target (12m)'!A67</f>
        <v/>
      </c>
      <c r="B4" s="4">
        <f>IF('Calc - research target (12m)'!C67="","",'Calc - research target (12m)'!C67)</f>
        <v/>
      </c>
      <c r="C4" s="30">
        <f>IF('Calc - research target (12m)'!I67="","",'Calc - research target (12m)'!I67)</f>
        <v/>
      </c>
      <c r="D4" s="4">
        <f>'Calc - research target (12m)'!F67</f>
        <v/>
      </c>
      <c r="E4" s="12">
        <f>'Calc - research target (12m)'!G67</f>
        <v/>
      </c>
      <c r="F4" s="9">
        <f>D4*E4/SUM($E$4:$E$5)</f>
        <v/>
      </c>
    </row>
    <row r="5">
      <c r="A5" s="14">
        <f>'Calc - research target (12m)'!A68</f>
        <v/>
      </c>
      <c r="B5" s="4">
        <f>IF('Calc - research target (12m)'!C68="","",'Calc - research target (12m)'!C68)</f>
        <v/>
      </c>
      <c r="C5" s="30">
        <f>IF('Calc - research target (12m)'!I68="","",'Calc - research target (12m)'!I68)</f>
        <v/>
      </c>
      <c r="D5" s="4">
        <f>'Calc - research target (12m)'!F68</f>
        <v/>
      </c>
      <c r="E5" s="12">
        <f>'Calc - research target (12m)'!G68</f>
        <v/>
      </c>
      <c r="F5" s="9">
        <f>D5*E5/SUM($E$4:$E$5)</f>
        <v/>
      </c>
    </row>
    <row r="6">
      <c r="A6" s="17" t="inlineStr">
        <is>
          <t>Research target (12m) per share</t>
        </is>
      </c>
      <c r="D6" s="6">
        <f>'Calc - research target (12m)'!$F$69</f>
        <v/>
      </c>
      <c r="F6" s="6">
        <f>SUM(F4:F5)</f>
        <v/>
      </c>
    </row>
    <row r="8">
      <c r="A8" s="19" t="inlineStr">
        <is>
          <t>12-month EPS basis (what the P/E is applied to)</t>
        </is>
      </c>
      <c r="B8" s="20" t="n"/>
      <c r="C8" s="20" t="n"/>
      <c r="D8" s="20" t="n"/>
      <c r="E8" s="20" t="n"/>
      <c r="F8" s="20" t="n"/>
      <c r="G8" s="20" t="n"/>
      <c r="H8" s="20" t="n"/>
      <c r="I8" s="20" t="n"/>
    </row>
    <row r="9">
      <c r="A9" s="3" t="inlineStr">
        <is>
          <t>Fiscal year</t>
        </is>
      </c>
      <c r="B9" s="3">
        <f>Model!E5</f>
        <v/>
      </c>
      <c r="C9" s="3">
        <f>Model!F5</f>
        <v/>
      </c>
      <c r="D9" s="3">
        <f>Model!G5</f>
        <v/>
      </c>
    </row>
    <row r="10">
      <c r="A10" t="inlineStr">
        <is>
          <t>Share of the 12 months after the target date</t>
        </is>
      </c>
      <c r="B10" s="12">
        <f>'Calc - research target (12m)'!C38</f>
        <v/>
      </c>
      <c r="C10" s="12">
        <f>'Calc - research target (12m)'!D38</f>
        <v/>
      </c>
      <c r="D10" s="12">
        <f>'Calc - research target (12m)'!E38</f>
        <v/>
      </c>
    </row>
    <row r="11">
      <c r="A11" t="inlineStr">
        <is>
          <t>Model EPS (Model tab)</t>
        </is>
      </c>
      <c r="B11" s="13">
        <f>Model!E42</f>
        <v/>
      </c>
      <c r="C11" s="13">
        <f>Model!F42</f>
        <v/>
      </c>
      <c r="D11" s="13">
        <f>Model!G42</f>
        <v/>
      </c>
    </row>
    <row r="12">
      <c r="A12" t="inlineStr">
        <is>
          <t>Model EPS, next 12 months after the target date</t>
        </is>
      </c>
      <c r="B12" s="28">
        <f>SUMPRODUCT(B10:D10,B11:D11)</f>
        <v/>
      </c>
    </row>
    <row r="15">
      <c r="A15" s="19" t="inlineStr">
        <is>
          <t>DCF build (free cash flow to firm, discounted to the target date)</t>
        </is>
      </c>
      <c r="B15" s="20" t="n"/>
      <c r="C15" s="20" t="n"/>
      <c r="D15" s="20" t="n"/>
      <c r="E15" s="20" t="n"/>
      <c r="F15" s="20" t="n"/>
      <c r="G15" s="20" t="n"/>
      <c r="H15" s="20" t="n"/>
      <c r="I15" s="20" t="n"/>
    </row>
    <row r="16">
      <c r="A16" s="3" t="inlineStr">
        <is>
          <t>Fiscal year</t>
        </is>
      </c>
      <c r="B16" s="3">
        <f>Model!E5</f>
        <v/>
      </c>
      <c r="C16" s="3">
        <f>Model!F5</f>
        <v/>
      </c>
      <c r="D16" s="3">
        <f>Model!G5</f>
        <v/>
      </c>
    </row>
    <row r="17">
      <c r="A17" t="inlineStr">
        <is>
          <t>Free cash flow to firm</t>
        </is>
      </c>
      <c r="B17" s="10">
        <f>'Calc - research target (12m)'!C31</f>
        <v/>
      </c>
      <c r="C17" s="10">
        <f>'Calc - research target (12m)'!D31</f>
        <v/>
      </c>
      <c r="D17" s="10">
        <f>'Calc - research target (12m)'!E31</f>
        <v/>
      </c>
    </row>
    <row r="18">
      <c r="A18" t="inlineStr">
        <is>
          <t>Share of the year after the target date</t>
        </is>
      </c>
      <c r="B18" s="12">
        <f>'Calc - research target (12m)'!C35</f>
        <v/>
      </c>
      <c r="C18" s="12">
        <f>'Calc - research target (12m)'!D35</f>
        <v/>
      </c>
      <c r="D18" s="12">
        <f>'Calc - research target (12m)'!E35</f>
        <v/>
      </c>
    </row>
    <row r="19">
      <c r="A19" t="inlineStr">
        <is>
          <t>PV at target date</t>
        </is>
      </c>
      <c r="B19" s="10">
        <f>'Calc - research target (12m)'!C36</f>
        <v/>
      </c>
      <c r="C19" s="10">
        <f>'Calc - research target (12m)'!D36</f>
        <v/>
      </c>
      <c r="D19" s="10">
        <f>'Calc - research target (12m)'!E36</f>
        <v/>
      </c>
    </row>
    <row r="21">
      <c r="A21" t="inlineStr">
        <is>
          <t>PV of free cash flow after the target date</t>
        </is>
      </c>
      <c r="B21" s="10">
        <f>'Calc - research target (12m)'!B42</f>
        <v/>
      </c>
    </row>
    <row r="22">
      <c r="A22" t="inlineStr">
        <is>
          <t>Terminal value (final year)</t>
        </is>
      </c>
      <c r="B22" s="10">
        <f>'Calc - research target (12m)'!B43</f>
        <v/>
      </c>
    </row>
    <row r="23">
      <c r="A23" t="inlineStr">
        <is>
          <t>PV of terminal value</t>
        </is>
      </c>
      <c r="B23" s="10">
        <f>'Calc - research target (12m)'!B44</f>
        <v/>
      </c>
    </row>
    <row r="24">
      <c r="A24" t="inlineStr">
        <is>
          <t>Enterprise value at target date</t>
        </is>
      </c>
      <c r="B24" s="10">
        <f>'Calc - research target (12m)'!B45</f>
        <v/>
      </c>
    </row>
    <row r="25">
      <c r="A25" t="inlineStr">
        <is>
          <t>Terminal value share of DCF</t>
        </is>
      </c>
      <c r="B25" s="12">
        <f>'Calc - research target (12m)'!B46</f>
        <v/>
      </c>
    </row>
    <row r="26">
      <c r="A26" t="inlineStr">
        <is>
          <t>Net debt at target date</t>
        </is>
      </c>
      <c r="B26" s="10">
        <f>'Calc - research target (12m)'!B50</f>
        <v/>
      </c>
    </row>
    <row r="27">
      <c r="A27" t="inlineStr">
        <is>
          <t>Minority interests</t>
        </is>
      </c>
      <c r="B27" s="10">
        <f>'Calc - research target (12m)'!B51</f>
        <v/>
      </c>
    </row>
    <row r="28">
      <c r="A28" t="inlineStr">
        <is>
          <t>Adjustments</t>
        </is>
      </c>
      <c r="B28" s="10">
        <f>'Calc - research target (12m)'!B52</f>
        <v/>
      </c>
    </row>
    <row r="29">
      <c r="A29" t="inlineStr">
        <is>
          <t>Diluted shares at target date (M)</t>
        </is>
      </c>
      <c r="B29" s="31">
        <f>'Calc - research target (12m)'!B53</f>
        <v/>
      </c>
    </row>
    <row r="30">
      <c r="A30" t="inlineStr">
        <is>
          <t>DCF value per share</t>
        </is>
      </c>
      <c r="B30" s="4">
        <f>'Calc - research target (12m)'!F67</f>
        <v/>
      </c>
    </row>
    <row r="31">
      <c r="A31" t="inlineStr">
        <is>
          <t>WACC</t>
        </is>
      </c>
      <c r="B31" s="12">
        <f>'Calc - research target (12m)'!B12</f>
        <v/>
      </c>
    </row>
    <row r="41">
      <c r="A41" s="19" t="inlineStr">
        <is>
          <t>Assumptions (blue = input; sources on the Sources tab)</t>
        </is>
      </c>
      <c r="B41" s="20" t="n"/>
      <c r="C41" s="20" t="n"/>
      <c r="D41" s="20" t="n"/>
      <c r="E41" s="20" t="n"/>
      <c r="F41" s="20" t="n"/>
      <c r="G41" s="20" t="n"/>
      <c r="H41" s="20" t="n"/>
      <c r="I41" s="20" t="n"/>
    </row>
    <row r="42">
      <c r="A42" s="3" t="inlineStr">
        <is>
          <t>Input</t>
        </is>
      </c>
      <c r="B42" s="3" t="inlineStr">
        <is>
          <t>Value</t>
        </is>
      </c>
      <c r="C42" s="3" t="inlineStr">
        <is>
          <t>Basis / note</t>
        </is>
      </c>
    </row>
    <row r="43">
      <c r="A43" t="inlineStr">
        <is>
          <t>Run date (valuation as of)</t>
        </is>
      </c>
      <c r="B43" s="32" t="n">
        <v>46318</v>
      </c>
      <c r="C43" t="inlineStr"/>
    </row>
    <row r="44">
      <c r="A44" t="inlineStr">
        <is>
          <t>Target date (run date + 365 days)</t>
        </is>
      </c>
      <c r="B44" s="18">
        <f>B43+365</f>
        <v/>
      </c>
      <c r="C44" t="inlineStr">
        <is>
          <t>12-month horizon</t>
        </is>
      </c>
    </row>
    <row r="45">
      <c r="A45" t="inlineStr">
        <is>
          <t>Money unit</t>
        </is>
      </c>
      <c r="B45" s="33" t="inlineStr">
        <is>
          <t>$M</t>
        </is>
      </c>
      <c r="C45" t="inlineStr"/>
    </row>
    <row r="46">
      <c r="A46" t="inlineStr">
        <is>
          <t>EBIT basis (gaap / adjusted)</t>
        </is>
      </c>
      <c r="B46" s="33" t="inlineStr">
        <is>
          <t>adjusted</t>
        </is>
      </c>
      <c r="C46" t="inlineStr">
        <is>
          <t>gaap = after stock comp</t>
        </is>
      </c>
    </row>
    <row r="47">
      <c r="A47" t="inlineStr">
        <is>
          <t>Stock comp treatment (cost / dilution)</t>
        </is>
      </c>
      <c r="B47" s="33" t="inlineStr">
        <is>
          <t>dilution</t>
        </is>
      </c>
      <c r="C47" t="inlineStr">
        <is>
          <t>used only when EBIT is adjusted</t>
        </is>
      </c>
    </row>
    <row r="48">
      <c r="A48" t="inlineStr">
        <is>
          <t>Last reported fiscal year end</t>
        </is>
      </c>
      <c r="B48" s="32" t="n">
        <v>46022</v>
      </c>
      <c r="C48" t="inlineStr"/>
    </row>
    <row r="49">
      <c r="A49" t="inlineStr">
        <is>
          <t>Net sales, last reported year ($M)</t>
        </is>
      </c>
      <c r="B49" s="24" t="n">
        <v>17586</v>
      </c>
      <c r="C49" t="inlineStr"/>
    </row>
    <row r="50">
      <c r="A50" t="inlineStr">
        <is>
          <t>WACC</t>
        </is>
      </c>
      <c r="B50" s="22" t="n">
        <v>0.09</v>
      </c>
      <c r="C50" t="inlineStr">
        <is>
          <t>Cost of equity 10.7% = 10-yr UST 5.21% (FRED DGS10, 2026-10-13, src 10) + beta 1.15 (judgment between agents' 1.1-1.3; merchant IPP with contracted nuclear) x ERP 4.75%; pre-tax cost of debt 6.5% (new junior subordinated notes priced at 7.000%/7.250%, src 14; senior debt lower; TTM interest 1,132 / debt 19,595 = 5.8%, F81/F98) x (1 - 20%) = 5.2%; weights ~70% equity ($51.1B = 152.2 x 335.6M) / 30% net debt + preferred ($21.6B). WACC = 0.7 x 10.7% + 0.3 x 5.2% = 9.0%.</t>
        </is>
      </c>
    </row>
    <row r="51">
      <c r="A51" t="inlineStr">
        <is>
          <t>Terminal method (gordon / exit_multiple / steady_state)</t>
        </is>
      </c>
      <c r="B51" s="33" t="inlineStr">
        <is>
          <t>gordon</t>
        </is>
      </c>
      <c r="C51" t="inlineStr"/>
    </row>
    <row r="52">
      <c r="A52" t="inlineStr">
        <is>
          <t>Terminal growth</t>
        </is>
      </c>
      <c r="B52" s="22" t="n">
        <v>0.025</v>
      </c>
      <c r="C52" t="inlineStr"/>
    </row>
    <row r="53">
      <c r="A53" t="inlineStr">
        <is>
          <t>Exit EV/EBITDA (exit_multiple only)</t>
        </is>
      </c>
      <c r="B53" s="34" t="n"/>
      <c r="C53" t="inlineStr"/>
    </row>
    <row r="54">
      <c r="A54" t="inlineStr">
        <is>
          <t>Balance-sheet date</t>
        </is>
      </c>
      <c r="B54" s="32" t="n">
        <v>46203</v>
      </c>
      <c r="C54" t="inlineStr"/>
    </row>
    <row r="55">
      <c r="A55" t="inlineStr">
        <is>
          <t>Net debt / (net cash) at balance date ($M)</t>
        </is>
      </c>
      <c r="B55" s="24" t="n">
        <v>19160</v>
      </c>
      <c r="C55" t="inlineStr">
        <is>
          <t>excludes operating leases</t>
        </is>
      </c>
    </row>
    <row r="56">
      <c r="A56" t="inlineStr">
        <is>
          <t>Minority interests + preferred stock</t>
        </is>
      </c>
      <c r="B56" s="24" t="n">
        <v>2488</v>
      </c>
      <c r="C56" t="inlineStr"/>
    </row>
    <row r="57">
      <c r="A57" t="inlineStr">
        <is>
          <t>Interest rate on net debt / cash</t>
        </is>
      </c>
      <c r="B57" s="22" t="n">
        <v>0.058</v>
      </c>
      <c r="C57" t="inlineStr"/>
    </row>
    <row r="58">
      <c r="A58" t="inlineStr">
        <is>
          <t>Net debt at target date (override; blank = bridge)</t>
        </is>
      </c>
      <c r="B58" s="24" t="n">
        <v>20421.228564</v>
      </c>
      <c r="C58" t="inlineStr"/>
    </row>
    <row r="59">
      <c r="A59" t="inlineStr">
        <is>
          <t>Diluted shares (M)</t>
        </is>
      </c>
      <c r="B59" s="35" t="n">
        <v>335.6</v>
      </c>
      <c r="C59" t="inlineStr"/>
    </row>
    <row r="60">
      <c r="A60" t="inlineStr">
        <is>
          <t>Share count date</t>
        </is>
      </c>
      <c r="B60" s="32" t="n">
        <v>46237</v>
      </c>
      <c r="C60" t="inlineStr"/>
    </row>
    <row r="61">
      <c r="A61" t="inlineStr">
        <is>
          <t>Annual change in diluted shares</t>
        </is>
      </c>
      <c r="B61" s="22" t="n">
        <v>0</v>
      </c>
      <c r="C61" t="inlineStr">
        <is>
          <t>net of buybacks and stock-comp dilution</t>
        </is>
      </c>
    </row>
    <row r="62">
      <c r="A62" t="inlineStr">
        <is>
          <t>Shares at target date (override; blank = from annual change)</t>
        </is>
      </c>
      <c r="B62" s="35" t="n">
        <v>334.6</v>
      </c>
      <c r="C62" t="inlineStr"/>
    </row>
    <row r="63">
      <c r="A63" t="inlineStr">
        <is>
          <t>DCF weight</t>
        </is>
      </c>
      <c r="B63" s="22" t="n">
        <v>0</v>
      </c>
      <c r="C63" t="inlineStr">
        <is>
          <t>Kilian 2026-10-21: 0 unless the name has a DCF leg (dcf_policy)</t>
        </is>
      </c>
    </row>
    <row r="64">
      <c r="A64" t="inlineStr">
        <is>
          <t>Sum-of-the-parts weight</t>
        </is>
      </c>
      <c r="B64" s="22" t="n">
        <v>0</v>
      </c>
      <c r="C64" t="inlineStr"/>
    </row>
    <row r="65">
      <c r="A65" t="inlineStr">
        <is>
          <t>Spread within each scenario (lognormal vol)</t>
        </is>
      </c>
      <c r="B65" s="22" t="n">
        <v>0.27</v>
      </c>
      <c r="C65" t="inlineStr"/>
    </row>
    <row r="66">
      <c r="A66" t="inlineStr">
        <is>
          <t>Share price at the run</t>
        </is>
      </c>
      <c r="B66" s="36" t="n">
        <v>140.16</v>
      </c>
      <c r="C66" t="inlineStr">
        <is>
          <t>close used by the run (2026-10-23)</t>
        </is>
      </c>
    </row>
    <row r="68">
      <c r="A68" s="3" t="inlineStr">
        <is>
          <t>Target multiple</t>
        </is>
      </c>
      <c r="B68" s="3" t="inlineStr">
        <is>
          <t>Multiple</t>
        </is>
      </c>
      <c r="C68" s="3" t="inlineStr">
        <is>
          <t>Weight</t>
        </is>
      </c>
      <c r="D68" s="3" t="inlineStr">
        <is>
          <t>Basis (ntm / ltm)</t>
        </is>
      </c>
      <c r="E68" s="3" t="inlineStr">
        <is>
          <t>EBITDA basis</t>
        </is>
      </c>
      <c r="F68" s="3" t="inlineStr">
        <is>
          <t>Stated EPS</t>
        </is>
      </c>
      <c r="G68" s="3" t="inlineStr">
        <is>
          <t>Stated FCF/share</t>
        </is>
      </c>
      <c r="H68" s="3" t="inlineStr">
        <is>
          <t>Levered</t>
        </is>
      </c>
      <c r="I68" s="3" t="inlineStr">
        <is>
          <t>Peer basis</t>
        </is>
      </c>
    </row>
    <row r="69">
      <c r="A69" s="33" t="inlineStr">
        <is>
          <t>EV/EBITDA</t>
        </is>
      </c>
      <c r="B69" s="34" t="n">
        <v>9</v>
      </c>
      <c r="C69" s="22" t="n">
        <v>0.7</v>
      </c>
      <c r="D69" s="33" t="inlineStr">
        <is>
          <t>ntm</t>
        </is>
      </c>
      <c r="E69" s="33" t="inlineStr">
        <is>
          <t>adjusted</t>
        </is>
      </c>
      <c r="F69" s="37" t="n"/>
      <c r="G69" s="37" t="n"/>
      <c r="H69" s="33" t="b">
        <v>1</v>
      </c>
      <c r="I69" t="inlineStr">
        <is>
          <t>Peer refresh 2026-10-26 (Kilian 06:07Z): merchant/IPP peers only, CEG, TLN, NRG (3; regulated utilities NEE ETR D AEP SO DUK EXC PEG left the table, European generators context only). NTM EV/EBITDA at the 2026-10-23 close: CEG 10.9x, TLN 10.1x, NRG 8.5x; median 10.06x (TLN), mean 9.83x (CEG.ev_ebitda_ntm, TLN.ev_ebitda_ntm, NRG.ev_ebitda_ntm; consensus adjusted EBITDA, Bigdata.com/FMP snapshots of 2026-10-14, same NTM window, no peer print since; TLN basis checked against its own Adj. EBITDA definition, src 12, 17). Was 10.6x at the 10-14 close: peer prices fell 8-10% (CEG 279.34 -&gt; 253.45, TLN 358.57 -&gt; 327.91, NRG 100.84 -&gt; 92.31), mostly the 10-22 sector move with no news. 9.0x = the base round's 1.1x (~10%) discount kept on the new median (10.06 - 1.1 = 8.96, rounded): the persistence case is unchanged and still on evidence, ERCOT merchant exposure (2028 only ~72% hedged, ERCOT forwards 'meaningfully lower', src 1-2) and the open PJM 2030/31+ design (src 6-7). VST itself ~9.3x NTM standalone adjusted EBITDA at 140.16 (estimate: EV $68.7B = 140.16 x 335.6M + 19,160 net debt + 2,488 pref/NCI, over ~$7.4B standalone).</t>
        </is>
      </c>
    </row>
    <row r="71">
      <c r="A71" s="3" t="inlineStr">
        <is>
          <t>Segment (sum of the parts)</t>
        </is>
      </c>
      <c r="B71" s="3" t="inlineStr">
        <is>
          <t>NTM metric</t>
        </is>
      </c>
      <c r="C71" s="3" t="inlineStr">
        <is>
          <t>Metric</t>
        </is>
      </c>
      <c r="D71" s="3" t="inlineStr">
        <is>
          <t>Multiple</t>
        </is>
      </c>
      <c r="E71" s="3" t="inlineStr">
        <is>
          <t>Note</t>
        </is>
      </c>
    </row>
    <row r="72">
      <c r="A72" s="11" t="inlineStr">
        <is>
          <t>none</t>
        </is>
      </c>
    </row>
    <row r="74">
      <c r="A74" s="3" t="inlineStr">
        <is>
          <t>Adjustment (equity level)</t>
        </is>
      </c>
      <c r="B74" s="3" t="inlineStr">
        <is>
          <t>Value</t>
        </is>
      </c>
      <c r="C74" s="3" t="inlineStr">
        <is>
          <t>Probability</t>
        </is>
      </c>
      <c r="D74" s="3" t="inlineStr">
        <is>
          <t>Note</t>
        </is>
      </c>
    </row>
    <row r="75">
      <c r="A75" s="33" t="inlineStr">
        <is>
          <t>Cogentrix tax benefits (NPV)</t>
        </is>
      </c>
      <c r="B75" s="24" t="n">
        <v>700</v>
      </c>
      <c r="C75" s="22" t="n">
        <v>0.9</v>
      </c>
      <c r="D75" t="inlineStr">
        <is>
          <t>Vistra's Cogentrix release (8-K Ex. 99.1, 2026-01-05) nets 'approximately $0.7 billion of net present value of expected tax benefits' out of the ~$4.7B gross price; the EV/EBITDA leg and the 20% DCF tax rate do not capture this deal-specific tax shield. x 0.9 closing probability (FERC approved per the Q2 release; NH/TX/CT approvals and an outside date of 2026-12-31, extendable twice by 90 days, per the 8-K).</t>
        </is>
      </c>
    </row>
    <row r="77">
      <c r="A77" s="3" t="inlineStr">
        <is>
          <t>Custom method</t>
        </is>
      </c>
      <c r="B77" s="3" t="inlineStr">
        <is>
          <t>Value per share</t>
        </is>
      </c>
      <c r="C77" s="3" t="inlineStr">
        <is>
          <t>Weight</t>
        </is>
      </c>
      <c r="D77" s="3" t="inlineStr">
        <is>
          <t>Explanation</t>
        </is>
      </c>
    </row>
    <row r="78">
      <c r="A78" s="11" t="inlineStr">
        <is>
          <t>none</t>
        </is>
      </c>
    </row>
    <row r="80">
      <c r="A80" s="3" t="inlineStr">
        <is>
          <t>Scenario</t>
        </is>
      </c>
      <c r="B80" s="3" t="inlineStr">
        <is>
          <t>Probability</t>
        </is>
      </c>
      <c r="C80" s="3" t="inlineStr">
        <is>
          <t>Growth Δ</t>
        </is>
      </c>
      <c r="D80" s="3" t="inlineStr">
        <is>
          <t>Margin Δ</t>
        </is>
      </c>
      <c r="E80" s="3" t="inlineStr">
        <is>
          <t>Multiple Δ (turns)</t>
        </is>
      </c>
      <c r="F80" s="3" t="inlineStr">
        <is>
          <t>WACC Δ</t>
        </is>
      </c>
      <c r="G80" s="3" t="inlineStr">
        <is>
          <t>Multiple %Δ (FCF yield, segments)</t>
        </is>
      </c>
      <c r="H80" s="3" t="inlineStr">
        <is>
          <t>Stated EPS/FCF %Δ</t>
        </is>
      </c>
      <c r="I80" s="3" t="inlineStr">
        <is>
          <t>Custom methods %Δ</t>
        </is>
      </c>
      <c r="J80" s="3" t="inlineStr">
        <is>
          <t>Story</t>
        </is>
      </c>
    </row>
    <row r="81">
      <c r="A81" t="inlineStr">
        <is>
          <t>bear</t>
        </is>
      </c>
      <c r="B81" s="22" t="n">
        <v>0.25</v>
      </c>
      <c r="C81" s="22" t="n"/>
      <c r="D81" s="22" t="n"/>
      <c r="E81" s="38" t="n">
        <v>-1.5</v>
      </c>
      <c r="F81" s="22" t="n">
        <v>0.005</v>
      </c>
      <c r="G81" s="22" t="n"/>
      <c r="H81" s="22" t="n"/>
      <c r="I81" s="22" t="n"/>
      <c r="J81" s="39" t="inlineStr">
        <is>
          <t>ERCOT forwards stay near $30/MWh as 2028 hedges roll off, PJM signals a cap or administrative design for 2030/31+, rates stay &gt;5%: 8.0x NTM and ~2.5pt lower margins. Driver form: gen_price -3% (~-$1.9/MWh fleet, ~-$7/MWh on the open 2028 book) = ~-$460M FY2028 EBITDA.</t>
        </is>
      </c>
      <c r="K81" s="39" t="inlineStr">
        <is>
          <t>driver deltas: gen_price -0.03 %</t>
        </is>
      </c>
    </row>
    <row r="82">
      <c r="A82" t="inlineStr">
        <is>
          <t>base</t>
        </is>
      </c>
      <c r="B82" s="22" t="n">
        <v>0.5</v>
      </c>
      <c r="C82" s="22" t="n"/>
      <c r="D82" s="22" t="n"/>
      <c r="E82" s="38" t="n"/>
      <c r="F82" s="22" t="n"/>
      <c r="G82" s="22" t="n"/>
      <c r="H82" s="22" t="n"/>
      <c r="I82" s="22" t="n"/>
      <c r="J82" s="39" t="inlineStr">
        <is>
          <t>FY2026 7300 / FY2027 8055 / FY2028 7943 Ongoing Ops Adj. EBITDA from the drivers; 9.5x NTM adjusted EBITDA at the horizon.</t>
        </is>
      </c>
    </row>
    <row r="83">
      <c r="A83" t="inlineStr">
        <is>
          <t>bull</t>
        </is>
      </c>
      <c r="B83" s="22" t="n">
        <v>0.25</v>
      </c>
      <c r="C83" s="22" t="n"/>
      <c r="D83" s="22" t="n"/>
      <c r="E83" s="38" t="n">
        <v>1.25</v>
      </c>
      <c r="F83" s="22" t="n"/>
      <c r="G83" s="22" t="n"/>
      <c r="H83" s="22" t="n"/>
      <c r="I83" s="22" t="n"/>
      <c r="J83" s="39" t="inlineStr">
        <is>
          <t>More nuclear contracted with hyperscalers (Comanche Peak, Beaver Valley), PJM capacity stays tight after the collar: 10.75x and ~2pt higher margins. Driver form: gen_price +2.5% = ~+$385M FY2028 EBITDA.</t>
        </is>
      </c>
      <c r="K83" s="39" t="inlineStr">
        <is>
          <t>driver deltas: gen_price +0.025 %</t>
        </is>
      </c>
    </row>
    <row r="85">
      <c r="A85" s="3" t="inlineStr">
        <is>
          <t>Segment build (segment_build)</t>
        </is>
      </c>
      <c r="B85" s="3" t="inlineStr">
        <is>
          <t>Base revenue ($M)</t>
        </is>
      </c>
      <c r="C85" s="3" t="inlineStr">
        <is>
          <t>Driver note (growth and EBIT margin by year: Model tab)</t>
        </is>
      </c>
    </row>
    <row r="86">
      <c r="A86" t="inlineStr">
        <is>
          <t>Generation</t>
        </is>
      </c>
      <c r="B86" s="24" t="n">
        <v>4561</v>
      </c>
      <c r="C86" t="inlineStr"/>
    </row>
    <row r="87">
      <c r="A87" t="inlineStr">
        <is>
          <t>Retail</t>
        </is>
      </c>
      <c r="B87" s="24" t="n">
        <v>13025</v>
      </c>
      <c r="C87" t="inlineStr"/>
    </row>
    <row r="88">
      <c r="A88" s="17" t="inlineStr">
        <is>
          <t>Sum of segment base revenues</t>
        </is>
      </c>
      <c r="B88" s="23">
        <f>SUM(B86:B87)</f>
        <v/>
      </c>
      <c r="C88">
        <f>IF(ABS(B88/Valuation!$B$49-1)&lt;=0.02,"ties to the last reported net sales (within 2%)","FLAG: does not tie to the last reported net sales")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1" t="inlineStr">
        <is>
          <t>VST: sensitivity tables (bold = current inputs; every cell recalculates from the live model)</t>
        </is>
      </c>
    </row>
    <row r="3">
      <c r="A3" s="17" t="inlineStr">
        <is>
          <t>DCF value per share: WACC (down) x terminal growth (across)</t>
        </is>
      </c>
    </row>
    <row r="4">
      <c r="A4" s="17" t="inlineStr">
        <is>
          <t>WACC \ growth</t>
        </is>
      </c>
      <c r="B4" s="7">
        <f>Valuation!$B$52+(-0.01)</f>
        <v/>
      </c>
      <c r="C4" s="7">
        <f>Valuation!$B$52+(-0.005)</f>
        <v/>
      </c>
      <c r="D4" s="7">
        <f>Valuation!$B$52+(0)</f>
        <v/>
      </c>
      <c r="E4" s="7">
        <f>Valuation!$B$52+(0.005)</f>
        <v/>
      </c>
      <c r="F4" s="7">
        <f>Valuation!$B$52+(0.01)</f>
        <v/>
      </c>
    </row>
    <row r="5">
      <c r="A5" s="7">
        <f>Valuation!$B$50+(-0.01)</f>
        <v/>
      </c>
      <c r="B5" s="9">
        <f>IF($A5-B$4&lt;=0.01,"n/a",((SUMPRODUCT('Calc - research target (12m)'!$C$31:$E$31,'Calc - research target (12m)'!$C$35:$E$35,(1+$A5)^(-('Calc - research target (12m)'!$C$19:$E$19-'Calc - research target (12m)'!$B$13)))+'Calc - research target (12m)'!$E$31*(1+B$4)/($A5-B$4)/(1+$A5)^('Calc - research target (12m)'!$B$16-'Calc - research target (12m)'!$B$13))-'Calc - research target (12m)'!$B$50-'Calc - research target (12m)'!$B$51+'Calc - research target (12m)'!$B$52)/'Calc - research target (12m)'!$B$53)</f>
        <v/>
      </c>
      <c r="C5" s="9">
        <f>IF($A5-C$4&lt;=0.01,"n/a",((SUMPRODUCT('Calc - research target (12m)'!$C$31:$E$31,'Calc - research target (12m)'!$C$35:$E$35,(1+$A5)^(-('Calc - research target (12m)'!$C$19:$E$19-'Calc - research target (12m)'!$B$13)))+'Calc - research target (12m)'!$E$31*(1+C$4)/($A5-C$4)/(1+$A5)^('Calc - research target (12m)'!$B$16-'Calc - research target (12m)'!$B$13))-'Calc - research target (12m)'!$B$50-'Calc - research target (12m)'!$B$51+'Calc - research target (12m)'!$B$52)/'Calc - research target (12m)'!$B$53)</f>
        <v/>
      </c>
      <c r="D5" s="9">
        <f>IF($A5-D$4&lt;=0.01,"n/a",((SUMPRODUCT('Calc - research target (12m)'!$C$31:$E$31,'Calc - research target (12m)'!$C$35:$E$35,(1+$A5)^(-('Calc - research target (12m)'!$C$19:$E$19-'Calc - research target (12m)'!$B$13)))+'Calc - research target (12m)'!$E$31*(1+D$4)/($A5-D$4)/(1+$A5)^('Calc - research target (12m)'!$B$16-'Calc - research target (12m)'!$B$13))-'Calc - research target (12m)'!$B$50-'Calc - research target (12m)'!$B$51+'Calc - research target (12m)'!$B$52)/'Calc - research target (12m)'!$B$53)</f>
        <v/>
      </c>
      <c r="E5" s="9">
        <f>IF($A5-E$4&lt;=0.01,"n/a",((SUMPRODUCT('Calc - research target (12m)'!$C$31:$E$31,'Calc - research target (12m)'!$C$35:$E$35,(1+$A5)^(-('Calc - research target (12m)'!$C$19:$E$19-'Calc - research target (12m)'!$B$13)))+'Calc - research target (12m)'!$E$31*(1+E$4)/($A5-E$4)/(1+$A5)^('Calc - research target (12m)'!$B$16-'Calc - research target (12m)'!$B$13))-'Calc - research target (12m)'!$B$50-'Calc - research target (12m)'!$B$51+'Calc - research target (12m)'!$B$52)/'Calc - research target (12m)'!$B$53)</f>
        <v/>
      </c>
      <c r="F5" s="9">
        <f>IF($A5-F$4&lt;=0.01,"n/a",((SUMPRODUCT('Calc - research target (12m)'!$C$31:$E$31,'Calc - research target (12m)'!$C$35:$E$35,(1+$A5)^(-('Calc - research target (12m)'!$C$19:$E$19-'Calc - research target (12m)'!$B$13)))+'Calc - research target (12m)'!$E$31*(1+F$4)/($A5-F$4)/(1+$A5)^('Calc - research target (12m)'!$B$16-'Calc - research target (12m)'!$B$13))-'Calc - research target (12m)'!$B$50-'Calc - research target (12m)'!$B$51+'Calc - research target (12m)'!$B$52)/'Calc - research target (12m)'!$B$53)</f>
        <v/>
      </c>
    </row>
    <row r="6">
      <c r="A6" s="7">
        <f>Valuation!$B$50+(-0.005)</f>
        <v/>
      </c>
      <c r="B6" s="9">
        <f>IF($A6-B$4&lt;=0.01,"n/a",((SUMPRODUCT('Calc - research target (12m)'!$C$31:$E$31,'Calc - research target (12m)'!$C$35:$E$35,(1+$A6)^(-('Calc - research target (12m)'!$C$19:$E$19-'Calc - research target (12m)'!$B$13)))+'Calc - research target (12m)'!$E$31*(1+B$4)/($A6-B$4)/(1+$A6)^('Calc - research target (12m)'!$B$16-'Calc - research target (12m)'!$B$13))-'Calc - research target (12m)'!$B$50-'Calc - research target (12m)'!$B$51+'Calc - research target (12m)'!$B$52)/'Calc - research target (12m)'!$B$53)</f>
        <v/>
      </c>
      <c r="C6" s="9">
        <f>IF($A6-C$4&lt;=0.01,"n/a",((SUMPRODUCT('Calc - research target (12m)'!$C$31:$E$31,'Calc - research target (12m)'!$C$35:$E$35,(1+$A6)^(-('Calc - research target (12m)'!$C$19:$E$19-'Calc - research target (12m)'!$B$13)))+'Calc - research target (12m)'!$E$31*(1+C$4)/($A6-C$4)/(1+$A6)^('Calc - research target (12m)'!$B$16-'Calc - research target (12m)'!$B$13))-'Calc - research target (12m)'!$B$50-'Calc - research target (12m)'!$B$51+'Calc - research target (12m)'!$B$52)/'Calc - research target (12m)'!$B$53)</f>
        <v/>
      </c>
      <c r="D6" s="9">
        <f>IF($A6-D$4&lt;=0.01,"n/a",((SUMPRODUCT('Calc - research target (12m)'!$C$31:$E$31,'Calc - research target (12m)'!$C$35:$E$35,(1+$A6)^(-('Calc - research target (12m)'!$C$19:$E$19-'Calc - research target (12m)'!$B$13)))+'Calc - research target (12m)'!$E$31*(1+D$4)/($A6-D$4)/(1+$A6)^('Calc - research target (12m)'!$B$16-'Calc - research target (12m)'!$B$13))-'Calc - research target (12m)'!$B$50-'Calc - research target (12m)'!$B$51+'Calc - research target (12m)'!$B$52)/'Calc - research target (12m)'!$B$53)</f>
        <v/>
      </c>
      <c r="E6" s="9">
        <f>IF($A6-E$4&lt;=0.01,"n/a",((SUMPRODUCT('Calc - research target (12m)'!$C$31:$E$31,'Calc - research target (12m)'!$C$35:$E$35,(1+$A6)^(-('Calc - research target (12m)'!$C$19:$E$19-'Calc - research target (12m)'!$B$13)))+'Calc - research target (12m)'!$E$31*(1+E$4)/($A6-E$4)/(1+$A6)^('Calc - research target (12m)'!$B$16-'Calc - research target (12m)'!$B$13))-'Calc - research target (12m)'!$B$50-'Calc - research target (12m)'!$B$51+'Calc - research target (12m)'!$B$52)/'Calc - research target (12m)'!$B$53)</f>
        <v/>
      </c>
      <c r="F6" s="9">
        <f>IF($A6-F$4&lt;=0.01,"n/a",((SUMPRODUCT('Calc - research target (12m)'!$C$31:$E$31,'Calc - research target (12m)'!$C$35:$E$35,(1+$A6)^(-('Calc - research target (12m)'!$C$19:$E$19-'Calc - research target (12m)'!$B$13)))+'Calc - research target (12m)'!$E$31*(1+F$4)/($A6-F$4)/(1+$A6)^('Calc - research target (12m)'!$B$16-'Calc - research target (12m)'!$B$13))-'Calc - research target (12m)'!$B$50-'Calc - research target (12m)'!$B$51+'Calc - research target (12m)'!$B$52)/'Calc - research target (12m)'!$B$53)</f>
        <v/>
      </c>
    </row>
    <row r="7">
      <c r="A7" s="7">
        <f>Valuation!$B$50+(0)</f>
        <v/>
      </c>
      <c r="B7" s="9">
        <f>IF($A7-B$4&lt;=0.01,"n/a",((SUMPRODUCT('Calc - research target (12m)'!$C$31:$E$31,'Calc - research target (12m)'!$C$35:$E$35,(1+$A7)^(-('Calc - research target (12m)'!$C$19:$E$19-'Calc - research target (12m)'!$B$13)))+'Calc - research target (12m)'!$E$31*(1+B$4)/($A7-B$4)/(1+$A7)^('Calc - research target (12m)'!$B$16-'Calc - research target (12m)'!$B$13))-'Calc - research target (12m)'!$B$50-'Calc - research target (12m)'!$B$51+'Calc - research target (12m)'!$B$52)/'Calc - research target (12m)'!$B$53)</f>
        <v/>
      </c>
      <c r="C7" s="9">
        <f>IF($A7-C$4&lt;=0.01,"n/a",((SUMPRODUCT('Calc - research target (12m)'!$C$31:$E$31,'Calc - research target (12m)'!$C$35:$E$35,(1+$A7)^(-('Calc - research target (12m)'!$C$19:$E$19-'Calc - research target (12m)'!$B$13)))+'Calc - research target (12m)'!$E$31*(1+C$4)/($A7-C$4)/(1+$A7)^('Calc - research target (12m)'!$B$16-'Calc - research target (12m)'!$B$13))-'Calc - research target (12m)'!$B$50-'Calc - research target (12m)'!$B$51+'Calc - research target (12m)'!$B$52)/'Calc - research target (12m)'!$B$53)</f>
        <v/>
      </c>
      <c r="D7" s="6">
        <f>IF($A7-D$4&lt;=0.01,"n/a",((SUMPRODUCT('Calc - research target (12m)'!$C$31:$E$31,'Calc - research target (12m)'!$C$35:$E$35,(1+$A7)^(-('Calc - research target (12m)'!$C$19:$E$19-'Calc - research target (12m)'!$B$13)))+'Calc - research target (12m)'!$E$31*(1+D$4)/($A7-D$4)/(1+$A7)^('Calc - research target (12m)'!$B$16-'Calc - research target (12m)'!$B$13))-'Calc - research target (12m)'!$B$50-'Calc - research target (12m)'!$B$51+'Calc - research target (12m)'!$B$52)/'Calc - research target (12m)'!$B$53)</f>
        <v/>
      </c>
      <c r="E7" s="9">
        <f>IF($A7-E$4&lt;=0.01,"n/a",((SUMPRODUCT('Calc - research target (12m)'!$C$31:$E$31,'Calc - research target (12m)'!$C$35:$E$35,(1+$A7)^(-('Calc - research target (12m)'!$C$19:$E$19-'Calc - research target (12m)'!$B$13)))+'Calc - research target (12m)'!$E$31*(1+E$4)/($A7-E$4)/(1+$A7)^('Calc - research target (12m)'!$B$16-'Calc - research target (12m)'!$B$13))-'Calc - research target (12m)'!$B$50-'Calc - research target (12m)'!$B$51+'Calc - research target (12m)'!$B$52)/'Calc - research target (12m)'!$B$53)</f>
        <v/>
      </c>
      <c r="F7" s="9">
        <f>IF($A7-F$4&lt;=0.01,"n/a",((SUMPRODUCT('Calc - research target (12m)'!$C$31:$E$31,'Calc - research target (12m)'!$C$35:$E$35,(1+$A7)^(-('Calc - research target (12m)'!$C$19:$E$19-'Calc - research target (12m)'!$B$13)))+'Calc - research target (12m)'!$E$31*(1+F$4)/($A7-F$4)/(1+$A7)^('Calc - research target (12m)'!$B$16-'Calc - research target (12m)'!$B$13))-'Calc - research target (12m)'!$B$50-'Calc - research target (12m)'!$B$51+'Calc - research target (12m)'!$B$52)/'Calc - research target (12m)'!$B$53)</f>
        <v/>
      </c>
    </row>
    <row r="8">
      <c r="A8" s="7">
        <f>Valuation!$B$50+(0.005)</f>
        <v/>
      </c>
      <c r="B8" s="9">
        <f>IF($A8-B$4&lt;=0.01,"n/a",((SUMPRODUCT('Calc - research target (12m)'!$C$31:$E$31,'Calc - research target (12m)'!$C$35:$E$35,(1+$A8)^(-('Calc - research target (12m)'!$C$19:$E$19-'Calc - research target (12m)'!$B$13)))+'Calc - research target (12m)'!$E$31*(1+B$4)/($A8-B$4)/(1+$A8)^('Calc - research target (12m)'!$B$16-'Calc - research target (12m)'!$B$13))-'Calc - research target (12m)'!$B$50-'Calc - research target (12m)'!$B$51+'Calc - research target (12m)'!$B$52)/'Calc - research target (12m)'!$B$53)</f>
        <v/>
      </c>
      <c r="C8" s="9">
        <f>IF($A8-C$4&lt;=0.01,"n/a",((SUMPRODUCT('Calc - research target (12m)'!$C$31:$E$31,'Calc - research target (12m)'!$C$35:$E$35,(1+$A8)^(-('Calc - research target (12m)'!$C$19:$E$19-'Calc - research target (12m)'!$B$13)))+'Calc - research target (12m)'!$E$31*(1+C$4)/($A8-C$4)/(1+$A8)^('Calc - research target (12m)'!$B$16-'Calc - research target (12m)'!$B$13))-'Calc - research target (12m)'!$B$50-'Calc - research target (12m)'!$B$51+'Calc - research target (12m)'!$B$52)/'Calc - research target (12m)'!$B$53)</f>
        <v/>
      </c>
      <c r="D8" s="9">
        <f>IF($A8-D$4&lt;=0.01,"n/a",((SUMPRODUCT('Calc - research target (12m)'!$C$31:$E$31,'Calc - research target (12m)'!$C$35:$E$35,(1+$A8)^(-('Calc - research target (12m)'!$C$19:$E$19-'Calc - research target (12m)'!$B$13)))+'Calc - research target (12m)'!$E$31*(1+D$4)/($A8-D$4)/(1+$A8)^('Calc - research target (12m)'!$B$16-'Calc - research target (12m)'!$B$13))-'Calc - research target (12m)'!$B$50-'Calc - research target (12m)'!$B$51+'Calc - research target (12m)'!$B$52)/'Calc - research target (12m)'!$B$53)</f>
        <v/>
      </c>
      <c r="E8" s="9">
        <f>IF($A8-E$4&lt;=0.01,"n/a",((SUMPRODUCT('Calc - research target (12m)'!$C$31:$E$31,'Calc - research target (12m)'!$C$35:$E$35,(1+$A8)^(-('Calc - research target (12m)'!$C$19:$E$19-'Calc - research target (12m)'!$B$13)))+'Calc - research target (12m)'!$E$31*(1+E$4)/($A8-E$4)/(1+$A8)^('Calc - research target (12m)'!$B$16-'Calc - research target (12m)'!$B$13))-'Calc - research target (12m)'!$B$50-'Calc - research target (12m)'!$B$51+'Calc - research target (12m)'!$B$52)/'Calc - research target (12m)'!$B$53)</f>
        <v/>
      </c>
      <c r="F8" s="9">
        <f>IF($A8-F$4&lt;=0.01,"n/a",((SUMPRODUCT('Calc - research target (12m)'!$C$31:$E$31,'Calc - research target (12m)'!$C$35:$E$35,(1+$A8)^(-('Calc - research target (12m)'!$C$19:$E$19-'Calc - research target (12m)'!$B$13)))+'Calc - research target (12m)'!$E$31*(1+F$4)/($A8-F$4)/(1+$A8)^('Calc - research target (12m)'!$B$16-'Calc - research target (12m)'!$B$13))-'Calc - research target (12m)'!$B$50-'Calc - research target (12m)'!$B$51+'Calc - research target (12m)'!$B$52)/'Calc - research target (12m)'!$B$53)</f>
        <v/>
      </c>
    </row>
    <row r="9">
      <c r="A9" s="7">
        <f>Valuation!$B$50+(0.01)</f>
        <v/>
      </c>
      <c r="B9" s="9">
        <f>IF($A9-B$4&lt;=0.01,"n/a",((SUMPRODUCT('Calc - research target (12m)'!$C$31:$E$31,'Calc - research target (12m)'!$C$35:$E$35,(1+$A9)^(-('Calc - research target (12m)'!$C$19:$E$19-'Calc - research target (12m)'!$B$13)))+'Calc - research target (12m)'!$E$31*(1+B$4)/($A9-B$4)/(1+$A9)^('Calc - research target (12m)'!$B$16-'Calc - research target (12m)'!$B$13))-'Calc - research target (12m)'!$B$50-'Calc - research target (12m)'!$B$51+'Calc - research target (12m)'!$B$52)/'Calc - research target (12m)'!$B$53)</f>
        <v/>
      </c>
      <c r="C9" s="9">
        <f>IF($A9-C$4&lt;=0.01,"n/a",((SUMPRODUCT('Calc - research target (12m)'!$C$31:$E$31,'Calc - research target (12m)'!$C$35:$E$35,(1+$A9)^(-('Calc - research target (12m)'!$C$19:$E$19-'Calc - research target (12m)'!$B$13)))+'Calc - research target (12m)'!$E$31*(1+C$4)/($A9-C$4)/(1+$A9)^('Calc - research target (12m)'!$B$16-'Calc - research target (12m)'!$B$13))-'Calc - research target (12m)'!$B$50-'Calc - research target (12m)'!$B$51+'Calc - research target (12m)'!$B$52)/'Calc - research target (12m)'!$B$53)</f>
        <v/>
      </c>
      <c r="D9" s="9">
        <f>IF($A9-D$4&lt;=0.01,"n/a",((SUMPRODUCT('Calc - research target (12m)'!$C$31:$E$31,'Calc - research target (12m)'!$C$35:$E$35,(1+$A9)^(-('Calc - research target (12m)'!$C$19:$E$19-'Calc - research target (12m)'!$B$13)))+'Calc - research target (12m)'!$E$31*(1+D$4)/($A9-D$4)/(1+$A9)^('Calc - research target (12m)'!$B$16-'Calc - research target (12m)'!$B$13))-'Calc - research target (12m)'!$B$50-'Calc - research target (12m)'!$B$51+'Calc - research target (12m)'!$B$52)/'Calc - research target (12m)'!$B$53)</f>
        <v/>
      </c>
      <c r="E9" s="9">
        <f>IF($A9-E$4&lt;=0.01,"n/a",((SUMPRODUCT('Calc - research target (12m)'!$C$31:$E$31,'Calc - research target (12m)'!$C$35:$E$35,(1+$A9)^(-('Calc - research target (12m)'!$C$19:$E$19-'Calc - research target (12m)'!$B$13)))+'Calc - research target (12m)'!$E$31*(1+E$4)/($A9-E$4)/(1+$A9)^('Calc - research target (12m)'!$B$16-'Calc - research target (12m)'!$B$13))-'Calc - research target (12m)'!$B$50-'Calc - research target (12m)'!$B$51+'Calc - research target (12m)'!$B$52)/'Calc - research target (12m)'!$B$53)</f>
        <v/>
      </c>
      <c r="F9" s="9">
        <f>IF($A9-F$4&lt;=0.01,"n/a",((SUMPRODUCT('Calc - research target (12m)'!$C$31:$E$31,'Calc - research target (12m)'!$C$35:$E$35,(1+$A9)^(-('Calc - research target (12m)'!$C$19:$E$19-'Calc - research target (12m)'!$B$13)))+'Calc - research target (12m)'!$E$31*(1+F$4)/($A9-F$4)/(1+$A9)^('Calc - research target (12m)'!$B$16-'Calc - research target (12m)'!$B$13))-'Calc - research target (12m)'!$B$50-'Calc - research target (12m)'!$B$51+'Calc - research target (12m)'!$B$52)/'Calc - research target (12m)'!$B$53)</f>
        <v/>
      </c>
    </row>
    <row r="11">
      <c r="A11" s="17" t="inlineStr">
        <is>
          <t>Research target (12m) per share: EV/EBITDA multiple (down) x metric at target date (across)</t>
        </is>
      </c>
    </row>
    <row r="12">
      <c r="A12" s="17" t="inlineStr">
        <is>
          <t>Multiple \ metric</t>
        </is>
      </c>
      <c r="B12" s="23">
        <f>'Calc - research target (12m)'!$E$68*0.9</f>
        <v/>
      </c>
      <c r="C12" s="23">
        <f>'Calc - research target (12m)'!$E$68*0.95</f>
        <v/>
      </c>
      <c r="D12" s="23">
        <f>'Calc - research target (12m)'!$E$68*1.0</f>
        <v/>
      </c>
      <c r="E12" s="23">
        <f>'Calc - research target (12m)'!$E$68*1.05</f>
        <v/>
      </c>
      <c r="F12" s="23">
        <f>'Calc - research target (12m)'!$E$68*1.1</f>
        <v/>
      </c>
    </row>
    <row r="13">
      <c r="A13" s="40">
        <f>Valuation!$B$69+(-3)</f>
        <v/>
      </c>
      <c r="B13" s="9">
        <f>((SUMPRODUCT('Calc - research target (12m)'!$F$67:$F$68,'Calc - research target (12m)'!$G$67:$G$68)-'Calc - research target (12m)'!$F$68*'Calc - research target (12m)'!$G$68)+'Calc - research target (12m)'!$G$68*((($A13*B$12)-'Calc - research target (12m)'!$B$50-'Calc - research target (12m)'!$B$51+'Calc - research target (12m)'!$B$52)/'Calc - research target (12m)'!$B$53))/SUM('Calc - research target (12m)'!$G$67:$G$68)</f>
        <v/>
      </c>
      <c r="C13" s="9">
        <f>((SUMPRODUCT('Calc - research target (12m)'!$F$67:$F$68,'Calc - research target (12m)'!$G$67:$G$68)-'Calc - research target (12m)'!$F$68*'Calc - research target (12m)'!$G$68)+'Calc - research target (12m)'!$G$68*((($A13*C$12)-'Calc - research target (12m)'!$B$50-'Calc - research target (12m)'!$B$51+'Calc - research target (12m)'!$B$52)/'Calc - research target (12m)'!$B$53))/SUM('Calc - research target (12m)'!$G$67:$G$68)</f>
        <v/>
      </c>
      <c r="D13" s="9">
        <f>((SUMPRODUCT('Calc - research target (12m)'!$F$67:$F$68,'Calc - research target (12m)'!$G$67:$G$68)-'Calc - research target (12m)'!$F$68*'Calc - research target (12m)'!$G$68)+'Calc - research target (12m)'!$G$68*((($A13*D$12)-'Calc - research target (12m)'!$B$50-'Calc - research target (12m)'!$B$51+'Calc - research target (12m)'!$B$52)/'Calc - research target (12m)'!$B$53))/SUM('Calc - research target (12m)'!$G$67:$G$68)</f>
        <v/>
      </c>
      <c r="E13" s="9">
        <f>((SUMPRODUCT('Calc - research target (12m)'!$F$67:$F$68,'Calc - research target (12m)'!$G$67:$G$68)-'Calc - research target (12m)'!$F$68*'Calc - research target (12m)'!$G$68)+'Calc - research target (12m)'!$G$68*((($A13*E$12)-'Calc - research target (12m)'!$B$50-'Calc - research target (12m)'!$B$51+'Calc - research target (12m)'!$B$52)/'Calc - research target (12m)'!$B$53))/SUM('Calc - research target (12m)'!$G$67:$G$68)</f>
        <v/>
      </c>
      <c r="F13" s="9">
        <f>((SUMPRODUCT('Calc - research target (12m)'!$F$67:$F$68,'Calc - research target (12m)'!$G$67:$G$68)-'Calc - research target (12m)'!$F$68*'Calc - research target (12m)'!$G$68)+'Calc - research target (12m)'!$G$68*((($A13*F$12)-'Calc - research target (12m)'!$B$50-'Calc - research target (12m)'!$B$51+'Calc - research target (12m)'!$B$52)/'Calc - research target (12m)'!$B$53))/SUM('Calc - research target (12m)'!$G$67:$G$68)</f>
        <v/>
      </c>
    </row>
    <row r="14">
      <c r="A14" s="40">
        <f>Valuation!$B$69+(-2)</f>
        <v/>
      </c>
      <c r="B14" s="9">
        <f>((SUMPRODUCT('Calc - research target (12m)'!$F$67:$F$68,'Calc - research target (12m)'!$G$67:$G$68)-'Calc - research target (12m)'!$F$68*'Calc - research target (12m)'!$G$68)+'Calc - research target (12m)'!$G$68*((($A14*B$12)-'Calc - research target (12m)'!$B$50-'Calc - research target (12m)'!$B$51+'Calc - research target (12m)'!$B$52)/'Calc - research target (12m)'!$B$53))/SUM('Calc - research target (12m)'!$G$67:$G$68)</f>
        <v/>
      </c>
      <c r="C14" s="9">
        <f>((SUMPRODUCT('Calc - research target (12m)'!$F$67:$F$68,'Calc - research target (12m)'!$G$67:$G$68)-'Calc - research target (12m)'!$F$68*'Calc - research target (12m)'!$G$68)+'Calc - research target (12m)'!$G$68*((($A14*C$12)-'Calc - research target (12m)'!$B$50-'Calc - research target (12m)'!$B$51+'Calc - research target (12m)'!$B$52)/'Calc - research target (12m)'!$B$53))/SUM('Calc - research target (12m)'!$G$67:$G$68)</f>
        <v/>
      </c>
      <c r="D14" s="9">
        <f>((SUMPRODUCT('Calc - research target (12m)'!$F$67:$F$68,'Calc - research target (12m)'!$G$67:$G$68)-'Calc - research target (12m)'!$F$68*'Calc - research target (12m)'!$G$68)+'Calc - research target (12m)'!$G$68*((($A14*D$12)-'Calc - research target (12m)'!$B$50-'Calc - research target (12m)'!$B$51+'Calc - research target (12m)'!$B$52)/'Calc - research target (12m)'!$B$53))/SUM('Calc - research target (12m)'!$G$67:$G$68)</f>
        <v/>
      </c>
      <c r="E14" s="9">
        <f>((SUMPRODUCT('Calc - research target (12m)'!$F$67:$F$68,'Calc - research target (12m)'!$G$67:$G$68)-'Calc - research target (12m)'!$F$68*'Calc - research target (12m)'!$G$68)+'Calc - research target (12m)'!$G$68*((($A14*E$12)-'Calc - research target (12m)'!$B$50-'Calc - research target (12m)'!$B$51+'Calc - research target (12m)'!$B$52)/'Calc - research target (12m)'!$B$53))/SUM('Calc - research target (12m)'!$G$67:$G$68)</f>
        <v/>
      </c>
      <c r="F14" s="9">
        <f>((SUMPRODUCT('Calc - research target (12m)'!$F$67:$F$68,'Calc - research target (12m)'!$G$67:$G$68)-'Calc - research target (12m)'!$F$68*'Calc - research target (12m)'!$G$68)+'Calc - research target (12m)'!$G$68*((($A14*F$12)-'Calc - research target (12m)'!$B$50-'Calc - research target (12m)'!$B$51+'Calc - research target (12m)'!$B$52)/'Calc - research target (12m)'!$B$53))/SUM('Calc - research target (12m)'!$G$67:$G$68)</f>
        <v/>
      </c>
    </row>
    <row r="15">
      <c r="A15" s="40">
        <f>Valuation!$B$69+(-1)</f>
        <v/>
      </c>
      <c r="B15" s="9">
        <f>((SUMPRODUCT('Calc - research target (12m)'!$F$67:$F$68,'Calc - research target (12m)'!$G$67:$G$68)-'Calc - research target (12m)'!$F$68*'Calc - research target (12m)'!$G$68)+'Calc - research target (12m)'!$G$68*((($A15*B$12)-'Calc - research target (12m)'!$B$50-'Calc - research target (12m)'!$B$51+'Calc - research target (12m)'!$B$52)/'Calc - research target (12m)'!$B$53))/SUM('Calc - research target (12m)'!$G$67:$G$68)</f>
        <v/>
      </c>
      <c r="C15" s="9">
        <f>((SUMPRODUCT('Calc - research target (12m)'!$F$67:$F$68,'Calc - research target (12m)'!$G$67:$G$68)-'Calc - research target (12m)'!$F$68*'Calc - research target (12m)'!$G$68)+'Calc - research target (12m)'!$G$68*((($A15*C$12)-'Calc - research target (12m)'!$B$50-'Calc - research target (12m)'!$B$51+'Calc - research target (12m)'!$B$52)/'Calc - research target (12m)'!$B$53))/SUM('Calc - research target (12m)'!$G$67:$G$68)</f>
        <v/>
      </c>
      <c r="D15" s="9">
        <f>((SUMPRODUCT('Calc - research target (12m)'!$F$67:$F$68,'Calc - research target (12m)'!$G$67:$G$68)-'Calc - research target (12m)'!$F$68*'Calc - research target (12m)'!$G$68)+'Calc - research target (12m)'!$G$68*((($A15*D$12)-'Calc - research target (12m)'!$B$50-'Calc - research target (12m)'!$B$51+'Calc - research target (12m)'!$B$52)/'Calc - research target (12m)'!$B$53))/SUM('Calc - research target (12m)'!$G$67:$G$68)</f>
        <v/>
      </c>
      <c r="E15" s="9">
        <f>((SUMPRODUCT('Calc - research target (12m)'!$F$67:$F$68,'Calc - research target (12m)'!$G$67:$G$68)-'Calc - research target (12m)'!$F$68*'Calc - research target (12m)'!$G$68)+'Calc - research target (12m)'!$G$68*((($A15*E$12)-'Calc - research target (12m)'!$B$50-'Calc - research target (12m)'!$B$51+'Calc - research target (12m)'!$B$52)/'Calc - research target (12m)'!$B$53))/SUM('Calc - research target (12m)'!$G$67:$G$68)</f>
        <v/>
      </c>
      <c r="F15" s="9">
        <f>((SUMPRODUCT('Calc - research target (12m)'!$F$67:$F$68,'Calc - research target (12m)'!$G$67:$G$68)-'Calc - research target (12m)'!$F$68*'Calc - research target (12m)'!$G$68)+'Calc - research target (12m)'!$G$68*((($A15*F$12)-'Calc - research target (12m)'!$B$50-'Calc - research target (12m)'!$B$51+'Calc - research target (12m)'!$B$52)/'Calc - research target (12m)'!$B$53))/SUM('Calc - research target (12m)'!$G$67:$G$68)</f>
        <v/>
      </c>
    </row>
    <row r="16">
      <c r="A16" s="40">
        <f>Valuation!$B$69+(0)</f>
        <v/>
      </c>
      <c r="B16" s="9">
        <f>((SUMPRODUCT('Calc - research target (12m)'!$F$67:$F$68,'Calc - research target (12m)'!$G$67:$G$68)-'Calc - research target (12m)'!$F$68*'Calc - research target (12m)'!$G$68)+'Calc - research target (12m)'!$G$68*((($A16*B$12)-'Calc - research target (12m)'!$B$50-'Calc - research target (12m)'!$B$51+'Calc - research target (12m)'!$B$52)/'Calc - research target (12m)'!$B$53))/SUM('Calc - research target (12m)'!$G$67:$G$68)</f>
        <v/>
      </c>
      <c r="C16" s="9">
        <f>((SUMPRODUCT('Calc - research target (12m)'!$F$67:$F$68,'Calc - research target (12m)'!$G$67:$G$68)-'Calc - research target (12m)'!$F$68*'Calc - research target (12m)'!$G$68)+'Calc - research target (12m)'!$G$68*((($A16*C$12)-'Calc - research target (12m)'!$B$50-'Calc - research target (12m)'!$B$51+'Calc - research target (12m)'!$B$52)/'Calc - research target (12m)'!$B$53))/SUM('Calc - research target (12m)'!$G$67:$G$68)</f>
        <v/>
      </c>
      <c r="D16" s="6">
        <f>((SUMPRODUCT('Calc - research target (12m)'!$F$67:$F$68,'Calc - research target (12m)'!$G$67:$G$68)-'Calc - research target (12m)'!$F$68*'Calc - research target (12m)'!$G$68)+'Calc - research target (12m)'!$G$68*((($A16*D$12)-'Calc - research target (12m)'!$B$50-'Calc - research target (12m)'!$B$51+'Calc - research target (12m)'!$B$52)/'Calc - research target (12m)'!$B$53))/SUM('Calc - research target (12m)'!$G$67:$G$68)</f>
        <v/>
      </c>
      <c r="E16" s="9">
        <f>((SUMPRODUCT('Calc - research target (12m)'!$F$67:$F$68,'Calc - research target (12m)'!$G$67:$G$68)-'Calc - research target (12m)'!$F$68*'Calc - research target (12m)'!$G$68)+'Calc - research target (12m)'!$G$68*((($A16*E$12)-'Calc - research target (12m)'!$B$50-'Calc - research target (12m)'!$B$51+'Calc - research target (12m)'!$B$52)/'Calc - research target (12m)'!$B$53))/SUM('Calc - research target (12m)'!$G$67:$G$68)</f>
        <v/>
      </c>
      <c r="F16" s="9">
        <f>((SUMPRODUCT('Calc - research target (12m)'!$F$67:$F$68,'Calc - research target (12m)'!$G$67:$G$68)-'Calc - research target (12m)'!$F$68*'Calc - research target (12m)'!$G$68)+'Calc - research target (12m)'!$G$68*((($A16*F$12)-'Calc - research target (12m)'!$B$50-'Calc - research target (12m)'!$B$51+'Calc - research target (12m)'!$B$52)/'Calc - research target (12m)'!$B$53))/SUM('Calc - research target (12m)'!$G$67:$G$68)</f>
        <v/>
      </c>
    </row>
    <row r="17">
      <c r="A17" s="40">
        <f>Valuation!$B$69+(1)</f>
        <v/>
      </c>
      <c r="B17" s="9">
        <f>((SUMPRODUCT('Calc - research target (12m)'!$F$67:$F$68,'Calc - research target (12m)'!$G$67:$G$68)-'Calc - research target (12m)'!$F$68*'Calc - research target (12m)'!$G$68)+'Calc - research target (12m)'!$G$68*((($A17*B$12)-'Calc - research target (12m)'!$B$50-'Calc - research target (12m)'!$B$51+'Calc - research target (12m)'!$B$52)/'Calc - research target (12m)'!$B$53))/SUM('Calc - research target (12m)'!$G$67:$G$68)</f>
        <v/>
      </c>
      <c r="C17" s="9">
        <f>((SUMPRODUCT('Calc - research target (12m)'!$F$67:$F$68,'Calc - research target (12m)'!$G$67:$G$68)-'Calc - research target (12m)'!$F$68*'Calc - research target (12m)'!$G$68)+'Calc - research target (12m)'!$G$68*((($A17*C$12)-'Calc - research target (12m)'!$B$50-'Calc - research target (12m)'!$B$51+'Calc - research target (12m)'!$B$52)/'Calc - research target (12m)'!$B$53))/SUM('Calc - research target (12m)'!$G$67:$G$68)</f>
        <v/>
      </c>
      <c r="D17" s="9">
        <f>((SUMPRODUCT('Calc - research target (12m)'!$F$67:$F$68,'Calc - research target (12m)'!$G$67:$G$68)-'Calc - research target (12m)'!$F$68*'Calc - research target (12m)'!$G$68)+'Calc - research target (12m)'!$G$68*((($A17*D$12)-'Calc - research target (12m)'!$B$50-'Calc - research target (12m)'!$B$51+'Calc - research target (12m)'!$B$52)/'Calc - research target (12m)'!$B$53))/SUM('Calc - research target (12m)'!$G$67:$G$68)</f>
        <v/>
      </c>
      <c r="E17" s="9">
        <f>((SUMPRODUCT('Calc - research target (12m)'!$F$67:$F$68,'Calc - research target (12m)'!$G$67:$G$68)-'Calc - research target (12m)'!$F$68*'Calc - research target (12m)'!$G$68)+'Calc - research target (12m)'!$G$68*((($A17*E$12)-'Calc - research target (12m)'!$B$50-'Calc - research target (12m)'!$B$51+'Calc - research target (12m)'!$B$52)/'Calc - research target (12m)'!$B$53))/SUM('Calc - research target (12m)'!$G$67:$G$68)</f>
        <v/>
      </c>
      <c r="F17" s="9">
        <f>((SUMPRODUCT('Calc - research target (12m)'!$F$67:$F$68,'Calc - research target (12m)'!$G$67:$G$68)-'Calc - research target (12m)'!$F$68*'Calc - research target (12m)'!$G$68)+'Calc - research target (12m)'!$G$68*((($A17*F$12)-'Calc - research target (12m)'!$B$50-'Calc - research target (12m)'!$B$51+'Calc - research target (12m)'!$B$52)/'Calc - research target (12m)'!$B$53))/SUM('Calc - research target (12m)'!$G$67:$G$68)</f>
        <v/>
      </c>
    </row>
    <row r="18">
      <c r="A18" s="40">
        <f>Valuation!$B$69+(2)</f>
        <v/>
      </c>
      <c r="B18" s="9">
        <f>((SUMPRODUCT('Calc - research target (12m)'!$F$67:$F$68,'Calc - research target (12m)'!$G$67:$G$68)-'Calc - research target (12m)'!$F$68*'Calc - research target (12m)'!$G$68)+'Calc - research target (12m)'!$G$68*((($A18*B$12)-'Calc - research target (12m)'!$B$50-'Calc - research target (12m)'!$B$51+'Calc - research target (12m)'!$B$52)/'Calc - research target (12m)'!$B$53))/SUM('Calc - research target (12m)'!$G$67:$G$68)</f>
        <v/>
      </c>
      <c r="C18" s="9">
        <f>((SUMPRODUCT('Calc - research target (12m)'!$F$67:$F$68,'Calc - research target (12m)'!$G$67:$G$68)-'Calc - research target (12m)'!$F$68*'Calc - research target (12m)'!$G$68)+'Calc - research target (12m)'!$G$68*((($A18*C$12)-'Calc - research target (12m)'!$B$50-'Calc - research target (12m)'!$B$51+'Calc - research target (12m)'!$B$52)/'Calc - research target (12m)'!$B$53))/SUM('Calc - research target (12m)'!$G$67:$G$68)</f>
        <v/>
      </c>
      <c r="D18" s="9">
        <f>((SUMPRODUCT('Calc - research target (12m)'!$F$67:$F$68,'Calc - research target (12m)'!$G$67:$G$68)-'Calc - research target (12m)'!$F$68*'Calc - research target (12m)'!$G$68)+'Calc - research target (12m)'!$G$68*((($A18*D$12)-'Calc - research target (12m)'!$B$50-'Calc - research target (12m)'!$B$51+'Calc - research target (12m)'!$B$52)/'Calc - research target (12m)'!$B$53))/SUM('Calc - research target (12m)'!$G$67:$G$68)</f>
        <v/>
      </c>
      <c r="E18" s="9">
        <f>((SUMPRODUCT('Calc - research target (12m)'!$F$67:$F$68,'Calc - research target (12m)'!$G$67:$G$68)-'Calc - research target (12m)'!$F$68*'Calc - research target (12m)'!$G$68)+'Calc - research target (12m)'!$G$68*((($A18*E$12)-'Calc - research target (12m)'!$B$50-'Calc - research target (12m)'!$B$51+'Calc - research target (12m)'!$B$52)/'Calc - research target (12m)'!$B$53))/SUM('Calc - research target (12m)'!$G$67:$G$68)</f>
        <v/>
      </c>
      <c r="F18" s="9">
        <f>((SUMPRODUCT('Calc - research target (12m)'!$F$67:$F$68,'Calc - research target (12m)'!$G$67:$G$68)-'Calc - research target (12m)'!$F$68*'Calc - research target (12m)'!$G$68)+'Calc - research target (12m)'!$G$68*((($A18*F$12)-'Calc - research target (12m)'!$B$50-'Calc - research target (12m)'!$B$51+'Calc - research target (12m)'!$B$52)/'Calc - research target (12m)'!$B$53))/SUM('Calc - research target (12m)'!$G$67:$G$68)</f>
        <v/>
      </c>
    </row>
    <row r="19">
      <c r="A19" s="40">
        <f>Valuation!$B$69+(3)</f>
        <v/>
      </c>
      <c r="B19" s="9">
        <f>((SUMPRODUCT('Calc - research target (12m)'!$F$67:$F$68,'Calc - research target (12m)'!$G$67:$G$68)-'Calc - research target (12m)'!$F$68*'Calc - research target (12m)'!$G$68)+'Calc - research target (12m)'!$G$68*((($A19*B$12)-'Calc - research target (12m)'!$B$50-'Calc - research target (12m)'!$B$51+'Calc - research target (12m)'!$B$52)/'Calc - research target (12m)'!$B$53))/SUM('Calc - research target (12m)'!$G$67:$G$68)</f>
        <v/>
      </c>
      <c r="C19" s="9">
        <f>((SUMPRODUCT('Calc - research target (12m)'!$F$67:$F$68,'Calc - research target (12m)'!$G$67:$G$68)-'Calc - research target (12m)'!$F$68*'Calc - research target (12m)'!$G$68)+'Calc - research target (12m)'!$G$68*((($A19*C$12)-'Calc - research target (12m)'!$B$50-'Calc - research target (12m)'!$B$51+'Calc - research target (12m)'!$B$52)/'Calc - research target (12m)'!$B$53))/SUM('Calc - research target (12m)'!$G$67:$G$68)</f>
        <v/>
      </c>
      <c r="D19" s="9">
        <f>((SUMPRODUCT('Calc - research target (12m)'!$F$67:$F$68,'Calc - research target (12m)'!$G$67:$G$68)-'Calc - research target (12m)'!$F$68*'Calc - research target (12m)'!$G$68)+'Calc - research target (12m)'!$G$68*((($A19*D$12)-'Calc - research target (12m)'!$B$50-'Calc - research target (12m)'!$B$51+'Calc - research target (12m)'!$B$52)/'Calc - research target (12m)'!$B$53))/SUM('Calc - research target (12m)'!$G$67:$G$68)</f>
        <v/>
      </c>
      <c r="E19" s="9">
        <f>((SUMPRODUCT('Calc - research target (12m)'!$F$67:$F$68,'Calc - research target (12m)'!$G$67:$G$68)-'Calc - research target (12m)'!$F$68*'Calc - research target (12m)'!$G$68)+'Calc - research target (12m)'!$G$68*((($A19*E$12)-'Calc - research target (12m)'!$B$50-'Calc - research target (12m)'!$B$51+'Calc - research target (12m)'!$B$52)/'Calc - research target (12m)'!$B$53))/SUM('Calc - research target (12m)'!$G$67:$G$68)</f>
        <v/>
      </c>
      <c r="F19" s="9">
        <f>((SUMPRODUCT('Calc - research target (12m)'!$F$67:$F$68,'Calc - research target (12m)'!$G$67:$G$68)-'Calc - research target (12m)'!$F$68*'Calc - research target (12m)'!$G$68)+'Calc - research target (12m)'!$G$68*((($A19*F$12)-'Calc - research target (12m)'!$B$50-'Calc - research target (12m)'!$B$51+'Calc - research target (12m)'!$B$52)/'Calc - research target (12m)'!$B$53))/SUM('Calc - research target (12m)'!$G$67:$G$68)</f>
        <v/>
      </c>
    </row>
    <row r="22">
      <c r="A22" s="17" t="inlineStr">
        <is>
          <t>FY2027E diluted EPS: revenue growth change in every year (down) x EBIT margin change (across)</t>
        </is>
      </c>
    </row>
    <row r="23">
      <c r="A23" s="17" t="inlineStr">
        <is>
          <t>Growth Δ \ margin Δ</t>
        </is>
      </c>
      <c r="B23" s="41" t="n">
        <v>-0.01</v>
      </c>
      <c r="C23" s="41" t="n">
        <v>-0.005</v>
      </c>
      <c r="D23" s="41" t="n">
        <v>0</v>
      </c>
      <c r="E23" s="41" t="n">
        <v>0.005</v>
      </c>
      <c r="F23" s="41" t="n">
        <v>0.01</v>
      </c>
    </row>
    <row r="24">
      <c r="A24" s="41" t="n">
        <v>-0.02</v>
      </c>
      <c r="B24" s="27">
        <f>(Valuation!$B$86*(1+Model!E12+$A24)*(1+Model!F12+$A24)*(Model!F14+B$23)+Valuation!$B$87*(1+Model!E16+$A24)*(1+Model!F16+$A24)*(Model!F18+B$23)+Model!F21+Model!F33)*(1-Model!F63)/Model!F40</f>
        <v/>
      </c>
      <c r="C24" s="27">
        <f>(Valuation!$B$86*(1+Model!E12+$A24)*(1+Model!F12+$A24)*(Model!F14+C$23)+Valuation!$B$87*(1+Model!E16+$A24)*(1+Model!F16+$A24)*(Model!F18+C$23)+Model!F21+Model!F33)*(1-Model!F63)/Model!F40</f>
        <v/>
      </c>
      <c r="D24" s="27">
        <f>(Valuation!$B$86*(1+Model!E12+$A24)*(1+Model!F12+$A24)*(Model!F14+D$23)+Valuation!$B$87*(1+Model!E16+$A24)*(1+Model!F16+$A24)*(Model!F18+D$23)+Model!F21+Model!F33)*(1-Model!F63)/Model!F40</f>
        <v/>
      </c>
      <c r="E24" s="27">
        <f>(Valuation!$B$86*(1+Model!E12+$A24)*(1+Model!F12+$A24)*(Model!F14+E$23)+Valuation!$B$87*(1+Model!E16+$A24)*(1+Model!F16+$A24)*(Model!F18+E$23)+Model!F21+Model!F33)*(1-Model!F63)/Model!F40</f>
        <v/>
      </c>
      <c r="F24" s="27">
        <f>(Valuation!$B$86*(1+Model!E12+$A24)*(1+Model!F12+$A24)*(Model!F14+F$23)+Valuation!$B$87*(1+Model!E16+$A24)*(1+Model!F16+$A24)*(Model!F18+F$23)+Model!F21+Model!F33)*(1-Model!F63)/Model!F40</f>
        <v/>
      </c>
    </row>
    <row r="25">
      <c r="A25" s="41" t="n">
        <v>-0.01</v>
      </c>
      <c r="B25" s="27">
        <f>(Valuation!$B$86*(1+Model!E12+$A25)*(1+Model!F12+$A25)*(Model!F14+B$23)+Valuation!$B$87*(1+Model!E16+$A25)*(1+Model!F16+$A25)*(Model!F18+B$23)+Model!F21+Model!F33)*(1-Model!F63)/Model!F40</f>
        <v/>
      </c>
      <c r="C25" s="27">
        <f>(Valuation!$B$86*(1+Model!E12+$A25)*(1+Model!F12+$A25)*(Model!F14+C$23)+Valuation!$B$87*(1+Model!E16+$A25)*(1+Model!F16+$A25)*(Model!F18+C$23)+Model!F21+Model!F33)*(1-Model!F63)/Model!F40</f>
        <v/>
      </c>
      <c r="D25" s="27">
        <f>(Valuation!$B$86*(1+Model!E12+$A25)*(1+Model!F12+$A25)*(Model!F14+D$23)+Valuation!$B$87*(1+Model!E16+$A25)*(1+Model!F16+$A25)*(Model!F18+D$23)+Model!F21+Model!F33)*(1-Model!F63)/Model!F40</f>
        <v/>
      </c>
      <c r="E25" s="27">
        <f>(Valuation!$B$86*(1+Model!E12+$A25)*(1+Model!F12+$A25)*(Model!F14+E$23)+Valuation!$B$87*(1+Model!E16+$A25)*(1+Model!F16+$A25)*(Model!F18+E$23)+Model!F21+Model!F33)*(1-Model!F63)/Model!F40</f>
        <v/>
      </c>
      <c r="F25" s="27">
        <f>(Valuation!$B$86*(1+Model!E12+$A25)*(1+Model!F12+$A25)*(Model!F14+F$23)+Valuation!$B$87*(1+Model!E16+$A25)*(1+Model!F16+$A25)*(Model!F18+F$23)+Model!F21+Model!F33)*(1-Model!F63)/Model!F40</f>
        <v/>
      </c>
    </row>
    <row r="26">
      <c r="A26" s="41" t="n">
        <v>0</v>
      </c>
      <c r="B26" s="27">
        <f>(Valuation!$B$86*(1+Model!E12+$A26)*(1+Model!F12+$A26)*(Model!F14+B$23)+Valuation!$B$87*(1+Model!E16+$A26)*(1+Model!F16+$A26)*(Model!F18+B$23)+Model!F21+Model!F33)*(1-Model!F63)/Model!F40</f>
        <v/>
      </c>
      <c r="C26" s="27">
        <f>(Valuation!$B$86*(1+Model!E12+$A26)*(1+Model!F12+$A26)*(Model!F14+C$23)+Valuation!$B$87*(1+Model!E16+$A26)*(1+Model!F16+$A26)*(Model!F18+C$23)+Model!F21+Model!F33)*(1-Model!F63)/Model!F40</f>
        <v/>
      </c>
      <c r="D26" s="28">
        <f>(Valuation!$B$86*(1+Model!E12+$A26)*(1+Model!F12+$A26)*(Model!F14+D$23)+Valuation!$B$87*(1+Model!E16+$A26)*(1+Model!F16+$A26)*(Model!F18+D$23)+Model!F21+Model!F33)*(1-Model!F63)/Model!F40</f>
        <v/>
      </c>
      <c r="E26" s="27">
        <f>(Valuation!$B$86*(1+Model!E12+$A26)*(1+Model!F12+$A26)*(Model!F14+E$23)+Valuation!$B$87*(1+Model!E16+$A26)*(1+Model!F16+$A26)*(Model!F18+E$23)+Model!F21+Model!F33)*(1-Model!F63)/Model!F40</f>
        <v/>
      </c>
      <c r="F26" s="27">
        <f>(Valuation!$B$86*(1+Model!E12+$A26)*(1+Model!F12+$A26)*(Model!F14+F$23)+Valuation!$B$87*(1+Model!E16+$A26)*(1+Model!F16+$A26)*(Model!F18+F$23)+Model!F21+Model!F33)*(1-Model!F63)/Model!F40</f>
        <v/>
      </c>
    </row>
    <row r="27">
      <c r="A27" s="41" t="n">
        <v>0.01</v>
      </c>
      <c r="B27" s="27">
        <f>(Valuation!$B$86*(1+Model!E12+$A27)*(1+Model!F12+$A27)*(Model!F14+B$23)+Valuation!$B$87*(1+Model!E16+$A27)*(1+Model!F16+$A27)*(Model!F18+B$23)+Model!F21+Model!F33)*(1-Model!F63)/Model!F40</f>
        <v/>
      </c>
      <c r="C27" s="27">
        <f>(Valuation!$B$86*(1+Model!E12+$A27)*(1+Model!F12+$A27)*(Model!F14+C$23)+Valuation!$B$87*(1+Model!E16+$A27)*(1+Model!F16+$A27)*(Model!F18+C$23)+Model!F21+Model!F33)*(1-Model!F63)/Model!F40</f>
        <v/>
      </c>
      <c r="D27" s="27">
        <f>(Valuation!$B$86*(1+Model!E12+$A27)*(1+Model!F12+$A27)*(Model!F14+D$23)+Valuation!$B$87*(1+Model!E16+$A27)*(1+Model!F16+$A27)*(Model!F18+D$23)+Model!F21+Model!F33)*(1-Model!F63)/Model!F40</f>
        <v/>
      </c>
      <c r="E27" s="27">
        <f>(Valuation!$B$86*(1+Model!E12+$A27)*(1+Model!F12+$A27)*(Model!F14+E$23)+Valuation!$B$87*(1+Model!E16+$A27)*(1+Model!F16+$A27)*(Model!F18+E$23)+Model!F21+Model!F33)*(1-Model!F63)/Model!F40</f>
        <v/>
      </c>
      <c r="F27" s="27">
        <f>(Valuation!$B$86*(1+Model!E12+$A27)*(1+Model!F12+$A27)*(Model!F14+F$23)+Valuation!$B$87*(1+Model!E16+$A27)*(1+Model!F16+$A27)*(Model!F18+F$23)+Model!F21+Model!F33)*(1-Model!F63)/Model!F40</f>
        <v/>
      </c>
    </row>
    <row r="28">
      <c r="A28" s="41" t="n">
        <v>0.02</v>
      </c>
      <c r="B28" s="27">
        <f>(Valuation!$B$86*(1+Model!E12+$A28)*(1+Model!F12+$A28)*(Model!F14+B$23)+Valuation!$B$87*(1+Model!E16+$A28)*(1+Model!F16+$A28)*(Model!F18+B$23)+Model!F21+Model!F33)*(1-Model!F63)/Model!F40</f>
        <v/>
      </c>
      <c r="C28" s="27">
        <f>(Valuation!$B$86*(1+Model!E12+$A28)*(1+Model!F12+$A28)*(Model!F14+C$23)+Valuation!$B$87*(1+Model!E16+$A28)*(1+Model!F16+$A28)*(Model!F18+C$23)+Model!F21+Model!F33)*(1-Model!F63)/Model!F40</f>
        <v/>
      </c>
      <c r="D28" s="27">
        <f>(Valuation!$B$86*(1+Model!E12+$A28)*(1+Model!F12+$A28)*(Model!F14+D$23)+Valuation!$B$87*(1+Model!E16+$A28)*(1+Model!F16+$A28)*(Model!F18+D$23)+Model!F21+Model!F33)*(1-Model!F63)/Model!F40</f>
        <v/>
      </c>
      <c r="E28" s="27">
        <f>(Valuation!$B$86*(1+Model!E12+$A28)*(1+Model!F12+$A28)*(Model!F14+E$23)+Valuation!$B$87*(1+Model!E16+$A28)*(1+Model!F16+$A28)*(Model!F18+E$23)+Model!F21+Model!F33)*(1-Model!F63)/Model!F40</f>
        <v/>
      </c>
      <c r="F28" s="27">
        <f>(Valuation!$B$86*(1+Model!E12+$A28)*(1+Model!F12+$A28)*(Model!F14+F$23)+Valuation!$B$87*(1+Model!E16+$A28)*(1+Model!F16+$A28)*(Model!F18+F$23)+Model!F21+Model!F33)*(1-Model!F63)/Model!F40</f>
        <v/>
      </c>
    </row>
    <row r="30">
      <c r="A30" s="2" t="inlineStr">
        <is>
          <t>Net interest and the share count are held at the base case in table 3.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6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60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>
      <c r="A1" s="1" t="inlineStr">
        <is>
          <t>VST: 12-month distribution (mix of lognormals around each scenario value)</t>
        </is>
      </c>
    </row>
    <row r="3">
      <c r="A3" s="3" t="inlineStr">
        <is>
          <t>Scenario</t>
        </is>
      </c>
      <c r="B3" s="3" t="inlineStr">
        <is>
          <t>Probability</t>
        </is>
      </c>
      <c r="C3" s="3" t="inlineStr">
        <is>
          <t>Value at target date</t>
        </is>
      </c>
      <c r="D3" s="3" t="inlineStr">
        <is>
          <t>Story</t>
        </is>
      </c>
    </row>
    <row r="4">
      <c r="A4" t="inlineStr">
        <is>
          <t>bear</t>
        </is>
      </c>
      <c r="B4" s="12">
        <f>Valuation!B81</f>
        <v/>
      </c>
      <c r="C4" s="4">
        <f>'Calc - bear'!$F$69</f>
        <v/>
      </c>
      <c r="D4">
        <f>Valuation!J81</f>
        <v/>
      </c>
    </row>
    <row r="5">
      <c r="A5" t="inlineStr">
        <is>
          <t>base</t>
        </is>
      </c>
      <c r="B5" s="12">
        <f>Valuation!B82</f>
        <v/>
      </c>
      <c r="C5" s="4">
        <f>'Calc - base'!$F$69</f>
        <v/>
      </c>
      <c r="D5">
        <f>Valuation!J82</f>
        <v/>
      </c>
    </row>
    <row r="6">
      <c r="A6" t="inlineStr">
        <is>
          <t>bull</t>
        </is>
      </c>
      <c r="B6" s="12">
        <f>Valuation!B83</f>
        <v/>
      </c>
      <c r="C6" s="4">
        <f>'Calc - bull'!$F$69</f>
        <v/>
      </c>
      <c r="D6">
        <f>Valuation!J83</f>
        <v/>
      </c>
    </row>
    <row r="8">
      <c r="A8" t="inlineStr">
        <is>
          <t>Probabilities sum to</t>
        </is>
      </c>
      <c r="B8" s="16">
        <f>SUM(B4:B6)</f>
        <v/>
      </c>
    </row>
    <row r="9">
      <c r="A9" t="inlineStr">
        <is>
          <t>Spread within each scenario</t>
        </is>
      </c>
      <c r="B9" s="12">
        <f>Valuation!$B$65</f>
        <v/>
      </c>
    </row>
    <row r="10">
      <c r="A10" t="inlineStr">
        <is>
          <t>Probability-weighted mean</t>
        </is>
      </c>
      <c r="B10" s="9">
        <f>($B$4*$C$4+$B$5*$C$5+$B$6*$C$6)*EXP($B$9^2/2)</f>
        <v/>
      </c>
    </row>
    <row r="12">
      <c r="A12" s="3" t="inlineStr">
        <is>
          <t>Quantile</t>
        </is>
      </c>
      <c r="B12" s="3" t="inlineStr">
        <is>
          <t>Price</t>
        </is>
      </c>
    </row>
    <row r="13">
      <c r="A13" t="inlineStr">
        <is>
          <t>Median (model target)</t>
        </is>
      </c>
      <c r="B13" s="9">
        <f>SQRT(A60*B60)</f>
        <v/>
      </c>
    </row>
    <row r="14">
      <c r="A14" t="inlineStr">
        <is>
          <t>10th percentile</t>
        </is>
      </c>
      <c r="B14" s="9">
        <f>SQRT(D60*E60)</f>
        <v/>
      </c>
    </row>
    <row r="15">
      <c r="A15" t="inlineStr">
        <is>
          <t>25th percentile</t>
        </is>
      </c>
      <c r="B15" s="9">
        <f>SQRT(G60*H60)</f>
        <v/>
      </c>
    </row>
    <row r="16">
      <c r="A16" t="inlineStr">
        <is>
          <t>75th percentile</t>
        </is>
      </c>
      <c r="B16" s="9">
        <f>SQRT(J60*K60)</f>
        <v/>
      </c>
    </row>
    <row r="17">
      <c r="A17" t="inlineStr">
        <is>
          <t>90th percentile</t>
        </is>
      </c>
      <c r="B17" s="9">
        <f>SQRT(M60*N60)</f>
        <v/>
      </c>
    </row>
    <row r="19">
      <c r="A19" s="2" t="inlineStr">
        <is>
          <t>Each quantile solved by bisection (block: low, high, probability above the midpoint)</t>
        </is>
      </c>
    </row>
    <row r="20">
      <c r="A20" s="3" t="inlineStr">
        <is>
          <t>Median (model target): low</t>
        </is>
      </c>
      <c r="B20" s="3" t="inlineStr">
        <is>
          <t>high</t>
        </is>
      </c>
      <c r="C20" s="3" t="inlineStr">
        <is>
          <t>P(above mid)</t>
        </is>
      </c>
      <c r="D20" s="3" t="inlineStr">
        <is>
          <t>10th percentile: low</t>
        </is>
      </c>
      <c r="E20" s="3" t="inlineStr">
        <is>
          <t>high</t>
        </is>
      </c>
      <c r="F20" s="3" t="inlineStr">
        <is>
          <t>P(above mid)</t>
        </is>
      </c>
      <c r="G20" s="3" t="inlineStr">
        <is>
          <t>25th percentile: low</t>
        </is>
      </c>
      <c r="H20" s="3" t="inlineStr">
        <is>
          <t>high</t>
        </is>
      </c>
      <c r="I20" s="3" t="inlineStr">
        <is>
          <t>P(above mid)</t>
        </is>
      </c>
      <c r="J20" s="3" t="inlineStr">
        <is>
          <t>75th percentile: low</t>
        </is>
      </c>
      <c r="K20" s="3" t="inlineStr">
        <is>
          <t>high</t>
        </is>
      </c>
      <c r="L20" s="3" t="inlineStr">
        <is>
          <t>P(above mid)</t>
        </is>
      </c>
      <c r="M20" s="3" t="inlineStr">
        <is>
          <t>90th percentile: low</t>
        </is>
      </c>
      <c r="N20" s="3" t="inlineStr">
        <is>
          <t>high</t>
        </is>
      </c>
      <c r="O20" s="3" t="inlineStr">
        <is>
          <t>P(above mid)</t>
        </is>
      </c>
    </row>
    <row r="21">
      <c r="A21" s="9">
        <f>MIN($C$4,$C$5,$C$6)*0.2</f>
        <v/>
      </c>
      <c r="B21" s="9">
        <f>MAX($C$4,$C$5,$C$6)*4</f>
        <v/>
      </c>
      <c r="C21" s="42">
        <f>SUMPRODUCT($B$4:$B$6,1-NORMSDIST((LN(SQRT(A21*B21))-LN($C$4:$C$6))/$B$9))</f>
        <v/>
      </c>
      <c r="D21" s="9">
        <f>MIN($C$4,$C$5,$C$6)*0.2</f>
        <v/>
      </c>
      <c r="E21" s="9">
        <f>MAX($C$4,$C$5,$C$6)*4</f>
        <v/>
      </c>
      <c r="F21" s="42">
        <f>SUMPRODUCT($B$4:$B$6,1-NORMSDIST((LN(SQRT(D21*E21))-LN($C$4:$C$6))/$B$9))</f>
        <v/>
      </c>
      <c r="G21" s="9">
        <f>MIN($C$4,$C$5,$C$6)*0.2</f>
        <v/>
      </c>
      <c r="H21" s="9">
        <f>MAX($C$4,$C$5,$C$6)*4</f>
        <v/>
      </c>
      <c r="I21" s="42">
        <f>SUMPRODUCT($B$4:$B$6,1-NORMSDIST((LN(SQRT(G21*H21))-LN($C$4:$C$6))/$B$9))</f>
        <v/>
      </c>
      <c r="J21" s="9">
        <f>MIN($C$4,$C$5,$C$6)*0.2</f>
        <v/>
      </c>
      <c r="K21" s="9">
        <f>MAX($C$4,$C$5,$C$6)*4</f>
        <v/>
      </c>
      <c r="L21" s="42">
        <f>SUMPRODUCT($B$4:$B$6,1-NORMSDIST((LN(SQRT(J21*K21))-LN($C$4:$C$6))/$B$9))</f>
        <v/>
      </c>
      <c r="M21" s="9">
        <f>MIN($C$4,$C$5,$C$6)*0.2</f>
        <v/>
      </c>
      <c r="N21" s="9">
        <f>MAX($C$4,$C$5,$C$6)*4</f>
        <v/>
      </c>
      <c r="O21" s="42">
        <f>SUMPRODUCT($B$4:$B$6,1-NORMSDIST((LN(SQRT(M21*N21))-LN($C$4:$C$6))/$B$9))</f>
        <v/>
      </c>
    </row>
    <row r="22">
      <c r="A22" s="9">
        <f>IF(C21&gt;0.5,SQRT(A21*B21),A21)</f>
        <v/>
      </c>
      <c r="B22" s="9">
        <f>IF(C21&gt;0.5,B21,SQRT(A21*B21))</f>
        <v/>
      </c>
      <c r="C22" s="42">
        <f>SUMPRODUCT($B$4:$B$6,1-NORMSDIST((LN(SQRT(A22*B22))-LN($C$4:$C$6))/$B$9))</f>
        <v/>
      </c>
      <c r="D22" s="9">
        <f>IF(F21&gt;0.9,SQRT(D21*E21),D21)</f>
        <v/>
      </c>
      <c r="E22" s="9">
        <f>IF(F21&gt;0.9,E21,SQRT(D21*E21))</f>
        <v/>
      </c>
      <c r="F22" s="42">
        <f>SUMPRODUCT($B$4:$B$6,1-NORMSDIST((LN(SQRT(D22*E22))-LN($C$4:$C$6))/$B$9))</f>
        <v/>
      </c>
      <c r="G22" s="9">
        <f>IF(I21&gt;0.75,SQRT(G21*H21),G21)</f>
        <v/>
      </c>
      <c r="H22" s="9">
        <f>IF(I21&gt;0.75,H21,SQRT(G21*H21))</f>
        <v/>
      </c>
      <c r="I22" s="42">
        <f>SUMPRODUCT($B$4:$B$6,1-NORMSDIST((LN(SQRT(G22*H22))-LN($C$4:$C$6))/$B$9))</f>
        <v/>
      </c>
      <c r="J22" s="9">
        <f>IF(L21&gt;0.25,SQRT(J21*K21),J21)</f>
        <v/>
      </c>
      <c r="K22" s="9">
        <f>IF(L21&gt;0.25,K21,SQRT(J21*K21))</f>
        <v/>
      </c>
      <c r="L22" s="42">
        <f>SUMPRODUCT($B$4:$B$6,1-NORMSDIST((LN(SQRT(J22*K22))-LN($C$4:$C$6))/$B$9))</f>
        <v/>
      </c>
      <c r="M22" s="9">
        <f>IF(O21&gt;0.09999999999999998,SQRT(M21*N21),M21)</f>
        <v/>
      </c>
      <c r="N22" s="9">
        <f>IF(O21&gt;0.09999999999999998,N21,SQRT(M21*N21))</f>
        <v/>
      </c>
      <c r="O22" s="42">
        <f>SUMPRODUCT($B$4:$B$6,1-NORMSDIST((LN(SQRT(M22*N22))-LN($C$4:$C$6))/$B$9))</f>
        <v/>
      </c>
    </row>
    <row r="23">
      <c r="A23" s="9">
        <f>IF(C22&gt;0.5,SQRT(A22*B22),A22)</f>
        <v/>
      </c>
      <c r="B23" s="9">
        <f>IF(C22&gt;0.5,B22,SQRT(A22*B22))</f>
        <v/>
      </c>
      <c r="C23" s="42">
        <f>SUMPRODUCT($B$4:$B$6,1-NORMSDIST((LN(SQRT(A23*B23))-LN($C$4:$C$6))/$B$9))</f>
        <v/>
      </c>
      <c r="D23" s="9">
        <f>IF(F22&gt;0.9,SQRT(D22*E22),D22)</f>
        <v/>
      </c>
      <c r="E23" s="9">
        <f>IF(F22&gt;0.9,E22,SQRT(D22*E22))</f>
        <v/>
      </c>
      <c r="F23" s="42">
        <f>SUMPRODUCT($B$4:$B$6,1-NORMSDIST((LN(SQRT(D23*E23))-LN($C$4:$C$6))/$B$9))</f>
        <v/>
      </c>
      <c r="G23" s="9">
        <f>IF(I22&gt;0.75,SQRT(G22*H22),G22)</f>
        <v/>
      </c>
      <c r="H23" s="9">
        <f>IF(I22&gt;0.75,H22,SQRT(G22*H22))</f>
        <v/>
      </c>
      <c r="I23" s="42">
        <f>SUMPRODUCT($B$4:$B$6,1-NORMSDIST((LN(SQRT(G23*H23))-LN($C$4:$C$6))/$B$9))</f>
        <v/>
      </c>
      <c r="J23" s="9">
        <f>IF(L22&gt;0.25,SQRT(J22*K22),J22)</f>
        <v/>
      </c>
      <c r="K23" s="9">
        <f>IF(L22&gt;0.25,K22,SQRT(J22*K22))</f>
        <v/>
      </c>
      <c r="L23" s="42">
        <f>SUMPRODUCT($B$4:$B$6,1-NORMSDIST((LN(SQRT(J23*K23))-LN($C$4:$C$6))/$B$9))</f>
        <v/>
      </c>
      <c r="M23" s="9">
        <f>IF(O22&gt;0.09999999999999998,SQRT(M22*N22),M22)</f>
        <v/>
      </c>
      <c r="N23" s="9">
        <f>IF(O22&gt;0.09999999999999998,N22,SQRT(M22*N22))</f>
        <v/>
      </c>
      <c r="O23" s="42">
        <f>SUMPRODUCT($B$4:$B$6,1-NORMSDIST((LN(SQRT(M23*N23))-LN($C$4:$C$6))/$B$9))</f>
        <v/>
      </c>
    </row>
    <row r="24">
      <c r="A24" s="9">
        <f>IF(C23&gt;0.5,SQRT(A23*B23),A23)</f>
        <v/>
      </c>
      <c r="B24" s="9">
        <f>IF(C23&gt;0.5,B23,SQRT(A23*B23))</f>
        <v/>
      </c>
      <c r="C24" s="42">
        <f>SUMPRODUCT($B$4:$B$6,1-NORMSDIST((LN(SQRT(A24*B24))-LN($C$4:$C$6))/$B$9))</f>
        <v/>
      </c>
      <c r="D24" s="9">
        <f>IF(F23&gt;0.9,SQRT(D23*E23),D23)</f>
        <v/>
      </c>
      <c r="E24" s="9">
        <f>IF(F23&gt;0.9,E23,SQRT(D23*E23))</f>
        <v/>
      </c>
      <c r="F24" s="42">
        <f>SUMPRODUCT($B$4:$B$6,1-NORMSDIST((LN(SQRT(D24*E24))-LN($C$4:$C$6))/$B$9))</f>
        <v/>
      </c>
      <c r="G24" s="9">
        <f>IF(I23&gt;0.75,SQRT(G23*H23),G23)</f>
        <v/>
      </c>
      <c r="H24" s="9">
        <f>IF(I23&gt;0.75,H23,SQRT(G23*H23))</f>
        <v/>
      </c>
      <c r="I24" s="42">
        <f>SUMPRODUCT($B$4:$B$6,1-NORMSDIST((LN(SQRT(G24*H24))-LN($C$4:$C$6))/$B$9))</f>
        <v/>
      </c>
      <c r="J24" s="9">
        <f>IF(L23&gt;0.25,SQRT(J23*K23),J23)</f>
        <v/>
      </c>
      <c r="K24" s="9">
        <f>IF(L23&gt;0.25,K23,SQRT(J23*K23))</f>
        <v/>
      </c>
      <c r="L24" s="42">
        <f>SUMPRODUCT($B$4:$B$6,1-NORMSDIST((LN(SQRT(J24*K24))-LN($C$4:$C$6))/$B$9))</f>
        <v/>
      </c>
      <c r="M24" s="9">
        <f>IF(O23&gt;0.09999999999999998,SQRT(M23*N23),M23)</f>
        <v/>
      </c>
      <c r="N24" s="9">
        <f>IF(O23&gt;0.09999999999999998,N23,SQRT(M23*N23))</f>
        <v/>
      </c>
      <c r="O24" s="42">
        <f>SUMPRODUCT($B$4:$B$6,1-NORMSDIST((LN(SQRT(M24*N24))-LN($C$4:$C$6))/$B$9))</f>
        <v/>
      </c>
    </row>
    <row r="25">
      <c r="A25" s="9">
        <f>IF(C24&gt;0.5,SQRT(A24*B24),A24)</f>
        <v/>
      </c>
      <c r="B25" s="9">
        <f>IF(C24&gt;0.5,B24,SQRT(A24*B24))</f>
        <v/>
      </c>
      <c r="C25" s="42">
        <f>SUMPRODUCT($B$4:$B$6,1-NORMSDIST((LN(SQRT(A25*B25))-LN($C$4:$C$6))/$B$9))</f>
        <v/>
      </c>
      <c r="D25" s="9">
        <f>IF(F24&gt;0.9,SQRT(D24*E24),D24)</f>
        <v/>
      </c>
      <c r="E25" s="9">
        <f>IF(F24&gt;0.9,E24,SQRT(D24*E24))</f>
        <v/>
      </c>
      <c r="F25" s="42">
        <f>SUMPRODUCT($B$4:$B$6,1-NORMSDIST((LN(SQRT(D25*E25))-LN($C$4:$C$6))/$B$9))</f>
        <v/>
      </c>
      <c r="G25" s="9">
        <f>IF(I24&gt;0.75,SQRT(G24*H24),G24)</f>
        <v/>
      </c>
      <c r="H25" s="9">
        <f>IF(I24&gt;0.75,H24,SQRT(G24*H24))</f>
        <v/>
      </c>
      <c r="I25" s="42">
        <f>SUMPRODUCT($B$4:$B$6,1-NORMSDIST((LN(SQRT(G25*H25))-LN($C$4:$C$6))/$B$9))</f>
        <v/>
      </c>
      <c r="J25" s="9">
        <f>IF(L24&gt;0.25,SQRT(J24*K24),J24)</f>
        <v/>
      </c>
      <c r="K25" s="9">
        <f>IF(L24&gt;0.25,K24,SQRT(J24*K24))</f>
        <v/>
      </c>
      <c r="L25" s="42">
        <f>SUMPRODUCT($B$4:$B$6,1-NORMSDIST((LN(SQRT(J25*K25))-LN($C$4:$C$6))/$B$9))</f>
        <v/>
      </c>
      <c r="M25" s="9">
        <f>IF(O24&gt;0.09999999999999998,SQRT(M24*N24),M24)</f>
        <v/>
      </c>
      <c r="N25" s="9">
        <f>IF(O24&gt;0.09999999999999998,N24,SQRT(M24*N24))</f>
        <v/>
      </c>
      <c r="O25" s="42">
        <f>SUMPRODUCT($B$4:$B$6,1-NORMSDIST((LN(SQRT(M25*N25))-LN($C$4:$C$6))/$B$9))</f>
        <v/>
      </c>
    </row>
    <row r="26">
      <c r="A26" s="9">
        <f>IF(C25&gt;0.5,SQRT(A25*B25),A25)</f>
        <v/>
      </c>
      <c r="B26" s="9">
        <f>IF(C25&gt;0.5,B25,SQRT(A25*B25))</f>
        <v/>
      </c>
      <c r="C26" s="42">
        <f>SUMPRODUCT($B$4:$B$6,1-NORMSDIST((LN(SQRT(A26*B26))-LN($C$4:$C$6))/$B$9))</f>
        <v/>
      </c>
      <c r="D26" s="9">
        <f>IF(F25&gt;0.9,SQRT(D25*E25),D25)</f>
        <v/>
      </c>
      <c r="E26" s="9">
        <f>IF(F25&gt;0.9,E25,SQRT(D25*E25))</f>
        <v/>
      </c>
      <c r="F26" s="42">
        <f>SUMPRODUCT($B$4:$B$6,1-NORMSDIST((LN(SQRT(D26*E26))-LN($C$4:$C$6))/$B$9))</f>
        <v/>
      </c>
      <c r="G26" s="9">
        <f>IF(I25&gt;0.75,SQRT(G25*H25),G25)</f>
        <v/>
      </c>
      <c r="H26" s="9">
        <f>IF(I25&gt;0.75,H25,SQRT(G25*H25))</f>
        <v/>
      </c>
      <c r="I26" s="42">
        <f>SUMPRODUCT($B$4:$B$6,1-NORMSDIST((LN(SQRT(G26*H26))-LN($C$4:$C$6))/$B$9))</f>
        <v/>
      </c>
      <c r="J26" s="9">
        <f>IF(L25&gt;0.25,SQRT(J25*K25),J25)</f>
        <v/>
      </c>
      <c r="K26" s="9">
        <f>IF(L25&gt;0.25,K25,SQRT(J25*K25))</f>
        <v/>
      </c>
      <c r="L26" s="42">
        <f>SUMPRODUCT($B$4:$B$6,1-NORMSDIST((LN(SQRT(J26*K26))-LN($C$4:$C$6))/$B$9))</f>
        <v/>
      </c>
      <c r="M26" s="9">
        <f>IF(O25&gt;0.09999999999999998,SQRT(M25*N25),M25)</f>
        <v/>
      </c>
      <c r="N26" s="9">
        <f>IF(O25&gt;0.09999999999999998,N25,SQRT(M25*N25))</f>
        <v/>
      </c>
      <c r="O26" s="42">
        <f>SUMPRODUCT($B$4:$B$6,1-NORMSDIST((LN(SQRT(M26*N26))-LN($C$4:$C$6))/$B$9))</f>
        <v/>
      </c>
    </row>
    <row r="27">
      <c r="A27" s="9">
        <f>IF(C26&gt;0.5,SQRT(A26*B26),A26)</f>
        <v/>
      </c>
      <c r="B27" s="9">
        <f>IF(C26&gt;0.5,B26,SQRT(A26*B26))</f>
        <v/>
      </c>
      <c r="C27" s="42">
        <f>SUMPRODUCT($B$4:$B$6,1-NORMSDIST((LN(SQRT(A27*B27))-LN($C$4:$C$6))/$B$9))</f>
        <v/>
      </c>
      <c r="D27" s="9">
        <f>IF(F26&gt;0.9,SQRT(D26*E26),D26)</f>
        <v/>
      </c>
      <c r="E27" s="9">
        <f>IF(F26&gt;0.9,E26,SQRT(D26*E26))</f>
        <v/>
      </c>
      <c r="F27" s="42">
        <f>SUMPRODUCT($B$4:$B$6,1-NORMSDIST((LN(SQRT(D27*E27))-LN($C$4:$C$6))/$B$9))</f>
        <v/>
      </c>
      <c r="G27" s="9">
        <f>IF(I26&gt;0.75,SQRT(G26*H26),G26)</f>
        <v/>
      </c>
      <c r="H27" s="9">
        <f>IF(I26&gt;0.75,H26,SQRT(G26*H26))</f>
        <v/>
      </c>
      <c r="I27" s="42">
        <f>SUMPRODUCT($B$4:$B$6,1-NORMSDIST((LN(SQRT(G27*H27))-LN($C$4:$C$6))/$B$9))</f>
        <v/>
      </c>
      <c r="J27" s="9">
        <f>IF(L26&gt;0.25,SQRT(J26*K26),J26)</f>
        <v/>
      </c>
      <c r="K27" s="9">
        <f>IF(L26&gt;0.25,K26,SQRT(J26*K26))</f>
        <v/>
      </c>
      <c r="L27" s="42">
        <f>SUMPRODUCT($B$4:$B$6,1-NORMSDIST((LN(SQRT(J27*K27))-LN($C$4:$C$6))/$B$9))</f>
        <v/>
      </c>
      <c r="M27" s="9">
        <f>IF(O26&gt;0.09999999999999998,SQRT(M26*N26),M26)</f>
        <v/>
      </c>
      <c r="N27" s="9">
        <f>IF(O26&gt;0.09999999999999998,N26,SQRT(M26*N26))</f>
        <v/>
      </c>
      <c r="O27" s="42">
        <f>SUMPRODUCT($B$4:$B$6,1-NORMSDIST((LN(SQRT(M27*N27))-LN($C$4:$C$6))/$B$9))</f>
        <v/>
      </c>
    </row>
    <row r="28">
      <c r="A28" s="9">
        <f>IF(C27&gt;0.5,SQRT(A27*B27),A27)</f>
        <v/>
      </c>
      <c r="B28" s="9">
        <f>IF(C27&gt;0.5,B27,SQRT(A27*B27))</f>
        <v/>
      </c>
      <c r="C28" s="42">
        <f>SUMPRODUCT($B$4:$B$6,1-NORMSDIST((LN(SQRT(A28*B28))-LN($C$4:$C$6))/$B$9))</f>
        <v/>
      </c>
      <c r="D28" s="9">
        <f>IF(F27&gt;0.9,SQRT(D27*E27),D27)</f>
        <v/>
      </c>
      <c r="E28" s="9">
        <f>IF(F27&gt;0.9,E27,SQRT(D27*E27))</f>
        <v/>
      </c>
      <c r="F28" s="42">
        <f>SUMPRODUCT($B$4:$B$6,1-NORMSDIST((LN(SQRT(D28*E28))-LN($C$4:$C$6))/$B$9))</f>
        <v/>
      </c>
      <c r="G28" s="9">
        <f>IF(I27&gt;0.75,SQRT(G27*H27),G27)</f>
        <v/>
      </c>
      <c r="H28" s="9">
        <f>IF(I27&gt;0.75,H27,SQRT(G27*H27))</f>
        <v/>
      </c>
      <c r="I28" s="42">
        <f>SUMPRODUCT($B$4:$B$6,1-NORMSDIST((LN(SQRT(G28*H28))-LN($C$4:$C$6))/$B$9))</f>
        <v/>
      </c>
      <c r="J28" s="9">
        <f>IF(L27&gt;0.25,SQRT(J27*K27),J27)</f>
        <v/>
      </c>
      <c r="K28" s="9">
        <f>IF(L27&gt;0.25,K27,SQRT(J27*K27))</f>
        <v/>
      </c>
      <c r="L28" s="42">
        <f>SUMPRODUCT($B$4:$B$6,1-NORMSDIST((LN(SQRT(J28*K28))-LN($C$4:$C$6))/$B$9))</f>
        <v/>
      </c>
      <c r="M28" s="9">
        <f>IF(O27&gt;0.09999999999999998,SQRT(M27*N27),M27)</f>
        <v/>
      </c>
      <c r="N28" s="9">
        <f>IF(O27&gt;0.09999999999999998,N27,SQRT(M27*N27))</f>
        <v/>
      </c>
      <c r="O28" s="42">
        <f>SUMPRODUCT($B$4:$B$6,1-NORMSDIST((LN(SQRT(M28*N28))-LN($C$4:$C$6))/$B$9))</f>
        <v/>
      </c>
    </row>
    <row r="29">
      <c r="A29" s="9">
        <f>IF(C28&gt;0.5,SQRT(A28*B28),A28)</f>
        <v/>
      </c>
      <c r="B29" s="9">
        <f>IF(C28&gt;0.5,B28,SQRT(A28*B28))</f>
        <v/>
      </c>
      <c r="C29" s="42">
        <f>SUMPRODUCT($B$4:$B$6,1-NORMSDIST((LN(SQRT(A29*B29))-LN($C$4:$C$6))/$B$9))</f>
        <v/>
      </c>
      <c r="D29" s="9">
        <f>IF(F28&gt;0.9,SQRT(D28*E28),D28)</f>
        <v/>
      </c>
      <c r="E29" s="9">
        <f>IF(F28&gt;0.9,E28,SQRT(D28*E28))</f>
        <v/>
      </c>
      <c r="F29" s="42">
        <f>SUMPRODUCT($B$4:$B$6,1-NORMSDIST((LN(SQRT(D29*E29))-LN($C$4:$C$6))/$B$9))</f>
        <v/>
      </c>
      <c r="G29" s="9">
        <f>IF(I28&gt;0.75,SQRT(G28*H28),G28)</f>
        <v/>
      </c>
      <c r="H29" s="9">
        <f>IF(I28&gt;0.75,H28,SQRT(G28*H28))</f>
        <v/>
      </c>
      <c r="I29" s="42">
        <f>SUMPRODUCT($B$4:$B$6,1-NORMSDIST((LN(SQRT(G29*H29))-LN($C$4:$C$6))/$B$9))</f>
        <v/>
      </c>
      <c r="J29" s="9">
        <f>IF(L28&gt;0.25,SQRT(J28*K28),J28)</f>
        <v/>
      </c>
      <c r="K29" s="9">
        <f>IF(L28&gt;0.25,K28,SQRT(J28*K28))</f>
        <v/>
      </c>
      <c r="L29" s="42">
        <f>SUMPRODUCT($B$4:$B$6,1-NORMSDIST((LN(SQRT(J29*K29))-LN($C$4:$C$6))/$B$9))</f>
        <v/>
      </c>
      <c r="M29" s="9">
        <f>IF(O28&gt;0.09999999999999998,SQRT(M28*N28),M28)</f>
        <v/>
      </c>
      <c r="N29" s="9">
        <f>IF(O28&gt;0.09999999999999998,N28,SQRT(M28*N28))</f>
        <v/>
      </c>
      <c r="O29" s="42">
        <f>SUMPRODUCT($B$4:$B$6,1-NORMSDIST((LN(SQRT(M29*N29))-LN($C$4:$C$6))/$B$9))</f>
        <v/>
      </c>
    </row>
    <row r="30">
      <c r="A30" s="9">
        <f>IF(C29&gt;0.5,SQRT(A29*B29),A29)</f>
        <v/>
      </c>
      <c r="B30" s="9">
        <f>IF(C29&gt;0.5,B29,SQRT(A29*B29))</f>
        <v/>
      </c>
      <c r="C30" s="42">
        <f>SUMPRODUCT($B$4:$B$6,1-NORMSDIST((LN(SQRT(A30*B30))-LN($C$4:$C$6))/$B$9))</f>
        <v/>
      </c>
      <c r="D30" s="9">
        <f>IF(F29&gt;0.9,SQRT(D29*E29),D29)</f>
        <v/>
      </c>
      <c r="E30" s="9">
        <f>IF(F29&gt;0.9,E29,SQRT(D29*E29))</f>
        <v/>
      </c>
      <c r="F30" s="42">
        <f>SUMPRODUCT($B$4:$B$6,1-NORMSDIST((LN(SQRT(D30*E30))-LN($C$4:$C$6))/$B$9))</f>
        <v/>
      </c>
      <c r="G30" s="9">
        <f>IF(I29&gt;0.75,SQRT(G29*H29),G29)</f>
        <v/>
      </c>
      <c r="H30" s="9">
        <f>IF(I29&gt;0.75,H29,SQRT(G29*H29))</f>
        <v/>
      </c>
      <c r="I30" s="42">
        <f>SUMPRODUCT($B$4:$B$6,1-NORMSDIST((LN(SQRT(G30*H30))-LN($C$4:$C$6))/$B$9))</f>
        <v/>
      </c>
      <c r="J30" s="9">
        <f>IF(L29&gt;0.25,SQRT(J29*K29),J29)</f>
        <v/>
      </c>
      <c r="K30" s="9">
        <f>IF(L29&gt;0.25,K29,SQRT(J29*K29))</f>
        <v/>
      </c>
      <c r="L30" s="42">
        <f>SUMPRODUCT($B$4:$B$6,1-NORMSDIST((LN(SQRT(J30*K30))-LN($C$4:$C$6))/$B$9))</f>
        <v/>
      </c>
      <c r="M30" s="9">
        <f>IF(O29&gt;0.09999999999999998,SQRT(M29*N29),M29)</f>
        <v/>
      </c>
      <c r="N30" s="9">
        <f>IF(O29&gt;0.09999999999999998,N29,SQRT(M29*N29))</f>
        <v/>
      </c>
      <c r="O30" s="42">
        <f>SUMPRODUCT($B$4:$B$6,1-NORMSDIST((LN(SQRT(M30*N30))-LN($C$4:$C$6))/$B$9))</f>
        <v/>
      </c>
    </row>
    <row r="31">
      <c r="A31" s="9">
        <f>IF(C30&gt;0.5,SQRT(A30*B30),A30)</f>
        <v/>
      </c>
      <c r="B31" s="9">
        <f>IF(C30&gt;0.5,B30,SQRT(A30*B30))</f>
        <v/>
      </c>
      <c r="C31" s="42">
        <f>SUMPRODUCT($B$4:$B$6,1-NORMSDIST((LN(SQRT(A31*B31))-LN($C$4:$C$6))/$B$9))</f>
        <v/>
      </c>
      <c r="D31" s="9">
        <f>IF(F30&gt;0.9,SQRT(D30*E30),D30)</f>
        <v/>
      </c>
      <c r="E31" s="9">
        <f>IF(F30&gt;0.9,E30,SQRT(D30*E30))</f>
        <v/>
      </c>
      <c r="F31" s="42">
        <f>SUMPRODUCT($B$4:$B$6,1-NORMSDIST((LN(SQRT(D31*E31))-LN($C$4:$C$6))/$B$9))</f>
        <v/>
      </c>
      <c r="G31" s="9">
        <f>IF(I30&gt;0.75,SQRT(G30*H30),G30)</f>
        <v/>
      </c>
      <c r="H31" s="9">
        <f>IF(I30&gt;0.75,H30,SQRT(G30*H30))</f>
        <v/>
      </c>
      <c r="I31" s="42">
        <f>SUMPRODUCT($B$4:$B$6,1-NORMSDIST((LN(SQRT(G31*H31))-LN($C$4:$C$6))/$B$9))</f>
        <v/>
      </c>
      <c r="J31" s="9">
        <f>IF(L30&gt;0.25,SQRT(J30*K30),J30)</f>
        <v/>
      </c>
      <c r="K31" s="9">
        <f>IF(L30&gt;0.25,K30,SQRT(J30*K30))</f>
        <v/>
      </c>
      <c r="L31" s="42">
        <f>SUMPRODUCT($B$4:$B$6,1-NORMSDIST((LN(SQRT(J31*K31))-LN($C$4:$C$6))/$B$9))</f>
        <v/>
      </c>
      <c r="M31" s="9">
        <f>IF(O30&gt;0.09999999999999998,SQRT(M30*N30),M30)</f>
        <v/>
      </c>
      <c r="N31" s="9">
        <f>IF(O30&gt;0.09999999999999998,N30,SQRT(M30*N30))</f>
        <v/>
      </c>
      <c r="O31" s="42">
        <f>SUMPRODUCT($B$4:$B$6,1-NORMSDIST((LN(SQRT(M31*N31))-LN($C$4:$C$6))/$B$9))</f>
        <v/>
      </c>
    </row>
    <row r="32">
      <c r="A32" s="9">
        <f>IF(C31&gt;0.5,SQRT(A31*B31),A31)</f>
        <v/>
      </c>
      <c r="B32" s="9">
        <f>IF(C31&gt;0.5,B31,SQRT(A31*B31))</f>
        <v/>
      </c>
      <c r="C32" s="42">
        <f>SUMPRODUCT($B$4:$B$6,1-NORMSDIST((LN(SQRT(A32*B32))-LN($C$4:$C$6))/$B$9))</f>
        <v/>
      </c>
      <c r="D32" s="9">
        <f>IF(F31&gt;0.9,SQRT(D31*E31),D31)</f>
        <v/>
      </c>
      <c r="E32" s="9">
        <f>IF(F31&gt;0.9,E31,SQRT(D31*E31))</f>
        <v/>
      </c>
      <c r="F32" s="42">
        <f>SUMPRODUCT($B$4:$B$6,1-NORMSDIST((LN(SQRT(D32*E32))-LN($C$4:$C$6))/$B$9))</f>
        <v/>
      </c>
      <c r="G32" s="9">
        <f>IF(I31&gt;0.75,SQRT(G31*H31),G31)</f>
        <v/>
      </c>
      <c r="H32" s="9">
        <f>IF(I31&gt;0.75,H31,SQRT(G31*H31))</f>
        <v/>
      </c>
      <c r="I32" s="42">
        <f>SUMPRODUCT($B$4:$B$6,1-NORMSDIST((LN(SQRT(G32*H32))-LN($C$4:$C$6))/$B$9))</f>
        <v/>
      </c>
      <c r="J32" s="9">
        <f>IF(L31&gt;0.25,SQRT(J31*K31),J31)</f>
        <v/>
      </c>
      <c r="K32" s="9">
        <f>IF(L31&gt;0.25,K31,SQRT(J31*K31))</f>
        <v/>
      </c>
      <c r="L32" s="42">
        <f>SUMPRODUCT($B$4:$B$6,1-NORMSDIST((LN(SQRT(J32*K32))-LN($C$4:$C$6))/$B$9))</f>
        <v/>
      </c>
      <c r="M32" s="9">
        <f>IF(O31&gt;0.09999999999999998,SQRT(M31*N31),M31)</f>
        <v/>
      </c>
      <c r="N32" s="9">
        <f>IF(O31&gt;0.09999999999999998,N31,SQRT(M31*N31))</f>
        <v/>
      </c>
      <c r="O32" s="42">
        <f>SUMPRODUCT($B$4:$B$6,1-NORMSDIST((LN(SQRT(M32*N32))-LN($C$4:$C$6))/$B$9))</f>
        <v/>
      </c>
    </row>
    <row r="33">
      <c r="A33" s="9">
        <f>IF(C32&gt;0.5,SQRT(A32*B32),A32)</f>
        <v/>
      </c>
      <c r="B33" s="9">
        <f>IF(C32&gt;0.5,B32,SQRT(A32*B32))</f>
        <v/>
      </c>
      <c r="C33" s="42">
        <f>SUMPRODUCT($B$4:$B$6,1-NORMSDIST((LN(SQRT(A33*B33))-LN($C$4:$C$6))/$B$9))</f>
        <v/>
      </c>
      <c r="D33" s="9">
        <f>IF(F32&gt;0.9,SQRT(D32*E32),D32)</f>
        <v/>
      </c>
      <c r="E33" s="9">
        <f>IF(F32&gt;0.9,E32,SQRT(D32*E32))</f>
        <v/>
      </c>
      <c r="F33" s="42">
        <f>SUMPRODUCT($B$4:$B$6,1-NORMSDIST((LN(SQRT(D33*E33))-LN($C$4:$C$6))/$B$9))</f>
        <v/>
      </c>
      <c r="G33" s="9">
        <f>IF(I32&gt;0.75,SQRT(G32*H32),G32)</f>
        <v/>
      </c>
      <c r="H33" s="9">
        <f>IF(I32&gt;0.75,H32,SQRT(G32*H32))</f>
        <v/>
      </c>
      <c r="I33" s="42">
        <f>SUMPRODUCT($B$4:$B$6,1-NORMSDIST((LN(SQRT(G33*H33))-LN($C$4:$C$6))/$B$9))</f>
        <v/>
      </c>
      <c r="J33" s="9">
        <f>IF(L32&gt;0.25,SQRT(J32*K32),J32)</f>
        <v/>
      </c>
      <c r="K33" s="9">
        <f>IF(L32&gt;0.25,K32,SQRT(J32*K32))</f>
        <v/>
      </c>
      <c r="L33" s="42">
        <f>SUMPRODUCT($B$4:$B$6,1-NORMSDIST((LN(SQRT(J33*K33))-LN($C$4:$C$6))/$B$9))</f>
        <v/>
      </c>
      <c r="M33" s="9">
        <f>IF(O32&gt;0.09999999999999998,SQRT(M32*N32),M32)</f>
        <v/>
      </c>
      <c r="N33" s="9">
        <f>IF(O32&gt;0.09999999999999998,N32,SQRT(M32*N32))</f>
        <v/>
      </c>
      <c r="O33" s="42">
        <f>SUMPRODUCT($B$4:$B$6,1-NORMSDIST((LN(SQRT(M33*N33))-LN($C$4:$C$6))/$B$9))</f>
        <v/>
      </c>
    </row>
    <row r="34">
      <c r="A34" s="9">
        <f>IF(C33&gt;0.5,SQRT(A33*B33),A33)</f>
        <v/>
      </c>
      <c r="B34" s="9">
        <f>IF(C33&gt;0.5,B33,SQRT(A33*B33))</f>
        <v/>
      </c>
      <c r="C34" s="42">
        <f>SUMPRODUCT($B$4:$B$6,1-NORMSDIST((LN(SQRT(A34*B34))-LN($C$4:$C$6))/$B$9))</f>
        <v/>
      </c>
      <c r="D34" s="9">
        <f>IF(F33&gt;0.9,SQRT(D33*E33),D33)</f>
        <v/>
      </c>
      <c r="E34" s="9">
        <f>IF(F33&gt;0.9,E33,SQRT(D33*E33))</f>
        <v/>
      </c>
      <c r="F34" s="42">
        <f>SUMPRODUCT($B$4:$B$6,1-NORMSDIST((LN(SQRT(D34*E34))-LN($C$4:$C$6))/$B$9))</f>
        <v/>
      </c>
      <c r="G34" s="9">
        <f>IF(I33&gt;0.75,SQRT(G33*H33),G33)</f>
        <v/>
      </c>
      <c r="H34" s="9">
        <f>IF(I33&gt;0.75,H33,SQRT(G33*H33))</f>
        <v/>
      </c>
      <c r="I34" s="42">
        <f>SUMPRODUCT($B$4:$B$6,1-NORMSDIST((LN(SQRT(G34*H34))-LN($C$4:$C$6))/$B$9))</f>
        <v/>
      </c>
      <c r="J34" s="9">
        <f>IF(L33&gt;0.25,SQRT(J33*K33),J33)</f>
        <v/>
      </c>
      <c r="K34" s="9">
        <f>IF(L33&gt;0.25,K33,SQRT(J33*K33))</f>
        <v/>
      </c>
      <c r="L34" s="42">
        <f>SUMPRODUCT($B$4:$B$6,1-NORMSDIST((LN(SQRT(J34*K34))-LN($C$4:$C$6))/$B$9))</f>
        <v/>
      </c>
      <c r="M34" s="9">
        <f>IF(O33&gt;0.09999999999999998,SQRT(M33*N33),M33)</f>
        <v/>
      </c>
      <c r="N34" s="9">
        <f>IF(O33&gt;0.09999999999999998,N33,SQRT(M33*N33))</f>
        <v/>
      </c>
      <c r="O34" s="42">
        <f>SUMPRODUCT($B$4:$B$6,1-NORMSDIST((LN(SQRT(M34*N34))-LN($C$4:$C$6))/$B$9))</f>
        <v/>
      </c>
    </row>
    <row r="35">
      <c r="A35" s="9">
        <f>IF(C34&gt;0.5,SQRT(A34*B34),A34)</f>
        <v/>
      </c>
      <c r="B35" s="9">
        <f>IF(C34&gt;0.5,B34,SQRT(A34*B34))</f>
        <v/>
      </c>
      <c r="C35" s="42">
        <f>SUMPRODUCT($B$4:$B$6,1-NORMSDIST((LN(SQRT(A35*B35))-LN($C$4:$C$6))/$B$9))</f>
        <v/>
      </c>
      <c r="D35" s="9">
        <f>IF(F34&gt;0.9,SQRT(D34*E34),D34)</f>
        <v/>
      </c>
      <c r="E35" s="9">
        <f>IF(F34&gt;0.9,E34,SQRT(D34*E34))</f>
        <v/>
      </c>
      <c r="F35" s="42">
        <f>SUMPRODUCT($B$4:$B$6,1-NORMSDIST((LN(SQRT(D35*E35))-LN($C$4:$C$6))/$B$9))</f>
        <v/>
      </c>
      <c r="G35" s="9">
        <f>IF(I34&gt;0.75,SQRT(G34*H34),G34)</f>
        <v/>
      </c>
      <c r="H35" s="9">
        <f>IF(I34&gt;0.75,H34,SQRT(G34*H34))</f>
        <v/>
      </c>
      <c r="I35" s="42">
        <f>SUMPRODUCT($B$4:$B$6,1-NORMSDIST((LN(SQRT(G35*H35))-LN($C$4:$C$6))/$B$9))</f>
        <v/>
      </c>
      <c r="J35" s="9">
        <f>IF(L34&gt;0.25,SQRT(J34*K34),J34)</f>
        <v/>
      </c>
      <c r="K35" s="9">
        <f>IF(L34&gt;0.25,K34,SQRT(J34*K34))</f>
        <v/>
      </c>
      <c r="L35" s="42">
        <f>SUMPRODUCT($B$4:$B$6,1-NORMSDIST((LN(SQRT(J35*K35))-LN($C$4:$C$6))/$B$9))</f>
        <v/>
      </c>
      <c r="M35" s="9">
        <f>IF(O34&gt;0.09999999999999998,SQRT(M34*N34),M34)</f>
        <v/>
      </c>
      <c r="N35" s="9">
        <f>IF(O34&gt;0.09999999999999998,N34,SQRT(M34*N34))</f>
        <v/>
      </c>
      <c r="O35" s="42">
        <f>SUMPRODUCT($B$4:$B$6,1-NORMSDIST((LN(SQRT(M35*N35))-LN($C$4:$C$6))/$B$9))</f>
        <v/>
      </c>
    </row>
    <row r="36">
      <c r="A36" s="9">
        <f>IF(C35&gt;0.5,SQRT(A35*B35),A35)</f>
        <v/>
      </c>
      <c r="B36" s="9">
        <f>IF(C35&gt;0.5,B35,SQRT(A35*B35))</f>
        <v/>
      </c>
      <c r="C36" s="42">
        <f>SUMPRODUCT($B$4:$B$6,1-NORMSDIST((LN(SQRT(A36*B36))-LN($C$4:$C$6))/$B$9))</f>
        <v/>
      </c>
      <c r="D36" s="9">
        <f>IF(F35&gt;0.9,SQRT(D35*E35),D35)</f>
        <v/>
      </c>
      <c r="E36" s="9">
        <f>IF(F35&gt;0.9,E35,SQRT(D35*E35))</f>
        <v/>
      </c>
      <c r="F36" s="42">
        <f>SUMPRODUCT($B$4:$B$6,1-NORMSDIST((LN(SQRT(D36*E36))-LN($C$4:$C$6))/$B$9))</f>
        <v/>
      </c>
      <c r="G36" s="9">
        <f>IF(I35&gt;0.75,SQRT(G35*H35),G35)</f>
        <v/>
      </c>
      <c r="H36" s="9">
        <f>IF(I35&gt;0.75,H35,SQRT(G35*H35))</f>
        <v/>
      </c>
      <c r="I36" s="42">
        <f>SUMPRODUCT($B$4:$B$6,1-NORMSDIST((LN(SQRT(G36*H36))-LN($C$4:$C$6))/$B$9))</f>
        <v/>
      </c>
      <c r="J36" s="9">
        <f>IF(L35&gt;0.25,SQRT(J35*K35),J35)</f>
        <v/>
      </c>
      <c r="K36" s="9">
        <f>IF(L35&gt;0.25,K35,SQRT(J35*K35))</f>
        <v/>
      </c>
      <c r="L36" s="42">
        <f>SUMPRODUCT($B$4:$B$6,1-NORMSDIST((LN(SQRT(J36*K36))-LN($C$4:$C$6))/$B$9))</f>
        <v/>
      </c>
      <c r="M36" s="9">
        <f>IF(O35&gt;0.09999999999999998,SQRT(M35*N35),M35)</f>
        <v/>
      </c>
      <c r="N36" s="9">
        <f>IF(O35&gt;0.09999999999999998,N35,SQRT(M35*N35))</f>
        <v/>
      </c>
      <c r="O36" s="42">
        <f>SUMPRODUCT($B$4:$B$6,1-NORMSDIST((LN(SQRT(M36*N36))-LN($C$4:$C$6))/$B$9))</f>
        <v/>
      </c>
    </row>
    <row r="37">
      <c r="A37" s="9">
        <f>IF(C36&gt;0.5,SQRT(A36*B36),A36)</f>
        <v/>
      </c>
      <c r="B37" s="9">
        <f>IF(C36&gt;0.5,B36,SQRT(A36*B36))</f>
        <v/>
      </c>
      <c r="C37" s="42">
        <f>SUMPRODUCT($B$4:$B$6,1-NORMSDIST((LN(SQRT(A37*B37))-LN($C$4:$C$6))/$B$9))</f>
        <v/>
      </c>
      <c r="D37" s="9">
        <f>IF(F36&gt;0.9,SQRT(D36*E36),D36)</f>
        <v/>
      </c>
      <c r="E37" s="9">
        <f>IF(F36&gt;0.9,E36,SQRT(D36*E36))</f>
        <v/>
      </c>
      <c r="F37" s="42">
        <f>SUMPRODUCT($B$4:$B$6,1-NORMSDIST((LN(SQRT(D37*E37))-LN($C$4:$C$6))/$B$9))</f>
        <v/>
      </c>
      <c r="G37" s="9">
        <f>IF(I36&gt;0.75,SQRT(G36*H36),G36)</f>
        <v/>
      </c>
      <c r="H37" s="9">
        <f>IF(I36&gt;0.75,H36,SQRT(G36*H36))</f>
        <v/>
      </c>
      <c r="I37" s="42">
        <f>SUMPRODUCT($B$4:$B$6,1-NORMSDIST((LN(SQRT(G37*H37))-LN($C$4:$C$6))/$B$9))</f>
        <v/>
      </c>
      <c r="J37" s="9">
        <f>IF(L36&gt;0.25,SQRT(J36*K36),J36)</f>
        <v/>
      </c>
      <c r="K37" s="9">
        <f>IF(L36&gt;0.25,K36,SQRT(J36*K36))</f>
        <v/>
      </c>
      <c r="L37" s="42">
        <f>SUMPRODUCT($B$4:$B$6,1-NORMSDIST((LN(SQRT(J37*K37))-LN($C$4:$C$6))/$B$9))</f>
        <v/>
      </c>
      <c r="M37" s="9">
        <f>IF(O36&gt;0.09999999999999998,SQRT(M36*N36),M36)</f>
        <v/>
      </c>
      <c r="N37" s="9">
        <f>IF(O36&gt;0.09999999999999998,N36,SQRT(M36*N36))</f>
        <v/>
      </c>
      <c r="O37" s="42">
        <f>SUMPRODUCT($B$4:$B$6,1-NORMSDIST((LN(SQRT(M37*N37))-LN($C$4:$C$6))/$B$9))</f>
        <v/>
      </c>
    </row>
    <row r="38">
      <c r="A38" s="9">
        <f>IF(C37&gt;0.5,SQRT(A37*B37),A37)</f>
        <v/>
      </c>
      <c r="B38" s="9">
        <f>IF(C37&gt;0.5,B37,SQRT(A37*B37))</f>
        <v/>
      </c>
      <c r="C38" s="42">
        <f>SUMPRODUCT($B$4:$B$6,1-NORMSDIST((LN(SQRT(A38*B38))-LN($C$4:$C$6))/$B$9))</f>
        <v/>
      </c>
      <c r="D38" s="9">
        <f>IF(F37&gt;0.9,SQRT(D37*E37),D37)</f>
        <v/>
      </c>
      <c r="E38" s="9">
        <f>IF(F37&gt;0.9,E37,SQRT(D37*E37))</f>
        <v/>
      </c>
      <c r="F38" s="42">
        <f>SUMPRODUCT($B$4:$B$6,1-NORMSDIST((LN(SQRT(D38*E38))-LN($C$4:$C$6))/$B$9))</f>
        <v/>
      </c>
      <c r="G38" s="9">
        <f>IF(I37&gt;0.75,SQRT(G37*H37),G37)</f>
        <v/>
      </c>
      <c r="H38" s="9">
        <f>IF(I37&gt;0.75,H37,SQRT(G37*H37))</f>
        <v/>
      </c>
      <c r="I38" s="42">
        <f>SUMPRODUCT($B$4:$B$6,1-NORMSDIST((LN(SQRT(G38*H38))-LN($C$4:$C$6))/$B$9))</f>
        <v/>
      </c>
      <c r="J38" s="9">
        <f>IF(L37&gt;0.25,SQRT(J37*K37),J37)</f>
        <v/>
      </c>
      <c r="K38" s="9">
        <f>IF(L37&gt;0.25,K37,SQRT(J37*K37))</f>
        <v/>
      </c>
      <c r="L38" s="42">
        <f>SUMPRODUCT($B$4:$B$6,1-NORMSDIST((LN(SQRT(J38*K38))-LN($C$4:$C$6))/$B$9))</f>
        <v/>
      </c>
      <c r="M38" s="9">
        <f>IF(O37&gt;0.09999999999999998,SQRT(M37*N37),M37)</f>
        <v/>
      </c>
      <c r="N38" s="9">
        <f>IF(O37&gt;0.09999999999999998,N37,SQRT(M37*N37))</f>
        <v/>
      </c>
      <c r="O38" s="42">
        <f>SUMPRODUCT($B$4:$B$6,1-NORMSDIST((LN(SQRT(M38*N38))-LN($C$4:$C$6))/$B$9))</f>
        <v/>
      </c>
    </row>
    <row r="39">
      <c r="A39" s="9">
        <f>IF(C38&gt;0.5,SQRT(A38*B38),A38)</f>
        <v/>
      </c>
      <c r="B39" s="9">
        <f>IF(C38&gt;0.5,B38,SQRT(A38*B38))</f>
        <v/>
      </c>
      <c r="C39" s="42">
        <f>SUMPRODUCT($B$4:$B$6,1-NORMSDIST((LN(SQRT(A39*B39))-LN($C$4:$C$6))/$B$9))</f>
        <v/>
      </c>
      <c r="D39" s="9">
        <f>IF(F38&gt;0.9,SQRT(D38*E38),D38)</f>
        <v/>
      </c>
      <c r="E39" s="9">
        <f>IF(F38&gt;0.9,E38,SQRT(D38*E38))</f>
        <v/>
      </c>
      <c r="F39" s="42">
        <f>SUMPRODUCT($B$4:$B$6,1-NORMSDIST((LN(SQRT(D39*E39))-LN($C$4:$C$6))/$B$9))</f>
        <v/>
      </c>
      <c r="G39" s="9">
        <f>IF(I38&gt;0.75,SQRT(G38*H38),G38)</f>
        <v/>
      </c>
      <c r="H39" s="9">
        <f>IF(I38&gt;0.75,H38,SQRT(G38*H38))</f>
        <v/>
      </c>
      <c r="I39" s="42">
        <f>SUMPRODUCT($B$4:$B$6,1-NORMSDIST((LN(SQRT(G39*H39))-LN($C$4:$C$6))/$B$9))</f>
        <v/>
      </c>
      <c r="J39" s="9">
        <f>IF(L38&gt;0.25,SQRT(J38*K38),J38)</f>
        <v/>
      </c>
      <c r="K39" s="9">
        <f>IF(L38&gt;0.25,K38,SQRT(J38*K38))</f>
        <v/>
      </c>
      <c r="L39" s="42">
        <f>SUMPRODUCT($B$4:$B$6,1-NORMSDIST((LN(SQRT(J39*K39))-LN($C$4:$C$6))/$B$9))</f>
        <v/>
      </c>
      <c r="M39" s="9">
        <f>IF(O38&gt;0.09999999999999998,SQRT(M38*N38),M38)</f>
        <v/>
      </c>
      <c r="N39" s="9">
        <f>IF(O38&gt;0.09999999999999998,N38,SQRT(M38*N38))</f>
        <v/>
      </c>
      <c r="O39" s="42">
        <f>SUMPRODUCT($B$4:$B$6,1-NORMSDIST((LN(SQRT(M39*N39))-LN($C$4:$C$6))/$B$9))</f>
        <v/>
      </c>
    </row>
    <row r="40">
      <c r="A40" s="9">
        <f>IF(C39&gt;0.5,SQRT(A39*B39),A39)</f>
        <v/>
      </c>
      <c r="B40" s="9">
        <f>IF(C39&gt;0.5,B39,SQRT(A39*B39))</f>
        <v/>
      </c>
      <c r="C40" s="42">
        <f>SUMPRODUCT($B$4:$B$6,1-NORMSDIST((LN(SQRT(A40*B40))-LN($C$4:$C$6))/$B$9))</f>
        <v/>
      </c>
      <c r="D40" s="9">
        <f>IF(F39&gt;0.9,SQRT(D39*E39),D39)</f>
        <v/>
      </c>
      <c r="E40" s="9">
        <f>IF(F39&gt;0.9,E39,SQRT(D39*E39))</f>
        <v/>
      </c>
      <c r="F40" s="42">
        <f>SUMPRODUCT($B$4:$B$6,1-NORMSDIST((LN(SQRT(D40*E40))-LN($C$4:$C$6))/$B$9))</f>
        <v/>
      </c>
      <c r="G40" s="9">
        <f>IF(I39&gt;0.75,SQRT(G39*H39),G39)</f>
        <v/>
      </c>
      <c r="H40" s="9">
        <f>IF(I39&gt;0.75,H39,SQRT(G39*H39))</f>
        <v/>
      </c>
      <c r="I40" s="42">
        <f>SUMPRODUCT($B$4:$B$6,1-NORMSDIST((LN(SQRT(G40*H40))-LN($C$4:$C$6))/$B$9))</f>
        <v/>
      </c>
      <c r="J40" s="9">
        <f>IF(L39&gt;0.25,SQRT(J39*K39),J39)</f>
        <v/>
      </c>
      <c r="K40" s="9">
        <f>IF(L39&gt;0.25,K39,SQRT(J39*K39))</f>
        <v/>
      </c>
      <c r="L40" s="42">
        <f>SUMPRODUCT($B$4:$B$6,1-NORMSDIST((LN(SQRT(J40*K40))-LN($C$4:$C$6))/$B$9))</f>
        <v/>
      </c>
      <c r="M40" s="9">
        <f>IF(O39&gt;0.09999999999999998,SQRT(M39*N39),M39)</f>
        <v/>
      </c>
      <c r="N40" s="9">
        <f>IF(O39&gt;0.09999999999999998,N39,SQRT(M39*N39))</f>
        <v/>
      </c>
      <c r="O40" s="42">
        <f>SUMPRODUCT($B$4:$B$6,1-NORMSDIST((LN(SQRT(M40*N40))-LN($C$4:$C$6))/$B$9))</f>
        <v/>
      </c>
    </row>
    <row r="41">
      <c r="A41" s="9">
        <f>IF(C40&gt;0.5,SQRT(A40*B40),A40)</f>
        <v/>
      </c>
      <c r="B41" s="9">
        <f>IF(C40&gt;0.5,B40,SQRT(A40*B40))</f>
        <v/>
      </c>
      <c r="C41" s="42">
        <f>SUMPRODUCT($B$4:$B$6,1-NORMSDIST((LN(SQRT(A41*B41))-LN($C$4:$C$6))/$B$9))</f>
        <v/>
      </c>
      <c r="D41" s="9">
        <f>IF(F40&gt;0.9,SQRT(D40*E40),D40)</f>
        <v/>
      </c>
      <c r="E41" s="9">
        <f>IF(F40&gt;0.9,E40,SQRT(D40*E40))</f>
        <v/>
      </c>
      <c r="F41" s="42">
        <f>SUMPRODUCT($B$4:$B$6,1-NORMSDIST((LN(SQRT(D41*E41))-LN($C$4:$C$6))/$B$9))</f>
        <v/>
      </c>
      <c r="G41" s="9">
        <f>IF(I40&gt;0.75,SQRT(G40*H40),G40)</f>
        <v/>
      </c>
      <c r="H41" s="9">
        <f>IF(I40&gt;0.75,H40,SQRT(G40*H40))</f>
        <v/>
      </c>
      <c r="I41" s="42">
        <f>SUMPRODUCT($B$4:$B$6,1-NORMSDIST((LN(SQRT(G41*H41))-LN($C$4:$C$6))/$B$9))</f>
        <v/>
      </c>
      <c r="J41" s="9">
        <f>IF(L40&gt;0.25,SQRT(J40*K40),J40)</f>
        <v/>
      </c>
      <c r="K41" s="9">
        <f>IF(L40&gt;0.25,K40,SQRT(J40*K40))</f>
        <v/>
      </c>
      <c r="L41" s="42">
        <f>SUMPRODUCT($B$4:$B$6,1-NORMSDIST((LN(SQRT(J41*K41))-LN($C$4:$C$6))/$B$9))</f>
        <v/>
      </c>
      <c r="M41" s="9">
        <f>IF(O40&gt;0.09999999999999998,SQRT(M40*N40),M40)</f>
        <v/>
      </c>
      <c r="N41" s="9">
        <f>IF(O40&gt;0.09999999999999998,N40,SQRT(M40*N40))</f>
        <v/>
      </c>
      <c r="O41" s="42">
        <f>SUMPRODUCT($B$4:$B$6,1-NORMSDIST((LN(SQRT(M41*N41))-LN($C$4:$C$6))/$B$9))</f>
        <v/>
      </c>
    </row>
    <row r="42">
      <c r="A42" s="9">
        <f>IF(C41&gt;0.5,SQRT(A41*B41),A41)</f>
        <v/>
      </c>
      <c r="B42" s="9">
        <f>IF(C41&gt;0.5,B41,SQRT(A41*B41))</f>
        <v/>
      </c>
      <c r="C42" s="42">
        <f>SUMPRODUCT($B$4:$B$6,1-NORMSDIST((LN(SQRT(A42*B42))-LN($C$4:$C$6))/$B$9))</f>
        <v/>
      </c>
      <c r="D42" s="9">
        <f>IF(F41&gt;0.9,SQRT(D41*E41),D41)</f>
        <v/>
      </c>
      <c r="E42" s="9">
        <f>IF(F41&gt;0.9,E41,SQRT(D41*E41))</f>
        <v/>
      </c>
      <c r="F42" s="42">
        <f>SUMPRODUCT($B$4:$B$6,1-NORMSDIST((LN(SQRT(D42*E42))-LN($C$4:$C$6))/$B$9))</f>
        <v/>
      </c>
      <c r="G42" s="9">
        <f>IF(I41&gt;0.75,SQRT(G41*H41),G41)</f>
        <v/>
      </c>
      <c r="H42" s="9">
        <f>IF(I41&gt;0.75,H41,SQRT(G41*H41))</f>
        <v/>
      </c>
      <c r="I42" s="42">
        <f>SUMPRODUCT($B$4:$B$6,1-NORMSDIST((LN(SQRT(G42*H42))-LN($C$4:$C$6))/$B$9))</f>
        <v/>
      </c>
      <c r="J42" s="9">
        <f>IF(L41&gt;0.25,SQRT(J41*K41),J41)</f>
        <v/>
      </c>
      <c r="K42" s="9">
        <f>IF(L41&gt;0.25,K41,SQRT(J41*K41))</f>
        <v/>
      </c>
      <c r="L42" s="42">
        <f>SUMPRODUCT($B$4:$B$6,1-NORMSDIST((LN(SQRT(J42*K42))-LN($C$4:$C$6))/$B$9))</f>
        <v/>
      </c>
      <c r="M42" s="9">
        <f>IF(O41&gt;0.09999999999999998,SQRT(M41*N41),M41)</f>
        <v/>
      </c>
      <c r="N42" s="9">
        <f>IF(O41&gt;0.09999999999999998,N41,SQRT(M41*N41))</f>
        <v/>
      </c>
      <c r="O42" s="42">
        <f>SUMPRODUCT($B$4:$B$6,1-NORMSDIST((LN(SQRT(M42*N42))-LN($C$4:$C$6))/$B$9))</f>
        <v/>
      </c>
    </row>
    <row r="43">
      <c r="A43" s="9">
        <f>IF(C42&gt;0.5,SQRT(A42*B42),A42)</f>
        <v/>
      </c>
      <c r="B43" s="9">
        <f>IF(C42&gt;0.5,B42,SQRT(A42*B42))</f>
        <v/>
      </c>
      <c r="C43" s="42">
        <f>SUMPRODUCT($B$4:$B$6,1-NORMSDIST((LN(SQRT(A43*B43))-LN($C$4:$C$6))/$B$9))</f>
        <v/>
      </c>
      <c r="D43" s="9">
        <f>IF(F42&gt;0.9,SQRT(D42*E42),D42)</f>
        <v/>
      </c>
      <c r="E43" s="9">
        <f>IF(F42&gt;0.9,E42,SQRT(D42*E42))</f>
        <v/>
      </c>
      <c r="F43" s="42">
        <f>SUMPRODUCT($B$4:$B$6,1-NORMSDIST((LN(SQRT(D43*E43))-LN($C$4:$C$6))/$B$9))</f>
        <v/>
      </c>
      <c r="G43" s="9">
        <f>IF(I42&gt;0.75,SQRT(G42*H42),G42)</f>
        <v/>
      </c>
      <c r="H43" s="9">
        <f>IF(I42&gt;0.75,H42,SQRT(G42*H42))</f>
        <v/>
      </c>
      <c r="I43" s="42">
        <f>SUMPRODUCT($B$4:$B$6,1-NORMSDIST((LN(SQRT(G43*H43))-LN($C$4:$C$6))/$B$9))</f>
        <v/>
      </c>
      <c r="J43" s="9">
        <f>IF(L42&gt;0.25,SQRT(J42*K42),J42)</f>
        <v/>
      </c>
      <c r="K43" s="9">
        <f>IF(L42&gt;0.25,K42,SQRT(J42*K42))</f>
        <v/>
      </c>
      <c r="L43" s="42">
        <f>SUMPRODUCT($B$4:$B$6,1-NORMSDIST((LN(SQRT(J43*K43))-LN($C$4:$C$6))/$B$9))</f>
        <v/>
      </c>
      <c r="M43" s="9">
        <f>IF(O42&gt;0.09999999999999998,SQRT(M42*N42),M42)</f>
        <v/>
      </c>
      <c r="N43" s="9">
        <f>IF(O42&gt;0.09999999999999998,N42,SQRT(M42*N42))</f>
        <v/>
      </c>
      <c r="O43" s="42">
        <f>SUMPRODUCT($B$4:$B$6,1-NORMSDIST((LN(SQRT(M43*N43))-LN($C$4:$C$6))/$B$9))</f>
        <v/>
      </c>
    </row>
    <row r="44">
      <c r="A44" s="9">
        <f>IF(C43&gt;0.5,SQRT(A43*B43),A43)</f>
        <v/>
      </c>
      <c r="B44" s="9">
        <f>IF(C43&gt;0.5,B43,SQRT(A43*B43))</f>
        <v/>
      </c>
      <c r="C44" s="42">
        <f>SUMPRODUCT($B$4:$B$6,1-NORMSDIST((LN(SQRT(A44*B44))-LN($C$4:$C$6))/$B$9))</f>
        <v/>
      </c>
      <c r="D44" s="9">
        <f>IF(F43&gt;0.9,SQRT(D43*E43),D43)</f>
        <v/>
      </c>
      <c r="E44" s="9">
        <f>IF(F43&gt;0.9,E43,SQRT(D43*E43))</f>
        <v/>
      </c>
      <c r="F44" s="42">
        <f>SUMPRODUCT($B$4:$B$6,1-NORMSDIST((LN(SQRT(D44*E44))-LN($C$4:$C$6))/$B$9))</f>
        <v/>
      </c>
      <c r="G44" s="9">
        <f>IF(I43&gt;0.75,SQRT(G43*H43),G43)</f>
        <v/>
      </c>
      <c r="H44" s="9">
        <f>IF(I43&gt;0.75,H43,SQRT(G43*H43))</f>
        <v/>
      </c>
      <c r="I44" s="42">
        <f>SUMPRODUCT($B$4:$B$6,1-NORMSDIST((LN(SQRT(G44*H44))-LN($C$4:$C$6))/$B$9))</f>
        <v/>
      </c>
      <c r="J44" s="9">
        <f>IF(L43&gt;0.25,SQRT(J43*K43),J43)</f>
        <v/>
      </c>
      <c r="K44" s="9">
        <f>IF(L43&gt;0.25,K43,SQRT(J43*K43))</f>
        <v/>
      </c>
      <c r="L44" s="42">
        <f>SUMPRODUCT($B$4:$B$6,1-NORMSDIST((LN(SQRT(J44*K44))-LN($C$4:$C$6))/$B$9))</f>
        <v/>
      </c>
      <c r="M44" s="9">
        <f>IF(O43&gt;0.09999999999999998,SQRT(M43*N43),M43)</f>
        <v/>
      </c>
      <c r="N44" s="9">
        <f>IF(O43&gt;0.09999999999999998,N43,SQRT(M43*N43))</f>
        <v/>
      </c>
      <c r="O44" s="42">
        <f>SUMPRODUCT($B$4:$B$6,1-NORMSDIST((LN(SQRT(M44*N44))-LN($C$4:$C$6))/$B$9))</f>
        <v/>
      </c>
    </row>
    <row r="45">
      <c r="A45" s="9">
        <f>IF(C44&gt;0.5,SQRT(A44*B44),A44)</f>
        <v/>
      </c>
      <c r="B45" s="9">
        <f>IF(C44&gt;0.5,B44,SQRT(A44*B44))</f>
        <v/>
      </c>
      <c r="C45" s="42">
        <f>SUMPRODUCT($B$4:$B$6,1-NORMSDIST((LN(SQRT(A45*B45))-LN($C$4:$C$6))/$B$9))</f>
        <v/>
      </c>
      <c r="D45" s="9">
        <f>IF(F44&gt;0.9,SQRT(D44*E44),D44)</f>
        <v/>
      </c>
      <c r="E45" s="9">
        <f>IF(F44&gt;0.9,E44,SQRT(D44*E44))</f>
        <v/>
      </c>
      <c r="F45" s="42">
        <f>SUMPRODUCT($B$4:$B$6,1-NORMSDIST((LN(SQRT(D45*E45))-LN($C$4:$C$6))/$B$9))</f>
        <v/>
      </c>
      <c r="G45" s="9">
        <f>IF(I44&gt;0.75,SQRT(G44*H44),G44)</f>
        <v/>
      </c>
      <c r="H45" s="9">
        <f>IF(I44&gt;0.75,H44,SQRT(G44*H44))</f>
        <v/>
      </c>
      <c r="I45" s="42">
        <f>SUMPRODUCT($B$4:$B$6,1-NORMSDIST((LN(SQRT(G45*H45))-LN($C$4:$C$6))/$B$9))</f>
        <v/>
      </c>
      <c r="J45" s="9">
        <f>IF(L44&gt;0.25,SQRT(J44*K44),J44)</f>
        <v/>
      </c>
      <c r="K45" s="9">
        <f>IF(L44&gt;0.25,K44,SQRT(J44*K44))</f>
        <v/>
      </c>
      <c r="L45" s="42">
        <f>SUMPRODUCT($B$4:$B$6,1-NORMSDIST((LN(SQRT(J45*K45))-LN($C$4:$C$6))/$B$9))</f>
        <v/>
      </c>
      <c r="M45" s="9">
        <f>IF(O44&gt;0.09999999999999998,SQRT(M44*N44),M44)</f>
        <v/>
      </c>
      <c r="N45" s="9">
        <f>IF(O44&gt;0.09999999999999998,N44,SQRT(M44*N44))</f>
        <v/>
      </c>
      <c r="O45" s="42">
        <f>SUMPRODUCT($B$4:$B$6,1-NORMSDIST((LN(SQRT(M45*N45))-LN($C$4:$C$6))/$B$9))</f>
        <v/>
      </c>
    </row>
    <row r="46">
      <c r="A46" s="9">
        <f>IF(C45&gt;0.5,SQRT(A45*B45),A45)</f>
        <v/>
      </c>
      <c r="B46" s="9">
        <f>IF(C45&gt;0.5,B45,SQRT(A45*B45))</f>
        <v/>
      </c>
      <c r="C46" s="42">
        <f>SUMPRODUCT($B$4:$B$6,1-NORMSDIST((LN(SQRT(A46*B46))-LN($C$4:$C$6))/$B$9))</f>
        <v/>
      </c>
      <c r="D46" s="9">
        <f>IF(F45&gt;0.9,SQRT(D45*E45),D45)</f>
        <v/>
      </c>
      <c r="E46" s="9">
        <f>IF(F45&gt;0.9,E45,SQRT(D45*E45))</f>
        <v/>
      </c>
      <c r="F46" s="42">
        <f>SUMPRODUCT($B$4:$B$6,1-NORMSDIST((LN(SQRT(D46*E46))-LN($C$4:$C$6))/$B$9))</f>
        <v/>
      </c>
      <c r="G46" s="9">
        <f>IF(I45&gt;0.75,SQRT(G45*H45),G45)</f>
        <v/>
      </c>
      <c r="H46" s="9">
        <f>IF(I45&gt;0.75,H45,SQRT(G45*H45))</f>
        <v/>
      </c>
      <c r="I46" s="42">
        <f>SUMPRODUCT($B$4:$B$6,1-NORMSDIST((LN(SQRT(G46*H46))-LN($C$4:$C$6))/$B$9))</f>
        <v/>
      </c>
      <c r="J46" s="9">
        <f>IF(L45&gt;0.25,SQRT(J45*K45),J45)</f>
        <v/>
      </c>
      <c r="K46" s="9">
        <f>IF(L45&gt;0.25,K45,SQRT(J45*K45))</f>
        <v/>
      </c>
      <c r="L46" s="42">
        <f>SUMPRODUCT($B$4:$B$6,1-NORMSDIST((LN(SQRT(J46*K46))-LN($C$4:$C$6))/$B$9))</f>
        <v/>
      </c>
      <c r="M46" s="9">
        <f>IF(O45&gt;0.09999999999999998,SQRT(M45*N45),M45)</f>
        <v/>
      </c>
      <c r="N46" s="9">
        <f>IF(O45&gt;0.09999999999999998,N45,SQRT(M45*N45))</f>
        <v/>
      </c>
      <c r="O46" s="42">
        <f>SUMPRODUCT($B$4:$B$6,1-NORMSDIST((LN(SQRT(M46*N46))-LN($C$4:$C$6))/$B$9))</f>
        <v/>
      </c>
    </row>
    <row r="47">
      <c r="A47" s="9">
        <f>IF(C46&gt;0.5,SQRT(A46*B46),A46)</f>
        <v/>
      </c>
      <c r="B47" s="9">
        <f>IF(C46&gt;0.5,B46,SQRT(A46*B46))</f>
        <v/>
      </c>
      <c r="C47" s="42">
        <f>SUMPRODUCT($B$4:$B$6,1-NORMSDIST((LN(SQRT(A47*B47))-LN($C$4:$C$6))/$B$9))</f>
        <v/>
      </c>
      <c r="D47" s="9">
        <f>IF(F46&gt;0.9,SQRT(D46*E46),D46)</f>
        <v/>
      </c>
      <c r="E47" s="9">
        <f>IF(F46&gt;0.9,E46,SQRT(D46*E46))</f>
        <v/>
      </c>
      <c r="F47" s="42">
        <f>SUMPRODUCT($B$4:$B$6,1-NORMSDIST((LN(SQRT(D47*E47))-LN($C$4:$C$6))/$B$9))</f>
        <v/>
      </c>
      <c r="G47" s="9">
        <f>IF(I46&gt;0.75,SQRT(G46*H46),G46)</f>
        <v/>
      </c>
      <c r="H47" s="9">
        <f>IF(I46&gt;0.75,H46,SQRT(G46*H46))</f>
        <v/>
      </c>
      <c r="I47" s="42">
        <f>SUMPRODUCT($B$4:$B$6,1-NORMSDIST((LN(SQRT(G47*H47))-LN($C$4:$C$6))/$B$9))</f>
        <v/>
      </c>
      <c r="J47" s="9">
        <f>IF(L46&gt;0.25,SQRT(J46*K46),J46)</f>
        <v/>
      </c>
      <c r="K47" s="9">
        <f>IF(L46&gt;0.25,K46,SQRT(J46*K46))</f>
        <v/>
      </c>
      <c r="L47" s="42">
        <f>SUMPRODUCT($B$4:$B$6,1-NORMSDIST((LN(SQRT(J47*K47))-LN($C$4:$C$6))/$B$9))</f>
        <v/>
      </c>
      <c r="M47" s="9">
        <f>IF(O46&gt;0.09999999999999998,SQRT(M46*N46),M46)</f>
        <v/>
      </c>
      <c r="N47" s="9">
        <f>IF(O46&gt;0.09999999999999998,N46,SQRT(M46*N46))</f>
        <v/>
      </c>
      <c r="O47" s="42">
        <f>SUMPRODUCT($B$4:$B$6,1-NORMSDIST((LN(SQRT(M47*N47))-LN($C$4:$C$6))/$B$9))</f>
        <v/>
      </c>
    </row>
    <row r="48">
      <c r="A48" s="9">
        <f>IF(C47&gt;0.5,SQRT(A47*B47),A47)</f>
        <v/>
      </c>
      <c r="B48" s="9">
        <f>IF(C47&gt;0.5,B47,SQRT(A47*B47))</f>
        <v/>
      </c>
      <c r="C48" s="42">
        <f>SUMPRODUCT($B$4:$B$6,1-NORMSDIST((LN(SQRT(A48*B48))-LN($C$4:$C$6))/$B$9))</f>
        <v/>
      </c>
      <c r="D48" s="9">
        <f>IF(F47&gt;0.9,SQRT(D47*E47),D47)</f>
        <v/>
      </c>
      <c r="E48" s="9">
        <f>IF(F47&gt;0.9,E47,SQRT(D47*E47))</f>
        <v/>
      </c>
      <c r="F48" s="42">
        <f>SUMPRODUCT($B$4:$B$6,1-NORMSDIST((LN(SQRT(D48*E48))-LN($C$4:$C$6))/$B$9))</f>
        <v/>
      </c>
      <c r="G48" s="9">
        <f>IF(I47&gt;0.75,SQRT(G47*H47),G47)</f>
        <v/>
      </c>
      <c r="H48" s="9">
        <f>IF(I47&gt;0.75,H47,SQRT(G47*H47))</f>
        <v/>
      </c>
      <c r="I48" s="42">
        <f>SUMPRODUCT($B$4:$B$6,1-NORMSDIST((LN(SQRT(G48*H48))-LN($C$4:$C$6))/$B$9))</f>
        <v/>
      </c>
      <c r="J48" s="9">
        <f>IF(L47&gt;0.25,SQRT(J47*K47),J47)</f>
        <v/>
      </c>
      <c r="K48" s="9">
        <f>IF(L47&gt;0.25,K47,SQRT(J47*K47))</f>
        <v/>
      </c>
      <c r="L48" s="42">
        <f>SUMPRODUCT($B$4:$B$6,1-NORMSDIST((LN(SQRT(J48*K48))-LN($C$4:$C$6))/$B$9))</f>
        <v/>
      </c>
      <c r="M48" s="9">
        <f>IF(O47&gt;0.09999999999999998,SQRT(M47*N47),M47)</f>
        <v/>
      </c>
      <c r="N48" s="9">
        <f>IF(O47&gt;0.09999999999999998,N47,SQRT(M47*N47))</f>
        <v/>
      </c>
      <c r="O48" s="42">
        <f>SUMPRODUCT($B$4:$B$6,1-NORMSDIST((LN(SQRT(M48*N48))-LN($C$4:$C$6))/$B$9))</f>
        <v/>
      </c>
    </row>
    <row r="49">
      <c r="A49" s="9">
        <f>IF(C48&gt;0.5,SQRT(A48*B48),A48)</f>
        <v/>
      </c>
      <c r="B49" s="9">
        <f>IF(C48&gt;0.5,B48,SQRT(A48*B48))</f>
        <v/>
      </c>
      <c r="C49" s="42">
        <f>SUMPRODUCT($B$4:$B$6,1-NORMSDIST((LN(SQRT(A49*B49))-LN($C$4:$C$6))/$B$9))</f>
        <v/>
      </c>
      <c r="D49" s="9">
        <f>IF(F48&gt;0.9,SQRT(D48*E48),D48)</f>
        <v/>
      </c>
      <c r="E49" s="9">
        <f>IF(F48&gt;0.9,E48,SQRT(D48*E48))</f>
        <v/>
      </c>
      <c r="F49" s="42">
        <f>SUMPRODUCT($B$4:$B$6,1-NORMSDIST((LN(SQRT(D49*E49))-LN($C$4:$C$6))/$B$9))</f>
        <v/>
      </c>
      <c r="G49" s="9">
        <f>IF(I48&gt;0.75,SQRT(G48*H48),G48)</f>
        <v/>
      </c>
      <c r="H49" s="9">
        <f>IF(I48&gt;0.75,H48,SQRT(G48*H48))</f>
        <v/>
      </c>
      <c r="I49" s="42">
        <f>SUMPRODUCT($B$4:$B$6,1-NORMSDIST((LN(SQRT(G49*H49))-LN($C$4:$C$6))/$B$9))</f>
        <v/>
      </c>
      <c r="J49" s="9">
        <f>IF(L48&gt;0.25,SQRT(J48*K48),J48)</f>
        <v/>
      </c>
      <c r="K49" s="9">
        <f>IF(L48&gt;0.25,K48,SQRT(J48*K48))</f>
        <v/>
      </c>
      <c r="L49" s="42">
        <f>SUMPRODUCT($B$4:$B$6,1-NORMSDIST((LN(SQRT(J49*K49))-LN($C$4:$C$6))/$B$9))</f>
        <v/>
      </c>
      <c r="M49" s="9">
        <f>IF(O48&gt;0.09999999999999998,SQRT(M48*N48),M48)</f>
        <v/>
      </c>
      <c r="N49" s="9">
        <f>IF(O48&gt;0.09999999999999998,N48,SQRT(M48*N48))</f>
        <v/>
      </c>
      <c r="O49" s="42">
        <f>SUMPRODUCT($B$4:$B$6,1-NORMSDIST((LN(SQRT(M49*N49))-LN($C$4:$C$6))/$B$9))</f>
        <v/>
      </c>
    </row>
    <row r="50">
      <c r="A50" s="9">
        <f>IF(C49&gt;0.5,SQRT(A49*B49),A49)</f>
        <v/>
      </c>
      <c r="B50" s="9">
        <f>IF(C49&gt;0.5,B49,SQRT(A49*B49))</f>
        <v/>
      </c>
      <c r="C50" s="42">
        <f>SUMPRODUCT($B$4:$B$6,1-NORMSDIST((LN(SQRT(A50*B50))-LN($C$4:$C$6))/$B$9))</f>
        <v/>
      </c>
      <c r="D50" s="9">
        <f>IF(F49&gt;0.9,SQRT(D49*E49),D49)</f>
        <v/>
      </c>
      <c r="E50" s="9">
        <f>IF(F49&gt;0.9,E49,SQRT(D49*E49))</f>
        <v/>
      </c>
      <c r="F50" s="42">
        <f>SUMPRODUCT($B$4:$B$6,1-NORMSDIST((LN(SQRT(D50*E50))-LN($C$4:$C$6))/$B$9))</f>
        <v/>
      </c>
      <c r="G50" s="9">
        <f>IF(I49&gt;0.75,SQRT(G49*H49),G49)</f>
        <v/>
      </c>
      <c r="H50" s="9">
        <f>IF(I49&gt;0.75,H49,SQRT(G49*H49))</f>
        <v/>
      </c>
      <c r="I50" s="42">
        <f>SUMPRODUCT($B$4:$B$6,1-NORMSDIST((LN(SQRT(G50*H50))-LN($C$4:$C$6))/$B$9))</f>
        <v/>
      </c>
      <c r="J50" s="9">
        <f>IF(L49&gt;0.25,SQRT(J49*K49),J49)</f>
        <v/>
      </c>
      <c r="K50" s="9">
        <f>IF(L49&gt;0.25,K49,SQRT(J49*K49))</f>
        <v/>
      </c>
      <c r="L50" s="42">
        <f>SUMPRODUCT($B$4:$B$6,1-NORMSDIST((LN(SQRT(J50*K50))-LN($C$4:$C$6))/$B$9))</f>
        <v/>
      </c>
      <c r="M50" s="9">
        <f>IF(O49&gt;0.09999999999999998,SQRT(M49*N49),M49)</f>
        <v/>
      </c>
      <c r="N50" s="9">
        <f>IF(O49&gt;0.09999999999999998,N49,SQRT(M49*N49))</f>
        <v/>
      </c>
      <c r="O50" s="42">
        <f>SUMPRODUCT($B$4:$B$6,1-NORMSDIST((LN(SQRT(M50*N50))-LN($C$4:$C$6))/$B$9))</f>
        <v/>
      </c>
    </row>
    <row r="51">
      <c r="A51" s="9">
        <f>IF(C50&gt;0.5,SQRT(A50*B50),A50)</f>
        <v/>
      </c>
      <c r="B51" s="9">
        <f>IF(C50&gt;0.5,B50,SQRT(A50*B50))</f>
        <v/>
      </c>
      <c r="C51" s="42">
        <f>SUMPRODUCT($B$4:$B$6,1-NORMSDIST((LN(SQRT(A51*B51))-LN($C$4:$C$6))/$B$9))</f>
        <v/>
      </c>
      <c r="D51" s="9">
        <f>IF(F50&gt;0.9,SQRT(D50*E50),D50)</f>
        <v/>
      </c>
      <c r="E51" s="9">
        <f>IF(F50&gt;0.9,E50,SQRT(D50*E50))</f>
        <v/>
      </c>
      <c r="F51" s="42">
        <f>SUMPRODUCT($B$4:$B$6,1-NORMSDIST((LN(SQRT(D51*E51))-LN($C$4:$C$6))/$B$9))</f>
        <v/>
      </c>
      <c r="G51" s="9">
        <f>IF(I50&gt;0.75,SQRT(G50*H50),G50)</f>
        <v/>
      </c>
      <c r="H51" s="9">
        <f>IF(I50&gt;0.75,H50,SQRT(G50*H50))</f>
        <v/>
      </c>
      <c r="I51" s="42">
        <f>SUMPRODUCT($B$4:$B$6,1-NORMSDIST((LN(SQRT(G51*H51))-LN($C$4:$C$6))/$B$9))</f>
        <v/>
      </c>
      <c r="J51" s="9">
        <f>IF(L50&gt;0.25,SQRT(J50*K50),J50)</f>
        <v/>
      </c>
      <c r="K51" s="9">
        <f>IF(L50&gt;0.25,K50,SQRT(J50*K50))</f>
        <v/>
      </c>
      <c r="L51" s="42">
        <f>SUMPRODUCT($B$4:$B$6,1-NORMSDIST((LN(SQRT(J51*K51))-LN($C$4:$C$6))/$B$9))</f>
        <v/>
      </c>
      <c r="M51" s="9">
        <f>IF(O50&gt;0.09999999999999998,SQRT(M50*N50),M50)</f>
        <v/>
      </c>
      <c r="N51" s="9">
        <f>IF(O50&gt;0.09999999999999998,N50,SQRT(M50*N50))</f>
        <v/>
      </c>
      <c r="O51" s="42">
        <f>SUMPRODUCT($B$4:$B$6,1-NORMSDIST((LN(SQRT(M51*N51))-LN($C$4:$C$6))/$B$9))</f>
        <v/>
      </c>
    </row>
    <row r="52">
      <c r="A52" s="9">
        <f>IF(C51&gt;0.5,SQRT(A51*B51),A51)</f>
        <v/>
      </c>
      <c r="B52" s="9">
        <f>IF(C51&gt;0.5,B51,SQRT(A51*B51))</f>
        <v/>
      </c>
      <c r="C52" s="42">
        <f>SUMPRODUCT($B$4:$B$6,1-NORMSDIST((LN(SQRT(A52*B52))-LN($C$4:$C$6))/$B$9))</f>
        <v/>
      </c>
      <c r="D52" s="9">
        <f>IF(F51&gt;0.9,SQRT(D51*E51),D51)</f>
        <v/>
      </c>
      <c r="E52" s="9">
        <f>IF(F51&gt;0.9,E51,SQRT(D51*E51))</f>
        <v/>
      </c>
      <c r="F52" s="42">
        <f>SUMPRODUCT($B$4:$B$6,1-NORMSDIST((LN(SQRT(D52*E52))-LN($C$4:$C$6))/$B$9))</f>
        <v/>
      </c>
      <c r="G52" s="9">
        <f>IF(I51&gt;0.75,SQRT(G51*H51),G51)</f>
        <v/>
      </c>
      <c r="H52" s="9">
        <f>IF(I51&gt;0.75,H51,SQRT(G51*H51))</f>
        <v/>
      </c>
      <c r="I52" s="42">
        <f>SUMPRODUCT($B$4:$B$6,1-NORMSDIST((LN(SQRT(G52*H52))-LN($C$4:$C$6))/$B$9))</f>
        <v/>
      </c>
      <c r="J52" s="9">
        <f>IF(L51&gt;0.25,SQRT(J51*K51),J51)</f>
        <v/>
      </c>
      <c r="K52" s="9">
        <f>IF(L51&gt;0.25,K51,SQRT(J51*K51))</f>
        <v/>
      </c>
      <c r="L52" s="42">
        <f>SUMPRODUCT($B$4:$B$6,1-NORMSDIST((LN(SQRT(J52*K52))-LN($C$4:$C$6))/$B$9))</f>
        <v/>
      </c>
      <c r="M52" s="9">
        <f>IF(O51&gt;0.09999999999999998,SQRT(M51*N51),M51)</f>
        <v/>
      </c>
      <c r="N52" s="9">
        <f>IF(O51&gt;0.09999999999999998,N51,SQRT(M51*N51))</f>
        <v/>
      </c>
      <c r="O52" s="42">
        <f>SUMPRODUCT($B$4:$B$6,1-NORMSDIST((LN(SQRT(M52*N52))-LN($C$4:$C$6))/$B$9))</f>
        <v/>
      </c>
    </row>
    <row r="53">
      <c r="A53" s="9">
        <f>IF(C52&gt;0.5,SQRT(A52*B52),A52)</f>
        <v/>
      </c>
      <c r="B53" s="9">
        <f>IF(C52&gt;0.5,B52,SQRT(A52*B52))</f>
        <v/>
      </c>
      <c r="C53" s="42">
        <f>SUMPRODUCT($B$4:$B$6,1-NORMSDIST((LN(SQRT(A53*B53))-LN($C$4:$C$6))/$B$9))</f>
        <v/>
      </c>
      <c r="D53" s="9">
        <f>IF(F52&gt;0.9,SQRT(D52*E52),D52)</f>
        <v/>
      </c>
      <c r="E53" s="9">
        <f>IF(F52&gt;0.9,E52,SQRT(D52*E52))</f>
        <v/>
      </c>
      <c r="F53" s="42">
        <f>SUMPRODUCT($B$4:$B$6,1-NORMSDIST((LN(SQRT(D53*E53))-LN($C$4:$C$6))/$B$9))</f>
        <v/>
      </c>
      <c r="G53" s="9">
        <f>IF(I52&gt;0.75,SQRT(G52*H52),G52)</f>
        <v/>
      </c>
      <c r="H53" s="9">
        <f>IF(I52&gt;0.75,H52,SQRT(G52*H52))</f>
        <v/>
      </c>
      <c r="I53" s="42">
        <f>SUMPRODUCT($B$4:$B$6,1-NORMSDIST((LN(SQRT(G53*H53))-LN($C$4:$C$6))/$B$9))</f>
        <v/>
      </c>
      <c r="J53" s="9">
        <f>IF(L52&gt;0.25,SQRT(J52*K52),J52)</f>
        <v/>
      </c>
      <c r="K53" s="9">
        <f>IF(L52&gt;0.25,K52,SQRT(J52*K52))</f>
        <v/>
      </c>
      <c r="L53" s="42">
        <f>SUMPRODUCT($B$4:$B$6,1-NORMSDIST((LN(SQRT(J53*K53))-LN($C$4:$C$6))/$B$9))</f>
        <v/>
      </c>
      <c r="M53" s="9">
        <f>IF(O52&gt;0.09999999999999998,SQRT(M52*N52),M52)</f>
        <v/>
      </c>
      <c r="N53" s="9">
        <f>IF(O52&gt;0.09999999999999998,N52,SQRT(M52*N52))</f>
        <v/>
      </c>
      <c r="O53" s="42">
        <f>SUMPRODUCT($B$4:$B$6,1-NORMSDIST((LN(SQRT(M53*N53))-LN($C$4:$C$6))/$B$9))</f>
        <v/>
      </c>
    </row>
    <row r="54">
      <c r="A54" s="9">
        <f>IF(C53&gt;0.5,SQRT(A53*B53),A53)</f>
        <v/>
      </c>
      <c r="B54" s="9">
        <f>IF(C53&gt;0.5,B53,SQRT(A53*B53))</f>
        <v/>
      </c>
      <c r="C54" s="42">
        <f>SUMPRODUCT($B$4:$B$6,1-NORMSDIST((LN(SQRT(A54*B54))-LN($C$4:$C$6))/$B$9))</f>
        <v/>
      </c>
      <c r="D54" s="9">
        <f>IF(F53&gt;0.9,SQRT(D53*E53),D53)</f>
        <v/>
      </c>
      <c r="E54" s="9">
        <f>IF(F53&gt;0.9,E53,SQRT(D53*E53))</f>
        <v/>
      </c>
      <c r="F54" s="42">
        <f>SUMPRODUCT($B$4:$B$6,1-NORMSDIST((LN(SQRT(D54*E54))-LN($C$4:$C$6))/$B$9))</f>
        <v/>
      </c>
      <c r="G54" s="9">
        <f>IF(I53&gt;0.75,SQRT(G53*H53),G53)</f>
        <v/>
      </c>
      <c r="H54" s="9">
        <f>IF(I53&gt;0.75,H53,SQRT(G53*H53))</f>
        <v/>
      </c>
      <c r="I54" s="42">
        <f>SUMPRODUCT($B$4:$B$6,1-NORMSDIST((LN(SQRT(G54*H54))-LN($C$4:$C$6))/$B$9))</f>
        <v/>
      </c>
      <c r="J54" s="9">
        <f>IF(L53&gt;0.25,SQRT(J53*K53),J53)</f>
        <v/>
      </c>
      <c r="K54" s="9">
        <f>IF(L53&gt;0.25,K53,SQRT(J53*K53))</f>
        <v/>
      </c>
      <c r="L54" s="42">
        <f>SUMPRODUCT($B$4:$B$6,1-NORMSDIST((LN(SQRT(J54*K54))-LN($C$4:$C$6))/$B$9))</f>
        <v/>
      </c>
      <c r="M54" s="9">
        <f>IF(O53&gt;0.09999999999999998,SQRT(M53*N53),M53)</f>
        <v/>
      </c>
      <c r="N54" s="9">
        <f>IF(O53&gt;0.09999999999999998,N53,SQRT(M53*N53))</f>
        <v/>
      </c>
      <c r="O54" s="42">
        <f>SUMPRODUCT($B$4:$B$6,1-NORMSDIST((LN(SQRT(M54*N54))-LN($C$4:$C$6))/$B$9))</f>
        <v/>
      </c>
    </row>
    <row r="55">
      <c r="A55" s="9">
        <f>IF(C54&gt;0.5,SQRT(A54*B54),A54)</f>
        <v/>
      </c>
      <c r="B55" s="9">
        <f>IF(C54&gt;0.5,B54,SQRT(A54*B54))</f>
        <v/>
      </c>
      <c r="C55" s="42">
        <f>SUMPRODUCT($B$4:$B$6,1-NORMSDIST((LN(SQRT(A55*B55))-LN($C$4:$C$6))/$B$9))</f>
        <v/>
      </c>
      <c r="D55" s="9">
        <f>IF(F54&gt;0.9,SQRT(D54*E54),D54)</f>
        <v/>
      </c>
      <c r="E55" s="9">
        <f>IF(F54&gt;0.9,E54,SQRT(D54*E54))</f>
        <v/>
      </c>
      <c r="F55" s="42">
        <f>SUMPRODUCT($B$4:$B$6,1-NORMSDIST((LN(SQRT(D55*E55))-LN($C$4:$C$6))/$B$9))</f>
        <v/>
      </c>
      <c r="G55" s="9">
        <f>IF(I54&gt;0.75,SQRT(G54*H54),G54)</f>
        <v/>
      </c>
      <c r="H55" s="9">
        <f>IF(I54&gt;0.75,H54,SQRT(G54*H54))</f>
        <v/>
      </c>
      <c r="I55" s="42">
        <f>SUMPRODUCT($B$4:$B$6,1-NORMSDIST((LN(SQRT(G55*H55))-LN($C$4:$C$6))/$B$9))</f>
        <v/>
      </c>
      <c r="J55" s="9">
        <f>IF(L54&gt;0.25,SQRT(J54*K54),J54)</f>
        <v/>
      </c>
      <c r="K55" s="9">
        <f>IF(L54&gt;0.25,K54,SQRT(J54*K54))</f>
        <v/>
      </c>
      <c r="L55" s="42">
        <f>SUMPRODUCT($B$4:$B$6,1-NORMSDIST((LN(SQRT(J55*K55))-LN($C$4:$C$6))/$B$9))</f>
        <v/>
      </c>
      <c r="M55" s="9">
        <f>IF(O54&gt;0.09999999999999998,SQRT(M54*N54),M54)</f>
        <v/>
      </c>
      <c r="N55" s="9">
        <f>IF(O54&gt;0.09999999999999998,N54,SQRT(M54*N54))</f>
        <v/>
      </c>
      <c r="O55" s="42">
        <f>SUMPRODUCT($B$4:$B$6,1-NORMSDIST((LN(SQRT(M55*N55))-LN($C$4:$C$6))/$B$9))</f>
        <v/>
      </c>
    </row>
    <row r="56">
      <c r="A56" s="9">
        <f>IF(C55&gt;0.5,SQRT(A55*B55),A55)</f>
        <v/>
      </c>
      <c r="B56" s="9">
        <f>IF(C55&gt;0.5,B55,SQRT(A55*B55))</f>
        <v/>
      </c>
      <c r="C56" s="42">
        <f>SUMPRODUCT($B$4:$B$6,1-NORMSDIST((LN(SQRT(A56*B56))-LN($C$4:$C$6))/$B$9))</f>
        <v/>
      </c>
      <c r="D56" s="9">
        <f>IF(F55&gt;0.9,SQRT(D55*E55),D55)</f>
        <v/>
      </c>
      <c r="E56" s="9">
        <f>IF(F55&gt;0.9,E55,SQRT(D55*E55))</f>
        <v/>
      </c>
      <c r="F56" s="42">
        <f>SUMPRODUCT($B$4:$B$6,1-NORMSDIST((LN(SQRT(D56*E56))-LN($C$4:$C$6))/$B$9))</f>
        <v/>
      </c>
      <c r="G56" s="9">
        <f>IF(I55&gt;0.75,SQRT(G55*H55),G55)</f>
        <v/>
      </c>
      <c r="H56" s="9">
        <f>IF(I55&gt;0.75,H55,SQRT(G55*H55))</f>
        <v/>
      </c>
      <c r="I56" s="42">
        <f>SUMPRODUCT($B$4:$B$6,1-NORMSDIST((LN(SQRT(G56*H56))-LN($C$4:$C$6))/$B$9))</f>
        <v/>
      </c>
      <c r="J56" s="9">
        <f>IF(L55&gt;0.25,SQRT(J55*K55),J55)</f>
        <v/>
      </c>
      <c r="K56" s="9">
        <f>IF(L55&gt;0.25,K55,SQRT(J55*K55))</f>
        <v/>
      </c>
      <c r="L56" s="42">
        <f>SUMPRODUCT($B$4:$B$6,1-NORMSDIST((LN(SQRT(J56*K56))-LN($C$4:$C$6))/$B$9))</f>
        <v/>
      </c>
      <c r="M56" s="9">
        <f>IF(O55&gt;0.09999999999999998,SQRT(M55*N55),M55)</f>
        <v/>
      </c>
      <c r="N56" s="9">
        <f>IF(O55&gt;0.09999999999999998,N55,SQRT(M55*N55))</f>
        <v/>
      </c>
      <c r="O56" s="42">
        <f>SUMPRODUCT($B$4:$B$6,1-NORMSDIST((LN(SQRT(M56*N56))-LN($C$4:$C$6))/$B$9))</f>
        <v/>
      </c>
    </row>
    <row r="57">
      <c r="A57" s="9">
        <f>IF(C56&gt;0.5,SQRT(A56*B56),A56)</f>
        <v/>
      </c>
      <c r="B57" s="9">
        <f>IF(C56&gt;0.5,B56,SQRT(A56*B56))</f>
        <v/>
      </c>
      <c r="C57" s="42">
        <f>SUMPRODUCT($B$4:$B$6,1-NORMSDIST((LN(SQRT(A57*B57))-LN($C$4:$C$6))/$B$9))</f>
        <v/>
      </c>
      <c r="D57" s="9">
        <f>IF(F56&gt;0.9,SQRT(D56*E56),D56)</f>
        <v/>
      </c>
      <c r="E57" s="9">
        <f>IF(F56&gt;0.9,E56,SQRT(D56*E56))</f>
        <v/>
      </c>
      <c r="F57" s="42">
        <f>SUMPRODUCT($B$4:$B$6,1-NORMSDIST((LN(SQRT(D57*E57))-LN($C$4:$C$6))/$B$9))</f>
        <v/>
      </c>
      <c r="G57" s="9">
        <f>IF(I56&gt;0.75,SQRT(G56*H56),G56)</f>
        <v/>
      </c>
      <c r="H57" s="9">
        <f>IF(I56&gt;0.75,H56,SQRT(G56*H56))</f>
        <v/>
      </c>
      <c r="I57" s="42">
        <f>SUMPRODUCT($B$4:$B$6,1-NORMSDIST((LN(SQRT(G57*H57))-LN($C$4:$C$6))/$B$9))</f>
        <v/>
      </c>
      <c r="J57" s="9">
        <f>IF(L56&gt;0.25,SQRT(J56*K56),J56)</f>
        <v/>
      </c>
      <c r="K57" s="9">
        <f>IF(L56&gt;0.25,K56,SQRT(J56*K56))</f>
        <v/>
      </c>
      <c r="L57" s="42">
        <f>SUMPRODUCT($B$4:$B$6,1-NORMSDIST((LN(SQRT(J57*K57))-LN($C$4:$C$6))/$B$9))</f>
        <v/>
      </c>
      <c r="M57" s="9">
        <f>IF(O56&gt;0.09999999999999998,SQRT(M56*N56),M56)</f>
        <v/>
      </c>
      <c r="N57" s="9">
        <f>IF(O56&gt;0.09999999999999998,N56,SQRT(M56*N56))</f>
        <v/>
      </c>
      <c r="O57" s="42">
        <f>SUMPRODUCT($B$4:$B$6,1-NORMSDIST((LN(SQRT(M57*N57))-LN($C$4:$C$6))/$B$9))</f>
        <v/>
      </c>
    </row>
    <row r="58">
      <c r="A58" s="9">
        <f>IF(C57&gt;0.5,SQRT(A57*B57),A57)</f>
        <v/>
      </c>
      <c r="B58" s="9">
        <f>IF(C57&gt;0.5,B57,SQRT(A57*B57))</f>
        <v/>
      </c>
      <c r="C58" s="42">
        <f>SUMPRODUCT($B$4:$B$6,1-NORMSDIST((LN(SQRT(A58*B58))-LN($C$4:$C$6))/$B$9))</f>
        <v/>
      </c>
      <c r="D58" s="9">
        <f>IF(F57&gt;0.9,SQRT(D57*E57),D57)</f>
        <v/>
      </c>
      <c r="E58" s="9">
        <f>IF(F57&gt;0.9,E57,SQRT(D57*E57))</f>
        <v/>
      </c>
      <c r="F58" s="42">
        <f>SUMPRODUCT($B$4:$B$6,1-NORMSDIST((LN(SQRT(D58*E58))-LN($C$4:$C$6))/$B$9))</f>
        <v/>
      </c>
      <c r="G58" s="9">
        <f>IF(I57&gt;0.75,SQRT(G57*H57),G57)</f>
        <v/>
      </c>
      <c r="H58" s="9">
        <f>IF(I57&gt;0.75,H57,SQRT(G57*H57))</f>
        <v/>
      </c>
      <c r="I58" s="42">
        <f>SUMPRODUCT($B$4:$B$6,1-NORMSDIST((LN(SQRT(G58*H58))-LN($C$4:$C$6))/$B$9))</f>
        <v/>
      </c>
      <c r="J58" s="9">
        <f>IF(L57&gt;0.25,SQRT(J57*K57),J57)</f>
        <v/>
      </c>
      <c r="K58" s="9">
        <f>IF(L57&gt;0.25,K57,SQRT(J57*K57))</f>
        <v/>
      </c>
      <c r="L58" s="42">
        <f>SUMPRODUCT($B$4:$B$6,1-NORMSDIST((LN(SQRT(J58*K58))-LN($C$4:$C$6))/$B$9))</f>
        <v/>
      </c>
      <c r="M58" s="9">
        <f>IF(O57&gt;0.09999999999999998,SQRT(M57*N57),M57)</f>
        <v/>
      </c>
      <c r="N58" s="9">
        <f>IF(O57&gt;0.09999999999999998,N57,SQRT(M57*N57))</f>
        <v/>
      </c>
      <c r="O58" s="42">
        <f>SUMPRODUCT($B$4:$B$6,1-NORMSDIST((LN(SQRT(M58*N58))-LN($C$4:$C$6))/$B$9))</f>
        <v/>
      </c>
    </row>
    <row r="59">
      <c r="A59" s="9">
        <f>IF(C58&gt;0.5,SQRT(A58*B58),A58)</f>
        <v/>
      </c>
      <c r="B59" s="9">
        <f>IF(C58&gt;0.5,B58,SQRT(A58*B58))</f>
        <v/>
      </c>
      <c r="C59" s="42">
        <f>SUMPRODUCT($B$4:$B$6,1-NORMSDIST((LN(SQRT(A59*B59))-LN($C$4:$C$6))/$B$9))</f>
        <v/>
      </c>
      <c r="D59" s="9">
        <f>IF(F58&gt;0.9,SQRT(D58*E58),D58)</f>
        <v/>
      </c>
      <c r="E59" s="9">
        <f>IF(F58&gt;0.9,E58,SQRT(D58*E58))</f>
        <v/>
      </c>
      <c r="F59" s="42">
        <f>SUMPRODUCT($B$4:$B$6,1-NORMSDIST((LN(SQRT(D59*E59))-LN($C$4:$C$6))/$B$9))</f>
        <v/>
      </c>
      <c r="G59" s="9">
        <f>IF(I58&gt;0.75,SQRT(G58*H58),G58)</f>
        <v/>
      </c>
      <c r="H59" s="9">
        <f>IF(I58&gt;0.75,H58,SQRT(G58*H58))</f>
        <v/>
      </c>
      <c r="I59" s="42">
        <f>SUMPRODUCT($B$4:$B$6,1-NORMSDIST((LN(SQRT(G59*H59))-LN($C$4:$C$6))/$B$9))</f>
        <v/>
      </c>
      <c r="J59" s="9">
        <f>IF(L58&gt;0.25,SQRT(J58*K58),J58)</f>
        <v/>
      </c>
      <c r="K59" s="9">
        <f>IF(L58&gt;0.25,K58,SQRT(J58*K58))</f>
        <v/>
      </c>
      <c r="L59" s="42">
        <f>SUMPRODUCT($B$4:$B$6,1-NORMSDIST((LN(SQRT(J59*K59))-LN($C$4:$C$6))/$B$9))</f>
        <v/>
      </c>
      <c r="M59" s="9">
        <f>IF(O58&gt;0.09999999999999998,SQRT(M58*N58),M58)</f>
        <v/>
      </c>
      <c r="N59" s="9">
        <f>IF(O58&gt;0.09999999999999998,N58,SQRT(M58*N58))</f>
        <v/>
      </c>
      <c r="O59" s="42">
        <f>SUMPRODUCT($B$4:$B$6,1-NORMSDIST((LN(SQRT(M59*N59))-LN($C$4:$C$6))/$B$9))</f>
        <v/>
      </c>
    </row>
    <row r="60">
      <c r="A60" s="9">
        <f>IF(C59&gt;0.5,SQRT(A59*B59),A59)</f>
        <v/>
      </c>
      <c r="B60" s="9">
        <f>IF(C59&gt;0.5,B59,SQRT(A59*B59))</f>
        <v/>
      </c>
      <c r="C60" s="42">
        <f>SUMPRODUCT($B$4:$B$6,1-NORMSDIST((LN(SQRT(A60*B60))-LN($C$4:$C$6))/$B$9))</f>
        <v/>
      </c>
      <c r="D60" s="9">
        <f>IF(F59&gt;0.9,SQRT(D59*E59),D59)</f>
        <v/>
      </c>
      <c r="E60" s="9">
        <f>IF(F59&gt;0.9,E59,SQRT(D59*E59))</f>
        <v/>
      </c>
      <c r="F60" s="42">
        <f>SUMPRODUCT($B$4:$B$6,1-NORMSDIST((LN(SQRT(D60*E60))-LN($C$4:$C$6))/$B$9))</f>
        <v/>
      </c>
      <c r="G60" s="9">
        <f>IF(I59&gt;0.75,SQRT(G59*H59),G59)</f>
        <v/>
      </c>
      <c r="H60" s="9">
        <f>IF(I59&gt;0.75,H59,SQRT(G59*H59))</f>
        <v/>
      </c>
      <c r="I60" s="42">
        <f>SUMPRODUCT($B$4:$B$6,1-NORMSDIST((LN(SQRT(G60*H60))-LN($C$4:$C$6))/$B$9))</f>
        <v/>
      </c>
      <c r="J60" s="9">
        <f>IF(L59&gt;0.25,SQRT(J59*K59),J59)</f>
        <v/>
      </c>
      <c r="K60" s="9">
        <f>IF(L59&gt;0.25,K59,SQRT(J59*K59))</f>
        <v/>
      </c>
      <c r="L60" s="42">
        <f>SUMPRODUCT($B$4:$B$6,1-NORMSDIST((LN(SQRT(J60*K60))-LN($C$4:$C$6))/$B$9))</f>
        <v/>
      </c>
      <c r="M60" s="9">
        <f>IF(O59&gt;0.09999999999999998,SQRT(M59*N59),M59)</f>
        <v/>
      </c>
      <c r="N60" s="9">
        <f>IF(O59&gt;0.09999999999999998,N59,SQRT(M59*N59))</f>
        <v/>
      </c>
      <c r="O60" s="42">
        <f>SUMPRODUCT($B$4:$B$6,1-NORMSDIST((LN(SQRT(M60*N60))-LN($C$4:$C$6))/$B$9))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42"/>
  <sheetViews>
    <sheetView showGridLines="0" workbookViewId="0">
      <pane xSplit="1" ySplit="18" topLeftCell="B1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>
      <c r="A1" s="1" t="inlineStr">
        <is>
          <t>VST engine calculation: research target (12m) (reconciled set, no scenario deltas)</t>
        </is>
      </c>
    </row>
    <row r="2">
      <c r="A2" s="2" t="inlineStr">
        <is>
          <t>Machinery behind the Valuation and Distribution tabs; drivers come from Model, assumptions from Valuation.</t>
        </is>
      </c>
    </row>
    <row r="4">
      <c r="A4" t="inlineStr">
        <is>
          <t>Scenario Growth Δ</t>
        </is>
      </c>
      <c r="B4" s="16" t="n">
        <v>0</v>
      </c>
    </row>
    <row r="5">
      <c r="A5" t="inlineStr">
        <is>
          <t>Scenario Margin Δ</t>
        </is>
      </c>
      <c r="B5" s="16" t="n">
        <v>0</v>
      </c>
    </row>
    <row r="6">
      <c r="A6" t="inlineStr">
        <is>
          <t>Scenario Multiple Δ (turns)</t>
        </is>
      </c>
      <c r="B6" s="43" t="n">
        <v>0</v>
      </c>
    </row>
    <row r="7">
      <c r="A7" t="inlineStr">
        <is>
          <t>Scenario WACC Δ</t>
        </is>
      </c>
      <c r="B7" s="16" t="n">
        <v>0</v>
      </c>
    </row>
    <row r="8">
      <c r="A8" t="inlineStr">
        <is>
          <t>Scenario Multiple %Δ</t>
        </is>
      </c>
      <c r="B8" s="16" t="n">
        <v>0</v>
      </c>
    </row>
    <row r="9">
      <c r="A9" t="inlineStr">
        <is>
          <t>Scenario Stated EPS/FCF %Δ</t>
        </is>
      </c>
      <c r="B9" s="16" t="n">
        <v>0</v>
      </c>
    </row>
    <row r="10">
      <c r="A10" t="inlineStr">
        <is>
          <t>Scenario Custom %Δ</t>
        </is>
      </c>
      <c r="B10" s="16" t="n">
        <v>0</v>
      </c>
    </row>
    <row r="12">
      <c r="A12" t="inlineStr">
        <is>
          <t>WACC</t>
        </is>
      </c>
      <c r="B12" s="16">
        <f>Valuation!$B$50+B7</f>
        <v/>
      </c>
    </row>
    <row r="13">
      <c r="A13" t="inlineStr">
        <is>
          <t>Years from last FY end to target date</t>
        </is>
      </c>
      <c r="B13" s="44">
        <f>(Valuation!$B$44-Valuation!$B$48)/365.25</f>
        <v/>
      </c>
    </row>
    <row r="14">
      <c r="A14" t="inlineStr">
        <is>
          <t>Years from last FY end to balance date</t>
        </is>
      </c>
      <c r="B14" s="44">
        <f>(Valuation!$B$54-Valuation!$B$48)/365.25</f>
        <v/>
      </c>
    </row>
    <row r="15">
      <c r="A15" t="inlineStr">
        <is>
          <t>Years from last FY end to share count date</t>
        </is>
      </c>
      <c r="B15" s="44">
        <f>(Valuation!$B$60-Valuation!$B$48)/365.25</f>
        <v/>
      </c>
    </row>
    <row r="16">
      <c r="A16" t="inlineStr">
        <is>
          <t>Projected years</t>
        </is>
      </c>
      <c r="B16" t="n">
        <v>3</v>
      </c>
    </row>
    <row r="18">
      <c r="A18" s="3" t="inlineStr">
        <is>
          <t>Projection</t>
        </is>
      </c>
      <c r="B18" s="3" t="inlineStr">
        <is>
          <t>Base</t>
        </is>
      </c>
      <c r="C18" s="3">
        <f>Model!E5</f>
        <v/>
      </c>
      <c r="D18" s="3">
        <f>Model!F5</f>
        <v/>
      </c>
      <c r="E18" s="3">
        <f>Model!G5</f>
        <v/>
      </c>
    </row>
    <row r="19">
      <c r="A19" t="inlineStr">
        <is>
          <t>Year index</t>
        </is>
      </c>
      <c r="B19" t="n">
        <v>0</v>
      </c>
      <c r="C19" t="n">
        <v>1</v>
      </c>
      <c r="D19" t="n">
        <v>2</v>
      </c>
      <c r="E19" t="n">
        <v>3</v>
      </c>
    </row>
    <row r="20">
      <c r="A20" t="inlineStr">
        <is>
          <t>Period end</t>
        </is>
      </c>
      <c r="C20" s="18">
        <f>Valuation!$B$48+ROUND(365.25*C19,0)</f>
        <v/>
      </c>
      <c r="D20" s="18">
        <f>Valuation!$B$48+ROUND(365.25*D19,0)</f>
        <v/>
      </c>
      <c r="E20" s="18">
        <f>Valuation!$B$48+ROUND(365.25*E19,0)</f>
        <v/>
      </c>
    </row>
    <row r="21">
      <c r="A21" t="inlineStr">
        <is>
          <t>Revenue growth</t>
        </is>
      </c>
      <c r="C21" s="16">
        <f>C22/B22-1</f>
        <v/>
      </c>
      <c r="D21" s="16">
        <f>D22/C22-1</f>
        <v/>
      </c>
      <c r="E21" s="16">
        <f>E22/D22-1</f>
        <v/>
      </c>
    </row>
    <row r="22">
      <c r="A22" t="inlineStr">
        <is>
          <t>Revenue</t>
        </is>
      </c>
      <c r="B22" s="21">
        <f>Valuation!$B$49</f>
        <v/>
      </c>
      <c r="C22" s="21">
        <f>C139</f>
        <v/>
      </c>
      <c r="D22" s="21">
        <f>D139</f>
        <v/>
      </c>
      <c r="E22" s="21">
        <f>E139</f>
        <v/>
      </c>
    </row>
    <row r="23">
      <c r="A23" t="inlineStr">
        <is>
          <t>EBIT margin</t>
        </is>
      </c>
      <c r="C23" s="16">
        <f>C24/C22</f>
        <v/>
      </c>
      <c r="D23" s="16">
        <f>D24/D22</f>
        <v/>
      </c>
      <c r="E23" s="16">
        <f>E24/E22</f>
        <v/>
      </c>
    </row>
    <row r="24">
      <c r="A24" t="inlineStr">
        <is>
          <t>EBIT</t>
        </is>
      </c>
      <c r="C24" s="21">
        <f>C142</f>
        <v/>
      </c>
      <c r="D24" s="21">
        <f>D142</f>
        <v/>
      </c>
      <c r="E24" s="21">
        <f>E142</f>
        <v/>
      </c>
    </row>
    <row r="25">
      <c r="A25" t="inlineStr">
        <is>
          <t>Tax rate</t>
        </is>
      </c>
      <c r="C25" s="16">
        <f>Model!E63</f>
        <v/>
      </c>
      <c r="D25" s="16">
        <f>Model!F63</f>
        <v/>
      </c>
      <c r="E25" s="16">
        <f>Model!G63</f>
        <v/>
      </c>
    </row>
    <row r="26">
      <c r="A26" t="inlineStr">
        <is>
          <t>NOPAT</t>
        </is>
      </c>
      <c r="C26" s="21">
        <f>C24*(1-C25)</f>
        <v/>
      </c>
      <c r="D26" s="21">
        <f>D24*(1-D25)</f>
        <v/>
      </c>
      <c r="E26" s="21">
        <f>E24*(1-E25)</f>
        <v/>
      </c>
    </row>
    <row r="27">
      <c r="A27" t="inlineStr">
        <is>
          <t>D&amp;A</t>
        </is>
      </c>
      <c r="C27" s="21">
        <f>C22*(Model!E64)</f>
        <v/>
      </c>
      <c r="D27" s="21">
        <f>D22*(Model!F64)</f>
        <v/>
      </c>
      <c r="E27" s="21">
        <f>E22*(Model!G64)</f>
        <v/>
      </c>
    </row>
    <row r="28">
      <c r="A28" t="inlineStr">
        <is>
          <t>Capex</t>
        </is>
      </c>
      <c r="C28" s="21">
        <f>C22*(Model!E65)</f>
        <v/>
      </c>
      <c r="D28" s="21">
        <f>D22*(Model!F65)</f>
        <v/>
      </c>
      <c r="E28" s="21">
        <f>E22*(Model!G65)</f>
        <v/>
      </c>
    </row>
    <row r="29">
      <c r="A29" t="inlineStr">
        <is>
          <t>Working capital increase</t>
        </is>
      </c>
      <c r="C29" s="21">
        <f>(Model!E66)*(C22-B22)</f>
        <v/>
      </c>
      <c r="D29" s="21">
        <f>(Model!F66)*(D22-C22)</f>
        <v/>
      </c>
      <c r="E29" s="21">
        <f>(Model!G66)*(E22-D22)</f>
        <v/>
      </c>
    </row>
    <row r="30">
      <c r="A30" t="inlineStr">
        <is>
          <t>Stock comp</t>
        </is>
      </c>
      <c r="C30" s="21">
        <f>C22*(Model!E67)</f>
        <v/>
      </c>
      <c r="D30" s="21">
        <f>D22*(Model!F67)</f>
        <v/>
      </c>
      <c r="E30" s="21">
        <f>E22*(Model!G67)</f>
        <v/>
      </c>
    </row>
    <row r="31">
      <c r="A31" t="inlineStr">
        <is>
          <t>Free cash flow to firm</t>
        </is>
      </c>
      <c r="C31" s="21">
        <f>C26+C27-C28-C29-IF(AND(Valuation!$B$46="adjusted",Valuation!$B$47="cost"),C30*(1-C25),0)</f>
        <v/>
      </c>
      <c r="D31" s="21">
        <f>D26+D27-D28-D29-IF(AND(Valuation!$B$46="adjusted",Valuation!$B$47="cost"),D30*(1-D25),0)</f>
        <v/>
      </c>
      <c r="E31" s="21">
        <f>E26+E27-E28-E29-IF(AND(Valuation!$B$46="adjusted",Valuation!$B$47="cost"),E30*(1-E25),0)</f>
        <v/>
      </c>
    </row>
    <row r="32">
      <c r="A32" t="inlineStr">
        <is>
          <t>EBITDA</t>
        </is>
      </c>
      <c r="C32" s="21">
        <f>C24+C27</f>
        <v/>
      </c>
      <c r="D32" s="21">
        <f>D24+D27</f>
        <v/>
      </c>
      <c r="E32" s="21">
        <f>E24+E27</f>
        <v/>
      </c>
    </row>
    <row r="33">
      <c r="A33" t="inlineStr">
        <is>
          <t>Adj. EBITDA</t>
        </is>
      </c>
      <c r="C33" s="21">
        <f>C24+C27+C22*(Model!E71)</f>
        <v/>
      </c>
      <c r="D33" s="21">
        <f>D24+D27+D22*(Model!F71)</f>
        <v/>
      </c>
      <c r="E33" s="21">
        <f>E24+E27+E22*(Model!G71)</f>
        <v/>
      </c>
    </row>
    <row r="34">
      <c r="A34" t="inlineStr">
        <is>
          <t>Shareholder returns + other uses</t>
        </is>
      </c>
      <c r="C34" s="21">
        <f>C22*Model!E69+Model!E68+Model!E70</f>
        <v/>
      </c>
      <c r="D34" s="21">
        <f>D22*Model!F69+Model!F68+Model!F70</f>
        <v/>
      </c>
      <c r="E34" s="21">
        <f>E22*Model!G69+Model!G68+Model!G70</f>
        <v/>
      </c>
    </row>
    <row r="35">
      <c r="A35" t="inlineStr">
        <is>
          <t>Share of year after target date</t>
        </is>
      </c>
      <c r="C35" s="44">
        <f>IF(C19&lt;=$B$13,0,C19-MAX(C19-1,$B$13))</f>
        <v/>
      </c>
      <c r="D35" s="44">
        <f>IF(D19&lt;=$B$13,0,D19-MAX(D19-1,$B$13))</f>
        <v/>
      </c>
      <c r="E35" s="44">
        <f>IF(E19&lt;=$B$13,0,E19-MAX(E19-1,$B$13))</f>
        <v/>
      </c>
    </row>
    <row r="36">
      <c r="A36" t="inlineStr">
        <is>
          <t>PV at target date of FCFF</t>
        </is>
      </c>
      <c r="C36" s="21">
        <f>IF(C35=0,0,C31*C35/(1+$B$12)^(C19-$B$13))</f>
        <v/>
      </c>
      <c r="D36" s="21">
        <f>IF(D35=0,0,D31*D35/(1+$B$12)^(D19-$B$13))</f>
        <v/>
      </c>
      <c r="E36" s="21">
        <f>IF(E35=0,0,E31*E35/(1+$B$12)^(E19-$B$13))</f>
        <v/>
      </c>
    </row>
    <row r="37">
      <c r="A37" t="inlineStr">
        <is>
          <t>Overlap: balance date to target date</t>
        </is>
      </c>
      <c r="C37" s="44">
        <f>MAX(0,MIN(C19,$B$13)-MAX(C19-1,$B$14))</f>
        <v/>
      </c>
      <c r="D37" s="44">
        <f>MAX(0,MIN(D19,$B$13)-MAX(D19-1,$B$14))</f>
        <v/>
      </c>
      <c r="E37" s="44">
        <f>MAX(0,MIN(E19,$B$13)-MAX(E19-1,$B$14))</f>
        <v/>
      </c>
    </row>
    <row r="38">
      <c r="A38" t="inlineStr">
        <is>
          <t>NTM weight at target date</t>
        </is>
      </c>
      <c r="C38" s="44">
        <f>MAX(0,MIN(C19,$B$13+1)-MAX(C19-1,$B$13))</f>
        <v/>
      </c>
      <c r="D38" s="44">
        <f>MAX(0,MIN(D19,$B$13+1)-MAX(D19-1,$B$13))</f>
        <v/>
      </c>
      <c r="E38" s="44">
        <f>MAX(0,MIN(E19,$B$13+1)-MAX(E19-1,$B$13))</f>
        <v/>
      </c>
    </row>
    <row r="39">
      <c r="A39" t="inlineStr">
        <is>
          <t>LTM weight at target date</t>
        </is>
      </c>
      <c r="B39" s="44">
        <f>MAX(0,MIN(0,$B$13)-MAX(-1,$B$13-1))</f>
        <v/>
      </c>
      <c r="C39" s="44">
        <f>MAX(0,MIN(C19,$B$13)-MAX(C19-1,$B$13-1))</f>
        <v/>
      </c>
      <c r="D39" s="44">
        <f>MAX(0,MIN(D19,$B$13)-MAX(D19-1,$B$13-1))</f>
        <v/>
      </c>
      <c r="E39" s="44">
        <f>MAX(0,MIN(E19,$B$13)-MAX(E19-1,$B$13-1))</f>
        <v/>
      </c>
    </row>
    <row r="41">
      <c r="A41" s="17" t="inlineStr">
        <is>
          <t>Value at the target date</t>
        </is>
      </c>
    </row>
    <row r="42">
      <c r="A42" t="inlineStr">
        <is>
          <t>PV of free cash flow after the target date</t>
        </is>
      </c>
      <c r="B42" s="21">
        <f>SUM($C$36:$E$36)</f>
        <v/>
      </c>
    </row>
    <row r="43">
      <c r="A43" t="inlineStr">
        <is>
          <t>Terminal value at final year</t>
        </is>
      </c>
      <c r="B43" s="21">
        <f>IF(Valuation!$B$51="exit_multiple",Valuation!$B$53*E32,E31*(1+Valuation!$B$52)/($B$12-Valuation!$B$52))</f>
        <v/>
      </c>
    </row>
    <row r="44">
      <c r="A44" t="inlineStr">
        <is>
          <t>PV of terminal value at target date</t>
        </is>
      </c>
      <c r="B44" s="21">
        <f>B43/(1+$B$12)^($B$16-$B$13)</f>
        <v/>
      </c>
    </row>
    <row r="45">
      <c r="A45" t="inlineStr">
        <is>
          <t>DCF enterprise value at target date</t>
        </is>
      </c>
      <c r="B45" s="21">
        <f>B42+B44</f>
        <v/>
      </c>
    </row>
    <row r="46">
      <c r="A46" t="inlineStr">
        <is>
          <t>Terminal value share of DCF</t>
        </is>
      </c>
      <c r="B46" s="16">
        <f>B44/B45</f>
        <v/>
      </c>
    </row>
    <row r="47">
      <c r="A47" t="inlineStr">
        <is>
          <t>Free cash flow earned, balance date to target date</t>
        </is>
      </c>
      <c r="B47" s="21">
        <f>SUMPRODUCT($C$37:$E$37,$C$31:$E$31)</f>
        <v/>
      </c>
    </row>
    <row r="48">
      <c r="A48" t="inlineStr">
        <is>
          <t>Shareholder returns + other uses paid</t>
        </is>
      </c>
      <c r="B48" s="21">
        <f>SUMPRODUCT($C$37:$E$37,$C$34:$E$34)</f>
        <v/>
      </c>
    </row>
    <row r="49">
      <c r="A49" t="inlineStr">
        <is>
          <t>Interest drag on net debt</t>
        </is>
      </c>
      <c r="B49" s="21">
        <f>Valuation!$B$57*(1-$C$25)*MAX(Valuation!$B$55,0)*MAX($B$13-$B$14,0)</f>
        <v/>
      </c>
    </row>
    <row r="50">
      <c r="A50" t="inlineStr">
        <is>
          <t>Net debt at target date</t>
        </is>
      </c>
      <c r="B50" s="21">
        <f>IF(Valuation!$B$58="",Valuation!$B$55-B47+B49+B48,Valuation!$B$58)</f>
        <v/>
      </c>
    </row>
    <row r="51">
      <c r="A51" t="inlineStr">
        <is>
          <t>Minority interests</t>
        </is>
      </c>
      <c r="B51" s="21">
        <f>Valuation!$B$56</f>
        <v/>
      </c>
    </row>
    <row r="52">
      <c r="A52" t="inlineStr">
        <is>
          <t>Adjustments (probability-weighted)</t>
        </is>
      </c>
      <c r="B52" s="21">
        <f>(Valuation!B75)*Valuation!C75+0</f>
        <v/>
      </c>
    </row>
    <row r="53">
      <c r="A53" t="inlineStr">
        <is>
          <t>Diluted shares at target date (M)</t>
        </is>
      </c>
      <c r="B53" s="26">
        <f>IF(Valuation!$B$62="",Valuation!$B$59*(1+Valuation!$B$61)^MAX($B$13-$B$15,0),Valuation!$B$62)</f>
        <v/>
      </c>
    </row>
    <row r="54">
      <c r="A54" t="inlineStr">
        <is>
          <t>After-tax interest on target-date net debt</t>
        </is>
      </c>
      <c r="B54" s="21">
        <f>Valuation!$B$57*(1-$C$25)*MAX(B50,0)</f>
        <v/>
      </c>
    </row>
    <row r="55">
      <c r="A55" t="inlineStr">
        <is>
          <t>Check: WACC vs terminal growth</t>
        </is>
      </c>
      <c r="B55">
        <f>IF(AND(Valuation!$B$51&lt;&gt;"exit_multiple",$B$12&lt;=Valuation!$B$52+0.01),"WACC must exceed terminal growth by 1 point","ok")</f>
        <v/>
      </c>
    </row>
    <row r="56">
      <c r="A56" t="inlineStr">
        <is>
          <t>Check: projection length</t>
        </is>
      </c>
      <c r="B56">
        <f>IF(OR($B$13&gt;=$B$16-1,$B$13+1&gt;$B$16),"add projected years past the target date","ok")</f>
        <v/>
      </c>
    </row>
    <row r="58">
      <c r="A58" s="3" t="inlineStr">
        <is>
          <t>Metric at target date</t>
        </is>
      </c>
      <c r="B58" s="3" t="inlineStr">
        <is>
          <t>Next 12 months</t>
        </is>
      </c>
      <c r="C58" s="3" t="inlineStr">
        <is>
          <t>Last 12 months</t>
        </is>
      </c>
    </row>
    <row r="59">
      <c r="A59" t="inlineStr">
        <is>
          <t>Revenue</t>
        </is>
      </c>
      <c r="B59" s="21">
        <f>SUMPRODUCT($C$38:$E$38,$C$22:$E$22)</f>
        <v/>
      </c>
      <c r="C59" s="21">
        <f>SUMPRODUCT($C$39:$E$39,$C$22:$E$22)+$B$39*$B$22</f>
        <v/>
      </c>
    </row>
    <row r="60">
      <c r="A60" t="inlineStr">
        <is>
          <t>EBIT</t>
        </is>
      </c>
      <c r="B60" s="21">
        <f>SUMPRODUCT($C$38:$E$38,$C$24:$E$24)</f>
        <v/>
      </c>
      <c r="C60" s="21">
        <f>SUMPRODUCT($C$39:$E$39,$C$24:$E$24)</f>
        <v/>
      </c>
    </row>
    <row r="61">
      <c r="A61" t="inlineStr">
        <is>
          <t>EBITDA</t>
        </is>
      </c>
      <c r="B61" s="21">
        <f>SUMPRODUCT($C$38:$E$38,$C$32:$E$32)</f>
        <v/>
      </c>
      <c r="C61" s="21">
        <f>SUMPRODUCT($C$39:$E$39,$C$32:$E$32)</f>
        <v/>
      </c>
    </row>
    <row r="62">
      <c r="A62" t="inlineStr">
        <is>
          <t>Adj. EBITDA</t>
        </is>
      </c>
      <c r="B62" s="21">
        <f>SUMPRODUCT($C$38:$E$38,$C$33:$E$33)</f>
        <v/>
      </c>
      <c r="C62" s="21">
        <f>SUMPRODUCT($C$39:$E$39,$C$33:$E$33)</f>
        <v/>
      </c>
    </row>
    <row r="63">
      <c r="A63" t="inlineStr">
        <is>
          <t>NOPAT</t>
        </is>
      </c>
      <c r="B63" s="21">
        <f>SUMPRODUCT($C$38:$E$38,$C$26:$E$26)</f>
        <v/>
      </c>
      <c r="C63" s="21">
        <f>SUMPRODUCT($C$39:$E$39,$C$26:$E$26)</f>
        <v/>
      </c>
    </row>
    <row r="64">
      <c r="A64" t="inlineStr">
        <is>
          <t>Free cash flow to firm</t>
        </is>
      </c>
      <c r="B64" s="21">
        <f>SUMPRODUCT($C$38:$E$38,$C$31:$E$31)</f>
        <v/>
      </c>
      <c r="C64" s="21">
        <f>SUMPRODUCT($C$39:$E$39,$C$31:$E$31)</f>
        <v/>
      </c>
    </row>
    <row r="66">
      <c r="A66" s="3" t="inlineStr">
        <is>
          <t>Valuation method</t>
        </is>
      </c>
      <c r="B66" s="3" t="inlineStr">
        <is>
          <t>Metric</t>
        </is>
      </c>
      <c r="C66" s="3" t="inlineStr">
        <is>
          <t>Multiple used</t>
        </is>
      </c>
      <c r="D66" s="3" t="inlineStr">
        <is>
          <t>Basis</t>
        </is>
      </c>
      <c r="E66" s="3" t="inlineStr">
        <is>
          <t>Metric at target date</t>
        </is>
      </c>
      <c r="F66" s="3" t="inlineStr">
        <is>
          <t>Value per share</t>
        </is>
      </c>
      <c r="G66" s="3" t="inlineStr">
        <is>
          <t>Weight</t>
        </is>
      </c>
      <c r="H66" s="3" t="inlineStr">
        <is>
          <t>Metric key</t>
        </is>
      </c>
      <c r="I66" s="3" t="inlineStr">
        <is>
          <t>Metric shown (stated per-share figure when used)</t>
        </is>
      </c>
    </row>
    <row r="67">
      <c r="A67" t="inlineStr">
        <is>
          <t>DCF (cash flow to target date + terminal)</t>
        </is>
      </c>
      <c r="F67" s="9">
        <f>((B45)-$B$50-$B$51+$B$52)/$B$53</f>
        <v/>
      </c>
      <c r="G67" s="16">
        <f>Valuation!$B$63</f>
        <v/>
      </c>
    </row>
    <row r="68">
      <c r="A68">
        <f>"Multiple: "&amp;Valuation!A69&amp;" ("&amp;Valuation!D69&amp;")"</f>
        <v/>
      </c>
      <c r="B68">
        <f>Valuation!A69</f>
        <v/>
      </c>
      <c r="C68" s="9">
        <f>IF(B68="FCF yield",(Valuation!B69)*(1-$B$8),(Valuation!B69)+IF(B68="EV/sales",0.1,1)*$B$6)</f>
        <v/>
      </c>
      <c r="D68">
        <f>Valuation!D69</f>
        <v/>
      </c>
      <c r="E68" s="21">
        <f>IF(D68="ltm",CHOOSE(H68,$C$59,$C$60,$C$61,$C$62,$C$63,$C$64),CHOOSE(H68,$B$59,$B$60,$B$61,$B$62,$B$63,$B$64))</f>
        <v/>
      </c>
      <c r="F68" s="9">
        <f>IF(OR(B68="EV/EBITDA",B68="EV/sales",B68="EV/EBIT"),((C68*E68)-$B$50-$B$51+$B$52)/$B$53,IF(B68="P/E",IF(Valuation!F69&lt;&gt;"",C68*(Valuation!F69)*(1+$B$9),C68*(E68-$B$54)/$B$53),IF(Valuation!G69&lt;&gt;"",(Valuation!G69)*(1+$B$9)/C68,(E68-IF(Valuation!H69,$B$54,0))/C68/$B$53))+$B$52/$B$53)</f>
        <v/>
      </c>
      <c r="G68" s="16">
        <f>Valuation!C69</f>
        <v/>
      </c>
      <c r="H68">
        <f>IF(B68="EV/sales",1,IF(B68="EV/EBIT",2,IF(B68="EV/EBITDA",IF(Valuation!E69="adjusted",4,3),IF(B68="P/E",5,6))))</f>
        <v/>
      </c>
      <c r="I68" s="45">
        <f>IF(AND(B68="P/E",Valuation!F69&lt;&gt;""),(Valuation!F69)*(1+$B$9),IF(AND(B68="FCF yield",Valuation!G69&lt;&gt;""),(Valuation!G69)*(1+$B$9),E68))</f>
        <v/>
      </c>
    </row>
    <row r="69">
      <c r="A69" s="17" t="inlineStr">
        <is>
          <t>Value per share at target date (weighted methods)</t>
        </is>
      </c>
      <c r="F69" s="6">
        <f>SUMPRODUCT(F67:F68,G67:G68)/SUM(G67:G68)</f>
        <v/>
      </c>
    </row>
    <row r="129">
      <c r="A129" s="17" t="inlineStr">
        <is>
          <t>Segment build (model_engine.seg_build): revenue and EBIT are the segment sums plus corporate EBIT</t>
        </is>
      </c>
    </row>
    <row r="130">
      <c r="A130" s="3" t="inlineStr">
        <is>
          <t>Segment</t>
        </is>
      </c>
      <c r="B130" s="3" t="inlineStr">
        <is>
          <t>Base</t>
        </is>
      </c>
      <c r="C130" s="3">
        <f>Model!E5</f>
        <v/>
      </c>
      <c r="D130" s="3">
        <f>Model!F5</f>
        <v/>
      </c>
      <c r="E130" s="3">
        <f>Model!G5</f>
        <v/>
      </c>
    </row>
    <row r="131">
      <c r="A131" t="inlineStr">
        <is>
          <t>Generation: revenue growth</t>
        </is>
      </c>
      <c r="C131" s="16">
        <f>Model!E12+$B$4</f>
        <v/>
      </c>
      <c r="D131" s="16">
        <f>Model!F12+$B$4</f>
        <v/>
      </c>
      <c r="E131" s="16">
        <f>Model!G12+$B$4</f>
        <v/>
      </c>
    </row>
    <row r="132">
      <c r="A132" t="inlineStr">
        <is>
          <t>Generation: revenue</t>
        </is>
      </c>
      <c r="B132" s="10">
        <f>Valuation!$B$86</f>
        <v/>
      </c>
      <c r="C132" s="21">
        <f>B132*(1+C131)</f>
        <v/>
      </c>
      <c r="D132" s="21">
        <f>C132*(1+D131)</f>
        <v/>
      </c>
      <c r="E132" s="21">
        <f>D132*(1+E131)</f>
        <v/>
      </c>
    </row>
    <row r="133">
      <c r="A133" t="inlineStr">
        <is>
          <t>Generation: EBIT margin</t>
        </is>
      </c>
      <c r="C133" s="16">
        <f>Model!E14+$B$5</f>
        <v/>
      </c>
      <c r="D133" s="16">
        <f>Model!F14+$B$5</f>
        <v/>
      </c>
      <c r="E133" s="16">
        <f>Model!G14+$B$5</f>
        <v/>
      </c>
    </row>
    <row r="134">
      <c r="A134" t="inlineStr">
        <is>
          <t>Generation: EBIT</t>
        </is>
      </c>
      <c r="C134" s="21">
        <f>C132*C133</f>
        <v/>
      </c>
      <c r="D134" s="21">
        <f>D132*D133</f>
        <v/>
      </c>
      <c r="E134" s="21">
        <f>E132*E133</f>
        <v/>
      </c>
    </row>
    <row r="135">
      <c r="A135" t="inlineStr">
        <is>
          <t>Retail: revenue growth</t>
        </is>
      </c>
      <c r="C135" s="16">
        <f>Model!E16+$B$4</f>
        <v/>
      </c>
      <c r="D135" s="16">
        <f>Model!F16+$B$4</f>
        <v/>
      </c>
      <c r="E135" s="16">
        <f>Model!G16+$B$4</f>
        <v/>
      </c>
    </row>
    <row r="136">
      <c r="A136" t="inlineStr">
        <is>
          <t>Retail: revenue</t>
        </is>
      </c>
      <c r="B136" s="10">
        <f>Valuation!$B$87</f>
        <v/>
      </c>
      <c r="C136" s="21">
        <f>B136*(1+C135)</f>
        <v/>
      </c>
      <c r="D136" s="21">
        <f>C136*(1+D135)</f>
        <v/>
      </c>
      <c r="E136" s="21">
        <f>D136*(1+E135)</f>
        <v/>
      </c>
    </row>
    <row r="137">
      <c r="A137" t="inlineStr">
        <is>
          <t>Retail: EBIT margin</t>
        </is>
      </c>
      <c r="C137" s="16">
        <f>Model!E18+$B$5</f>
        <v/>
      </c>
      <c r="D137" s="16">
        <f>Model!F18+$B$5</f>
        <v/>
      </c>
      <c r="E137" s="16">
        <f>Model!G18+$B$5</f>
        <v/>
      </c>
    </row>
    <row r="138">
      <c r="A138" t="inlineStr">
        <is>
          <t>Retail: EBIT</t>
        </is>
      </c>
      <c r="C138" s="21">
        <f>C136*C137</f>
        <v/>
      </c>
      <c r="D138" s="21">
        <f>D136*D137</f>
        <v/>
      </c>
      <c r="E138" s="21">
        <f>E136*E137</f>
        <v/>
      </c>
    </row>
    <row r="139">
      <c r="A139" s="17" t="inlineStr">
        <is>
          <t>Total segment revenue</t>
        </is>
      </c>
      <c r="C139" s="21">
        <f>C132+C136</f>
        <v/>
      </c>
      <c r="D139" s="21">
        <f>D132+D136</f>
        <v/>
      </c>
      <c r="E139" s="21">
        <f>E132+E136</f>
        <v/>
      </c>
    </row>
    <row r="140">
      <c r="A140" t="inlineStr">
        <is>
          <t>Total segment EBIT</t>
        </is>
      </c>
      <c r="C140" s="21">
        <f>C134+C138</f>
        <v/>
      </c>
      <c r="D140" s="21">
        <f>D134+D138</f>
        <v/>
      </c>
      <c r="E140" s="21">
        <f>E134+E138</f>
        <v/>
      </c>
    </row>
    <row r="141">
      <c r="A141" t="inlineStr">
        <is>
          <t>Corporate / unallocated EBIT</t>
        </is>
      </c>
      <c r="C141" s="10">
        <f>Model!E21</f>
        <v/>
      </c>
      <c r="D141" s="10">
        <f>Model!F21</f>
        <v/>
      </c>
      <c r="E141" s="10">
        <f>Model!G21</f>
        <v/>
      </c>
    </row>
    <row r="142">
      <c r="A142" s="17" t="inlineStr">
        <is>
          <t>EBIT (segments + corporate)</t>
        </is>
      </c>
      <c r="C142" s="21">
        <f>C140+C141</f>
        <v/>
      </c>
      <c r="D142" s="21">
        <f>D140+D141</f>
        <v/>
      </c>
      <c r="E142" s="21">
        <f>E140+E141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60"/>
  <sheetViews>
    <sheetView showGridLines="0" workbookViewId="0">
      <pane xSplit="1" ySplit="18" topLeftCell="B1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>
      <c r="A1" s="1" t="inlineStr">
        <is>
          <t>VST engine calculation: bear scenario</t>
        </is>
      </c>
    </row>
    <row r="2">
      <c r="A2" s="2" t="inlineStr">
        <is>
          <t>Machinery behind the Valuation and Distribution tabs; drivers come from Model, assumptions from Valuation.</t>
        </is>
      </c>
    </row>
    <row r="4">
      <c r="A4" t="inlineStr">
        <is>
          <t>Scenario Growth Δ</t>
        </is>
      </c>
      <c r="B4" s="12">
        <f>N(Valuation!C81)</f>
        <v/>
      </c>
    </row>
    <row r="5">
      <c r="A5" t="inlineStr">
        <is>
          <t>Scenario Margin Δ</t>
        </is>
      </c>
      <c r="B5" s="12">
        <f>N(Valuation!D81)</f>
        <v/>
      </c>
    </row>
    <row r="6">
      <c r="A6" t="inlineStr">
        <is>
          <t>Scenario Multiple Δ (turns)</t>
        </is>
      </c>
      <c r="B6" s="46">
        <f>N(Valuation!E81)</f>
        <v/>
      </c>
    </row>
    <row r="7">
      <c r="A7" t="inlineStr">
        <is>
          <t>Scenario WACC Δ</t>
        </is>
      </c>
      <c r="B7" s="12">
        <f>N(Valuation!F81)</f>
        <v/>
      </c>
    </row>
    <row r="8">
      <c r="A8" t="inlineStr">
        <is>
          <t>Scenario Multiple %Δ</t>
        </is>
      </c>
      <c r="B8" s="12">
        <f>N(Valuation!G81)</f>
        <v/>
      </c>
    </row>
    <row r="9">
      <c r="A9" t="inlineStr">
        <is>
          <t>Scenario Stated EPS/FCF %Δ</t>
        </is>
      </c>
      <c r="B9" s="12">
        <f>N(Valuation!H81)</f>
        <v/>
      </c>
    </row>
    <row r="10">
      <c r="A10" t="inlineStr">
        <is>
          <t>Scenario Custom %Δ</t>
        </is>
      </c>
      <c r="B10" s="12">
        <f>N(Valuation!I81)</f>
        <v/>
      </c>
    </row>
    <row r="12">
      <c r="A12" t="inlineStr">
        <is>
          <t>WACC</t>
        </is>
      </c>
      <c r="B12" s="16">
        <f>Valuation!$B$50+B7</f>
        <v/>
      </c>
    </row>
    <row r="13">
      <c r="A13" t="inlineStr">
        <is>
          <t>Years from last FY end to target date</t>
        </is>
      </c>
      <c r="B13" s="44">
        <f>(Valuation!$B$44-Valuation!$B$48)/365.25</f>
        <v/>
      </c>
    </row>
    <row r="14">
      <c r="A14" t="inlineStr">
        <is>
          <t>Years from last FY end to balance date</t>
        </is>
      </c>
      <c r="B14" s="44">
        <f>(Valuation!$B$54-Valuation!$B$48)/365.25</f>
        <v/>
      </c>
    </row>
    <row r="15">
      <c r="A15" t="inlineStr">
        <is>
          <t>Years from last FY end to share count date</t>
        </is>
      </c>
      <c r="B15" s="44">
        <f>(Valuation!$B$60-Valuation!$B$48)/365.25</f>
        <v/>
      </c>
    </row>
    <row r="16">
      <c r="A16" t="inlineStr">
        <is>
          <t>Projected years</t>
        </is>
      </c>
      <c r="B16" t="n">
        <v>3</v>
      </c>
    </row>
    <row r="18">
      <c r="A18" s="3" t="inlineStr">
        <is>
          <t>Projection</t>
        </is>
      </c>
      <c r="B18" s="3" t="inlineStr">
        <is>
          <t>Base</t>
        </is>
      </c>
      <c r="C18" s="3">
        <f>Model!E5</f>
        <v/>
      </c>
      <c r="D18" s="3">
        <f>Model!F5</f>
        <v/>
      </c>
      <c r="E18" s="3">
        <f>Model!G5</f>
        <v/>
      </c>
    </row>
    <row r="19">
      <c r="A19" t="inlineStr">
        <is>
          <t>Year index</t>
        </is>
      </c>
      <c r="B19" t="n">
        <v>0</v>
      </c>
      <c r="C19" t="n">
        <v>1</v>
      </c>
      <c r="D19" t="n">
        <v>2</v>
      </c>
      <c r="E19" t="n">
        <v>3</v>
      </c>
    </row>
    <row r="20">
      <c r="A20" t="inlineStr">
        <is>
          <t>Period end</t>
        </is>
      </c>
      <c r="C20" s="18">
        <f>Valuation!$B$48+ROUND(365.25*C19,0)</f>
        <v/>
      </c>
      <c r="D20" s="18">
        <f>Valuation!$B$48+ROUND(365.25*D19,0)</f>
        <v/>
      </c>
      <c r="E20" s="18">
        <f>Valuation!$B$48+ROUND(365.25*E19,0)</f>
        <v/>
      </c>
    </row>
    <row r="21">
      <c r="A21" t="inlineStr">
        <is>
          <t>Revenue growth</t>
        </is>
      </c>
      <c r="C21" s="16">
        <f>C22/B22-1</f>
        <v/>
      </c>
      <c r="D21" s="16">
        <f>D22/C22-1</f>
        <v/>
      </c>
      <c r="E21" s="16">
        <f>E22/D22-1</f>
        <v/>
      </c>
    </row>
    <row r="22">
      <c r="A22" t="inlineStr">
        <is>
          <t>Revenue</t>
        </is>
      </c>
      <c r="B22" s="21">
        <f>Valuation!$B$49</f>
        <v/>
      </c>
      <c r="C22" s="21">
        <f>C139</f>
        <v/>
      </c>
      <c r="D22" s="21">
        <f>D139</f>
        <v/>
      </c>
      <c r="E22" s="21">
        <f>E139</f>
        <v/>
      </c>
    </row>
    <row r="23">
      <c r="A23" t="inlineStr">
        <is>
          <t>EBIT margin</t>
        </is>
      </c>
      <c r="C23" s="16">
        <f>C24/C22</f>
        <v/>
      </c>
      <c r="D23" s="16">
        <f>D24/D22</f>
        <v/>
      </c>
      <c r="E23" s="16">
        <f>E24/E22</f>
        <v/>
      </c>
    </row>
    <row r="24">
      <c r="A24" t="inlineStr">
        <is>
          <t>EBIT</t>
        </is>
      </c>
      <c r="C24" s="21">
        <f>C142</f>
        <v/>
      </c>
      <c r="D24" s="21">
        <f>D142</f>
        <v/>
      </c>
      <c r="E24" s="21">
        <f>E142</f>
        <v/>
      </c>
    </row>
    <row r="25">
      <c r="A25" t="inlineStr">
        <is>
          <t>Tax rate</t>
        </is>
      </c>
      <c r="C25" s="16">
        <f>Model!E63</f>
        <v/>
      </c>
      <c r="D25" s="16">
        <f>Model!F63</f>
        <v/>
      </c>
      <c r="E25" s="16">
        <f>Model!G63</f>
        <v/>
      </c>
    </row>
    <row r="26">
      <c r="A26" t="inlineStr">
        <is>
          <t>NOPAT</t>
        </is>
      </c>
      <c r="C26" s="21">
        <f>C24*(1-C25)</f>
        <v/>
      </c>
      <c r="D26" s="21">
        <f>D24*(1-D25)</f>
        <v/>
      </c>
      <c r="E26" s="21">
        <f>E24*(1-E25)</f>
        <v/>
      </c>
    </row>
    <row r="27">
      <c r="A27" t="inlineStr">
        <is>
          <t>D&amp;A</t>
        </is>
      </c>
      <c r="C27" s="21">
        <f>C22*(Model!E64)</f>
        <v/>
      </c>
      <c r="D27" s="21">
        <f>D22*(Model!F64)</f>
        <v/>
      </c>
      <c r="E27" s="21">
        <f>E22*(Model!G64)</f>
        <v/>
      </c>
    </row>
    <row r="28">
      <c r="A28" t="inlineStr">
        <is>
          <t>Capex</t>
        </is>
      </c>
      <c r="C28" s="21">
        <f>C22*(Model!E65)</f>
        <v/>
      </c>
      <c r="D28" s="21">
        <f>D22*(Model!F65)</f>
        <v/>
      </c>
      <c r="E28" s="21">
        <f>E22*(Model!G65)</f>
        <v/>
      </c>
    </row>
    <row r="29">
      <c r="A29" t="inlineStr">
        <is>
          <t>Working capital increase</t>
        </is>
      </c>
      <c r="C29" s="21">
        <f>(Model!E66)*(C22-B22)</f>
        <v/>
      </c>
      <c r="D29" s="21">
        <f>(Model!F66)*(D22-C22)</f>
        <v/>
      </c>
      <c r="E29" s="21">
        <f>(Model!G66)*(E22-D22)</f>
        <v/>
      </c>
    </row>
    <row r="30">
      <c r="A30" t="inlineStr">
        <is>
          <t>Stock comp</t>
        </is>
      </c>
      <c r="C30" s="21">
        <f>C22*(Model!E67)</f>
        <v/>
      </c>
      <c r="D30" s="21">
        <f>D22*(Model!F67)</f>
        <v/>
      </c>
      <c r="E30" s="21">
        <f>E22*(Model!G67)</f>
        <v/>
      </c>
    </row>
    <row r="31">
      <c r="A31" t="inlineStr">
        <is>
          <t>Free cash flow to firm</t>
        </is>
      </c>
      <c r="C31" s="21">
        <f>C26+C27-C28-C29-IF(AND(Valuation!$B$46="adjusted",Valuation!$B$47="cost"),C30*(1-C25),0)</f>
        <v/>
      </c>
      <c r="D31" s="21">
        <f>D26+D27-D28-D29-IF(AND(Valuation!$B$46="adjusted",Valuation!$B$47="cost"),D30*(1-D25),0)</f>
        <v/>
      </c>
      <c r="E31" s="21">
        <f>E26+E27-E28-E29-IF(AND(Valuation!$B$46="adjusted",Valuation!$B$47="cost"),E30*(1-E25),0)</f>
        <v/>
      </c>
    </row>
    <row r="32">
      <c r="A32" t="inlineStr">
        <is>
          <t>EBITDA</t>
        </is>
      </c>
      <c r="C32" s="21">
        <f>C24+C27</f>
        <v/>
      </c>
      <c r="D32" s="21">
        <f>D24+D27</f>
        <v/>
      </c>
      <c r="E32" s="21">
        <f>E24+E27</f>
        <v/>
      </c>
    </row>
    <row r="33">
      <c r="A33" t="inlineStr">
        <is>
          <t>Adj. EBITDA</t>
        </is>
      </c>
      <c r="C33" s="21">
        <f>C24+C27+C22*(Model!E71)</f>
        <v/>
      </c>
      <c r="D33" s="21">
        <f>D24+D27+D22*(Model!F71)</f>
        <v/>
      </c>
      <c r="E33" s="21">
        <f>E24+E27+E22*(Model!G71)</f>
        <v/>
      </c>
    </row>
    <row r="34">
      <c r="A34" t="inlineStr">
        <is>
          <t>Shareholder returns + other uses</t>
        </is>
      </c>
      <c r="C34" s="21">
        <f>C22*Model!E69+Model!E68+Model!E70</f>
        <v/>
      </c>
      <c r="D34" s="21">
        <f>D22*Model!F69+Model!F68+Model!F70</f>
        <v/>
      </c>
      <c r="E34" s="21">
        <f>E22*Model!G69+Model!G68+Model!G70</f>
        <v/>
      </c>
    </row>
    <row r="35">
      <c r="A35" t="inlineStr">
        <is>
          <t>Share of year after target date</t>
        </is>
      </c>
      <c r="C35" s="44">
        <f>IF(C19&lt;=$B$13,0,C19-MAX(C19-1,$B$13))</f>
        <v/>
      </c>
      <c r="D35" s="44">
        <f>IF(D19&lt;=$B$13,0,D19-MAX(D19-1,$B$13))</f>
        <v/>
      </c>
      <c r="E35" s="44">
        <f>IF(E19&lt;=$B$13,0,E19-MAX(E19-1,$B$13))</f>
        <v/>
      </c>
    </row>
    <row r="36">
      <c r="A36" t="inlineStr">
        <is>
          <t>PV at target date of FCFF</t>
        </is>
      </c>
      <c r="C36" s="21">
        <f>IF(C35=0,0,C31*C35/(1+$B$12)^(C19-$B$13))</f>
        <v/>
      </c>
      <c r="D36" s="21">
        <f>IF(D35=0,0,D31*D35/(1+$B$12)^(D19-$B$13))</f>
        <v/>
      </c>
      <c r="E36" s="21">
        <f>IF(E35=0,0,E31*E35/(1+$B$12)^(E19-$B$13))</f>
        <v/>
      </c>
    </row>
    <row r="37">
      <c r="A37" t="inlineStr">
        <is>
          <t>Overlap: balance date to target date</t>
        </is>
      </c>
      <c r="C37" s="44">
        <f>MAX(0,MIN(C19,$B$13)-MAX(C19-1,$B$14))</f>
        <v/>
      </c>
      <c r="D37" s="44">
        <f>MAX(0,MIN(D19,$B$13)-MAX(D19-1,$B$14))</f>
        <v/>
      </c>
      <c r="E37" s="44">
        <f>MAX(0,MIN(E19,$B$13)-MAX(E19-1,$B$14))</f>
        <v/>
      </c>
    </row>
    <row r="38">
      <c r="A38" t="inlineStr">
        <is>
          <t>NTM weight at target date</t>
        </is>
      </c>
      <c r="C38" s="44">
        <f>MAX(0,MIN(C19,$B$13+1)-MAX(C19-1,$B$13))</f>
        <v/>
      </c>
      <c r="D38" s="44">
        <f>MAX(0,MIN(D19,$B$13+1)-MAX(D19-1,$B$13))</f>
        <v/>
      </c>
      <c r="E38" s="44">
        <f>MAX(0,MIN(E19,$B$13+1)-MAX(E19-1,$B$13))</f>
        <v/>
      </c>
    </row>
    <row r="39">
      <c r="A39" t="inlineStr">
        <is>
          <t>LTM weight at target date</t>
        </is>
      </c>
      <c r="B39" s="44">
        <f>MAX(0,MIN(0,$B$13)-MAX(-1,$B$13-1))</f>
        <v/>
      </c>
      <c r="C39" s="44">
        <f>MAX(0,MIN(C19,$B$13)-MAX(C19-1,$B$13-1))</f>
        <v/>
      </c>
      <c r="D39" s="44">
        <f>MAX(0,MIN(D19,$B$13)-MAX(D19-1,$B$13-1))</f>
        <v/>
      </c>
      <c r="E39" s="44">
        <f>MAX(0,MIN(E19,$B$13)-MAX(E19-1,$B$13-1))</f>
        <v/>
      </c>
    </row>
    <row r="41">
      <c r="A41" s="17" t="inlineStr">
        <is>
          <t>Value at the target date</t>
        </is>
      </c>
    </row>
    <row r="42">
      <c r="A42" t="inlineStr">
        <is>
          <t>PV of free cash flow after the target date</t>
        </is>
      </c>
      <c r="B42" s="21">
        <f>SUM($C$36:$E$36)</f>
        <v/>
      </c>
    </row>
    <row r="43">
      <c r="A43" t="inlineStr">
        <is>
          <t>Terminal value at final year</t>
        </is>
      </c>
      <c r="B43" s="21">
        <f>IF(Valuation!$B$51="exit_multiple",Valuation!$B$53*E32,E31*(1+Valuation!$B$52)/($B$12-Valuation!$B$52))</f>
        <v/>
      </c>
    </row>
    <row r="44">
      <c r="A44" t="inlineStr">
        <is>
          <t>PV of terminal value at target date</t>
        </is>
      </c>
      <c r="B44" s="21">
        <f>B43/(1+$B$12)^($B$16-$B$13)</f>
        <v/>
      </c>
    </row>
    <row r="45">
      <c r="A45" t="inlineStr">
        <is>
          <t>DCF enterprise value at target date</t>
        </is>
      </c>
      <c r="B45" s="21">
        <f>B42+B44</f>
        <v/>
      </c>
    </row>
    <row r="46">
      <c r="A46" t="inlineStr">
        <is>
          <t>Terminal value share of DCF</t>
        </is>
      </c>
      <c r="B46" s="16">
        <f>B44/B45</f>
        <v/>
      </c>
    </row>
    <row r="47">
      <c r="A47" t="inlineStr">
        <is>
          <t>Free cash flow earned, balance date to target date</t>
        </is>
      </c>
      <c r="B47" s="21">
        <f>SUMPRODUCT($C$37:$E$37,$C$31:$E$31)</f>
        <v/>
      </c>
    </row>
    <row r="48">
      <c r="A48" t="inlineStr">
        <is>
          <t>Shareholder returns + other uses paid</t>
        </is>
      </c>
      <c r="B48" s="21">
        <f>SUMPRODUCT($C$37:$E$37,$C$34:$E$34)</f>
        <v/>
      </c>
    </row>
    <row r="49">
      <c r="A49" t="inlineStr">
        <is>
          <t>Interest drag on net debt</t>
        </is>
      </c>
      <c r="B49" s="21">
        <f>Valuation!$B$57*(1-$C$25)*MAX(Valuation!$B$55,0)*MAX($B$13-$B$14,0)</f>
        <v/>
      </c>
    </row>
    <row r="50">
      <c r="A50" t="inlineStr">
        <is>
          <t>Net debt at target date</t>
        </is>
      </c>
      <c r="B50" s="21">
        <f>IF(Valuation!$B$58="",Valuation!$B$55-B47+B49+B48,Valuation!$B$58+$B$260)</f>
        <v/>
      </c>
    </row>
    <row r="51">
      <c r="A51" t="inlineStr">
        <is>
          <t>Minority interests</t>
        </is>
      </c>
      <c r="B51" s="21">
        <f>Valuation!$B$56</f>
        <v/>
      </c>
    </row>
    <row r="52">
      <c r="A52" t="inlineStr">
        <is>
          <t>Adjustments (probability-weighted)</t>
        </is>
      </c>
      <c r="B52" s="21">
        <f>(Valuation!B75)*Valuation!C75+0</f>
        <v/>
      </c>
    </row>
    <row r="53">
      <c r="A53" t="inlineStr">
        <is>
          <t>Diluted shares at target date (M)</t>
        </is>
      </c>
      <c r="B53" s="26">
        <f>IF(Valuation!$B$62="",Valuation!$B$59*(1+Valuation!$B$61)^MAX($B$13-$B$15,0),Valuation!$B$62)</f>
        <v/>
      </c>
    </row>
    <row r="54">
      <c r="A54" t="inlineStr">
        <is>
          <t>After-tax interest on target-date net debt</t>
        </is>
      </c>
      <c r="B54" s="21">
        <f>Valuation!$B$57*(1-$C$25)*MAX(B50,0)</f>
        <v/>
      </c>
    </row>
    <row r="55">
      <c r="A55" t="inlineStr">
        <is>
          <t>Check: WACC vs terminal growth</t>
        </is>
      </c>
      <c r="B55">
        <f>IF(AND(Valuation!$B$51&lt;&gt;"exit_multiple",$B$12&lt;=Valuation!$B$52+0.01),"WACC must exceed terminal growth by 1 point","ok")</f>
        <v/>
      </c>
    </row>
    <row r="56">
      <c r="A56" t="inlineStr">
        <is>
          <t>Check: projection length</t>
        </is>
      </c>
      <c r="B56">
        <f>IF(OR($B$13&gt;=$B$16-1,$B$13+1&gt;$B$16),"add projected years past the target date","ok")</f>
        <v/>
      </c>
    </row>
    <row r="58">
      <c r="A58" s="3" t="inlineStr">
        <is>
          <t>Metric at target date</t>
        </is>
      </c>
      <c r="B58" s="3" t="inlineStr">
        <is>
          <t>Next 12 months</t>
        </is>
      </c>
      <c r="C58" s="3" t="inlineStr">
        <is>
          <t>Last 12 months</t>
        </is>
      </c>
    </row>
    <row r="59">
      <c r="A59" t="inlineStr">
        <is>
          <t>Revenue</t>
        </is>
      </c>
      <c r="B59" s="21">
        <f>SUMPRODUCT($C$38:$E$38,$C$22:$E$22)</f>
        <v/>
      </c>
      <c r="C59" s="21">
        <f>SUMPRODUCT($C$39:$E$39,$C$22:$E$22)+$B$39*$B$22</f>
        <v/>
      </c>
    </row>
    <row r="60">
      <c r="A60" t="inlineStr">
        <is>
          <t>EBIT</t>
        </is>
      </c>
      <c r="B60" s="21">
        <f>SUMPRODUCT($C$38:$E$38,$C$24:$E$24)</f>
        <v/>
      </c>
      <c r="C60" s="21">
        <f>SUMPRODUCT($C$39:$E$39,$C$24:$E$24)</f>
        <v/>
      </c>
    </row>
    <row r="61">
      <c r="A61" t="inlineStr">
        <is>
          <t>EBITDA</t>
        </is>
      </c>
      <c r="B61" s="21">
        <f>SUMPRODUCT($C$38:$E$38,$C$32:$E$32)</f>
        <v/>
      </c>
      <c r="C61" s="21">
        <f>SUMPRODUCT($C$39:$E$39,$C$32:$E$32)</f>
        <v/>
      </c>
    </row>
    <row r="62">
      <c r="A62" t="inlineStr">
        <is>
          <t>Adj. EBITDA</t>
        </is>
      </c>
      <c r="B62" s="21">
        <f>SUMPRODUCT($C$38:$E$38,$C$33:$E$33)</f>
        <v/>
      </c>
      <c r="C62" s="21">
        <f>SUMPRODUCT($C$39:$E$39,$C$33:$E$33)</f>
        <v/>
      </c>
    </row>
    <row r="63">
      <c r="A63" t="inlineStr">
        <is>
          <t>NOPAT</t>
        </is>
      </c>
      <c r="B63" s="21">
        <f>SUMPRODUCT($C$38:$E$38,$C$26:$E$26)</f>
        <v/>
      </c>
      <c r="C63" s="21">
        <f>SUMPRODUCT($C$39:$E$39,$C$26:$E$26)</f>
        <v/>
      </c>
    </row>
    <row r="64">
      <c r="A64" t="inlineStr">
        <is>
          <t>Free cash flow to firm</t>
        </is>
      </c>
      <c r="B64" s="21">
        <f>SUMPRODUCT($C$38:$E$38,$C$31:$E$31)</f>
        <v/>
      </c>
      <c r="C64" s="21">
        <f>SUMPRODUCT($C$39:$E$39,$C$31:$E$31)</f>
        <v/>
      </c>
    </row>
    <row r="66">
      <c r="A66" s="3" t="inlineStr">
        <is>
          <t>Valuation method</t>
        </is>
      </c>
      <c r="B66" s="3" t="inlineStr">
        <is>
          <t>Metric</t>
        </is>
      </c>
      <c r="C66" s="3" t="inlineStr">
        <is>
          <t>Multiple used</t>
        </is>
      </c>
      <c r="D66" s="3" t="inlineStr">
        <is>
          <t>Basis</t>
        </is>
      </c>
      <c r="E66" s="3" t="inlineStr">
        <is>
          <t>Metric at target date</t>
        </is>
      </c>
      <c r="F66" s="3" t="inlineStr">
        <is>
          <t>Value per share</t>
        </is>
      </c>
      <c r="G66" s="3" t="inlineStr">
        <is>
          <t>Weight</t>
        </is>
      </c>
      <c r="H66" s="3" t="inlineStr">
        <is>
          <t>Metric key</t>
        </is>
      </c>
      <c r="I66" s="3" t="inlineStr">
        <is>
          <t>Metric shown (stated per-share figure when used)</t>
        </is>
      </c>
    </row>
    <row r="67">
      <c r="A67" t="inlineStr">
        <is>
          <t>DCF (cash flow to target date + terminal)</t>
        </is>
      </c>
      <c r="F67" s="9">
        <f>((B45)-$B$50-$B$51+$B$52)/$B$53</f>
        <v/>
      </c>
      <c r="G67" s="16">
        <f>Valuation!$B$63</f>
        <v/>
      </c>
    </row>
    <row r="68">
      <c r="A68">
        <f>"Multiple: "&amp;Valuation!A69&amp;" ("&amp;Valuation!D69&amp;")"</f>
        <v/>
      </c>
      <c r="B68">
        <f>Valuation!A69</f>
        <v/>
      </c>
      <c r="C68" s="9">
        <f>IF(B68="FCF yield",(Valuation!B69)*(1-$B$8),(Valuation!B69)+IF(B68="EV/sales",0.1,1)*$B$6)</f>
        <v/>
      </c>
      <c r="D68">
        <f>Valuation!D69</f>
        <v/>
      </c>
      <c r="E68" s="21">
        <f>IF(D68="ltm",CHOOSE(H68,$C$59,$C$60,$C$61,$C$62,$C$63,$C$64),CHOOSE(H68,$B$59,$B$60,$B$61,$B$62,$B$63,$B$64))</f>
        <v/>
      </c>
      <c r="F68" s="9">
        <f>IF(OR(B68="EV/EBITDA",B68="EV/sales",B68="EV/EBIT"),((C68*E68)-$B$50-$B$51+$B$52)/$B$53,IF(B68="P/E",IF(Valuation!F69&lt;&gt;"",C68*(Valuation!F69)*(1+$B$9),C68*(E68-$B$54)/$B$53),IF(Valuation!G69&lt;&gt;"",(Valuation!G69)*(1+$B$9)/C68,(E68-IF(Valuation!H69,$B$54,0))/C68/$B$53))+$B$52/$B$53)</f>
        <v/>
      </c>
      <c r="G68" s="16">
        <f>Valuation!C69</f>
        <v/>
      </c>
      <c r="H68">
        <f>IF(B68="EV/sales",1,IF(B68="EV/EBIT",2,IF(B68="EV/EBITDA",IF(Valuation!E69="adjusted",4,3),IF(B68="P/E",5,6))))</f>
        <v/>
      </c>
      <c r="I68" s="45">
        <f>IF(AND(B68="P/E",Valuation!F69&lt;&gt;""),(Valuation!F69)*(1+$B$9),IF(AND(B68="FCF yield",Valuation!G69&lt;&gt;""),(Valuation!G69)*(1+$B$9),E68))</f>
        <v/>
      </c>
    </row>
    <row r="69">
      <c r="A69" s="17" t="inlineStr">
        <is>
          <t>Value per share at target date (weighted methods)</t>
        </is>
      </c>
      <c r="F69" s="6">
        <f>SUMPRODUCT(F67:F68,G67:G68)/SUM(G67:G68)</f>
        <v/>
      </c>
    </row>
    <row r="129">
      <c r="A129" s="17" t="inlineStr">
        <is>
          <t>Segment build (model_engine.seg_build): revenue and EBIT are the segment sums plus corporate EBIT</t>
        </is>
      </c>
    </row>
    <row r="130">
      <c r="A130" s="3" t="inlineStr">
        <is>
          <t>Segment</t>
        </is>
      </c>
      <c r="B130" s="3" t="inlineStr">
        <is>
          <t>Base</t>
        </is>
      </c>
      <c r="C130" s="3">
        <f>Model!E5</f>
        <v/>
      </c>
      <c r="D130" s="3">
        <f>Model!F5</f>
        <v/>
      </c>
      <c r="E130" s="3">
        <f>Model!G5</f>
        <v/>
      </c>
    </row>
    <row r="131">
      <c r="A131" t="inlineStr">
        <is>
          <t>Generation: revenue growth</t>
        </is>
      </c>
      <c r="C131" s="16">
        <f>Model!E12+$B$4+$B$250</f>
        <v/>
      </c>
      <c r="D131" s="16">
        <f>Model!F12+$B$4+$B$252</f>
        <v/>
      </c>
      <c r="E131" s="16">
        <f>Model!G12+$B$4+$B$254</f>
        <v/>
      </c>
    </row>
    <row r="132">
      <c r="A132" t="inlineStr">
        <is>
          <t>Generation: revenue</t>
        </is>
      </c>
      <c r="B132" s="10">
        <f>Valuation!$B$86</f>
        <v/>
      </c>
      <c r="C132" s="21">
        <f>B132*(1+C131)</f>
        <v/>
      </c>
      <c r="D132" s="21">
        <f>C132*(1+D131)</f>
        <v/>
      </c>
      <c r="E132" s="21">
        <f>D132*(1+E131)</f>
        <v/>
      </c>
    </row>
    <row r="133">
      <c r="A133" t="inlineStr">
        <is>
          <t>Generation: EBIT margin</t>
        </is>
      </c>
      <c r="C133" s="16">
        <f>Model!E14+$B$5+$B$251</f>
        <v/>
      </c>
      <c r="D133" s="16">
        <f>Model!F14+$B$5+$B$253</f>
        <v/>
      </c>
      <c r="E133" s="16">
        <f>Model!G14+$B$5+$B$255</f>
        <v/>
      </c>
    </row>
    <row r="134">
      <c r="A134" t="inlineStr">
        <is>
          <t>Generation: EBIT</t>
        </is>
      </c>
      <c r="C134" s="21">
        <f>C132*C133</f>
        <v/>
      </c>
      <c r="D134" s="21">
        <f>D132*D133</f>
        <v/>
      </c>
      <c r="E134" s="21">
        <f>E132*E133</f>
        <v/>
      </c>
    </row>
    <row r="135">
      <c r="A135" t="inlineStr">
        <is>
          <t>Retail: revenue growth</t>
        </is>
      </c>
      <c r="C135" s="16">
        <f>Model!E16+$B$4+$B$256</f>
        <v/>
      </c>
      <c r="D135" s="16">
        <f>Model!F16+$B$4</f>
        <v/>
      </c>
      <c r="E135" s="16">
        <f>Model!G16+$B$4</f>
        <v/>
      </c>
    </row>
    <row r="136">
      <c r="A136" t="inlineStr">
        <is>
          <t>Retail: revenue</t>
        </is>
      </c>
      <c r="B136" s="10">
        <f>Valuation!$B$87</f>
        <v/>
      </c>
      <c r="C136" s="21">
        <f>B136*(1+C135)</f>
        <v/>
      </c>
      <c r="D136" s="21">
        <f>C136*(1+D135)</f>
        <v/>
      </c>
      <c r="E136" s="21">
        <f>D136*(1+E135)</f>
        <v/>
      </c>
    </row>
    <row r="137">
      <c r="A137" t="inlineStr">
        <is>
          <t>Retail: EBIT margin</t>
        </is>
      </c>
      <c r="C137" s="16">
        <f>Model!E18+$B$5+$B$257</f>
        <v/>
      </c>
      <c r="D137" s="16">
        <f>Model!F18+$B$5+$B$258</f>
        <v/>
      </c>
      <c r="E137" s="16">
        <f>Model!G18+$B$5+$B$259</f>
        <v/>
      </c>
    </row>
    <row r="138">
      <c r="A138" t="inlineStr">
        <is>
          <t>Retail: EBIT</t>
        </is>
      </c>
      <c r="C138" s="21">
        <f>C136*C137</f>
        <v/>
      </c>
      <c r="D138" s="21">
        <f>D136*D137</f>
        <v/>
      </c>
      <c r="E138" s="21">
        <f>E136*E137</f>
        <v/>
      </c>
    </row>
    <row r="139">
      <c r="A139" s="17" t="inlineStr">
        <is>
          <t>Total segment revenue</t>
        </is>
      </c>
      <c r="C139" s="21">
        <f>C132+C136</f>
        <v/>
      </c>
      <c r="D139" s="21">
        <f>D132+D136</f>
        <v/>
      </c>
      <c r="E139" s="21">
        <f>E132+E136</f>
        <v/>
      </c>
    </row>
    <row r="140">
      <c r="A140" t="inlineStr">
        <is>
          <t>Total segment EBIT</t>
        </is>
      </c>
      <c r="C140" s="21">
        <f>C134+C138</f>
        <v/>
      </c>
      <c r="D140" s="21">
        <f>D134+D138</f>
        <v/>
      </c>
      <c r="E140" s="21">
        <f>E134+E138</f>
        <v/>
      </c>
    </row>
    <row r="141">
      <c r="A141" t="inlineStr">
        <is>
          <t>Corporate / unallocated EBIT</t>
        </is>
      </c>
      <c r="C141" s="10">
        <f>Model!E21</f>
        <v/>
      </c>
      <c r="D141" s="10">
        <f>Model!F21</f>
        <v/>
      </c>
      <c r="E141" s="10">
        <f>Model!G21</f>
        <v/>
      </c>
    </row>
    <row r="142">
      <c r="A142" s="17" t="inlineStr">
        <is>
          <t>EBIT (segments + corporate)</t>
        </is>
      </c>
      <c r="C142" s="21">
        <f>C140+C141</f>
        <v/>
      </c>
      <c r="D142" s="21">
        <f>D140+D141</f>
        <v/>
      </c>
      <c r="E142" s="21">
        <f>E140+E141</f>
        <v/>
      </c>
    </row>
    <row r="249">
      <c r="A249" s="17" t="inlineStr">
        <is>
          <t>Driver scenario shifts: line-item changes model_drivers.py resolves from this scenario's driver deltas (added to the Model tab inputs)</t>
        </is>
      </c>
    </row>
    <row r="250">
      <c r="A250" t="inlineStr">
        <is>
          <t>Generation: revenue growth, year 1</t>
        </is>
      </c>
      <c r="B250" s="47" t="n">
        <v>-0.03232020032294236</v>
      </c>
    </row>
    <row r="251">
      <c r="A251" t="inlineStr">
        <is>
          <t>Generation: EBIT margin, year 1</t>
        </is>
      </c>
      <c r="B251" s="47" t="n">
        <v>-0.03421385739382643</v>
      </c>
    </row>
    <row r="252">
      <c r="A252" t="inlineStr">
        <is>
          <t>Generation: revenue growth, year 2</t>
        </is>
      </c>
      <c r="B252" s="47" t="n">
        <v>-0.0004188993196743152</v>
      </c>
    </row>
    <row r="253">
      <c r="A253" t="inlineStr">
        <is>
          <t>Generation: EBIT margin, year 2</t>
        </is>
      </c>
      <c r="B253" s="47" t="n">
        <v>-0.03380893749917302</v>
      </c>
    </row>
    <row r="254">
      <c r="A254" t="inlineStr">
        <is>
          <t>Generation: revenue growth, year 3</t>
        </is>
      </c>
      <c r="B254" s="47" t="n">
        <v>-0.0001319454662147557</v>
      </c>
    </row>
    <row r="255">
      <c r="A255" t="inlineStr">
        <is>
          <t>Generation: EBIT margin, year 3</t>
        </is>
      </c>
      <c r="B255" s="47" t="n">
        <v>-0.03410254519705735</v>
      </c>
    </row>
    <row r="256">
      <c r="A256" t="inlineStr">
        <is>
          <t>Retail: revenue growth, year 1</t>
        </is>
      </c>
      <c r="B256" s="47" t="n">
        <v>-0.03023542793636025</v>
      </c>
    </row>
    <row r="257">
      <c r="A257" t="inlineStr">
        <is>
          <t>Retail: EBIT margin, year 1</t>
        </is>
      </c>
      <c r="B257" s="47" t="n">
        <v>0.003588712147477099</v>
      </c>
    </row>
    <row r="258">
      <c r="A258" t="inlineStr">
        <is>
          <t>Retail: EBIT margin, year 2</t>
        </is>
      </c>
      <c r="B258" s="47" t="n">
        <v>0.003522369043387747</v>
      </c>
    </row>
    <row r="259">
      <c r="A259" t="inlineStr">
        <is>
          <t>Retail: EBIT margin, year 3</t>
        </is>
      </c>
      <c r="B259" s="47" t="n">
        <v>0.00353399585098146</v>
      </c>
    </row>
    <row r="260">
      <c r="A260" t="inlineStr">
        <is>
          <t>Net debt at target date (override)</t>
        </is>
      </c>
      <c r="B260" s="47" t="n">
        <v>217.6574914800003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42"/>
  <sheetViews>
    <sheetView showGridLines="0" workbookViewId="0">
      <pane xSplit="1" ySplit="18" topLeftCell="B1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>
      <c r="A1" s="1" t="inlineStr">
        <is>
          <t>VST engine calculation: base scenario</t>
        </is>
      </c>
    </row>
    <row r="2">
      <c r="A2" s="2" t="inlineStr">
        <is>
          <t>Machinery behind the Valuation and Distribution tabs; drivers come from Model, assumptions from Valuation.</t>
        </is>
      </c>
    </row>
    <row r="4">
      <c r="A4" t="inlineStr">
        <is>
          <t>Scenario Growth Δ</t>
        </is>
      </c>
      <c r="B4" s="12">
        <f>N(Valuation!C82)</f>
        <v/>
      </c>
    </row>
    <row r="5">
      <c r="A5" t="inlineStr">
        <is>
          <t>Scenario Margin Δ</t>
        </is>
      </c>
      <c r="B5" s="12">
        <f>N(Valuation!D82)</f>
        <v/>
      </c>
    </row>
    <row r="6">
      <c r="A6" t="inlineStr">
        <is>
          <t>Scenario Multiple Δ (turns)</t>
        </is>
      </c>
      <c r="B6" s="46">
        <f>N(Valuation!E82)</f>
        <v/>
      </c>
    </row>
    <row r="7">
      <c r="A7" t="inlineStr">
        <is>
          <t>Scenario WACC Δ</t>
        </is>
      </c>
      <c r="B7" s="12">
        <f>N(Valuation!F82)</f>
        <v/>
      </c>
    </row>
    <row r="8">
      <c r="A8" t="inlineStr">
        <is>
          <t>Scenario Multiple %Δ</t>
        </is>
      </c>
      <c r="B8" s="12">
        <f>N(Valuation!G82)</f>
        <v/>
      </c>
    </row>
    <row r="9">
      <c r="A9" t="inlineStr">
        <is>
          <t>Scenario Stated EPS/FCF %Δ</t>
        </is>
      </c>
      <c r="B9" s="12">
        <f>N(Valuation!H82)</f>
        <v/>
      </c>
    </row>
    <row r="10">
      <c r="A10" t="inlineStr">
        <is>
          <t>Scenario Custom %Δ</t>
        </is>
      </c>
      <c r="B10" s="12">
        <f>N(Valuation!I82)</f>
        <v/>
      </c>
    </row>
    <row r="12">
      <c r="A12" t="inlineStr">
        <is>
          <t>WACC</t>
        </is>
      </c>
      <c r="B12" s="16">
        <f>Valuation!$B$50+B7</f>
        <v/>
      </c>
    </row>
    <row r="13">
      <c r="A13" t="inlineStr">
        <is>
          <t>Years from last FY end to target date</t>
        </is>
      </c>
      <c r="B13" s="44">
        <f>(Valuation!$B$44-Valuation!$B$48)/365.25</f>
        <v/>
      </c>
    </row>
    <row r="14">
      <c r="A14" t="inlineStr">
        <is>
          <t>Years from last FY end to balance date</t>
        </is>
      </c>
      <c r="B14" s="44">
        <f>(Valuation!$B$54-Valuation!$B$48)/365.25</f>
        <v/>
      </c>
    </row>
    <row r="15">
      <c r="A15" t="inlineStr">
        <is>
          <t>Years from last FY end to share count date</t>
        </is>
      </c>
      <c r="B15" s="44">
        <f>(Valuation!$B$60-Valuation!$B$48)/365.25</f>
        <v/>
      </c>
    </row>
    <row r="16">
      <c r="A16" t="inlineStr">
        <is>
          <t>Projected years</t>
        </is>
      </c>
      <c r="B16" t="n">
        <v>3</v>
      </c>
    </row>
    <row r="18">
      <c r="A18" s="3" t="inlineStr">
        <is>
          <t>Projection</t>
        </is>
      </c>
      <c r="B18" s="3" t="inlineStr">
        <is>
          <t>Base</t>
        </is>
      </c>
      <c r="C18" s="3">
        <f>Model!E5</f>
        <v/>
      </c>
      <c r="D18" s="3">
        <f>Model!F5</f>
        <v/>
      </c>
      <c r="E18" s="3">
        <f>Model!G5</f>
        <v/>
      </c>
    </row>
    <row r="19">
      <c r="A19" t="inlineStr">
        <is>
          <t>Year index</t>
        </is>
      </c>
      <c r="B19" t="n">
        <v>0</v>
      </c>
      <c r="C19" t="n">
        <v>1</v>
      </c>
      <c r="D19" t="n">
        <v>2</v>
      </c>
      <c r="E19" t="n">
        <v>3</v>
      </c>
    </row>
    <row r="20">
      <c r="A20" t="inlineStr">
        <is>
          <t>Period end</t>
        </is>
      </c>
      <c r="C20" s="18">
        <f>Valuation!$B$48+ROUND(365.25*C19,0)</f>
        <v/>
      </c>
      <c r="D20" s="18">
        <f>Valuation!$B$48+ROUND(365.25*D19,0)</f>
        <v/>
      </c>
      <c r="E20" s="18">
        <f>Valuation!$B$48+ROUND(365.25*E19,0)</f>
        <v/>
      </c>
    </row>
    <row r="21">
      <c r="A21" t="inlineStr">
        <is>
          <t>Revenue growth</t>
        </is>
      </c>
      <c r="C21" s="16">
        <f>C22/B22-1</f>
        <v/>
      </c>
      <c r="D21" s="16">
        <f>D22/C22-1</f>
        <v/>
      </c>
      <c r="E21" s="16">
        <f>E22/D22-1</f>
        <v/>
      </c>
    </row>
    <row r="22">
      <c r="A22" t="inlineStr">
        <is>
          <t>Revenue</t>
        </is>
      </c>
      <c r="B22" s="21">
        <f>Valuation!$B$49</f>
        <v/>
      </c>
      <c r="C22" s="21">
        <f>C139</f>
        <v/>
      </c>
      <c r="D22" s="21">
        <f>D139</f>
        <v/>
      </c>
      <c r="E22" s="21">
        <f>E139</f>
        <v/>
      </c>
    </row>
    <row r="23">
      <c r="A23" t="inlineStr">
        <is>
          <t>EBIT margin</t>
        </is>
      </c>
      <c r="C23" s="16">
        <f>C24/C22</f>
        <v/>
      </c>
      <c r="D23" s="16">
        <f>D24/D22</f>
        <v/>
      </c>
      <c r="E23" s="16">
        <f>E24/E22</f>
        <v/>
      </c>
    </row>
    <row r="24">
      <c r="A24" t="inlineStr">
        <is>
          <t>EBIT</t>
        </is>
      </c>
      <c r="C24" s="21">
        <f>C142</f>
        <v/>
      </c>
      <c r="D24" s="21">
        <f>D142</f>
        <v/>
      </c>
      <c r="E24" s="21">
        <f>E142</f>
        <v/>
      </c>
    </row>
    <row r="25">
      <c r="A25" t="inlineStr">
        <is>
          <t>Tax rate</t>
        </is>
      </c>
      <c r="C25" s="16">
        <f>Model!E63</f>
        <v/>
      </c>
      <c r="D25" s="16">
        <f>Model!F63</f>
        <v/>
      </c>
      <c r="E25" s="16">
        <f>Model!G63</f>
        <v/>
      </c>
    </row>
    <row r="26">
      <c r="A26" t="inlineStr">
        <is>
          <t>NOPAT</t>
        </is>
      </c>
      <c r="C26" s="21">
        <f>C24*(1-C25)</f>
        <v/>
      </c>
      <c r="D26" s="21">
        <f>D24*(1-D25)</f>
        <v/>
      </c>
      <c r="E26" s="21">
        <f>E24*(1-E25)</f>
        <v/>
      </c>
    </row>
    <row r="27">
      <c r="A27" t="inlineStr">
        <is>
          <t>D&amp;A</t>
        </is>
      </c>
      <c r="C27" s="21">
        <f>C22*(Model!E64)</f>
        <v/>
      </c>
      <c r="D27" s="21">
        <f>D22*(Model!F64)</f>
        <v/>
      </c>
      <c r="E27" s="21">
        <f>E22*(Model!G64)</f>
        <v/>
      </c>
    </row>
    <row r="28">
      <c r="A28" t="inlineStr">
        <is>
          <t>Capex</t>
        </is>
      </c>
      <c r="C28" s="21">
        <f>C22*(Model!E65)</f>
        <v/>
      </c>
      <c r="D28" s="21">
        <f>D22*(Model!F65)</f>
        <v/>
      </c>
      <c r="E28" s="21">
        <f>E22*(Model!G65)</f>
        <v/>
      </c>
    </row>
    <row r="29">
      <c r="A29" t="inlineStr">
        <is>
          <t>Working capital increase</t>
        </is>
      </c>
      <c r="C29" s="21">
        <f>(Model!E66)*(C22-B22)</f>
        <v/>
      </c>
      <c r="D29" s="21">
        <f>(Model!F66)*(D22-C22)</f>
        <v/>
      </c>
      <c r="E29" s="21">
        <f>(Model!G66)*(E22-D22)</f>
        <v/>
      </c>
    </row>
    <row r="30">
      <c r="A30" t="inlineStr">
        <is>
          <t>Stock comp</t>
        </is>
      </c>
      <c r="C30" s="21">
        <f>C22*(Model!E67)</f>
        <v/>
      </c>
      <c r="D30" s="21">
        <f>D22*(Model!F67)</f>
        <v/>
      </c>
      <c r="E30" s="21">
        <f>E22*(Model!G67)</f>
        <v/>
      </c>
    </row>
    <row r="31">
      <c r="A31" t="inlineStr">
        <is>
          <t>Free cash flow to firm</t>
        </is>
      </c>
      <c r="C31" s="21">
        <f>C26+C27-C28-C29-IF(AND(Valuation!$B$46="adjusted",Valuation!$B$47="cost"),C30*(1-C25),0)</f>
        <v/>
      </c>
      <c r="D31" s="21">
        <f>D26+D27-D28-D29-IF(AND(Valuation!$B$46="adjusted",Valuation!$B$47="cost"),D30*(1-D25),0)</f>
        <v/>
      </c>
      <c r="E31" s="21">
        <f>E26+E27-E28-E29-IF(AND(Valuation!$B$46="adjusted",Valuation!$B$47="cost"),E30*(1-E25),0)</f>
        <v/>
      </c>
    </row>
    <row r="32">
      <c r="A32" t="inlineStr">
        <is>
          <t>EBITDA</t>
        </is>
      </c>
      <c r="C32" s="21">
        <f>C24+C27</f>
        <v/>
      </c>
      <c r="D32" s="21">
        <f>D24+D27</f>
        <v/>
      </c>
      <c r="E32" s="21">
        <f>E24+E27</f>
        <v/>
      </c>
    </row>
    <row r="33">
      <c r="A33" t="inlineStr">
        <is>
          <t>Adj. EBITDA</t>
        </is>
      </c>
      <c r="C33" s="21">
        <f>C24+C27+C22*(Model!E71)</f>
        <v/>
      </c>
      <c r="D33" s="21">
        <f>D24+D27+D22*(Model!F71)</f>
        <v/>
      </c>
      <c r="E33" s="21">
        <f>E24+E27+E22*(Model!G71)</f>
        <v/>
      </c>
    </row>
    <row r="34">
      <c r="A34" t="inlineStr">
        <is>
          <t>Shareholder returns + other uses</t>
        </is>
      </c>
      <c r="C34" s="21">
        <f>C22*Model!E69+Model!E68+Model!E70</f>
        <v/>
      </c>
      <c r="D34" s="21">
        <f>D22*Model!F69+Model!F68+Model!F70</f>
        <v/>
      </c>
      <c r="E34" s="21">
        <f>E22*Model!G69+Model!G68+Model!G70</f>
        <v/>
      </c>
    </row>
    <row r="35">
      <c r="A35" t="inlineStr">
        <is>
          <t>Share of year after target date</t>
        </is>
      </c>
      <c r="C35" s="44">
        <f>IF(C19&lt;=$B$13,0,C19-MAX(C19-1,$B$13))</f>
        <v/>
      </c>
      <c r="D35" s="44">
        <f>IF(D19&lt;=$B$13,0,D19-MAX(D19-1,$B$13))</f>
        <v/>
      </c>
      <c r="E35" s="44">
        <f>IF(E19&lt;=$B$13,0,E19-MAX(E19-1,$B$13))</f>
        <v/>
      </c>
    </row>
    <row r="36">
      <c r="A36" t="inlineStr">
        <is>
          <t>PV at target date of FCFF</t>
        </is>
      </c>
      <c r="C36" s="21">
        <f>IF(C35=0,0,C31*C35/(1+$B$12)^(C19-$B$13))</f>
        <v/>
      </c>
      <c r="D36" s="21">
        <f>IF(D35=0,0,D31*D35/(1+$B$12)^(D19-$B$13))</f>
        <v/>
      </c>
      <c r="E36" s="21">
        <f>IF(E35=0,0,E31*E35/(1+$B$12)^(E19-$B$13))</f>
        <v/>
      </c>
    </row>
    <row r="37">
      <c r="A37" t="inlineStr">
        <is>
          <t>Overlap: balance date to target date</t>
        </is>
      </c>
      <c r="C37" s="44">
        <f>MAX(0,MIN(C19,$B$13)-MAX(C19-1,$B$14))</f>
        <v/>
      </c>
      <c r="D37" s="44">
        <f>MAX(0,MIN(D19,$B$13)-MAX(D19-1,$B$14))</f>
        <v/>
      </c>
      <c r="E37" s="44">
        <f>MAX(0,MIN(E19,$B$13)-MAX(E19-1,$B$14))</f>
        <v/>
      </c>
    </row>
    <row r="38">
      <c r="A38" t="inlineStr">
        <is>
          <t>NTM weight at target date</t>
        </is>
      </c>
      <c r="C38" s="44">
        <f>MAX(0,MIN(C19,$B$13+1)-MAX(C19-1,$B$13))</f>
        <v/>
      </c>
      <c r="D38" s="44">
        <f>MAX(0,MIN(D19,$B$13+1)-MAX(D19-1,$B$13))</f>
        <v/>
      </c>
      <c r="E38" s="44">
        <f>MAX(0,MIN(E19,$B$13+1)-MAX(E19-1,$B$13))</f>
        <v/>
      </c>
    </row>
    <row r="39">
      <c r="A39" t="inlineStr">
        <is>
          <t>LTM weight at target date</t>
        </is>
      </c>
      <c r="B39" s="44">
        <f>MAX(0,MIN(0,$B$13)-MAX(-1,$B$13-1))</f>
        <v/>
      </c>
      <c r="C39" s="44">
        <f>MAX(0,MIN(C19,$B$13)-MAX(C19-1,$B$13-1))</f>
        <v/>
      </c>
      <c r="D39" s="44">
        <f>MAX(0,MIN(D19,$B$13)-MAX(D19-1,$B$13-1))</f>
        <v/>
      </c>
      <c r="E39" s="44">
        <f>MAX(0,MIN(E19,$B$13)-MAX(E19-1,$B$13-1))</f>
        <v/>
      </c>
    </row>
    <row r="41">
      <c r="A41" s="17" t="inlineStr">
        <is>
          <t>Value at the target date</t>
        </is>
      </c>
    </row>
    <row r="42">
      <c r="A42" t="inlineStr">
        <is>
          <t>PV of free cash flow after the target date</t>
        </is>
      </c>
      <c r="B42" s="21">
        <f>SUM($C$36:$E$36)</f>
        <v/>
      </c>
    </row>
    <row r="43">
      <c r="A43" t="inlineStr">
        <is>
          <t>Terminal value at final year</t>
        </is>
      </c>
      <c r="B43" s="21">
        <f>IF(Valuation!$B$51="exit_multiple",Valuation!$B$53*E32,E31*(1+Valuation!$B$52)/($B$12-Valuation!$B$52))</f>
        <v/>
      </c>
    </row>
    <row r="44">
      <c r="A44" t="inlineStr">
        <is>
          <t>PV of terminal value at target date</t>
        </is>
      </c>
      <c r="B44" s="21">
        <f>B43/(1+$B$12)^($B$16-$B$13)</f>
        <v/>
      </c>
    </row>
    <row r="45">
      <c r="A45" t="inlineStr">
        <is>
          <t>DCF enterprise value at target date</t>
        </is>
      </c>
      <c r="B45" s="21">
        <f>B42+B44</f>
        <v/>
      </c>
    </row>
    <row r="46">
      <c r="A46" t="inlineStr">
        <is>
          <t>Terminal value share of DCF</t>
        </is>
      </c>
      <c r="B46" s="16">
        <f>B44/B45</f>
        <v/>
      </c>
    </row>
    <row r="47">
      <c r="A47" t="inlineStr">
        <is>
          <t>Free cash flow earned, balance date to target date</t>
        </is>
      </c>
      <c r="B47" s="21">
        <f>SUMPRODUCT($C$37:$E$37,$C$31:$E$31)</f>
        <v/>
      </c>
    </row>
    <row r="48">
      <c r="A48" t="inlineStr">
        <is>
          <t>Shareholder returns + other uses paid</t>
        </is>
      </c>
      <c r="B48" s="21">
        <f>SUMPRODUCT($C$37:$E$37,$C$34:$E$34)</f>
        <v/>
      </c>
    </row>
    <row r="49">
      <c r="A49" t="inlineStr">
        <is>
          <t>Interest drag on net debt</t>
        </is>
      </c>
      <c r="B49" s="21">
        <f>Valuation!$B$57*(1-$C$25)*MAX(Valuation!$B$55,0)*MAX($B$13-$B$14,0)</f>
        <v/>
      </c>
    </row>
    <row r="50">
      <c r="A50" t="inlineStr">
        <is>
          <t>Net debt at target date</t>
        </is>
      </c>
      <c r="B50" s="21">
        <f>IF(Valuation!$B$58="",Valuation!$B$55-B47+B49+B48,Valuation!$B$58)</f>
        <v/>
      </c>
    </row>
    <row r="51">
      <c r="A51" t="inlineStr">
        <is>
          <t>Minority interests</t>
        </is>
      </c>
      <c r="B51" s="21">
        <f>Valuation!$B$56</f>
        <v/>
      </c>
    </row>
    <row r="52">
      <c r="A52" t="inlineStr">
        <is>
          <t>Adjustments (probability-weighted)</t>
        </is>
      </c>
      <c r="B52" s="21">
        <f>(Valuation!B75)*Valuation!C75+0</f>
        <v/>
      </c>
    </row>
    <row r="53">
      <c r="A53" t="inlineStr">
        <is>
          <t>Diluted shares at target date (M)</t>
        </is>
      </c>
      <c r="B53" s="26">
        <f>IF(Valuation!$B$62="",Valuation!$B$59*(1+Valuation!$B$61)^MAX($B$13-$B$15,0),Valuation!$B$62)</f>
        <v/>
      </c>
    </row>
    <row r="54">
      <c r="A54" t="inlineStr">
        <is>
          <t>After-tax interest on target-date net debt</t>
        </is>
      </c>
      <c r="B54" s="21">
        <f>Valuation!$B$57*(1-$C$25)*MAX(B50,0)</f>
        <v/>
      </c>
    </row>
    <row r="55">
      <c r="A55" t="inlineStr">
        <is>
          <t>Check: WACC vs terminal growth</t>
        </is>
      </c>
      <c r="B55">
        <f>IF(AND(Valuation!$B$51&lt;&gt;"exit_multiple",$B$12&lt;=Valuation!$B$52+0.01),"WACC must exceed terminal growth by 1 point","ok")</f>
        <v/>
      </c>
    </row>
    <row r="56">
      <c r="A56" t="inlineStr">
        <is>
          <t>Check: projection length</t>
        </is>
      </c>
      <c r="B56">
        <f>IF(OR($B$13&gt;=$B$16-1,$B$13+1&gt;$B$16),"add projected years past the target date","ok")</f>
        <v/>
      </c>
    </row>
    <row r="58">
      <c r="A58" s="3" t="inlineStr">
        <is>
          <t>Metric at target date</t>
        </is>
      </c>
      <c r="B58" s="3" t="inlineStr">
        <is>
          <t>Next 12 months</t>
        </is>
      </c>
      <c r="C58" s="3" t="inlineStr">
        <is>
          <t>Last 12 months</t>
        </is>
      </c>
    </row>
    <row r="59">
      <c r="A59" t="inlineStr">
        <is>
          <t>Revenue</t>
        </is>
      </c>
      <c r="B59" s="21">
        <f>SUMPRODUCT($C$38:$E$38,$C$22:$E$22)</f>
        <v/>
      </c>
      <c r="C59" s="21">
        <f>SUMPRODUCT($C$39:$E$39,$C$22:$E$22)+$B$39*$B$22</f>
        <v/>
      </c>
    </row>
    <row r="60">
      <c r="A60" t="inlineStr">
        <is>
          <t>EBIT</t>
        </is>
      </c>
      <c r="B60" s="21">
        <f>SUMPRODUCT($C$38:$E$38,$C$24:$E$24)</f>
        <v/>
      </c>
      <c r="C60" s="21">
        <f>SUMPRODUCT($C$39:$E$39,$C$24:$E$24)</f>
        <v/>
      </c>
    </row>
    <row r="61">
      <c r="A61" t="inlineStr">
        <is>
          <t>EBITDA</t>
        </is>
      </c>
      <c r="B61" s="21">
        <f>SUMPRODUCT($C$38:$E$38,$C$32:$E$32)</f>
        <v/>
      </c>
      <c r="C61" s="21">
        <f>SUMPRODUCT($C$39:$E$39,$C$32:$E$32)</f>
        <v/>
      </c>
    </row>
    <row r="62">
      <c r="A62" t="inlineStr">
        <is>
          <t>Adj. EBITDA</t>
        </is>
      </c>
      <c r="B62" s="21">
        <f>SUMPRODUCT($C$38:$E$38,$C$33:$E$33)</f>
        <v/>
      </c>
      <c r="C62" s="21">
        <f>SUMPRODUCT($C$39:$E$39,$C$33:$E$33)</f>
        <v/>
      </c>
    </row>
    <row r="63">
      <c r="A63" t="inlineStr">
        <is>
          <t>NOPAT</t>
        </is>
      </c>
      <c r="B63" s="21">
        <f>SUMPRODUCT($C$38:$E$38,$C$26:$E$26)</f>
        <v/>
      </c>
      <c r="C63" s="21">
        <f>SUMPRODUCT($C$39:$E$39,$C$26:$E$26)</f>
        <v/>
      </c>
    </row>
    <row r="64">
      <c r="A64" t="inlineStr">
        <is>
          <t>Free cash flow to firm</t>
        </is>
      </c>
      <c r="B64" s="21">
        <f>SUMPRODUCT($C$38:$E$38,$C$31:$E$31)</f>
        <v/>
      </c>
      <c r="C64" s="21">
        <f>SUMPRODUCT($C$39:$E$39,$C$31:$E$31)</f>
        <v/>
      </c>
    </row>
    <row r="66">
      <c r="A66" s="3" t="inlineStr">
        <is>
          <t>Valuation method</t>
        </is>
      </c>
      <c r="B66" s="3" t="inlineStr">
        <is>
          <t>Metric</t>
        </is>
      </c>
      <c r="C66" s="3" t="inlineStr">
        <is>
          <t>Multiple used</t>
        </is>
      </c>
      <c r="D66" s="3" t="inlineStr">
        <is>
          <t>Basis</t>
        </is>
      </c>
      <c r="E66" s="3" t="inlineStr">
        <is>
          <t>Metric at target date</t>
        </is>
      </c>
      <c r="F66" s="3" t="inlineStr">
        <is>
          <t>Value per share</t>
        </is>
      </c>
      <c r="G66" s="3" t="inlineStr">
        <is>
          <t>Weight</t>
        </is>
      </c>
      <c r="H66" s="3" t="inlineStr">
        <is>
          <t>Metric key</t>
        </is>
      </c>
      <c r="I66" s="3" t="inlineStr">
        <is>
          <t>Metric shown (stated per-share figure when used)</t>
        </is>
      </c>
    </row>
    <row r="67">
      <c r="A67" t="inlineStr">
        <is>
          <t>DCF (cash flow to target date + terminal)</t>
        </is>
      </c>
      <c r="F67" s="9">
        <f>((B45)-$B$50-$B$51+$B$52)/$B$53</f>
        <v/>
      </c>
      <c r="G67" s="16">
        <f>Valuation!$B$63</f>
        <v/>
      </c>
    </row>
    <row r="68">
      <c r="A68">
        <f>"Multiple: "&amp;Valuation!A69&amp;" ("&amp;Valuation!D69&amp;")"</f>
        <v/>
      </c>
      <c r="B68">
        <f>Valuation!A69</f>
        <v/>
      </c>
      <c r="C68" s="9">
        <f>IF(B68="FCF yield",(Valuation!B69)*(1-$B$8),(Valuation!B69)+IF(B68="EV/sales",0.1,1)*$B$6)</f>
        <v/>
      </c>
      <c r="D68">
        <f>Valuation!D69</f>
        <v/>
      </c>
      <c r="E68" s="21">
        <f>IF(D68="ltm",CHOOSE(H68,$C$59,$C$60,$C$61,$C$62,$C$63,$C$64),CHOOSE(H68,$B$59,$B$60,$B$61,$B$62,$B$63,$B$64))</f>
        <v/>
      </c>
      <c r="F68" s="9">
        <f>IF(OR(B68="EV/EBITDA",B68="EV/sales",B68="EV/EBIT"),((C68*E68)-$B$50-$B$51+$B$52)/$B$53,IF(B68="P/E",IF(Valuation!F69&lt;&gt;"",C68*(Valuation!F69)*(1+$B$9),C68*(E68-$B$54)/$B$53),IF(Valuation!G69&lt;&gt;"",(Valuation!G69)*(1+$B$9)/C68,(E68-IF(Valuation!H69,$B$54,0))/C68/$B$53))+$B$52/$B$53)</f>
        <v/>
      </c>
      <c r="G68" s="16">
        <f>Valuation!C69</f>
        <v/>
      </c>
      <c r="H68">
        <f>IF(B68="EV/sales",1,IF(B68="EV/EBIT",2,IF(B68="EV/EBITDA",IF(Valuation!E69="adjusted",4,3),IF(B68="P/E",5,6))))</f>
        <v/>
      </c>
      <c r="I68" s="45">
        <f>IF(AND(B68="P/E",Valuation!F69&lt;&gt;""),(Valuation!F69)*(1+$B$9),IF(AND(B68="FCF yield",Valuation!G69&lt;&gt;""),(Valuation!G69)*(1+$B$9),E68))</f>
        <v/>
      </c>
    </row>
    <row r="69">
      <c r="A69" s="17" t="inlineStr">
        <is>
          <t>Value per share at target date (weighted methods)</t>
        </is>
      </c>
      <c r="F69" s="6">
        <f>SUMPRODUCT(F67:F68,G67:G68)/SUM(G67:G68)</f>
        <v/>
      </c>
    </row>
    <row r="129">
      <c r="A129" s="17" t="inlineStr">
        <is>
          <t>Segment build (model_engine.seg_build): revenue and EBIT are the segment sums plus corporate EBIT</t>
        </is>
      </c>
    </row>
    <row r="130">
      <c r="A130" s="3" t="inlineStr">
        <is>
          <t>Segment</t>
        </is>
      </c>
      <c r="B130" s="3" t="inlineStr">
        <is>
          <t>Base</t>
        </is>
      </c>
      <c r="C130" s="3">
        <f>Model!E5</f>
        <v/>
      </c>
      <c r="D130" s="3">
        <f>Model!F5</f>
        <v/>
      </c>
      <c r="E130" s="3">
        <f>Model!G5</f>
        <v/>
      </c>
    </row>
    <row r="131">
      <c r="A131" t="inlineStr">
        <is>
          <t>Generation: revenue growth</t>
        </is>
      </c>
      <c r="C131" s="16">
        <f>Model!E12+$B$4</f>
        <v/>
      </c>
      <c r="D131" s="16">
        <f>Model!F12+$B$4</f>
        <v/>
      </c>
      <c r="E131" s="16">
        <f>Model!G12+$B$4</f>
        <v/>
      </c>
    </row>
    <row r="132">
      <c r="A132" t="inlineStr">
        <is>
          <t>Generation: revenue</t>
        </is>
      </c>
      <c r="B132" s="10">
        <f>Valuation!$B$86</f>
        <v/>
      </c>
      <c r="C132" s="21">
        <f>B132*(1+C131)</f>
        <v/>
      </c>
      <c r="D132" s="21">
        <f>C132*(1+D131)</f>
        <v/>
      </c>
      <c r="E132" s="21">
        <f>D132*(1+E131)</f>
        <v/>
      </c>
    </row>
    <row r="133">
      <c r="A133" t="inlineStr">
        <is>
          <t>Generation: EBIT margin</t>
        </is>
      </c>
      <c r="C133" s="16">
        <f>Model!E14+$B$5</f>
        <v/>
      </c>
      <c r="D133" s="16">
        <f>Model!F14+$B$5</f>
        <v/>
      </c>
      <c r="E133" s="16">
        <f>Model!G14+$B$5</f>
        <v/>
      </c>
    </row>
    <row r="134">
      <c r="A134" t="inlineStr">
        <is>
          <t>Generation: EBIT</t>
        </is>
      </c>
      <c r="C134" s="21">
        <f>C132*C133</f>
        <v/>
      </c>
      <c r="D134" s="21">
        <f>D132*D133</f>
        <v/>
      </c>
      <c r="E134" s="21">
        <f>E132*E133</f>
        <v/>
      </c>
    </row>
    <row r="135">
      <c r="A135" t="inlineStr">
        <is>
          <t>Retail: revenue growth</t>
        </is>
      </c>
      <c r="C135" s="16">
        <f>Model!E16+$B$4</f>
        <v/>
      </c>
      <c r="D135" s="16">
        <f>Model!F16+$B$4</f>
        <v/>
      </c>
      <c r="E135" s="16">
        <f>Model!G16+$B$4</f>
        <v/>
      </c>
    </row>
    <row r="136">
      <c r="A136" t="inlineStr">
        <is>
          <t>Retail: revenue</t>
        </is>
      </c>
      <c r="B136" s="10">
        <f>Valuation!$B$87</f>
        <v/>
      </c>
      <c r="C136" s="21">
        <f>B136*(1+C135)</f>
        <v/>
      </c>
      <c r="D136" s="21">
        <f>C136*(1+D135)</f>
        <v/>
      </c>
      <c r="E136" s="21">
        <f>D136*(1+E135)</f>
        <v/>
      </c>
    </row>
    <row r="137">
      <c r="A137" t="inlineStr">
        <is>
          <t>Retail: EBIT margin</t>
        </is>
      </c>
      <c r="C137" s="16">
        <f>Model!E18+$B$5</f>
        <v/>
      </c>
      <c r="D137" s="16">
        <f>Model!F18+$B$5</f>
        <v/>
      </c>
      <c r="E137" s="16">
        <f>Model!G18+$B$5</f>
        <v/>
      </c>
    </row>
    <row r="138">
      <c r="A138" t="inlineStr">
        <is>
          <t>Retail: EBIT</t>
        </is>
      </c>
      <c r="C138" s="21">
        <f>C136*C137</f>
        <v/>
      </c>
      <c r="D138" s="21">
        <f>D136*D137</f>
        <v/>
      </c>
      <c r="E138" s="21">
        <f>E136*E137</f>
        <v/>
      </c>
    </row>
    <row r="139">
      <c r="A139" s="17" t="inlineStr">
        <is>
          <t>Total segment revenue</t>
        </is>
      </c>
      <c r="C139" s="21">
        <f>C132+C136</f>
        <v/>
      </c>
      <c r="D139" s="21">
        <f>D132+D136</f>
        <v/>
      </c>
      <c r="E139" s="21">
        <f>E132+E136</f>
        <v/>
      </c>
    </row>
    <row r="140">
      <c r="A140" t="inlineStr">
        <is>
          <t>Total segment EBIT</t>
        </is>
      </c>
      <c r="C140" s="21">
        <f>C134+C138</f>
        <v/>
      </c>
      <c r="D140" s="21">
        <f>D134+D138</f>
        <v/>
      </c>
      <c r="E140" s="21">
        <f>E134+E138</f>
        <v/>
      </c>
    </row>
    <row r="141">
      <c r="A141" t="inlineStr">
        <is>
          <t>Corporate / unallocated EBIT</t>
        </is>
      </c>
      <c r="C141" s="10">
        <f>Model!E21</f>
        <v/>
      </c>
      <c r="D141" s="10">
        <f>Model!F21</f>
        <v/>
      </c>
      <c r="E141" s="10">
        <f>Model!G21</f>
        <v/>
      </c>
    </row>
    <row r="142">
      <c r="A142" s="17" t="inlineStr">
        <is>
          <t>EBIT (segments + corporate)</t>
        </is>
      </c>
      <c r="C142" s="21">
        <f>C140+C141</f>
        <v/>
      </c>
      <c r="D142" s="21">
        <f>D140+D141</f>
        <v/>
      </c>
      <c r="E142" s="21">
        <f>E140+E141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60"/>
  <sheetViews>
    <sheetView showGridLines="0" workbookViewId="0">
      <pane xSplit="1" ySplit="18" topLeftCell="B1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>
      <c r="A1" s="1" t="inlineStr">
        <is>
          <t>VST engine calculation: bull scenario</t>
        </is>
      </c>
    </row>
    <row r="2">
      <c r="A2" s="2" t="inlineStr">
        <is>
          <t>Machinery behind the Valuation and Distribution tabs; drivers come from Model, assumptions from Valuation.</t>
        </is>
      </c>
    </row>
    <row r="4">
      <c r="A4" t="inlineStr">
        <is>
          <t>Scenario Growth Δ</t>
        </is>
      </c>
      <c r="B4" s="12">
        <f>N(Valuation!C83)</f>
        <v/>
      </c>
    </row>
    <row r="5">
      <c r="A5" t="inlineStr">
        <is>
          <t>Scenario Margin Δ</t>
        </is>
      </c>
      <c r="B5" s="12">
        <f>N(Valuation!D83)</f>
        <v/>
      </c>
    </row>
    <row r="6">
      <c r="A6" t="inlineStr">
        <is>
          <t>Scenario Multiple Δ (turns)</t>
        </is>
      </c>
      <c r="B6" s="46">
        <f>N(Valuation!E83)</f>
        <v/>
      </c>
    </row>
    <row r="7">
      <c r="A7" t="inlineStr">
        <is>
          <t>Scenario WACC Δ</t>
        </is>
      </c>
      <c r="B7" s="12">
        <f>N(Valuation!F83)</f>
        <v/>
      </c>
    </row>
    <row r="8">
      <c r="A8" t="inlineStr">
        <is>
          <t>Scenario Multiple %Δ</t>
        </is>
      </c>
      <c r="B8" s="12">
        <f>N(Valuation!G83)</f>
        <v/>
      </c>
    </row>
    <row r="9">
      <c r="A9" t="inlineStr">
        <is>
          <t>Scenario Stated EPS/FCF %Δ</t>
        </is>
      </c>
      <c r="B9" s="12">
        <f>N(Valuation!H83)</f>
        <v/>
      </c>
    </row>
    <row r="10">
      <c r="A10" t="inlineStr">
        <is>
          <t>Scenario Custom %Δ</t>
        </is>
      </c>
      <c r="B10" s="12">
        <f>N(Valuation!I83)</f>
        <v/>
      </c>
    </row>
    <row r="12">
      <c r="A12" t="inlineStr">
        <is>
          <t>WACC</t>
        </is>
      </c>
      <c r="B12" s="16">
        <f>Valuation!$B$50+B7</f>
        <v/>
      </c>
    </row>
    <row r="13">
      <c r="A13" t="inlineStr">
        <is>
          <t>Years from last FY end to target date</t>
        </is>
      </c>
      <c r="B13" s="44">
        <f>(Valuation!$B$44-Valuation!$B$48)/365.25</f>
        <v/>
      </c>
    </row>
    <row r="14">
      <c r="A14" t="inlineStr">
        <is>
          <t>Years from last FY end to balance date</t>
        </is>
      </c>
      <c r="B14" s="44">
        <f>(Valuation!$B$54-Valuation!$B$48)/365.25</f>
        <v/>
      </c>
    </row>
    <row r="15">
      <c r="A15" t="inlineStr">
        <is>
          <t>Years from last FY end to share count date</t>
        </is>
      </c>
      <c r="B15" s="44">
        <f>(Valuation!$B$60-Valuation!$B$48)/365.25</f>
        <v/>
      </c>
    </row>
    <row r="16">
      <c r="A16" t="inlineStr">
        <is>
          <t>Projected years</t>
        </is>
      </c>
      <c r="B16" t="n">
        <v>3</v>
      </c>
    </row>
    <row r="18">
      <c r="A18" s="3" t="inlineStr">
        <is>
          <t>Projection</t>
        </is>
      </c>
      <c r="B18" s="3" t="inlineStr">
        <is>
          <t>Base</t>
        </is>
      </c>
      <c r="C18" s="3">
        <f>Model!E5</f>
        <v/>
      </c>
      <c r="D18" s="3">
        <f>Model!F5</f>
        <v/>
      </c>
      <c r="E18" s="3">
        <f>Model!G5</f>
        <v/>
      </c>
    </row>
    <row r="19">
      <c r="A19" t="inlineStr">
        <is>
          <t>Year index</t>
        </is>
      </c>
      <c r="B19" t="n">
        <v>0</v>
      </c>
      <c r="C19" t="n">
        <v>1</v>
      </c>
      <c r="D19" t="n">
        <v>2</v>
      </c>
      <c r="E19" t="n">
        <v>3</v>
      </c>
    </row>
    <row r="20">
      <c r="A20" t="inlineStr">
        <is>
          <t>Period end</t>
        </is>
      </c>
      <c r="C20" s="18">
        <f>Valuation!$B$48+ROUND(365.25*C19,0)</f>
        <v/>
      </c>
      <c r="D20" s="18">
        <f>Valuation!$B$48+ROUND(365.25*D19,0)</f>
        <v/>
      </c>
      <c r="E20" s="18">
        <f>Valuation!$B$48+ROUND(365.25*E19,0)</f>
        <v/>
      </c>
    </row>
    <row r="21">
      <c r="A21" t="inlineStr">
        <is>
          <t>Revenue growth</t>
        </is>
      </c>
      <c r="C21" s="16">
        <f>C22/B22-1</f>
        <v/>
      </c>
      <c r="D21" s="16">
        <f>D22/C22-1</f>
        <v/>
      </c>
      <c r="E21" s="16">
        <f>E22/D22-1</f>
        <v/>
      </c>
    </row>
    <row r="22">
      <c r="A22" t="inlineStr">
        <is>
          <t>Revenue</t>
        </is>
      </c>
      <c r="B22" s="21">
        <f>Valuation!$B$49</f>
        <v/>
      </c>
      <c r="C22" s="21">
        <f>C139</f>
        <v/>
      </c>
      <c r="D22" s="21">
        <f>D139</f>
        <v/>
      </c>
      <c r="E22" s="21">
        <f>E139</f>
        <v/>
      </c>
    </row>
    <row r="23">
      <c r="A23" t="inlineStr">
        <is>
          <t>EBIT margin</t>
        </is>
      </c>
      <c r="C23" s="16">
        <f>C24/C22</f>
        <v/>
      </c>
      <c r="D23" s="16">
        <f>D24/D22</f>
        <v/>
      </c>
      <c r="E23" s="16">
        <f>E24/E22</f>
        <v/>
      </c>
    </row>
    <row r="24">
      <c r="A24" t="inlineStr">
        <is>
          <t>EBIT</t>
        </is>
      </c>
      <c r="C24" s="21">
        <f>C142</f>
        <v/>
      </c>
      <c r="D24" s="21">
        <f>D142</f>
        <v/>
      </c>
      <c r="E24" s="21">
        <f>E142</f>
        <v/>
      </c>
    </row>
    <row r="25">
      <c r="A25" t="inlineStr">
        <is>
          <t>Tax rate</t>
        </is>
      </c>
      <c r="C25" s="16">
        <f>Model!E63</f>
        <v/>
      </c>
      <c r="D25" s="16">
        <f>Model!F63</f>
        <v/>
      </c>
      <c r="E25" s="16">
        <f>Model!G63</f>
        <v/>
      </c>
    </row>
    <row r="26">
      <c r="A26" t="inlineStr">
        <is>
          <t>NOPAT</t>
        </is>
      </c>
      <c r="C26" s="21">
        <f>C24*(1-C25)</f>
        <v/>
      </c>
      <c r="D26" s="21">
        <f>D24*(1-D25)</f>
        <v/>
      </c>
      <c r="E26" s="21">
        <f>E24*(1-E25)</f>
        <v/>
      </c>
    </row>
    <row r="27">
      <c r="A27" t="inlineStr">
        <is>
          <t>D&amp;A</t>
        </is>
      </c>
      <c r="C27" s="21">
        <f>C22*(Model!E64)</f>
        <v/>
      </c>
      <c r="D27" s="21">
        <f>D22*(Model!F64)</f>
        <v/>
      </c>
      <c r="E27" s="21">
        <f>E22*(Model!G64)</f>
        <v/>
      </c>
    </row>
    <row r="28">
      <c r="A28" t="inlineStr">
        <is>
          <t>Capex</t>
        </is>
      </c>
      <c r="C28" s="21">
        <f>C22*(Model!E65)</f>
        <v/>
      </c>
      <c r="D28" s="21">
        <f>D22*(Model!F65)</f>
        <v/>
      </c>
      <c r="E28" s="21">
        <f>E22*(Model!G65)</f>
        <v/>
      </c>
    </row>
    <row r="29">
      <c r="A29" t="inlineStr">
        <is>
          <t>Working capital increase</t>
        </is>
      </c>
      <c r="C29" s="21">
        <f>(Model!E66)*(C22-B22)</f>
        <v/>
      </c>
      <c r="D29" s="21">
        <f>(Model!F66)*(D22-C22)</f>
        <v/>
      </c>
      <c r="E29" s="21">
        <f>(Model!G66)*(E22-D22)</f>
        <v/>
      </c>
    </row>
    <row r="30">
      <c r="A30" t="inlineStr">
        <is>
          <t>Stock comp</t>
        </is>
      </c>
      <c r="C30" s="21">
        <f>C22*(Model!E67)</f>
        <v/>
      </c>
      <c r="D30" s="21">
        <f>D22*(Model!F67)</f>
        <v/>
      </c>
      <c r="E30" s="21">
        <f>E22*(Model!G67)</f>
        <v/>
      </c>
    </row>
    <row r="31">
      <c r="A31" t="inlineStr">
        <is>
          <t>Free cash flow to firm</t>
        </is>
      </c>
      <c r="C31" s="21">
        <f>C26+C27-C28-C29-IF(AND(Valuation!$B$46="adjusted",Valuation!$B$47="cost"),C30*(1-C25),0)</f>
        <v/>
      </c>
      <c r="D31" s="21">
        <f>D26+D27-D28-D29-IF(AND(Valuation!$B$46="adjusted",Valuation!$B$47="cost"),D30*(1-D25),0)</f>
        <v/>
      </c>
      <c r="E31" s="21">
        <f>E26+E27-E28-E29-IF(AND(Valuation!$B$46="adjusted",Valuation!$B$47="cost"),E30*(1-E25),0)</f>
        <v/>
      </c>
    </row>
    <row r="32">
      <c r="A32" t="inlineStr">
        <is>
          <t>EBITDA</t>
        </is>
      </c>
      <c r="C32" s="21">
        <f>C24+C27</f>
        <v/>
      </c>
      <c r="D32" s="21">
        <f>D24+D27</f>
        <v/>
      </c>
      <c r="E32" s="21">
        <f>E24+E27</f>
        <v/>
      </c>
    </row>
    <row r="33">
      <c r="A33" t="inlineStr">
        <is>
          <t>Adj. EBITDA</t>
        </is>
      </c>
      <c r="C33" s="21">
        <f>C24+C27+C22*(Model!E71)</f>
        <v/>
      </c>
      <c r="D33" s="21">
        <f>D24+D27+D22*(Model!F71)</f>
        <v/>
      </c>
      <c r="E33" s="21">
        <f>E24+E27+E22*(Model!G71)</f>
        <v/>
      </c>
    </row>
    <row r="34">
      <c r="A34" t="inlineStr">
        <is>
          <t>Shareholder returns + other uses</t>
        </is>
      </c>
      <c r="C34" s="21">
        <f>C22*Model!E69+Model!E68+Model!E70</f>
        <v/>
      </c>
      <c r="D34" s="21">
        <f>D22*Model!F69+Model!F68+Model!F70</f>
        <v/>
      </c>
      <c r="E34" s="21">
        <f>E22*Model!G69+Model!G68+Model!G70</f>
        <v/>
      </c>
    </row>
    <row r="35">
      <c r="A35" t="inlineStr">
        <is>
          <t>Share of year after target date</t>
        </is>
      </c>
      <c r="C35" s="44">
        <f>IF(C19&lt;=$B$13,0,C19-MAX(C19-1,$B$13))</f>
        <v/>
      </c>
      <c r="D35" s="44">
        <f>IF(D19&lt;=$B$13,0,D19-MAX(D19-1,$B$13))</f>
        <v/>
      </c>
      <c r="E35" s="44">
        <f>IF(E19&lt;=$B$13,0,E19-MAX(E19-1,$B$13))</f>
        <v/>
      </c>
    </row>
    <row r="36">
      <c r="A36" t="inlineStr">
        <is>
          <t>PV at target date of FCFF</t>
        </is>
      </c>
      <c r="C36" s="21">
        <f>IF(C35=0,0,C31*C35/(1+$B$12)^(C19-$B$13))</f>
        <v/>
      </c>
      <c r="D36" s="21">
        <f>IF(D35=0,0,D31*D35/(1+$B$12)^(D19-$B$13))</f>
        <v/>
      </c>
      <c r="E36" s="21">
        <f>IF(E35=0,0,E31*E35/(1+$B$12)^(E19-$B$13))</f>
        <v/>
      </c>
    </row>
    <row r="37">
      <c r="A37" t="inlineStr">
        <is>
          <t>Overlap: balance date to target date</t>
        </is>
      </c>
      <c r="C37" s="44">
        <f>MAX(0,MIN(C19,$B$13)-MAX(C19-1,$B$14))</f>
        <v/>
      </c>
      <c r="D37" s="44">
        <f>MAX(0,MIN(D19,$B$13)-MAX(D19-1,$B$14))</f>
        <v/>
      </c>
      <c r="E37" s="44">
        <f>MAX(0,MIN(E19,$B$13)-MAX(E19-1,$B$14))</f>
        <v/>
      </c>
    </row>
    <row r="38">
      <c r="A38" t="inlineStr">
        <is>
          <t>NTM weight at target date</t>
        </is>
      </c>
      <c r="C38" s="44">
        <f>MAX(0,MIN(C19,$B$13+1)-MAX(C19-1,$B$13))</f>
        <v/>
      </c>
      <c r="D38" s="44">
        <f>MAX(0,MIN(D19,$B$13+1)-MAX(D19-1,$B$13))</f>
        <v/>
      </c>
      <c r="E38" s="44">
        <f>MAX(0,MIN(E19,$B$13+1)-MAX(E19-1,$B$13))</f>
        <v/>
      </c>
    </row>
    <row r="39">
      <c r="A39" t="inlineStr">
        <is>
          <t>LTM weight at target date</t>
        </is>
      </c>
      <c r="B39" s="44">
        <f>MAX(0,MIN(0,$B$13)-MAX(-1,$B$13-1))</f>
        <v/>
      </c>
      <c r="C39" s="44">
        <f>MAX(0,MIN(C19,$B$13)-MAX(C19-1,$B$13-1))</f>
        <v/>
      </c>
      <c r="D39" s="44">
        <f>MAX(0,MIN(D19,$B$13)-MAX(D19-1,$B$13-1))</f>
        <v/>
      </c>
      <c r="E39" s="44">
        <f>MAX(0,MIN(E19,$B$13)-MAX(E19-1,$B$13-1))</f>
        <v/>
      </c>
    </row>
    <row r="41">
      <c r="A41" s="17" t="inlineStr">
        <is>
          <t>Value at the target date</t>
        </is>
      </c>
    </row>
    <row r="42">
      <c r="A42" t="inlineStr">
        <is>
          <t>PV of free cash flow after the target date</t>
        </is>
      </c>
      <c r="B42" s="21">
        <f>SUM($C$36:$E$36)</f>
        <v/>
      </c>
    </row>
    <row r="43">
      <c r="A43" t="inlineStr">
        <is>
          <t>Terminal value at final year</t>
        </is>
      </c>
      <c r="B43" s="21">
        <f>IF(Valuation!$B$51="exit_multiple",Valuation!$B$53*E32,E31*(1+Valuation!$B$52)/($B$12-Valuation!$B$52))</f>
        <v/>
      </c>
    </row>
    <row r="44">
      <c r="A44" t="inlineStr">
        <is>
          <t>PV of terminal value at target date</t>
        </is>
      </c>
      <c r="B44" s="21">
        <f>B43/(1+$B$12)^($B$16-$B$13)</f>
        <v/>
      </c>
    </row>
    <row r="45">
      <c r="A45" t="inlineStr">
        <is>
          <t>DCF enterprise value at target date</t>
        </is>
      </c>
      <c r="B45" s="21">
        <f>B42+B44</f>
        <v/>
      </c>
    </row>
    <row r="46">
      <c r="A46" t="inlineStr">
        <is>
          <t>Terminal value share of DCF</t>
        </is>
      </c>
      <c r="B46" s="16">
        <f>B44/B45</f>
        <v/>
      </c>
    </row>
    <row r="47">
      <c r="A47" t="inlineStr">
        <is>
          <t>Free cash flow earned, balance date to target date</t>
        </is>
      </c>
      <c r="B47" s="21">
        <f>SUMPRODUCT($C$37:$E$37,$C$31:$E$31)</f>
        <v/>
      </c>
    </row>
    <row r="48">
      <c r="A48" t="inlineStr">
        <is>
          <t>Shareholder returns + other uses paid</t>
        </is>
      </c>
      <c r="B48" s="21">
        <f>SUMPRODUCT($C$37:$E$37,$C$34:$E$34)</f>
        <v/>
      </c>
    </row>
    <row r="49">
      <c r="A49" t="inlineStr">
        <is>
          <t>Interest drag on net debt</t>
        </is>
      </c>
      <c r="B49" s="21">
        <f>Valuation!$B$57*(1-$C$25)*MAX(Valuation!$B$55,0)*MAX($B$13-$B$14,0)</f>
        <v/>
      </c>
    </row>
    <row r="50">
      <c r="A50" t="inlineStr">
        <is>
          <t>Net debt at target date</t>
        </is>
      </c>
      <c r="B50" s="21">
        <f>IF(Valuation!$B$58="",Valuation!$B$55-B47+B49+B48,Valuation!$B$58+$B$260)</f>
        <v/>
      </c>
    </row>
    <row r="51">
      <c r="A51" t="inlineStr">
        <is>
          <t>Minority interests</t>
        </is>
      </c>
      <c r="B51" s="21">
        <f>Valuation!$B$56</f>
        <v/>
      </c>
    </row>
    <row r="52">
      <c r="A52" t="inlineStr">
        <is>
          <t>Adjustments (probability-weighted)</t>
        </is>
      </c>
      <c r="B52" s="21">
        <f>(Valuation!B75)*Valuation!C75+0</f>
        <v/>
      </c>
    </row>
    <row r="53">
      <c r="A53" t="inlineStr">
        <is>
          <t>Diluted shares at target date (M)</t>
        </is>
      </c>
      <c r="B53" s="26">
        <f>IF(Valuation!$B$62="",Valuation!$B$59*(1+Valuation!$B$61)^MAX($B$13-$B$15,0),Valuation!$B$62)</f>
        <v/>
      </c>
    </row>
    <row r="54">
      <c r="A54" t="inlineStr">
        <is>
          <t>After-tax interest on target-date net debt</t>
        </is>
      </c>
      <c r="B54" s="21">
        <f>Valuation!$B$57*(1-$C$25)*MAX(B50,0)</f>
        <v/>
      </c>
    </row>
    <row r="55">
      <c r="A55" t="inlineStr">
        <is>
          <t>Check: WACC vs terminal growth</t>
        </is>
      </c>
      <c r="B55">
        <f>IF(AND(Valuation!$B$51&lt;&gt;"exit_multiple",$B$12&lt;=Valuation!$B$52+0.01),"WACC must exceed terminal growth by 1 point","ok")</f>
        <v/>
      </c>
    </row>
    <row r="56">
      <c r="A56" t="inlineStr">
        <is>
          <t>Check: projection length</t>
        </is>
      </c>
      <c r="B56">
        <f>IF(OR($B$13&gt;=$B$16-1,$B$13+1&gt;$B$16),"add projected years past the target date","ok")</f>
        <v/>
      </c>
    </row>
    <row r="58">
      <c r="A58" s="3" t="inlineStr">
        <is>
          <t>Metric at target date</t>
        </is>
      </c>
      <c r="B58" s="3" t="inlineStr">
        <is>
          <t>Next 12 months</t>
        </is>
      </c>
      <c r="C58" s="3" t="inlineStr">
        <is>
          <t>Last 12 months</t>
        </is>
      </c>
    </row>
    <row r="59">
      <c r="A59" t="inlineStr">
        <is>
          <t>Revenue</t>
        </is>
      </c>
      <c r="B59" s="21">
        <f>SUMPRODUCT($C$38:$E$38,$C$22:$E$22)</f>
        <v/>
      </c>
      <c r="C59" s="21">
        <f>SUMPRODUCT($C$39:$E$39,$C$22:$E$22)+$B$39*$B$22</f>
        <v/>
      </c>
    </row>
    <row r="60">
      <c r="A60" t="inlineStr">
        <is>
          <t>EBIT</t>
        </is>
      </c>
      <c r="B60" s="21">
        <f>SUMPRODUCT($C$38:$E$38,$C$24:$E$24)</f>
        <v/>
      </c>
      <c r="C60" s="21">
        <f>SUMPRODUCT($C$39:$E$39,$C$24:$E$24)</f>
        <v/>
      </c>
    </row>
    <row r="61">
      <c r="A61" t="inlineStr">
        <is>
          <t>EBITDA</t>
        </is>
      </c>
      <c r="B61" s="21">
        <f>SUMPRODUCT($C$38:$E$38,$C$32:$E$32)</f>
        <v/>
      </c>
      <c r="C61" s="21">
        <f>SUMPRODUCT($C$39:$E$39,$C$32:$E$32)</f>
        <v/>
      </c>
    </row>
    <row r="62">
      <c r="A62" t="inlineStr">
        <is>
          <t>Adj. EBITDA</t>
        </is>
      </c>
      <c r="B62" s="21">
        <f>SUMPRODUCT($C$38:$E$38,$C$33:$E$33)</f>
        <v/>
      </c>
      <c r="C62" s="21">
        <f>SUMPRODUCT($C$39:$E$39,$C$33:$E$33)</f>
        <v/>
      </c>
    </row>
    <row r="63">
      <c r="A63" t="inlineStr">
        <is>
          <t>NOPAT</t>
        </is>
      </c>
      <c r="B63" s="21">
        <f>SUMPRODUCT($C$38:$E$38,$C$26:$E$26)</f>
        <v/>
      </c>
      <c r="C63" s="21">
        <f>SUMPRODUCT($C$39:$E$39,$C$26:$E$26)</f>
        <v/>
      </c>
    </row>
    <row r="64">
      <c r="A64" t="inlineStr">
        <is>
          <t>Free cash flow to firm</t>
        </is>
      </c>
      <c r="B64" s="21">
        <f>SUMPRODUCT($C$38:$E$38,$C$31:$E$31)</f>
        <v/>
      </c>
      <c r="C64" s="21">
        <f>SUMPRODUCT($C$39:$E$39,$C$31:$E$31)</f>
        <v/>
      </c>
    </row>
    <row r="66">
      <c r="A66" s="3" t="inlineStr">
        <is>
          <t>Valuation method</t>
        </is>
      </c>
      <c r="B66" s="3" t="inlineStr">
        <is>
          <t>Metric</t>
        </is>
      </c>
      <c r="C66" s="3" t="inlineStr">
        <is>
          <t>Multiple used</t>
        </is>
      </c>
      <c r="D66" s="3" t="inlineStr">
        <is>
          <t>Basis</t>
        </is>
      </c>
      <c r="E66" s="3" t="inlineStr">
        <is>
          <t>Metric at target date</t>
        </is>
      </c>
      <c r="F66" s="3" t="inlineStr">
        <is>
          <t>Value per share</t>
        </is>
      </c>
      <c r="G66" s="3" t="inlineStr">
        <is>
          <t>Weight</t>
        </is>
      </c>
      <c r="H66" s="3" t="inlineStr">
        <is>
          <t>Metric key</t>
        </is>
      </c>
      <c r="I66" s="3" t="inlineStr">
        <is>
          <t>Metric shown (stated per-share figure when used)</t>
        </is>
      </c>
    </row>
    <row r="67">
      <c r="A67" t="inlineStr">
        <is>
          <t>DCF (cash flow to target date + terminal)</t>
        </is>
      </c>
      <c r="F67" s="9">
        <f>((B45)-$B$50-$B$51+$B$52)/$B$53</f>
        <v/>
      </c>
      <c r="G67" s="16">
        <f>Valuation!$B$63</f>
        <v/>
      </c>
    </row>
    <row r="68">
      <c r="A68">
        <f>"Multiple: "&amp;Valuation!A69&amp;" ("&amp;Valuation!D69&amp;")"</f>
        <v/>
      </c>
      <c r="B68">
        <f>Valuation!A69</f>
        <v/>
      </c>
      <c r="C68" s="9">
        <f>IF(B68="FCF yield",(Valuation!B69)*(1-$B$8),(Valuation!B69)+IF(B68="EV/sales",0.1,1)*$B$6)</f>
        <v/>
      </c>
      <c r="D68">
        <f>Valuation!D69</f>
        <v/>
      </c>
      <c r="E68" s="21">
        <f>IF(D68="ltm",CHOOSE(H68,$C$59,$C$60,$C$61,$C$62,$C$63,$C$64),CHOOSE(H68,$B$59,$B$60,$B$61,$B$62,$B$63,$B$64))</f>
        <v/>
      </c>
      <c r="F68" s="9">
        <f>IF(OR(B68="EV/EBITDA",B68="EV/sales",B68="EV/EBIT"),((C68*E68)-$B$50-$B$51+$B$52)/$B$53,IF(B68="P/E",IF(Valuation!F69&lt;&gt;"",C68*(Valuation!F69)*(1+$B$9),C68*(E68-$B$54)/$B$53),IF(Valuation!G69&lt;&gt;"",(Valuation!G69)*(1+$B$9)/C68,(E68-IF(Valuation!H69,$B$54,0))/C68/$B$53))+$B$52/$B$53)</f>
        <v/>
      </c>
      <c r="G68" s="16">
        <f>Valuation!C69</f>
        <v/>
      </c>
      <c r="H68">
        <f>IF(B68="EV/sales",1,IF(B68="EV/EBIT",2,IF(B68="EV/EBITDA",IF(Valuation!E69="adjusted",4,3),IF(B68="P/E",5,6))))</f>
        <v/>
      </c>
      <c r="I68" s="45">
        <f>IF(AND(B68="P/E",Valuation!F69&lt;&gt;""),(Valuation!F69)*(1+$B$9),IF(AND(B68="FCF yield",Valuation!G69&lt;&gt;""),(Valuation!G69)*(1+$B$9),E68))</f>
        <v/>
      </c>
    </row>
    <row r="69">
      <c r="A69" s="17" t="inlineStr">
        <is>
          <t>Value per share at target date (weighted methods)</t>
        </is>
      </c>
      <c r="F69" s="6">
        <f>SUMPRODUCT(F67:F68,G67:G68)/SUM(G67:G68)</f>
        <v/>
      </c>
    </row>
    <row r="129">
      <c r="A129" s="17" t="inlineStr">
        <is>
          <t>Segment build (model_engine.seg_build): revenue and EBIT are the segment sums plus corporate EBIT</t>
        </is>
      </c>
    </row>
    <row r="130">
      <c r="A130" s="3" t="inlineStr">
        <is>
          <t>Segment</t>
        </is>
      </c>
      <c r="B130" s="3" t="inlineStr">
        <is>
          <t>Base</t>
        </is>
      </c>
      <c r="C130" s="3">
        <f>Model!E5</f>
        <v/>
      </c>
      <c r="D130" s="3">
        <f>Model!F5</f>
        <v/>
      </c>
      <c r="E130" s="3">
        <f>Model!G5</f>
        <v/>
      </c>
    </row>
    <row r="131">
      <c r="A131" t="inlineStr">
        <is>
          <t>Generation: revenue growth</t>
        </is>
      </c>
      <c r="C131" s="16">
        <f>Model!E12+$B$4+$B$250</f>
        <v/>
      </c>
      <c r="D131" s="16">
        <f>Model!F12+$B$4+$B$252</f>
        <v/>
      </c>
      <c r="E131" s="16">
        <f>Model!G12+$B$4+$B$254</f>
        <v/>
      </c>
    </row>
    <row r="132">
      <c r="A132" t="inlineStr">
        <is>
          <t>Generation: revenue</t>
        </is>
      </c>
      <c r="B132" s="10">
        <f>Valuation!$B$86</f>
        <v/>
      </c>
      <c r="C132" s="21">
        <f>B132*(1+C131)</f>
        <v/>
      </c>
      <c r="D132" s="21">
        <f>C132*(1+D131)</f>
        <v/>
      </c>
      <c r="E132" s="21">
        <f>D132*(1+E131)</f>
        <v/>
      </c>
    </row>
    <row r="133">
      <c r="A133" t="inlineStr">
        <is>
          <t>Generation: EBIT margin</t>
        </is>
      </c>
      <c r="C133" s="16">
        <f>Model!E14+$B$5+$B$251</f>
        <v/>
      </c>
      <c r="D133" s="16">
        <f>Model!F14+$B$5+$B$253</f>
        <v/>
      </c>
      <c r="E133" s="16">
        <f>Model!G14+$B$5+$B$255</f>
        <v/>
      </c>
    </row>
    <row r="134">
      <c r="A134" t="inlineStr">
        <is>
          <t>Generation: EBIT</t>
        </is>
      </c>
      <c r="C134" s="21">
        <f>C132*C133</f>
        <v/>
      </c>
      <c r="D134" s="21">
        <f>D132*D133</f>
        <v/>
      </c>
      <c r="E134" s="21">
        <f>E132*E133</f>
        <v/>
      </c>
    </row>
    <row r="135">
      <c r="A135" t="inlineStr">
        <is>
          <t>Retail: revenue growth</t>
        </is>
      </c>
      <c r="C135" s="16">
        <f>Model!E16+$B$4+$B$256</f>
        <v/>
      </c>
      <c r="D135" s="16">
        <f>Model!F16+$B$4</f>
        <v/>
      </c>
      <c r="E135" s="16">
        <f>Model!G16+$B$4</f>
        <v/>
      </c>
    </row>
    <row r="136">
      <c r="A136" t="inlineStr">
        <is>
          <t>Retail: revenue</t>
        </is>
      </c>
      <c r="B136" s="10">
        <f>Valuation!$B$87</f>
        <v/>
      </c>
      <c r="C136" s="21">
        <f>B136*(1+C135)</f>
        <v/>
      </c>
      <c r="D136" s="21">
        <f>C136*(1+D135)</f>
        <v/>
      </c>
      <c r="E136" s="21">
        <f>D136*(1+E135)</f>
        <v/>
      </c>
    </row>
    <row r="137">
      <c r="A137" t="inlineStr">
        <is>
          <t>Retail: EBIT margin</t>
        </is>
      </c>
      <c r="C137" s="16">
        <f>Model!E18+$B$5+$B$257</f>
        <v/>
      </c>
      <c r="D137" s="16">
        <f>Model!F18+$B$5+$B$258</f>
        <v/>
      </c>
      <c r="E137" s="16">
        <f>Model!G18+$B$5+$B$259</f>
        <v/>
      </c>
    </row>
    <row r="138">
      <c r="A138" t="inlineStr">
        <is>
          <t>Retail: EBIT</t>
        </is>
      </c>
      <c r="C138" s="21">
        <f>C136*C137</f>
        <v/>
      </c>
      <c r="D138" s="21">
        <f>D136*D137</f>
        <v/>
      </c>
      <c r="E138" s="21">
        <f>E136*E137</f>
        <v/>
      </c>
    </row>
    <row r="139">
      <c r="A139" s="17" t="inlineStr">
        <is>
          <t>Total segment revenue</t>
        </is>
      </c>
      <c r="C139" s="21">
        <f>C132+C136</f>
        <v/>
      </c>
      <c r="D139" s="21">
        <f>D132+D136</f>
        <v/>
      </c>
      <c r="E139" s="21">
        <f>E132+E136</f>
        <v/>
      </c>
    </row>
    <row r="140">
      <c r="A140" t="inlineStr">
        <is>
          <t>Total segment EBIT</t>
        </is>
      </c>
      <c r="C140" s="21">
        <f>C134+C138</f>
        <v/>
      </c>
      <c r="D140" s="21">
        <f>D134+D138</f>
        <v/>
      </c>
      <c r="E140" s="21">
        <f>E134+E138</f>
        <v/>
      </c>
    </row>
    <row r="141">
      <c r="A141" t="inlineStr">
        <is>
          <t>Corporate / unallocated EBIT</t>
        </is>
      </c>
      <c r="C141" s="10">
        <f>Model!E21</f>
        <v/>
      </c>
      <c r="D141" s="10">
        <f>Model!F21</f>
        <v/>
      </c>
      <c r="E141" s="10">
        <f>Model!G21</f>
        <v/>
      </c>
    </row>
    <row r="142">
      <c r="A142" s="17" t="inlineStr">
        <is>
          <t>EBIT (segments + corporate)</t>
        </is>
      </c>
      <c r="C142" s="21">
        <f>C140+C141</f>
        <v/>
      </c>
      <c r="D142" s="21">
        <f>D140+D141</f>
        <v/>
      </c>
      <c r="E142" s="21">
        <f>E140+E141</f>
        <v/>
      </c>
    </row>
    <row r="249">
      <c r="A249" s="17" t="inlineStr">
        <is>
          <t>Driver scenario shifts: line-item changes model_drivers.py resolves from this scenario's driver deltas (added to the Model tab inputs)</t>
        </is>
      </c>
    </row>
    <row r="250">
      <c r="A250" t="inlineStr">
        <is>
          <t>Generation: revenue growth, year 1</t>
        </is>
      </c>
      <c r="B250" s="47" t="n">
        <v>0.02693350026911845</v>
      </c>
    </row>
    <row r="251">
      <c r="A251" t="inlineStr">
        <is>
          <t>Generation: EBIT margin, year 1</t>
        </is>
      </c>
      <c r="B251" s="47" t="n">
        <v>0.02713396668815449</v>
      </c>
    </row>
    <row r="252">
      <c r="A252" t="inlineStr">
        <is>
          <t>Generation: revenue growth, year 2</t>
        </is>
      </c>
      <c r="B252" s="47" t="n">
        <v>0.0003322162729244571</v>
      </c>
    </row>
    <row r="253">
      <c r="A253" t="inlineStr">
        <is>
          <t>Generation: EBIT margin, year 2</t>
        </is>
      </c>
      <c r="B253" s="47" t="n">
        <v>0.02679437246138949</v>
      </c>
    </row>
    <row r="254">
      <c r="A254" t="inlineStr">
        <is>
          <t>Generation: revenue growth, year 3</t>
        </is>
      </c>
      <c r="B254" s="47" t="n">
        <v>0.0001045698631148007</v>
      </c>
    </row>
    <row r="255">
      <c r="A255" t="inlineStr">
        <is>
          <t>Generation: EBIT margin, year 3</t>
        </is>
      </c>
      <c r="B255" s="47" t="n">
        <v>0.02702067915424444</v>
      </c>
    </row>
    <row r="256">
      <c r="A256" t="inlineStr">
        <is>
          <t>Retail: revenue growth, year 1</t>
        </is>
      </c>
      <c r="B256" s="47" t="n">
        <v>0.02519618994696682</v>
      </c>
    </row>
    <row r="257">
      <c r="A257" t="inlineStr">
        <is>
          <t>Retail: EBIT margin, year 1</t>
        </is>
      </c>
      <c r="B257" s="47" t="n">
        <v>-0.002830122587847777</v>
      </c>
    </row>
    <row r="258">
      <c r="A258" t="inlineStr">
        <is>
          <t>Retail: EBIT margin, year 2</t>
        </is>
      </c>
      <c r="B258" s="47" t="n">
        <v>-0.002777803229338318</v>
      </c>
    </row>
    <row r="259">
      <c r="A259" t="inlineStr">
        <is>
          <t>Retail: EBIT margin, year 3</t>
        </is>
      </c>
      <c r="B259" s="47" t="n">
        <v>-0.002786972337765866</v>
      </c>
    </row>
    <row r="260">
      <c r="A260" t="inlineStr">
        <is>
          <t>Net debt at target date (override)</t>
        </is>
      </c>
      <c r="B260" s="47" t="n">
        <v>-181.3812428999991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9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34" customWidth="1" min="12" max="12"/>
    <col width="70" customWidth="1" min="13" max="13"/>
  </cols>
  <sheetData>
    <row r="1">
      <c r="A1" s="1" t="inlineStr">
        <is>
          <t>VST: each forecaster's own assumption set through the same engine (from model_engine.json, not live)</t>
        </is>
      </c>
    </row>
    <row r="3">
      <c r="A3" s="3" t="inlineStr">
        <is>
          <t>Set</t>
        </is>
      </c>
      <c r="B3" s="3" t="inlineStr">
        <is>
          <t>Research target (12m)</t>
        </is>
      </c>
      <c r="C3" s="3" t="inlineStr">
        <is>
          <t>Median</t>
        </is>
      </c>
      <c r="D3" s="3" t="inlineStr">
        <is>
          <t>25th pct</t>
        </is>
      </c>
      <c r="E3" s="3" t="inlineStr">
        <is>
          <t>75th pct</t>
        </is>
      </c>
      <c r="F3" s="3" t="inlineStr">
        <is>
          <t>WACC</t>
        </is>
      </c>
      <c r="G3" s="3" t="inlineStr">
        <is>
          <t>Y1 growth</t>
        </is>
      </c>
      <c r="H3" s="3" t="inlineStr">
        <is>
          <t>Y1 margin</t>
        </is>
      </c>
      <c r="I3" s="3" t="inlineStr">
        <is>
          <t>Terminal growth</t>
        </is>
      </c>
      <c r="J3" s="3" t="inlineStr">
        <is>
          <t>DCF weight</t>
        </is>
      </c>
      <c r="K3" s="3" t="inlineStr">
        <is>
          <t>Years</t>
        </is>
      </c>
      <c r="L3" s="3" t="inlineStr">
        <is>
          <t>Multiples</t>
        </is>
      </c>
      <c r="M3" s="3" t="inlineStr">
        <is>
          <t>Supervisor's note</t>
        </is>
      </c>
    </row>
    <row r="4">
      <c r="A4" t="inlineStr">
        <is>
          <t>agent 1</t>
        </is>
      </c>
      <c r="B4" s="9" t="n">
        <v>170.9730929006503</v>
      </c>
      <c r="C4" s="9" t="n">
        <v>167.6743308791613</v>
      </c>
      <c r="D4" s="9" t="n">
        <v>127.6252409643559</v>
      </c>
      <c r="E4" s="9" t="n">
        <v>217.6049546857276</v>
      </c>
      <c r="F4" s="16" t="n">
        <v>0.0915</v>
      </c>
      <c r="G4" s="16" t="n">
        <v>0.115</v>
      </c>
      <c r="H4" s="16" t="n">
        <v>0.276</v>
      </c>
      <c r="I4" s="16" t="n">
        <v>0.02</v>
      </c>
      <c r="J4" s="16" t="n">
        <v>0</v>
      </c>
      <c r="K4" t="n">
        <v>4</v>
      </c>
      <c r="L4" t="inlineStr">
        <is>
          <t>EV/EBITDA 9.5 (ntm)</t>
        </is>
      </c>
      <c r="M4" s="39" t="inlineStr">
        <is>
          <t>Closest in structure; 2.0% terminal growth and ~$0.5B high net debt (FCFbG ~$5.4B to the horizon). [4 projected years (over the 3-year cap)]</t>
        </is>
      </c>
    </row>
    <row r="5">
      <c r="A5" t="inlineStr">
        <is>
          <t>agent 2</t>
        </is>
      </c>
      <c r="B5" s="9" t="n">
        <v>172.1137515016516</v>
      </c>
      <c r="C5" s="9" t="n">
        <v>166.8553039119051</v>
      </c>
      <c r="D5" s="9" t="n">
        <v>123.4963705956459</v>
      </c>
      <c r="E5" s="9" t="n">
        <v>203.01153753956</v>
      </c>
      <c r="F5" s="16" t="n">
        <v>0.095</v>
      </c>
      <c r="G5" s="16" t="n">
        <v>0.12</v>
      </c>
      <c r="H5" s="16" t="n">
        <v>0.2591</v>
      </c>
      <c r="I5" s="16" t="n">
        <v>0.02</v>
      </c>
      <c r="J5" s="16" t="n">
        <v>0</v>
      </c>
      <c r="K5" t="n">
        <v>4</v>
      </c>
      <c r="L5" t="inlineStr">
        <is>
          <t>EV/EBITDA 9.5 (ntm)</t>
        </is>
      </c>
      <c r="M5" s="39" t="inlineStr">
        <is>
          <t>DCF check flag (-27%) at 9.5% WACC and 2.0% g, not argued; bridge otherwise sound. [4 projected years (over the 3-year cap)]</t>
        </is>
      </c>
    </row>
    <row r="6">
      <c r="A6" t="inlineStr">
        <is>
          <t>agent 3</t>
        </is>
      </c>
      <c r="B6" s="9" t="n">
        <v>163.4777379529527</v>
      </c>
      <c r="C6" s="9" t="n">
        <v>159.2503588157006</v>
      </c>
      <c r="D6" s="9" t="n">
        <v>125.7354383315448</v>
      </c>
      <c r="E6" s="9" t="n">
        <v>196.7376763946962</v>
      </c>
      <c r="F6" s="16" t="n">
        <v>0.0925</v>
      </c>
      <c r="G6" s="16" t="n">
        <v>0.1</v>
      </c>
      <c r="H6" s="16" t="n">
        <v>0.2764</v>
      </c>
      <c r="I6" s="16" t="n">
        <v>0.02</v>
      </c>
      <c r="J6" s="16" t="n">
        <v>0</v>
      </c>
      <c r="K6" t="n">
        <v>4</v>
      </c>
      <c r="L6" t="inlineStr">
        <is>
          <t>EV/EBITDA 9.25 (ntm); P/E 13.5 (ntm)</t>
        </is>
      </c>
      <c r="M6" s="39" t="inlineStr">
        <is>
          <t>9.25x stacks a second discount; 2.0% terminal; DCF at -19.6%. [4 projected years (over the 3-year cap)]</t>
        </is>
      </c>
    </row>
    <row r="7">
      <c r="A7" t="inlineStr">
        <is>
          <t>agent 4</t>
        </is>
      </c>
      <c r="B7" s="9" t="n">
        <v>165.2640447305563</v>
      </c>
      <c r="C7" s="9" t="n">
        <v>162.6263389703484</v>
      </c>
      <c r="D7" s="9" t="n">
        <v>121.666763372384</v>
      </c>
      <c r="E7" s="9" t="n">
        <v>214.1070211686554</v>
      </c>
      <c r="F7" s="16" t="n">
        <v>0.09</v>
      </c>
      <c r="G7" s="16" t="n">
        <v>0.11</v>
      </c>
      <c r="H7" s="16" t="n">
        <v>0.26</v>
      </c>
      <c r="I7" s="16" t="n">
        <v>0.025</v>
      </c>
      <c r="J7" s="16" t="n">
        <v>0</v>
      </c>
      <c r="K7" t="n">
        <v>5</v>
      </c>
      <c r="L7" t="inlineStr">
        <is>
          <t>EV/EBITDA 9.5 (ntm)</t>
        </is>
      </c>
      <c r="M7" s="39" t="inlineStr">
        <is>
          <t>Claims ~$0.8B high (cash build below FCFbG); FY2028 $8.29B; 0.4 DCF weight. [5 projected years (over the 3-year cap)]</t>
        </is>
      </c>
    </row>
    <row r="8">
      <c r="A8" t="inlineStr">
        <is>
          <t>agent 5</t>
        </is>
      </c>
      <c r="B8" s="9" t="n">
        <v>168.3014934942229</v>
      </c>
      <c r="C8" s="9" t="n">
        <v>166.3910554649358</v>
      </c>
      <c r="D8" s="9" t="n">
        <v>130.5053458733034</v>
      </c>
      <c r="E8" s="9" t="n">
        <v>205.0827573507775</v>
      </c>
      <c r="F8" s="16" t="n">
        <v>0.09370000000000001</v>
      </c>
      <c r="G8" s="16" t="n">
        <v>0.1</v>
      </c>
      <c r="H8" s="16" t="n">
        <v>0.2622</v>
      </c>
      <c r="I8" s="16" t="n">
        <v>0.025</v>
      </c>
      <c r="J8" s="16" t="n">
        <v>0</v>
      </c>
      <c r="K8" t="n">
        <v>5</v>
      </c>
      <c r="L8" t="inlineStr">
        <is>
          <t>EV/EBITDA 9.25 (ntm)</t>
        </is>
      </c>
      <c r="M8" s="39" t="inlineStr">
        <is>
          <t>Claims ~$0.6B low ($10B available cash prorated as generated); 9.25x. [5 projected years (over the 3-year cap)]</t>
        </is>
      </c>
    </row>
    <row r="9">
      <c r="A9" t="inlineStr">
        <is>
          <t>supervisor</t>
        </is>
      </c>
      <c r="B9" s="9" t="n">
        <v>147.6735211406996</v>
      </c>
      <c r="C9" s="9" t="n">
        <v>144.4938255128907</v>
      </c>
      <c r="D9" s="9" t="n">
        <v>112.6448697224175</v>
      </c>
      <c r="E9" s="9" t="n">
        <v>182.7162407064593</v>
      </c>
      <c r="F9" s="16" t="n">
        <v>0.09</v>
      </c>
      <c r="G9" s="16" t="n"/>
      <c r="H9" s="16" t="n"/>
      <c r="I9" s="16" t="n">
        <v>0.025</v>
      </c>
      <c r="J9" s="16" t="n">
        <v>0</v>
      </c>
      <c r="K9" t="n">
        <v>3</v>
      </c>
      <c r="L9" t="inlineStr">
        <is>
          <t>EV/EBITDA 9.0 (ntm)</t>
        </is>
      </c>
      <c r="M9" s="39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59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50" customWidth="1" min="2" max="2"/>
    <col width="40" customWidth="1" min="4" max="4"/>
    <col width="70" customWidth="1" min="6" max="6"/>
  </cols>
  <sheetData>
    <row r="1">
      <c r="A1" s="1" t="inlineStr">
        <is>
          <t>VST: where each input comes from (source numbers point to the list below; F ids to the SEC fact table)</t>
        </is>
      </c>
    </row>
    <row r="3">
      <c r="A3" s="3" t="inlineStr">
        <is>
          <t>Input</t>
        </is>
      </c>
      <c r="B3" s="3" t="inlineStr">
        <is>
          <t>Value</t>
        </is>
      </c>
      <c r="C3" s="3" t="inlineStr">
        <is>
          <t>Basis</t>
        </is>
      </c>
      <c r="D3" s="3" t="inlineStr">
        <is>
          <t>Sources</t>
        </is>
      </c>
      <c r="E3" s="3" t="inlineStr">
        <is>
          <t>SEC fact ids</t>
        </is>
      </c>
      <c r="F3" s="3" t="inlineStr">
        <is>
          <t>Derivation</t>
        </is>
      </c>
    </row>
    <row r="4">
      <c r="A4" s="39" t="inlineStr">
        <is>
          <t>Base revenue FY2025</t>
        </is>
      </c>
      <c r="B4" t="inlineStr">
        <is>
          <t>17,586</t>
        </is>
      </c>
      <c r="C4" t="inlineStr">
        <is>
          <t>reported</t>
        </is>
      </c>
      <c r="D4" t="inlineStr">
        <is>
          <t>16</t>
        </is>
      </c>
      <c r="E4" t="inlineStr">
        <is>
          <t>F3</t>
        </is>
      </c>
      <c r="F4" s="39" t="inlineStr">
        <is>
          <t>10-K FY2025 revenue.</t>
        </is>
      </c>
    </row>
    <row r="5">
      <c r="A5" s="39" t="inlineStr">
        <is>
          <t>Revenue growth FY2026-30</t>
        </is>
      </c>
      <c r="B5" t="inlineStr">
        <is>
          <t>+11% / +10% / +4% / +3% / +2.5%</t>
        </is>
      </c>
      <c r="C5" t="inlineStr">
        <is>
          <t>estimate</t>
        </is>
      </c>
      <c r="D5" t="inlineStr">
        <is>
          <t>15, 4</t>
        </is>
      </c>
      <c r="E5" t="inlineStr">
        <is>
          <t>F6, F3</t>
        </is>
      </c>
      <c r="F5" s="39" t="inlineStr">
        <is>
          <t>TTM revenue 18,985 (F6) is +8% on FY2025 with H2 seasonally strong -&gt; ~19,520 FY2026; FY2027 adds ~5,500 MW Cogentrix (src 4) and Meta PPA volumes; then load-driven growth. Revenue matters little: margins are set to hit the EBITDA path below.</t>
        </is>
      </c>
    </row>
    <row r="6">
      <c r="A6" s="39" t="inlineStr">
        <is>
          <t>Adjusted EBITDA path FY2026 / FY2027 / FY2028 / FY2029 / FY2030</t>
        </is>
      </c>
      <c r="B6" t="inlineStr">
        <is>
          <t>7,300 / 8,095 / 8,508 / 8,603 / 8,700 (margin 37.4% / 37.7% / 38.1% / 37.4% / 36.9%)</t>
        </is>
      </c>
      <c r="C6" t="inlineStr">
        <is>
          <t>estimate</t>
        </is>
      </c>
      <c r="D6" t="inlineStr">
        <is>
          <t>1, 2, 4</t>
        </is>
      </c>
      <c r="E6" t="inlineStr"/>
      <c r="F6" s="39" t="inlineStr">
        <is>
          <t>FY2026: guidance $6.8-7.6B, mgmt 'at or above the midpoint' ($7.2B) -&gt; 7.3. FY2027: low end of the $7.4-7.8B midpoint opportunity (CFO 'trending towards the lower end') + ~$0.7B Cogentrix/Meta (CFO) = 8.1; Cogentrix alone ~$4.0B / 7.25x = ~$0.55B (src 4). FY2028: +5% for a full year of Meta PPA delivery and Comanche Peak data-center load targeted to energize end-2027 (call), offset by ERCOT softness with 2028 only ~72% hedged = 8.5 (judgment; no management 2028 figure exists). FY2029-30 roughly flat to +1% given the open PJM design after 2029/30.</t>
        </is>
      </c>
    </row>
    <row r="7">
      <c r="A7" s="39" t="inlineStr">
        <is>
          <t>D&amp;A % revenue</t>
        </is>
      </c>
      <c r="B7" t="inlineStr">
        <is>
          <t>11.0%</t>
        </is>
      </c>
      <c r="C7" t="inlineStr">
        <is>
          <t>estimate</t>
        </is>
      </c>
      <c r="D7" t="inlineStr">
        <is>
          <t>1</t>
        </is>
      </c>
      <c r="E7" t="inlineStr">
        <is>
          <t>F36</t>
        </is>
      </c>
      <c r="F7" s="39" t="inlineStr">
        <is>
          <t>Estimate (no revenue guidance exists): 2026 D&amp;A guidance $2,150M incl. nuclear fuel amortization $423M (src 1) / ~19,520 estimated FY2026 revenue = 11.0%; FY2025 1,986 / 17,586 = 11.3% (F36). [citation gate 2026-10-14]</t>
        </is>
      </c>
    </row>
    <row r="8">
      <c r="A8" s="39" t="inlineStr">
        <is>
          <t>EBIT margin (adjusted basis, before stock comp)</t>
        </is>
      </c>
      <c r="B8" t="inlineStr">
        <is>
          <t>26.4% / 26.7% / 27.1% / 26.4% / 25.9%</t>
        </is>
      </c>
      <c r="C8" t="inlineStr">
        <is>
          <t>estimate</t>
        </is>
      </c>
      <c r="D8" t="inlineStr">
        <is>
          <t>1</t>
        </is>
      </c>
      <c r="E8" t="inlineStr"/>
      <c r="F8" s="39" t="inlineStr">
        <is>
          <t>Adjusted EBITDA margin above minus D&amp;A 11.0% of revenue.</t>
        </is>
      </c>
    </row>
    <row r="9">
      <c r="A9" s="39" t="inlineStr">
        <is>
          <t>Capex % revenue (incl. nuclear fuel and growth ex-Cogentrix)</t>
        </is>
      </c>
      <c r="B9" t="inlineStr">
        <is>
          <t>14.5% / 13.5% / 10.5% / 10.5% / 10.5%</t>
        </is>
      </c>
      <c r="C9" t="inlineStr">
        <is>
          <t>estimate</t>
        </is>
      </c>
      <c r="D9" t="inlineStr">
        <is>
          <t>15, 16, 2</t>
        </is>
      </c>
      <c r="E9" t="inlineStr">
        <is>
          <t>F57, F60</t>
        </is>
      </c>
      <c r="F9" s="39" t="inlineStr">
        <is>
          <t>TTM capex 2,866 (F60, 15.1% of TTM revenue) incl. Permian peakers, Meta uprates, Oak Hill 2 solar (call: $4.5-5B growth 2026-27 incl. the $2.3B Cogentrix cash); growth spend tapers after 2027; long-run ~10.5% vs D&amp;A 11%.</t>
        </is>
      </c>
    </row>
    <row r="10">
      <c r="A10" s="39" t="inlineStr">
        <is>
          <t>Tax rate</t>
        </is>
      </c>
      <c r="B10" t="inlineStr">
        <is>
          <t>20%</t>
        </is>
      </c>
      <c r="C10" t="inlineStr">
        <is>
          <t>estimate</t>
        </is>
      </c>
      <c r="D10" t="inlineStr">
        <is>
          <t>15</t>
        </is>
      </c>
      <c r="E10" t="inlineStr">
        <is>
          <t>F88, F95</t>
        </is>
      </c>
      <c r="F10" s="39" t="inlineStr">
        <is>
          <t>TTM income tax 584 / pretax income 2,803 = 20.8% (F88/F95).</t>
        </is>
      </c>
    </row>
    <row r="11">
      <c r="A11" s="39" t="inlineStr">
        <is>
          <t>Stock comp</t>
        </is>
      </c>
      <c r="B11" t="inlineStr">
        <is>
          <t>0.7% of revenue, counted once as dilution (sbc_treatment 'dilution')</t>
        </is>
      </c>
      <c r="C11" t="inlineStr">
        <is>
          <t>estimate</t>
        </is>
      </c>
      <c r="D11" t="inlineStr">
        <is>
          <t>1, 16</t>
        </is>
      </c>
      <c r="E11" t="inlineStr">
        <is>
          <t>F43, F46</t>
        </is>
      </c>
      <c r="F11" s="39" t="inlineStr">
        <is>
          <t>2026 guidance reconciliation adds back $137M non-cash comp (src 1); FY2025 SBC 113 (F43), TTM 134 (F46). Peers' NTM consensus EBITDA is adjusted (pre-SBC; TLN confirmed, src 12), so the multiple is applied to pre-SBC EBITDA and SBC enters as ~1.1M shares issued by the horizon.</t>
        </is>
      </c>
    </row>
    <row r="12">
      <c r="A12" s="39" t="inlineStr">
        <is>
          <t>Net debt 2026-06-30</t>
        </is>
      </c>
      <c r="B12" t="inlineStr">
        <is>
          <t>19,160</t>
        </is>
      </c>
      <c r="C12" t="inlineStr">
        <is>
          <t>estimate</t>
        </is>
      </c>
      <c r="D12" t="inlineStr">
        <is>
          <t>15</t>
        </is>
      </c>
      <c r="E12" t="inlineStr">
        <is>
          <t>F105, F98, F97</t>
        </is>
      </c>
      <c r="F12" s="39" t="inlineStr">
        <is>
          <t>Estimate derived from reported 10-Q lines at 2026-06-30 (no net-debt figure is reported): long-term debt due currently 1,876 + long-term debt less current 17,719 = 19,595, less cash and cash equivalents 435 = 19,160. Excludes AR financing 300, the forward repurchase obligation 613 and restricted cash 46. [citation gate 2026-10-14]</t>
        </is>
      </c>
    </row>
    <row r="13">
      <c r="A13" s="39" t="inlineStr">
        <is>
          <t>Preferred stock + NCI (minorities)</t>
        </is>
      </c>
      <c r="B13" t="inlineStr">
        <is>
          <t>2,488</t>
        </is>
      </c>
      <c r="C13" t="inlineStr">
        <is>
          <t>estimate</t>
        </is>
      </c>
      <c r="D13" t="inlineStr">
        <is>
          <t>13</t>
        </is>
      </c>
      <c r="E13" t="inlineStr"/>
      <c r="F13" s="39" t="inlineStr">
        <is>
          <t>Estimate: sum of two reported XBRL facts at 2026-06-30 (10-Q accn 0001692819-26-000019): PreferredStockValue 2,476 + MinorityInterest 12 = 2,488. The $1.5B junior notes of 2026-09-24 (src 14) leave total senior claims unchanged whether or not they redeem preferred. [citation gate 2026-10-14]</t>
        </is>
      </c>
    </row>
    <row r="14">
      <c r="A14" s="39" t="inlineStr">
        <is>
          <t>Net debt at horizon (2027-10-14)</t>
        </is>
      </c>
      <c r="B14" t="inlineStr">
        <is>
          <t>20,400</t>
        </is>
      </c>
      <c r="C14" t="inlineStr">
        <is>
          <t>estimate</t>
        </is>
      </c>
      <c r="D14" t="inlineStr">
        <is>
          <t>1, 2, 3, 4, 15</t>
        </is>
      </c>
      <c r="E14" t="inlineStr">
        <is>
          <t>F105</t>
        </is>
      </c>
      <c r="F14" s="39" t="inlineStr">
        <is>
          <t>19,160 (F105) + Cogentrix cash 2,300 + assumed debt 1,500 (src 3/4) + growth spend ex-Cogentrix incl. Helix ~1,600 (($4.5-5B midpoint 4,750 - 2,300 Cogentrix) x 0.646 = 1,580; src 2) + distributions to equity holders ~1,840 (~$3,000M for 2026-27 incl. buybacks and common and preferred dividends, src 2, less ~$863M paid in H1-2026, x 15.5/18 months) - Adj. FCFbG to the horizon ~6,000 (H2-2026 half of the $4,325M guidance midpoint = 2,160, src 1; 2027 ~4,860 = 8,100 x 60% conversion (4,325 / 7,200) x 0.79 yr = 3,840) = 20,400. The call's 'more than $10 billion of available cash' is not prorated as cash generated: management allocates it to ~$3B equity, $4.5-5B growth and $2-2.5B still unallocated (src 2), and it exceeds FCFbG (2026 guidance midpoint 4,325 + 2027 estimate ~4,860 = ~9.2B; only 2026 is guided).</t>
        </is>
      </c>
    </row>
    <row r="15">
      <c r="A15" s="39" t="inlineStr">
        <is>
          <t>Shares at horizon</t>
        </is>
      </c>
      <c r="B15" t="inlineStr">
        <is>
          <t>334.6M</t>
        </is>
      </c>
      <c r="C15" t="inlineStr">
        <is>
          <t>estimate</t>
        </is>
      </c>
      <c r="D15" t="inlineStr">
        <is>
          <t>15, 1, 3</t>
        </is>
      </c>
      <c r="E15" t="inlineStr">
        <is>
          <t>F103</t>
        </is>
      </c>
      <c r="F15" s="39" t="inlineStr">
        <is>
          <t>335.6M cover count (2026-08-03, F103) + 5.0M Cogentrix shares (src 3) - ~7.1M bought back (~$1.1B of the ~$1.2B authorization at ~$155, src 1) + ~1.1M stock-comp issuance ($137M/yr / ~$150 x 1.2 yr) = 334.6M.</t>
        </is>
      </c>
    </row>
    <row r="16">
      <c r="A16" s="39" t="inlineStr">
        <is>
          <t>WACC</t>
        </is>
      </c>
      <c r="B16" t="inlineStr">
        <is>
          <t>9.0%</t>
        </is>
      </c>
      <c r="C16" t="inlineStr">
        <is>
          <t>estimate</t>
        </is>
      </c>
      <c r="D16" t="inlineStr">
        <is>
          <t>10, 14</t>
        </is>
      </c>
      <c r="E16" t="inlineStr">
        <is>
          <t>F81, F98</t>
        </is>
      </c>
      <c r="F16" s="39" t="inlineStr">
        <is>
          <t>See discount_rate.basis.</t>
        </is>
      </c>
    </row>
    <row r="17">
      <c r="A17" s="39" t="inlineStr">
        <is>
          <t>Terminal growth (Gordon)</t>
        </is>
      </c>
      <c r="B17" t="inlineStr">
        <is>
          <t>2.5%</t>
        </is>
      </c>
      <c r="C17" t="inlineStr">
        <is>
          <t>judgment</t>
        </is>
      </c>
      <c r="D17" t="inlineStr">
        <is>
          <t>5, 7, 19</t>
        </is>
      </c>
      <c r="E17" t="inlineStr"/>
      <c r="F17" s="39" t="inlineStr">
        <is>
          <t>Nominal growth at about long-run inflation (BLS: CPI +3.7% y/y, core +2.6% y/y, src 5), i.e. no real growth for the fleet after FY2030. Round 1 used 2.0% to price the post-2029/30 PJM design risk, but that risk is already in the 1.1x horizon-multiple discount, the flat FY2029-30 EBITDA (+1%/yr) and the bear scenario; the extra 0.5pt cost ~$13.5/share of DCF (~$4/share of fair value) against a probability-weighted PJM effect of ~-$3/share, and the risk is two-sided (src 19: a stakeholder proposal keeps the $325 cap for existing units, while Brattle recommended a $500-625 RTO-wide cap). See dcf_check.</t>
        </is>
      </c>
    </row>
    <row r="18">
      <c r="A18" s="39" t="inlineStr">
        <is>
          <t>Horizon EV/EBITDA (NTM adjusted)</t>
        </is>
      </c>
      <c r="B18" t="inlineStr">
        <is>
          <t>9.0x</t>
        </is>
      </c>
      <c r="C18" t="inlineStr">
        <is>
          <t>judgment</t>
        </is>
      </c>
      <c r="D18" t="inlineStr">
        <is>
          <t>17, 12, 1, 2</t>
        </is>
      </c>
      <c r="E18" t="inlineStr">
        <is>
          <t>CEG.ev_ebitda_ntm, TLN.ev_ebitda_ntm, NRG.ev_ebitda_ntm</t>
        </is>
      </c>
      <c r="F18" s="39" t="inlineStr">
        <is>
          <t>IPP median 10.06x at the 2026-10-23 close (CEG 10.9x, TLN 10.1x, NRG 8.5x; peers.md of runs/2026-10-23/VST) less the base round's 1.1x discount = 8.96x, rounded to 9.0x; was 10.6x less 1.1x = 9.5x at 10-14. See horizon_multiples.peer_basis. NTM EBITDA at the horizon (2027-10-23) = 0.19 x FY2027 8,056 + 0.81 x FY2028 7,944 = ~7,965 (engine, driver build).</t>
        </is>
      </c>
    </row>
    <row r="19">
      <c r="A19" s="39" t="inlineStr">
        <is>
          <t>Cogentrix tax-benefit NPV adjustment</t>
        </is>
      </c>
      <c r="B19" t="inlineStr">
        <is>
          <t>700 x 0.9 = 630</t>
        </is>
      </c>
      <c r="C19" t="inlineStr">
        <is>
          <t>estimate</t>
        </is>
      </c>
      <c r="D19" t="inlineStr">
        <is>
          <t>4, 3, 1</t>
        </is>
      </c>
      <c r="E19" t="inlineStr"/>
      <c r="F19" s="39" t="inlineStr">
        <is>
          <t>700 reported (Ex. 99.1: '~$0.7 billion of net present value of expected tax benefits'); 0.9 is my judged closing probability, not on the page (approvals pending, outside date 2026-12-31 extendable); 700 x 0.9 = 630. [citation gate 2026-10-14]</t>
        </is>
      </c>
    </row>
    <row r="20">
      <c r="A20" s="39" t="inlineStr">
        <is>
          <t>Leg weights</t>
        </is>
      </c>
      <c r="B20" t="inlineStr">
        <is>
          <t>EV/EBITDA 0.7, DCF 0.3 (no P/E leg)</t>
        </is>
      </c>
      <c r="C20" t="inlineStr">
        <is>
          <t>judgment</t>
        </is>
      </c>
      <c r="D20" t="inlineStr">
        <is>
          <t>17</t>
        </is>
      </c>
      <c r="E20" t="inlineStr"/>
      <c r="F20" s="39" t="inlineStr">
        <is>
          <t>NTM EPS consensus rests on 1-2 analysts per quarter (peers.json notes, FMP), so the P/E leg adds noise rather than information; the DCF keeps the cash-flow check (reverse DCF: the 9.5x leg implies ~8.0% WACC).</t>
        </is>
      </c>
    </row>
    <row r="21">
      <c r="A21" s="39" t="inlineStr">
        <is>
          <t>Fixed / other costs (years[].corporate_ebit, plain)</t>
        </is>
      </c>
      <c r="B21" t="inlineStr">
        <is>
          <t>2880 / 3116 / 3223</t>
        </is>
      </c>
      <c r="C21" t="inlineStr">
        <is>
          <t>estimate</t>
        </is>
      </c>
      <c r="D21" t="inlineStr">
        <is>
          <t>16</t>
        </is>
      </c>
      <c r="E21" t="inlineStr"/>
      <c r="F21" s="39" t="inlineStr">
        <is>
          <t>FY2025 residual 2733 = Ongoing Ops Adj. EBITDA 5,912 (FY2025 release) less the driver contributions (gen-segment opex 2,490 + SG&amp;A 429 + corporate 70 less other income/adjustments, 10-K pp.61-62). FY2026 x1.03 (CPI +3.7% y/y, src 5) + Lotus full-year fixed ~65 (2,600 MW x ~$30/kW-yr x 10/12, estimate); FY2027 x1.03 + Cogentrix ~150 (5,500 MW x ~$30/kW-yr x 11/12, estimate); FY2028 x1.03 + 14.</t>
        </is>
      </c>
    </row>
    <row r="22">
      <c r="A22" s="39" t="inlineStr">
        <is>
          <t>driver:gen_twh</t>
        </is>
      </c>
      <c r="B22" t="inlineStr">
        <is>
          <t>Generation volume (Texas + East + West): 208.2 -&gt; 221/239.8/242 (estimate)</t>
        </is>
      </c>
      <c r="C22" t="inlineStr">
        <is>
          <t>estimate</t>
        </is>
      </c>
      <c r="D22" t="inlineStr"/>
      <c r="E22" t="inlineStr"/>
      <c r="F22" s="39" t="inlineStr">
        <is>
          <t>FY2026 = H1-26 actual 100.7 + H2-25 114.5 x 1.05 (Lotus 2,600 MW owned all of H2-26 vs ~2 months of H2-25; H1-26 East gas +6.4 TWh y/y) = 221.0. FY2027 = + Cogentrix ~22.7 TWh/yr x 11/12 (5,500 MW, ~4,600 MW CCGT at ~55% CF, close assumed ~end-2026) - 2.0 (Casco Bay / Beaver Falls / Syracuse sale, 10-Q p.52). FY2028 = full Cogentrix + 0.3 Permian peakers (online 2028).</t>
        </is>
      </c>
    </row>
    <row r="23">
      <c r="A23" s="39" t="inlineStr">
        <is>
          <t>driver:gen_price</t>
        </is>
      </c>
      <c r="B23" t="inlineStr">
        <is>
          <t>Realized generation revenue incl. hedges, PTC and retail transfer, ex capacity: 58.66 -&gt; 62.65/63.83/63.62 (estimate)</t>
        </is>
      </c>
      <c r="C23" t="inlineStr">
        <is>
          <t>estimate</t>
        </is>
      </c>
      <c r="D23" t="inlineStr"/>
      <c r="E23" t="inlineStr"/>
      <c r="F23" s="39" t="inlineStr">
        <is>
          <t>Projected as spread + fuel_cost. Spread FY2026 36.65 = (7,300 - cap - retail + fixed) / TWh (100% hedged, see guidance_check). FY2027 37.93: standalone 7,400 low end -&gt; 8290 contribution, + Cogentrix 654 (EBITDA 504 + fixed 150) + Meta premium 150, / 239.8 TWh. FY2028 37.62: + Cogentrix Dec 60 - hedge roll-off 160 (22% more volume open x $3/MWh below the hedged book; ERCOT North $30.20 Q2-26 vs $32.01 FY2025, 10-Q p.56) + Meta full delivery from YE2027 +50 (10-K p.53) + Comanche Peak AWS +60 (delivery from Q4-2027, ramp to full 1,200 MW by 2032, 10-K p.54).</t>
        </is>
      </c>
    </row>
    <row r="24">
      <c r="A24" s="39" t="inlineStr">
        <is>
          <t>driver:fuel_cost</t>
        </is>
      </c>
      <c r="B24" t="inlineStr">
        <is>
          <t>Realized fuel, purchased power and delivery cost (ex nuclear fuel amortization): 26.02 -&gt; 26/25.9/26 (estimate)</t>
        </is>
      </c>
      <c r="C24" t="inlineStr">
        <is>
          <t>estimate</t>
        </is>
      </c>
      <c r="D24" t="inlineStr"/>
      <c r="E24" t="inlineStr"/>
      <c r="F24" s="39" t="inlineStr">
        <is>
          <t>H1-2026 approx. $25.4/MWh (10-Q segment table: fuel/PP 2,797 less nuclear fuel 242 / 100.7 TWh; unrealized fuel marks not removed); FY2026 26.0 (gas hedged; Henry Hub H1-26 $3.91 vs FY2025 $3.53); FY2027 25.9 (Cogentrix gas at ~7.0 MMBtu/MWh x ~$3.5 = ~$24.5 dilutes); FY2028 26.0.</t>
        </is>
      </c>
    </row>
    <row r="25">
      <c r="A25" s="39" t="inlineStr">
        <is>
          <t>driver:cap_rev</t>
        </is>
      </c>
      <c r="B25" t="inlineStr">
        <is>
          <t>Net capacity revenue (sold less bought for retail load): 227 -&gt; 556.8/532.8/507.9 (estimate)</t>
        </is>
      </c>
      <c r="C25" t="inlineStr">
        <is>
          <t>estimate</t>
        </is>
      </c>
      <c r="D25" t="inlineStr"/>
      <c r="E25" t="inlineStr"/>
      <c r="F25" s="39" t="inlineStr">
        <is>
          <t>Calendar year = PJM MW x price x days per delivery year (Jan-May prior DY, Jun-Dec new DY) + non-PJM sold 189/yr (H1-26 x2) - capacity bought for retail load 8117 MW-eq (H1-26 411 / day-weighted PJM price) x price x days. FY2026 556.8, FY2027 532.8, FY2028 507.9.</t>
        </is>
      </c>
    </row>
    <row r="26">
      <c r="A26" s="39" t="inlineStr">
        <is>
          <t>driver:retail_twh</t>
        </is>
      </c>
      <c r="B26" t="inlineStr">
        <is>
          <t>Retail electricity sales volume: 139.1 -&gt; 131.3/133/134 (estimate)</t>
        </is>
      </c>
      <c r="C26" t="inlineStr">
        <is>
          <t>estimate</t>
        </is>
      </c>
      <c r="D26" t="inlineStr"/>
      <c r="E26" t="inlineStr"/>
      <c r="F26" s="39" t="inlineStr">
        <is>
          <t>FY2026 = H1-26 61.9 + H2-25 72.5 x Q2 y/y ratio 0.956 = 131.3; FY2027-28 +1%/yr (ERCOT load growth).</t>
        </is>
      </c>
    </row>
    <row r="27">
      <c r="A27" s="39" t="inlineStr">
        <is>
          <t>driver:retail_margin</t>
        </is>
      </c>
      <c r="B27" t="inlineStr">
        <is>
          <t>Retail Adjusted EBITDA per MWh sold: 11.66 -&gt; 11.6/11.6/11.6 (estimate)</t>
        </is>
      </c>
      <c r="C27" t="inlineStr">
        <is>
          <t>estimate</t>
        </is>
      </c>
      <c r="D27" t="inlineStr"/>
      <c r="E27" t="inlineStr"/>
      <c r="F27" s="39" t="inlineStr">
        <is>
          <t>FY2026 = (H1-26 841 + H2-25 682) / 131.3 TWh = 11.6; held flat (FY2025 had one-time supply-cost gains, 10-K p.63; H1-26 margin/MWh -4% y/y).</t>
        </is>
      </c>
    </row>
    <row r="29">
      <c r="A29" s="3" t="inlineStr">
        <is>
          <t>#</t>
        </is>
      </c>
      <c r="B29" s="3" t="inlineStr">
        <is>
          <t>Source</t>
        </is>
      </c>
      <c r="C29" s="3" t="inlineStr">
        <is>
          <t>Date</t>
        </is>
      </c>
      <c r="D29" s="3" t="inlineStr">
        <is>
          <t>Link</t>
        </is>
      </c>
    </row>
    <row r="30">
      <c r="A30" t="n">
        <v>1</v>
      </c>
      <c r="B30" s="39" t="inlineStr">
        <is>
          <t>Vistra Q2 2026 results news release (8-K Ex. 99.1): 2026 guidance reaffirmed ($6.8-7.6B Adj. EBITDA, $3.925-4.725B Adj. FCFbG), 2027 midpoint opportunity $7.4-7.8B excl. Cogentrix and Meta PPAs, hedges ~100%/94%/72% for 2026/27/28, ~$1.2B buyback authorization left, non-cash comp $137M, 2026 D&amp;A $2,150M</t>
        </is>
      </c>
      <c r="C30" t="inlineStr">
        <is>
          <t>2026-08-07</t>
        </is>
      </c>
      <c r="D30" t="inlineStr">
        <is>
          <t>https://www.sec.gov/Archives/edgar/data/1692819/000169281926000017/vistra-20260630xearningsre.htm</t>
        </is>
      </c>
    </row>
    <row r="31">
      <c r="A31" t="n">
        <v>2</v>
      </c>
      <c r="B31" s="39" t="inlineStr">
        <is>
          <t>Vistra Q2 2026 earnings call transcript (Quartr via Bigdata.com): CFO 'trending towards the lower end' of the 2027 $7.4-7.8B midpoint opportunity; Cogentrix + Meta 'roughly $700 million'; 'more than $10 billion of available cash in 2026 and 2027'; ~$3B to equity holders (buybacks, common and preferred dividends); ~$4.5-5B growth incl. Cogentrix and Helix; ~$2-2.5B additional cash available through YE2027; ~$1.2B buyback authorization to exhaust no later than end-2027, repurchases running ahead of pro rata</t>
        </is>
      </c>
      <c r="C31" t="inlineStr">
        <is>
          <t>2026-08-07</t>
        </is>
      </c>
      <c r="D31" t="inlineStr">
        <is>
          <t>https://app.bigdata.com/documents/195B479A48CB63C52BC7051FD044E9A5</t>
        </is>
      </c>
    </row>
    <row r="32">
      <c r="A32" t="n">
        <v>3</v>
      </c>
      <c r="B32" s="39" t="inlineStr">
        <is>
          <t>Vistra 8-K: agreements to acquire Q-Generation (Cogentrix): ~$2.3B cash, ~$1.5B assumed debt, 5,000,000 shares at $185; FERC, HSR, NH/TX/CT approvals; outside date after 2026-12-31 with two 90-day extensions</t>
        </is>
      </c>
      <c r="C32" t="inlineStr">
        <is>
          <t>2026-01-05</t>
        </is>
      </c>
      <c r="D32" t="inlineStr">
        <is>
          <t>https://www.sec.gov/Archives/edgar/data/1692819/000119312526002589/d62722d8k.htm</t>
        </is>
      </c>
    </row>
    <row r="33">
      <c r="A33" t="n">
        <v>4</v>
      </c>
      <c r="B33" s="39" t="inlineStr">
        <is>
          <t>Vistra press release (8-K Ex. 99.1): Acquisition of Cogentrix, net price ~$4.0B after ~$0.7B NPV of expected tax benefits, ~7.25x 2027 expected Adj. EBITDA contribution, ~5,500 MW, close expected mid-to-late 2026</t>
        </is>
      </c>
      <c r="C33" t="inlineStr">
        <is>
          <t>2026-01-05</t>
        </is>
      </c>
      <c r="D33" t="inlineStr">
        <is>
          <t>https://www.sec.gov/Archives/edgar/data/1692819/000119312526002589/d62722dex991.htm</t>
        </is>
      </c>
    </row>
    <row r="34">
      <c r="A34" t="n">
        <v>5</v>
      </c>
      <c r="B34" s="39" t="inlineStr">
        <is>
          <t>BLS CPI news release, September 2026 (USDL-26-1574), released 2026-10-14 08:30 ET: all items +0.6% m/m SA, +3.7% y/y; core +0.3% m/m, +2.6% y/y; energy +5.2% m/m, +20.4% y/y</t>
        </is>
      </c>
      <c r="C34" t="inlineStr">
        <is>
          <t>2026-10-14</t>
        </is>
      </c>
      <c r="D34" t="inlineStr">
        <is>
          <t>https://www.bls.gov/news.release/cpi.nr0.htm</t>
        </is>
      </c>
    </row>
    <row r="35">
      <c r="A35" t="n">
        <v>6</v>
      </c>
      <c r="B35" s="39" t="inlineStr">
        <is>
          <t>FERC order accepting Reliability Backstop Procurement and establishing further procedures, 196 FERC 61,245, Docket Nos. ER26-3380-000 and EL26-108-000: accepted and suspended five months to effective 2027-02-28; new FPA 206 proceeding; $555/MW-day max willingness to pay; PJM states the price floor applies through the 2029/2030 delivery year</t>
        </is>
      </c>
      <c r="C35" t="inlineStr">
        <is>
          <t>2026-09-29</t>
        </is>
      </c>
      <c r="D35" t="inlineStr">
        <is>
          <t>https://www.pjm.com/pjmfiles/directory/etariff/FercOrders/9154/20260929-er26-3380-000.pdf</t>
        </is>
      </c>
    </row>
    <row r="36">
      <c r="A36" t="n">
        <v>7</v>
      </c>
      <c r="B36" s="39" t="inlineStr">
        <is>
          <t>PJM answer in ER26-1556-000: extend the ~$325/MW-day cap and ~$175/MW-day floor for RPM auctions through the 2029/2030 delivery year; evaluate investment incentives with stakeholders by end of 2026 and determine the RPM path for 2030/2031 and beyond</t>
        </is>
      </c>
      <c r="C36" t="inlineStr">
        <is>
          <t>2026-04-06</t>
        </is>
      </c>
      <c r="D36" t="inlineStr">
        <is>
          <t>https://www.pjm.com/-/media/DotCom/documents/ferc/filings/2026/20260406-er26-1556-000.pdf</t>
        </is>
      </c>
    </row>
    <row r="37">
      <c r="A37" t="n">
        <v>8</v>
      </c>
      <c r="B37" s="39" t="inlineStr">
        <is>
          <t>Troutman Pepper Energy Report: FERC accepts PJM capacity market price collar extension (order 2026-04-28, ER26-1556; ~$325 cap / ~$175 floor for 2028/2029 and 2029/2030)</t>
        </is>
      </c>
      <c r="C37" t="inlineStr">
        <is>
          <t>2026-05</t>
        </is>
      </c>
      <c r="D37" t="inlineStr">
        <is>
          <t>https://www.troutmanenergyreport.com/2026/05/ferc-accepts-pjm-capacity-market-price-collar-extension/</t>
        </is>
      </c>
    </row>
    <row r="38">
      <c r="A38" t="n">
        <v>9</v>
      </c>
      <c r="B38" s="39" t="inlineStr">
        <is>
          <t>Vistra to Report Third Quarter Results on Nov. 6, 2026 (PR Newswire via Finviz): webcast 10:00 a.m. ET</t>
        </is>
      </c>
      <c r="C38" t="inlineStr">
        <is>
          <t>2026-09-29</t>
        </is>
      </c>
      <c r="D38" t="inlineStr">
        <is>
          <t>https://finviz.com/news/396792/vistra-to-report-third-quarter-results-on-nov-6-2026</t>
        </is>
      </c>
    </row>
    <row r="39">
      <c r="A39" t="n">
        <v>10</v>
      </c>
      <c r="B39" s="39" t="inlineStr">
        <is>
          <t>FRED DGS10: 10-year Treasury constant maturity 5.21% on 2026-10-13</t>
        </is>
      </c>
      <c r="C39" t="inlineStr">
        <is>
          <t>2026-10-13</t>
        </is>
      </c>
      <c r="D39" t="inlineStr">
        <is>
          <t>https://fred.stlouisfed.org/series/DGS10</t>
        </is>
      </c>
    </row>
    <row r="40">
      <c r="A40" t="n">
        <v>11</v>
      </c>
      <c r="B40" s="39" t="inlineStr">
        <is>
          <t>Federal Reserve FOMC meeting calendar: 2026 meetings Oct 27-28 and Dec 8-9</t>
        </is>
      </c>
      <c r="C40" t="inlineStr">
        <is>
          <t>2026-10-14</t>
        </is>
      </c>
      <c r="D40" t="inlineStr">
        <is>
          <t>https://www.federalreserve.gov/monetarypolicy/fomccalendars.htm</t>
        </is>
      </c>
    </row>
    <row r="41">
      <c r="A41" t="n">
        <v>12</v>
      </c>
      <c r="B41" s="39" t="inlineStr">
        <is>
          <t>Talen Energy Q2 2026 results (8-K Ex. 99.1): 2026 Adj. EBITDA guidance raised to $2,025-2,225M; Adj. EBITDA excludes unrealized commodity derivative gains/losses and stock comp</t>
        </is>
      </c>
      <c r="C41" t="inlineStr">
        <is>
          <t>2026-08-05</t>
        </is>
      </c>
      <c r="D41" t="inlineStr">
        <is>
          <t>https://www.sec.gov/Archives/edgar/data/0001622536/000162253626000065/a20260805q22026earningsrel.htm</t>
        </is>
      </c>
    </row>
    <row r="42">
      <c r="A42" t="n">
        <v>13</v>
      </c>
      <c r="B42" s="39" t="inlineStr">
        <is>
          <t>SEC XBRL company facts for Vistra: PreferredStockValue $2,476M and MinorityInterest $12M at 2026-06-30</t>
        </is>
      </c>
      <c r="C42" t="inlineStr">
        <is>
          <t>2026-10-14</t>
        </is>
      </c>
      <c r="D42" t="inlineStr">
        <is>
          <t>https://data.sec.gov/api/xbrl/companyfacts/CIK0001692819.json</t>
        </is>
      </c>
    </row>
    <row r="43">
      <c r="A43" t="n">
        <v>14</v>
      </c>
      <c r="B43" s="39" t="inlineStr">
        <is>
          <t>Vistra 8-K: $850M 7.000% Series A and $650M 7.250% Series B junior subordinated notes due 2057, completed 2026-09-24 (use of proceeds not stated in the 8-K)</t>
        </is>
      </c>
      <c r="C43" t="inlineStr">
        <is>
          <t>2026-09-24</t>
        </is>
      </c>
      <c r="D43" t="inlineStr">
        <is>
          <t>https://www.sec.gov/Archives/edgar/data/1692819/000114036126037577/ef20082680_8k.htm</t>
        </is>
      </c>
    </row>
    <row r="44">
      <c r="A44" t="n">
        <v>15</v>
      </c>
      <c r="B44" s="39" t="inlineStr">
        <is>
          <t>Vistra Form 10-Q for the quarter ended 2026-06-30 (fact pack F6, F33, F39, F46, F60, F97, F98, F103, F105)</t>
        </is>
      </c>
      <c r="C44" t="inlineStr">
        <is>
          <t>2026-08-10</t>
        </is>
      </c>
      <c r="D44" t="inlineStr">
        <is>
          <t>https://www.sec.gov/Archives/edgar/data/1692819/000169281926000019/vistra-20260630.htm</t>
        </is>
      </c>
    </row>
    <row r="45">
      <c r="A45" t="n">
        <v>16</v>
      </c>
      <c r="B45" s="39" t="inlineStr">
        <is>
          <t>Vistra Form 10-K for FY2025 (fact pack F3, F36, F43, F57, F64, F71)</t>
        </is>
      </c>
      <c r="C45" t="inlineStr">
        <is>
          <t>2026-02-27</t>
        </is>
      </c>
      <c r="D45" t="inlineStr">
        <is>
          <t>https://www.sec.gov/Archives/edgar/data/1692819/000169281926000006/vistra-20251231.htm</t>
        </is>
      </c>
    </row>
    <row r="46">
      <c r="A46" t="n">
        <v>17</v>
      </c>
      <c r="B46" s="39" t="inlineStr">
        <is>
          <t>Run peer table peers.md / peers.json (SEC filings + Bigdata.com company tearsheet analyst_estimates, provider FMP consensus, https://bigdata.com)</t>
        </is>
      </c>
      <c r="C46" t="inlineStr">
        <is>
          <t>2026-10-14</t>
        </is>
      </c>
      <c r="D46" t="inlineStr">
        <is>
          <t>/mnt/project-files/valuation/runs/2026-10-14/VST/peers.md</t>
        </is>
      </c>
    </row>
    <row r="47">
      <c r="A47" t="n">
        <v>18</v>
      </c>
      <c r="B47" s="39" t="inlineStr">
        <is>
          <t>Standing AI data-center capex view (nvda_customer_capex.md): ex-China customer AI capex 2028 low $1,265B / base $2,255B / high $3,160B</t>
        </is>
      </c>
      <c r="C47" t="inlineStr">
        <is>
          <t>2026-10-05</t>
        </is>
      </c>
      <c r="D47" t="inlineStr">
        <is>
          <t>/mnt/project-files/adhoc/nvda_customer_capex.md</t>
        </is>
      </c>
    </row>
    <row r="48">
      <c r="A48" t="n">
        <v>19</v>
      </c>
      <c r="B48" s="39" t="inlineStr">
        <is>
          <t>Ohio Energy Group (M. Kurtz) presentation, PJM 'Powering Reliability Through Market Design' workshop, 2026-07-15: 'Legacy Auction ... Maintain the existing price floor and price cap beyond 2029/2030 on existing generation'; notes Brattle's Sixth VRR review (2025-04-09) recommended an RTO-wide cap of $500-625/MW-day</t>
        </is>
      </c>
      <c r="C48" t="inlineStr">
        <is>
          <t>2026-07-15</t>
        </is>
      </c>
      <c r="D48" t="inlineStr">
        <is>
          <t>https://www.pjm.com/-/media/DotCom/committees-groups/workshops/prtmdw/2026/20260714/20260714-item-04b---bifurcated-capacity-market-under-pjm-path-a-option-2---michael-kurtz-presentation.pdf</t>
        </is>
      </c>
    </row>
    <row r="49">
      <c r="A49" t="n">
        <v>20</v>
      </c>
      <c r="B49" s="39" t="inlineStr">
        <is>
          <t>Vistra Operations 424B5 prospectus supplement, junior subordinated notes due 2057: use of proceeds may include redemption of some or all of the 8.0% Series A / 7.0% Series B preferred (claims-neutral)</t>
        </is>
      </c>
      <c r="C49" t="inlineStr">
        <is>
          <t>2026-09-10</t>
        </is>
      </c>
      <c r="D49" t="inlineStr">
        <is>
          <t>https://www.sec.gov/Archives/edgar/data/1692819/000114036126036130/ny20081693x2_424b5.htm</t>
        </is>
      </c>
    </row>
    <row r="51">
      <c r="A51" s="3" t="inlineStr">
        <is>
          <t>Fact id</t>
        </is>
      </c>
      <c r="B51" s="3" t="inlineStr">
        <is>
          <t>Figure</t>
        </is>
      </c>
      <c r="C51" s="3" t="inlineStr">
        <is>
          <t>Value</t>
        </is>
      </c>
      <c r="D51" s="3" t="inlineStr">
        <is>
          <t>Filing</t>
        </is>
      </c>
    </row>
    <row r="52">
      <c r="A52" t="inlineStr">
        <is>
          <t>F1</t>
        </is>
      </c>
      <c r="B52" t="inlineStr">
        <is>
          <t>revenue FY ending 2023-12-31 (us-gaap:RevenueFromContractWithCustomerExcludingAssessedTax)</t>
        </is>
      </c>
      <c r="C52" s="45" t="n">
        <v>13804000000</v>
      </c>
      <c r="D52" t="inlineStr">
        <is>
          <t>https://www.sec.gov/Archives/edgar/data/1692819/000169281926000006/</t>
        </is>
      </c>
    </row>
    <row r="53">
      <c r="A53" t="inlineStr">
        <is>
          <t>F2</t>
        </is>
      </c>
      <c r="B53" t="inlineStr">
        <is>
          <t>revenue FY ending 2024-12-31 (us-gaap:RevenueFromContractWithCustomerExcludingAssessedTax)</t>
        </is>
      </c>
      <c r="C53" s="45" t="n">
        <v>14761000000</v>
      </c>
      <c r="D53" t="inlineStr">
        <is>
          <t>https://www.sec.gov/Archives/edgar/data/1692819/000169281926000006/</t>
        </is>
      </c>
    </row>
    <row r="54">
      <c r="A54" t="inlineStr">
        <is>
          <t>F3</t>
        </is>
      </c>
      <c r="B54" t="inlineStr">
        <is>
          <t>revenue FY ending 2025-12-31 (us-gaap:RevenueFromContractWithCustomerExcludingAssessedTax)</t>
        </is>
      </c>
      <c r="C54" s="45" t="n">
        <v>17586000000</v>
      </c>
      <c r="D54" t="inlineStr">
        <is>
          <t>https://www.sec.gov/Archives/edgar/data/1692819/000169281926000006/</t>
        </is>
      </c>
    </row>
    <row r="55">
      <c r="A55" t="inlineStr">
        <is>
          <t>F4</t>
        </is>
      </c>
      <c r="B55" t="inlineStr">
        <is>
          <t>revenue YTD 2026-01-01 to 2026-06-30</t>
        </is>
      </c>
      <c r="C55" s="45" t="n">
        <v>9402000000</v>
      </c>
      <c r="D55" t="inlineStr">
        <is>
          <t>https://www.sec.gov/Archives/edgar/data/1692819/000169281926000019/</t>
        </is>
      </c>
    </row>
    <row r="56">
      <c r="A56" t="inlineStr">
        <is>
          <t>F5</t>
        </is>
      </c>
      <c r="B56" t="inlineStr">
        <is>
          <t>revenue prior-year YTD 2025-01-01 to 2025-06-30</t>
        </is>
      </c>
      <c r="C56" s="45" t="n">
        <v>8003000000</v>
      </c>
      <c r="D56" t="inlineStr">
        <is>
          <t>https://www.sec.gov/Archives/edgar/data/1692819/000169281926000019/</t>
        </is>
      </c>
    </row>
    <row r="57">
      <c r="A57" t="inlineStr">
        <is>
          <t>F6</t>
        </is>
      </c>
      <c r="B57" t="inlineStr">
        <is>
          <t>revenue TTM to 2026-06-30</t>
        </is>
      </c>
      <c r="C57" s="45" t="n">
        <v>18985000000</v>
      </c>
    </row>
    <row r="58">
      <c r="A58" t="inlineStr">
        <is>
          <t>F7</t>
        </is>
      </c>
      <c r="B58" t="inlineStr">
        <is>
          <t>revenue quarter 2026-04-01 to 2026-06-30</t>
        </is>
      </c>
      <c r="C58" s="45" t="n">
        <v>4401000000</v>
      </c>
      <c r="D58" t="inlineStr">
        <is>
          <t>https://www.sec.gov/Archives/edgar/data/1692819/000169281926000019/</t>
        </is>
      </c>
    </row>
    <row r="59">
      <c r="A59" t="inlineStr">
        <is>
          <t>F8</t>
        </is>
      </c>
      <c r="B59" t="inlineStr">
        <is>
          <t>operating_income FY ending 2023-12-31 (us-gaap:OperatingIncomeLoss)</t>
        </is>
      </c>
      <c r="C59" s="45" t="n">
        <v>2661000000</v>
      </c>
      <c r="D59" t="inlineStr">
        <is>
          <t>https://www.sec.gov/Archives/edgar/data/1692819/000169281926000006/</t>
        </is>
      </c>
    </row>
    <row r="60">
      <c r="A60" t="inlineStr">
        <is>
          <t>F9</t>
        </is>
      </c>
      <c r="B60" t="inlineStr">
        <is>
          <t>operating_income FY ending 2024-12-31 (us-gaap:OperatingIncomeLoss)</t>
        </is>
      </c>
      <c r="C60" s="45" t="n">
        <v>4081000000</v>
      </c>
      <c r="D60" t="inlineStr">
        <is>
          <t>https://www.sec.gov/Archives/edgar/data/1692819/000169281926000006/</t>
        </is>
      </c>
    </row>
    <row r="61">
      <c r="A61" t="inlineStr">
        <is>
          <t>F10</t>
        </is>
      </c>
      <c r="B61" t="inlineStr">
        <is>
          <t>operating_income FY ending 2025-12-31 (us-gaap:OperatingIncomeLoss)</t>
        </is>
      </c>
      <c r="C61" s="45" t="n">
        <v>1906000000</v>
      </c>
      <c r="D61" t="inlineStr">
        <is>
          <t>https://www.sec.gov/Archives/edgar/data/1692819/000169281926000006/</t>
        </is>
      </c>
    </row>
    <row r="62">
      <c r="A62" t="inlineStr">
        <is>
          <t>F11</t>
        </is>
      </c>
      <c r="B62" t="inlineStr">
        <is>
          <t>operating_income YTD 2026-01-01 to 2026-06-30</t>
        </is>
      </c>
      <c r="C62" s="45" t="n">
        <v>2052000000</v>
      </c>
      <c r="D62" t="inlineStr">
        <is>
          <t>https://www.sec.gov/Archives/edgar/data/1692819/000169281926000019/</t>
        </is>
      </c>
    </row>
    <row r="63">
      <c r="A63" t="inlineStr">
        <is>
          <t>F12</t>
        </is>
      </c>
      <c r="B63" t="inlineStr">
        <is>
          <t>operating_income prior-year YTD 2025-01-01 to 2025-06-30</t>
        </is>
      </c>
      <c r="C63" s="45" t="n">
        <v>395000000</v>
      </c>
      <c r="D63" t="inlineStr">
        <is>
          <t>https://www.sec.gov/Archives/edgar/data/1692819/000169281926000019/</t>
        </is>
      </c>
    </row>
    <row r="64">
      <c r="A64" t="inlineStr">
        <is>
          <t>F13</t>
        </is>
      </c>
      <c r="B64" t="inlineStr">
        <is>
          <t>operating_income TTM to 2026-06-30</t>
        </is>
      </c>
      <c r="C64" s="45" t="n">
        <v>3563000000</v>
      </c>
    </row>
    <row r="65">
      <c r="A65" t="inlineStr">
        <is>
          <t>F14</t>
        </is>
      </c>
      <c r="B65" t="inlineStr">
        <is>
          <t>operating_income quarter 2026-04-01 to 2026-06-30</t>
        </is>
      </c>
      <c r="C65" s="45" t="n">
        <v>553000000</v>
      </c>
      <c r="D65" t="inlineStr">
        <is>
          <t>https://www.sec.gov/Archives/edgar/data/1692819/000169281926000019/</t>
        </is>
      </c>
    </row>
    <row r="66">
      <c r="A66" t="inlineStr">
        <is>
          <t>F15</t>
        </is>
      </c>
      <c r="B66" t="inlineStr">
        <is>
          <t>net_income FY ending 2023-12-31 (us-gaap:NetIncomeLoss)</t>
        </is>
      </c>
      <c r="C66" s="45" t="n">
        <v>1493000000</v>
      </c>
      <c r="D66" t="inlineStr">
        <is>
          <t>https://www.sec.gov/Archives/edgar/data/1692819/000169281926000006/</t>
        </is>
      </c>
    </row>
    <row r="67">
      <c r="A67" t="inlineStr">
        <is>
          <t>F16</t>
        </is>
      </c>
      <c r="B67" t="inlineStr">
        <is>
          <t>net_income FY ending 2024-12-31 (us-gaap:NetIncomeLoss)</t>
        </is>
      </c>
      <c r="C67" s="45" t="n">
        <v>2659000000</v>
      </c>
      <c r="D67" t="inlineStr">
        <is>
          <t>https://www.sec.gov/Archives/edgar/data/1692819/000169281926000006/</t>
        </is>
      </c>
    </row>
    <row r="68">
      <c r="A68" t="inlineStr">
        <is>
          <t>F17</t>
        </is>
      </c>
      <c r="B68" t="inlineStr">
        <is>
          <t>net_income FY ending 2025-12-31 (us-gaap:NetIncomeLoss)</t>
        </is>
      </c>
      <c r="C68" s="45" t="n">
        <v>944000000</v>
      </c>
      <c r="D68" t="inlineStr">
        <is>
          <t>https://www.sec.gov/Archives/edgar/data/1692819/000169281926000006/</t>
        </is>
      </c>
    </row>
    <row r="69">
      <c r="A69" t="inlineStr">
        <is>
          <t>F18</t>
        </is>
      </c>
      <c r="B69" t="inlineStr">
        <is>
          <t>net_income YTD 2026-01-01 to 2026-06-30</t>
        </is>
      </c>
      <c r="C69" s="45" t="n">
        <v>1334000000</v>
      </c>
      <c r="D69" t="inlineStr">
        <is>
          <t>https://www.sec.gov/Archives/edgar/data/1692819/000169281926000019/</t>
        </is>
      </c>
    </row>
    <row r="70">
      <c r="A70" t="inlineStr">
        <is>
          <t>F19</t>
        </is>
      </c>
      <c r="B70" t="inlineStr">
        <is>
          <t>net_income prior-year YTD 2025-01-01 to 2025-06-30</t>
        </is>
      </c>
      <c r="C70" s="45" t="n">
        <v>59000000</v>
      </c>
      <c r="D70" t="inlineStr">
        <is>
          <t>https://www.sec.gov/Archives/edgar/data/1692819/000169281926000019/</t>
        </is>
      </c>
    </row>
    <row r="71">
      <c r="A71" t="inlineStr">
        <is>
          <t>F20</t>
        </is>
      </c>
      <c r="B71" t="inlineStr">
        <is>
          <t>net_income TTM to 2026-06-30</t>
        </is>
      </c>
      <c r="C71" s="45" t="n">
        <v>2219000000</v>
      </c>
    </row>
    <row r="72">
      <c r="A72" t="inlineStr">
        <is>
          <t>F21</t>
        </is>
      </c>
      <c r="B72" t="inlineStr">
        <is>
          <t>net_income quarter 2026-04-01 to 2026-06-30</t>
        </is>
      </c>
      <c r="C72" s="45" t="n">
        <v>305000000</v>
      </c>
      <c r="D72" t="inlineStr">
        <is>
          <t>https://www.sec.gov/Archives/edgar/data/1692819/000169281926000019/</t>
        </is>
      </c>
    </row>
    <row r="73">
      <c r="A73" t="inlineStr">
        <is>
          <t>F22</t>
        </is>
      </c>
      <c r="B73" t="inlineStr">
        <is>
          <t>eps_diluted FY ending 2023-12-31 (us-gaap:EarningsPerShareDiluted)</t>
        </is>
      </c>
      <c r="C73" s="45" t="n">
        <v>3.58</v>
      </c>
      <c r="D73" t="inlineStr">
        <is>
          <t>https://www.sec.gov/Archives/edgar/data/1692819/000169281926000006/</t>
        </is>
      </c>
    </row>
    <row r="74">
      <c r="A74" t="inlineStr">
        <is>
          <t>F23</t>
        </is>
      </c>
      <c r="B74" t="inlineStr">
        <is>
          <t>eps_diluted FY ending 2024-12-31 (us-gaap:EarningsPerShareDiluted)</t>
        </is>
      </c>
      <c r="C74" s="45" t="n">
        <v>7</v>
      </c>
      <c r="D74" t="inlineStr">
        <is>
          <t>https://www.sec.gov/Archives/edgar/data/1692819/000169281926000006/</t>
        </is>
      </c>
    </row>
    <row r="75">
      <c r="A75" t="inlineStr">
        <is>
          <t>F24</t>
        </is>
      </c>
      <c r="B75" t="inlineStr">
        <is>
          <t>eps_diluted FY ending 2025-12-31 (us-gaap:EarningsPerShareDiluted)</t>
        </is>
      </c>
      <c r="C75" s="45" t="n">
        <v>2.18</v>
      </c>
      <c r="D75" t="inlineStr">
        <is>
          <t>https://www.sec.gov/Archives/edgar/data/1692819/000169281926000006/</t>
        </is>
      </c>
    </row>
    <row r="76">
      <c r="A76" t="inlineStr">
        <is>
          <t>F25</t>
        </is>
      </c>
      <c r="B76" t="inlineStr">
        <is>
          <t>eps_diluted YTD 2026-01-01 to 2026-06-30</t>
        </is>
      </c>
      <c r="C76" s="45" t="n">
        <v>3.64</v>
      </c>
      <c r="D76" t="inlineStr">
        <is>
          <t>https://www.sec.gov/Archives/edgar/data/1692819/000169281926000019/</t>
        </is>
      </c>
    </row>
    <row r="77">
      <c r="A77" t="inlineStr">
        <is>
          <t>F26</t>
        </is>
      </c>
      <c r="B77" t="inlineStr">
        <is>
          <t>eps_diluted prior-year YTD 2025-01-01 to 2025-06-30</t>
        </is>
      </c>
      <c r="C77" s="45" t="n">
        <v>-0.11</v>
      </c>
      <c r="D77" t="inlineStr">
        <is>
          <t>https://www.sec.gov/Archives/edgar/data/1692819/000169281926000019/</t>
        </is>
      </c>
    </row>
    <row r="78">
      <c r="A78" t="inlineStr">
        <is>
          <t>F27</t>
        </is>
      </c>
      <c r="B78" t="inlineStr">
        <is>
          <t>eps_diluted quarter 2026-04-01 to 2026-06-30</t>
        </is>
      </c>
      <c r="C78" s="45" t="n">
        <v>0.76</v>
      </c>
      <c r="D78" t="inlineStr">
        <is>
          <t>https://www.sec.gov/Archives/edgar/data/1692819/000169281926000019/</t>
        </is>
      </c>
    </row>
    <row r="79">
      <c r="A79" t="inlineStr">
        <is>
          <t>F28</t>
        </is>
      </c>
      <c r="B79" t="inlineStr">
        <is>
          <t>diluted_shares_wavg FY ending 2023-12-31 (us-gaap:WeightedAverageNumberOfDilutedSharesOutstanding)</t>
        </is>
      </c>
      <c r="C79" s="45" t="n">
        <v>375193110</v>
      </c>
      <c r="D79" t="inlineStr">
        <is>
          <t>https://www.sec.gov/Archives/edgar/data/1692819/000169281926000006/</t>
        </is>
      </c>
    </row>
    <row r="80">
      <c r="A80" t="inlineStr">
        <is>
          <t>F29</t>
        </is>
      </c>
      <c r="B80" t="inlineStr">
        <is>
          <t>diluted_shares_wavg FY ending 2024-12-31 (us-gaap:WeightedAverageNumberOfDilutedSharesOutstanding)</t>
        </is>
      </c>
      <c r="C80" s="45" t="n">
        <v>352567060</v>
      </c>
      <c r="D80" t="inlineStr">
        <is>
          <t>https://www.sec.gov/Archives/edgar/data/1692819/000169281926000006/</t>
        </is>
      </c>
    </row>
    <row r="81">
      <c r="A81" t="inlineStr">
        <is>
          <t>F30</t>
        </is>
      </c>
      <c r="B81" t="inlineStr">
        <is>
          <t>diluted_shares_wavg FY ending 2025-12-31 (us-gaap:WeightedAverageNumberOfDilutedSharesOutstanding)</t>
        </is>
      </c>
      <c r="C81" s="45" t="n">
        <v>345656067</v>
      </c>
      <c r="D81" t="inlineStr">
        <is>
          <t>https://www.sec.gov/Archives/edgar/data/1692819/000169281926000006/</t>
        </is>
      </c>
    </row>
    <row r="82">
      <c r="A82" t="inlineStr">
        <is>
          <t>F31</t>
        </is>
      </c>
      <c r="B82" t="inlineStr">
        <is>
          <t>diluted_shares_wavg YTD 2026-01-01 to 2026-06-30</t>
        </is>
      </c>
      <c r="C82" s="45" t="n">
        <v>340541176</v>
      </c>
      <c r="D82" t="inlineStr">
        <is>
          <t>https://www.sec.gov/Archives/edgar/data/1692819/000169281926000019/</t>
        </is>
      </c>
    </row>
    <row r="83">
      <c r="A83" t="inlineStr">
        <is>
          <t>F32</t>
        </is>
      </c>
      <c r="B83" t="inlineStr">
        <is>
          <t>diluted_shares_wavg prior-year YTD 2025-01-01 to 2025-06-30</t>
        </is>
      </c>
      <c r="C83" s="45" t="n">
        <v>339599887</v>
      </c>
      <c r="D83" t="inlineStr">
        <is>
          <t>https://www.sec.gov/Archives/edgar/data/1692819/000169281926000019/</t>
        </is>
      </c>
    </row>
    <row r="84">
      <c r="A84" t="inlineStr">
        <is>
          <t>F33</t>
        </is>
      </c>
      <c r="B84" t="inlineStr">
        <is>
          <t>diluted_shares_wavg quarter 2026-04-01 to 2026-06-30</t>
        </is>
      </c>
      <c r="C84" s="45" t="n">
        <v>339230976</v>
      </c>
      <c r="D84" t="inlineStr">
        <is>
          <t>https://www.sec.gov/Archives/edgar/data/1692819/000169281926000019/</t>
        </is>
      </c>
    </row>
    <row r="85">
      <c r="A85" t="inlineStr">
        <is>
          <t>F34</t>
        </is>
      </c>
      <c r="B85" t="inlineStr">
        <is>
          <t>d_and_a FY ending 2023-12-31 (us-gaap:DepreciationDepletionAndAmortization)</t>
        </is>
      </c>
      <c r="C85" s="45" t="n">
        <v>1502000000</v>
      </c>
      <c r="D85" t="inlineStr">
        <is>
          <t>https://www.sec.gov/Archives/edgar/data/1692819/000169281926000006/</t>
        </is>
      </c>
    </row>
    <row r="86">
      <c r="A86" t="inlineStr">
        <is>
          <t>F35</t>
        </is>
      </c>
      <c r="B86" t="inlineStr">
        <is>
          <t>d_and_a FY ending 2024-12-31 (us-gaap:DepreciationDepletionAndAmortization)</t>
        </is>
      </c>
      <c r="C86" s="45" t="n">
        <v>1843000000</v>
      </c>
      <c r="D86" t="inlineStr">
        <is>
          <t>https://www.sec.gov/Archives/edgar/data/1692819/000169281926000006/</t>
        </is>
      </c>
    </row>
    <row r="87">
      <c r="A87" t="inlineStr">
        <is>
          <t>F36</t>
        </is>
      </c>
      <c r="B87" t="inlineStr">
        <is>
          <t>d_and_a FY ending 2025-12-31 (us-gaap:DepreciationDepletionAndAmortization)</t>
        </is>
      </c>
      <c r="C87" s="45" t="n">
        <v>1986000000</v>
      </c>
      <c r="D87" t="inlineStr">
        <is>
          <t>https://www.sec.gov/Archives/edgar/data/1692819/000169281926000006/</t>
        </is>
      </c>
    </row>
    <row r="88">
      <c r="A88" t="inlineStr">
        <is>
          <t>F37</t>
        </is>
      </c>
      <c r="B88" t="inlineStr">
        <is>
          <t>d_and_a YTD 2026-01-01 to 2026-06-30</t>
        </is>
      </c>
      <c r="C88" s="45" t="n">
        <v>929000000</v>
      </c>
      <c r="D88" t="inlineStr">
        <is>
          <t>https://www.sec.gov/Archives/edgar/data/1692819/000169281926000019/</t>
        </is>
      </c>
    </row>
    <row r="89">
      <c r="A89" t="inlineStr">
        <is>
          <t>F38</t>
        </is>
      </c>
      <c r="B89" t="inlineStr">
        <is>
          <t>d_and_a prior-year YTD 2025-01-01 to 2025-06-30</t>
        </is>
      </c>
      <c r="C89" s="45" t="n">
        <v>1063000000</v>
      </c>
      <c r="D89" t="inlineStr">
        <is>
          <t>https://www.sec.gov/Archives/edgar/data/1692819/000169281926000019/</t>
        </is>
      </c>
    </row>
    <row r="90">
      <c r="A90" t="inlineStr">
        <is>
          <t>F39</t>
        </is>
      </c>
      <c r="B90" t="inlineStr">
        <is>
          <t>d_and_a TTM to 2026-06-30</t>
        </is>
      </c>
      <c r="C90" s="45" t="n">
        <v>1852000000</v>
      </c>
    </row>
    <row r="91">
      <c r="A91" t="inlineStr">
        <is>
          <t>F40</t>
        </is>
      </c>
      <c r="B91" t="inlineStr">
        <is>
          <t>d_and_a quarter 2026-04-01 to 2026-06-30</t>
        </is>
      </c>
      <c r="C91" s="45" t="n">
        <v>445000000</v>
      </c>
      <c r="D91" t="inlineStr">
        <is>
          <t>https://www.sec.gov/Archives/edgar/data/1692819/000169281926000019/</t>
        </is>
      </c>
    </row>
    <row r="92">
      <c r="A92" t="inlineStr">
        <is>
          <t>F41</t>
        </is>
      </c>
      <c r="B92" t="inlineStr">
        <is>
          <t>sbc FY ending 2023-12-31 (us-gaap:ShareBasedCompensation)</t>
        </is>
      </c>
      <c r="C92" s="45" t="n">
        <v>77000000</v>
      </c>
      <c r="D92" t="inlineStr">
        <is>
          <t>https://www.sec.gov/Archives/edgar/data/1692819/000169281926000006/</t>
        </is>
      </c>
    </row>
    <row r="93">
      <c r="A93" t="inlineStr">
        <is>
          <t>F42</t>
        </is>
      </c>
      <c r="B93" t="inlineStr">
        <is>
          <t>sbc FY ending 2024-12-31 (us-gaap:ShareBasedCompensation)</t>
        </is>
      </c>
      <c r="C93" s="45" t="n">
        <v>100000000</v>
      </c>
      <c r="D93" t="inlineStr">
        <is>
          <t>https://www.sec.gov/Archives/edgar/data/1692819/000169281926000006/</t>
        </is>
      </c>
    </row>
    <row r="94">
      <c r="A94" t="inlineStr">
        <is>
          <t>F43</t>
        </is>
      </c>
      <c r="B94" t="inlineStr">
        <is>
          <t>sbc FY ending 2025-12-31 (us-gaap:ShareBasedCompensation)</t>
        </is>
      </c>
      <c r="C94" s="45" t="n">
        <v>113000000</v>
      </c>
      <c r="D94" t="inlineStr">
        <is>
          <t>https://www.sec.gov/Archives/edgar/data/1692819/000169281926000006/</t>
        </is>
      </c>
    </row>
    <row r="95">
      <c r="A95" t="inlineStr">
        <is>
          <t>F44</t>
        </is>
      </c>
      <c r="B95" t="inlineStr">
        <is>
          <t>sbc YTD 2026-01-01 to 2026-06-30</t>
        </is>
      </c>
      <c r="C95" s="45" t="n">
        <v>67000000</v>
      </c>
      <c r="D95" t="inlineStr">
        <is>
          <t>https://www.sec.gov/Archives/edgar/data/1692819/000169281926000019/</t>
        </is>
      </c>
    </row>
    <row r="96">
      <c r="A96" t="inlineStr">
        <is>
          <t>F45</t>
        </is>
      </c>
      <c r="B96" t="inlineStr">
        <is>
          <t>sbc prior-year YTD 2025-01-01 to 2025-06-30</t>
        </is>
      </c>
      <c r="C96" s="45" t="n">
        <v>46000000</v>
      </c>
      <c r="D96" t="inlineStr">
        <is>
          <t>https://www.sec.gov/Archives/edgar/data/1692819/000169281926000019/</t>
        </is>
      </c>
    </row>
    <row r="97">
      <c r="A97" t="inlineStr">
        <is>
          <t>F46</t>
        </is>
      </c>
      <c r="B97" t="inlineStr">
        <is>
          <t>sbc TTM to 2026-06-30</t>
        </is>
      </c>
      <c r="C97" s="45" t="n">
        <v>134000000</v>
      </c>
    </row>
    <row r="98">
      <c r="A98" t="inlineStr">
        <is>
          <t>F47</t>
        </is>
      </c>
      <c r="B98" t="inlineStr">
        <is>
          <t>sbc quarter 2026-01-01 to 2026-03-31</t>
        </is>
      </c>
      <c r="C98" s="45" t="n">
        <v>32000000</v>
      </c>
      <c r="D98" t="inlineStr">
        <is>
          <t>https://www.sec.gov/Archives/edgar/data/1692819/000169281926000014/</t>
        </is>
      </c>
    </row>
    <row r="99">
      <c r="A99" t="inlineStr">
        <is>
          <t>F48</t>
        </is>
      </c>
      <c r="B99" t="inlineStr">
        <is>
          <t>cfo FY ending 2023-12-31 (us-gaap:NetCashProvidedByUsedInOperatingActivities)</t>
        </is>
      </c>
      <c r="C99" s="45" t="n">
        <v>5453000000</v>
      </c>
      <c r="D99" t="inlineStr">
        <is>
          <t>https://www.sec.gov/Archives/edgar/data/1692819/000169281926000006/</t>
        </is>
      </c>
    </row>
    <row r="100">
      <c r="A100" t="inlineStr">
        <is>
          <t>F49</t>
        </is>
      </c>
      <c r="B100" t="inlineStr">
        <is>
          <t>cfo FY ending 2024-12-31 (us-gaap:NetCashProvidedByUsedInOperatingActivities)</t>
        </is>
      </c>
      <c r="C100" s="45" t="n">
        <v>4563000000</v>
      </c>
      <c r="D100" t="inlineStr">
        <is>
          <t>https://www.sec.gov/Archives/edgar/data/1692819/000169281926000006/</t>
        </is>
      </c>
    </row>
    <row r="101">
      <c r="A101" t="inlineStr">
        <is>
          <t>F50</t>
        </is>
      </c>
      <c r="B101" t="inlineStr">
        <is>
          <t>cfo FY ending 2025-12-31 (us-gaap:NetCashProvidedByUsedInOperatingActivities)</t>
        </is>
      </c>
      <c r="C101" s="45" t="n">
        <v>4070000000</v>
      </c>
      <c r="D101" t="inlineStr">
        <is>
          <t>https://www.sec.gov/Archives/edgar/data/1692819/000169281926000006/</t>
        </is>
      </c>
    </row>
    <row r="102">
      <c r="A102" t="inlineStr">
        <is>
          <t>F51</t>
        </is>
      </c>
      <c r="B102" t="inlineStr">
        <is>
          <t>cfo YTD 2026-01-01 to 2026-06-30</t>
        </is>
      </c>
      <c r="C102" s="45" t="n">
        <v>2222000000</v>
      </c>
      <c r="D102" t="inlineStr">
        <is>
          <t>https://www.sec.gov/Archives/edgar/data/1692819/000169281926000019/</t>
        </is>
      </c>
    </row>
    <row r="103">
      <c r="A103" t="inlineStr">
        <is>
          <t>F52</t>
        </is>
      </c>
      <c r="B103" t="inlineStr">
        <is>
          <t>cfo prior-year YTD 2025-01-01 to 2025-06-30</t>
        </is>
      </c>
      <c r="C103" s="45" t="n">
        <v>1171000000</v>
      </c>
      <c r="D103" t="inlineStr">
        <is>
          <t>https://www.sec.gov/Archives/edgar/data/1692819/000169281926000019/</t>
        </is>
      </c>
    </row>
    <row r="104">
      <c r="A104" t="inlineStr">
        <is>
          <t>F53</t>
        </is>
      </c>
      <c r="B104" t="inlineStr">
        <is>
          <t>cfo TTM to 2026-06-30</t>
        </is>
      </c>
      <c r="C104" s="45" t="n">
        <v>5121000000</v>
      </c>
    </row>
    <row r="105">
      <c r="A105" t="inlineStr">
        <is>
          <t>F54</t>
        </is>
      </c>
      <c r="B105" t="inlineStr">
        <is>
          <t>cfo quarter 2026-01-01 to 2026-03-31</t>
        </is>
      </c>
      <c r="C105" s="45" t="n">
        <v>1199000000</v>
      </c>
      <c r="D105" t="inlineStr">
        <is>
          <t>https://www.sec.gov/Archives/edgar/data/1692819/000169281926000014/</t>
        </is>
      </c>
    </row>
    <row r="106">
      <c r="A106" t="inlineStr">
        <is>
          <t>F55</t>
        </is>
      </c>
      <c r="B106" t="inlineStr">
        <is>
          <t>capex FY ending 2023-12-31 (us-gaap:PaymentsToAcquirePropertyPlantAndEquipment)</t>
        </is>
      </c>
      <c r="C106" s="45" t="n">
        <v>1676000000</v>
      </c>
      <c r="D106" t="inlineStr">
        <is>
          <t>https://www.sec.gov/Archives/edgar/data/1692819/000169281926000006/</t>
        </is>
      </c>
    </row>
    <row r="107">
      <c r="A107" t="inlineStr">
        <is>
          <t>F56</t>
        </is>
      </c>
      <c r="B107" t="inlineStr">
        <is>
          <t>capex FY ending 2024-12-31 (us-gaap:PaymentsToAcquirePropertyPlantAndEquipment)</t>
        </is>
      </c>
      <c r="C107" s="45" t="n">
        <v>2078000000</v>
      </c>
      <c r="D107" t="inlineStr">
        <is>
          <t>https://www.sec.gov/Archives/edgar/data/1692819/000169281926000006/</t>
        </is>
      </c>
    </row>
    <row r="108">
      <c r="A108" t="inlineStr">
        <is>
          <t>F57</t>
        </is>
      </c>
      <c r="B108" t="inlineStr">
        <is>
          <t>capex FY ending 2025-12-31 (us-gaap:PaymentsToAcquirePropertyPlantAndEquipment)</t>
        </is>
      </c>
      <c r="C108" s="45" t="n">
        <v>2752000000</v>
      </c>
      <c r="D108" t="inlineStr">
        <is>
          <t>https://www.sec.gov/Archives/edgar/data/1692819/000169281926000006/</t>
        </is>
      </c>
    </row>
    <row r="109">
      <c r="A109" t="inlineStr">
        <is>
          <t>F58</t>
        </is>
      </c>
      <c r="B109" t="inlineStr">
        <is>
          <t>capex YTD 2026-01-01 to 2026-06-30</t>
        </is>
      </c>
      <c r="C109" s="45" t="n">
        <v>1572000000</v>
      </c>
      <c r="D109" t="inlineStr">
        <is>
          <t>https://www.sec.gov/Archives/edgar/data/1692819/000169281926000019/</t>
        </is>
      </c>
    </row>
    <row r="110">
      <c r="A110" t="inlineStr">
        <is>
          <t>F59</t>
        </is>
      </c>
      <c r="B110" t="inlineStr">
        <is>
          <t>capex prior-year YTD 2025-01-01 to 2025-06-30</t>
        </is>
      </c>
      <c r="C110" s="45" t="n">
        <v>1458000000</v>
      </c>
      <c r="D110" t="inlineStr">
        <is>
          <t>https://www.sec.gov/Archives/edgar/data/1692819/000169281926000019/</t>
        </is>
      </c>
    </row>
    <row r="111">
      <c r="A111" t="inlineStr">
        <is>
          <t>F60</t>
        </is>
      </c>
      <c r="B111" t="inlineStr">
        <is>
          <t>capex TTM to 2026-06-30</t>
        </is>
      </c>
      <c r="C111" s="45" t="n">
        <v>2866000000</v>
      </c>
    </row>
    <row r="112">
      <c r="A112" t="inlineStr">
        <is>
          <t>F61</t>
        </is>
      </c>
      <c r="B112" t="inlineStr">
        <is>
          <t>capex quarter 2026-01-01 to 2026-03-31</t>
        </is>
      </c>
      <c r="C112" s="45" t="n">
        <v>883000000</v>
      </c>
      <c r="D112" t="inlineStr">
        <is>
          <t>https://www.sec.gov/Archives/edgar/data/1692819/000169281926000014/</t>
        </is>
      </c>
    </row>
    <row r="113">
      <c r="A113" t="inlineStr">
        <is>
          <t>F62</t>
        </is>
      </c>
      <c r="B113" t="inlineStr">
        <is>
          <t>buybacks FY ending 2023-12-31 (us-gaap:PaymentsForRepurchaseOfCommonStock)</t>
        </is>
      </c>
      <c r="C113" s="45" t="n">
        <v>1245000000</v>
      </c>
      <c r="D113" t="inlineStr">
        <is>
          <t>https://www.sec.gov/Archives/edgar/data/1692819/000169281926000006/</t>
        </is>
      </c>
    </row>
    <row r="114">
      <c r="A114" t="inlineStr">
        <is>
          <t>F63</t>
        </is>
      </c>
      <c r="B114" t="inlineStr">
        <is>
          <t>buybacks FY ending 2024-12-31 (us-gaap:PaymentsForRepurchaseOfCommonStock)</t>
        </is>
      </c>
      <c r="C114" s="45" t="n">
        <v>1266000000</v>
      </c>
      <c r="D114" t="inlineStr">
        <is>
          <t>https://www.sec.gov/Archives/edgar/data/1692819/000169281926000006/</t>
        </is>
      </c>
    </row>
    <row r="115">
      <c r="A115" t="inlineStr">
        <is>
          <t>F64</t>
        </is>
      </c>
      <c r="B115" t="inlineStr">
        <is>
          <t>buybacks FY ending 2025-12-31 (us-gaap:PaymentsForRepurchaseOfCommonStock)</t>
        </is>
      </c>
      <c r="C115" s="45" t="n">
        <v>1028000000</v>
      </c>
      <c r="D115" t="inlineStr">
        <is>
          <t>https://www.sec.gov/Archives/edgar/data/1692819/000169281926000006/</t>
        </is>
      </c>
    </row>
    <row r="116">
      <c r="A116" t="inlineStr">
        <is>
          <t>F65</t>
        </is>
      </c>
      <c r="B116" t="inlineStr">
        <is>
          <t>buybacks YTD 2026-01-01 to 2026-06-30</t>
        </is>
      </c>
      <c r="C116" s="45" t="n">
        <v>709000000</v>
      </c>
      <c r="D116" t="inlineStr">
        <is>
          <t>https://www.sec.gov/Archives/edgar/data/1692819/000169281926000019/</t>
        </is>
      </c>
    </row>
    <row r="117">
      <c r="A117" t="inlineStr">
        <is>
          <t>F66</t>
        </is>
      </c>
      <c r="B117" t="inlineStr">
        <is>
          <t>buybacks prior-year YTD 2025-01-01 to 2025-06-30</t>
        </is>
      </c>
      <c r="C117" s="45" t="n">
        <v>589000000</v>
      </c>
      <c r="D117" t="inlineStr">
        <is>
          <t>https://www.sec.gov/Archives/edgar/data/1692819/000169281926000019/</t>
        </is>
      </c>
    </row>
    <row r="118">
      <c r="A118" t="inlineStr">
        <is>
          <t>F67</t>
        </is>
      </c>
      <c r="B118" t="inlineStr">
        <is>
          <t>buybacks TTM to 2026-06-30</t>
        </is>
      </c>
      <c r="C118" s="45" t="n">
        <v>1148000000</v>
      </c>
    </row>
    <row r="119">
      <c r="A119" t="inlineStr">
        <is>
          <t>F68</t>
        </is>
      </c>
      <c r="B119" t="inlineStr">
        <is>
          <t>buybacks quarter 2026-01-01 to 2026-03-31</t>
        </is>
      </c>
      <c r="C119" s="45" t="n">
        <v>372000000</v>
      </c>
      <c r="D119" t="inlineStr">
        <is>
          <t>https://www.sec.gov/Archives/edgar/data/1692819/000169281926000014/</t>
        </is>
      </c>
    </row>
    <row r="120">
      <c r="A120" t="inlineStr">
        <is>
          <t>F69</t>
        </is>
      </c>
      <c r="B120" t="inlineStr">
        <is>
          <t>dividends_paid FY ending 2023-12-31 (us-gaap:PaymentsOfDividendsCommonStock)</t>
        </is>
      </c>
      <c r="C120" s="45" t="n">
        <v>313000000</v>
      </c>
      <c r="D120" t="inlineStr">
        <is>
          <t>https://www.sec.gov/Archives/edgar/data/1692819/000169281926000006/</t>
        </is>
      </c>
    </row>
    <row r="121">
      <c r="A121" t="inlineStr">
        <is>
          <t>F70</t>
        </is>
      </c>
      <c r="B121" t="inlineStr">
        <is>
          <t>dividends_paid FY ending 2024-12-31 (us-gaap:PaymentsOfDividendsCommonStock)</t>
        </is>
      </c>
      <c r="C121" s="45" t="n">
        <v>305000000</v>
      </c>
      <c r="D121" t="inlineStr">
        <is>
          <t>https://www.sec.gov/Archives/edgar/data/1692819/000169281926000006/</t>
        </is>
      </c>
    </row>
    <row r="122">
      <c r="A122" t="inlineStr">
        <is>
          <t>F71</t>
        </is>
      </c>
      <c r="B122" t="inlineStr">
        <is>
          <t>dividends_paid FY ending 2025-12-31 (us-gaap:PaymentsOfDividendsCommonStock)</t>
        </is>
      </c>
      <c r="C122" s="45" t="n">
        <v>306000000</v>
      </c>
      <c r="D122" t="inlineStr">
        <is>
          <t>https://www.sec.gov/Archives/edgar/data/1692819/000169281926000006/</t>
        </is>
      </c>
    </row>
    <row r="123">
      <c r="A123" t="inlineStr">
        <is>
          <t>F72</t>
        </is>
      </c>
      <c r="B123" t="inlineStr">
        <is>
          <t>dividends_paid YTD 2026-01-01 to 2026-06-30</t>
        </is>
      </c>
      <c r="C123" s="45" t="n">
        <v>154000000</v>
      </c>
      <c r="D123" t="inlineStr">
        <is>
          <t>https://www.sec.gov/Archives/edgar/data/1692819/000169281926000019/</t>
        </is>
      </c>
    </row>
    <row r="124">
      <c r="A124" t="inlineStr">
        <is>
          <t>F73</t>
        </is>
      </c>
      <c r="B124" t="inlineStr">
        <is>
          <t>dividends_paid prior-year YTD 2025-01-01 to 2025-06-30</t>
        </is>
      </c>
      <c r="C124" s="45" t="n">
        <v>152000000</v>
      </c>
      <c r="D124" t="inlineStr">
        <is>
          <t>https://www.sec.gov/Archives/edgar/data/1692819/000169281926000019/</t>
        </is>
      </c>
    </row>
    <row r="125">
      <c r="A125" t="inlineStr">
        <is>
          <t>F74</t>
        </is>
      </c>
      <c r="B125" t="inlineStr">
        <is>
          <t>dividends_paid TTM to 2026-06-30</t>
        </is>
      </c>
      <c r="C125" s="45" t="n">
        <v>308000000</v>
      </c>
    </row>
    <row r="126">
      <c r="A126" t="inlineStr">
        <is>
          <t>F75</t>
        </is>
      </c>
      <c r="B126" t="inlineStr">
        <is>
          <t>dividends_paid quarter 2026-01-01 to 2026-03-31</t>
        </is>
      </c>
      <c r="C126" s="45" t="n">
        <v>77000000</v>
      </c>
      <c r="D126" t="inlineStr">
        <is>
          <t>https://www.sec.gov/Archives/edgar/data/1692819/000169281926000014/</t>
        </is>
      </c>
    </row>
    <row r="127">
      <c r="A127" t="inlineStr">
        <is>
          <t>F76</t>
        </is>
      </c>
      <c r="B127" t="inlineStr">
        <is>
          <t>interest_expense FY ending 2023-12-31 (us-gaap:InterestExpenseNonoperating)</t>
        </is>
      </c>
      <c r="C127" s="45" t="n">
        <v>740000000</v>
      </c>
      <c r="D127" t="inlineStr">
        <is>
          <t>https://www.sec.gov/Archives/edgar/data/1692819/000169281926000006/</t>
        </is>
      </c>
    </row>
    <row r="128">
      <c r="A128" t="inlineStr">
        <is>
          <t>F77</t>
        </is>
      </c>
      <c r="B128" t="inlineStr">
        <is>
          <t>interest_expense FY ending 2024-12-31 (us-gaap:InterestExpenseNonoperating)</t>
        </is>
      </c>
      <c r="C128" s="45" t="n">
        <v>900000000</v>
      </c>
      <c r="D128" t="inlineStr">
        <is>
          <t>https://www.sec.gov/Archives/edgar/data/1692819/000169281926000006/</t>
        </is>
      </c>
    </row>
    <row r="129">
      <c r="A129" t="inlineStr">
        <is>
          <t>F78</t>
        </is>
      </c>
      <c r="B129" t="inlineStr">
        <is>
          <t>interest_expense FY ending 2025-12-31 (us-gaap:InterestExpenseNonoperating)</t>
        </is>
      </c>
      <c r="C129" s="45" t="n">
        <v>1179000000</v>
      </c>
      <c r="D129" t="inlineStr">
        <is>
          <t>https://www.sec.gov/Archives/edgar/data/1692819/000169281926000006/</t>
        </is>
      </c>
    </row>
    <row r="130">
      <c r="A130" t="inlineStr">
        <is>
          <t>F79</t>
        </is>
      </c>
      <c r="B130" t="inlineStr">
        <is>
          <t>interest_expense YTD 2026-01-01 to 2026-06-30</t>
        </is>
      </c>
      <c r="C130" s="45" t="n">
        <v>575000000</v>
      </c>
      <c r="D130" t="inlineStr">
        <is>
          <t>https://www.sec.gov/Archives/edgar/data/1692819/000169281926000019/</t>
        </is>
      </c>
    </row>
    <row r="131">
      <c r="A131" t="inlineStr">
        <is>
          <t>F80</t>
        </is>
      </c>
      <c r="B131" t="inlineStr">
        <is>
          <t>interest_expense prior-year YTD 2025-01-01 to 2025-06-30</t>
        </is>
      </c>
      <c r="C131" s="45" t="n">
        <v>622000000</v>
      </c>
      <c r="D131" t="inlineStr">
        <is>
          <t>https://www.sec.gov/Archives/edgar/data/1692819/000169281926000019/</t>
        </is>
      </c>
    </row>
    <row r="132">
      <c r="A132" t="inlineStr">
        <is>
          <t>F81</t>
        </is>
      </c>
      <c r="B132" t="inlineStr">
        <is>
          <t>interest_expense TTM to 2026-06-30</t>
        </is>
      </c>
      <c r="C132" s="45" t="n">
        <v>1132000000</v>
      </c>
    </row>
    <row r="133">
      <c r="A133" t="inlineStr">
        <is>
          <t>F82</t>
        </is>
      </c>
      <c r="B133" t="inlineStr">
        <is>
          <t>interest_expense quarter 2026-04-01 to 2026-06-30</t>
        </is>
      </c>
      <c r="C133" s="45" t="n">
        <v>312000000</v>
      </c>
      <c r="D133" t="inlineStr">
        <is>
          <t>https://www.sec.gov/Archives/edgar/data/1692819/000169281926000019/</t>
        </is>
      </c>
    </row>
    <row r="134">
      <c r="A134" t="inlineStr">
        <is>
          <t>F83</t>
        </is>
      </c>
      <c r="B134" t="inlineStr">
        <is>
          <t>income_tax FY ending 2023-12-31 (us-gaap:IncomeTaxExpenseBenefit)</t>
        </is>
      </c>
      <c r="C134" s="45" t="n">
        <v>508000000</v>
      </c>
      <c r="D134" t="inlineStr">
        <is>
          <t>https://www.sec.gov/Archives/edgar/data/1692819/000169281926000006/</t>
        </is>
      </c>
    </row>
    <row r="135">
      <c r="A135" t="inlineStr">
        <is>
          <t>F84</t>
        </is>
      </c>
      <c r="B135" t="inlineStr">
        <is>
          <t>income_tax FY ending 2024-12-31 (us-gaap:IncomeTaxExpenseBenefit)</t>
        </is>
      </c>
      <c r="C135" s="45" t="n">
        <v>655000000</v>
      </c>
      <c r="D135" t="inlineStr">
        <is>
          <t>https://www.sec.gov/Archives/edgar/data/1692819/000169281926000006/</t>
        </is>
      </c>
    </row>
    <row r="136">
      <c r="A136" t="inlineStr">
        <is>
          <t>F85</t>
        </is>
      </c>
      <c r="B136" t="inlineStr">
        <is>
          <t>income_tax FY ending 2025-12-31 (us-gaap:IncomeTaxExpenseBenefit)</t>
        </is>
      </c>
      <c r="C136" s="45" t="n">
        <v>179000000</v>
      </c>
      <c r="D136" t="inlineStr">
        <is>
          <t>https://www.sec.gov/Archives/edgar/data/1692819/000169281926000006/</t>
        </is>
      </c>
    </row>
    <row r="137">
      <c r="A137" t="inlineStr">
        <is>
          <t>F86</t>
        </is>
      </c>
      <c r="B137" t="inlineStr">
        <is>
          <t>income_tax YTD 2026-01-01 to 2026-06-30</t>
        </is>
      </c>
      <c r="C137" s="45" t="n">
        <v>305000000</v>
      </c>
      <c r="D137" t="inlineStr">
        <is>
          <t>https://www.sec.gov/Archives/edgar/data/1692819/000169281926000019/</t>
        </is>
      </c>
    </row>
    <row r="138">
      <c r="A138" t="inlineStr">
        <is>
          <t>F87</t>
        </is>
      </c>
      <c r="B138" t="inlineStr">
        <is>
          <t>income_tax prior-year YTD 2025-01-01 to 2025-06-30</t>
        </is>
      </c>
      <c r="C138" s="45" t="n">
        <v>-100000000</v>
      </c>
      <c r="D138" t="inlineStr">
        <is>
          <t>https://www.sec.gov/Archives/edgar/data/1692819/000169281926000019/</t>
        </is>
      </c>
    </row>
    <row r="139">
      <c r="A139" t="inlineStr">
        <is>
          <t>F88</t>
        </is>
      </c>
      <c r="B139" t="inlineStr">
        <is>
          <t>income_tax TTM to 2026-06-30</t>
        </is>
      </c>
      <c r="C139" s="45" t="n">
        <v>584000000</v>
      </c>
    </row>
    <row r="140">
      <c r="A140" t="inlineStr">
        <is>
          <t>F89</t>
        </is>
      </c>
      <c r="B140" t="inlineStr">
        <is>
          <t>income_tax quarter 2026-04-01 to 2026-06-30</t>
        </is>
      </c>
      <c r="C140" s="45" t="n">
        <v>122000000</v>
      </c>
      <c r="D140" t="inlineStr">
        <is>
          <t>https://www.sec.gov/Archives/edgar/data/1692819/000169281926000019/</t>
        </is>
      </c>
    </row>
    <row r="141">
      <c r="A141" t="inlineStr">
        <is>
          <t>F90</t>
        </is>
      </c>
      <c r="B141" t="inlineStr">
        <is>
          <t>pretax_income FY ending 2023-12-31 (us-gaap:IncomeLossFromContinuingOperationsBeforeIncomeTaxesExtraordinaryItemsNoncontrollingInterest)</t>
        </is>
      </c>
      <c r="C141" s="45" t="n">
        <v>2000000000</v>
      </c>
      <c r="D141" t="inlineStr">
        <is>
          <t>https://www.sec.gov/Archives/edgar/data/1692819/000169281926000006/</t>
        </is>
      </c>
    </row>
    <row r="142">
      <c r="A142" t="inlineStr">
        <is>
          <t>F91</t>
        </is>
      </c>
      <c r="B142" t="inlineStr">
        <is>
          <t>pretax_income FY ending 2024-12-31 (us-gaap:IncomeLossFromContinuingOperationsBeforeIncomeTaxesExtraordinaryItemsNoncontrollingInterest)</t>
        </is>
      </c>
      <c r="C142" s="45" t="n">
        <v>3467000000</v>
      </c>
      <c r="D142" t="inlineStr">
        <is>
          <t>https://www.sec.gov/Archives/edgar/data/1692819/000169281926000006/</t>
        </is>
      </c>
    </row>
    <row r="143">
      <c r="A143" t="inlineStr">
        <is>
          <t>F92</t>
        </is>
      </c>
      <c r="B143" t="inlineStr">
        <is>
          <t>pretax_income FY ending 2025-12-31 (us-gaap:IncomeLossFromContinuingOperationsBeforeIncomeTaxesExtraordinaryItemsNoncontrollingInterest)</t>
        </is>
      </c>
      <c r="C143" s="45" t="n">
        <v>1123000000</v>
      </c>
      <c r="D143" t="inlineStr">
        <is>
          <t>https://www.sec.gov/Archives/edgar/data/1692819/000169281926000006/</t>
        </is>
      </c>
    </row>
    <row r="144">
      <c r="A144" t="inlineStr">
        <is>
          <t>F93</t>
        </is>
      </c>
      <c r="B144" t="inlineStr">
        <is>
          <t>pretax_income YTD 2026-01-01 to 2026-06-30</t>
        </is>
      </c>
      <c r="C144" s="45" t="n">
        <v>1639000000</v>
      </c>
      <c r="D144" t="inlineStr">
        <is>
          <t>https://www.sec.gov/Archives/edgar/data/1692819/000169281926000019/</t>
        </is>
      </c>
    </row>
    <row r="145">
      <c r="A145" t="inlineStr">
        <is>
          <t>F94</t>
        </is>
      </c>
      <c r="B145" t="inlineStr">
        <is>
          <t>pretax_income prior-year YTD 2025-01-01 to 2025-06-30</t>
        </is>
      </c>
      <c r="C145" s="45" t="n">
        <v>-41000000</v>
      </c>
      <c r="D145" t="inlineStr">
        <is>
          <t>https://www.sec.gov/Archives/edgar/data/1692819/000169281926000019/</t>
        </is>
      </c>
    </row>
    <row r="146">
      <c r="A146" t="inlineStr">
        <is>
          <t>F95</t>
        </is>
      </c>
      <c r="B146" t="inlineStr">
        <is>
          <t>pretax_income TTM to 2026-06-30</t>
        </is>
      </c>
      <c r="C146" s="45" t="n">
        <v>2803000000</v>
      </c>
    </row>
    <row r="147">
      <c r="A147" t="inlineStr">
        <is>
          <t>F96</t>
        </is>
      </c>
      <c r="B147" t="inlineStr">
        <is>
          <t>pretax_income quarter 2026-04-01 to 2026-06-30</t>
        </is>
      </c>
      <c r="C147" s="45" t="n">
        <v>427000000</v>
      </c>
      <c r="D147" t="inlineStr">
        <is>
          <t>https://www.sec.gov/Archives/edgar/data/1692819/000169281926000019/</t>
        </is>
      </c>
    </row>
    <row r="148">
      <c r="A148" t="inlineStr">
        <is>
          <t>F97</t>
        </is>
      </c>
      <c r="B148" t="inlineStr">
        <is>
          <t>cash at 2026-06-30 (us-gaap:CashAndCashEquivalentsAtCarryingValue)</t>
        </is>
      </c>
      <c r="C148" s="45" t="n">
        <v>435000000</v>
      </c>
      <c r="D148" t="inlineStr">
        <is>
          <t>https://www.sec.gov/Archives/edgar/data/1692819/000169281926000019/</t>
        </is>
      </c>
    </row>
    <row r="149">
      <c r="A149" t="inlineStr">
        <is>
          <t>F98</t>
        </is>
      </c>
      <c r="B149" t="inlineStr">
        <is>
          <t>debt_total at 2026-06-30 (us-gaap:LongTermDebt)</t>
        </is>
      </c>
      <c r="C149" s="45" t="n">
        <v>19595000000</v>
      </c>
      <c r="D149" t="inlineStr">
        <is>
          <t>https://www.sec.gov/Archives/edgar/data/1692819/000169281926000019/</t>
        </is>
      </c>
    </row>
    <row r="150">
      <c r="A150" t="inlineStr">
        <is>
          <t>F99</t>
        </is>
      </c>
      <c r="B150" t="inlineStr">
        <is>
          <t>debt_noncurrent at 2026-06-30 (us-gaap:LongTermDebtAndCapitalLeaseObligations)</t>
        </is>
      </c>
      <c r="C150" s="45" t="n">
        <v>17719000000</v>
      </c>
      <c r="D150" t="inlineStr">
        <is>
          <t>https://www.sec.gov/Archives/edgar/data/1692819/000169281926000019/</t>
        </is>
      </c>
    </row>
    <row r="151">
      <c r="A151" t="inlineStr">
        <is>
          <t>F100</t>
        </is>
      </c>
      <c r="B151" t="inlineStr">
        <is>
          <t>debt_current at 2026-06-30 (us-gaap:LongTermDebtAndCapitalLeaseObligationsCurrent)</t>
        </is>
      </c>
      <c r="C151" s="45" t="n">
        <v>1876000000</v>
      </c>
      <c r="D151" t="inlineStr">
        <is>
          <t>https://www.sec.gov/Archives/edgar/data/1692819/000169281926000019/</t>
        </is>
      </c>
    </row>
    <row r="152">
      <c r="A152" t="inlineStr">
        <is>
          <t>F101</t>
        </is>
      </c>
      <c r="B152" t="inlineStr">
        <is>
          <t>st_borrowings at 2026-06-30 (us-gaap:ShortTermBorrowings)</t>
        </is>
      </c>
      <c r="C152" s="45" t="n">
        <v>0</v>
      </c>
      <c r="D152" t="inlineStr">
        <is>
          <t>https://www.sec.gov/Archives/edgar/data/1692819/000169281926000019/</t>
        </is>
      </c>
    </row>
    <row r="153">
      <c r="A153" t="inlineStr">
        <is>
          <t>F102</t>
        </is>
      </c>
      <c r="B153" t="inlineStr">
        <is>
          <t>equity at 2026-06-30 (us-gaap:StockholdersEquity)</t>
        </is>
      </c>
      <c r="C153" s="45" t="n">
        <v>5482000000</v>
      </c>
      <c r="D153" t="inlineStr">
        <is>
          <t>https://www.sec.gov/Archives/edgar/data/1692819/000169281926000019/</t>
        </is>
      </c>
    </row>
    <row r="154">
      <c r="A154" t="inlineStr">
        <is>
          <t>F103</t>
        </is>
      </c>
      <c r="B154" t="inlineStr">
        <is>
          <t>shares outstanding (cover page, 1 class(es)) as of 2026-08-03</t>
        </is>
      </c>
      <c r="C154" s="45" t="n">
        <v>335635195</v>
      </c>
      <c r="D154" t="inlineStr">
        <is>
          <t>https://www.sec.gov/Archives/edgar/data/1692819/000169281926000019/</t>
        </is>
      </c>
    </row>
    <row r="155">
      <c r="A155" t="inlineStr">
        <is>
          <t>F104</t>
        </is>
      </c>
      <c r="B155" t="inlineStr">
        <is>
          <t>total debt (XBRL tags; excludes leases unless tagged in; check the balance sheet)</t>
        </is>
      </c>
      <c r="C155" s="45" t="n">
        <v>19595000000</v>
      </c>
    </row>
    <row r="156">
      <c r="A156" t="inlineStr">
        <is>
          <t>F105</t>
        </is>
      </c>
      <c r="B156" t="inlineStr">
        <is>
          <t>net debt = debt - cash - short-term investments</t>
        </is>
      </c>
      <c r="C156" s="45" t="n">
        <v>19160000000</v>
      </c>
    </row>
    <row r="157">
      <c r="A157" t="inlineStr">
        <is>
          <t>F106</t>
        </is>
      </c>
      <c r="B157" t="inlineStr">
        <is>
          <t>EBITDA TTM (GAAP operating income + D&amp;A; not the company's adjusted EBITDA)</t>
        </is>
      </c>
      <c r="C157" s="45" t="n">
        <v>5415000000</v>
      </c>
    </row>
    <row r="158">
      <c r="A158" t="inlineStr">
        <is>
          <t>F107</t>
        </is>
      </c>
      <c r="B158" t="inlineStr">
        <is>
          <t>free cash flow TTM = operating cash flow - capex (before SBC adjustment)</t>
        </is>
      </c>
      <c r="C158" s="45" t="n">
        <v>2255000000</v>
      </c>
    </row>
    <row r="159">
      <c r="A159" t="inlineStr">
        <is>
          <t>F108</t>
        </is>
      </c>
      <c r="B159" t="inlineStr">
        <is>
          <t>diluted EPS TTM approx = net income TTM / latest quarter diluted shares</t>
        </is>
      </c>
      <c r="C159" s="45" t="n">
        <v>6.541265854212559</v>
      </c>
    </row>
  </sheetData>
  <hyperlinks>
    <hyperlink xmlns:r="http://schemas.openxmlformats.org/officeDocument/2006/relationships" ref="D30" r:id="rId1"/>
    <hyperlink xmlns:r="http://schemas.openxmlformats.org/officeDocument/2006/relationships" ref="D31" r:id="rId2"/>
    <hyperlink xmlns:r="http://schemas.openxmlformats.org/officeDocument/2006/relationships" ref="D32" r:id="rId3"/>
    <hyperlink xmlns:r="http://schemas.openxmlformats.org/officeDocument/2006/relationships" ref="D33" r:id="rId4"/>
    <hyperlink xmlns:r="http://schemas.openxmlformats.org/officeDocument/2006/relationships" ref="D34" r:id="rId5"/>
    <hyperlink xmlns:r="http://schemas.openxmlformats.org/officeDocument/2006/relationships" ref="D35" r:id="rId6"/>
    <hyperlink xmlns:r="http://schemas.openxmlformats.org/officeDocument/2006/relationships" ref="D36" r:id="rId7"/>
    <hyperlink xmlns:r="http://schemas.openxmlformats.org/officeDocument/2006/relationships" ref="D37" r:id="rId8"/>
    <hyperlink xmlns:r="http://schemas.openxmlformats.org/officeDocument/2006/relationships" ref="D38" r:id="rId9"/>
    <hyperlink xmlns:r="http://schemas.openxmlformats.org/officeDocument/2006/relationships" ref="D39" r:id="rId10"/>
    <hyperlink xmlns:r="http://schemas.openxmlformats.org/officeDocument/2006/relationships" ref="D40" r:id="rId11"/>
    <hyperlink xmlns:r="http://schemas.openxmlformats.org/officeDocument/2006/relationships" ref="D41" r:id="rId12"/>
    <hyperlink xmlns:r="http://schemas.openxmlformats.org/officeDocument/2006/relationships" ref="D42" r:id="rId13"/>
    <hyperlink xmlns:r="http://schemas.openxmlformats.org/officeDocument/2006/relationships" ref="D43" r:id="rId14"/>
    <hyperlink xmlns:r="http://schemas.openxmlformats.org/officeDocument/2006/relationships" ref="D44" r:id="rId15"/>
    <hyperlink xmlns:r="http://schemas.openxmlformats.org/officeDocument/2006/relationships" ref="D45" r:id="rId16"/>
    <hyperlink xmlns:r="http://schemas.openxmlformats.org/officeDocument/2006/relationships" ref="D46" r:id="rId17"/>
    <hyperlink xmlns:r="http://schemas.openxmlformats.org/officeDocument/2006/relationships" ref="D47" r:id="rId18"/>
    <hyperlink xmlns:r="http://schemas.openxmlformats.org/officeDocument/2006/relationships" ref="D48" r:id="rId19"/>
    <hyperlink xmlns:r="http://schemas.openxmlformats.org/officeDocument/2006/relationships" ref="D49" r:id="rId20"/>
    <hyperlink xmlns:r="http://schemas.openxmlformats.org/officeDocument/2006/relationships" ref="D52" r:id="rId21"/>
    <hyperlink xmlns:r="http://schemas.openxmlformats.org/officeDocument/2006/relationships" ref="D53" r:id="rId22"/>
    <hyperlink xmlns:r="http://schemas.openxmlformats.org/officeDocument/2006/relationships" ref="D54" r:id="rId23"/>
    <hyperlink xmlns:r="http://schemas.openxmlformats.org/officeDocument/2006/relationships" ref="D55" r:id="rId24"/>
    <hyperlink xmlns:r="http://schemas.openxmlformats.org/officeDocument/2006/relationships" ref="D56" r:id="rId25"/>
    <hyperlink xmlns:r="http://schemas.openxmlformats.org/officeDocument/2006/relationships" ref="D58" r:id="rId26"/>
    <hyperlink xmlns:r="http://schemas.openxmlformats.org/officeDocument/2006/relationships" ref="D59" r:id="rId27"/>
    <hyperlink xmlns:r="http://schemas.openxmlformats.org/officeDocument/2006/relationships" ref="D60" r:id="rId28"/>
    <hyperlink xmlns:r="http://schemas.openxmlformats.org/officeDocument/2006/relationships" ref="D61" r:id="rId29"/>
    <hyperlink xmlns:r="http://schemas.openxmlformats.org/officeDocument/2006/relationships" ref="D62" r:id="rId30"/>
    <hyperlink xmlns:r="http://schemas.openxmlformats.org/officeDocument/2006/relationships" ref="D63" r:id="rId31"/>
    <hyperlink xmlns:r="http://schemas.openxmlformats.org/officeDocument/2006/relationships" ref="D65" r:id="rId32"/>
    <hyperlink xmlns:r="http://schemas.openxmlformats.org/officeDocument/2006/relationships" ref="D66" r:id="rId33"/>
    <hyperlink xmlns:r="http://schemas.openxmlformats.org/officeDocument/2006/relationships" ref="D67" r:id="rId34"/>
    <hyperlink xmlns:r="http://schemas.openxmlformats.org/officeDocument/2006/relationships" ref="D68" r:id="rId35"/>
    <hyperlink xmlns:r="http://schemas.openxmlformats.org/officeDocument/2006/relationships" ref="D69" r:id="rId36"/>
    <hyperlink xmlns:r="http://schemas.openxmlformats.org/officeDocument/2006/relationships" ref="D70" r:id="rId37"/>
    <hyperlink xmlns:r="http://schemas.openxmlformats.org/officeDocument/2006/relationships" ref="D72" r:id="rId38"/>
    <hyperlink xmlns:r="http://schemas.openxmlformats.org/officeDocument/2006/relationships" ref="D73" r:id="rId39"/>
    <hyperlink xmlns:r="http://schemas.openxmlformats.org/officeDocument/2006/relationships" ref="D74" r:id="rId40"/>
    <hyperlink xmlns:r="http://schemas.openxmlformats.org/officeDocument/2006/relationships" ref="D75" r:id="rId41"/>
    <hyperlink xmlns:r="http://schemas.openxmlformats.org/officeDocument/2006/relationships" ref="D76" r:id="rId42"/>
    <hyperlink xmlns:r="http://schemas.openxmlformats.org/officeDocument/2006/relationships" ref="D77" r:id="rId43"/>
    <hyperlink xmlns:r="http://schemas.openxmlformats.org/officeDocument/2006/relationships" ref="D78" r:id="rId44"/>
    <hyperlink xmlns:r="http://schemas.openxmlformats.org/officeDocument/2006/relationships" ref="D79" r:id="rId45"/>
    <hyperlink xmlns:r="http://schemas.openxmlformats.org/officeDocument/2006/relationships" ref="D80" r:id="rId46"/>
    <hyperlink xmlns:r="http://schemas.openxmlformats.org/officeDocument/2006/relationships" ref="D81" r:id="rId47"/>
    <hyperlink xmlns:r="http://schemas.openxmlformats.org/officeDocument/2006/relationships" ref="D82" r:id="rId48"/>
    <hyperlink xmlns:r="http://schemas.openxmlformats.org/officeDocument/2006/relationships" ref="D83" r:id="rId49"/>
    <hyperlink xmlns:r="http://schemas.openxmlformats.org/officeDocument/2006/relationships" ref="D84" r:id="rId50"/>
    <hyperlink xmlns:r="http://schemas.openxmlformats.org/officeDocument/2006/relationships" ref="D85" r:id="rId51"/>
    <hyperlink xmlns:r="http://schemas.openxmlformats.org/officeDocument/2006/relationships" ref="D86" r:id="rId52"/>
    <hyperlink xmlns:r="http://schemas.openxmlformats.org/officeDocument/2006/relationships" ref="D87" r:id="rId53"/>
    <hyperlink xmlns:r="http://schemas.openxmlformats.org/officeDocument/2006/relationships" ref="D88" r:id="rId54"/>
    <hyperlink xmlns:r="http://schemas.openxmlformats.org/officeDocument/2006/relationships" ref="D89" r:id="rId55"/>
    <hyperlink xmlns:r="http://schemas.openxmlformats.org/officeDocument/2006/relationships" ref="D91" r:id="rId56"/>
    <hyperlink xmlns:r="http://schemas.openxmlformats.org/officeDocument/2006/relationships" ref="D92" r:id="rId57"/>
    <hyperlink xmlns:r="http://schemas.openxmlformats.org/officeDocument/2006/relationships" ref="D93" r:id="rId58"/>
    <hyperlink xmlns:r="http://schemas.openxmlformats.org/officeDocument/2006/relationships" ref="D94" r:id="rId59"/>
    <hyperlink xmlns:r="http://schemas.openxmlformats.org/officeDocument/2006/relationships" ref="D95" r:id="rId60"/>
    <hyperlink xmlns:r="http://schemas.openxmlformats.org/officeDocument/2006/relationships" ref="D96" r:id="rId61"/>
    <hyperlink xmlns:r="http://schemas.openxmlformats.org/officeDocument/2006/relationships" ref="D98" r:id="rId62"/>
    <hyperlink xmlns:r="http://schemas.openxmlformats.org/officeDocument/2006/relationships" ref="D99" r:id="rId63"/>
    <hyperlink xmlns:r="http://schemas.openxmlformats.org/officeDocument/2006/relationships" ref="D100" r:id="rId64"/>
    <hyperlink xmlns:r="http://schemas.openxmlformats.org/officeDocument/2006/relationships" ref="D101" r:id="rId65"/>
    <hyperlink xmlns:r="http://schemas.openxmlformats.org/officeDocument/2006/relationships" ref="D102" r:id="rId66"/>
    <hyperlink xmlns:r="http://schemas.openxmlformats.org/officeDocument/2006/relationships" ref="D103" r:id="rId67"/>
    <hyperlink xmlns:r="http://schemas.openxmlformats.org/officeDocument/2006/relationships" ref="D105" r:id="rId68"/>
    <hyperlink xmlns:r="http://schemas.openxmlformats.org/officeDocument/2006/relationships" ref="D106" r:id="rId69"/>
    <hyperlink xmlns:r="http://schemas.openxmlformats.org/officeDocument/2006/relationships" ref="D107" r:id="rId70"/>
    <hyperlink xmlns:r="http://schemas.openxmlformats.org/officeDocument/2006/relationships" ref="D108" r:id="rId71"/>
    <hyperlink xmlns:r="http://schemas.openxmlformats.org/officeDocument/2006/relationships" ref="D109" r:id="rId72"/>
    <hyperlink xmlns:r="http://schemas.openxmlformats.org/officeDocument/2006/relationships" ref="D110" r:id="rId73"/>
    <hyperlink xmlns:r="http://schemas.openxmlformats.org/officeDocument/2006/relationships" ref="D112" r:id="rId74"/>
    <hyperlink xmlns:r="http://schemas.openxmlformats.org/officeDocument/2006/relationships" ref="D113" r:id="rId75"/>
    <hyperlink xmlns:r="http://schemas.openxmlformats.org/officeDocument/2006/relationships" ref="D114" r:id="rId76"/>
    <hyperlink xmlns:r="http://schemas.openxmlformats.org/officeDocument/2006/relationships" ref="D115" r:id="rId77"/>
    <hyperlink xmlns:r="http://schemas.openxmlformats.org/officeDocument/2006/relationships" ref="D116" r:id="rId78"/>
    <hyperlink xmlns:r="http://schemas.openxmlformats.org/officeDocument/2006/relationships" ref="D117" r:id="rId79"/>
    <hyperlink xmlns:r="http://schemas.openxmlformats.org/officeDocument/2006/relationships" ref="D119" r:id="rId80"/>
    <hyperlink xmlns:r="http://schemas.openxmlformats.org/officeDocument/2006/relationships" ref="D120" r:id="rId81"/>
    <hyperlink xmlns:r="http://schemas.openxmlformats.org/officeDocument/2006/relationships" ref="D121" r:id="rId82"/>
    <hyperlink xmlns:r="http://schemas.openxmlformats.org/officeDocument/2006/relationships" ref="D122" r:id="rId83"/>
    <hyperlink xmlns:r="http://schemas.openxmlformats.org/officeDocument/2006/relationships" ref="D123" r:id="rId84"/>
    <hyperlink xmlns:r="http://schemas.openxmlformats.org/officeDocument/2006/relationships" ref="D124" r:id="rId85"/>
    <hyperlink xmlns:r="http://schemas.openxmlformats.org/officeDocument/2006/relationships" ref="D126" r:id="rId86"/>
    <hyperlink xmlns:r="http://schemas.openxmlformats.org/officeDocument/2006/relationships" ref="D127" r:id="rId87"/>
    <hyperlink xmlns:r="http://schemas.openxmlformats.org/officeDocument/2006/relationships" ref="D128" r:id="rId88"/>
    <hyperlink xmlns:r="http://schemas.openxmlformats.org/officeDocument/2006/relationships" ref="D129" r:id="rId89"/>
    <hyperlink xmlns:r="http://schemas.openxmlformats.org/officeDocument/2006/relationships" ref="D130" r:id="rId90"/>
    <hyperlink xmlns:r="http://schemas.openxmlformats.org/officeDocument/2006/relationships" ref="D131" r:id="rId91"/>
    <hyperlink xmlns:r="http://schemas.openxmlformats.org/officeDocument/2006/relationships" ref="D133" r:id="rId92"/>
    <hyperlink xmlns:r="http://schemas.openxmlformats.org/officeDocument/2006/relationships" ref="D134" r:id="rId93"/>
    <hyperlink xmlns:r="http://schemas.openxmlformats.org/officeDocument/2006/relationships" ref="D135" r:id="rId94"/>
    <hyperlink xmlns:r="http://schemas.openxmlformats.org/officeDocument/2006/relationships" ref="D136" r:id="rId95"/>
    <hyperlink xmlns:r="http://schemas.openxmlformats.org/officeDocument/2006/relationships" ref="D137" r:id="rId96"/>
    <hyperlink xmlns:r="http://schemas.openxmlformats.org/officeDocument/2006/relationships" ref="D138" r:id="rId97"/>
    <hyperlink xmlns:r="http://schemas.openxmlformats.org/officeDocument/2006/relationships" ref="D140" r:id="rId98"/>
    <hyperlink xmlns:r="http://schemas.openxmlformats.org/officeDocument/2006/relationships" ref="D141" r:id="rId99"/>
    <hyperlink xmlns:r="http://schemas.openxmlformats.org/officeDocument/2006/relationships" ref="D142" r:id="rId100"/>
    <hyperlink xmlns:r="http://schemas.openxmlformats.org/officeDocument/2006/relationships" ref="D143" r:id="rId101"/>
    <hyperlink xmlns:r="http://schemas.openxmlformats.org/officeDocument/2006/relationships" ref="D144" r:id="rId102"/>
    <hyperlink xmlns:r="http://schemas.openxmlformats.org/officeDocument/2006/relationships" ref="D145" r:id="rId103"/>
    <hyperlink xmlns:r="http://schemas.openxmlformats.org/officeDocument/2006/relationships" ref="D147" r:id="rId104"/>
    <hyperlink xmlns:r="http://schemas.openxmlformats.org/officeDocument/2006/relationships" ref="D148" r:id="rId105"/>
    <hyperlink xmlns:r="http://schemas.openxmlformats.org/officeDocument/2006/relationships" ref="D149" r:id="rId106"/>
    <hyperlink xmlns:r="http://schemas.openxmlformats.org/officeDocument/2006/relationships" ref="D150" r:id="rId107"/>
    <hyperlink xmlns:r="http://schemas.openxmlformats.org/officeDocument/2006/relationships" ref="D151" r:id="rId108"/>
    <hyperlink xmlns:r="http://schemas.openxmlformats.org/officeDocument/2006/relationships" ref="D152" r:id="rId109"/>
    <hyperlink xmlns:r="http://schemas.openxmlformats.org/officeDocument/2006/relationships" ref="D153" r:id="rId110"/>
    <hyperlink xmlns:r="http://schemas.openxmlformats.org/officeDocument/2006/relationships" ref="D154" r:id="rId1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2026-10-26T22:42:04Z</dcterms:created>
  <dcterms:modified xmlns:dcterms="http://purl.org/dc/terms/" xmlns:xsi="http://www.w3.org/2001/XMLSchema-instance" xsi:type="dcterms:W3CDTF">2026-10-26T22:42:05Z</dcterms:modified>
</cp:coreProperties>
</file>