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odel" sheetId="2" state="visible" r:id="rId2"/>
    <sheet xmlns:r="http://schemas.openxmlformats.org/officeDocument/2006/relationships" name="Valuation" sheetId="3" state="visible" r:id="rId3"/>
    <sheet xmlns:r="http://schemas.openxmlformats.org/officeDocument/2006/relationships" name="Sensitivity" sheetId="4" state="visible" r:id="rId4"/>
    <sheet xmlns:r="http://schemas.openxmlformats.org/officeDocument/2006/relationships" name="Distribution" sheetId="5" state="visible" r:id="rId5"/>
    <sheet xmlns:r="http://schemas.openxmlformats.org/officeDocument/2006/relationships" name="Calc - research target (12m)" sheetId="6" state="visible" r:id="rId6"/>
    <sheet xmlns:r="http://schemas.openxmlformats.org/officeDocument/2006/relationships" name="Calc - bear" sheetId="7" state="visible" r:id="rId7"/>
    <sheet xmlns:r="http://schemas.openxmlformats.org/officeDocument/2006/relationships" name="Calc - base" sheetId="8" state="visible" r:id="rId8"/>
    <sheet xmlns:r="http://schemas.openxmlformats.org/officeDocument/2006/relationships" name="Calc - bull" sheetId="9" state="visible" r:id="rId9"/>
    <sheet xmlns:r="http://schemas.openxmlformats.org/officeDocument/2006/relationships" name="Agents" sheetId="10" state="visible" r:id="rId10"/>
    <sheet xmlns:r="http://schemas.openxmlformats.org/officeDocument/2006/relationships" name="Source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2">
    <numFmt numFmtId="164" formatCode="yyyy-mm-dd"/>
    <numFmt numFmtId="165" formatCode="#,##0;(#,##0)"/>
    <numFmt numFmtId="166" formatCode="0.0%"/>
    <numFmt numFmtId="167" formatCode="0.00&quot;x&quot;"/>
    <numFmt numFmtId="168" formatCode="#,##0.0"/>
    <numFmt numFmtId="169" formatCode="$0.00"/>
    <numFmt numFmtId="170" formatCode="0.0"/>
    <numFmt numFmtId="171" formatCode="0.000"/>
    <numFmt numFmtId="172" formatCode="0.0000"/>
    <numFmt numFmtId="173" formatCode="0.0&quot;x&quot;"/>
    <numFmt numFmtId="174" formatCode="+0.0%;-0.0%;0.0%"/>
    <numFmt numFmtId="175" formatCode="yyyy-mm-dd hh:mm"/>
  </numFmts>
  <fonts count="9">
    <font>
      <name val="Calibri"/>
      <family val="2"/>
      <color theme="1"/>
      <sz val="11"/>
      <scheme val="minor"/>
    </font>
    <font>
      <b val="1"/>
    </font>
    <font>
      <color rgb="000000FF"/>
    </font>
    <font>
      <i val="1"/>
      <color rgb="00444444"/>
    </font>
    <font>
      <b val="1"/>
      <sz val="13"/>
    </font>
    <font>
      <i val="1"/>
      <color rgb="00666666"/>
    </font>
    <font>
      <color rgb="00008000"/>
    </font>
    <font>
      <color rgb="007030A0"/>
    </font>
    <font>
      <color rgb="00C55A11"/>
    </font>
  </fonts>
  <fills count="4">
    <fill>
      <patternFill/>
    </fill>
    <fill>
      <patternFill patternType="gray125"/>
    </fill>
    <fill>
      <patternFill patternType="solid">
        <fgColor rgb="00D9E2F0"/>
      </patternFill>
    </fill>
    <fill>
      <patternFill patternType="solid">
        <fgColor rgb="00E8EE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3" borderId="0" pivotButton="0" quotePrefix="0" xfId="0"/>
    <xf numFmtId="2" fontId="6" fillId="0" borderId="0" pivotButton="0" quotePrefix="0" xfId="0"/>
    <xf numFmtId="175" fontId="0" fillId="0" borderId="0" pivotButton="0" quotePrefix="0" xfId="0"/>
    <xf numFmtId="2" fontId="1" fillId="0" borderId="0" pivotButton="0" quotePrefix="0" xfId="0"/>
    <xf numFmtId="166" fontId="1" fillId="0" borderId="0" pivotButton="0" quotePrefix="0" xfId="0"/>
    <xf numFmtId="164" fontId="6" fillId="0" borderId="0" pivotButton="0" quotePrefix="0" xfId="0"/>
    <xf numFmtId="2" fontId="0" fillId="0" borderId="0" pivotButton="0" quotePrefix="0" xfId="0"/>
    <xf numFmtId="165" fontId="6" fillId="0" borderId="0" pivotButton="0" quotePrefix="0" xfId="0"/>
    <xf numFmtId="0" fontId="3" fillId="0" borderId="0" pivotButton="0" quotePrefix="0" xfId="0"/>
    <xf numFmtId="166" fontId="6" fillId="0" borderId="0" pivotButton="0" quotePrefix="0" xfId="0"/>
    <xf numFmtId="169" fontId="6" fillId="0" borderId="0" pivotButton="0" quotePrefix="0" xfId="0"/>
    <xf numFmtId="0" fontId="7" fillId="0" borderId="0" pivotButton="0" quotePrefix="0" xfId="0"/>
    <xf numFmtId="169" fontId="7" fillId="0" borderId="0" pivotButton="0" quotePrefix="0" xfId="0"/>
    <xf numFmtId="0" fontId="8" fillId="0" borderId="0" pivotButton="0" quotePrefix="0" xfId="0"/>
    <xf numFmtId="169" fontId="8" fillId="0" borderId="0" pivotButton="0" quotePrefix="0" xfId="0"/>
    <xf numFmtId="0" fontId="6" fillId="0" borderId="0" pivotButton="0" quotePrefix="0" xfId="0"/>
    <xf numFmtId="0" fontId="6" fillId="0" borderId="0" applyAlignment="1" pivotButton="0" quotePrefix="0" xfId="0">
      <alignment vertical="top" wrapText="1"/>
    </xf>
    <xf numFmtId="166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165" fontId="0" fillId="0" borderId="0" pivotButton="0" quotePrefix="0" xfId="0"/>
    <xf numFmtId="166" fontId="2" fillId="0" borderId="0" pivotButton="0" quotePrefix="0" xfId="0"/>
    <xf numFmtId="165" fontId="1" fillId="0" borderId="0" pivotButton="0" quotePrefix="0" xfId="0"/>
    <xf numFmtId="165" fontId="2" fillId="0" borderId="0" pivotButton="0" quotePrefix="0" xfId="0"/>
    <xf numFmtId="166" fontId="3" fillId="0" borderId="0" pivotButton="0" quotePrefix="0" xfId="0"/>
    <xf numFmtId="168" fontId="0" fillId="0" borderId="0" pivotButton="0" quotePrefix="0" xfId="0"/>
    <xf numFmtId="169" fontId="0" fillId="0" borderId="0" pivotButton="0" quotePrefix="0" xfId="0"/>
    <xf numFmtId="169" fontId="1" fillId="0" borderId="0" pivotButton="0" quotePrefix="0" xfId="0"/>
    <xf numFmtId="165" fontId="7" fillId="0" borderId="0" pivotButton="0" quotePrefix="0" xfId="0"/>
    <xf numFmtId="165" fontId="8" fillId="0" borderId="0" pivotButton="0" quotePrefix="0" xfId="0"/>
    <xf numFmtId="4" fontId="6" fillId="0" borderId="0" pivotButton="0" quotePrefix="0" xfId="0"/>
    <xf numFmtId="168" fontId="6" fillId="0" borderId="0" pivotButton="0" quotePrefix="0" xfId="0"/>
    <xf numFmtId="164" fontId="2" fillId="0" borderId="0" pivotButton="0" quotePrefix="0" xfId="0"/>
    <xf numFmtId="0" fontId="2" fillId="0" borderId="0" pivotButton="0" quotePrefix="0" xfId="0"/>
    <xf numFmtId="167" fontId="2" fillId="0" borderId="0" pivotButton="0" quotePrefix="0" xfId="0"/>
    <xf numFmtId="168" fontId="2" fillId="0" borderId="0" pivotButton="0" quotePrefix="0" xfId="0"/>
    <xf numFmtId="2" fontId="2" fillId="0" borderId="0" pivotButton="0" quotePrefix="0" xfId="0"/>
    <xf numFmtId="169" fontId="2" fillId="0" borderId="0" pivotButton="0" quotePrefix="0" xfId="0"/>
    <xf numFmtId="170" fontId="2" fillId="0" borderId="0" pivotButton="0" quotePrefix="0" xfId="0"/>
    <xf numFmtId="0" fontId="0" fillId="0" borderId="0" applyAlignment="1" pivotButton="0" quotePrefix="0" xfId="0">
      <alignment vertical="top" wrapText="1"/>
    </xf>
    <xf numFmtId="173" fontId="1" fillId="0" borderId="0" pivotButton="0" quotePrefix="0" xfId="0"/>
    <xf numFmtId="174" fontId="1" fillId="0" borderId="0" pivotButton="0" quotePrefix="0" xfId="0"/>
    <xf numFmtId="172" fontId="0" fillId="0" borderId="0" pivotButton="0" quotePrefix="0" xfId="0"/>
    <xf numFmtId="170" fontId="0" fillId="0" borderId="0" pivotButton="0" quotePrefix="0" xfId="0"/>
    <xf numFmtId="171" fontId="0" fillId="0" borderId="0" pivotButton="0" quotePrefix="0" xfId="0"/>
    <xf numFmtId="4" fontId="0" fillId="0" borderId="0" pivotButton="0" quotePrefix="0" xfId="0"/>
    <xf numFmtId="170" fontId="6" fillId="0" borderId="0" pivotButton="0" quotePrefix="0" xfId="0"/>
    <xf numFmtId="172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Relationships xmlns="http://schemas.openxmlformats.org/package/2006/relationships"><Relationship Type="http://schemas.openxmlformats.org/officeDocument/2006/relationships/hyperlink" Target="https://pgjonline.com/news/2026/july/new-mexico-denies-reconsideration-of-project-jupiter-gas-pipeline" TargetMode="External" Id="rId1"/><Relationship Type="http://schemas.openxmlformats.org/officeDocument/2006/relationships/hyperlink" Target="https://www.nmstatelands.org/wp-content/uploads/2026/07/2026-07-14-Letter-re-Informal-Request-for-Reconsideration_Final.pdf" TargetMode="External" Id="rId2"/><Relationship Type="http://schemas.openxmlformats.org/officeDocument/2006/relationships/hyperlink" Target="https://sourcenm.com/2026/03/31/nm-state-land-commissioner-rejects-application-for-gas-pipeline-to-power-project-jupiter-data-center/" TargetMode="External" Id="rId3"/><Relationship Type="http://schemas.openxmlformats.org/officeDocument/2006/relationships/hyperlink" Target="https://www.blm.gov/press-release/blm-issues-rights-way-green-chile-natural-gas-pipeline" TargetMode="External" Id="rId4"/><Relationship Type="http://schemas.openxmlformats.org/officeDocument/2006/relationships/hyperlink" Target="https://www.govinfo.gov/content/pkg/FR-2026-09-10/html/2026-18455.htm" TargetMode="External" Id="rId5"/><Relationship Type="http://schemas.openxmlformats.org/officeDocument/2006/relationships/hyperlink" Target="https://www.govinfo.gov/content/pkg/FR-2026-07-29/html/2026-15286.htm" TargetMode="External" Id="rId6"/><Relationship Type="http://schemas.openxmlformats.org/officeDocument/2006/relationships/hyperlink" Target="https://naturalgasintel.com/news/energy-transfers-green-chile-natural-gas-lateral-loses-fast-track-delaying-ai-fuel-supply/" TargetMode="External" Id="rId7"/><Relationship Type="http://schemas.openxmlformats.org/officeDocument/2006/relationships/hyperlink" Target="https://www.abqjournal.com/news/project-jupiter-hearing-examiner-bows-out/3108469" TargetMode="External" Id="rId8"/><Relationship Type="http://schemas.openxmlformats.org/officeDocument/2006/relationships/hyperlink" Target="https://www.abqjournal.com/business/new-mexico-supreme-court-lifts-stays-on-project-jupiter-dealing-setback-to-opponents/3124024" TargetMode="External" Id="rId9"/><Relationship Type="http://schemas.openxmlformats.org/officeDocument/2006/relationships/hyperlink" Target="https://www.organmountainnews.com/raul-torrez-project-jupiter-water-air-permitting-supreme-court-2026/" TargetMode="External" Id="rId10"/><Relationship Type="http://schemas.openxmlformats.org/officeDocument/2006/relationships/hyperlink" Target="https://techcrunch.com/2026/09/24/oracle-sends-force-majeure-notice-on-its-new-mexico-stargate-data-center/" TargetMode="External" Id="rId11"/><Relationship Type="http://schemas.openxmlformats.org/officeDocument/2006/relationships/hyperlink" Target="https://www.thestreet.com/investing/stocks/morgan-stanley-says-bloom-can-withstand-an-oracle-project-delay" TargetMode="External" Id="rId12"/><Relationship Type="http://schemas.openxmlformats.org/officeDocument/2006/relationships/hyperlink" Target="https://www.sec.gov/Archives/edgar/data/1664703/000162828026050150/ex991_q226financialresults.htm" TargetMode="External" Id="rId13"/><Relationship Type="http://schemas.openxmlformats.org/officeDocument/2006/relationships/hyperlink" Target="https://www.sec.gov/Archives/edgar/data/1664703/000162828026066890/ex991_q326financialresults.htm" TargetMode="External" Id="rId14"/><Relationship Type="http://schemas.openxmlformats.org/officeDocument/2006/relationships/hyperlink" Target="https://www.sec.gov/Archives/edgar/data/1664703/000162828026066931/be-20260930.htm" TargetMode="External" Id="rId15"/><Relationship Type="http://schemas.openxmlformats.org/officeDocument/2006/relationships/hyperlink" Target="https://www.sec.gov/Archives/edgar/data/1664703/000162828026006516/be-20251231.htm" TargetMode="External" Id="rId16"/><Relationship Type="http://schemas.openxmlformats.org/officeDocument/2006/relationships/hyperlink" Target="https://www.sec.gov/Archives/edgar/data/1664703/000162828026005798/ex991_q42025financialresul.htm" TargetMode="External" Id="rId17"/><Relationship Type="http://schemas.openxmlformats.org/officeDocument/2006/relationships/hyperlink" Target="https://www.sec.gov/Archives/edgar/data/1664703/000162828026027913/ex991_q126financialresults.htm" TargetMode="External" Id="rId18"/><Relationship Type="http://schemas.openxmlformats.org/officeDocument/2006/relationships/hyperlink" Target="https://www.sec.gov/Archives/edgar/data/1664703/000162828025008626/ex991_q42024financialresul.htm" TargetMode="External" Id="rId19"/><Relationship Type="http://schemas.openxmlformats.org/officeDocument/2006/relationships/hyperlink" Target="https://www.sec.gov/Archives/edgar/data/1664703/000162828024005031/ex991_q42023financialresul.htm" TargetMode="External" Id="rId20"/><Relationship Type="http://schemas.openxmlformats.org/officeDocument/2006/relationships/hyperlink" Target="https://www.sec.gov/Archives/edgar/data/1664703/000162828023002960/ex991_q42022financialresul.htm" TargetMode="External" Id="rId21"/><Relationship Type="http://schemas.openxmlformats.org/officeDocument/2006/relationships/hyperlink" Target="https://www.sec.gov/Archives/edgar/data/1664703/000166470322000015/ex991be4q2021financialre.htm" TargetMode="External" Id="rId22"/><Relationship Type="http://schemas.openxmlformats.org/officeDocument/2006/relationships/hyperlink" Target="runs/2026-10-23/BE/peers.md" TargetMode="External" Id="rId23"/><Relationship Type="http://schemas.openxmlformats.org/officeDocument/2006/relationships/hyperlink" Target="https://eu.36kr.com/de/p/3917481569021574" TargetMode="External" Id="rId24"/><Relationship Type="http://schemas.openxmlformats.org/officeDocument/2006/relationships/hyperlink" Target="https://stockanalysis.com/stocks/be/forecast/" TargetMode="External" Id="rId25"/><Relationship Type="http://schemas.openxmlformats.org/officeDocument/2006/relationships/hyperlink" Target="https://www.abqjournal.com/news/retired-federal-judge-named-hearing-examiner-for-project-jupiter-permit/3133925" TargetMode="External" Id="rId26"/><Relationship Type="http://schemas.openxmlformats.org/officeDocument/2006/relationships/hyperlink" Target="https://api.twelvedata.com/time_series?symbol=BE&amp;interval=1day&amp;start_date=2026-04-22&amp;end_date=2026-10-24" TargetMode="External" Id="rId27"/><Relationship Type="http://schemas.openxmlformats.org/officeDocument/2006/relationships/hyperlink" Target="https://www.sec.gov/Archives/edgar/data/1664703/000162828026006516/" TargetMode="External" Id="rId28"/><Relationship Type="http://schemas.openxmlformats.org/officeDocument/2006/relationships/hyperlink" Target="https://www.sec.gov/Archives/edgar/data/1664703/000162828026006516/" TargetMode="External" Id="rId29"/><Relationship Type="http://schemas.openxmlformats.org/officeDocument/2006/relationships/hyperlink" Target="https://www.sec.gov/Archives/edgar/data/1664703/000162828026006516/" TargetMode="External" Id="rId30"/><Relationship Type="http://schemas.openxmlformats.org/officeDocument/2006/relationships/hyperlink" Target="https://www.sec.gov/Archives/edgar/data/1664703/000162828026066931/" TargetMode="External" Id="rId31"/><Relationship Type="http://schemas.openxmlformats.org/officeDocument/2006/relationships/hyperlink" Target="https://www.sec.gov/Archives/edgar/data/1664703/000162828026066931/" TargetMode="External" Id="rId32"/><Relationship Type="http://schemas.openxmlformats.org/officeDocument/2006/relationships/hyperlink" Target="https://www.sec.gov/Archives/edgar/data/1664703/000162828026066931/" TargetMode="External" Id="rId33"/><Relationship Type="http://schemas.openxmlformats.org/officeDocument/2006/relationships/hyperlink" Target="https://www.sec.gov/Archives/edgar/data/1664703/000162828026006516/" TargetMode="External" Id="rId34"/><Relationship Type="http://schemas.openxmlformats.org/officeDocument/2006/relationships/hyperlink" Target="https://www.sec.gov/Archives/edgar/data/1664703/000162828026006516/" TargetMode="External" Id="rId35"/><Relationship Type="http://schemas.openxmlformats.org/officeDocument/2006/relationships/hyperlink" Target="https://www.sec.gov/Archives/edgar/data/1664703/000162828026006516/" TargetMode="External" Id="rId36"/><Relationship Type="http://schemas.openxmlformats.org/officeDocument/2006/relationships/hyperlink" Target="https://www.sec.gov/Archives/edgar/data/1664703/000162828026066931/" TargetMode="External" Id="rId37"/><Relationship Type="http://schemas.openxmlformats.org/officeDocument/2006/relationships/hyperlink" Target="https://www.sec.gov/Archives/edgar/data/1664703/000162828026066931/" TargetMode="External" Id="rId38"/><Relationship Type="http://schemas.openxmlformats.org/officeDocument/2006/relationships/hyperlink" Target="https://www.sec.gov/Archives/edgar/data/1664703/000162828026066931/" TargetMode="External" Id="rId39"/><Relationship Type="http://schemas.openxmlformats.org/officeDocument/2006/relationships/hyperlink" Target="https://www.sec.gov/Archives/edgar/data/1664703/000162828026006516/" TargetMode="External" Id="rId40"/><Relationship Type="http://schemas.openxmlformats.org/officeDocument/2006/relationships/hyperlink" Target="https://www.sec.gov/Archives/edgar/data/1664703/000162828026006516/" TargetMode="External" Id="rId41"/><Relationship Type="http://schemas.openxmlformats.org/officeDocument/2006/relationships/hyperlink" Target="https://www.sec.gov/Archives/edgar/data/1664703/000162828026006516/" TargetMode="External" Id="rId42"/><Relationship Type="http://schemas.openxmlformats.org/officeDocument/2006/relationships/hyperlink" Target="https://www.sec.gov/Archives/edgar/data/1664703/000162828026066931/" TargetMode="External" Id="rId43"/><Relationship Type="http://schemas.openxmlformats.org/officeDocument/2006/relationships/hyperlink" Target="https://www.sec.gov/Archives/edgar/data/1664703/000162828026066931/" TargetMode="External" Id="rId44"/><Relationship Type="http://schemas.openxmlformats.org/officeDocument/2006/relationships/hyperlink" Target="https://www.sec.gov/Archives/edgar/data/1664703/000162828026066931/" TargetMode="External" Id="rId45"/><Relationship Type="http://schemas.openxmlformats.org/officeDocument/2006/relationships/hyperlink" Target="https://www.sec.gov/Archives/edgar/data/1664703/000162828026006516/" TargetMode="External" Id="rId46"/><Relationship Type="http://schemas.openxmlformats.org/officeDocument/2006/relationships/hyperlink" Target="https://www.sec.gov/Archives/edgar/data/1664703/000162828026006516/" TargetMode="External" Id="rId47"/><Relationship Type="http://schemas.openxmlformats.org/officeDocument/2006/relationships/hyperlink" Target="https://www.sec.gov/Archives/edgar/data/1664703/000162828026006516/" TargetMode="External" Id="rId48"/><Relationship Type="http://schemas.openxmlformats.org/officeDocument/2006/relationships/hyperlink" Target="https://www.sec.gov/Archives/edgar/data/1664703/000162828026066931/" TargetMode="External" Id="rId49"/><Relationship Type="http://schemas.openxmlformats.org/officeDocument/2006/relationships/hyperlink" Target="https://www.sec.gov/Archives/edgar/data/1664703/000162828026066931/" TargetMode="External" Id="rId50"/><Relationship Type="http://schemas.openxmlformats.org/officeDocument/2006/relationships/hyperlink" Target="https://www.sec.gov/Archives/edgar/data/1664703/000162828026066931/" TargetMode="External" Id="rId51"/><Relationship Type="http://schemas.openxmlformats.org/officeDocument/2006/relationships/hyperlink" Target="https://www.sec.gov/Archives/edgar/data/1664703/000162828026006516/" TargetMode="External" Id="rId52"/><Relationship Type="http://schemas.openxmlformats.org/officeDocument/2006/relationships/hyperlink" Target="https://www.sec.gov/Archives/edgar/data/1664703/000162828026006516/" TargetMode="External" Id="rId53"/><Relationship Type="http://schemas.openxmlformats.org/officeDocument/2006/relationships/hyperlink" Target="https://www.sec.gov/Archives/edgar/data/1664703/000162828026006516/" TargetMode="External" Id="rId54"/><Relationship Type="http://schemas.openxmlformats.org/officeDocument/2006/relationships/hyperlink" Target="https://www.sec.gov/Archives/edgar/data/1664703/000162828026066931/" TargetMode="External" Id="rId55"/><Relationship Type="http://schemas.openxmlformats.org/officeDocument/2006/relationships/hyperlink" Target="https://www.sec.gov/Archives/edgar/data/1664703/000162828026066931/" TargetMode="External" Id="rId56"/><Relationship Type="http://schemas.openxmlformats.org/officeDocument/2006/relationships/hyperlink" Target="https://www.sec.gov/Archives/edgar/data/1664703/000162828026066931/" TargetMode="External" Id="rId57"/><Relationship Type="http://schemas.openxmlformats.org/officeDocument/2006/relationships/hyperlink" Target="https://www.sec.gov/Archives/edgar/data/1664703/000162828026006516/" TargetMode="External" Id="rId58"/><Relationship Type="http://schemas.openxmlformats.org/officeDocument/2006/relationships/hyperlink" Target="https://www.sec.gov/Archives/edgar/data/1664703/000162828026006516/" TargetMode="External" Id="rId59"/><Relationship Type="http://schemas.openxmlformats.org/officeDocument/2006/relationships/hyperlink" Target="https://www.sec.gov/Archives/edgar/data/1664703/000162828026006516/" TargetMode="External" Id="rId60"/><Relationship Type="http://schemas.openxmlformats.org/officeDocument/2006/relationships/hyperlink" Target="https://www.sec.gov/Archives/edgar/data/1664703/000162828026066931/" TargetMode="External" Id="rId61"/><Relationship Type="http://schemas.openxmlformats.org/officeDocument/2006/relationships/hyperlink" Target="https://www.sec.gov/Archives/edgar/data/1664703/000162828026066931/" TargetMode="External" Id="rId62"/><Relationship Type="http://schemas.openxmlformats.org/officeDocument/2006/relationships/hyperlink" Target="https://www.sec.gov/Archives/edgar/data/1664703/000162828026028021/" TargetMode="External" Id="rId63"/><Relationship Type="http://schemas.openxmlformats.org/officeDocument/2006/relationships/hyperlink" Target="https://www.sec.gov/Archives/edgar/data/1664703/000162828026006516/" TargetMode="External" Id="rId64"/><Relationship Type="http://schemas.openxmlformats.org/officeDocument/2006/relationships/hyperlink" Target="https://www.sec.gov/Archives/edgar/data/1664703/000162828026006516/" TargetMode="External" Id="rId65"/><Relationship Type="http://schemas.openxmlformats.org/officeDocument/2006/relationships/hyperlink" Target="https://www.sec.gov/Archives/edgar/data/1664703/000162828026006516/" TargetMode="External" Id="rId66"/><Relationship Type="http://schemas.openxmlformats.org/officeDocument/2006/relationships/hyperlink" Target="https://www.sec.gov/Archives/edgar/data/1664703/000162828026066931/" TargetMode="External" Id="rId67"/><Relationship Type="http://schemas.openxmlformats.org/officeDocument/2006/relationships/hyperlink" Target="https://www.sec.gov/Archives/edgar/data/1664703/000162828026066931/" TargetMode="External" Id="rId68"/><Relationship Type="http://schemas.openxmlformats.org/officeDocument/2006/relationships/hyperlink" Target="https://www.sec.gov/Archives/edgar/data/1664703/000162828026028021/" TargetMode="External" Id="rId69"/><Relationship Type="http://schemas.openxmlformats.org/officeDocument/2006/relationships/hyperlink" Target="https://www.sec.gov/Archives/edgar/data/1664703/000162828026006516/" TargetMode="External" Id="rId70"/><Relationship Type="http://schemas.openxmlformats.org/officeDocument/2006/relationships/hyperlink" Target="https://www.sec.gov/Archives/edgar/data/1664703/000162828026006516/" TargetMode="External" Id="rId71"/><Relationship Type="http://schemas.openxmlformats.org/officeDocument/2006/relationships/hyperlink" Target="https://www.sec.gov/Archives/edgar/data/1664703/000162828026006516/" TargetMode="External" Id="rId72"/><Relationship Type="http://schemas.openxmlformats.org/officeDocument/2006/relationships/hyperlink" Target="https://www.sec.gov/Archives/edgar/data/1664703/000162828026066931/" TargetMode="External" Id="rId73"/><Relationship Type="http://schemas.openxmlformats.org/officeDocument/2006/relationships/hyperlink" Target="https://www.sec.gov/Archives/edgar/data/1664703/000162828026066931/" TargetMode="External" Id="rId74"/><Relationship Type="http://schemas.openxmlformats.org/officeDocument/2006/relationships/hyperlink" Target="https://www.sec.gov/Archives/edgar/data/1664703/000162828026006516/" TargetMode="External" Id="rId75"/><Relationship Type="http://schemas.openxmlformats.org/officeDocument/2006/relationships/hyperlink" Target="https://www.sec.gov/Archives/edgar/data/1664703/000162828026006516/" TargetMode="External" Id="rId76"/><Relationship Type="http://schemas.openxmlformats.org/officeDocument/2006/relationships/hyperlink" Target="https://www.sec.gov/Archives/edgar/data/1664703/000162828026006516/" TargetMode="External" Id="rId77"/><Relationship Type="http://schemas.openxmlformats.org/officeDocument/2006/relationships/hyperlink" Target="https://www.sec.gov/Archives/edgar/data/1664703/000162828026066931/" TargetMode="External" Id="rId78"/><Relationship Type="http://schemas.openxmlformats.org/officeDocument/2006/relationships/hyperlink" Target="https://www.sec.gov/Archives/edgar/data/1664703/000162828026066931/" TargetMode="External" Id="rId79"/><Relationship Type="http://schemas.openxmlformats.org/officeDocument/2006/relationships/hyperlink" Target="https://www.sec.gov/Archives/edgar/data/1664703/000162828026066931/" TargetMode="External" Id="rId80"/><Relationship Type="http://schemas.openxmlformats.org/officeDocument/2006/relationships/hyperlink" Target="https://www.sec.gov/Archives/edgar/data/1664703/000162828026006516/" TargetMode="External" Id="rId81"/><Relationship Type="http://schemas.openxmlformats.org/officeDocument/2006/relationships/hyperlink" Target="https://www.sec.gov/Archives/edgar/data/1664703/000162828026006516/" TargetMode="External" Id="rId82"/><Relationship Type="http://schemas.openxmlformats.org/officeDocument/2006/relationships/hyperlink" Target="https://www.sec.gov/Archives/edgar/data/1664703/000162828026006516/" TargetMode="External" Id="rId83"/><Relationship Type="http://schemas.openxmlformats.org/officeDocument/2006/relationships/hyperlink" Target="https://www.sec.gov/Archives/edgar/data/1664703/000162828026066931/" TargetMode="External" Id="rId84"/><Relationship Type="http://schemas.openxmlformats.org/officeDocument/2006/relationships/hyperlink" Target="https://www.sec.gov/Archives/edgar/data/1664703/000162828026066931/" TargetMode="External" Id="rId85"/><Relationship Type="http://schemas.openxmlformats.org/officeDocument/2006/relationships/hyperlink" Target="https://www.sec.gov/Archives/edgar/data/1664703/000162828026066931/" TargetMode="External" Id="rId86"/><Relationship Type="http://schemas.openxmlformats.org/officeDocument/2006/relationships/hyperlink" Target="https://www.sec.gov/Archives/edgar/data/1664703/000162828026006516/" TargetMode="External" Id="rId87"/><Relationship Type="http://schemas.openxmlformats.org/officeDocument/2006/relationships/hyperlink" Target="https://www.sec.gov/Archives/edgar/data/1664703/000162828026006516/" TargetMode="External" Id="rId88"/><Relationship Type="http://schemas.openxmlformats.org/officeDocument/2006/relationships/hyperlink" Target="https://www.sec.gov/Archives/edgar/data/1664703/000162828026006516/" TargetMode="External" Id="rId89"/><Relationship Type="http://schemas.openxmlformats.org/officeDocument/2006/relationships/hyperlink" Target="https://www.sec.gov/Archives/edgar/data/1664703/000162828026066931/" TargetMode="External" Id="rId90"/><Relationship Type="http://schemas.openxmlformats.org/officeDocument/2006/relationships/hyperlink" Target="https://www.sec.gov/Archives/edgar/data/1664703/000162828026066931/" TargetMode="External" Id="rId91"/><Relationship Type="http://schemas.openxmlformats.org/officeDocument/2006/relationships/hyperlink" Target="https://www.sec.gov/Archives/edgar/data/1664703/000162828026066931/" TargetMode="External" Id="rId92"/><Relationship Type="http://schemas.openxmlformats.org/officeDocument/2006/relationships/hyperlink" Target="https://www.sec.gov/Archives/edgar/data/1664703/000162828026066931/" TargetMode="External" Id="rId93"/><Relationship Type="http://schemas.openxmlformats.org/officeDocument/2006/relationships/hyperlink" Target="https://www.sec.gov/Archives/edgar/data/1664703/000162828026066931/" TargetMode="External" Id="rId94"/><Relationship Type="http://schemas.openxmlformats.org/officeDocument/2006/relationships/hyperlink" Target="https://www.sec.gov/Archives/edgar/data/1664703/000162828026066931/" TargetMode="External" Id="rId95"/><Relationship Type="http://schemas.openxmlformats.org/officeDocument/2006/relationships/hyperlink" Target="https://www.sec.gov/Archives/edgar/data/1664703/000162828026066931/" TargetMode="External" Id="rId96"/><Relationship Type="http://schemas.openxmlformats.org/officeDocument/2006/relationships/hyperlink" Target="https://www.sec.gov/Archives/edgar/data/1664703/000162828026066931/" TargetMode="External" Id="rId97"/><Relationship Type="http://schemas.openxmlformats.org/officeDocument/2006/relationships/hyperlink" Target="https://www.sec.gov/Archives/edgar/data/1664703/000162828026066931/" TargetMode="External" Id="rId98"/><Relationship Type="http://schemas.openxmlformats.org/officeDocument/2006/relationships/hyperlink" Target="https://www.sec.gov/Archives/edgar/data/1664703/000162828026066931/" TargetMode="External" Id="rId9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0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16" customWidth="1" min="2" max="2"/>
    <col width="16" customWidth="1" min="3" max="3"/>
    <col width="70" customWidth="1" min="4" max="4"/>
  </cols>
  <sheetData>
    <row r="1">
      <c r="A1" s="1" t="inlineStr">
        <is>
          <t>BE standard model (trial) · research run 2026-10-23</t>
        </is>
      </c>
    </row>
    <row r="2">
      <c r="A2" s="2" t="inlineStr">
        <is>
          <t>The supervisor's reconciled assumption set as a live model. Trial: shown beside the blended page target, not used for trade levels until its weight is decided. Edit blue cells on Model (drivers) and Valuation (assumptions).</t>
        </is>
      </c>
    </row>
    <row r="3">
      <c r="A3" s="3" t="inlineStr">
        <is>
          <t>Price target box</t>
        </is>
      </c>
      <c r="B3" s="3" t="inlineStr">
        <is>
          <t>Value</t>
        </is>
      </c>
    </row>
    <row r="4">
      <c r="A4" t="inlineStr">
        <is>
          <t>Live price</t>
        </is>
      </c>
      <c r="B4" s="4">
        <f>IFERROR(GOOGLEFINANCE("BE","price"),Valuation!$B$68)</f>
        <v/>
      </c>
    </row>
    <row r="5">
      <c r="A5" t="inlineStr">
        <is>
          <t>Price as of</t>
        </is>
      </c>
      <c r="B5" s="5">
        <f>NOW()</f>
        <v/>
      </c>
    </row>
    <row r="6">
      <c r="A6" t="inlineStr">
        <is>
          <t>Model target (12-month median)</t>
        </is>
      </c>
      <c r="B6" s="6">
        <f>Distribution!$B$13</f>
        <v/>
      </c>
    </row>
    <row r="7">
      <c r="A7" t="inlineStr">
        <is>
          <t>Upside to model target from live price</t>
        </is>
      </c>
      <c r="B7" s="7">
        <f>B6/B4-1</f>
        <v/>
      </c>
    </row>
    <row r="8">
      <c r="A8" t="inlineStr">
        <is>
          <t>Research target (12m) (no scenario deltas)</t>
        </is>
      </c>
      <c r="B8" s="4">
        <f>Valuation!$D$8</f>
        <v/>
      </c>
    </row>
    <row r="9">
      <c r="A9" t="inlineStr">
        <is>
          <t>Probability-weighted mean</t>
        </is>
      </c>
      <c r="B9" s="4">
        <f>Distribution!$B$10</f>
        <v/>
      </c>
    </row>
    <row r="10">
      <c r="A10" t="inlineStr">
        <is>
          <t>10th percentile</t>
        </is>
      </c>
      <c r="B10" s="4">
        <f>Distribution!$B$14</f>
        <v/>
      </c>
    </row>
    <row r="11">
      <c r="A11" t="inlineStr">
        <is>
          <t>25th percentile</t>
        </is>
      </c>
      <c r="B11" s="4">
        <f>Distribution!$B$15</f>
        <v/>
      </c>
    </row>
    <row r="12">
      <c r="A12" t="inlineStr">
        <is>
          <t>75th percentile</t>
        </is>
      </c>
      <c r="B12" s="4">
        <f>Distribution!$B$16</f>
        <v/>
      </c>
    </row>
    <row r="13">
      <c r="A13" t="inlineStr">
        <is>
          <t>90th percentile</t>
        </is>
      </c>
      <c r="B13" s="4">
        <f>Distribution!$B$17</f>
        <v/>
      </c>
    </row>
    <row r="14">
      <c r="A14" t="inlineStr">
        <is>
          <t>Target date</t>
        </is>
      </c>
      <c r="B14" s="8">
        <f>Valuation!$B$46</f>
        <v/>
      </c>
    </row>
    <row r="15">
      <c r="A15" t="inlineStr">
        <is>
          <t>Price at the run</t>
        </is>
      </c>
      <c r="B15" s="4">
        <f>Valuation!$B$68</f>
        <v/>
      </c>
    </row>
    <row r="16">
      <c r="A16" t="inlineStr">
        <is>
          <t>Blended page target (options 67% + agents 33%, not live)</t>
        </is>
      </c>
      <c r="B16" s="9" t="n">
        <v>172.9057</v>
      </c>
    </row>
    <row r="17">
      <c r="A17" t="inlineStr">
        <is>
          <t>Supervisor research target (12m) (its own methods)</t>
        </is>
      </c>
      <c r="B17" s="9" t="n">
        <v>185.84</v>
      </c>
    </row>
    <row r="18">
      <c r="A18" t="inlineStr">
        <is>
          <t>Thesis break price (supervisor)</t>
        </is>
      </c>
      <c r="B18" s="9" t="n">
        <v>150</v>
      </c>
    </row>
    <row r="19">
      <c r="A19" t="inlineStr">
        <is>
          <t>Supervisor confidence</t>
        </is>
      </c>
      <c r="B19" t="inlineStr">
        <is>
          <t>low</t>
        </is>
      </c>
    </row>
    <row r="21">
      <c r="A21" s="3" t="inlineStr">
        <is>
          <t>Key estimates</t>
        </is>
      </c>
      <c r="B21" s="3" t="inlineStr">
        <is>
          <t>FY2025A</t>
        </is>
      </c>
      <c r="C21" s="3">
        <f>Model!E5</f>
        <v/>
      </c>
      <c r="D21" s="3">
        <f>Model!F5</f>
        <v/>
      </c>
    </row>
    <row r="22">
      <c r="A22" t="inlineStr">
        <is>
          <t>Net sales</t>
        </is>
      </c>
      <c r="B22" s="10">
        <f>IF(Model!D24="","",Model!D24)</f>
        <v/>
      </c>
      <c r="C22" s="10">
        <f>Model!E24</f>
        <v/>
      </c>
      <c r="D22" s="10">
        <f>Model!F24</f>
        <v/>
      </c>
    </row>
    <row r="23">
      <c r="A23" s="11" t="inlineStr">
        <is>
          <t xml:space="preserve">  % YoY</t>
        </is>
      </c>
      <c r="B23" s="12">
        <f>IF(Model!D25="","",Model!D25)</f>
        <v/>
      </c>
      <c r="C23" s="12">
        <f>Model!E25</f>
        <v/>
      </c>
      <c r="D23" s="12">
        <f>Model!F25</f>
        <v/>
      </c>
    </row>
    <row r="24">
      <c r="A24" t="inlineStr">
        <is>
          <t>Pretax margin</t>
        </is>
      </c>
      <c r="B24" s="12">
        <f>IF(Model!D35="","",Model!D35)</f>
        <v/>
      </c>
      <c r="C24" s="12">
        <f>Model!E35</f>
        <v/>
      </c>
      <c r="D24" s="12">
        <f>Model!F35</f>
        <v/>
      </c>
    </row>
    <row r="25">
      <c r="A25" t="inlineStr">
        <is>
          <t>Diluted EPS (model)</t>
        </is>
      </c>
      <c r="B25" s="13">
        <f>IF(Model!D42="","",Model!D42)</f>
        <v/>
      </c>
      <c r="C25" s="13">
        <f>Model!E42</f>
        <v/>
      </c>
      <c r="D25" s="13">
        <f>Model!F42</f>
        <v/>
      </c>
    </row>
    <row r="26">
      <c r="A26" s="11" t="inlineStr">
        <is>
          <t xml:space="preserve">  % YoY</t>
        </is>
      </c>
      <c r="B26" s="12">
        <f>IF(Model!D43="","",Model!D43)</f>
        <v/>
      </c>
      <c r="C26" s="12">
        <f>Model!E43</f>
        <v/>
      </c>
      <c r="D26" s="12">
        <f>Model!F43</f>
        <v/>
      </c>
    </row>
    <row r="27">
      <c r="A27" t="inlineStr">
        <is>
          <t>Free cash flow to firm</t>
        </is>
      </c>
      <c r="B27" s="10">
        <f>IF(Model!D52="","",Model!D52)</f>
        <v/>
      </c>
      <c r="C27" s="10">
        <f>Model!E52</f>
        <v/>
      </c>
      <c r="D27" s="10">
        <f>Model!F52</f>
        <v/>
      </c>
    </row>
    <row r="28">
      <c r="A28" s="14" t="inlineStr">
        <is>
          <t>Guidance midpoint: EPS (non-GAAP)</t>
        </is>
      </c>
      <c r="C28" s="15" t="n">
        <v>3.25</v>
      </c>
    </row>
    <row r="29">
      <c r="A29" s="16" t="inlineStr">
        <is>
          <t>Consensus: EPS (consensus)</t>
        </is>
      </c>
      <c r="D29" s="17" t="n">
        <v>5.31</v>
      </c>
    </row>
    <row r="31">
      <c r="A31" s="3" t="inlineStr">
        <is>
          <t>Valuation method</t>
        </is>
      </c>
      <c r="B31" s="3" t="inlineStr">
        <is>
          <t>Value per share</t>
        </is>
      </c>
      <c r="C31" s="3" t="inlineStr">
        <is>
          <t>Weight</t>
        </is>
      </c>
    </row>
    <row r="32">
      <c r="A32" s="18">
        <f>Valuation!A4</f>
        <v/>
      </c>
      <c r="B32" s="4">
        <f>Valuation!D4</f>
        <v/>
      </c>
      <c r="C32" s="12">
        <f>Valuation!E4</f>
        <v/>
      </c>
    </row>
    <row r="33">
      <c r="A33" s="18">
        <f>Valuation!A5</f>
        <v/>
      </c>
      <c r="B33" s="4">
        <f>Valuation!D5</f>
        <v/>
      </c>
      <c r="C33" s="12">
        <f>Valuation!E5</f>
        <v/>
      </c>
    </row>
    <row r="34">
      <c r="A34" s="18">
        <f>Valuation!A6</f>
        <v/>
      </c>
      <c r="B34" s="4">
        <f>Valuation!D6</f>
        <v/>
      </c>
      <c r="C34" s="12">
        <f>Valuation!E6</f>
        <v/>
      </c>
    </row>
    <row r="35">
      <c r="A35" s="18">
        <f>Valuation!A7</f>
        <v/>
      </c>
      <c r="B35" s="4">
        <f>Valuation!D7</f>
        <v/>
      </c>
      <c r="C35" s="12">
        <f>Valuation!E7</f>
        <v/>
      </c>
    </row>
    <row r="37">
      <c r="A37" s="3" t="inlineStr">
        <is>
          <t>Scenario</t>
        </is>
      </c>
      <c r="B37" s="3" t="inlineStr">
        <is>
          <t>Probability</t>
        </is>
      </c>
      <c r="C37" s="3" t="inlineStr">
        <is>
          <t>Value at target date</t>
        </is>
      </c>
      <c r="D37" s="3" t="inlineStr">
        <is>
          <t>What has to happen</t>
        </is>
      </c>
    </row>
    <row r="38">
      <c r="A38" s="18">
        <f>Distribution!A4</f>
        <v/>
      </c>
      <c r="B38" s="12">
        <f>Distribution!B4</f>
        <v/>
      </c>
      <c r="C38" s="4">
        <f>Distribution!C4</f>
        <v/>
      </c>
      <c r="D38" s="19">
        <f>Distribution!D4</f>
        <v/>
      </c>
    </row>
    <row r="39">
      <c r="A39" s="18">
        <f>Distribution!A5</f>
        <v/>
      </c>
      <c r="B39" s="12">
        <f>Distribution!B5</f>
        <v/>
      </c>
      <c r="C39" s="4">
        <f>Distribution!C5</f>
        <v/>
      </c>
      <c r="D39" s="19">
        <f>Distribution!D5</f>
        <v/>
      </c>
    </row>
    <row r="40">
      <c r="A40" s="18">
        <f>Distribution!A6</f>
        <v/>
      </c>
      <c r="B40" s="12">
        <f>Distribution!B6</f>
        <v/>
      </c>
      <c r="C40" s="4">
        <f>Distribution!C6</f>
        <v/>
      </c>
      <c r="D40" s="19">
        <f>Distribution!D6</f>
        <v/>
      </c>
    </row>
    <row r="42">
      <c r="A42" s="3" t="inlineStr">
        <is>
          <t>Price at target date</t>
        </is>
      </c>
      <c r="B42" s="3" t="inlineStr">
        <is>
          <t>Probability above</t>
        </is>
      </c>
    </row>
    <row r="43">
      <c r="A43" s="9">
        <f>ROUND(Valuation!$B$68*0.7,0)</f>
        <v/>
      </c>
      <c r="B43" s="20">
        <f>SUMPRODUCT(Distribution!$B$4:$B$6,1-NORMSDIST((LN(A43)-LN(Distribution!$C$4:$C$6))/Distribution!$B$9))</f>
        <v/>
      </c>
    </row>
    <row r="44">
      <c r="A44" s="9">
        <f>ROUND(Valuation!$B$68*0.8,0)</f>
        <v/>
      </c>
      <c r="B44" s="20">
        <f>SUMPRODUCT(Distribution!$B$4:$B$6,1-NORMSDIST((LN(A44)-LN(Distribution!$C$4:$C$6))/Distribution!$B$9))</f>
        <v/>
      </c>
    </row>
    <row r="45">
      <c r="A45" s="9">
        <f>ROUND(Valuation!$B$68*0.9,0)</f>
        <v/>
      </c>
      <c r="B45" s="20">
        <f>SUMPRODUCT(Distribution!$B$4:$B$6,1-NORMSDIST((LN(A45)-LN(Distribution!$C$4:$C$6))/Distribution!$B$9))</f>
        <v/>
      </c>
    </row>
    <row r="46">
      <c r="A46" s="9">
        <f>ROUND(Valuation!$B$68*1.0,0)</f>
        <v/>
      </c>
      <c r="B46" s="20">
        <f>SUMPRODUCT(Distribution!$B$4:$B$6,1-NORMSDIST((LN(A46)-LN(Distribution!$C$4:$C$6))/Distribution!$B$9))</f>
        <v/>
      </c>
    </row>
    <row r="47">
      <c r="A47" s="9">
        <f>ROUND(Valuation!$B$68*1.1,0)</f>
        <v/>
      </c>
      <c r="B47" s="20">
        <f>SUMPRODUCT(Distribution!$B$4:$B$6,1-NORMSDIST((LN(A47)-LN(Distribution!$C$4:$C$6))/Distribution!$B$9))</f>
        <v/>
      </c>
    </row>
    <row r="48">
      <c r="A48" s="9">
        <f>ROUND(Valuation!$B$68*1.2,0)</f>
        <v/>
      </c>
      <c r="B48" s="20">
        <f>SUMPRODUCT(Distribution!$B$4:$B$6,1-NORMSDIST((LN(A48)-LN(Distribution!$C$4:$C$6))/Distribution!$B$9))</f>
        <v/>
      </c>
    </row>
    <row r="49">
      <c r="A49" s="9">
        <f>ROUND(Valuation!$B$68*1.3,0)</f>
        <v/>
      </c>
      <c r="B49" s="20">
        <f>SUMPRODUCT(Distribution!$B$4:$B$6,1-NORMSDIST((LN(A49)-LN(Distribution!$C$4:$C$6))/Distribution!$B$9))</f>
        <v/>
      </c>
    </row>
    <row r="50">
      <c r="A50" s="9">
        <f>ROUND(Valuation!$B$68*1.5,0)</f>
        <v/>
      </c>
      <c r="B50" s="20">
        <f>SUMPRODUCT(Distribution!$B$4:$B$6,1-NORMSDIST((LN(A50)-LN(Distribution!$C$4:$C$6))/Distribution!$B$9))</f>
        <v/>
      </c>
    </row>
    <row r="52">
      <c r="A52" s="3" t="inlineStr">
        <is>
          <t>Model checks</t>
        </is>
      </c>
      <c r="B52" s="3" t="inlineStr">
        <is>
          <t>Status</t>
        </is>
      </c>
    </row>
    <row r="53">
      <c r="A53" t="inlineStr">
        <is>
          <t>Scenario probabilities sum to 100%</t>
        </is>
      </c>
      <c r="B53">
        <f>IF(ABS(Distribution!B8-1)&lt;0.005,"ok","FLAG: "&amp;TEXT(Distribution!B8,"0.0%"))</f>
        <v/>
      </c>
    </row>
    <row r="54">
      <c r="A54" t="inlineStr">
        <is>
          <t>WACC exceeds terminal growth by 1 point or more</t>
        </is>
      </c>
      <c r="B54">
        <f>IF('Calc - research target (12m)'!B55="ok","ok","FLAG")</f>
        <v/>
      </c>
    </row>
    <row r="55">
      <c r="A55" t="inlineStr">
        <is>
          <t>Projection runs a full year past the target date</t>
        </is>
      </c>
      <c r="B55">
        <f>IF('Calc - research target (12m)'!B56="ok","ok","FLAG")</f>
        <v/>
      </c>
    </row>
    <row r="56">
      <c r="A56" t="inlineStr">
        <is>
          <t>Method weights add up to more than zero</t>
        </is>
      </c>
      <c r="B56">
        <f>IF(SUM(Valuation!E4:E7)&gt;0,"ok","FLAG")</f>
        <v/>
      </c>
    </row>
    <row r="57">
      <c r="A57" t="inlineStr">
        <is>
          <t>Terminal value under 85% of the DCF</t>
        </is>
      </c>
      <c r="B57">
        <f>IF('Calc - research target (12m)'!B46&lt;0.85,"ok","note: "&amp;TEXT('Calc - research target (12m)'!B46,"0%")&amp;" of the DCF is terminal value")</f>
        <v/>
      </c>
    </row>
    <row r="58">
      <c r="A58" t="inlineStr">
        <is>
          <t>Segment base revenues tie to the last reported net sales (within 2%)</t>
        </is>
      </c>
      <c r="B58">
        <f>IF(ABS(Valuation!$B$92/Valuation!$B$51-1)&lt;=0.02,"ok","FLAG")</f>
        <v/>
      </c>
    </row>
    <row r="59">
      <c r="A59" t="inlineStr">
        <is>
          <t>Matches the engine run at publication (target, research target (12m))</t>
        </is>
      </c>
      <c r="B59">
        <f>IF(AND(ABS(Distribution!$B$13-184.2884)&lt;0.01,ABS(Valuation!$D$8-185.8390)&lt;0.01),"ok","inputs edited since publication")</f>
        <v/>
      </c>
    </row>
    <row r="60">
      <c r="A60" s="21" t="inlineStr">
        <is>
          <t>All checks</t>
        </is>
      </c>
      <c r="B60" s="21">
        <f>IF(COUNTIF(B53:B59,"ok")=7,"all ok",7-COUNTIF(B53:B59,"ok")&amp;" to look at")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4"/>
  <sheetViews>
    <sheetView showGridLines="0"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60" customWidth="1" min="8" max="8"/>
  </cols>
  <sheetData>
    <row r="1">
      <c r="A1" s="1" t="inlineStr">
        <is>
          <t>BE: annual model, base case</t>
        </is>
      </c>
    </row>
    <row r="2">
      <c r="A2" s="2" t="inlineStr">
        <is>
          <t>(M of US dollars except per share; fiscal years named by the calendar year they end in)</t>
        </is>
      </c>
    </row>
    <row r="3">
      <c r="A3" s="2" t="inlineStr">
        <is>
          <t>Blue = input · black = formula · green = link to another tab · actuals from SEC filings (fact ids in the last column, links on Sources)</t>
        </is>
      </c>
    </row>
    <row r="5">
      <c r="A5" s="3" t="inlineStr">
        <is>
          <t>Fiscal year</t>
        </is>
      </c>
      <c r="B5" s="3" t="inlineStr">
        <is>
          <t>FY2023A</t>
        </is>
      </c>
      <c r="C5" s="3" t="inlineStr">
        <is>
          <t>FY2024A</t>
        </is>
      </c>
      <c r="D5" s="3" t="inlineStr">
        <is>
          <t>FY2025A</t>
        </is>
      </c>
      <c r="E5" s="3" t="inlineStr">
        <is>
          <t>FY2026E</t>
        </is>
      </c>
      <c r="F5" s="3" t="inlineStr">
        <is>
          <t>FY2027E</t>
        </is>
      </c>
      <c r="G5" s="3" t="inlineStr">
        <is>
          <t>FY2028E</t>
        </is>
      </c>
      <c r="H5" s="3" t="inlineStr">
        <is>
          <t>Source / note</t>
        </is>
      </c>
    </row>
    <row r="6">
      <c r="A6" t="inlineStr">
        <is>
          <t>Period end</t>
        </is>
      </c>
      <c r="B6" s="22" t="n">
        <v>45291</v>
      </c>
      <c r="C6" s="22" t="n">
        <v>45657</v>
      </c>
      <c r="D6" s="22" t="n">
        <v>46022</v>
      </c>
      <c r="E6" s="22">
        <f>IF(DAY(Valuation!$B$50+1)=1,EOMONTH(Valuation!$B$50,12*E7),EDATE(Valuation!$B$50,12*E7))</f>
        <v/>
      </c>
      <c r="F6" s="22">
        <f>IF(DAY(Valuation!$B$50+1)=1,EOMONTH(Valuation!$B$50,12*F7),EDATE(Valuation!$B$50,12*F7))</f>
        <v/>
      </c>
      <c r="G6" s="22">
        <f>IF(DAY(Valuation!$B$50+1)=1,EOMONTH(Valuation!$B$50,12*G7),EDATE(Valuation!$B$50,12*G7))</f>
        <v/>
      </c>
    </row>
    <row r="7">
      <c r="A7" t="inlineStr">
        <is>
          <t>Projection year</t>
        </is>
      </c>
      <c r="B7" t="n">
        <v>-2</v>
      </c>
      <c r="C7" t="n">
        <v>-1</v>
      </c>
      <c r="D7" t="n">
        <v>0</v>
      </c>
      <c r="E7" t="n">
        <v>1</v>
      </c>
      <c r="F7" t="n">
        <v>2</v>
      </c>
      <c r="G7" t="n">
        <v>3</v>
      </c>
    </row>
    <row r="10">
      <c r="A10" s="23" t="inlineStr">
        <is>
          <t>Segment build (blue = input: revenue growth and EBIT margin by segment and year)</t>
        </is>
      </c>
      <c r="B10" s="24" t="n"/>
      <c r="C10" s="24" t="n"/>
      <c r="D10" s="24" t="n"/>
      <c r="E10" s="24" t="n"/>
      <c r="F10" s="24" t="n"/>
      <c r="G10" s="24" t="n"/>
      <c r="H10" s="24" t="n"/>
    </row>
    <row r="11">
      <c r="A11" t="inlineStr">
        <is>
          <t>Product</t>
        </is>
      </c>
      <c r="D11" s="10">
        <f>Valuation!$B$90</f>
        <v/>
      </c>
      <c r="E11" s="25">
        <f>Valuation!$B$90*(1+E12)</f>
        <v/>
      </c>
      <c r="F11" s="25">
        <f>E11*(1+F12)</f>
        <v/>
      </c>
      <c r="G11" s="25">
        <f>F11*(1+G12)</f>
        <v/>
      </c>
    </row>
    <row r="12">
      <c r="A12" s="11" t="inlineStr">
        <is>
          <t xml:space="preserve">  Revenue growth</t>
        </is>
      </c>
      <c r="E12" s="26" t="n">
        <v>1.587044534412955</v>
      </c>
      <c r="F12" s="26" t="n">
        <v>0.4766015447523853</v>
      </c>
      <c r="G12" s="26" t="n">
        <v>0.3888888888888888</v>
      </c>
    </row>
    <row r="13">
      <c r="A13" t="inlineStr">
        <is>
          <t xml:space="preserve">  Segment EBIT</t>
        </is>
      </c>
      <c r="E13" s="25">
        <f>E11*E14</f>
        <v/>
      </c>
      <c r="F13" s="25">
        <f>F11*F14</f>
        <v/>
      </c>
      <c r="G13" s="25">
        <f>G11*G14</f>
        <v/>
      </c>
    </row>
    <row r="14">
      <c r="A14" s="11" t="inlineStr">
        <is>
          <t xml:space="preserve">  EBIT margin</t>
        </is>
      </c>
      <c r="E14" s="26" t="n">
        <v>0.1875071936998334</v>
      </c>
      <c r="F14" s="26" t="n">
        <v>0.2211538461538461</v>
      </c>
      <c r="G14" s="26" t="n">
        <v>0.2395384615384615</v>
      </c>
    </row>
    <row r="15">
      <c r="A15" t="inlineStr">
        <is>
          <t>Installation, service and electricity</t>
        </is>
      </c>
      <c r="D15" s="10">
        <f>Valuation!$B$91</f>
        <v/>
      </c>
      <c r="E15" s="25">
        <f>Valuation!$B$91*(1+E16)</f>
        <v/>
      </c>
      <c r="F15" s="25">
        <f>E15*(1+F16)</f>
        <v/>
      </c>
      <c r="G15" s="25">
        <f>F15*(1+G16)</f>
        <v/>
      </c>
    </row>
    <row r="16">
      <c r="A16" s="11" t="inlineStr">
        <is>
          <t xml:space="preserve">  Revenue growth</t>
        </is>
      </c>
      <c r="E16" s="26" t="n">
        <v>0.1365942764359651</v>
      </c>
      <c r="F16" s="26" t="n">
        <v>0.25</v>
      </c>
      <c r="G16" s="26" t="n">
        <v>0.2</v>
      </c>
    </row>
    <row r="17">
      <c r="A17" t="inlineStr">
        <is>
          <t xml:space="preserve">  Segment EBIT</t>
        </is>
      </c>
      <c r="E17" s="25">
        <f>E15*E18</f>
        <v/>
      </c>
      <c r="F17" s="25">
        <f>F15*F18</f>
        <v/>
      </c>
      <c r="G17" s="25">
        <f>G15*G18</f>
        <v/>
      </c>
    </row>
    <row r="18">
      <c r="A18" s="11" t="inlineStr">
        <is>
          <t xml:space="preserve">  EBIT margin</t>
        </is>
      </c>
      <c r="E18" s="26" t="n">
        <v>0.067</v>
      </c>
      <c r="F18" s="26" t="n">
        <v>0.08</v>
      </c>
      <c r="G18" s="26" t="n">
        <v>0.09</v>
      </c>
    </row>
    <row r="19">
      <c r="A19" t="inlineStr">
        <is>
          <t>Total segment revenue (= net sales)</t>
        </is>
      </c>
      <c r="D19" s="27">
        <f>D11+D15</f>
        <v/>
      </c>
      <c r="E19" s="27">
        <f>E11+E15</f>
        <v/>
      </c>
      <c r="F19" s="27">
        <f>F11+F15</f>
        <v/>
      </c>
      <c r="G19" s="27">
        <f>G11+G15</f>
        <v/>
      </c>
      <c r="H19" s="2" t="inlineStr">
        <is>
          <t>base revenues on Valuation (segment build); net sales = this total</t>
        </is>
      </c>
    </row>
    <row r="20">
      <c r="A20" t="inlineStr">
        <is>
          <t>Total segment EBIT</t>
        </is>
      </c>
      <c r="E20" s="27">
        <f>E13+E17</f>
        <v/>
      </c>
      <c r="F20" s="27">
        <f>F13+F17</f>
        <v/>
      </c>
      <c r="G20" s="27">
        <f>G13+G17</f>
        <v/>
      </c>
    </row>
    <row r="21">
      <c r="A21" t="inlineStr">
        <is>
          <t>Corporate / unallocated EBIT (blue = input)</t>
        </is>
      </c>
      <c r="E21" s="28" t="n">
        <v>0</v>
      </c>
      <c r="F21" s="25">
        <f>E21</f>
        <v/>
      </c>
      <c r="G21" s="25">
        <f>F21</f>
        <v/>
      </c>
      <c r="H21" s="2" t="inlineStr">
        <is>
          <t>years[].corporate_ebit; EBIT = total segment EBIT + corporate</t>
        </is>
      </c>
    </row>
    <row r="23">
      <c r="A23" s="23" t="inlineStr">
        <is>
          <t>Sales</t>
        </is>
      </c>
      <c r="B23" s="24" t="n"/>
      <c r="C23" s="24" t="n"/>
      <c r="D23" s="24" t="n"/>
      <c r="E23" s="24" t="n"/>
      <c r="F23" s="24" t="n"/>
      <c r="G23" s="24" t="n"/>
      <c r="H23" s="24" t="n"/>
    </row>
    <row r="24">
      <c r="A24" s="21" t="inlineStr">
        <is>
          <t>Net sales</t>
        </is>
      </c>
      <c r="B24" s="25" t="n">
        <v>1268.782</v>
      </c>
      <c r="C24" s="25" t="n">
        <v>1441.394</v>
      </c>
      <c r="D24" s="25" t="n">
        <v>2001.614</v>
      </c>
      <c r="E24" s="27">
        <f>E19</f>
        <v/>
      </c>
      <c r="F24" s="27">
        <f>F19</f>
        <v/>
      </c>
      <c r="G24" s="27">
        <f>G19</f>
        <v/>
      </c>
      <c r="H24" s="2" t="inlineStr">
        <is>
          <t>SEC XBRL F1, F2, F3</t>
        </is>
      </c>
    </row>
    <row r="25">
      <c r="A25" s="11" t="inlineStr">
        <is>
          <t xml:space="preserve">  % YoY</t>
        </is>
      </c>
      <c r="C25" s="29">
        <f>IF(OR(C24="",B24="",B24=0),"",C24/B24-1)</f>
        <v/>
      </c>
      <c r="D25" s="29">
        <f>IF(OR(D24="",C24="",C24=0),"",D24/C24-1)</f>
        <v/>
      </c>
      <c r="E25" s="29">
        <f>E24/Valuation!$B$51-1</f>
        <v/>
      </c>
      <c r="F25" s="29">
        <f>F24/E24-1</f>
        <v/>
      </c>
      <c r="G25" s="29">
        <f>G24/F24-1</f>
        <v/>
      </c>
    </row>
    <row r="27">
      <c r="A27" s="23" t="inlineStr">
        <is>
          <t>Operating profit</t>
        </is>
      </c>
      <c r="B27" s="24" t="n"/>
      <c r="C27" s="24" t="n"/>
      <c r="D27" s="24" t="n"/>
      <c r="E27" s="24" t="n"/>
      <c r="F27" s="24" t="n"/>
      <c r="G27" s="24" t="n"/>
      <c r="H27" s="24" t="n"/>
    </row>
    <row r="28">
      <c r="A28" t="inlineStr">
        <is>
          <t>EBIT (operating income)</t>
        </is>
      </c>
      <c r="E28" s="25">
        <f>E20+E21</f>
        <v/>
      </c>
      <c r="F28" s="25">
        <f>F20+F21</f>
        <v/>
      </c>
      <c r="G28" s="25">
        <f>G20+G21</f>
        <v/>
      </c>
    </row>
    <row r="29">
      <c r="A29" s="11" t="inlineStr">
        <is>
          <t xml:space="preserve">  EBIT margin</t>
        </is>
      </c>
      <c r="E29" s="29">
        <f>E28/E24</f>
        <v/>
      </c>
      <c r="F29" s="29">
        <f>F28/F24</f>
        <v/>
      </c>
      <c r="G29" s="29">
        <f>G28/G24</f>
        <v/>
      </c>
    </row>
    <row r="30">
      <c r="A30" t="inlineStr">
        <is>
          <t>D&amp;A</t>
        </is>
      </c>
      <c r="E30" s="25">
        <f>E24*E64</f>
        <v/>
      </c>
      <c r="F30" s="25">
        <f>F24*F64</f>
        <v/>
      </c>
      <c r="G30" s="25">
        <f>G24*G64</f>
        <v/>
      </c>
    </row>
    <row r="31">
      <c r="A31" t="inlineStr">
        <is>
          <t>EBITDA</t>
        </is>
      </c>
      <c r="E31" s="25">
        <f>E28+E30</f>
        <v/>
      </c>
      <c r="F31" s="25">
        <f>F28+F30</f>
        <v/>
      </c>
      <c r="G31" s="25">
        <f>G28+G30</f>
        <v/>
      </c>
    </row>
    <row r="32">
      <c r="A32" s="11" t="inlineStr">
        <is>
          <t xml:space="preserve">  EBITDA margin</t>
        </is>
      </c>
      <c r="E32" s="29">
        <f>E31/E24</f>
        <v/>
      </c>
      <c r="F32" s="29">
        <f>F31/F24</f>
        <v/>
      </c>
      <c r="G32" s="29">
        <f>G31/G24</f>
        <v/>
      </c>
    </row>
    <row r="33">
      <c r="A33" t="inlineStr">
        <is>
          <t>Net interest income / (expense)</t>
        </is>
      </c>
      <c r="E33" s="25">
        <f>-Valuation!$B$59*Valuation!$B$57</f>
        <v/>
      </c>
      <c r="F33" s="25">
        <f>-Valuation!$B$59*E58</f>
        <v/>
      </c>
      <c r="G33" s="25">
        <f>-Valuation!$B$59*F58</f>
        <v/>
      </c>
      <c r="H33" s="2" t="inlineStr">
        <is>
          <t>rate x prior year-end net debt (memo roll)</t>
        </is>
      </c>
    </row>
    <row r="34">
      <c r="A34" s="21" t="inlineStr">
        <is>
          <t>Pretax income</t>
        </is>
      </c>
      <c r="B34" s="25" t="n">
        <v>-306.043</v>
      </c>
      <c r="C34" s="25" t="n">
        <v>-26.357</v>
      </c>
      <c r="D34" s="25" t="n">
        <v>-84.404</v>
      </c>
      <c r="E34" s="27">
        <f>E28+E33</f>
        <v/>
      </c>
      <c r="F34" s="27">
        <f>F28+F33</f>
        <v/>
      </c>
      <c r="G34" s="27">
        <f>G28+G33</f>
        <v/>
      </c>
      <c r="H34" s="2" t="inlineStr">
        <is>
          <t>SEC XBRL F68, F69, F70</t>
        </is>
      </c>
    </row>
    <row r="35">
      <c r="A35" s="11" t="inlineStr">
        <is>
          <t xml:space="preserve">  Pretax margin</t>
        </is>
      </c>
      <c r="B35" s="29">
        <f>B34/B24</f>
        <v/>
      </c>
      <c r="C35" s="29">
        <f>C34/C24</f>
        <v/>
      </c>
      <c r="D35" s="29">
        <f>D34/D24</f>
        <v/>
      </c>
      <c r="E35" s="29">
        <f>E34/E24</f>
        <v/>
      </c>
      <c r="F35" s="29">
        <f>F34/F24</f>
        <v/>
      </c>
      <c r="G35" s="29">
        <f>G34/G24</f>
        <v/>
      </c>
    </row>
    <row r="36">
      <c r="A36" t="inlineStr">
        <is>
          <t>Income tax</t>
        </is>
      </c>
      <c r="B36" s="25" t="n">
        <v>1.894</v>
      </c>
      <c r="C36" s="25" t="n">
        <v>0.846</v>
      </c>
      <c r="D36" s="25" t="n">
        <v>2.736</v>
      </c>
      <c r="E36" s="25">
        <f>E34*E63</f>
        <v/>
      </c>
      <c r="F36" s="25">
        <f>F34*F63</f>
        <v/>
      </c>
      <c r="G36" s="25">
        <f>G34*G63</f>
        <v/>
      </c>
      <c r="H36" s="2" t="inlineStr">
        <is>
          <t>SEC XBRL F61, F62, F63</t>
        </is>
      </c>
    </row>
    <row r="37">
      <c r="A37" s="11" t="inlineStr">
        <is>
          <t xml:space="preserve">  Effective tax rate</t>
        </is>
      </c>
      <c r="B37" s="29">
        <f>B36/B34</f>
        <v/>
      </c>
      <c r="C37" s="29">
        <f>C36/C34</f>
        <v/>
      </c>
      <c r="D37" s="29">
        <f>D36/D34</f>
        <v/>
      </c>
      <c r="E37" s="29">
        <f>E36/E34</f>
        <v/>
      </c>
      <c r="F37" s="29">
        <f>F36/F34</f>
        <v/>
      </c>
      <c r="G37" s="29">
        <f>G36/G34</f>
        <v/>
      </c>
    </row>
    <row r="38">
      <c r="A38" s="21" t="inlineStr">
        <is>
          <t>Net income</t>
        </is>
      </c>
      <c r="B38" s="25" t="n">
        <v>-307.937</v>
      </c>
      <c r="C38" s="25" t="n">
        <v>-27.203</v>
      </c>
      <c r="D38" s="25" t="n">
        <v>-87.14</v>
      </c>
      <c r="E38" s="27">
        <f>E34-E36</f>
        <v/>
      </c>
      <c r="F38" s="27">
        <f>F34-F36</f>
        <v/>
      </c>
      <c r="G38" s="27">
        <f>G34-G36</f>
        <v/>
      </c>
      <c r="H38" s="2" t="inlineStr">
        <is>
          <t>SEC XBRL F15, F16, F17</t>
        </is>
      </c>
    </row>
    <row r="39">
      <c r="A39" s="11" t="inlineStr">
        <is>
          <t xml:space="preserve">  % YoY</t>
        </is>
      </c>
      <c r="C39" s="29">
        <f>IF(OR(C38="",B38="",B38=0),"",C38/B38-1)</f>
        <v/>
      </c>
      <c r="D39" s="29">
        <f>IF(OR(D38="",C38="",C38=0),"",D38/C38-1)</f>
        <v/>
      </c>
      <c r="E39" s="29">
        <f>IF(OR(D38="",D38=0),"",E38/D38-1)</f>
        <v/>
      </c>
      <c r="F39" s="29">
        <f>IF(OR(E38="",E38=0),"",F38/E38-1)</f>
        <v/>
      </c>
      <c r="G39" s="29">
        <f>IF(OR(F38="",F38=0),"",G38/F38-1)</f>
        <v/>
      </c>
    </row>
    <row r="40">
      <c r="A40" t="inlineStr">
        <is>
          <t>Diluted shares (M, average)</t>
        </is>
      </c>
      <c r="B40" s="25" t="n">
        <v>212.681</v>
      </c>
      <c r="C40" s="25" t="n">
        <v>227.365</v>
      </c>
      <c r="D40" s="25" t="n">
        <v>240.402</v>
      </c>
      <c r="E40" s="30">
        <f>Valuation!$B$61*(1+Valuation!$B$63)^(E7-0.5-((Valuation!$B$62-Valuation!$B$50)/365.25))</f>
        <v/>
      </c>
      <c r="F40" s="30">
        <f>Valuation!$B$61*(1+Valuation!$B$63)^(F7-0.5-((Valuation!$B$62-Valuation!$B$50)/365.25))</f>
        <v/>
      </c>
      <c r="G40" s="30">
        <f>Valuation!$B$61*(1+Valuation!$B$63)^(G7-0.5-((Valuation!$B$62-Valuation!$B$50)/365.25))</f>
        <v/>
      </c>
      <c r="H40" s="2" t="inlineStr">
        <is>
          <t>diluted count rolled at the annual change to mid-year</t>
        </is>
      </c>
    </row>
    <row r="41">
      <c r="A41" s="11" t="inlineStr">
        <is>
          <t xml:space="preserve">  % YoY</t>
        </is>
      </c>
      <c r="C41" s="29">
        <f>IF(OR(C40="",B40="",B40=0),"",C40/B40-1)</f>
        <v/>
      </c>
      <c r="D41" s="29">
        <f>IF(OR(D40="",C40="",C40=0),"",D40/C40-1)</f>
        <v/>
      </c>
      <c r="E41" s="29">
        <f>IF(OR(D40="",D40=0),"",E40/D40-1)</f>
        <v/>
      </c>
      <c r="F41" s="29">
        <f>IF(OR(E40="",E40=0),"",F40/E40-1)</f>
        <v/>
      </c>
      <c r="G41" s="29">
        <f>IF(OR(F40="",F40=0),"",G40/F40-1)</f>
        <v/>
      </c>
    </row>
    <row r="42">
      <c r="A42" s="21" t="inlineStr">
        <is>
          <t>Diluted EPS</t>
        </is>
      </c>
      <c r="B42" s="31" t="n">
        <v>-1.42</v>
      </c>
      <c r="C42" s="31" t="n">
        <v>-0.13</v>
      </c>
      <c r="D42" s="31" t="n">
        <v>-0.37</v>
      </c>
      <c r="E42" s="32">
        <f>E38/E40</f>
        <v/>
      </c>
      <c r="F42" s="32">
        <f>F38/F40</f>
        <v/>
      </c>
      <c r="G42" s="32">
        <f>G38/G40</f>
        <v/>
      </c>
      <c r="H42" s="2" t="inlineStr">
        <is>
          <t>SEC XBRL F22, F23, F24</t>
        </is>
      </c>
    </row>
    <row r="43">
      <c r="A43" s="11" t="inlineStr">
        <is>
          <t xml:space="preserve">  % YoY</t>
        </is>
      </c>
      <c r="C43" s="29">
        <f>IF(OR(C42="",B42="",B42=0),"",C42/B42-1)</f>
        <v/>
      </c>
      <c r="D43" s="29">
        <f>IF(OR(D42="",C42="",C42=0),"",D42/C42-1)</f>
        <v/>
      </c>
      <c r="E43" s="29">
        <f>IF(OR(D42="",D42=0),"",E42/D42-1)</f>
        <v/>
      </c>
      <c r="F43" s="29">
        <f>IF(OR(E42="",E42=0),"",F42/E42-1)</f>
        <v/>
      </c>
      <c r="G43" s="29">
        <f>IF(OR(F42="",F42=0),"",G42/F42-1)</f>
        <v/>
      </c>
    </row>
    <row r="45">
      <c r="A45" s="23" t="inlineStr">
        <is>
          <t>Cash flow</t>
        </is>
      </c>
      <c r="B45" s="24" t="n"/>
      <c r="C45" s="24" t="n"/>
      <c r="D45" s="24" t="n"/>
      <c r="E45" s="24" t="n"/>
      <c r="F45" s="24" t="n"/>
      <c r="G45" s="24" t="n"/>
      <c r="H45" s="24" t="n"/>
    </row>
    <row r="46">
      <c r="A46" t="inlineStr">
        <is>
          <t>NOPAT (EBIT x (1 - tax))</t>
        </is>
      </c>
      <c r="E46" s="25">
        <f>E28*(1-E63)</f>
        <v/>
      </c>
      <c r="F46" s="25">
        <f>F28*(1-F63)</f>
        <v/>
      </c>
      <c r="G46" s="25">
        <f>G28*(1-G63)</f>
        <v/>
      </c>
    </row>
    <row r="47">
      <c r="A47" t="inlineStr">
        <is>
          <t>+ D&amp;A</t>
        </is>
      </c>
      <c r="B47" s="25">
        <f>B30</f>
        <v/>
      </c>
      <c r="C47" s="25">
        <f>C30</f>
        <v/>
      </c>
      <c r="D47" s="25">
        <f>D30</f>
        <v/>
      </c>
      <c r="E47" s="25">
        <f>E30</f>
        <v/>
      </c>
      <c r="F47" s="25">
        <f>F30</f>
        <v/>
      </c>
      <c r="G47" s="25">
        <f>G30</f>
        <v/>
      </c>
    </row>
    <row r="48">
      <c r="A48" t="inlineStr">
        <is>
          <t>- Capex</t>
        </is>
      </c>
      <c r="B48" s="25" t="n">
        <v>83.739</v>
      </c>
      <c r="C48" s="25" t="n">
        <v>58.852</v>
      </c>
      <c r="D48" s="25" t="n">
        <v>56.759</v>
      </c>
      <c r="E48" s="25">
        <f>E24*E65</f>
        <v/>
      </c>
      <c r="F48" s="25">
        <f>F24*F65</f>
        <v/>
      </c>
      <c r="G48" s="25">
        <f>G24*G65</f>
        <v/>
      </c>
      <c r="H48" s="2" t="inlineStr">
        <is>
          <t>SEC XBRL F41, F42, F43</t>
        </is>
      </c>
    </row>
    <row r="49">
      <c r="A49" s="11" t="inlineStr">
        <is>
          <t xml:space="preserve">  Capex % of sales</t>
        </is>
      </c>
      <c r="B49" s="29">
        <f>B48/B24</f>
        <v/>
      </c>
      <c r="C49" s="29">
        <f>C48/C24</f>
        <v/>
      </c>
      <c r="D49" s="29">
        <f>D48/D24</f>
        <v/>
      </c>
      <c r="E49" s="29">
        <f>E48/E24</f>
        <v/>
      </c>
      <c r="F49" s="29">
        <f>F48/F24</f>
        <v/>
      </c>
      <c r="G49" s="29">
        <f>G48/G24</f>
        <v/>
      </c>
    </row>
    <row r="50">
      <c r="A50" t="inlineStr">
        <is>
          <t>- Working capital increase</t>
        </is>
      </c>
      <c r="E50" s="25">
        <f>E66*(E24-Valuation!$B$51)</f>
        <v/>
      </c>
      <c r="F50" s="25">
        <f>F66*(F24-E24)</f>
        <v/>
      </c>
      <c r="G50" s="25">
        <f>G66*(G24-F24)</f>
        <v/>
      </c>
    </row>
    <row r="51">
      <c r="A51" t="inlineStr">
        <is>
          <t>- Stock comp (adjusted EBIT only)</t>
        </is>
      </c>
      <c r="E51" s="25">
        <f>IF(AND(Valuation!$B$48="adjusted",Valuation!$B$49="cost"),E55*(1-E63),0)</f>
        <v/>
      </c>
      <c r="F51" s="25">
        <f>IF(AND(Valuation!$B$48="adjusted",Valuation!$B$49="cost"),F55*(1-F63),0)</f>
        <v/>
      </c>
      <c r="G51" s="25">
        <f>IF(AND(Valuation!$B$48="adjusted",Valuation!$B$49="cost"),G55*(1-G63),0)</f>
        <v/>
      </c>
    </row>
    <row r="52">
      <c r="A52" s="21" t="inlineStr">
        <is>
          <t>Free cash flow to firm</t>
        </is>
      </c>
      <c r="E52" s="27">
        <f>E46+E47-E48-E50-E51</f>
        <v/>
      </c>
      <c r="F52" s="27">
        <f>F46+F47-F48-F50-F51</f>
        <v/>
      </c>
      <c r="G52" s="27">
        <f>G46+G47-G48-G50-G51</f>
        <v/>
      </c>
      <c r="H52" s="2" t="inlineStr">
        <is>
          <t>what the DCF discounts (Calc tabs)</t>
        </is>
      </c>
    </row>
    <row r="53">
      <c r="A53" t="inlineStr">
        <is>
          <t>Operating cash flow (reported)</t>
        </is>
      </c>
      <c r="B53" s="25" t="n">
        <v>-372.531</v>
      </c>
      <c r="C53" s="25" t="n">
        <v>91.998</v>
      </c>
      <c r="D53" s="25" t="n">
        <v>113.949</v>
      </c>
      <c r="H53" s="2" t="inlineStr">
        <is>
          <t>SEC XBRL F34, F35, F36</t>
        </is>
      </c>
    </row>
    <row r="54">
      <c r="A54" t="inlineStr">
        <is>
          <t>FCF (operating cash flow - capex)</t>
        </is>
      </c>
      <c r="B54" s="25">
        <f>B53-B48</f>
        <v/>
      </c>
      <c r="C54" s="25">
        <f>C53-C48</f>
        <v/>
      </c>
      <c r="D54" s="25">
        <f>D53-D48</f>
        <v/>
      </c>
    </row>
    <row r="55">
      <c r="A55" t="inlineStr">
        <is>
          <t>Stock comp (memo)</t>
        </is>
      </c>
      <c r="E55" s="25">
        <f>E24*E67</f>
        <v/>
      </c>
      <c r="F55" s="25">
        <f>F24*F67</f>
        <v/>
      </c>
      <c r="G55" s="25">
        <f>G24*G67</f>
        <v/>
      </c>
    </row>
    <row r="56">
      <c r="A56" t="inlineStr">
        <is>
          <t>Buybacks + dividends + other uses</t>
        </is>
      </c>
      <c r="E56" s="25">
        <f>E24*E69+E68+E70</f>
        <v/>
      </c>
      <c r="F56" s="25">
        <f>F24*F69+F68+F70</f>
        <v/>
      </c>
      <c r="G56" s="25">
        <f>G24*G69+G68+G70</f>
        <v/>
      </c>
    </row>
    <row r="57">
      <c r="A57" s="11" t="inlineStr">
        <is>
          <t xml:space="preserve">  % of sales</t>
        </is>
      </c>
      <c r="B57" s="29">
        <f>B56/B24</f>
        <v/>
      </c>
      <c r="C57" s="29">
        <f>C56/C24</f>
        <v/>
      </c>
      <c r="D57" s="29">
        <f>D56/D24</f>
        <v/>
      </c>
      <c r="E57" s="29">
        <f>E56/E24</f>
        <v/>
      </c>
      <c r="F57" s="29">
        <f>F56/F24</f>
        <v/>
      </c>
      <c r="G57" s="29">
        <f>G56/G24</f>
        <v/>
      </c>
    </row>
    <row r="58">
      <c r="A58" t="inlineStr">
        <is>
          <t>Net debt / (net cash), year end (memo)</t>
        </is>
      </c>
      <c r="E58" s="25">
        <f>Valuation!$B$57-E52-E33*(1-E63)+E56</f>
        <v/>
      </c>
      <c r="F58" s="25">
        <f>E58-F52-F33*(1-F63)+F56</f>
        <v/>
      </c>
      <c r="G58" s="25">
        <f>F58-G52-G33*(1-G63)+G56</f>
        <v/>
      </c>
      <c r="H58" s="2" t="inlineStr">
        <is>
          <t>rolled from the balance-date figure; feeds interest only</t>
        </is>
      </c>
    </row>
    <row r="60">
      <c r="A60" s="23" t="inlineStr">
        <is>
          <t>Drivers (blue = input; a year left black carries the prior year)</t>
        </is>
      </c>
      <c r="B60" s="24" t="n"/>
      <c r="C60" s="24" t="n"/>
      <c r="D60" s="24" t="n"/>
      <c r="E60" s="24" t="n"/>
      <c r="F60" s="24" t="n"/>
      <c r="G60" s="24" t="n"/>
      <c r="H60" s="24" t="n"/>
    </row>
    <row r="61">
      <c r="A61" t="inlineStr">
        <is>
          <t>Revenue growth</t>
        </is>
      </c>
      <c r="C61" s="20">
        <f>C25</f>
        <v/>
      </c>
      <c r="D61" s="20">
        <f>D25</f>
        <v/>
      </c>
      <c r="E61" s="26">
        <f>E25</f>
        <v/>
      </c>
      <c r="F61" s="20">
        <f>F25</f>
        <v/>
      </c>
      <c r="G61" s="20">
        <f>G25</f>
        <v/>
      </c>
      <c r="H61" s="2" t="inlineStr">
        <is>
          <t>implied by the segment build (edit the segment rows)</t>
        </is>
      </c>
    </row>
    <row r="62">
      <c r="A62" t="inlineStr">
        <is>
          <t>EBIT margin</t>
        </is>
      </c>
      <c r="E62" s="26">
        <f>E29</f>
        <v/>
      </c>
      <c r="F62" s="20">
        <f>F29</f>
        <v/>
      </c>
      <c r="G62" s="20">
        <f>G29</f>
        <v/>
      </c>
      <c r="H62" s="2" t="inlineStr">
        <is>
          <t>implied by the segment build and corporate EBIT</t>
        </is>
      </c>
    </row>
    <row r="63">
      <c r="A63" t="inlineStr">
        <is>
          <t>Tax rate</t>
        </is>
      </c>
      <c r="B63" s="20">
        <f>B37</f>
        <v/>
      </c>
      <c r="C63" s="20">
        <f>C37</f>
        <v/>
      </c>
      <c r="D63" s="20">
        <f>D37</f>
        <v/>
      </c>
      <c r="E63" s="26" t="n">
        <v>0.05</v>
      </c>
      <c r="F63" s="26" t="n">
        <v>0.1</v>
      </c>
      <c r="G63" s="26" t="n">
        <v>0.15</v>
      </c>
    </row>
    <row r="64">
      <c r="A64" t="inlineStr">
        <is>
          <t>D&amp;A % revenue</t>
        </is>
      </c>
      <c r="B64" s="20">
        <f>B30/B24</f>
        <v/>
      </c>
      <c r="C64" s="20">
        <f>C30/C24</f>
        <v/>
      </c>
      <c r="D64" s="20">
        <f>D30/D24</f>
        <v/>
      </c>
      <c r="E64" s="26" t="n">
        <v>0.013</v>
      </c>
      <c r="F64" s="26" t="n">
        <v>0.013</v>
      </c>
      <c r="G64" s="26" t="n">
        <v>0.014</v>
      </c>
    </row>
    <row r="65">
      <c r="A65" t="inlineStr">
        <is>
          <t>Capex % revenue</t>
        </is>
      </c>
      <c r="B65" s="20">
        <f>B49</f>
        <v/>
      </c>
      <c r="C65" s="20">
        <f>C49</f>
        <v/>
      </c>
      <c r="D65" s="20">
        <f>D49</f>
        <v/>
      </c>
      <c r="E65" s="26" t="n">
        <v>0.07264544031105441</v>
      </c>
      <c r="F65" s="26" t="n">
        <v>0.06408508252921087</v>
      </c>
      <c r="G65" s="26" t="n">
        <v>0.045</v>
      </c>
    </row>
    <row r="66">
      <c r="A66" t="inlineStr">
        <is>
          <t>Working capital % of revenue increase</t>
        </is>
      </c>
      <c r="E66" s="26" t="n">
        <v>0.2</v>
      </c>
      <c r="F66" s="26" t="n">
        <v>0.15</v>
      </c>
      <c r="G66" s="26" t="n">
        <v>0.15</v>
      </c>
    </row>
    <row r="67">
      <c r="A67" t="inlineStr">
        <is>
          <t>Stock comp % revenue</t>
        </is>
      </c>
      <c r="B67" s="20">
        <f>B55/B24</f>
        <v/>
      </c>
      <c r="C67" s="20">
        <f>C55/C24</f>
        <v/>
      </c>
      <c r="D67" s="20">
        <f>D55/D24</f>
        <v/>
      </c>
      <c r="E67" s="26" t="n">
        <v>0</v>
      </c>
      <c r="F67" s="20">
        <f>E67</f>
        <v/>
      </c>
      <c r="G67" s="20">
        <f>F67</f>
        <v/>
      </c>
    </row>
    <row r="68">
      <c r="A68" t="inlineStr">
        <is>
          <t>Shareholder returns ($)</t>
        </is>
      </c>
      <c r="E68" s="28" t="n">
        <v>0</v>
      </c>
      <c r="F68" s="25">
        <f>E68</f>
        <v/>
      </c>
      <c r="G68" s="25">
        <f>F68</f>
        <v/>
      </c>
    </row>
    <row r="69">
      <c r="A69" t="inlineStr">
        <is>
          <t>Shareholder returns % revenue</t>
        </is>
      </c>
      <c r="B69" s="20">
        <f>B57</f>
        <v/>
      </c>
      <c r="C69" s="20">
        <f>C57</f>
        <v/>
      </c>
      <c r="D69" s="20">
        <f>D57</f>
        <v/>
      </c>
      <c r="E69" s="26" t="n">
        <v>0</v>
      </c>
      <c r="F69" s="20">
        <f>E69</f>
        <v/>
      </c>
      <c r="G69" s="20">
        <f>F69</f>
        <v/>
      </c>
    </row>
    <row r="70">
      <c r="A70" t="inlineStr">
        <is>
          <t>Other uses of cash ($: M&amp;A, investments)</t>
        </is>
      </c>
      <c r="E70" s="28" t="n">
        <v>0</v>
      </c>
      <c r="F70" s="25">
        <f>E70</f>
        <v/>
      </c>
      <c r="G70" s="25">
        <f>F70</f>
        <v/>
      </c>
    </row>
    <row r="71">
      <c r="A71" t="inlineStr">
        <is>
          <t>Adj. EBITDA addback % revenue</t>
        </is>
      </c>
      <c r="E71" s="26" t="n">
        <v>0</v>
      </c>
      <c r="F71" s="20">
        <f>E71</f>
        <v/>
      </c>
      <c r="G71" s="20">
        <f>F71</f>
        <v/>
      </c>
    </row>
    <row r="73">
      <c r="A73" s="23" t="inlineStr">
        <is>
          <t>Versus company guidance and street consensus</t>
        </is>
      </c>
      <c r="B73" s="24" t="n"/>
      <c r="C73" s="24" t="n"/>
      <c r="D73" s="24" t="n"/>
      <c r="E73" s="24" t="n"/>
      <c r="F73" s="24" t="n"/>
      <c r="G73" s="24" t="n"/>
      <c r="H73" s="24" t="n"/>
    </row>
    <row r="74">
      <c r="A74" t="inlineStr">
        <is>
          <t>Guidance: revenue (GAAP), midpoint</t>
        </is>
      </c>
      <c r="E74" s="33">
        <f>AVERAGE(4400,4600)</f>
        <v/>
      </c>
      <c r="H74" s="2" t="inlineStr">
        <is>
          <t>4400 to 4600; as of 2026-10-22; source 14 (Bloom Energy Q3 2026 results (8-K Ex.99.1))</t>
        </is>
      </c>
    </row>
    <row r="75">
      <c r="A75" s="11" t="inlineStr">
        <is>
          <t xml:space="preserve">  Model vs guidance midpoint</t>
        </is>
      </c>
      <c r="E75" s="29">
        <f>E24/E74-1</f>
        <v/>
      </c>
      <c r="H75" s="2">
        <f>IF(E24&lt;4400,"below the guided range",IF(E24&gt;4600,"above the guided range","inside the guided range"))</f>
        <v/>
      </c>
    </row>
    <row r="76">
      <c r="A76" t="inlineStr">
        <is>
          <t>Guidance: non-GAAP gross margin (non-GAAP), midpoint</t>
        </is>
      </c>
      <c r="E76" s="33">
        <f>AVERAGE(0.34,0.34)</f>
        <v/>
      </c>
      <c r="H76" s="2" t="inlineStr">
        <is>
          <t>0.34 to 0.34; as of 2026-10-22; source 14 (Bloom Energy Q3 2026 results (8-K Ex.99.1))</t>
        </is>
      </c>
    </row>
    <row r="77">
      <c r="A77" t="inlineStr">
        <is>
          <t>Guidance: non-GAAP operating income (non-GAAP), midpoint</t>
        </is>
      </c>
      <c r="E77" s="33">
        <f>AVERAGE(960,1030)</f>
        <v/>
      </c>
      <c r="H77" s="2" t="inlineStr">
        <is>
          <t>960 to 1030; as of 2026-10-22; source 14 (Bloom Energy Q3 2026 results (8-K Ex.99.1))</t>
        </is>
      </c>
    </row>
    <row r="78">
      <c r="A78" t="inlineStr">
        <is>
          <t>Guidance: EPS diluted (non-GAAP) (non-GAAP), midpoint</t>
        </is>
      </c>
      <c r="E78" s="15">
        <f>AVERAGE(3.1,3.4)</f>
        <v/>
      </c>
      <c r="H78" s="2" t="inlineStr">
        <is>
          <t>3.1 to 3.4; as of 2026-10-22; source 14 (Bloom Energy Q3 2026 results (8-K Ex.99.1))</t>
        </is>
      </c>
    </row>
    <row r="79">
      <c r="A79" t="inlineStr">
        <is>
          <t>Consensus: revenue (consensus)</t>
        </is>
      </c>
      <c r="E79" s="34" t="n">
        <v>4530</v>
      </c>
      <c r="H79" s="2" t="inlineStr">
        <is>
          <t>as of 2026-10-23; source 25 (Bloom Energy (BE) analyst forecast: 'Revenue Next Year 7.05B)</t>
        </is>
      </c>
    </row>
    <row r="80">
      <c r="A80" s="11" t="inlineStr">
        <is>
          <t xml:space="preserve">  Model vs consensus</t>
        </is>
      </c>
      <c r="E80" s="29">
        <f>E24/E79-1</f>
        <v/>
      </c>
    </row>
    <row r="81">
      <c r="A81" t="inlineStr">
        <is>
          <t>Consensus: revenue (consensus)</t>
        </is>
      </c>
      <c r="F81" s="34" t="n">
        <v>7050</v>
      </c>
      <c r="H81" s="2" t="inlineStr">
        <is>
          <t>as of 2026-10-23; source 25 (Bloom Energy (BE) analyst forecast: 'Revenue Next Year 7.05B)</t>
        </is>
      </c>
    </row>
    <row r="82">
      <c r="A82" s="11" t="inlineStr">
        <is>
          <t xml:space="preserve">  Model vs consensus</t>
        </is>
      </c>
      <c r="F82" s="29">
        <f>F24/F81-1</f>
        <v/>
      </c>
    </row>
    <row r="83">
      <c r="A83" t="inlineStr">
        <is>
          <t>Consensus: EPS diluted (consensus)</t>
        </is>
      </c>
      <c r="F83" s="17" t="n">
        <v>5.31</v>
      </c>
      <c r="H83" s="2" t="inlineStr">
        <is>
          <t>as of 2026-10-23; source 25 (Bloom Energy (BE) analyst forecast: 'Revenue Next Year 7.05B)</t>
        </is>
      </c>
    </row>
    <row r="84">
      <c r="A84" s="11" t="inlineStr">
        <is>
          <t xml:space="preserve">  Model vs consensus</t>
        </is>
      </c>
      <c r="F84" s="29">
        <f>F42/F83-1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92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4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60" customWidth="1" min="10" max="10"/>
    <col width="13" customWidth="1" min="11" max="11"/>
  </cols>
  <sheetData>
    <row r="1">
      <c r="A1" s="1" t="inlineStr">
        <is>
          <t>BE: valuation and price target derivation</t>
        </is>
      </c>
    </row>
    <row r="2">
      <c r="A2" s="2" t="inlineStr">
        <is>
          <t>Value per share at the target date = weighted methods below; the 12-month target is the median of the scenario mix (Distribution tab).</t>
        </is>
      </c>
    </row>
    <row r="3">
      <c r="A3" s="3" t="inlineStr">
        <is>
          <t>Method</t>
        </is>
      </c>
      <c r="B3" s="3" t="inlineStr">
        <is>
          <t>Multiple</t>
        </is>
      </c>
      <c r="C3" s="3" t="inlineStr">
        <is>
          <t>Metric at target date</t>
        </is>
      </c>
      <c r="D3" s="3" t="inlineStr">
        <is>
          <t>Value per share</t>
        </is>
      </c>
      <c r="E3" s="3" t="inlineStr">
        <is>
          <t>Weight</t>
        </is>
      </c>
      <c r="F3" s="3" t="inlineStr">
        <is>
          <t>Contribution</t>
        </is>
      </c>
    </row>
    <row r="4">
      <c r="A4" s="18">
        <f>'Calc - research target (12m)'!A67</f>
        <v/>
      </c>
      <c r="B4" s="4">
        <f>IF('Calc - research target (12m)'!C67="","",'Calc - research target (12m)'!C67)</f>
        <v/>
      </c>
      <c r="C4" s="35">
        <f>IF('Calc - research target (12m)'!I67="","",'Calc - research target (12m)'!I67)</f>
        <v/>
      </c>
      <c r="D4" s="4">
        <f>'Calc - research target (12m)'!F67</f>
        <v/>
      </c>
      <c r="E4" s="12">
        <f>'Calc - research target (12m)'!G67</f>
        <v/>
      </c>
      <c r="F4" s="9">
        <f>D4*E4/SUM($E$4:$E$7)</f>
        <v/>
      </c>
    </row>
    <row r="5">
      <c r="A5" s="18">
        <f>'Calc - research target (12m)'!A68</f>
        <v/>
      </c>
      <c r="B5" s="4">
        <f>IF('Calc - research target (12m)'!C68="","",'Calc - research target (12m)'!C68)</f>
        <v/>
      </c>
      <c r="C5" s="35">
        <f>IF('Calc - research target (12m)'!I68="","",'Calc - research target (12m)'!I68)</f>
        <v/>
      </c>
      <c r="D5" s="4">
        <f>'Calc - research target (12m)'!F68</f>
        <v/>
      </c>
      <c r="E5" s="12">
        <f>'Calc - research target (12m)'!G68</f>
        <v/>
      </c>
      <c r="F5" s="9">
        <f>D5*E5/SUM($E$4:$E$7)</f>
        <v/>
      </c>
    </row>
    <row r="6">
      <c r="A6" s="18">
        <f>'Calc - research target (12m)'!A69</f>
        <v/>
      </c>
      <c r="B6" s="4">
        <f>IF('Calc - research target (12m)'!C69="","",'Calc - research target (12m)'!C69)</f>
        <v/>
      </c>
      <c r="C6" s="35">
        <f>IF('Calc - research target (12m)'!I69="","",'Calc - research target (12m)'!I69)</f>
        <v/>
      </c>
      <c r="D6" s="4">
        <f>'Calc - research target (12m)'!F69</f>
        <v/>
      </c>
      <c r="E6" s="12">
        <f>'Calc - research target (12m)'!G69</f>
        <v/>
      </c>
      <c r="F6" s="9">
        <f>D6*E6/SUM($E$4:$E$7)</f>
        <v/>
      </c>
    </row>
    <row r="7">
      <c r="A7" s="18">
        <f>'Calc - research target (12m)'!A70</f>
        <v/>
      </c>
      <c r="B7" s="4">
        <f>IF('Calc - research target (12m)'!C70="","",'Calc - research target (12m)'!C70)</f>
        <v/>
      </c>
      <c r="C7" s="35">
        <f>IF('Calc - research target (12m)'!I70="","",'Calc - research target (12m)'!I70)</f>
        <v/>
      </c>
      <c r="D7" s="4">
        <f>'Calc - research target (12m)'!F70</f>
        <v/>
      </c>
      <c r="E7" s="12">
        <f>'Calc - research target (12m)'!G70</f>
        <v/>
      </c>
      <c r="F7" s="9">
        <f>D7*E7/SUM($E$4:$E$7)</f>
        <v/>
      </c>
    </row>
    <row r="8">
      <c r="A8" s="21" t="inlineStr">
        <is>
          <t>Research target (12m) per share</t>
        </is>
      </c>
      <c r="D8" s="6">
        <f>'Calc - research target (12m)'!$F$71</f>
        <v/>
      </c>
      <c r="F8" s="6">
        <f>SUM(F4:F7)</f>
        <v/>
      </c>
    </row>
    <row r="10">
      <c r="A10" s="23" t="inlineStr">
        <is>
          <t>12-month EPS basis (what the P/E is applied to)</t>
        </is>
      </c>
      <c r="B10" s="24" t="n"/>
      <c r="C10" s="24" t="n"/>
      <c r="D10" s="24" t="n"/>
      <c r="E10" s="24" t="n"/>
      <c r="F10" s="24" t="n"/>
      <c r="G10" s="24" t="n"/>
      <c r="H10" s="24" t="n"/>
      <c r="I10" s="24" t="n"/>
    </row>
    <row r="11">
      <c r="A11" s="3" t="inlineStr">
        <is>
          <t>Fiscal year</t>
        </is>
      </c>
      <c r="B11" s="3">
        <f>Model!E5</f>
        <v/>
      </c>
      <c r="C11" s="3">
        <f>Model!F5</f>
        <v/>
      </c>
      <c r="D11" s="3">
        <f>Model!G5</f>
        <v/>
      </c>
    </row>
    <row r="12">
      <c r="A12" t="inlineStr">
        <is>
          <t>Share of the 12 months after the target date</t>
        </is>
      </c>
      <c r="B12" s="12">
        <f>'Calc - research target (12m)'!C38</f>
        <v/>
      </c>
      <c r="C12" s="12">
        <f>'Calc - research target (12m)'!D38</f>
        <v/>
      </c>
      <c r="D12" s="12">
        <f>'Calc - research target (12m)'!E38</f>
        <v/>
      </c>
    </row>
    <row r="13">
      <c r="A13" t="inlineStr">
        <is>
          <t>Model EPS (Model tab)</t>
        </is>
      </c>
      <c r="B13" s="13">
        <f>Model!E42</f>
        <v/>
      </c>
      <c r="C13" s="13">
        <f>Model!F42</f>
        <v/>
      </c>
      <c r="D13" s="13">
        <f>Model!G42</f>
        <v/>
      </c>
    </row>
    <row r="14">
      <c r="A14" t="inlineStr">
        <is>
          <t>Model EPS, next 12 months after the target date</t>
        </is>
      </c>
      <c r="B14" s="32">
        <f>SUMPRODUCT(B12:D12,B13:D13)</f>
        <v/>
      </c>
    </row>
    <row r="17">
      <c r="A17" s="23" t="inlineStr">
        <is>
          <t>DCF build (free cash flow to firm, discounted to the target date)</t>
        </is>
      </c>
      <c r="B17" s="24" t="n"/>
      <c r="C17" s="24" t="n"/>
      <c r="D17" s="24" t="n"/>
      <c r="E17" s="24" t="n"/>
      <c r="F17" s="24" t="n"/>
      <c r="G17" s="24" t="n"/>
      <c r="H17" s="24" t="n"/>
      <c r="I17" s="24" t="n"/>
    </row>
    <row r="18">
      <c r="A18" s="3" t="inlineStr">
        <is>
          <t>Fiscal year</t>
        </is>
      </c>
      <c r="B18" s="3">
        <f>Model!E5</f>
        <v/>
      </c>
      <c r="C18" s="3">
        <f>Model!F5</f>
        <v/>
      </c>
      <c r="D18" s="3">
        <f>Model!G5</f>
        <v/>
      </c>
    </row>
    <row r="19">
      <c r="A19" t="inlineStr">
        <is>
          <t>Free cash flow to firm</t>
        </is>
      </c>
      <c r="B19" s="10">
        <f>'Calc - research target (12m)'!C31</f>
        <v/>
      </c>
      <c r="C19" s="10">
        <f>'Calc - research target (12m)'!D31</f>
        <v/>
      </c>
      <c r="D19" s="10">
        <f>'Calc - research target (12m)'!E31</f>
        <v/>
      </c>
    </row>
    <row r="20">
      <c r="A20" t="inlineStr">
        <is>
          <t>Share of the year after the target date</t>
        </is>
      </c>
      <c r="B20" s="12">
        <f>'Calc - research target (12m)'!C35</f>
        <v/>
      </c>
      <c r="C20" s="12">
        <f>'Calc - research target (12m)'!D35</f>
        <v/>
      </c>
      <c r="D20" s="12">
        <f>'Calc - research target (12m)'!E35</f>
        <v/>
      </c>
    </row>
    <row r="21">
      <c r="A21" t="inlineStr">
        <is>
          <t>PV at target date</t>
        </is>
      </c>
      <c r="B21" s="10">
        <f>'Calc - research target (12m)'!C36</f>
        <v/>
      </c>
      <c r="C21" s="10">
        <f>'Calc - research target (12m)'!D36</f>
        <v/>
      </c>
      <c r="D21" s="10">
        <f>'Calc - research target (12m)'!E36</f>
        <v/>
      </c>
    </row>
    <row r="23">
      <c r="A23" t="inlineStr">
        <is>
          <t>PV of free cash flow after the target date</t>
        </is>
      </c>
      <c r="B23" s="10">
        <f>'Calc - research target (12m)'!B42</f>
        <v/>
      </c>
    </row>
    <row r="24">
      <c r="A24" t="inlineStr">
        <is>
          <t>Terminal value (final year)</t>
        </is>
      </c>
      <c r="B24" s="10">
        <f>'Calc - research target (12m)'!B43</f>
        <v/>
      </c>
    </row>
    <row r="25">
      <c r="A25" t="inlineStr">
        <is>
          <t>PV of terminal value</t>
        </is>
      </c>
      <c r="B25" s="10">
        <f>'Calc - research target (12m)'!B44</f>
        <v/>
      </c>
    </row>
    <row r="26">
      <c r="A26" t="inlineStr">
        <is>
          <t>Enterprise value at target date</t>
        </is>
      </c>
      <c r="B26" s="10">
        <f>'Calc - research target (12m)'!B45</f>
        <v/>
      </c>
    </row>
    <row r="27">
      <c r="A27" t="inlineStr">
        <is>
          <t>Terminal value share of DCF</t>
        </is>
      </c>
      <c r="B27" s="12">
        <f>'Calc - research target (12m)'!B46</f>
        <v/>
      </c>
    </row>
    <row r="28">
      <c r="A28" t="inlineStr">
        <is>
          <t>Net debt at target date</t>
        </is>
      </c>
      <c r="B28" s="10">
        <f>'Calc - research target (12m)'!B50</f>
        <v/>
      </c>
    </row>
    <row r="29">
      <c r="A29" t="inlineStr">
        <is>
          <t>Minority interests</t>
        </is>
      </c>
      <c r="B29" s="10">
        <f>'Calc - research target (12m)'!B51</f>
        <v/>
      </c>
    </row>
    <row r="30">
      <c r="A30" t="inlineStr">
        <is>
          <t>Adjustments</t>
        </is>
      </c>
      <c r="B30" s="10">
        <f>'Calc - research target (12m)'!B52</f>
        <v/>
      </c>
    </row>
    <row r="31">
      <c r="A31" t="inlineStr">
        <is>
          <t>Diluted shares at target date (M)</t>
        </is>
      </c>
      <c r="B31" s="36">
        <f>'Calc - research target (12m)'!B53</f>
        <v/>
      </c>
    </row>
    <row r="32">
      <c r="A32" t="inlineStr">
        <is>
          <t>DCF value per share</t>
        </is>
      </c>
      <c r="B32" s="4">
        <f>'Calc - research target (12m)'!F67</f>
        <v/>
      </c>
    </row>
    <row r="33">
      <c r="A33" t="inlineStr">
        <is>
          <t>WACC</t>
        </is>
      </c>
      <c r="B33" s="12">
        <f>'Calc - research target (12m)'!B12</f>
        <v/>
      </c>
    </row>
    <row r="43">
      <c r="A43" s="23" t="inlineStr">
        <is>
          <t>Assumptions (blue = input; sources on the Sources tab)</t>
        </is>
      </c>
      <c r="B43" s="24" t="n"/>
      <c r="C43" s="24" t="n"/>
      <c r="D43" s="24" t="n"/>
      <c r="E43" s="24" t="n"/>
      <c r="F43" s="24" t="n"/>
      <c r="G43" s="24" t="n"/>
      <c r="H43" s="24" t="n"/>
      <c r="I43" s="24" t="n"/>
    </row>
    <row r="44">
      <c r="A44" s="3" t="inlineStr">
        <is>
          <t>Input</t>
        </is>
      </c>
      <c r="B44" s="3" t="inlineStr">
        <is>
          <t>Value</t>
        </is>
      </c>
      <c r="C44" s="3" t="inlineStr">
        <is>
          <t>Basis / note</t>
        </is>
      </c>
    </row>
    <row r="45">
      <c r="A45" t="inlineStr">
        <is>
          <t>Run date (valuation as of)</t>
        </is>
      </c>
      <c r="B45" s="37" t="n">
        <v>46318</v>
      </c>
      <c r="C45" t="inlineStr"/>
    </row>
    <row r="46">
      <c r="A46" t="inlineStr">
        <is>
          <t>Target date (run date + 365 days)</t>
        </is>
      </c>
      <c r="B46" s="22">
        <f>B45+365</f>
        <v/>
      </c>
      <c r="C46" t="inlineStr">
        <is>
          <t>12-month horizon</t>
        </is>
      </c>
    </row>
    <row r="47">
      <c r="A47" t="inlineStr">
        <is>
          <t>Money unit</t>
        </is>
      </c>
      <c r="B47" s="38" t="inlineStr">
        <is>
          <t>$M</t>
        </is>
      </c>
      <c r="C47" t="inlineStr"/>
    </row>
    <row r="48">
      <c r="A48" t="inlineStr">
        <is>
          <t>EBIT basis (gaap / adjusted)</t>
        </is>
      </c>
      <c r="B48" s="38" t="inlineStr">
        <is>
          <t>gaap</t>
        </is>
      </c>
      <c r="C48" t="inlineStr">
        <is>
          <t>gaap = after stock comp</t>
        </is>
      </c>
    </row>
    <row r="49">
      <c r="A49" t="inlineStr">
        <is>
          <t>Stock comp treatment (cost / dilution)</t>
        </is>
      </c>
      <c r="B49" s="38" t="inlineStr">
        <is>
          <t>cost</t>
        </is>
      </c>
      <c r="C49" t="inlineStr">
        <is>
          <t>used only when EBIT is adjusted</t>
        </is>
      </c>
    </row>
    <row r="50">
      <c r="A50" t="inlineStr">
        <is>
          <t>Last reported fiscal year end</t>
        </is>
      </c>
      <c r="B50" s="37" t="n">
        <v>46022</v>
      </c>
      <c r="C50" t="inlineStr"/>
    </row>
    <row r="51">
      <c r="A51" t="inlineStr">
        <is>
          <t>Net sales, last reported year ($M)</t>
        </is>
      </c>
      <c r="B51" s="28" t="n">
        <v>2024</v>
      </c>
      <c r="C51" t="inlineStr"/>
    </row>
    <row r="52">
      <c r="A52" t="inlineStr">
        <is>
          <t>WACC</t>
        </is>
      </c>
      <c r="B52" s="26" t="n">
        <v>0.1</v>
      </c>
      <c r="C52" t="inlineStr">
        <is>
          <t>not used: no DCF leg (Kilian 2026-10-21); a placeholder so the DCF block still computes</t>
        </is>
      </c>
    </row>
    <row r="53">
      <c r="A53" t="inlineStr">
        <is>
          <t>Terminal method (gordon / exit_multiple / steady_state)</t>
        </is>
      </c>
      <c r="B53" s="38" t="inlineStr">
        <is>
          <t>gordon</t>
        </is>
      </c>
      <c r="C53" t="inlineStr"/>
    </row>
    <row r="54">
      <c r="A54" t="inlineStr">
        <is>
          <t>Terminal growth</t>
        </is>
      </c>
      <c r="B54" s="26" t="n">
        <v>0.02</v>
      </c>
      <c r="C54" t="inlineStr"/>
    </row>
    <row r="55">
      <c r="A55" t="inlineStr">
        <is>
          <t>Exit EV/EBITDA (exit_multiple only)</t>
        </is>
      </c>
      <c r="B55" s="39" t="n"/>
      <c r="C55" t="inlineStr"/>
    </row>
    <row r="56">
      <c r="A56" t="inlineStr">
        <is>
          <t>Balance-sheet date</t>
        </is>
      </c>
      <c r="B56" s="37" t="n">
        <v>46295</v>
      </c>
      <c r="C56" t="inlineStr"/>
    </row>
    <row r="57">
      <c r="A57" t="inlineStr">
        <is>
          <t>Net debt / (net cash) at balance date ($M)</t>
        </is>
      </c>
      <c r="B57" s="28" t="n">
        <v>16.2</v>
      </c>
      <c r="C57" t="inlineStr">
        <is>
          <t>excludes operating leases</t>
        </is>
      </c>
    </row>
    <row r="58">
      <c r="A58" t="inlineStr">
        <is>
          <t>Minority interests + preferred stock</t>
        </is>
      </c>
      <c r="B58" s="28" t="n">
        <v>0</v>
      </c>
      <c r="C58" t="inlineStr"/>
    </row>
    <row r="59">
      <c r="A59" t="inlineStr">
        <is>
          <t>Interest rate on net debt / cash</t>
        </is>
      </c>
      <c r="B59" s="26" t="n">
        <v>0</v>
      </c>
      <c r="C59" t="inlineStr"/>
    </row>
    <row r="60">
      <c r="A60" t="inlineStr">
        <is>
          <t>Net debt at target date (override; blank = bridge)</t>
        </is>
      </c>
      <c r="B60" s="28" t="n"/>
      <c r="C60" t="inlineStr"/>
    </row>
    <row r="61">
      <c r="A61" t="inlineStr">
        <is>
          <t>Diluted shares (M)</t>
        </is>
      </c>
      <c r="B61" s="40" t="n">
        <v>312.4</v>
      </c>
      <c r="C61" t="inlineStr"/>
    </row>
    <row r="62">
      <c r="A62" t="inlineStr">
        <is>
          <t>Share count date</t>
        </is>
      </c>
      <c r="B62" s="37" t="n">
        <v>46314</v>
      </c>
      <c r="C62" t="inlineStr"/>
    </row>
    <row r="63">
      <c r="A63" t="inlineStr">
        <is>
          <t>Annual change in diluted shares</t>
        </is>
      </c>
      <c r="B63" s="26" t="n">
        <v>0.015</v>
      </c>
      <c r="C63" t="inlineStr">
        <is>
          <t>net of buybacks and stock-comp dilution</t>
        </is>
      </c>
    </row>
    <row r="64">
      <c r="A64" t="inlineStr">
        <is>
          <t>Shares at target date (override; blank = from annual change)</t>
        </is>
      </c>
      <c r="B64" s="40" t="n"/>
      <c r="C64" t="inlineStr"/>
    </row>
    <row r="65">
      <c r="A65" t="inlineStr">
        <is>
          <t>DCF weight</t>
        </is>
      </c>
      <c r="B65" s="26" t="n">
        <v>0</v>
      </c>
      <c r="C65" t="inlineStr">
        <is>
          <t>Kilian 2026-10-21: 0 unless the name has a DCF leg (dcf_policy)</t>
        </is>
      </c>
    </row>
    <row r="66">
      <c r="A66" t="inlineStr">
        <is>
          <t>Sum-of-the-parts weight</t>
        </is>
      </c>
      <c r="B66" s="26" t="n">
        <v>0</v>
      </c>
      <c r="C66" t="inlineStr"/>
    </row>
    <row r="67">
      <c r="A67" t="inlineStr">
        <is>
          <t>Spread within each scenario (lognormal vol)</t>
        </is>
      </c>
      <c r="B67" s="26" t="n">
        <v>0.25</v>
      </c>
      <c r="C67" t="inlineStr"/>
    </row>
    <row r="68">
      <c r="A68" t="inlineStr">
        <is>
          <t>Share price at the run</t>
        </is>
      </c>
      <c r="B68" s="41" t="n">
        <v>193.3</v>
      </c>
      <c r="C68" t="inlineStr">
        <is>
          <t>close used by the run (2026-10-23)</t>
        </is>
      </c>
    </row>
    <row r="70">
      <c r="A70" s="3" t="inlineStr">
        <is>
          <t>Target multiple</t>
        </is>
      </c>
      <c r="B70" s="3" t="inlineStr">
        <is>
          <t>Multiple</t>
        </is>
      </c>
      <c r="C70" s="3" t="inlineStr">
        <is>
          <t>Weight</t>
        </is>
      </c>
      <c r="D70" s="3" t="inlineStr">
        <is>
          <t>Basis (ntm / ltm)</t>
        </is>
      </c>
      <c r="E70" s="3" t="inlineStr">
        <is>
          <t>EBITDA basis</t>
        </is>
      </c>
      <c r="F70" s="3" t="inlineStr">
        <is>
          <t>Stated EPS</t>
        </is>
      </c>
      <c r="G70" s="3" t="inlineStr">
        <is>
          <t>Stated FCF/share</t>
        </is>
      </c>
      <c r="H70" s="3" t="inlineStr">
        <is>
          <t>Levered</t>
        </is>
      </c>
      <c r="I70" s="3" t="inlineStr">
        <is>
          <t>Peer basis</t>
        </is>
      </c>
    </row>
    <row r="71">
      <c r="A71" s="38" t="inlineStr">
        <is>
          <t>P/E</t>
        </is>
      </c>
      <c r="B71" s="39" t="n">
        <v>40</v>
      </c>
      <c r="C71" s="26" t="n">
        <v>0.6</v>
      </c>
      <c r="D71" s="38" t="inlineStr">
        <is>
          <t>ntm</t>
        </is>
      </c>
      <c r="E71" s="38" t="inlineStr">
        <is>
          <t>gaap</t>
        </is>
      </c>
      <c r="F71" s="42" t="n"/>
      <c r="G71" s="42" t="n"/>
      <c r="H71" s="38" t="b">
        <v>1</v>
      </c>
      <c r="I71" t="inlineStr">
        <is>
          <t>Whole-company peers GAAP P/E TTM median 39.9x (GEV 22.8, VRT 43.2, ETN 37.1, GNRC 42.7; src 23). 40x NTM GAAP at the horizon = peer trailing median for ~25-35% FY2029 growth vs peers ~10-20%. The agents' median ~40x sits on non-GAAP earnings, which is ~46x GAAP (40 / 0.87, SBC gap ~13%), so 40x GAAP is ~13% below the agents' multiple. Decided by Kilian 2026-10-26 (40x GAAP, with EV/sales 5.5x).</t>
        </is>
      </c>
    </row>
    <row r="72">
      <c r="A72" s="38" t="inlineStr">
        <is>
          <t>EV/EBITDA</t>
        </is>
      </c>
      <c r="B72" s="39" t="n">
        <v>26</v>
      </c>
      <c r="C72" s="26" t="n">
        <v>0.2</v>
      </c>
      <c r="D72" s="38" t="inlineStr">
        <is>
          <t>ntm</t>
        </is>
      </c>
      <c r="E72" s="38" t="inlineStr">
        <is>
          <t>gaap</t>
        </is>
      </c>
      <c r="F72" s="42" t="n"/>
      <c r="G72" s="42" t="n"/>
      <c r="H72" s="38" t="b">
        <v>1</v>
      </c>
      <c r="I72" t="inlineStr">
        <is>
          <t>Peer EV/EBITDA TTM: VRT 29.3x, GNRC 18.9x (median 24.1x; GEV, ETN and CAT not computable from their tags; CMI not built this run, src 23). 26x = +2x for growth.</t>
        </is>
      </c>
    </row>
    <row r="73">
      <c r="A73" s="38" t="inlineStr">
        <is>
          <t>EV/sales</t>
        </is>
      </c>
      <c r="B73" s="39" t="n">
        <v>5.5</v>
      </c>
      <c r="C73" s="26" t="n">
        <v>0.2</v>
      </c>
      <c r="D73" s="38" t="inlineStr">
        <is>
          <t>ntm</t>
        </is>
      </c>
      <c r="E73" s="38" t="inlineStr">
        <is>
          <t>gaap</t>
        </is>
      </c>
      <c r="F73" s="42" t="n"/>
      <c r="G73" s="42" t="n"/>
      <c r="H73" s="38" t="b">
        <v>1</v>
      </c>
      <c r="I73" t="inlineStr">
        <is>
          <t>Peer EV/sales TTM median 5.2x (GEV 5.0, VRT 6.5, ETN 5.4, GNRC 2.7; src 23). 5.5x on a ~24% EBITDA margin; agents used 7.5-10x (median 8x) on 2028 revenue, which at that margin is ~33x EBITDA, above every peer. Decided by Kilian 2026-10-26.</t>
        </is>
      </c>
    </row>
    <row r="75">
      <c r="A75" s="3" t="inlineStr">
        <is>
          <t>Segment (sum of the parts)</t>
        </is>
      </c>
      <c r="B75" s="3" t="inlineStr">
        <is>
          <t>NTM metric</t>
        </is>
      </c>
      <c r="C75" s="3" t="inlineStr">
        <is>
          <t>Metric</t>
        </is>
      </c>
      <c r="D75" s="3" t="inlineStr">
        <is>
          <t>Multiple</t>
        </is>
      </c>
      <c r="E75" s="3" t="inlineStr">
        <is>
          <t>Note</t>
        </is>
      </c>
    </row>
    <row r="76">
      <c r="A76" s="11" t="inlineStr">
        <is>
          <t>none</t>
        </is>
      </c>
    </row>
    <row r="78">
      <c r="A78" s="3" t="inlineStr">
        <is>
          <t>Adjustment (equity level)</t>
        </is>
      </c>
      <c r="B78" s="3" t="inlineStr">
        <is>
          <t>Value</t>
        </is>
      </c>
      <c r="C78" s="3" t="inlineStr">
        <is>
          <t>Probability</t>
        </is>
      </c>
      <c r="D78" s="3" t="inlineStr">
        <is>
          <t>Note</t>
        </is>
      </c>
    </row>
    <row r="79">
      <c r="A79" s="11" t="inlineStr">
        <is>
          <t>none</t>
        </is>
      </c>
    </row>
    <row r="81">
      <c r="A81" s="3" t="inlineStr">
        <is>
          <t>Custom method</t>
        </is>
      </c>
      <c r="B81" s="3" t="inlineStr">
        <is>
          <t>Value per share</t>
        </is>
      </c>
      <c r="C81" s="3" t="inlineStr">
        <is>
          <t>Weight</t>
        </is>
      </c>
      <c r="D81" s="3" t="inlineStr">
        <is>
          <t>Explanation</t>
        </is>
      </c>
    </row>
    <row r="82">
      <c r="A82" s="11" t="inlineStr">
        <is>
          <t>none</t>
        </is>
      </c>
    </row>
    <row r="84">
      <c r="A84" s="3" t="inlineStr">
        <is>
          <t>Scenario</t>
        </is>
      </c>
      <c r="B84" s="3" t="inlineStr">
        <is>
          <t>Probability</t>
        </is>
      </c>
      <c r="C84" s="3" t="inlineStr">
        <is>
          <t>Growth Δ</t>
        </is>
      </c>
      <c r="D84" s="3" t="inlineStr">
        <is>
          <t>Margin Δ</t>
        </is>
      </c>
      <c r="E84" s="3" t="inlineStr">
        <is>
          <t>Multiple Δ (turns)</t>
        </is>
      </c>
      <c r="F84" s="3" t="inlineStr">
        <is>
          <t>WACC Δ</t>
        </is>
      </c>
      <c r="G84" s="3" t="inlineStr">
        <is>
          <t>Multiple %Δ (FCF yield, segments)</t>
        </is>
      </c>
      <c r="H84" s="3" t="inlineStr">
        <is>
          <t>Stated EPS/FCF %Δ</t>
        </is>
      </c>
      <c r="I84" s="3" t="inlineStr">
        <is>
          <t>Custom methods %Δ</t>
        </is>
      </c>
      <c r="J84" s="3" t="inlineStr">
        <is>
          <t>Story</t>
        </is>
      </c>
    </row>
    <row r="85">
      <c r="A85" t="inlineStr">
        <is>
          <t>bear</t>
        </is>
      </c>
      <c r="B85" s="26" t="n">
        <v>0.25</v>
      </c>
      <c r="C85" s="26" t="n"/>
      <c r="D85" s="26" t="n"/>
      <c r="E85" s="43" t="n">
        <v>-8</v>
      </c>
      <c r="F85" s="26" t="n"/>
      <c r="G85" s="26" t="n"/>
      <c r="H85" s="26" t="n"/>
      <c r="I85" s="26" t="n"/>
      <c r="J85" s="44" t="inlineStr">
        <is>
          <t>Agents' bear (probabilities 0.30/0.25/0.26/0.25/0.23, median 0.25): Jupiter slips into 2028 (FERC Dec 3 decision on the rerouted Green Chile lateral, NM air permit) without redeployment, AI-capex digestion, FY2027 guide well below ~$6.8B; scandium/degradation claims raise service cost. Driver form: product_gw -25% (FY2027 1.35 GW, FY2028 1.9 GW), product_gm -3pt; P/E ~32x (agents 25-35x).</t>
        </is>
      </c>
      <c r="K85" s="44" t="inlineStr">
        <is>
          <t>driver deltas: product_gw -0.25 %; product_gm -0.03</t>
        </is>
      </c>
    </row>
    <row r="86">
      <c r="A86" t="inlineStr">
        <is>
          <t>base</t>
        </is>
      </c>
      <c r="B86" s="26" t="n">
        <v>0.5</v>
      </c>
      <c r="C86" s="26" t="n"/>
      <c r="D86" s="26" t="n"/>
      <c r="E86" s="43" t="n"/>
      <c r="F86" s="26" t="n"/>
      <c r="G86" s="26" t="n"/>
      <c r="H86" s="26" t="n"/>
      <c r="I86" s="26" t="n"/>
      <c r="J86" s="44" t="inlineStr">
        <is>
          <t>Drivers as set: 1.24 / 1.80 / 2.50 GW at $3,195-3,250/kW, product GM 37-37.5%, capacity 2 GW end-2026 and 3 GW during 2027; revenue $4.52B / $6.55B / $8.97B. Research target (12m) $185.84.</t>
        </is>
      </c>
    </row>
    <row r="87">
      <c r="A87" t="inlineStr">
        <is>
          <t>bull</t>
        </is>
      </c>
      <c r="B87" s="26" t="n">
        <v>0.25</v>
      </c>
      <c r="C87" s="26" t="n"/>
      <c r="D87" s="26" t="n"/>
      <c r="E87" s="43" t="n">
        <v>8</v>
      </c>
      <c r="F87" s="26" t="n"/>
      <c r="G87" s="26" t="n"/>
      <c r="H87" s="26" t="n"/>
      <c r="I87" s="26" t="n"/>
      <c r="J87" s="44" t="inlineStr">
        <is>
          <t>Agents' bull (0.25 each): Jupiter permit on time, the rest of Oracle's 2.8 GW plus Brookfield/AEP/Aligned awards convert, capacity to 3-4 GW, EPS toward $9-10 on 2028. Driver form: product_gw +20% (FY2028 3.0 GW), product_gm +1pt; P/E ~48x (agents 45-60x).</t>
        </is>
      </c>
      <c r="K87" s="44" t="inlineStr">
        <is>
          <t>driver deltas: product_gw +0.2 %; product_gm +0.01</t>
        </is>
      </c>
    </row>
    <row r="89">
      <c r="A89" s="3" t="inlineStr">
        <is>
          <t>Segment build (segment_build)</t>
        </is>
      </c>
      <c r="B89" s="3" t="inlineStr">
        <is>
          <t>Base revenue ($M)</t>
        </is>
      </c>
      <c r="C89" s="3" t="inlineStr">
        <is>
          <t>Driver note (growth and EBIT margin by year: Model tab)</t>
        </is>
      </c>
    </row>
    <row r="90">
      <c r="A90" t="inlineStr">
        <is>
          <t>Product</t>
        </is>
      </c>
      <c r="B90" s="28" t="n">
        <v>1531.3</v>
      </c>
      <c r="C90" t="inlineStr">
        <is>
          <t>product_gw x product_asp; EBIT = gross profit at product_gm less all operating expenses (opex)</t>
        </is>
      </c>
    </row>
    <row r="91">
      <c r="A91" t="inlineStr">
        <is>
          <t>Installation, service and electricity</t>
        </is>
      </c>
      <c r="B91" s="28" t="n">
        <v>492.7</v>
      </c>
      <c r="C91" t="inlineStr">
        <is>
          <t>plain segment: installation 204.1 + service 228.3 + electricity 60.35 (FY2025, src 17); grows with the fleet and large-site installation; EBIT = gross margin (no opex allocated)</t>
        </is>
      </c>
    </row>
    <row r="92">
      <c r="A92" s="21" t="inlineStr">
        <is>
          <t>Sum of segment base revenues</t>
        </is>
      </c>
      <c r="B92" s="27">
        <f>SUM(B90:B91)</f>
        <v/>
      </c>
      <c r="C92">
        <f>IF(ABS(B92/Valuation!$B$51-1)&lt;=0.02,"ties to the last reported net sales (within 2%)","FLAG: does not tie to the last reported net sales")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0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>
      <c r="A1" s="1" t="inlineStr">
        <is>
          <t>BE: sensitivity tables (bold = current inputs; every cell recalculates from the live model)</t>
        </is>
      </c>
    </row>
    <row r="3">
      <c r="A3" s="21" t="inlineStr">
        <is>
          <t>DCF value per share: WACC (down) x terminal growth (across)</t>
        </is>
      </c>
    </row>
    <row r="4">
      <c r="A4" s="21" t="inlineStr">
        <is>
          <t>WACC \ growth</t>
        </is>
      </c>
      <c r="B4" s="7">
        <f>Valuation!$B$54+(-0.01)</f>
        <v/>
      </c>
      <c r="C4" s="7">
        <f>Valuation!$B$54+(-0.005)</f>
        <v/>
      </c>
      <c r="D4" s="7">
        <f>Valuation!$B$54+(0)</f>
        <v/>
      </c>
      <c r="E4" s="7">
        <f>Valuation!$B$54+(0.005)</f>
        <v/>
      </c>
      <c r="F4" s="7">
        <f>Valuation!$B$54+(0.01)</f>
        <v/>
      </c>
    </row>
    <row r="5">
      <c r="A5" s="7">
        <f>Valuation!$B$52+(-0.01)</f>
        <v/>
      </c>
      <c r="B5" s="9">
        <f>IF($A5-B$4&lt;=0.01,"n/a",((SUMPRODUCT('Calc - research target (12m)'!$C$31:$E$31,'Calc - research target (12m)'!$C$35:$E$35,(1+$A5)^(-('Calc - research target (12m)'!$C$19:$E$19-'Calc - research target (12m)'!$B$13)))+'Calc - research target (12m)'!$E$31*(1+B$4)/($A5-B$4)/(1+$A5)^('Calc - research target (12m)'!$B$16-'Calc - research target (12m)'!$B$13))-'Calc - research target (12m)'!$B$50-'Calc - research target (12m)'!$B$51+'Calc - research target (12m)'!$B$52)/'Calc - research target (12m)'!$B$53)</f>
        <v/>
      </c>
      <c r="C5" s="9">
        <f>IF($A5-C$4&lt;=0.01,"n/a",((SUMPRODUCT('Calc - research target (12m)'!$C$31:$E$31,'Calc - research target (12m)'!$C$35:$E$35,(1+$A5)^(-('Calc - research target (12m)'!$C$19:$E$19-'Calc - research target (12m)'!$B$13)))+'Calc - research target (12m)'!$E$31*(1+C$4)/($A5-C$4)/(1+$A5)^('Calc - research target (12m)'!$B$16-'Calc - research target (12m)'!$B$13))-'Calc - research target (12m)'!$B$50-'Calc - research target (12m)'!$B$51+'Calc - research target (12m)'!$B$52)/'Calc - research target (12m)'!$B$53)</f>
        <v/>
      </c>
      <c r="D5" s="9">
        <f>IF($A5-D$4&lt;=0.01,"n/a",((SUMPRODUCT('Calc - research target (12m)'!$C$31:$E$31,'Calc - research target (12m)'!$C$35:$E$35,(1+$A5)^(-('Calc - research target (12m)'!$C$19:$E$19-'Calc - research target (12m)'!$B$13)))+'Calc - research target (12m)'!$E$31*(1+D$4)/($A5-D$4)/(1+$A5)^('Calc - research target (12m)'!$B$16-'Calc - research target (12m)'!$B$13))-'Calc - research target (12m)'!$B$50-'Calc - research target (12m)'!$B$51+'Calc - research target (12m)'!$B$52)/'Calc - research target (12m)'!$B$53)</f>
        <v/>
      </c>
      <c r="E5" s="9">
        <f>IF($A5-E$4&lt;=0.01,"n/a",((SUMPRODUCT('Calc - research target (12m)'!$C$31:$E$31,'Calc - research target (12m)'!$C$35:$E$35,(1+$A5)^(-('Calc - research target (12m)'!$C$19:$E$19-'Calc - research target (12m)'!$B$13)))+'Calc - research target (12m)'!$E$31*(1+E$4)/($A5-E$4)/(1+$A5)^('Calc - research target (12m)'!$B$16-'Calc - research target (12m)'!$B$13))-'Calc - research target (12m)'!$B$50-'Calc - research target (12m)'!$B$51+'Calc - research target (12m)'!$B$52)/'Calc - research target (12m)'!$B$53)</f>
        <v/>
      </c>
      <c r="F5" s="9">
        <f>IF($A5-F$4&lt;=0.01,"n/a",((SUMPRODUCT('Calc - research target (12m)'!$C$31:$E$31,'Calc - research target (12m)'!$C$35:$E$35,(1+$A5)^(-('Calc - research target (12m)'!$C$19:$E$19-'Calc - research target (12m)'!$B$13)))+'Calc - research target (12m)'!$E$31*(1+F$4)/($A5-F$4)/(1+$A5)^('Calc - research target (12m)'!$B$16-'Calc - research target (12m)'!$B$13))-'Calc - research target (12m)'!$B$50-'Calc - research target (12m)'!$B$51+'Calc - research target (12m)'!$B$52)/'Calc - research target (12m)'!$B$53)</f>
        <v/>
      </c>
    </row>
    <row r="6">
      <c r="A6" s="7">
        <f>Valuation!$B$52+(-0.005)</f>
        <v/>
      </c>
      <c r="B6" s="9">
        <f>IF($A6-B$4&lt;=0.01,"n/a",((SUMPRODUCT('Calc - research target (12m)'!$C$31:$E$31,'Calc - research target (12m)'!$C$35:$E$35,(1+$A6)^(-('Calc - research target (12m)'!$C$19:$E$19-'Calc - research target (12m)'!$B$13)))+'Calc - research target (12m)'!$E$31*(1+B$4)/($A6-B$4)/(1+$A6)^('Calc - research target (12m)'!$B$16-'Calc - research target (12m)'!$B$13))-'Calc - research target (12m)'!$B$50-'Calc - research target (12m)'!$B$51+'Calc - research target (12m)'!$B$52)/'Calc - research target (12m)'!$B$53)</f>
        <v/>
      </c>
      <c r="C6" s="9">
        <f>IF($A6-C$4&lt;=0.01,"n/a",((SUMPRODUCT('Calc - research target (12m)'!$C$31:$E$31,'Calc - research target (12m)'!$C$35:$E$35,(1+$A6)^(-('Calc - research target (12m)'!$C$19:$E$19-'Calc - research target (12m)'!$B$13)))+'Calc - research target (12m)'!$E$31*(1+C$4)/($A6-C$4)/(1+$A6)^('Calc - research target (12m)'!$B$16-'Calc - research target (12m)'!$B$13))-'Calc - research target (12m)'!$B$50-'Calc - research target (12m)'!$B$51+'Calc - research target (12m)'!$B$52)/'Calc - research target (12m)'!$B$53)</f>
        <v/>
      </c>
      <c r="D6" s="9">
        <f>IF($A6-D$4&lt;=0.01,"n/a",((SUMPRODUCT('Calc - research target (12m)'!$C$31:$E$31,'Calc - research target (12m)'!$C$35:$E$35,(1+$A6)^(-('Calc - research target (12m)'!$C$19:$E$19-'Calc - research target (12m)'!$B$13)))+'Calc - research target (12m)'!$E$31*(1+D$4)/($A6-D$4)/(1+$A6)^('Calc - research target (12m)'!$B$16-'Calc - research target (12m)'!$B$13))-'Calc - research target (12m)'!$B$50-'Calc - research target (12m)'!$B$51+'Calc - research target (12m)'!$B$52)/'Calc - research target (12m)'!$B$53)</f>
        <v/>
      </c>
      <c r="E6" s="9">
        <f>IF($A6-E$4&lt;=0.01,"n/a",((SUMPRODUCT('Calc - research target (12m)'!$C$31:$E$31,'Calc - research target (12m)'!$C$35:$E$35,(1+$A6)^(-('Calc - research target (12m)'!$C$19:$E$19-'Calc - research target (12m)'!$B$13)))+'Calc - research target (12m)'!$E$31*(1+E$4)/($A6-E$4)/(1+$A6)^('Calc - research target (12m)'!$B$16-'Calc - research target (12m)'!$B$13))-'Calc - research target (12m)'!$B$50-'Calc - research target (12m)'!$B$51+'Calc - research target (12m)'!$B$52)/'Calc - research target (12m)'!$B$53)</f>
        <v/>
      </c>
      <c r="F6" s="9">
        <f>IF($A6-F$4&lt;=0.01,"n/a",((SUMPRODUCT('Calc - research target (12m)'!$C$31:$E$31,'Calc - research target (12m)'!$C$35:$E$35,(1+$A6)^(-('Calc - research target (12m)'!$C$19:$E$19-'Calc - research target (12m)'!$B$13)))+'Calc - research target (12m)'!$E$31*(1+F$4)/($A6-F$4)/(1+$A6)^('Calc - research target (12m)'!$B$16-'Calc - research target (12m)'!$B$13))-'Calc - research target (12m)'!$B$50-'Calc - research target (12m)'!$B$51+'Calc - research target (12m)'!$B$52)/'Calc - research target (12m)'!$B$53)</f>
        <v/>
      </c>
    </row>
    <row r="7">
      <c r="A7" s="7">
        <f>Valuation!$B$52+(0)</f>
        <v/>
      </c>
      <c r="B7" s="9">
        <f>IF($A7-B$4&lt;=0.01,"n/a",((SUMPRODUCT('Calc - research target (12m)'!$C$31:$E$31,'Calc - research target (12m)'!$C$35:$E$35,(1+$A7)^(-('Calc - research target (12m)'!$C$19:$E$19-'Calc - research target (12m)'!$B$13)))+'Calc - research target (12m)'!$E$31*(1+B$4)/($A7-B$4)/(1+$A7)^('Calc - research target (12m)'!$B$16-'Calc - research target (12m)'!$B$13))-'Calc - research target (12m)'!$B$50-'Calc - research target (12m)'!$B$51+'Calc - research target (12m)'!$B$52)/'Calc - research target (12m)'!$B$53)</f>
        <v/>
      </c>
      <c r="C7" s="9">
        <f>IF($A7-C$4&lt;=0.01,"n/a",((SUMPRODUCT('Calc - research target (12m)'!$C$31:$E$31,'Calc - research target (12m)'!$C$35:$E$35,(1+$A7)^(-('Calc - research target (12m)'!$C$19:$E$19-'Calc - research target (12m)'!$B$13)))+'Calc - research target (12m)'!$E$31*(1+C$4)/($A7-C$4)/(1+$A7)^('Calc - research target (12m)'!$B$16-'Calc - research target (12m)'!$B$13))-'Calc - research target (12m)'!$B$50-'Calc - research target (12m)'!$B$51+'Calc - research target (12m)'!$B$52)/'Calc - research target (12m)'!$B$53)</f>
        <v/>
      </c>
      <c r="D7" s="6">
        <f>IF($A7-D$4&lt;=0.01,"n/a",((SUMPRODUCT('Calc - research target (12m)'!$C$31:$E$31,'Calc - research target (12m)'!$C$35:$E$35,(1+$A7)^(-('Calc - research target (12m)'!$C$19:$E$19-'Calc - research target (12m)'!$B$13)))+'Calc - research target (12m)'!$E$31*(1+D$4)/($A7-D$4)/(1+$A7)^('Calc - research target (12m)'!$B$16-'Calc - research target (12m)'!$B$13))-'Calc - research target (12m)'!$B$50-'Calc - research target (12m)'!$B$51+'Calc - research target (12m)'!$B$52)/'Calc - research target (12m)'!$B$53)</f>
        <v/>
      </c>
      <c r="E7" s="9">
        <f>IF($A7-E$4&lt;=0.01,"n/a",((SUMPRODUCT('Calc - research target (12m)'!$C$31:$E$31,'Calc - research target (12m)'!$C$35:$E$35,(1+$A7)^(-('Calc - research target (12m)'!$C$19:$E$19-'Calc - research target (12m)'!$B$13)))+'Calc - research target (12m)'!$E$31*(1+E$4)/($A7-E$4)/(1+$A7)^('Calc - research target (12m)'!$B$16-'Calc - research target (12m)'!$B$13))-'Calc - research target (12m)'!$B$50-'Calc - research target (12m)'!$B$51+'Calc - research target (12m)'!$B$52)/'Calc - research target (12m)'!$B$53)</f>
        <v/>
      </c>
      <c r="F7" s="9">
        <f>IF($A7-F$4&lt;=0.01,"n/a",((SUMPRODUCT('Calc - research target (12m)'!$C$31:$E$31,'Calc - research target (12m)'!$C$35:$E$35,(1+$A7)^(-('Calc - research target (12m)'!$C$19:$E$19-'Calc - research target (12m)'!$B$13)))+'Calc - research target (12m)'!$E$31*(1+F$4)/($A7-F$4)/(1+$A7)^('Calc - research target (12m)'!$B$16-'Calc - research target (12m)'!$B$13))-'Calc - research target (12m)'!$B$50-'Calc - research target (12m)'!$B$51+'Calc - research target (12m)'!$B$52)/'Calc - research target (12m)'!$B$53)</f>
        <v/>
      </c>
    </row>
    <row r="8">
      <c r="A8" s="7">
        <f>Valuation!$B$52+(0.005)</f>
        <v/>
      </c>
      <c r="B8" s="9">
        <f>IF($A8-B$4&lt;=0.01,"n/a",((SUMPRODUCT('Calc - research target (12m)'!$C$31:$E$31,'Calc - research target (12m)'!$C$35:$E$35,(1+$A8)^(-('Calc - research target (12m)'!$C$19:$E$19-'Calc - research target (12m)'!$B$13)))+'Calc - research target (12m)'!$E$31*(1+B$4)/($A8-B$4)/(1+$A8)^('Calc - research target (12m)'!$B$16-'Calc - research target (12m)'!$B$13))-'Calc - research target (12m)'!$B$50-'Calc - research target (12m)'!$B$51+'Calc - research target (12m)'!$B$52)/'Calc - research target (12m)'!$B$53)</f>
        <v/>
      </c>
      <c r="C8" s="9">
        <f>IF($A8-C$4&lt;=0.01,"n/a",((SUMPRODUCT('Calc - research target (12m)'!$C$31:$E$31,'Calc - research target (12m)'!$C$35:$E$35,(1+$A8)^(-('Calc - research target (12m)'!$C$19:$E$19-'Calc - research target (12m)'!$B$13)))+'Calc - research target (12m)'!$E$31*(1+C$4)/($A8-C$4)/(1+$A8)^('Calc - research target (12m)'!$B$16-'Calc - research target (12m)'!$B$13))-'Calc - research target (12m)'!$B$50-'Calc - research target (12m)'!$B$51+'Calc - research target (12m)'!$B$52)/'Calc - research target (12m)'!$B$53)</f>
        <v/>
      </c>
      <c r="D8" s="9">
        <f>IF($A8-D$4&lt;=0.01,"n/a",((SUMPRODUCT('Calc - research target (12m)'!$C$31:$E$31,'Calc - research target (12m)'!$C$35:$E$35,(1+$A8)^(-('Calc - research target (12m)'!$C$19:$E$19-'Calc - research target (12m)'!$B$13)))+'Calc - research target (12m)'!$E$31*(1+D$4)/($A8-D$4)/(1+$A8)^('Calc - research target (12m)'!$B$16-'Calc - research target (12m)'!$B$13))-'Calc - research target (12m)'!$B$50-'Calc - research target (12m)'!$B$51+'Calc - research target (12m)'!$B$52)/'Calc - research target (12m)'!$B$53)</f>
        <v/>
      </c>
      <c r="E8" s="9">
        <f>IF($A8-E$4&lt;=0.01,"n/a",((SUMPRODUCT('Calc - research target (12m)'!$C$31:$E$31,'Calc - research target (12m)'!$C$35:$E$35,(1+$A8)^(-('Calc - research target (12m)'!$C$19:$E$19-'Calc - research target (12m)'!$B$13)))+'Calc - research target (12m)'!$E$31*(1+E$4)/($A8-E$4)/(1+$A8)^('Calc - research target (12m)'!$B$16-'Calc - research target (12m)'!$B$13))-'Calc - research target (12m)'!$B$50-'Calc - research target (12m)'!$B$51+'Calc - research target (12m)'!$B$52)/'Calc - research target (12m)'!$B$53)</f>
        <v/>
      </c>
      <c r="F8" s="9">
        <f>IF($A8-F$4&lt;=0.01,"n/a",((SUMPRODUCT('Calc - research target (12m)'!$C$31:$E$31,'Calc - research target (12m)'!$C$35:$E$35,(1+$A8)^(-('Calc - research target (12m)'!$C$19:$E$19-'Calc - research target (12m)'!$B$13)))+'Calc - research target (12m)'!$E$31*(1+F$4)/($A8-F$4)/(1+$A8)^('Calc - research target (12m)'!$B$16-'Calc - research target (12m)'!$B$13))-'Calc - research target (12m)'!$B$50-'Calc - research target (12m)'!$B$51+'Calc - research target (12m)'!$B$52)/'Calc - research target (12m)'!$B$53)</f>
        <v/>
      </c>
    </row>
    <row r="9">
      <c r="A9" s="7">
        <f>Valuation!$B$52+(0.01)</f>
        <v/>
      </c>
      <c r="B9" s="9">
        <f>IF($A9-B$4&lt;=0.01,"n/a",((SUMPRODUCT('Calc - research target (12m)'!$C$31:$E$31,'Calc - research target (12m)'!$C$35:$E$35,(1+$A9)^(-('Calc - research target (12m)'!$C$19:$E$19-'Calc - research target (12m)'!$B$13)))+'Calc - research target (12m)'!$E$31*(1+B$4)/($A9-B$4)/(1+$A9)^('Calc - research target (12m)'!$B$16-'Calc - research target (12m)'!$B$13))-'Calc - research target (12m)'!$B$50-'Calc - research target (12m)'!$B$51+'Calc - research target (12m)'!$B$52)/'Calc - research target (12m)'!$B$53)</f>
        <v/>
      </c>
      <c r="C9" s="9">
        <f>IF($A9-C$4&lt;=0.01,"n/a",((SUMPRODUCT('Calc - research target (12m)'!$C$31:$E$31,'Calc - research target (12m)'!$C$35:$E$35,(1+$A9)^(-('Calc - research target (12m)'!$C$19:$E$19-'Calc - research target (12m)'!$B$13)))+'Calc - research target (12m)'!$E$31*(1+C$4)/($A9-C$4)/(1+$A9)^('Calc - research target (12m)'!$B$16-'Calc - research target (12m)'!$B$13))-'Calc - research target (12m)'!$B$50-'Calc - research target (12m)'!$B$51+'Calc - research target (12m)'!$B$52)/'Calc - research target (12m)'!$B$53)</f>
        <v/>
      </c>
      <c r="D9" s="9">
        <f>IF($A9-D$4&lt;=0.01,"n/a",((SUMPRODUCT('Calc - research target (12m)'!$C$31:$E$31,'Calc - research target (12m)'!$C$35:$E$35,(1+$A9)^(-('Calc - research target (12m)'!$C$19:$E$19-'Calc - research target (12m)'!$B$13)))+'Calc - research target (12m)'!$E$31*(1+D$4)/($A9-D$4)/(1+$A9)^('Calc - research target (12m)'!$B$16-'Calc - research target (12m)'!$B$13))-'Calc - research target (12m)'!$B$50-'Calc - research target (12m)'!$B$51+'Calc - research target (12m)'!$B$52)/'Calc - research target (12m)'!$B$53)</f>
        <v/>
      </c>
      <c r="E9" s="9">
        <f>IF($A9-E$4&lt;=0.01,"n/a",((SUMPRODUCT('Calc - research target (12m)'!$C$31:$E$31,'Calc - research target (12m)'!$C$35:$E$35,(1+$A9)^(-('Calc - research target (12m)'!$C$19:$E$19-'Calc - research target (12m)'!$B$13)))+'Calc - research target (12m)'!$E$31*(1+E$4)/($A9-E$4)/(1+$A9)^('Calc - research target (12m)'!$B$16-'Calc - research target (12m)'!$B$13))-'Calc - research target (12m)'!$B$50-'Calc - research target (12m)'!$B$51+'Calc - research target (12m)'!$B$52)/'Calc - research target (12m)'!$B$53)</f>
        <v/>
      </c>
      <c r="F9" s="9">
        <f>IF($A9-F$4&lt;=0.01,"n/a",((SUMPRODUCT('Calc - research target (12m)'!$C$31:$E$31,'Calc - research target (12m)'!$C$35:$E$35,(1+$A9)^(-('Calc - research target (12m)'!$C$19:$E$19-'Calc - research target (12m)'!$B$13)))+'Calc - research target (12m)'!$E$31*(1+F$4)/($A9-F$4)/(1+$A9)^('Calc - research target (12m)'!$B$16-'Calc - research target (12m)'!$B$13))-'Calc - research target (12m)'!$B$50-'Calc - research target (12m)'!$B$51+'Calc - research target (12m)'!$B$52)/'Calc - research target (12m)'!$B$53)</f>
        <v/>
      </c>
    </row>
    <row r="11">
      <c r="A11" s="21" t="inlineStr">
        <is>
          <t>Research target (12m) per share: P/E multiple (down) x metric at target date (across)</t>
        </is>
      </c>
    </row>
    <row r="12">
      <c r="A12" s="21" t="inlineStr">
        <is>
          <t>Multiple \ metric</t>
        </is>
      </c>
      <c r="B12" s="27">
        <f>'Calc - research target (12m)'!$E$68*0.9</f>
        <v/>
      </c>
      <c r="C12" s="27">
        <f>'Calc - research target (12m)'!$E$68*0.95</f>
        <v/>
      </c>
      <c r="D12" s="27">
        <f>'Calc - research target (12m)'!$E$68*1.0</f>
        <v/>
      </c>
      <c r="E12" s="27">
        <f>'Calc - research target (12m)'!$E$68*1.05</f>
        <v/>
      </c>
      <c r="F12" s="27">
        <f>'Calc - research target (12m)'!$E$68*1.1</f>
        <v/>
      </c>
    </row>
    <row r="13">
      <c r="A13" s="45">
        <f>Valuation!$B$71+(-3)</f>
        <v/>
      </c>
      <c r="B13" s="9">
        <f>((SUMPRODUCT('Calc - research target (12m)'!$F$67:$F$70,'Calc - research target (12m)'!$G$67:$G$70)-'Calc - research target (12m)'!$F$68*'Calc - research target (12m)'!$G$68)+'Calc - research target (12m)'!$G$68*($A13*(B$12-'Calc - research target (12m)'!$B$54)/'Calc - research target (12m)'!$B$53+'Calc - research target (12m)'!$B$52/'Calc - research target (12m)'!$B$53))/SUM('Calc - research target (12m)'!$G$67:$G$70)</f>
        <v/>
      </c>
      <c r="C13" s="9">
        <f>((SUMPRODUCT('Calc - research target (12m)'!$F$67:$F$70,'Calc - research target (12m)'!$G$67:$G$70)-'Calc - research target (12m)'!$F$68*'Calc - research target (12m)'!$G$68)+'Calc - research target (12m)'!$G$68*($A13*(C$12-'Calc - research target (12m)'!$B$54)/'Calc - research target (12m)'!$B$53+'Calc - research target (12m)'!$B$52/'Calc - research target (12m)'!$B$53))/SUM('Calc - research target (12m)'!$G$67:$G$70)</f>
        <v/>
      </c>
      <c r="D13" s="9">
        <f>((SUMPRODUCT('Calc - research target (12m)'!$F$67:$F$70,'Calc - research target (12m)'!$G$67:$G$70)-'Calc - research target (12m)'!$F$68*'Calc - research target (12m)'!$G$68)+'Calc - research target (12m)'!$G$68*($A13*(D$12-'Calc - research target (12m)'!$B$54)/'Calc - research target (12m)'!$B$53+'Calc - research target (12m)'!$B$52/'Calc - research target (12m)'!$B$53))/SUM('Calc - research target (12m)'!$G$67:$G$70)</f>
        <v/>
      </c>
      <c r="E13" s="9">
        <f>((SUMPRODUCT('Calc - research target (12m)'!$F$67:$F$70,'Calc - research target (12m)'!$G$67:$G$70)-'Calc - research target (12m)'!$F$68*'Calc - research target (12m)'!$G$68)+'Calc - research target (12m)'!$G$68*($A13*(E$12-'Calc - research target (12m)'!$B$54)/'Calc - research target (12m)'!$B$53+'Calc - research target (12m)'!$B$52/'Calc - research target (12m)'!$B$53))/SUM('Calc - research target (12m)'!$G$67:$G$70)</f>
        <v/>
      </c>
      <c r="F13" s="9">
        <f>((SUMPRODUCT('Calc - research target (12m)'!$F$67:$F$70,'Calc - research target (12m)'!$G$67:$G$70)-'Calc - research target (12m)'!$F$68*'Calc - research target (12m)'!$G$68)+'Calc - research target (12m)'!$G$68*($A13*(F$12-'Calc - research target (12m)'!$B$54)/'Calc - research target (12m)'!$B$53+'Calc - research target (12m)'!$B$52/'Calc - research target (12m)'!$B$53))/SUM('Calc - research target (12m)'!$G$67:$G$70)</f>
        <v/>
      </c>
    </row>
    <row r="14">
      <c r="A14" s="45">
        <f>Valuation!$B$71+(-2)</f>
        <v/>
      </c>
      <c r="B14" s="9">
        <f>((SUMPRODUCT('Calc - research target (12m)'!$F$67:$F$70,'Calc - research target (12m)'!$G$67:$G$70)-'Calc - research target (12m)'!$F$68*'Calc - research target (12m)'!$G$68)+'Calc - research target (12m)'!$G$68*($A14*(B$12-'Calc - research target (12m)'!$B$54)/'Calc - research target (12m)'!$B$53+'Calc - research target (12m)'!$B$52/'Calc - research target (12m)'!$B$53))/SUM('Calc - research target (12m)'!$G$67:$G$70)</f>
        <v/>
      </c>
      <c r="C14" s="9">
        <f>((SUMPRODUCT('Calc - research target (12m)'!$F$67:$F$70,'Calc - research target (12m)'!$G$67:$G$70)-'Calc - research target (12m)'!$F$68*'Calc - research target (12m)'!$G$68)+'Calc - research target (12m)'!$G$68*($A14*(C$12-'Calc - research target (12m)'!$B$54)/'Calc - research target (12m)'!$B$53+'Calc - research target (12m)'!$B$52/'Calc - research target (12m)'!$B$53))/SUM('Calc - research target (12m)'!$G$67:$G$70)</f>
        <v/>
      </c>
      <c r="D14" s="9">
        <f>((SUMPRODUCT('Calc - research target (12m)'!$F$67:$F$70,'Calc - research target (12m)'!$G$67:$G$70)-'Calc - research target (12m)'!$F$68*'Calc - research target (12m)'!$G$68)+'Calc - research target (12m)'!$G$68*($A14*(D$12-'Calc - research target (12m)'!$B$54)/'Calc - research target (12m)'!$B$53+'Calc - research target (12m)'!$B$52/'Calc - research target (12m)'!$B$53))/SUM('Calc - research target (12m)'!$G$67:$G$70)</f>
        <v/>
      </c>
      <c r="E14" s="9">
        <f>((SUMPRODUCT('Calc - research target (12m)'!$F$67:$F$70,'Calc - research target (12m)'!$G$67:$G$70)-'Calc - research target (12m)'!$F$68*'Calc - research target (12m)'!$G$68)+'Calc - research target (12m)'!$G$68*($A14*(E$12-'Calc - research target (12m)'!$B$54)/'Calc - research target (12m)'!$B$53+'Calc - research target (12m)'!$B$52/'Calc - research target (12m)'!$B$53))/SUM('Calc - research target (12m)'!$G$67:$G$70)</f>
        <v/>
      </c>
      <c r="F14" s="9">
        <f>((SUMPRODUCT('Calc - research target (12m)'!$F$67:$F$70,'Calc - research target (12m)'!$G$67:$G$70)-'Calc - research target (12m)'!$F$68*'Calc - research target (12m)'!$G$68)+'Calc - research target (12m)'!$G$68*($A14*(F$12-'Calc - research target (12m)'!$B$54)/'Calc - research target (12m)'!$B$53+'Calc - research target (12m)'!$B$52/'Calc - research target (12m)'!$B$53))/SUM('Calc - research target (12m)'!$G$67:$G$70)</f>
        <v/>
      </c>
    </row>
    <row r="15">
      <c r="A15" s="45">
        <f>Valuation!$B$71+(-1)</f>
        <v/>
      </c>
      <c r="B15" s="9">
        <f>((SUMPRODUCT('Calc - research target (12m)'!$F$67:$F$70,'Calc - research target (12m)'!$G$67:$G$70)-'Calc - research target (12m)'!$F$68*'Calc - research target (12m)'!$G$68)+'Calc - research target (12m)'!$G$68*($A15*(B$12-'Calc - research target (12m)'!$B$54)/'Calc - research target (12m)'!$B$53+'Calc - research target (12m)'!$B$52/'Calc - research target (12m)'!$B$53))/SUM('Calc - research target (12m)'!$G$67:$G$70)</f>
        <v/>
      </c>
      <c r="C15" s="9">
        <f>((SUMPRODUCT('Calc - research target (12m)'!$F$67:$F$70,'Calc - research target (12m)'!$G$67:$G$70)-'Calc - research target (12m)'!$F$68*'Calc - research target (12m)'!$G$68)+'Calc - research target (12m)'!$G$68*($A15*(C$12-'Calc - research target (12m)'!$B$54)/'Calc - research target (12m)'!$B$53+'Calc - research target (12m)'!$B$52/'Calc - research target (12m)'!$B$53))/SUM('Calc - research target (12m)'!$G$67:$G$70)</f>
        <v/>
      </c>
      <c r="D15" s="9">
        <f>((SUMPRODUCT('Calc - research target (12m)'!$F$67:$F$70,'Calc - research target (12m)'!$G$67:$G$70)-'Calc - research target (12m)'!$F$68*'Calc - research target (12m)'!$G$68)+'Calc - research target (12m)'!$G$68*($A15*(D$12-'Calc - research target (12m)'!$B$54)/'Calc - research target (12m)'!$B$53+'Calc - research target (12m)'!$B$52/'Calc - research target (12m)'!$B$53))/SUM('Calc - research target (12m)'!$G$67:$G$70)</f>
        <v/>
      </c>
      <c r="E15" s="9">
        <f>((SUMPRODUCT('Calc - research target (12m)'!$F$67:$F$70,'Calc - research target (12m)'!$G$67:$G$70)-'Calc - research target (12m)'!$F$68*'Calc - research target (12m)'!$G$68)+'Calc - research target (12m)'!$G$68*($A15*(E$12-'Calc - research target (12m)'!$B$54)/'Calc - research target (12m)'!$B$53+'Calc - research target (12m)'!$B$52/'Calc - research target (12m)'!$B$53))/SUM('Calc - research target (12m)'!$G$67:$G$70)</f>
        <v/>
      </c>
      <c r="F15" s="9">
        <f>((SUMPRODUCT('Calc - research target (12m)'!$F$67:$F$70,'Calc - research target (12m)'!$G$67:$G$70)-'Calc - research target (12m)'!$F$68*'Calc - research target (12m)'!$G$68)+'Calc - research target (12m)'!$G$68*($A15*(F$12-'Calc - research target (12m)'!$B$54)/'Calc - research target (12m)'!$B$53+'Calc - research target (12m)'!$B$52/'Calc - research target (12m)'!$B$53))/SUM('Calc - research target (12m)'!$G$67:$G$70)</f>
        <v/>
      </c>
    </row>
    <row r="16">
      <c r="A16" s="45">
        <f>Valuation!$B$71+(0)</f>
        <v/>
      </c>
      <c r="B16" s="9">
        <f>((SUMPRODUCT('Calc - research target (12m)'!$F$67:$F$70,'Calc - research target (12m)'!$G$67:$G$70)-'Calc - research target (12m)'!$F$68*'Calc - research target (12m)'!$G$68)+'Calc - research target (12m)'!$G$68*($A16*(B$12-'Calc - research target (12m)'!$B$54)/'Calc - research target (12m)'!$B$53+'Calc - research target (12m)'!$B$52/'Calc - research target (12m)'!$B$53))/SUM('Calc - research target (12m)'!$G$67:$G$70)</f>
        <v/>
      </c>
      <c r="C16" s="9">
        <f>((SUMPRODUCT('Calc - research target (12m)'!$F$67:$F$70,'Calc - research target (12m)'!$G$67:$G$70)-'Calc - research target (12m)'!$F$68*'Calc - research target (12m)'!$G$68)+'Calc - research target (12m)'!$G$68*($A16*(C$12-'Calc - research target (12m)'!$B$54)/'Calc - research target (12m)'!$B$53+'Calc - research target (12m)'!$B$52/'Calc - research target (12m)'!$B$53))/SUM('Calc - research target (12m)'!$G$67:$G$70)</f>
        <v/>
      </c>
      <c r="D16" s="6">
        <f>((SUMPRODUCT('Calc - research target (12m)'!$F$67:$F$70,'Calc - research target (12m)'!$G$67:$G$70)-'Calc - research target (12m)'!$F$68*'Calc - research target (12m)'!$G$68)+'Calc - research target (12m)'!$G$68*($A16*(D$12-'Calc - research target (12m)'!$B$54)/'Calc - research target (12m)'!$B$53+'Calc - research target (12m)'!$B$52/'Calc - research target (12m)'!$B$53))/SUM('Calc - research target (12m)'!$G$67:$G$70)</f>
        <v/>
      </c>
      <c r="E16" s="9">
        <f>((SUMPRODUCT('Calc - research target (12m)'!$F$67:$F$70,'Calc - research target (12m)'!$G$67:$G$70)-'Calc - research target (12m)'!$F$68*'Calc - research target (12m)'!$G$68)+'Calc - research target (12m)'!$G$68*($A16*(E$12-'Calc - research target (12m)'!$B$54)/'Calc - research target (12m)'!$B$53+'Calc - research target (12m)'!$B$52/'Calc - research target (12m)'!$B$53))/SUM('Calc - research target (12m)'!$G$67:$G$70)</f>
        <v/>
      </c>
      <c r="F16" s="9">
        <f>((SUMPRODUCT('Calc - research target (12m)'!$F$67:$F$70,'Calc - research target (12m)'!$G$67:$G$70)-'Calc - research target (12m)'!$F$68*'Calc - research target (12m)'!$G$68)+'Calc - research target (12m)'!$G$68*($A16*(F$12-'Calc - research target (12m)'!$B$54)/'Calc - research target (12m)'!$B$53+'Calc - research target (12m)'!$B$52/'Calc - research target (12m)'!$B$53))/SUM('Calc - research target (12m)'!$G$67:$G$70)</f>
        <v/>
      </c>
    </row>
    <row r="17">
      <c r="A17" s="45">
        <f>Valuation!$B$71+(1)</f>
        <v/>
      </c>
      <c r="B17" s="9">
        <f>((SUMPRODUCT('Calc - research target (12m)'!$F$67:$F$70,'Calc - research target (12m)'!$G$67:$G$70)-'Calc - research target (12m)'!$F$68*'Calc - research target (12m)'!$G$68)+'Calc - research target (12m)'!$G$68*($A17*(B$12-'Calc - research target (12m)'!$B$54)/'Calc - research target (12m)'!$B$53+'Calc - research target (12m)'!$B$52/'Calc - research target (12m)'!$B$53))/SUM('Calc - research target (12m)'!$G$67:$G$70)</f>
        <v/>
      </c>
      <c r="C17" s="9">
        <f>((SUMPRODUCT('Calc - research target (12m)'!$F$67:$F$70,'Calc - research target (12m)'!$G$67:$G$70)-'Calc - research target (12m)'!$F$68*'Calc - research target (12m)'!$G$68)+'Calc - research target (12m)'!$G$68*($A17*(C$12-'Calc - research target (12m)'!$B$54)/'Calc - research target (12m)'!$B$53+'Calc - research target (12m)'!$B$52/'Calc - research target (12m)'!$B$53))/SUM('Calc - research target (12m)'!$G$67:$G$70)</f>
        <v/>
      </c>
      <c r="D17" s="9">
        <f>((SUMPRODUCT('Calc - research target (12m)'!$F$67:$F$70,'Calc - research target (12m)'!$G$67:$G$70)-'Calc - research target (12m)'!$F$68*'Calc - research target (12m)'!$G$68)+'Calc - research target (12m)'!$G$68*($A17*(D$12-'Calc - research target (12m)'!$B$54)/'Calc - research target (12m)'!$B$53+'Calc - research target (12m)'!$B$52/'Calc - research target (12m)'!$B$53))/SUM('Calc - research target (12m)'!$G$67:$G$70)</f>
        <v/>
      </c>
      <c r="E17" s="9">
        <f>((SUMPRODUCT('Calc - research target (12m)'!$F$67:$F$70,'Calc - research target (12m)'!$G$67:$G$70)-'Calc - research target (12m)'!$F$68*'Calc - research target (12m)'!$G$68)+'Calc - research target (12m)'!$G$68*($A17*(E$12-'Calc - research target (12m)'!$B$54)/'Calc - research target (12m)'!$B$53+'Calc - research target (12m)'!$B$52/'Calc - research target (12m)'!$B$53))/SUM('Calc - research target (12m)'!$G$67:$G$70)</f>
        <v/>
      </c>
      <c r="F17" s="9">
        <f>((SUMPRODUCT('Calc - research target (12m)'!$F$67:$F$70,'Calc - research target (12m)'!$G$67:$G$70)-'Calc - research target (12m)'!$F$68*'Calc - research target (12m)'!$G$68)+'Calc - research target (12m)'!$G$68*($A17*(F$12-'Calc - research target (12m)'!$B$54)/'Calc - research target (12m)'!$B$53+'Calc - research target (12m)'!$B$52/'Calc - research target (12m)'!$B$53))/SUM('Calc - research target (12m)'!$G$67:$G$70)</f>
        <v/>
      </c>
    </row>
    <row r="18">
      <c r="A18" s="45">
        <f>Valuation!$B$71+(2)</f>
        <v/>
      </c>
      <c r="B18" s="9">
        <f>((SUMPRODUCT('Calc - research target (12m)'!$F$67:$F$70,'Calc - research target (12m)'!$G$67:$G$70)-'Calc - research target (12m)'!$F$68*'Calc - research target (12m)'!$G$68)+'Calc - research target (12m)'!$G$68*($A18*(B$12-'Calc - research target (12m)'!$B$54)/'Calc - research target (12m)'!$B$53+'Calc - research target (12m)'!$B$52/'Calc - research target (12m)'!$B$53))/SUM('Calc - research target (12m)'!$G$67:$G$70)</f>
        <v/>
      </c>
      <c r="C18" s="9">
        <f>((SUMPRODUCT('Calc - research target (12m)'!$F$67:$F$70,'Calc - research target (12m)'!$G$67:$G$70)-'Calc - research target (12m)'!$F$68*'Calc - research target (12m)'!$G$68)+'Calc - research target (12m)'!$G$68*($A18*(C$12-'Calc - research target (12m)'!$B$54)/'Calc - research target (12m)'!$B$53+'Calc - research target (12m)'!$B$52/'Calc - research target (12m)'!$B$53))/SUM('Calc - research target (12m)'!$G$67:$G$70)</f>
        <v/>
      </c>
      <c r="D18" s="9">
        <f>((SUMPRODUCT('Calc - research target (12m)'!$F$67:$F$70,'Calc - research target (12m)'!$G$67:$G$70)-'Calc - research target (12m)'!$F$68*'Calc - research target (12m)'!$G$68)+'Calc - research target (12m)'!$G$68*($A18*(D$12-'Calc - research target (12m)'!$B$54)/'Calc - research target (12m)'!$B$53+'Calc - research target (12m)'!$B$52/'Calc - research target (12m)'!$B$53))/SUM('Calc - research target (12m)'!$G$67:$G$70)</f>
        <v/>
      </c>
      <c r="E18" s="9">
        <f>((SUMPRODUCT('Calc - research target (12m)'!$F$67:$F$70,'Calc - research target (12m)'!$G$67:$G$70)-'Calc - research target (12m)'!$F$68*'Calc - research target (12m)'!$G$68)+'Calc - research target (12m)'!$G$68*($A18*(E$12-'Calc - research target (12m)'!$B$54)/'Calc - research target (12m)'!$B$53+'Calc - research target (12m)'!$B$52/'Calc - research target (12m)'!$B$53))/SUM('Calc - research target (12m)'!$G$67:$G$70)</f>
        <v/>
      </c>
      <c r="F18" s="9">
        <f>((SUMPRODUCT('Calc - research target (12m)'!$F$67:$F$70,'Calc - research target (12m)'!$G$67:$G$70)-'Calc - research target (12m)'!$F$68*'Calc - research target (12m)'!$G$68)+'Calc - research target (12m)'!$G$68*($A18*(F$12-'Calc - research target (12m)'!$B$54)/'Calc - research target (12m)'!$B$53+'Calc - research target (12m)'!$B$52/'Calc - research target (12m)'!$B$53))/SUM('Calc - research target (12m)'!$G$67:$G$70)</f>
        <v/>
      </c>
    </row>
    <row r="19">
      <c r="A19" s="45">
        <f>Valuation!$B$71+(3)</f>
        <v/>
      </c>
      <c r="B19" s="9">
        <f>((SUMPRODUCT('Calc - research target (12m)'!$F$67:$F$70,'Calc - research target (12m)'!$G$67:$G$70)-'Calc - research target (12m)'!$F$68*'Calc - research target (12m)'!$G$68)+'Calc - research target (12m)'!$G$68*($A19*(B$12-'Calc - research target (12m)'!$B$54)/'Calc - research target (12m)'!$B$53+'Calc - research target (12m)'!$B$52/'Calc - research target (12m)'!$B$53))/SUM('Calc - research target (12m)'!$G$67:$G$70)</f>
        <v/>
      </c>
      <c r="C19" s="9">
        <f>((SUMPRODUCT('Calc - research target (12m)'!$F$67:$F$70,'Calc - research target (12m)'!$G$67:$G$70)-'Calc - research target (12m)'!$F$68*'Calc - research target (12m)'!$G$68)+'Calc - research target (12m)'!$G$68*($A19*(C$12-'Calc - research target (12m)'!$B$54)/'Calc - research target (12m)'!$B$53+'Calc - research target (12m)'!$B$52/'Calc - research target (12m)'!$B$53))/SUM('Calc - research target (12m)'!$G$67:$G$70)</f>
        <v/>
      </c>
      <c r="D19" s="9">
        <f>((SUMPRODUCT('Calc - research target (12m)'!$F$67:$F$70,'Calc - research target (12m)'!$G$67:$G$70)-'Calc - research target (12m)'!$F$68*'Calc - research target (12m)'!$G$68)+'Calc - research target (12m)'!$G$68*($A19*(D$12-'Calc - research target (12m)'!$B$54)/'Calc - research target (12m)'!$B$53+'Calc - research target (12m)'!$B$52/'Calc - research target (12m)'!$B$53))/SUM('Calc - research target (12m)'!$G$67:$G$70)</f>
        <v/>
      </c>
      <c r="E19" s="9">
        <f>((SUMPRODUCT('Calc - research target (12m)'!$F$67:$F$70,'Calc - research target (12m)'!$G$67:$G$70)-'Calc - research target (12m)'!$F$68*'Calc - research target (12m)'!$G$68)+'Calc - research target (12m)'!$G$68*($A19*(E$12-'Calc - research target (12m)'!$B$54)/'Calc - research target (12m)'!$B$53+'Calc - research target (12m)'!$B$52/'Calc - research target (12m)'!$B$53))/SUM('Calc - research target (12m)'!$G$67:$G$70)</f>
        <v/>
      </c>
      <c r="F19" s="9">
        <f>((SUMPRODUCT('Calc - research target (12m)'!$F$67:$F$70,'Calc - research target (12m)'!$G$67:$G$70)-'Calc - research target (12m)'!$F$68*'Calc - research target (12m)'!$G$68)+'Calc - research target (12m)'!$G$68*($A19*(F$12-'Calc - research target (12m)'!$B$54)/'Calc - research target (12m)'!$B$53+'Calc - research target (12m)'!$B$52/'Calc - research target (12m)'!$B$53))/SUM('Calc - research target (12m)'!$G$67:$G$70)</f>
        <v/>
      </c>
    </row>
    <row r="22">
      <c r="A22" s="21" t="inlineStr">
        <is>
          <t>FY2027E diluted EPS: revenue growth change in every year (down) x EBIT margin change (across)</t>
        </is>
      </c>
    </row>
    <row r="23">
      <c r="A23" s="21" t="inlineStr">
        <is>
          <t>Growth Δ \ margin Δ</t>
        </is>
      </c>
      <c r="B23" s="46" t="n">
        <v>-0.01</v>
      </c>
      <c r="C23" s="46" t="n">
        <v>-0.005</v>
      </c>
      <c r="D23" s="46" t="n">
        <v>0</v>
      </c>
      <c r="E23" s="46" t="n">
        <v>0.005</v>
      </c>
      <c r="F23" s="46" t="n">
        <v>0.01</v>
      </c>
    </row>
    <row r="24">
      <c r="A24" s="46" t="n">
        <v>-0.02</v>
      </c>
      <c r="B24" s="31">
        <f>(Valuation!$B$90*(1+Model!E12+$A24)*(1+Model!F12+$A24)*(Model!F14+B$23)+Valuation!$B$91*(1+Model!E16+$A24)*(1+Model!F16+$A24)*(Model!F18+B$23)+Model!F21+Model!F33)*(1-Model!F63)/Model!F40</f>
        <v/>
      </c>
      <c r="C24" s="31">
        <f>(Valuation!$B$90*(1+Model!E12+$A24)*(1+Model!F12+$A24)*(Model!F14+C$23)+Valuation!$B$91*(1+Model!E16+$A24)*(1+Model!F16+$A24)*(Model!F18+C$23)+Model!F21+Model!F33)*(1-Model!F63)/Model!F40</f>
        <v/>
      </c>
      <c r="D24" s="31">
        <f>(Valuation!$B$90*(1+Model!E12+$A24)*(1+Model!F12+$A24)*(Model!F14+D$23)+Valuation!$B$91*(1+Model!E16+$A24)*(1+Model!F16+$A24)*(Model!F18+D$23)+Model!F21+Model!F33)*(1-Model!F63)/Model!F40</f>
        <v/>
      </c>
      <c r="E24" s="31">
        <f>(Valuation!$B$90*(1+Model!E12+$A24)*(1+Model!F12+$A24)*(Model!F14+E$23)+Valuation!$B$91*(1+Model!E16+$A24)*(1+Model!F16+$A24)*(Model!F18+E$23)+Model!F21+Model!F33)*(1-Model!F63)/Model!F40</f>
        <v/>
      </c>
      <c r="F24" s="31">
        <f>(Valuation!$B$90*(1+Model!E12+$A24)*(1+Model!F12+$A24)*(Model!F14+F$23)+Valuation!$B$91*(1+Model!E16+$A24)*(1+Model!F16+$A24)*(Model!F18+F$23)+Model!F21+Model!F33)*(1-Model!F63)/Model!F40</f>
        <v/>
      </c>
    </row>
    <row r="25">
      <c r="A25" s="46" t="n">
        <v>-0.01</v>
      </c>
      <c r="B25" s="31">
        <f>(Valuation!$B$90*(1+Model!E12+$A25)*(1+Model!F12+$A25)*(Model!F14+B$23)+Valuation!$B$91*(1+Model!E16+$A25)*(1+Model!F16+$A25)*(Model!F18+B$23)+Model!F21+Model!F33)*(1-Model!F63)/Model!F40</f>
        <v/>
      </c>
      <c r="C25" s="31">
        <f>(Valuation!$B$90*(1+Model!E12+$A25)*(1+Model!F12+$A25)*(Model!F14+C$23)+Valuation!$B$91*(1+Model!E16+$A25)*(1+Model!F16+$A25)*(Model!F18+C$23)+Model!F21+Model!F33)*(1-Model!F63)/Model!F40</f>
        <v/>
      </c>
      <c r="D25" s="31">
        <f>(Valuation!$B$90*(1+Model!E12+$A25)*(1+Model!F12+$A25)*(Model!F14+D$23)+Valuation!$B$91*(1+Model!E16+$A25)*(1+Model!F16+$A25)*(Model!F18+D$23)+Model!F21+Model!F33)*(1-Model!F63)/Model!F40</f>
        <v/>
      </c>
      <c r="E25" s="31">
        <f>(Valuation!$B$90*(1+Model!E12+$A25)*(1+Model!F12+$A25)*(Model!F14+E$23)+Valuation!$B$91*(1+Model!E16+$A25)*(1+Model!F16+$A25)*(Model!F18+E$23)+Model!F21+Model!F33)*(1-Model!F63)/Model!F40</f>
        <v/>
      </c>
      <c r="F25" s="31">
        <f>(Valuation!$B$90*(1+Model!E12+$A25)*(1+Model!F12+$A25)*(Model!F14+F$23)+Valuation!$B$91*(1+Model!E16+$A25)*(1+Model!F16+$A25)*(Model!F18+F$23)+Model!F21+Model!F33)*(1-Model!F63)/Model!F40</f>
        <v/>
      </c>
    </row>
    <row r="26">
      <c r="A26" s="46" t="n">
        <v>0</v>
      </c>
      <c r="B26" s="31">
        <f>(Valuation!$B$90*(1+Model!E12+$A26)*(1+Model!F12+$A26)*(Model!F14+B$23)+Valuation!$B$91*(1+Model!E16+$A26)*(1+Model!F16+$A26)*(Model!F18+B$23)+Model!F21+Model!F33)*(1-Model!F63)/Model!F40</f>
        <v/>
      </c>
      <c r="C26" s="31">
        <f>(Valuation!$B$90*(1+Model!E12+$A26)*(1+Model!F12+$A26)*(Model!F14+C$23)+Valuation!$B$91*(1+Model!E16+$A26)*(1+Model!F16+$A26)*(Model!F18+C$23)+Model!F21+Model!F33)*(1-Model!F63)/Model!F40</f>
        <v/>
      </c>
      <c r="D26" s="32">
        <f>(Valuation!$B$90*(1+Model!E12+$A26)*(1+Model!F12+$A26)*(Model!F14+D$23)+Valuation!$B$91*(1+Model!E16+$A26)*(1+Model!F16+$A26)*(Model!F18+D$23)+Model!F21+Model!F33)*(1-Model!F63)/Model!F40</f>
        <v/>
      </c>
      <c r="E26" s="31">
        <f>(Valuation!$B$90*(1+Model!E12+$A26)*(1+Model!F12+$A26)*(Model!F14+E$23)+Valuation!$B$91*(1+Model!E16+$A26)*(1+Model!F16+$A26)*(Model!F18+E$23)+Model!F21+Model!F33)*(1-Model!F63)/Model!F40</f>
        <v/>
      </c>
      <c r="F26" s="31">
        <f>(Valuation!$B$90*(1+Model!E12+$A26)*(1+Model!F12+$A26)*(Model!F14+F$23)+Valuation!$B$91*(1+Model!E16+$A26)*(1+Model!F16+$A26)*(Model!F18+F$23)+Model!F21+Model!F33)*(1-Model!F63)/Model!F40</f>
        <v/>
      </c>
    </row>
    <row r="27">
      <c r="A27" s="46" t="n">
        <v>0.01</v>
      </c>
      <c r="B27" s="31">
        <f>(Valuation!$B$90*(1+Model!E12+$A27)*(1+Model!F12+$A27)*(Model!F14+B$23)+Valuation!$B$91*(1+Model!E16+$A27)*(1+Model!F16+$A27)*(Model!F18+B$23)+Model!F21+Model!F33)*(1-Model!F63)/Model!F40</f>
        <v/>
      </c>
      <c r="C27" s="31">
        <f>(Valuation!$B$90*(1+Model!E12+$A27)*(1+Model!F12+$A27)*(Model!F14+C$23)+Valuation!$B$91*(1+Model!E16+$A27)*(1+Model!F16+$A27)*(Model!F18+C$23)+Model!F21+Model!F33)*(1-Model!F63)/Model!F40</f>
        <v/>
      </c>
      <c r="D27" s="31">
        <f>(Valuation!$B$90*(1+Model!E12+$A27)*(1+Model!F12+$A27)*(Model!F14+D$23)+Valuation!$B$91*(1+Model!E16+$A27)*(1+Model!F16+$A27)*(Model!F18+D$23)+Model!F21+Model!F33)*(1-Model!F63)/Model!F40</f>
        <v/>
      </c>
      <c r="E27" s="31">
        <f>(Valuation!$B$90*(1+Model!E12+$A27)*(1+Model!F12+$A27)*(Model!F14+E$23)+Valuation!$B$91*(1+Model!E16+$A27)*(1+Model!F16+$A27)*(Model!F18+E$23)+Model!F21+Model!F33)*(1-Model!F63)/Model!F40</f>
        <v/>
      </c>
      <c r="F27" s="31">
        <f>(Valuation!$B$90*(1+Model!E12+$A27)*(1+Model!F12+$A27)*(Model!F14+F$23)+Valuation!$B$91*(1+Model!E16+$A27)*(1+Model!F16+$A27)*(Model!F18+F$23)+Model!F21+Model!F33)*(1-Model!F63)/Model!F40</f>
        <v/>
      </c>
    </row>
    <row r="28">
      <c r="A28" s="46" t="n">
        <v>0.02</v>
      </c>
      <c r="B28" s="31">
        <f>(Valuation!$B$90*(1+Model!E12+$A28)*(1+Model!F12+$A28)*(Model!F14+B$23)+Valuation!$B$91*(1+Model!E16+$A28)*(1+Model!F16+$A28)*(Model!F18+B$23)+Model!F21+Model!F33)*(1-Model!F63)/Model!F40</f>
        <v/>
      </c>
      <c r="C28" s="31">
        <f>(Valuation!$B$90*(1+Model!E12+$A28)*(1+Model!F12+$A28)*(Model!F14+C$23)+Valuation!$B$91*(1+Model!E16+$A28)*(1+Model!F16+$A28)*(Model!F18+C$23)+Model!F21+Model!F33)*(1-Model!F63)/Model!F40</f>
        <v/>
      </c>
      <c r="D28" s="31">
        <f>(Valuation!$B$90*(1+Model!E12+$A28)*(1+Model!F12+$A28)*(Model!F14+D$23)+Valuation!$B$91*(1+Model!E16+$A28)*(1+Model!F16+$A28)*(Model!F18+D$23)+Model!F21+Model!F33)*(1-Model!F63)/Model!F40</f>
        <v/>
      </c>
      <c r="E28" s="31">
        <f>(Valuation!$B$90*(1+Model!E12+$A28)*(1+Model!F12+$A28)*(Model!F14+E$23)+Valuation!$B$91*(1+Model!E16+$A28)*(1+Model!F16+$A28)*(Model!F18+E$23)+Model!F21+Model!F33)*(1-Model!F63)/Model!F40</f>
        <v/>
      </c>
      <c r="F28" s="31">
        <f>(Valuation!$B$90*(1+Model!E12+$A28)*(1+Model!F12+$A28)*(Model!F14+F$23)+Valuation!$B$91*(1+Model!E16+$A28)*(1+Model!F16+$A28)*(Model!F18+F$23)+Model!F21+Model!F33)*(1-Model!F63)/Model!F40</f>
        <v/>
      </c>
    </row>
    <row r="30">
      <c r="A30" s="2" t="inlineStr">
        <is>
          <t>Net interest and the share count are held at the base case in table 3.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60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  <col width="60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>
      <c r="A1" s="1" t="inlineStr">
        <is>
          <t>BE: 12-month distribution (mix of lognormals around each scenario value)</t>
        </is>
      </c>
    </row>
    <row r="3">
      <c r="A3" s="3" t="inlineStr">
        <is>
          <t>Scenario</t>
        </is>
      </c>
      <c r="B3" s="3" t="inlineStr">
        <is>
          <t>Probability</t>
        </is>
      </c>
      <c r="C3" s="3" t="inlineStr">
        <is>
          <t>Value at target date</t>
        </is>
      </c>
      <c r="D3" s="3" t="inlineStr">
        <is>
          <t>Story</t>
        </is>
      </c>
    </row>
    <row r="4">
      <c r="A4" t="inlineStr">
        <is>
          <t>bear</t>
        </is>
      </c>
      <c r="B4" s="12">
        <f>Valuation!B85</f>
        <v/>
      </c>
      <c r="C4" s="4">
        <f>'Calc - bear'!$F$71</f>
        <v/>
      </c>
      <c r="D4">
        <f>Valuation!J85</f>
        <v/>
      </c>
    </row>
    <row r="5">
      <c r="A5" t="inlineStr">
        <is>
          <t>base</t>
        </is>
      </c>
      <c r="B5" s="12">
        <f>Valuation!B86</f>
        <v/>
      </c>
      <c r="C5" s="4">
        <f>'Calc - base'!$F$71</f>
        <v/>
      </c>
      <c r="D5">
        <f>Valuation!J86</f>
        <v/>
      </c>
    </row>
    <row r="6">
      <c r="A6" t="inlineStr">
        <is>
          <t>bull</t>
        </is>
      </c>
      <c r="B6" s="12">
        <f>Valuation!B87</f>
        <v/>
      </c>
      <c r="C6" s="4">
        <f>'Calc - bull'!$F$71</f>
        <v/>
      </c>
      <c r="D6">
        <f>Valuation!J87</f>
        <v/>
      </c>
    </row>
    <row r="8">
      <c r="A8" t="inlineStr">
        <is>
          <t>Probabilities sum to</t>
        </is>
      </c>
      <c r="B8" s="20">
        <f>SUM(B4:B6)</f>
        <v/>
      </c>
    </row>
    <row r="9">
      <c r="A9" t="inlineStr">
        <is>
          <t>Spread within each scenario</t>
        </is>
      </c>
      <c r="B9" s="12">
        <f>Valuation!$B$67</f>
        <v/>
      </c>
    </row>
    <row r="10">
      <c r="A10" t="inlineStr">
        <is>
          <t>Probability-weighted mean</t>
        </is>
      </c>
      <c r="B10" s="9">
        <f>($B$4*$C$4+$B$5*$C$5+$B$6*$C$6)*EXP($B$9^2/2)</f>
        <v/>
      </c>
    </row>
    <row r="12">
      <c r="A12" s="3" t="inlineStr">
        <is>
          <t>Quantile</t>
        </is>
      </c>
      <c r="B12" s="3" t="inlineStr">
        <is>
          <t>Price</t>
        </is>
      </c>
    </row>
    <row r="13">
      <c r="A13" t="inlineStr">
        <is>
          <t>Median (model target)</t>
        </is>
      </c>
      <c r="B13" s="9">
        <f>SQRT(A60*B60)</f>
        <v/>
      </c>
    </row>
    <row r="14">
      <c r="A14" t="inlineStr">
        <is>
          <t>10th percentile</t>
        </is>
      </c>
      <c r="B14" s="9">
        <f>SQRT(D60*E60)</f>
        <v/>
      </c>
    </row>
    <row r="15">
      <c r="A15" t="inlineStr">
        <is>
          <t>25th percentile</t>
        </is>
      </c>
      <c r="B15" s="9">
        <f>SQRT(G60*H60)</f>
        <v/>
      </c>
    </row>
    <row r="16">
      <c r="A16" t="inlineStr">
        <is>
          <t>75th percentile</t>
        </is>
      </c>
      <c r="B16" s="9">
        <f>SQRT(J60*K60)</f>
        <v/>
      </c>
    </row>
    <row r="17">
      <c r="A17" t="inlineStr">
        <is>
          <t>90th percentile</t>
        </is>
      </c>
      <c r="B17" s="9">
        <f>SQRT(M60*N60)</f>
        <v/>
      </c>
    </row>
    <row r="19">
      <c r="A19" s="2" t="inlineStr">
        <is>
          <t>Each quantile solved by bisection (block: low, high, probability above the midpoint)</t>
        </is>
      </c>
    </row>
    <row r="20">
      <c r="A20" s="3" t="inlineStr">
        <is>
          <t>Median (model target): low</t>
        </is>
      </c>
      <c r="B20" s="3" t="inlineStr">
        <is>
          <t>high</t>
        </is>
      </c>
      <c r="C20" s="3" t="inlineStr">
        <is>
          <t>P(above mid)</t>
        </is>
      </c>
      <c r="D20" s="3" t="inlineStr">
        <is>
          <t>10th percentile: low</t>
        </is>
      </c>
      <c r="E20" s="3" t="inlineStr">
        <is>
          <t>high</t>
        </is>
      </c>
      <c r="F20" s="3" t="inlineStr">
        <is>
          <t>P(above mid)</t>
        </is>
      </c>
      <c r="G20" s="3" t="inlineStr">
        <is>
          <t>25th percentile: low</t>
        </is>
      </c>
      <c r="H20" s="3" t="inlineStr">
        <is>
          <t>high</t>
        </is>
      </c>
      <c r="I20" s="3" t="inlineStr">
        <is>
          <t>P(above mid)</t>
        </is>
      </c>
      <c r="J20" s="3" t="inlineStr">
        <is>
          <t>75th percentile: low</t>
        </is>
      </c>
      <c r="K20" s="3" t="inlineStr">
        <is>
          <t>high</t>
        </is>
      </c>
      <c r="L20" s="3" t="inlineStr">
        <is>
          <t>P(above mid)</t>
        </is>
      </c>
      <c r="M20" s="3" t="inlineStr">
        <is>
          <t>90th percentile: low</t>
        </is>
      </c>
      <c r="N20" s="3" t="inlineStr">
        <is>
          <t>high</t>
        </is>
      </c>
      <c r="O20" s="3" t="inlineStr">
        <is>
          <t>P(above mid)</t>
        </is>
      </c>
    </row>
    <row r="21">
      <c r="A21" s="9">
        <f>MIN($C$4,$C$5,$C$6)*0.2</f>
        <v/>
      </c>
      <c r="B21" s="9">
        <f>MAX($C$4,$C$5,$C$6)*4</f>
        <v/>
      </c>
      <c r="C21" s="47">
        <f>SUMPRODUCT($B$4:$B$6,1-NORMSDIST((LN(SQRT(A21*B21))-LN($C$4:$C$6))/$B$9))</f>
        <v/>
      </c>
      <c r="D21" s="9">
        <f>MIN($C$4,$C$5,$C$6)*0.2</f>
        <v/>
      </c>
      <c r="E21" s="9">
        <f>MAX($C$4,$C$5,$C$6)*4</f>
        <v/>
      </c>
      <c r="F21" s="47">
        <f>SUMPRODUCT($B$4:$B$6,1-NORMSDIST((LN(SQRT(D21*E21))-LN($C$4:$C$6))/$B$9))</f>
        <v/>
      </c>
      <c r="G21" s="9">
        <f>MIN($C$4,$C$5,$C$6)*0.2</f>
        <v/>
      </c>
      <c r="H21" s="9">
        <f>MAX($C$4,$C$5,$C$6)*4</f>
        <v/>
      </c>
      <c r="I21" s="47">
        <f>SUMPRODUCT($B$4:$B$6,1-NORMSDIST((LN(SQRT(G21*H21))-LN($C$4:$C$6))/$B$9))</f>
        <v/>
      </c>
      <c r="J21" s="9">
        <f>MIN($C$4,$C$5,$C$6)*0.2</f>
        <v/>
      </c>
      <c r="K21" s="9">
        <f>MAX($C$4,$C$5,$C$6)*4</f>
        <v/>
      </c>
      <c r="L21" s="47">
        <f>SUMPRODUCT($B$4:$B$6,1-NORMSDIST((LN(SQRT(J21*K21))-LN($C$4:$C$6))/$B$9))</f>
        <v/>
      </c>
      <c r="M21" s="9">
        <f>MIN($C$4,$C$5,$C$6)*0.2</f>
        <v/>
      </c>
      <c r="N21" s="9">
        <f>MAX($C$4,$C$5,$C$6)*4</f>
        <v/>
      </c>
      <c r="O21" s="47">
        <f>SUMPRODUCT($B$4:$B$6,1-NORMSDIST((LN(SQRT(M21*N21))-LN($C$4:$C$6))/$B$9))</f>
        <v/>
      </c>
    </row>
    <row r="22">
      <c r="A22" s="9">
        <f>IF(C21&gt;0.5,SQRT(A21*B21),A21)</f>
        <v/>
      </c>
      <c r="B22" s="9">
        <f>IF(C21&gt;0.5,B21,SQRT(A21*B21))</f>
        <v/>
      </c>
      <c r="C22" s="47">
        <f>SUMPRODUCT($B$4:$B$6,1-NORMSDIST((LN(SQRT(A22*B22))-LN($C$4:$C$6))/$B$9))</f>
        <v/>
      </c>
      <c r="D22" s="9">
        <f>IF(F21&gt;0.9,SQRT(D21*E21),D21)</f>
        <v/>
      </c>
      <c r="E22" s="9">
        <f>IF(F21&gt;0.9,E21,SQRT(D21*E21))</f>
        <v/>
      </c>
      <c r="F22" s="47">
        <f>SUMPRODUCT($B$4:$B$6,1-NORMSDIST((LN(SQRT(D22*E22))-LN($C$4:$C$6))/$B$9))</f>
        <v/>
      </c>
      <c r="G22" s="9">
        <f>IF(I21&gt;0.75,SQRT(G21*H21),G21)</f>
        <v/>
      </c>
      <c r="H22" s="9">
        <f>IF(I21&gt;0.75,H21,SQRT(G21*H21))</f>
        <v/>
      </c>
      <c r="I22" s="47">
        <f>SUMPRODUCT($B$4:$B$6,1-NORMSDIST((LN(SQRT(G22*H22))-LN($C$4:$C$6))/$B$9))</f>
        <v/>
      </c>
      <c r="J22" s="9">
        <f>IF(L21&gt;0.25,SQRT(J21*K21),J21)</f>
        <v/>
      </c>
      <c r="K22" s="9">
        <f>IF(L21&gt;0.25,K21,SQRT(J21*K21))</f>
        <v/>
      </c>
      <c r="L22" s="47">
        <f>SUMPRODUCT($B$4:$B$6,1-NORMSDIST((LN(SQRT(J22*K22))-LN($C$4:$C$6))/$B$9))</f>
        <v/>
      </c>
      <c r="M22" s="9">
        <f>IF(O21&gt;0.09999999999999998,SQRT(M21*N21),M21)</f>
        <v/>
      </c>
      <c r="N22" s="9">
        <f>IF(O21&gt;0.09999999999999998,N21,SQRT(M21*N21))</f>
        <v/>
      </c>
      <c r="O22" s="47">
        <f>SUMPRODUCT($B$4:$B$6,1-NORMSDIST((LN(SQRT(M22*N22))-LN($C$4:$C$6))/$B$9))</f>
        <v/>
      </c>
    </row>
    <row r="23">
      <c r="A23" s="9">
        <f>IF(C22&gt;0.5,SQRT(A22*B22),A22)</f>
        <v/>
      </c>
      <c r="B23" s="9">
        <f>IF(C22&gt;0.5,B22,SQRT(A22*B22))</f>
        <v/>
      </c>
      <c r="C23" s="47">
        <f>SUMPRODUCT($B$4:$B$6,1-NORMSDIST((LN(SQRT(A23*B23))-LN($C$4:$C$6))/$B$9))</f>
        <v/>
      </c>
      <c r="D23" s="9">
        <f>IF(F22&gt;0.9,SQRT(D22*E22),D22)</f>
        <v/>
      </c>
      <c r="E23" s="9">
        <f>IF(F22&gt;0.9,E22,SQRT(D22*E22))</f>
        <v/>
      </c>
      <c r="F23" s="47">
        <f>SUMPRODUCT($B$4:$B$6,1-NORMSDIST((LN(SQRT(D23*E23))-LN($C$4:$C$6))/$B$9))</f>
        <v/>
      </c>
      <c r="G23" s="9">
        <f>IF(I22&gt;0.75,SQRT(G22*H22),G22)</f>
        <v/>
      </c>
      <c r="H23" s="9">
        <f>IF(I22&gt;0.75,H22,SQRT(G22*H22))</f>
        <v/>
      </c>
      <c r="I23" s="47">
        <f>SUMPRODUCT($B$4:$B$6,1-NORMSDIST((LN(SQRT(G23*H23))-LN($C$4:$C$6))/$B$9))</f>
        <v/>
      </c>
      <c r="J23" s="9">
        <f>IF(L22&gt;0.25,SQRT(J22*K22),J22)</f>
        <v/>
      </c>
      <c r="K23" s="9">
        <f>IF(L22&gt;0.25,K22,SQRT(J22*K22))</f>
        <v/>
      </c>
      <c r="L23" s="47">
        <f>SUMPRODUCT($B$4:$B$6,1-NORMSDIST((LN(SQRT(J23*K23))-LN($C$4:$C$6))/$B$9))</f>
        <v/>
      </c>
      <c r="M23" s="9">
        <f>IF(O22&gt;0.09999999999999998,SQRT(M22*N22),M22)</f>
        <v/>
      </c>
      <c r="N23" s="9">
        <f>IF(O22&gt;0.09999999999999998,N22,SQRT(M22*N22))</f>
        <v/>
      </c>
      <c r="O23" s="47">
        <f>SUMPRODUCT($B$4:$B$6,1-NORMSDIST((LN(SQRT(M23*N23))-LN($C$4:$C$6))/$B$9))</f>
        <v/>
      </c>
    </row>
    <row r="24">
      <c r="A24" s="9">
        <f>IF(C23&gt;0.5,SQRT(A23*B23),A23)</f>
        <v/>
      </c>
      <c r="B24" s="9">
        <f>IF(C23&gt;0.5,B23,SQRT(A23*B23))</f>
        <v/>
      </c>
      <c r="C24" s="47">
        <f>SUMPRODUCT($B$4:$B$6,1-NORMSDIST((LN(SQRT(A24*B24))-LN($C$4:$C$6))/$B$9))</f>
        <v/>
      </c>
      <c r="D24" s="9">
        <f>IF(F23&gt;0.9,SQRT(D23*E23),D23)</f>
        <v/>
      </c>
      <c r="E24" s="9">
        <f>IF(F23&gt;0.9,E23,SQRT(D23*E23))</f>
        <v/>
      </c>
      <c r="F24" s="47">
        <f>SUMPRODUCT($B$4:$B$6,1-NORMSDIST((LN(SQRT(D24*E24))-LN($C$4:$C$6))/$B$9))</f>
        <v/>
      </c>
      <c r="G24" s="9">
        <f>IF(I23&gt;0.75,SQRT(G23*H23),G23)</f>
        <v/>
      </c>
      <c r="H24" s="9">
        <f>IF(I23&gt;0.75,H23,SQRT(G23*H23))</f>
        <v/>
      </c>
      <c r="I24" s="47">
        <f>SUMPRODUCT($B$4:$B$6,1-NORMSDIST((LN(SQRT(G24*H24))-LN($C$4:$C$6))/$B$9))</f>
        <v/>
      </c>
      <c r="J24" s="9">
        <f>IF(L23&gt;0.25,SQRT(J23*K23),J23)</f>
        <v/>
      </c>
      <c r="K24" s="9">
        <f>IF(L23&gt;0.25,K23,SQRT(J23*K23))</f>
        <v/>
      </c>
      <c r="L24" s="47">
        <f>SUMPRODUCT($B$4:$B$6,1-NORMSDIST((LN(SQRT(J24*K24))-LN($C$4:$C$6))/$B$9))</f>
        <v/>
      </c>
      <c r="M24" s="9">
        <f>IF(O23&gt;0.09999999999999998,SQRT(M23*N23),M23)</f>
        <v/>
      </c>
      <c r="N24" s="9">
        <f>IF(O23&gt;0.09999999999999998,N23,SQRT(M23*N23))</f>
        <v/>
      </c>
      <c r="O24" s="47">
        <f>SUMPRODUCT($B$4:$B$6,1-NORMSDIST((LN(SQRT(M24*N24))-LN($C$4:$C$6))/$B$9))</f>
        <v/>
      </c>
    </row>
    <row r="25">
      <c r="A25" s="9">
        <f>IF(C24&gt;0.5,SQRT(A24*B24),A24)</f>
        <v/>
      </c>
      <c r="B25" s="9">
        <f>IF(C24&gt;0.5,B24,SQRT(A24*B24))</f>
        <v/>
      </c>
      <c r="C25" s="47">
        <f>SUMPRODUCT($B$4:$B$6,1-NORMSDIST((LN(SQRT(A25*B25))-LN($C$4:$C$6))/$B$9))</f>
        <v/>
      </c>
      <c r="D25" s="9">
        <f>IF(F24&gt;0.9,SQRT(D24*E24),D24)</f>
        <v/>
      </c>
      <c r="E25" s="9">
        <f>IF(F24&gt;0.9,E24,SQRT(D24*E24))</f>
        <v/>
      </c>
      <c r="F25" s="47">
        <f>SUMPRODUCT($B$4:$B$6,1-NORMSDIST((LN(SQRT(D25*E25))-LN($C$4:$C$6))/$B$9))</f>
        <v/>
      </c>
      <c r="G25" s="9">
        <f>IF(I24&gt;0.75,SQRT(G24*H24),G24)</f>
        <v/>
      </c>
      <c r="H25" s="9">
        <f>IF(I24&gt;0.75,H24,SQRT(G24*H24))</f>
        <v/>
      </c>
      <c r="I25" s="47">
        <f>SUMPRODUCT($B$4:$B$6,1-NORMSDIST((LN(SQRT(G25*H25))-LN($C$4:$C$6))/$B$9))</f>
        <v/>
      </c>
      <c r="J25" s="9">
        <f>IF(L24&gt;0.25,SQRT(J24*K24),J24)</f>
        <v/>
      </c>
      <c r="K25" s="9">
        <f>IF(L24&gt;0.25,K24,SQRT(J24*K24))</f>
        <v/>
      </c>
      <c r="L25" s="47">
        <f>SUMPRODUCT($B$4:$B$6,1-NORMSDIST((LN(SQRT(J25*K25))-LN($C$4:$C$6))/$B$9))</f>
        <v/>
      </c>
      <c r="M25" s="9">
        <f>IF(O24&gt;0.09999999999999998,SQRT(M24*N24),M24)</f>
        <v/>
      </c>
      <c r="N25" s="9">
        <f>IF(O24&gt;0.09999999999999998,N24,SQRT(M24*N24))</f>
        <v/>
      </c>
      <c r="O25" s="47">
        <f>SUMPRODUCT($B$4:$B$6,1-NORMSDIST((LN(SQRT(M25*N25))-LN($C$4:$C$6))/$B$9))</f>
        <v/>
      </c>
    </row>
    <row r="26">
      <c r="A26" s="9">
        <f>IF(C25&gt;0.5,SQRT(A25*B25),A25)</f>
        <v/>
      </c>
      <c r="B26" s="9">
        <f>IF(C25&gt;0.5,B25,SQRT(A25*B25))</f>
        <v/>
      </c>
      <c r="C26" s="47">
        <f>SUMPRODUCT($B$4:$B$6,1-NORMSDIST((LN(SQRT(A26*B26))-LN($C$4:$C$6))/$B$9))</f>
        <v/>
      </c>
      <c r="D26" s="9">
        <f>IF(F25&gt;0.9,SQRT(D25*E25),D25)</f>
        <v/>
      </c>
      <c r="E26" s="9">
        <f>IF(F25&gt;0.9,E25,SQRT(D25*E25))</f>
        <v/>
      </c>
      <c r="F26" s="47">
        <f>SUMPRODUCT($B$4:$B$6,1-NORMSDIST((LN(SQRT(D26*E26))-LN($C$4:$C$6))/$B$9))</f>
        <v/>
      </c>
      <c r="G26" s="9">
        <f>IF(I25&gt;0.75,SQRT(G25*H25),G25)</f>
        <v/>
      </c>
      <c r="H26" s="9">
        <f>IF(I25&gt;0.75,H25,SQRT(G25*H25))</f>
        <v/>
      </c>
      <c r="I26" s="47">
        <f>SUMPRODUCT($B$4:$B$6,1-NORMSDIST((LN(SQRT(G26*H26))-LN($C$4:$C$6))/$B$9))</f>
        <v/>
      </c>
      <c r="J26" s="9">
        <f>IF(L25&gt;0.25,SQRT(J25*K25),J25)</f>
        <v/>
      </c>
      <c r="K26" s="9">
        <f>IF(L25&gt;0.25,K25,SQRT(J25*K25))</f>
        <v/>
      </c>
      <c r="L26" s="47">
        <f>SUMPRODUCT($B$4:$B$6,1-NORMSDIST((LN(SQRT(J26*K26))-LN($C$4:$C$6))/$B$9))</f>
        <v/>
      </c>
      <c r="M26" s="9">
        <f>IF(O25&gt;0.09999999999999998,SQRT(M25*N25),M25)</f>
        <v/>
      </c>
      <c r="N26" s="9">
        <f>IF(O25&gt;0.09999999999999998,N25,SQRT(M25*N25))</f>
        <v/>
      </c>
      <c r="O26" s="47">
        <f>SUMPRODUCT($B$4:$B$6,1-NORMSDIST((LN(SQRT(M26*N26))-LN($C$4:$C$6))/$B$9))</f>
        <v/>
      </c>
    </row>
    <row r="27">
      <c r="A27" s="9">
        <f>IF(C26&gt;0.5,SQRT(A26*B26),A26)</f>
        <v/>
      </c>
      <c r="B27" s="9">
        <f>IF(C26&gt;0.5,B26,SQRT(A26*B26))</f>
        <v/>
      </c>
      <c r="C27" s="47">
        <f>SUMPRODUCT($B$4:$B$6,1-NORMSDIST((LN(SQRT(A27*B27))-LN($C$4:$C$6))/$B$9))</f>
        <v/>
      </c>
      <c r="D27" s="9">
        <f>IF(F26&gt;0.9,SQRT(D26*E26),D26)</f>
        <v/>
      </c>
      <c r="E27" s="9">
        <f>IF(F26&gt;0.9,E26,SQRT(D26*E26))</f>
        <v/>
      </c>
      <c r="F27" s="47">
        <f>SUMPRODUCT($B$4:$B$6,1-NORMSDIST((LN(SQRT(D27*E27))-LN($C$4:$C$6))/$B$9))</f>
        <v/>
      </c>
      <c r="G27" s="9">
        <f>IF(I26&gt;0.75,SQRT(G26*H26),G26)</f>
        <v/>
      </c>
      <c r="H27" s="9">
        <f>IF(I26&gt;0.75,H26,SQRT(G26*H26))</f>
        <v/>
      </c>
      <c r="I27" s="47">
        <f>SUMPRODUCT($B$4:$B$6,1-NORMSDIST((LN(SQRT(G27*H27))-LN($C$4:$C$6))/$B$9))</f>
        <v/>
      </c>
      <c r="J27" s="9">
        <f>IF(L26&gt;0.25,SQRT(J26*K26),J26)</f>
        <v/>
      </c>
      <c r="K27" s="9">
        <f>IF(L26&gt;0.25,K26,SQRT(J26*K26))</f>
        <v/>
      </c>
      <c r="L27" s="47">
        <f>SUMPRODUCT($B$4:$B$6,1-NORMSDIST((LN(SQRT(J27*K27))-LN($C$4:$C$6))/$B$9))</f>
        <v/>
      </c>
      <c r="M27" s="9">
        <f>IF(O26&gt;0.09999999999999998,SQRT(M26*N26),M26)</f>
        <v/>
      </c>
      <c r="N27" s="9">
        <f>IF(O26&gt;0.09999999999999998,N26,SQRT(M26*N26))</f>
        <v/>
      </c>
      <c r="O27" s="47">
        <f>SUMPRODUCT($B$4:$B$6,1-NORMSDIST((LN(SQRT(M27*N27))-LN($C$4:$C$6))/$B$9))</f>
        <v/>
      </c>
    </row>
    <row r="28">
      <c r="A28" s="9">
        <f>IF(C27&gt;0.5,SQRT(A27*B27),A27)</f>
        <v/>
      </c>
      <c r="B28" s="9">
        <f>IF(C27&gt;0.5,B27,SQRT(A27*B27))</f>
        <v/>
      </c>
      <c r="C28" s="47">
        <f>SUMPRODUCT($B$4:$B$6,1-NORMSDIST((LN(SQRT(A28*B28))-LN($C$4:$C$6))/$B$9))</f>
        <v/>
      </c>
      <c r="D28" s="9">
        <f>IF(F27&gt;0.9,SQRT(D27*E27),D27)</f>
        <v/>
      </c>
      <c r="E28" s="9">
        <f>IF(F27&gt;0.9,E27,SQRT(D27*E27))</f>
        <v/>
      </c>
      <c r="F28" s="47">
        <f>SUMPRODUCT($B$4:$B$6,1-NORMSDIST((LN(SQRT(D28*E28))-LN($C$4:$C$6))/$B$9))</f>
        <v/>
      </c>
      <c r="G28" s="9">
        <f>IF(I27&gt;0.75,SQRT(G27*H27),G27)</f>
        <v/>
      </c>
      <c r="H28" s="9">
        <f>IF(I27&gt;0.75,H27,SQRT(G27*H27))</f>
        <v/>
      </c>
      <c r="I28" s="47">
        <f>SUMPRODUCT($B$4:$B$6,1-NORMSDIST((LN(SQRT(G28*H28))-LN($C$4:$C$6))/$B$9))</f>
        <v/>
      </c>
      <c r="J28" s="9">
        <f>IF(L27&gt;0.25,SQRT(J27*K27),J27)</f>
        <v/>
      </c>
      <c r="K28" s="9">
        <f>IF(L27&gt;0.25,K27,SQRT(J27*K27))</f>
        <v/>
      </c>
      <c r="L28" s="47">
        <f>SUMPRODUCT($B$4:$B$6,1-NORMSDIST((LN(SQRT(J28*K28))-LN($C$4:$C$6))/$B$9))</f>
        <v/>
      </c>
      <c r="M28" s="9">
        <f>IF(O27&gt;0.09999999999999998,SQRT(M27*N27),M27)</f>
        <v/>
      </c>
      <c r="N28" s="9">
        <f>IF(O27&gt;0.09999999999999998,N27,SQRT(M27*N27))</f>
        <v/>
      </c>
      <c r="O28" s="47">
        <f>SUMPRODUCT($B$4:$B$6,1-NORMSDIST((LN(SQRT(M28*N28))-LN($C$4:$C$6))/$B$9))</f>
        <v/>
      </c>
    </row>
    <row r="29">
      <c r="A29" s="9">
        <f>IF(C28&gt;0.5,SQRT(A28*B28),A28)</f>
        <v/>
      </c>
      <c r="B29" s="9">
        <f>IF(C28&gt;0.5,B28,SQRT(A28*B28))</f>
        <v/>
      </c>
      <c r="C29" s="47">
        <f>SUMPRODUCT($B$4:$B$6,1-NORMSDIST((LN(SQRT(A29*B29))-LN($C$4:$C$6))/$B$9))</f>
        <v/>
      </c>
      <c r="D29" s="9">
        <f>IF(F28&gt;0.9,SQRT(D28*E28),D28)</f>
        <v/>
      </c>
      <c r="E29" s="9">
        <f>IF(F28&gt;0.9,E28,SQRT(D28*E28))</f>
        <v/>
      </c>
      <c r="F29" s="47">
        <f>SUMPRODUCT($B$4:$B$6,1-NORMSDIST((LN(SQRT(D29*E29))-LN($C$4:$C$6))/$B$9))</f>
        <v/>
      </c>
      <c r="G29" s="9">
        <f>IF(I28&gt;0.75,SQRT(G28*H28),G28)</f>
        <v/>
      </c>
      <c r="H29" s="9">
        <f>IF(I28&gt;0.75,H28,SQRT(G28*H28))</f>
        <v/>
      </c>
      <c r="I29" s="47">
        <f>SUMPRODUCT($B$4:$B$6,1-NORMSDIST((LN(SQRT(G29*H29))-LN($C$4:$C$6))/$B$9))</f>
        <v/>
      </c>
      <c r="J29" s="9">
        <f>IF(L28&gt;0.25,SQRT(J28*K28),J28)</f>
        <v/>
      </c>
      <c r="K29" s="9">
        <f>IF(L28&gt;0.25,K28,SQRT(J28*K28))</f>
        <v/>
      </c>
      <c r="L29" s="47">
        <f>SUMPRODUCT($B$4:$B$6,1-NORMSDIST((LN(SQRT(J29*K29))-LN($C$4:$C$6))/$B$9))</f>
        <v/>
      </c>
      <c r="M29" s="9">
        <f>IF(O28&gt;0.09999999999999998,SQRT(M28*N28),M28)</f>
        <v/>
      </c>
      <c r="N29" s="9">
        <f>IF(O28&gt;0.09999999999999998,N28,SQRT(M28*N28))</f>
        <v/>
      </c>
      <c r="O29" s="47">
        <f>SUMPRODUCT($B$4:$B$6,1-NORMSDIST((LN(SQRT(M29*N29))-LN($C$4:$C$6))/$B$9))</f>
        <v/>
      </c>
    </row>
    <row r="30">
      <c r="A30" s="9">
        <f>IF(C29&gt;0.5,SQRT(A29*B29),A29)</f>
        <v/>
      </c>
      <c r="B30" s="9">
        <f>IF(C29&gt;0.5,B29,SQRT(A29*B29))</f>
        <v/>
      </c>
      <c r="C30" s="47">
        <f>SUMPRODUCT($B$4:$B$6,1-NORMSDIST((LN(SQRT(A30*B30))-LN($C$4:$C$6))/$B$9))</f>
        <v/>
      </c>
      <c r="D30" s="9">
        <f>IF(F29&gt;0.9,SQRT(D29*E29),D29)</f>
        <v/>
      </c>
      <c r="E30" s="9">
        <f>IF(F29&gt;0.9,E29,SQRT(D29*E29))</f>
        <v/>
      </c>
      <c r="F30" s="47">
        <f>SUMPRODUCT($B$4:$B$6,1-NORMSDIST((LN(SQRT(D30*E30))-LN($C$4:$C$6))/$B$9))</f>
        <v/>
      </c>
      <c r="G30" s="9">
        <f>IF(I29&gt;0.75,SQRT(G29*H29),G29)</f>
        <v/>
      </c>
      <c r="H30" s="9">
        <f>IF(I29&gt;0.75,H29,SQRT(G29*H29))</f>
        <v/>
      </c>
      <c r="I30" s="47">
        <f>SUMPRODUCT($B$4:$B$6,1-NORMSDIST((LN(SQRT(G30*H30))-LN($C$4:$C$6))/$B$9))</f>
        <v/>
      </c>
      <c r="J30" s="9">
        <f>IF(L29&gt;0.25,SQRT(J29*K29),J29)</f>
        <v/>
      </c>
      <c r="K30" s="9">
        <f>IF(L29&gt;0.25,K29,SQRT(J29*K29))</f>
        <v/>
      </c>
      <c r="L30" s="47">
        <f>SUMPRODUCT($B$4:$B$6,1-NORMSDIST((LN(SQRT(J30*K30))-LN($C$4:$C$6))/$B$9))</f>
        <v/>
      </c>
      <c r="M30" s="9">
        <f>IF(O29&gt;0.09999999999999998,SQRT(M29*N29),M29)</f>
        <v/>
      </c>
      <c r="N30" s="9">
        <f>IF(O29&gt;0.09999999999999998,N29,SQRT(M29*N29))</f>
        <v/>
      </c>
      <c r="O30" s="47">
        <f>SUMPRODUCT($B$4:$B$6,1-NORMSDIST((LN(SQRT(M30*N30))-LN($C$4:$C$6))/$B$9))</f>
        <v/>
      </c>
    </row>
    <row r="31">
      <c r="A31" s="9">
        <f>IF(C30&gt;0.5,SQRT(A30*B30),A30)</f>
        <v/>
      </c>
      <c r="B31" s="9">
        <f>IF(C30&gt;0.5,B30,SQRT(A30*B30))</f>
        <v/>
      </c>
      <c r="C31" s="47">
        <f>SUMPRODUCT($B$4:$B$6,1-NORMSDIST((LN(SQRT(A31*B31))-LN($C$4:$C$6))/$B$9))</f>
        <v/>
      </c>
      <c r="D31" s="9">
        <f>IF(F30&gt;0.9,SQRT(D30*E30),D30)</f>
        <v/>
      </c>
      <c r="E31" s="9">
        <f>IF(F30&gt;0.9,E30,SQRT(D30*E30))</f>
        <v/>
      </c>
      <c r="F31" s="47">
        <f>SUMPRODUCT($B$4:$B$6,1-NORMSDIST((LN(SQRT(D31*E31))-LN($C$4:$C$6))/$B$9))</f>
        <v/>
      </c>
      <c r="G31" s="9">
        <f>IF(I30&gt;0.75,SQRT(G30*H30),G30)</f>
        <v/>
      </c>
      <c r="H31" s="9">
        <f>IF(I30&gt;0.75,H30,SQRT(G30*H30))</f>
        <v/>
      </c>
      <c r="I31" s="47">
        <f>SUMPRODUCT($B$4:$B$6,1-NORMSDIST((LN(SQRT(G31*H31))-LN($C$4:$C$6))/$B$9))</f>
        <v/>
      </c>
      <c r="J31" s="9">
        <f>IF(L30&gt;0.25,SQRT(J30*K30),J30)</f>
        <v/>
      </c>
      <c r="K31" s="9">
        <f>IF(L30&gt;0.25,K30,SQRT(J30*K30))</f>
        <v/>
      </c>
      <c r="L31" s="47">
        <f>SUMPRODUCT($B$4:$B$6,1-NORMSDIST((LN(SQRT(J31*K31))-LN($C$4:$C$6))/$B$9))</f>
        <v/>
      </c>
      <c r="M31" s="9">
        <f>IF(O30&gt;0.09999999999999998,SQRT(M30*N30),M30)</f>
        <v/>
      </c>
      <c r="N31" s="9">
        <f>IF(O30&gt;0.09999999999999998,N30,SQRT(M30*N30))</f>
        <v/>
      </c>
      <c r="O31" s="47">
        <f>SUMPRODUCT($B$4:$B$6,1-NORMSDIST((LN(SQRT(M31*N31))-LN($C$4:$C$6))/$B$9))</f>
        <v/>
      </c>
    </row>
    <row r="32">
      <c r="A32" s="9">
        <f>IF(C31&gt;0.5,SQRT(A31*B31),A31)</f>
        <v/>
      </c>
      <c r="B32" s="9">
        <f>IF(C31&gt;0.5,B31,SQRT(A31*B31))</f>
        <v/>
      </c>
      <c r="C32" s="47">
        <f>SUMPRODUCT($B$4:$B$6,1-NORMSDIST((LN(SQRT(A32*B32))-LN($C$4:$C$6))/$B$9))</f>
        <v/>
      </c>
      <c r="D32" s="9">
        <f>IF(F31&gt;0.9,SQRT(D31*E31),D31)</f>
        <v/>
      </c>
      <c r="E32" s="9">
        <f>IF(F31&gt;0.9,E31,SQRT(D31*E31))</f>
        <v/>
      </c>
      <c r="F32" s="47">
        <f>SUMPRODUCT($B$4:$B$6,1-NORMSDIST((LN(SQRT(D32*E32))-LN($C$4:$C$6))/$B$9))</f>
        <v/>
      </c>
      <c r="G32" s="9">
        <f>IF(I31&gt;0.75,SQRT(G31*H31),G31)</f>
        <v/>
      </c>
      <c r="H32" s="9">
        <f>IF(I31&gt;0.75,H31,SQRT(G31*H31))</f>
        <v/>
      </c>
      <c r="I32" s="47">
        <f>SUMPRODUCT($B$4:$B$6,1-NORMSDIST((LN(SQRT(G32*H32))-LN($C$4:$C$6))/$B$9))</f>
        <v/>
      </c>
      <c r="J32" s="9">
        <f>IF(L31&gt;0.25,SQRT(J31*K31),J31)</f>
        <v/>
      </c>
      <c r="K32" s="9">
        <f>IF(L31&gt;0.25,K31,SQRT(J31*K31))</f>
        <v/>
      </c>
      <c r="L32" s="47">
        <f>SUMPRODUCT($B$4:$B$6,1-NORMSDIST((LN(SQRT(J32*K32))-LN($C$4:$C$6))/$B$9))</f>
        <v/>
      </c>
      <c r="M32" s="9">
        <f>IF(O31&gt;0.09999999999999998,SQRT(M31*N31),M31)</f>
        <v/>
      </c>
      <c r="N32" s="9">
        <f>IF(O31&gt;0.09999999999999998,N31,SQRT(M31*N31))</f>
        <v/>
      </c>
      <c r="O32" s="47">
        <f>SUMPRODUCT($B$4:$B$6,1-NORMSDIST((LN(SQRT(M32*N32))-LN($C$4:$C$6))/$B$9))</f>
        <v/>
      </c>
    </row>
    <row r="33">
      <c r="A33" s="9">
        <f>IF(C32&gt;0.5,SQRT(A32*B32),A32)</f>
        <v/>
      </c>
      <c r="B33" s="9">
        <f>IF(C32&gt;0.5,B32,SQRT(A32*B32))</f>
        <v/>
      </c>
      <c r="C33" s="47">
        <f>SUMPRODUCT($B$4:$B$6,1-NORMSDIST((LN(SQRT(A33*B33))-LN($C$4:$C$6))/$B$9))</f>
        <v/>
      </c>
      <c r="D33" s="9">
        <f>IF(F32&gt;0.9,SQRT(D32*E32),D32)</f>
        <v/>
      </c>
      <c r="E33" s="9">
        <f>IF(F32&gt;0.9,E32,SQRT(D32*E32))</f>
        <v/>
      </c>
      <c r="F33" s="47">
        <f>SUMPRODUCT($B$4:$B$6,1-NORMSDIST((LN(SQRT(D33*E33))-LN($C$4:$C$6))/$B$9))</f>
        <v/>
      </c>
      <c r="G33" s="9">
        <f>IF(I32&gt;0.75,SQRT(G32*H32),G32)</f>
        <v/>
      </c>
      <c r="H33" s="9">
        <f>IF(I32&gt;0.75,H32,SQRT(G32*H32))</f>
        <v/>
      </c>
      <c r="I33" s="47">
        <f>SUMPRODUCT($B$4:$B$6,1-NORMSDIST((LN(SQRT(G33*H33))-LN($C$4:$C$6))/$B$9))</f>
        <v/>
      </c>
      <c r="J33" s="9">
        <f>IF(L32&gt;0.25,SQRT(J32*K32),J32)</f>
        <v/>
      </c>
      <c r="K33" s="9">
        <f>IF(L32&gt;0.25,K32,SQRT(J32*K32))</f>
        <v/>
      </c>
      <c r="L33" s="47">
        <f>SUMPRODUCT($B$4:$B$6,1-NORMSDIST((LN(SQRT(J33*K33))-LN($C$4:$C$6))/$B$9))</f>
        <v/>
      </c>
      <c r="M33" s="9">
        <f>IF(O32&gt;0.09999999999999998,SQRT(M32*N32),M32)</f>
        <v/>
      </c>
      <c r="N33" s="9">
        <f>IF(O32&gt;0.09999999999999998,N32,SQRT(M32*N32))</f>
        <v/>
      </c>
      <c r="O33" s="47">
        <f>SUMPRODUCT($B$4:$B$6,1-NORMSDIST((LN(SQRT(M33*N33))-LN($C$4:$C$6))/$B$9))</f>
        <v/>
      </c>
    </row>
    <row r="34">
      <c r="A34" s="9">
        <f>IF(C33&gt;0.5,SQRT(A33*B33),A33)</f>
        <v/>
      </c>
      <c r="B34" s="9">
        <f>IF(C33&gt;0.5,B33,SQRT(A33*B33))</f>
        <v/>
      </c>
      <c r="C34" s="47">
        <f>SUMPRODUCT($B$4:$B$6,1-NORMSDIST((LN(SQRT(A34*B34))-LN($C$4:$C$6))/$B$9))</f>
        <v/>
      </c>
      <c r="D34" s="9">
        <f>IF(F33&gt;0.9,SQRT(D33*E33),D33)</f>
        <v/>
      </c>
      <c r="E34" s="9">
        <f>IF(F33&gt;0.9,E33,SQRT(D33*E33))</f>
        <v/>
      </c>
      <c r="F34" s="47">
        <f>SUMPRODUCT($B$4:$B$6,1-NORMSDIST((LN(SQRT(D34*E34))-LN($C$4:$C$6))/$B$9))</f>
        <v/>
      </c>
      <c r="G34" s="9">
        <f>IF(I33&gt;0.75,SQRT(G33*H33),G33)</f>
        <v/>
      </c>
      <c r="H34" s="9">
        <f>IF(I33&gt;0.75,H33,SQRT(G33*H33))</f>
        <v/>
      </c>
      <c r="I34" s="47">
        <f>SUMPRODUCT($B$4:$B$6,1-NORMSDIST((LN(SQRT(G34*H34))-LN($C$4:$C$6))/$B$9))</f>
        <v/>
      </c>
      <c r="J34" s="9">
        <f>IF(L33&gt;0.25,SQRT(J33*K33),J33)</f>
        <v/>
      </c>
      <c r="K34" s="9">
        <f>IF(L33&gt;0.25,K33,SQRT(J33*K33))</f>
        <v/>
      </c>
      <c r="L34" s="47">
        <f>SUMPRODUCT($B$4:$B$6,1-NORMSDIST((LN(SQRT(J34*K34))-LN($C$4:$C$6))/$B$9))</f>
        <v/>
      </c>
      <c r="M34" s="9">
        <f>IF(O33&gt;0.09999999999999998,SQRT(M33*N33),M33)</f>
        <v/>
      </c>
      <c r="N34" s="9">
        <f>IF(O33&gt;0.09999999999999998,N33,SQRT(M33*N33))</f>
        <v/>
      </c>
      <c r="O34" s="47">
        <f>SUMPRODUCT($B$4:$B$6,1-NORMSDIST((LN(SQRT(M34*N34))-LN($C$4:$C$6))/$B$9))</f>
        <v/>
      </c>
    </row>
    <row r="35">
      <c r="A35" s="9">
        <f>IF(C34&gt;0.5,SQRT(A34*B34),A34)</f>
        <v/>
      </c>
      <c r="B35" s="9">
        <f>IF(C34&gt;0.5,B34,SQRT(A34*B34))</f>
        <v/>
      </c>
      <c r="C35" s="47">
        <f>SUMPRODUCT($B$4:$B$6,1-NORMSDIST((LN(SQRT(A35*B35))-LN($C$4:$C$6))/$B$9))</f>
        <v/>
      </c>
      <c r="D35" s="9">
        <f>IF(F34&gt;0.9,SQRT(D34*E34),D34)</f>
        <v/>
      </c>
      <c r="E35" s="9">
        <f>IF(F34&gt;0.9,E34,SQRT(D34*E34))</f>
        <v/>
      </c>
      <c r="F35" s="47">
        <f>SUMPRODUCT($B$4:$B$6,1-NORMSDIST((LN(SQRT(D35*E35))-LN($C$4:$C$6))/$B$9))</f>
        <v/>
      </c>
      <c r="G35" s="9">
        <f>IF(I34&gt;0.75,SQRT(G34*H34),G34)</f>
        <v/>
      </c>
      <c r="H35" s="9">
        <f>IF(I34&gt;0.75,H34,SQRT(G34*H34))</f>
        <v/>
      </c>
      <c r="I35" s="47">
        <f>SUMPRODUCT($B$4:$B$6,1-NORMSDIST((LN(SQRT(G35*H35))-LN($C$4:$C$6))/$B$9))</f>
        <v/>
      </c>
      <c r="J35" s="9">
        <f>IF(L34&gt;0.25,SQRT(J34*K34),J34)</f>
        <v/>
      </c>
      <c r="K35" s="9">
        <f>IF(L34&gt;0.25,K34,SQRT(J34*K34))</f>
        <v/>
      </c>
      <c r="L35" s="47">
        <f>SUMPRODUCT($B$4:$B$6,1-NORMSDIST((LN(SQRT(J35*K35))-LN($C$4:$C$6))/$B$9))</f>
        <v/>
      </c>
      <c r="M35" s="9">
        <f>IF(O34&gt;0.09999999999999998,SQRT(M34*N34),M34)</f>
        <v/>
      </c>
      <c r="N35" s="9">
        <f>IF(O34&gt;0.09999999999999998,N34,SQRT(M34*N34))</f>
        <v/>
      </c>
      <c r="O35" s="47">
        <f>SUMPRODUCT($B$4:$B$6,1-NORMSDIST((LN(SQRT(M35*N35))-LN($C$4:$C$6))/$B$9))</f>
        <v/>
      </c>
    </row>
    <row r="36">
      <c r="A36" s="9">
        <f>IF(C35&gt;0.5,SQRT(A35*B35),A35)</f>
        <v/>
      </c>
      <c r="B36" s="9">
        <f>IF(C35&gt;0.5,B35,SQRT(A35*B35))</f>
        <v/>
      </c>
      <c r="C36" s="47">
        <f>SUMPRODUCT($B$4:$B$6,1-NORMSDIST((LN(SQRT(A36*B36))-LN($C$4:$C$6))/$B$9))</f>
        <v/>
      </c>
      <c r="D36" s="9">
        <f>IF(F35&gt;0.9,SQRT(D35*E35),D35)</f>
        <v/>
      </c>
      <c r="E36" s="9">
        <f>IF(F35&gt;0.9,E35,SQRT(D35*E35))</f>
        <v/>
      </c>
      <c r="F36" s="47">
        <f>SUMPRODUCT($B$4:$B$6,1-NORMSDIST((LN(SQRT(D36*E36))-LN($C$4:$C$6))/$B$9))</f>
        <v/>
      </c>
      <c r="G36" s="9">
        <f>IF(I35&gt;0.75,SQRT(G35*H35),G35)</f>
        <v/>
      </c>
      <c r="H36" s="9">
        <f>IF(I35&gt;0.75,H35,SQRT(G35*H35))</f>
        <v/>
      </c>
      <c r="I36" s="47">
        <f>SUMPRODUCT($B$4:$B$6,1-NORMSDIST((LN(SQRT(G36*H36))-LN($C$4:$C$6))/$B$9))</f>
        <v/>
      </c>
      <c r="J36" s="9">
        <f>IF(L35&gt;0.25,SQRT(J35*K35),J35)</f>
        <v/>
      </c>
      <c r="K36" s="9">
        <f>IF(L35&gt;0.25,K35,SQRT(J35*K35))</f>
        <v/>
      </c>
      <c r="L36" s="47">
        <f>SUMPRODUCT($B$4:$B$6,1-NORMSDIST((LN(SQRT(J36*K36))-LN($C$4:$C$6))/$B$9))</f>
        <v/>
      </c>
      <c r="M36" s="9">
        <f>IF(O35&gt;0.09999999999999998,SQRT(M35*N35),M35)</f>
        <v/>
      </c>
      <c r="N36" s="9">
        <f>IF(O35&gt;0.09999999999999998,N35,SQRT(M35*N35))</f>
        <v/>
      </c>
      <c r="O36" s="47">
        <f>SUMPRODUCT($B$4:$B$6,1-NORMSDIST((LN(SQRT(M36*N36))-LN($C$4:$C$6))/$B$9))</f>
        <v/>
      </c>
    </row>
    <row r="37">
      <c r="A37" s="9">
        <f>IF(C36&gt;0.5,SQRT(A36*B36),A36)</f>
        <v/>
      </c>
      <c r="B37" s="9">
        <f>IF(C36&gt;0.5,B36,SQRT(A36*B36))</f>
        <v/>
      </c>
      <c r="C37" s="47">
        <f>SUMPRODUCT($B$4:$B$6,1-NORMSDIST((LN(SQRT(A37*B37))-LN($C$4:$C$6))/$B$9))</f>
        <v/>
      </c>
      <c r="D37" s="9">
        <f>IF(F36&gt;0.9,SQRT(D36*E36),D36)</f>
        <v/>
      </c>
      <c r="E37" s="9">
        <f>IF(F36&gt;0.9,E36,SQRT(D36*E36))</f>
        <v/>
      </c>
      <c r="F37" s="47">
        <f>SUMPRODUCT($B$4:$B$6,1-NORMSDIST((LN(SQRT(D37*E37))-LN($C$4:$C$6))/$B$9))</f>
        <v/>
      </c>
      <c r="G37" s="9">
        <f>IF(I36&gt;0.75,SQRT(G36*H36),G36)</f>
        <v/>
      </c>
      <c r="H37" s="9">
        <f>IF(I36&gt;0.75,H36,SQRT(G36*H36))</f>
        <v/>
      </c>
      <c r="I37" s="47">
        <f>SUMPRODUCT($B$4:$B$6,1-NORMSDIST((LN(SQRT(G37*H37))-LN($C$4:$C$6))/$B$9))</f>
        <v/>
      </c>
      <c r="J37" s="9">
        <f>IF(L36&gt;0.25,SQRT(J36*K36),J36)</f>
        <v/>
      </c>
      <c r="K37" s="9">
        <f>IF(L36&gt;0.25,K36,SQRT(J36*K36))</f>
        <v/>
      </c>
      <c r="L37" s="47">
        <f>SUMPRODUCT($B$4:$B$6,1-NORMSDIST((LN(SQRT(J37*K37))-LN($C$4:$C$6))/$B$9))</f>
        <v/>
      </c>
      <c r="M37" s="9">
        <f>IF(O36&gt;0.09999999999999998,SQRT(M36*N36),M36)</f>
        <v/>
      </c>
      <c r="N37" s="9">
        <f>IF(O36&gt;0.09999999999999998,N36,SQRT(M36*N36))</f>
        <v/>
      </c>
      <c r="O37" s="47">
        <f>SUMPRODUCT($B$4:$B$6,1-NORMSDIST((LN(SQRT(M37*N37))-LN($C$4:$C$6))/$B$9))</f>
        <v/>
      </c>
    </row>
    <row r="38">
      <c r="A38" s="9">
        <f>IF(C37&gt;0.5,SQRT(A37*B37),A37)</f>
        <v/>
      </c>
      <c r="B38" s="9">
        <f>IF(C37&gt;0.5,B37,SQRT(A37*B37))</f>
        <v/>
      </c>
      <c r="C38" s="47">
        <f>SUMPRODUCT($B$4:$B$6,1-NORMSDIST((LN(SQRT(A38*B38))-LN($C$4:$C$6))/$B$9))</f>
        <v/>
      </c>
      <c r="D38" s="9">
        <f>IF(F37&gt;0.9,SQRT(D37*E37),D37)</f>
        <v/>
      </c>
      <c r="E38" s="9">
        <f>IF(F37&gt;0.9,E37,SQRT(D37*E37))</f>
        <v/>
      </c>
      <c r="F38" s="47">
        <f>SUMPRODUCT($B$4:$B$6,1-NORMSDIST((LN(SQRT(D38*E38))-LN($C$4:$C$6))/$B$9))</f>
        <v/>
      </c>
      <c r="G38" s="9">
        <f>IF(I37&gt;0.75,SQRT(G37*H37),G37)</f>
        <v/>
      </c>
      <c r="H38" s="9">
        <f>IF(I37&gt;0.75,H37,SQRT(G37*H37))</f>
        <v/>
      </c>
      <c r="I38" s="47">
        <f>SUMPRODUCT($B$4:$B$6,1-NORMSDIST((LN(SQRT(G38*H38))-LN($C$4:$C$6))/$B$9))</f>
        <v/>
      </c>
      <c r="J38" s="9">
        <f>IF(L37&gt;0.25,SQRT(J37*K37),J37)</f>
        <v/>
      </c>
      <c r="K38" s="9">
        <f>IF(L37&gt;0.25,K37,SQRT(J37*K37))</f>
        <v/>
      </c>
      <c r="L38" s="47">
        <f>SUMPRODUCT($B$4:$B$6,1-NORMSDIST((LN(SQRT(J38*K38))-LN($C$4:$C$6))/$B$9))</f>
        <v/>
      </c>
      <c r="M38" s="9">
        <f>IF(O37&gt;0.09999999999999998,SQRT(M37*N37),M37)</f>
        <v/>
      </c>
      <c r="N38" s="9">
        <f>IF(O37&gt;0.09999999999999998,N37,SQRT(M37*N37))</f>
        <v/>
      </c>
      <c r="O38" s="47">
        <f>SUMPRODUCT($B$4:$B$6,1-NORMSDIST((LN(SQRT(M38*N38))-LN($C$4:$C$6))/$B$9))</f>
        <v/>
      </c>
    </row>
    <row r="39">
      <c r="A39" s="9">
        <f>IF(C38&gt;0.5,SQRT(A38*B38),A38)</f>
        <v/>
      </c>
      <c r="B39" s="9">
        <f>IF(C38&gt;0.5,B38,SQRT(A38*B38))</f>
        <v/>
      </c>
      <c r="C39" s="47">
        <f>SUMPRODUCT($B$4:$B$6,1-NORMSDIST((LN(SQRT(A39*B39))-LN($C$4:$C$6))/$B$9))</f>
        <v/>
      </c>
      <c r="D39" s="9">
        <f>IF(F38&gt;0.9,SQRT(D38*E38),D38)</f>
        <v/>
      </c>
      <c r="E39" s="9">
        <f>IF(F38&gt;0.9,E38,SQRT(D38*E38))</f>
        <v/>
      </c>
      <c r="F39" s="47">
        <f>SUMPRODUCT($B$4:$B$6,1-NORMSDIST((LN(SQRT(D39*E39))-LN($C$4:$C$6))/$B$9))</f>
        <v/>
      </c>
      <c r="G39" s="9">
        <f>IF(I38&gt;0.75,SQRT(G38*H38),G38)</f>
        <v/>
      </c>
      <c r="H39" s="9">
        <f>IF(I38&gt;0.75,H38,SQRT(G38*H38))</f>
        <v/>
      </c>
      <c r="I39" s="47">
        <f>SUMPRODUCT($B$4:$B$6,1-NORMSDIST((LN(SQRT(G39*H39))-LN($C$4:$C$6))/$B$9))</f>
        <v/>
      </c>
      <c r="J39" s="9">
        <f>IF(L38&gt;0.25,SQRT(J38*K38),J38)</f>
        <v/>
      </c>
      <c r="K39" s="9">
        <f>IF(L38&gt;0.25,K38,SQRT(J38*K38))</f>
        <v/>
      </c>
      <c r="L39" s="47">
        <f>SUMPRODUCT($B$4:$B$6,1-NORMSDIST((LN(SQRT(J39*K39))-LN($C$4:$C$6))/$B$9))</f>
        <v/>
      </c>
      <c r="M39" s="9">
        <f>IF(O38&gt;0.09999999999999998,SQRT(M38*N38),M38)</f>
        <v/>
      </c>
      <c r="N39" s="9">
        <f>IF(O38&gt;0.09999999999999998,N38,SQRT(M38*N38))</f>
        <v/>
      </c>
      <c r="O39" s="47">
        <f>SUMPRODUCT($B$4:$B$6,1-NORMSDIST((LN(SQRT(M39*N39))-LN($C$4:$C$6))/$B$9))</f>
        <v/>
      </c>
    </row>
    <row r="40">
      <c r="A40" s="9">
        <f>IF(C39&gt;0.5,SQRT(A39*B39),A39)</f>
        <v/>
      </c>
      <c r="B40" s="9">
        <f>IF(C39&gt;0.5,B39,SQRT(A39*B39))</f>
        <v/>
      </c>
      <c r="C40" s="47">
        <f>SUMPRODUCT($B$4:$B$6,1-NORMSDIST((LN(SQRT(A40*B40))-LN($C$4:$C$6))/$B$9))</f>
        <v/>
      </c>
      <c r="D40" s="9">
        <f>IF(F39&gt;0.9,SQRT(D39*E39),D39)</f>
        <v/>
      </c>
      <c r="E40" s="9">
        <f>IF(F39&gt;0.9,E39,SQRT(D39*E39))</f>
        <v/>
      </c>
      <c r="F40" s="47">
        <f>SUMPRODUCT($B$4:$B$6,1-NORMSDIST((LN(SQRT(D40*E40))-LN($C$4:$C$6))/$B$9))</f>
        <v/>
      </c>
      <c r="G40" s="9">
        <f>IF(I39&gt;0.75,SQRT(G39*H39),G39)</f>
        <v/>
      </c>
      <c r="H40" s="9">
        <f>IF(I39&gt;0.75,H39,SQRT(G39*H39))</f>
        <v/>
      </c>
      <c r="I40" s="47">
        <f>SUMPRODUCT($B$4:$B$6,1-NORMSDIST((LN(SQRT(G40*H40))-LN($C$4:$C$6))/$B$9))</f>
        <v/>
      </c>
      <c r="J40" s="9">
        <f>IF(L39&gt;0.25,SQRT(J39*K39),J39)</f>
        <v/>
      </c>
      <c r="K40" s="9">
        <f>IF(L39&gt;0.25,K39,SQRT(J39*K39))</f>
        <v/>
      </c>
      <c r="L40" s="47">
        <f>SUMPRODUCT($B$4:$B$6,1-NORMSDIST((LN(SQRT(J40*K40))-LN($C$4:$C$6))/$B$9))</f>
        <v/>
      </c>
      <c r="M40" s="9">
        <f>IF(O39&gt;0.09999999999999998,SQRT(M39*N39),M39)</f>
        <v/>
      </c>
      <c r="N40" s="9">
        <f>IF(O39&gt;0.09999999999999998,N39,SQRT(M39*N39))</f>
        <v/>
      </c>
      <c r="O40" s="47">
        <f>SUMPRODUCT($B$4:$B$6,1-NORMSDIST((LN(SQRT(M40*N40))-LN($C$4:$C$6))/$B$9))</f>
        <v/>
      </c>
    </row>
    <row r="41">
      <c r="A41" s="9">
        <f>IF(C40&gt;0.5,SQRT(A40*B40),A40)</f>
        <v/>
      </c>
      <c r="B41" s="9">
        <f>IF(C40&gt;0.5,B40,SQRT(A40*B40))</f>
        <v/>
      </c>
      <c r="C41" s="47">
        <f>SUMPRODUCT($B$4:$B$6,1-NORMSDIST((LN(SQRT(A41*B41))-LN($C$4:$C$6))/$B$9))</f>
        <v/>
      </c>
      <c r="D41" s="9">
        <f>IF(F40&gt;0.9,SQRT(D40*E40),D40)</f>
        <v/>
      </c>
      <c r="E41" s="9">
        <f>IF(F40&gt;0.9,E40,SQRT(D40*E40))</f>
        <v/>
      </c>
      <c r="F41" s="47">
        <f>SUMPRODUCT($B$4:$B$6,1-NORMSDIST((LN(SQRT(D41*E41))-LN($C$4:$C$6))/$B$9))</f>
        <v/>
      </c>
      <c r="G41" s="9">
        <f>IF(I40&gt;0.75,SQRT(G40*H40),G40)</f>
        <v/>
      </c>
      <c r="H41" s="9">
        <f>IF(I40&gt;0.75,H40,SQRT(G40*H40))</f>
        <v/>
      </c>
      <c r="I41" s="47">
        <f>SUMPRODUCT($B$4:$B$6,1-NORMSDIST((LN(SQRT(G41*H41))-LN($C$4:$C$6))/$B$9))</f>
        <v/>
      </c>
      <c r="J41" s="9">
        <f>IF(L40&gt;0.25,SQRT(J40*K40),J40)</f>
        <v/>
      </c>
      <c r="K41" s="9">
        <f>IF(L40&gt;0.25,K40,SQRT(J40*K40))</f>
        <v/>
      </c>
      <c r="L41" s="47">
        <f>SUMPRODUCT($B$4:$B$6,1-NORMSDIST((LN(SQRT(J41*K41))-LN($C$4:$C$6))/$B$9))</f>
        <v/>
      </c>
      <c r="M41" s="9">
        <f>IF(O40&gt;0.09999999999999998,SQRT(M40*N40),M40)</f>
        <v/>
      </c>
      <c r="N41" s="9">
        <f>IF(O40&gt;0.09999999999999998,N40,SQRT(M40*N40))</f>
        <v/>
      </c>
      <c r="O41" s="47">
        <f>SUMPRODUCT($B$4:$B$6,1-NORMSDIST((LN(SQRT(M41*N41))-LN($C$4:$C$6))/$B$9))</f>
        <v/>
      </c>
    </row>
    <row r="42">
      <c r="A42" s="9">
        <f>IF(C41&gt;0.5,SQRT(A41*B41),A41)</f>
        <v/>
      </c>
      <c r="B42" s="9">
        <f>IF(C41&gt;0.5,B41,SQRT(A41*B41))</f>
        <v/>
      </c>
      <c r="C42" s="47">
        <f>SUMPRODUCT($B$4:$B$6,1-NORMSDIST((LN(SQRT(A42*B42))-LN($C$4:$C$6))/$B$9))</f>
        <v/>
      </c>
      <c r="D42" s="9">
        <f>IF(F41&gt;0.9,SQRT(D41*E41),D41)</f>
        <v/>
      </c>
      <c r="E42" s="9">
        <f>IF(F41&gt;0.9,E41,SQRT(D41*E41))</f>
        <v/>
      </c>
      <c r="F42" s="47">
        <f>SUMPRODUCT($B$4:$B$6,1-NORMSDIST((LN(SQRT(D42*E42))-LN($C$4:$C$6))/$B$9))</f>
        <v/>
      </c>
      <c r="G42" s="9">
        <f>IF(I41&gt;0.75,SQRT(G41*H41),G41)</f>
        <v/>
      </c>
      <c r="H42" s="9">
        <f>IF(I41&gt;0.75,H41,SQRT(G41*H41))</f>
        <v/>
      </c>
      <c r="I42" s="47">
        <f>SUMPRODUCT($B$4:$B$6,1-NORMSDIST((LN(SQRT(G42*H42))-LN($C$4:$C$6))/$B$9))</f>
        <v/>
      </c>
      <c r="J42" s="9">
        <f>IF(L41&gt;0.25,SQRT(J41*K41),J41)</f>
        <v/>
      </c>
      <c r="K42" s="9">
        <f>IF(L41&gt;0.25,K41,SQRT(J41*K41))</f>
        <v/>
      </c>
      <c r="L42" s="47">
        <f>SUMPRODUCT($B$4:$B$6,1-NORMSDIST((LN(SQRT(J42*K42))-LN($C$4:$C$6))/$B$9))</f>
        <v/>
      </c>
      <c r="M42" s="9">
        <f>IF(O41&gt;0.09999999999999998,SQRT(M41*N41),M41)</f>
        <v/>
      </c>
      <c r="N42" s="9">
        <f>IF(O41&gt;0.09999999999999998,N41,SQRT(M41*N41))</f>
        <v/>
      </c>
      <c r="O42" s="47">
        <f>SUMPRODUCT($B$4:$B$6,1-NORMSDIST((LN(SQRT(M42*N42))-LN($C$4:$C$6))/$B$9))</f>
        <v/>
      </c>
    </row>
    <row r="43">
      <c r="A43" s="9">
        <f>IF(C42&gt;0.5,SQRT(A42*B42),A42)</f>
        <v/>
      </c>
      <c r="B43" s="9">
        <f>IF(C42&gt;0.5,B42,SQRT(A42*B42))</f>
        <v/>
      </c>
      <c r="C43" s="47">
        <f>SUMPRODUCT($B$4:$B$6,1-NORMSDIST((LN(SQRT(A43*B43))-LN($C$4:$C$6))/$B$9))</f>
        <v/>
      </c>
      <c r="D43" s="9">
        <f>IF(F42&gt;0.9,SQRT(D42*E42),D42)</f>
        <v/>
      </c>
      <c r="E43" s="9">
        <f>IF(F42&gt;0.9,E42,SQRT(D42*E42))</f>
        <v/>
      </c>
      <c r="F43" s="47">
        <f>SUMPRODUCT($B$4:$B$6,1-NORMSDIST((LN(SQRT(D43*E43))-LN($C$4:$C$6))/$B$9))</f>
        <v/>
      </c>
      <c r="G43" s="9">
        <f>IF(I42&gt;0.75,SQRT(G42*H42),G42)</f>
        <v/>
      </c>
      <c r="H43" s="9">
        <f>IF(I42&gt;0.75,H42,SQRT(G42*H42))</f>
        <v/>
      </c>
      <c r="I43" s="47">
        <f>SUMPRODUCT($B$4:$B$6,1-NORMSDIST((LN(SQRT(G43*H43))-LN($C$4:$C$6))/$B$9))</f>
        <v/>
      </c>
      <c r="J43" s="9">
        <f>IF(L42&gt;0.25,SQRT(J42*K42),J42)</f>
        <v/>
      </c>
      <c r="K43" s="9">
        <f>IF(L42&gt;0.25,K42,SQRT(J42*K42))</f>
        <v/>
      </c>
      <c r="L43" s="47">
        <f>SUMPRODUCT($B$4:$B$6,1-NORMSDIST((LN(SQRT(J43*K43))-LN($C$4:$C$6))/$B$9))</f>
        <v/>
      </c>
      <c r="M43" s="9">
        <f>IF(O42&gt;0.09999999999999998,SQRT(M42*N42),M42)</f>
        <v/>
      </c>
      <c r="N43" s="9">
        <f>IF(O42&gt;0.09999999999999998,N42,SQRT(M42*N42))</f>
        <v/>
      </c>
      <c r="O43" s="47">
        <f>SUMPRODUCT($B$4:$B$6,1-NORMSDIST((LN(SQRT(M43*N43))-LN($C$4:$C$6))/$B$9))</f>
        <v/>
      </c>
    </row>
    <row r="44">
      <c r="A44" s="9">
        <f>IF(C43&gt;0.5,SQRT(A43*B43),A43)</f>
        <v/>
      </c>
      <c r="B44" s="9">
        <f>IF(C43&gt;0.5,B43,SQRT(A43*B43))</f>
        <v/>
      </c>
      <c r="C44" s="47">
        <f>SUMPRODUCT($B$4:$B$6,1-NORMSDIST((LN(SQRT(A44*B44))-LN($C$4:$C$6))/$B$9))</f>
        <v/>
      </c>
      <c r="D44" s="9">
        <f>IF(F43&gt;0.9,SQRT(D43*E43),D43)</f>
        <v/>
      </c>
      <c r="E44" s="9">
        <f>IF(F43&gt;0.9,E43,SQRT(D43*E43))</f>
        <v/>
      </c>
      <c r="F44" s="47">
        <f>SUMPRODUCT($B$4:$B$6,1-NORMSDIST((LN(SQRT(D44*E44))-LN($C$4:$C$6))/$B$9))</f>
        <v/>
      </c>
      <c r="G44" s="9">
        <f>IF(I43&gt;0.75,SQRT(G43*H43),G43)</f>
        <v/>
      </c>
      <c r="H44" s="9">
        <f>IF(I43&gt;0.75,H43,SQRT(G43*H43))</f>
        <v/>
      </c>
      <c r="I44" s="47">
        <f>SUMPRODUCT($B$4:$B$6,1-NORMSDIST((LN(SQRT(G44*H44))-LN($C$4:$C$6))/$B$9))</f>
        <v/>
      </c>
      <c r="J44" s="9">
        <f>IF(L43&gt;0.25,SQRT(J43*K43),J43)</f>
        <v/>
      </c>
      <c r="K44" s="9">
        <f>IF(L43&gt;0.25,K43,SQRT(J43*K43))</f>
        <v/>
      </c>
      <c r="L44" s="47">
        <f>SUMPRODUCT($B$4:$B$6,1-NORMSDIST((LN(SQRT(J44*K44))-LN($C$4:$C$6))/$B$9))</f>
        <v/>
      </c>
      <c r="M44" s="9">
        <f>IF(O43&gt;0.09999999999999998,SQRT(M43*N43),M43)</f>
        <v/>
      </c>
      <c r="N44" s="9">
        <f>IF(O43&gt;0.09999999999999998,N43,SQRT(M43*N43))</f>
        <v/>
      </c>
      <c r="O44" s="47">
        <f>SUMPRODUCT($B$4:$B$6,1-NORMSDIST((LN(SQRT(M44*N44))-LN($C$4:$C$6))/$B$9))</f>
        <v/>
      </c>
    </row>
    <row r="45">
      <c r="A45" s="9">
        <f>IF(C44&gt;0.5,SQRT(A44*B44),A44)</f>
        <v/>
      </c>
      <c r="B45" s="9">
        <f>IF(C44&gt;0.5,B44,SQRT(A44*B44))</f>
        <v/>
      </c>
      <c r="C45" s="47">
        <f>SUMPRODUCT($B$4:$B$6,1-NORMSDIST((LN(SQRT(A45*B45))-LN($C$4:$C$6))/$B$9))</f>
        <v/>
      </c>
      <c r="D45" s="9">
        <f>IF(F44&gt;0.9,SQRT(D44*E44),D44)</f>
        <v/>
      </c>
      <c r="E45" s="9">
        <f>IF(F44&gt;0.9,E44,SQRT(D44*E44))</f>
        <v/>
      </c>
      <c r="F45" s="47">
        <f>SUMPRODUCT($B$4:$B$6,1-NORMSDIST((LN(SQRT(D45*E45))-LN($C$4:$C$6))/$B$9))</f>
        <v/>
      </c>
      <c r="G45" s="9">
        <f>IF(I44&gt;0.75,SQRT(G44*H44),G44)</f>
        <v/>
      </c>
      <c r="H45" s="9">
        <f>IF(I44&gt;0.75,H44,SQRT(G44*H44))</f>
        <v/>
      </c>
      <c r="I45" s="47">
        <f>SUMPRODUCT($B$4:$B$6,1-NORMSDIST((LN(SQRT(G45*H45))-LN($C$4:$C$6))/$B$9))</f>
        <v/>
      </c>
      <c r="J45" s="9">
        <f>IF(L44&gt;0.25,SQRT(J44*K44),J44)</f>
        <v/>
      </c>
      <c r="K45" s="9">
        <f>IF(L44&gt;0.25,K44,SQRT(J44*K44))</f>
        <v/>
      </c>
      <c r="L45" s="47">
        <f>SUMPRODUCT($B$4:$B$6,1-NORMSDIST((LN(SQRT(J45*K45))-LN($C$4:$C$6))/$B$9))</f>
        <v/>
      </c>
      <c r="M45" s="9">
        <f>IF(O44&gt;0.09999999999999998,SQRT(M44*N44),M44)</f>
        <v/>
      </c>
      <c r="N45" s="9">
        <f>IF(O44&gt;0.09999999999999998,N44,SQRT(M44*N44))</f>
        <v/>
      </c>
      <c r="O45" s="47">
        <f>SUMPRODUCT($B$4:$B$6,1-NORMSDIST((LN(SQRT(M45*N45))-LN($C$4:$C$6))/$B$9))</f>
        <v/>
      </c>
    </row>
    <row r="46">
      <c r="A46" s="9">
        <f>IF(C45&gt;0.5,SQRT(A45*B45),A45)</f>
        <v/>
      </c>
      <c r="B46" s="9">
        <f>IF(C45&gt;0.5,B45,SQRT(A45*B45))</f>
        <v/>
      </c>
      <c r="C46" s="47">
        <f>SUMPRODUCT($B$4:$B$6,1-NORMSDIST((LN(SQRT(A46*B46))-LN($C$4:$C$6))/$B$9))</f>
        <v/>
      </c>
      <c r="D46" s="9">
        <f>IF(F45&gt;0.9,SQRT(D45*E45),D45)</f>
        <v/>
      </c>
      <c r="E46" s="9">
        <f>IF(F45&gt;0.9,E45,SQRT(D45*E45))</f>
        <v/>
      </c>
      <c r="F46" s="47">
        <f>SUMPRODUCT($B$4:$B$6,1-NORMSDIST((LN(SQRT(D46*E46))-LN($C$4:$C$6))/$B$9))</f>
        <v/>
      </c>
      <c r="G46" s="9">
        <f>IF(I45&gt;0.75,SQRT(G45*H45),G45)</f>
        <v/>
      </c>
      <c r="H46" s="9">
        <f>IF(I45&gt;0.75,H45,SQRT(G45*H45))</f>
        <v/>
      </c>
      <c r="I46" s="47">
        <f>SUMPRODUCT($B$4:$B$6,1-NORMSDIST((LN(SQRT(G46*H46))-LN($C$4:$C$6))/$B$9))</f>
        <v/>
      </c>
      <c r="J46" s="9">
        <f>IF(L45&gt;0.25,SQRT(J45*K45),J45)</f>
        <v/>
      </c>
      <c r="K46" s="9">
        <f>IF(L45&gt;0.25,K45,SQRT(J45*K45))</f>
        <v/>
      </c>
      <c r="L46" s="47">
        <f>SUMPRODUCT($B$4:$B$6,1-NORMSDIST((LN(SQRT(J46*K46))-LN($C$4:$C$6))/$B$9))</f>
        <v/>
      </c>
      <c r="M46" s="9">
        <f>IF(O45&gt;0.09999999999999998,SQRT(M45*N45),M45)</f>
        <v/>
      </c>
      <c r="N46" s="9">
        <f>IF(O45&gt;0.09999999999999998,N45,SQRT(M45*N45))</f>
        <v/>
      </c>
      <c r="O46" s="47">
        <f>SUMPRODUCT($B$4:$B$6,1-NORMSDIST((LN(SQRT(M46*N46))-LN($C$4:$C$6))/$B$9))</f>
        <v/>
      </c>
    </row>
    <row r="47">
      <c r="A47" s="9">
        <f>IF(C46&gt;0.5,SQRT(A46*B46),A46)</f>
        <v/>
      </c>
      <c r="B47" s="9">
        <f>IF(C46&gt;0.5,B46,SQRT(A46*B46))</f>
        <v/>
      </c>
      <c r="C47" s="47">
        <f>SUMPRODUCT($B$4:$B$6,1-NORMSDIST((LN(SQRT(A47*B47))-LN($C$4:$C$6))/$B$9))</f>
        <v/>
      </c>
      <c r="D47" s="9">
        <f>IF(F46&gt;0.9,SQRT(D46*E46),D46)</f>
        <v/>
      </c>
      <c r="E47" s="9">
        <f>IF(F46&gt;0.9,E46,SQRT(D46*E46))</f>
        <v/>
      </c>
      <c r="F47" s="47">
        <f>SUMPRODUCT($B$4:$B$6,1-NORMSDIST((LN(SQRT(D47*E47))-LN($C$4:$C$6))/$B$9))</f>
        <v/>
      </c>
      <c r="G47" s="9">
        <f>IF(I46&gt;0.75,SQRT(G46*H46),G46)</f>
        <v/>
      </c>
      <c r="H47" s="9">
        <f>IF(I46&gt;0.75,H46,SQRT(G46*H46))</f>
        <v/>
      </c>
      <c r="I47" s="47">
        <f>SUMPRODUCT($B$4:$B$6,1-NORMSDIST((LN(SQRT(G47*H47))-LN($C$4:$C$6))/$B$9))</f>
        <v/>
      </c>
      <c r="J47" s="9">
        <f>IF(L46&gt;0.25,SQRT(J46*K46),J46)</f>
        <v/>
      </c>
      <c r="K47" s="9">
        <f>IF(L46&gt;0.25,K46,SQRT(J46*K46))</f>
        <v/>
      </c>
      <c r="L47" s="47">
        <f>SUMPRODUCT($B$4:$B$6,1-NORMSDIST((LN(SQRT(J47*K47))-LN($C$4:$C$6))/$B$9))</f>
        <v/>
      </c>
      <c r="M47" s="9">
        <f>IF(O46&gt;0.09999999999999998,SQRT(M46*N46),M46)</f>
        <v/>
      </c>
      <c r="N47" s="9">
        <f>IF(O46&gt;0.09999999999999998,N46,SQRT(M46*N46))</f>
        <v/>
      </c>
      <c r="O47" s="47">
        <f>SUMPRODUCT($B$4:$B$6,1-NORMSDIST((LN(SQRT(M47*N47))-LN($C$4:$C$6))/$B$9))</f>
        <v/>
      </c>
    </row>
    <row r="48">
      <c r="A48" s="9">
        <f>IF(C47&gt;0.5,SQRT(A47*B47),A47)</f>
        <v/>
      </c>
      <c r="B48" s="9">
        <f>IF(C47&gt;0.5,B47,SQRT(A47*B47))</f>
        <v/>
      </c>
      <c r="C48" s="47">
        <f>SUMPRODUCT($B$4:$B$6,1-NORMSDIST((LN(SQRT(A48*B48))-LN($C$4:$C$6))/$B$9))</f>
        <v/>
      </c>
      <c r="D48" s="9">
        <f>IF(F47&gt;0.9,SQRT(D47*E47),D47)</f>
        <v/>
      </c>
      <c r="E48" s="9">
        <f>IF(F47&gt;0.9,E47,SQRT(D47*E47))</f>
        <v/>
      </c>
      <c r="F48" s="47">
        <f>SUMPRODUCT($B$4:$B$6,1-NORMSDIST((LN(SQRT(D48*E48))-LN($C$4:$C$6))/$B$9))</f>
        <v/>
      </c>
      <c r="G48" s="9">
        <f>IF(I47&gt;0.75,SQRT(G47*H47),G47)</f>
        <v/>
      </c>
      <c r="H48" s="9">
        <f>IF(I47&gt;0.75,H47,SQRT(G47*H47))</f>
        <v/>
      </c>
      <c r="I48" s="47">
        <f>SUMPRODUCT($B$4:$B$6,1-NORMSDIST((LN(SQRT(G48*H48))-LN($C$4:$C$6))/$B$9))</f>
        <v/>
      </c>
      <c r="J48" s="9">
        <f>IF(L47&gt;0.25,SQRT(J47*K47),J47)</f>
        <v/>
      </c>
      <c r="K48" s="9">
        <f>IF(L47&gt;0.25,K47,SQRT(J47*K47))</f>
        <v/>
      </c>
      <c r="L48" s="47">
        <f>SUMPRODUCT($B$4:$B$6,1-NORMSDIST((LN(SQRT(J48*K48))-LN($C$4:$C$6))/$B$9))</f>
        <v/>
      </c>
      <c r="M48" s="9">
        <f>IF(O47&gt;0.09999999999999998,SQRT(M47*N47),M47)</f>
        <v/>
      </c>
      <c r="N48" s="9">
        <f>IF(O47&gt;0.09999999999999998,N47,SQRT(M47*N47))</f>
        <v/>
      </c>
      <c r="O48" s="47">
        <f>SUMPRODUCT($B$4:$B$6,1-NORMSDIST((LN(SQRT(M48*N48))-LN($C$4:$C$6))/$B$9))</f>
        <v/>
      </c>
    </row>
    <row r="49">
      <c r="A49" s="9">
        <f>IF(C48&gt;0.5,SQRT(A48*B48),A48)</f>
        <v/>
      </c>
      <c r="B49" s="9">
        <f>IF(C48&gt;0.5,B48,SQRT(A48*B48))</f>
        <v/>
      </c>
      <c r="C49" s="47">
        <f>SUMPRODUCT($B$4:$B$6,1-NORMSDIST((LN(SQRT(A49*B49))-LN($C$4:$C$6))/$B$9))</f>
        <v/>
      </c>
      <c r="D49" s="9">
        <f>IF(F48&gt;0.9,SQRT(D48*E48),D48)</f>
        <v/>
      </c>
      <c r="E49" s="9">
        <f>IF(F48&gt;0.9,E48,SQRT(D48*E48))</f>
        <v/>
      </c>
      <c r="F49" s="47">
        <f>SUMPRODUCT($B$4:$B$6,1-NORMSDIST((LN(SQRT(D49*E49))-LN($C$4:$C$6))/$B$9))</f>
        <v/>
      </c>
      <c r="G49" s="9">
        <f>IF(I48&gt;0.75,SQRT(G48*H48),G48)</f>
        <v/>
      </c>
      <c r="H49" s="9">
        <f>IF(I48&gt;0.75,H48,SQRT(G48*H48))</f>
        <v/>
      </c>
      <c r="I49" s="47">
        <f>SUMPRODUCT($B$4:$B$6,1-NORMSDIST((LN(SQRT(G49*H49))-LN($C$4:$C$6))/$B$9))</f>
        <v/>
      </c>
      <c r="J49" s="9">
        <f>IF(L48&gt;0.25,SQRT(J48*K48),J48)</f>
        <v/>
      </c>
      <c r="K49" s="9">
        <f>IF(L48&gt;0.25,K48,SQRT(J48*K48))</f>
        <v/>
      </c>
      <c r="L49" s="47">
        <f>SUMPRODUCT($B$4:$B$6,1-NORMSDIST((LN(SQRT(J49*K49))-LN($C$4:$C$6))/$B$9))</f>
        <v/>
      </c>
      <c r="M49" s="9">
        <f>IF(O48&gt;0.09999999999999998,SQRT(M48*N48),M48)</f>
        <v/>
      </c>
      <c r="N49" s="9">
        <f>IF(O48&gt;0.09999999999999998,N48,SQRT(M48*N48))</f>
        <v/>
      </c>
      <c r="O49" s="47">
        <f>SUMPRODUCT($B$4:$B$6,1-NORMSDIST((LN(SQRT(M49*N49))-LN($C$4:$C$6))/$B$9))</f>
        <v/>
      </c>
    </row>
    <row r="50">
      <c r="A50" s="9">
        <f>IF(C49&gt;0.5,SQRT(A49*B49),A49)</f>
        <v/>
      </c>
      <c r="B50" s="9">
        <f>IF(C49&gt;0.5,B49,SQRT(A49*B49))</f>
        <v/>
      </c>
      <c r="C50" s="47">
        <f>SUMPRODUCT($B$4:$B$6,1-NORMSDIST((LN(SQRT(A50*B50))-LN($C$4:$C$6))/$B$9))</f>
        <v/>
      </c>
      <c r="D50" s="9">
        <f>IF(F49&gt;0.9,SQRT(D49*E49),D49)</f>
        <v/>
      </c>
      <c r="E50" s="9">
        <f>IF(F49&gt;0.9,E49,SQRT(D49*E49))</f>
        <v/>
      </c>
      <c r="F50" s="47">
        <f>SUMPRODUCT($B$4:$B$6,1-NORMSDIST((LN(SQRT(D50*E50))-LN($C$4:$C$6))/$B$9))</f>
        <v/>
      </c>
      <c r="G50" s="9">
        <f>IF(I49&gt;0.75,SQRT(G49*H49),G49)</f>
        <v/>
      </c>
      <c r="H50" s="9">
        <f>IF(I49&gt;0.75,H49,SQRT(G49*H49))</f>
        <v/>
      </c>
      <c r="I50" s="47">
        <f>SUMPRODUCT($B$4:$B$6,1-NORMSDIST((LN(SQRT(G50*H50))-LN($C$4:$C$6))/$B$9))</f>
        <v/>
      </c>
      <c r="J50" s="9">
        <f>IF(L49&gt;0.25,SQRT(J49*K49),J49)</f>
        <v/>
      </c>
      <c r="K50" s="9">
        <f>IF(L49&gt;0.25,K49,SQRT(J49*K49))</f>
        <v/>
      </c>
      <c r="L50" s="47">
        <f>SUMPRODUCT($B$4:$B$6,1-NORMSDIST((LN(SQRT(J50*K50))-LN($C$4:$C$6))/$B$9))</f>
        <v/>
      </c>
      <c r="M50" s="9">
        <f>IF(O49&gt;0.09999999999999998,SQRT(M49*N49),M49)</f>
        <v/>
      </c>
      <c r="N50" s="9">
        <f>IF(O49&gt;0.09999999999999998,N49,SQRT(M49*N49))</f>
        <v/>
      </c>
      <c r="O50" s="47">
        <f>SUMPRODUCT($B$4:$B$6,1-NORMSDIST((LN(SQRT(M50*N50))-LN($C$4:$C$6))/$B$9))</f>
        <v/>
      </c>
    </row>
    <row r="51">
      <c r="A51" s="9">
        <f>IF(C50&gt;0.5,SQRT(A50*B50),A50)</f>
        <v/>
      </c>
      <c r="B51" s="9">
        <f>IF(C50&gt;0.5,B50,SQRT(A50*B50))</f>
        <v/>
      </c>
      <c r="C51" s="47">
        <f>SUMPRODUCT($B$4:$B$6,1-NORMSDIST((LN(SQRT(A51*B51))-LN($C$4:$C$6))/$B$9))</f>
        <v/>
      </c>
      <c r="D51" s="9">
        <f>IF(F50&gt;0.9,SQRT(D50*E50),D50)</f>
        <v/>
      </c>
      <c r="E51" s="9">
        <f>IF(F50&gt;0.9,E50,SQRT(D50*E50))</f>
        <v/>
      </c>
      <c r="F51" s="47">
        <f>SUMPRODUCT($B$4:$B$6,1-NORMSDIST((LN(SQRT(D51*E51))-LN($C$4:$C$6))/$B$9))</f>
        <v/>
      </c>
      <c r="G51" s="9">
        <f>IF(I50&gt;0.75,SQRT(G50*H50),G50)</f>
        <v/>
      </c>
      <c r="H51" s="9">
        <f>IF(I50&gt;0.75,H50,SQRT(G50*H50))</f>
        <v/>
      </c>
      <c r="I51" s="47">
        <f>SUMPRODUCT($B$4:$B$6,1-NORMSDIST((LN(SQRT(G51*H51))-LN($C$4:$C$6))/$B$9))</f>
        <v/>
      </c>
      <c r="J51" s="9">
        <f>IF(L50&gt;0.25,SQRT(J50*K50),J50)</f>
        <v/>
      </c>
      <c r="K51" s="9">
        <f>IF(L50&gt;0.25,K50,SQRT(J50*K50))</f>
        <v/>
      </c>
      <c r="L51" s="47">
        <f>SUMPRODUCT($B$4:$B$6,1-NORMSDIST((LN(SQRT(J51*K51))-LN($C$4:$C$6))/$B$9))</f>
        <v/>
      </c>
      <c r="M51" s="9">
        <f>IF(O50&gt;0.09999999999999998,SQRT(M50*N50),M50)</f>
        <v/>
      </c>
      <c r="N51" s="9">
        <f>IF(O50&gt;0.09999999999999998,N50,SQRT(M50*N50))</f>
        <v/>
      </c>
      <c r="O51" s="47">
        <f>SUMPRODUCT($B$4:$B$6,1-NORMSDIST((LN(SQRT(M51*N51))-LN($C$4:$C$6))/$B$9))</f>
        <v/>
      </c>
    </row>
    <row r="52">
      <c r="A52" s="9">
        <f>IF(C51&gt;0.5,SQRT(A51*B51),A51)</f>
        <v/>
      </c>
      <c r="B52" s="9">
        <f>IF(C51&gt;0.5,B51,SQRT(A51*B51))</f>
        <v/>
      </c>
      <c r="C52" s="47">
        <f>SUMPRODUCT($B$4:$B$6,1-NORMSDIST((LN(SQRT(A52*B52))-LN($C$4:$C$6))/$B$9))</f>
        <v/>
      </c>
      <c r="D52" s="9">
        <f>IF(F51&gt;0.9,SQRT(D51*E51),D51)</f>
        <v/>
      </c>
      <c r="E52" s="9">
        <f>IF(F51&gt;0.9,E51,SQRT(D51*E51))</f>
        <v/>
      </c>
      <c r="F52" s="47">
        <f>SUMPRODUCT($B$4:$B$6,1-NORMSDIST((LN(SQRT(D52*E52))-LN($C$4:$C$6))/$B$9))</f>
        <v/>
      </c>
      <c r="G52" s="9">
        <f>IF(I51&gt;0.75,SQRT(G51*H51),G51)</f>
        <v/>
      </c>
      <c r="H52" s="9">
        <f>IF(I51&gt;0.75,H51,SQRT(G51*H51))</f>
        <v/>
      </c>
      <c r="I52" s="47">
        <f>SUMPRODUCT($B$4:$B$6,1-NORMSDIST((LN(SQRT(G52*H52))-LN($C$4:$C$6))/$B$9))</f>
        <v/>
      </c>
      <c r="J52" s="9">
        <f>IF(L51&gt;0.25,SQRT(J51*K51),J51)</f>
        <v/>
      </c>
      <c r="K52" s="9">
        <f>IF(L51&gt;0.25,K51,SQRT(J51*K51))</f>
        <v/>
      </c>
      <c r="L52" s="47">
        <f>SUMPRODUCT($B$4:$B$6,1-NORMSDIST((LN(SQRT(J52*K52))-LN($C$4:$C$6))/$B$9))</f>
        <v/>
      </c>
      <c r="M52" s="9">
        <f>IF(O51&gt;0.09999999999999998,SQRT(M51*N51),M51)</f>
        <v/>
      </c>
      <c r="N52" s="9">
        <f>IF(O51&gt;0.09999999999999998,N51,SQRT(M51*N51))</f>
        <v/>
      </c>
      <c r="O52" s="47">
        <f>SUMPRODUCT($B$4:$B$6,1-NORMSDIST((LN(SQRT(M52*N52))-LN($C$4:$C$6))/$B$9))</f>
        <v/>
      </c>
    </row>
    <row r="53">
      <c r="A53" s="9">
        <f>IF(C52&gt;0.5,SQRT(A52*B52),A52)</f>
        <v/>
      </c>
      <c r="B53" s="9">
        <f>IF(C52&gt;0.5,B52,SQRT(A52*B52))</f>
        <v/>
      </c>
      <c r="C53" s="47">
        <f>SUMPRODUCT($B$4:$B$6,1-NORMSDIST((LN(SQRT(A53*B53))-LN($C$4:$C$6))/$B$9))</f>
        <v/>
      </c>
      <c r="D53" s="9">
        <f>IF(F52&gt;0.9,SQRT(D52*E52),D52)</f>
        <v/>
      </c>
      <c r="E53" s="9">
        <f>IF(F52&gt;0.9,E52,SQRT(D52*E52))</f>
        <v/>
      </c>
      <c r="F53" s="47">
        <f>SUMPRODUCT($B$4:$B$6,1-NORMSDIST((LN(SQRT(D53*E53))-LN($C$4:$C$6))/$B$9))</f>
        <v/>
      </c>
      <c r="G53" s="9">
        <f>IF(I52&gt;0.75,SQRT(G52*H52),G52)</f>
        <v/>
      </c>
      <c r="H53" s="9">
        <f>IF(I52&gt;0.75,H52,SQRT(G52*H52))</f>
        <v/>
      </c>
      <c r="I53" s="47">
        <f>SUMPRODUCT($B$4:$B$6,1-NORMSDIST((LN(SQRT(G53*H53))-LN($C$4:$C$6))/$B$9))</f>
        <v/>
      </c>
      <c r="J53" s="9">
        <f>IF(L52&gt;0.25,SQRT(J52*K52),J52)</f>
        <v/>
      </c>
      <c r="K53" s="9">
        <f>IF(L52&gt;0.25,K52,SQRT(J52*K52))</f>
        <v/>
      </c>
      <c r="L53" s="47">
        <f>SUMPRODUCT($B$4:$B$6,1-NORMSDIST((LN(SQRT(J53*K53))-LN($C$4:$C$6))/$B$9))</f>
        <v/>
      </c>
      <c r="M53" s="9">
        <f>IF(O52&gt;0.09999999999999998,SQRT(M52*N52),M52)</f>
        <v/>
      </c>
      <c r="N53" s="9">
        <f>IF(O52&gt;0.09999999999999998,N52,SQRT(M52*N52))</f>
        <v/>
      </c>
      <c r="O53" s="47">
        <f>SUMPRODUCT($B$4:$B$6,1-NORMSDIST((LN(SQRT(M53*N53))-LN($C$4:$C$6))/$B$9))</f>
        <v/>
      </c>
    </row>
    <row r="54">
      <c r="A54" s="9">
        <f>IF(C53&gt;0.5,SQRT(A53*B53),A53)</f>
        <v/>
      </c>
      <c r="B54" s="9">
        <f>IF(C53&gt;0.5,B53,SQRT(A53*B53))</f>
        <v/>
      </c>
      <c r="C54" s="47">
        <f>SUMPRODUCT($B$4:$B$6,1-NORMSDIST((LN(SQRT(A54*B54))-LN($C$4:$C$6))/$B$9))</f>
        <v/>
      </c>
      <c r="D54" s="9">
        <f>IF(F53&gt;0.9,SQRT(D53*E53),D53)</f>
        <v/>
      </c>
      <c r="E54" s="9">
        <f>IF(F53&gt;0.9,E53,SQRT(D53*E53))</f>
        <v/>
      </c>
      <c r="F54" s="47">
        <f>SUMPRODUCT($B$4:$B$6,1-NORMSDIST((LN(SQRT(D54*E54))-LN($C$4:$C$6))/$B$9))</f>
        <v/>
      </c>
      <c r="G54" s="9">
        <f>IF(I53&gt;0.75,SQRT(G53*H53),G53)</f>
        <v/>
      </c>
      <c r="H54" s="9">
        <f>IF(I53&gt;0.75,H53,SQRT(G53*H53))</f>
        <v/>
      </c>
      <c r="I54" s="47">
        <f>SUMPRODUCT($B$4:$B$6,1-NORMSDIST((LN(SQRT(G54*H54))-LN($C$4:$C$6))/$B$9))</f>
        <v/>
      </c>
      <c r="J54" s="9">
        <f>IF(L53&gt;0.25,SQRT(J53*K53),J53)</f>
        <v/>
      </c>
      <c r="K54" s="9">
        <f>IF(L53&gt;0.25,K53,SQRT(J53*K53))</f>
        <v/>
      </c>
      <c r="L54" s="47">
        <f>SUMPRODUCT($B$4:$B$6,1-NORMSDIST((LN(SQRT(J54*K54))-LN($C$4:$C$6))/$B$9))</f>
        <v/>
      </c>
      <c r="M54" s="9">
        <f>IF(O53&gt;0.09999999999999998,SQRT(M53*N53),M53)</f>
        <v/>
      </c>
      <c r="N54" s="9">
        <f>IF(O53&gt;0.09999999999999998,N53,SQRT(M53*N53))</f>
        <v/>
      </c>
      <c r="O54" s="47">
        <f>SUMPRODUCT($B$4:$B$6,1-NORMSDIST((LN(SQRT(M54*N54))-LN($C$4:$C$6))/$B$9))</f>
        <v/>
      </c>
    </row>
    <row r="55">
      <c r="A55" s="9">
        <f>IF(C54&gt;0.5,SQRT(A54*B54),A54)</f>
        <v/>
      </c>
      <c r="B55" s="9">
        <f>IF(C54&gt;0.5,B54,SQRT(A54*B54))</f>
        <v/>
      </c>
      <c r="C55" s="47">
        <f>SUMPRODUCT($B$4:$B$6,1-NORMSDIST((LN(SQRT(A55*B55))-LN($C$4:$C$6))/$B$9))</f>
        <v/>
      </c>
      <c r="D55" s="9">
        <f>IF(F54&gt;0.9,SQRT(D54*E54),D54)</f>
        <v/>
      </c>
      <c r="E55" s="9">
        <f>IF(F54&gt;0.9,E54,SQRT(D54*E54))</f>
        <v/>
      </c>
      <c r="F55" s="47">
        <f>SUMPRODUCT($B$4:$B$6,1-NORMSDIST((LN(SQRT(D55*E55))-LN($C$4:$C$6))/$B$9))</f>
        <v/>
      </c>
      <c r="G55" s="9">
        <f>IF(I54&gt;0.75,SQRT(G54*H54),G54)</f>
        <v/>
      </c>
      <c r="H55" s="9">
        <f>IF(I54&gt;0.75,H54,SQRT(G54*H54))</f>
        <v/>
      </c>
      <c r="I55" s="47">
        <f>SUMPRODUCT($B$4:$B$6,1-NORMSDIST((LN(SQRT(G55*H55))-LN($C$4:$C$6))/$B$9))</f>
        <v/>
      </c>
      <c r="J55" s="9">
        <f>IF(L54&gt;0.25,SQRT(J54*K54),J54)</f>
        <v/>
      </c>
      <c r="K55" s="9">
        <f>IF(L54&gt;0.25,K54,SQRT(J54*K54))</f>
        <v/>
      </c>
      <c r="L55" s="47">
        <f>SUMPRODUCT($B$4:$B$6,1-NORMSDIST((LN(SQRT(J55*K55))-LN($C$4:$C$6))/$B$9))</f>
        <v/>
      </c>
      <c r="M55" s="9">
        <f>IF(O54&gt;0.09999999999999998,SQRT(M54*N54),M54)</f>
        <v/>
      </c>
      <c r="N55" s="9">
        <f>IF(O54&gt;0.09999999999999998,N54,SQRT(M54*N54))</f>
        <v/>
      </c>
      <c r="O55" s="47">
        <f>SUMPRODUCT($B$4:$B$6,1-NORMSDIST((LN(SQRT(M55*N55))-LN($C$4:$C$6))/$B$9))</f>
        <v/>
      </c>
    </row>
    <row r="56">
      <c r="A56" s="9">
        <f>IF(C55&gt;0.5,SQRT(A55*B55),A55)</f>
        <v/>
      </c>
      <c r="B56" s="9">
        <f>IF(C55&gt;0.5,B55,SQRT(A55*B55))</f>
        <v/>
      </c>
      <c r="C56" s="47">
        <f>SUMPRODUCT($B$4:$B$6,1-NORMSDIST((LN(SQRT(A56*B56))-LN($C$4:$C$6))/$B$9))</f>
        <v/>
      </c>
      <c r="D56" s="9">
        <f>IF(F55&gt;0.9,SQRT(D55*E55),D55)</f>
        <v/>
      </c>
      <c r="E56" s="9">
        <f>IF(F55&gt;0.9,E55,SQRT(D55*E55))</f>
        <v/>
      </c>
      <c r="F56" s="47">
        <f>SUMPRODUCT($B$4:$B$6,1-NORMSDIST((LN(SQRT(D56*E56))-LN($C$4:$C$6))/$B$9))</f>
        <v/>
      </c>
      <c r="G56" s="9">
        <f>IF(I55&gt;0.75,SQRT(G55*H55),G55)</f>
        <v/>
      </c>
      <c r="H56" s="9">
        <f>IF(I55&gt;0.75,H55,SQRT(G55*H55))</f>
        <v/>
      </c>
      <c r="I56" s="47">
        <f>SUMPRODUCT($B$4:$B$6,1-NORMSDIST((LN(SQRT(G56*H56))-LN($C$4:$C$6))/$B$9))</f>
        <v/>
      </c>
      <c r="J56" s="9">
        <f>IF(L55&gt;0.25,SQRT(J55*K55),J55)</f>
        <v/>
      </c>
      <c r="K56" s="9">
        <f>IF(L55&gt;0.25,K55,SQRT(J55*K55))</f>
        <v/>
      </c>
      <c r="L56" s="47">
        <f>SUMPRODUCT($B$4:$B$6,1-NORMSDIST((LN(SQRT(J56*K56))-LN($C$4:$C$6))/$B$9))</f>
        <v/>
      </c>
      <c r="M56" s="9">
        <f>IF(O55&gt;0.09999999999999998,SQRT(M55*N55),M55)</f>
        <v/>
      </c>
      <c r="N56" s="9">
        <f>IF(O55&gt;0.09999999999999998,N55,SQRT(M55*N55))</f>
        <v/>
      </c>
      <c r="O56" s="47">
        <f>SUMPRODUCT($B$4:$B$6,1-NORMSDIST((LN(SQRT(M56*N56))-LN($C$4:$C$6))/$B$9))</f>
        <v/>
      </c>
    </row>
    <row r="57">
      <c r="A57" s="9">
        <f>IF(C56&gt;0.5,SQRT(A56*B56),A56)</f>
        <v/>
      </c>
      <c r="B57" s="9">
        <f>IF(C56&gt;0.5,B56,SQRT(A56*B56))</f>
        <v/>
      </c>
      <c r="C57" s="47">
        <f>SUMPRODUCT($B$4:$B$6,1-NORMSDIST((LN(SQRT(A57*B57))-LN($C$4:$C$6))/$B$9))</f>
        <v/>
      </c>
      <c r="D57" s="9">
        <f>IF(F56&gt;0.9,SQRT(D56*E56),D56)</f>
        <v/>
      </c>
      <c r="E57" s="9">
        <f>IF(F56&gt;0.9,E56,SQRT(D56*E56))</f>
        <v/>
      </c>
      <c r="F57" s="47">
        <f>SUMPRODUCT($B$4:$B$6,1-NORMSDIST((LN(SQRT(D57*E57))-LN($C$4:$C$6))/$B$9))</f>
        <v/>
      </c>
      <c r="G57" s="9">
        <f>IF(I56&gt;0.75,SQRT(G56*H56),G56)</f>
        <v/>
      </c>
      <c r="H57" s="9">
        <f>IF(I56&gt;0.75,H56,SQRT(G56*H56))</f>
        <v/>
      </c>
      <c r="I57" s="47">
        <f>SUMPRODUCT($B$4:$B$6,1-NORMSDIST((LN(SQRT(G57*H57))-LN($C$4:$C$6))/$B$9))</f>
        <v/>
      </c>
      <c r="J57" s="9">
        <f>IF(L56&gt;0.25,SQRT(J56*K56),J56)</f>
        <v/>
      </c>
      <c r="K57" s="9">
        <f>IF(L56&gt;0.25,K56,SQRT(J56*K56))</f>
        <v/>
      </c>
      <c r="L57" s="47">
        <f>SUMPRODUCT($B$4:$B$6,1-NORMSDIST((LN(SQRT(J57*K57))-LN($C$4:$C$6))/$B$9))</f>
        <v/>
      </c>
      <c r="M57" s="9">
        <f>IF(O56&gt;0.09999999999999998,SQRT(M56*N56),M56)</f>
        <v/>
      </c>
      <c r="N57" s="9">
        <f>IF(O56&gt;0.09999999999999998,N56,SQRT(M56*N56))</f>
        <v/>
      </c>
      <c r="O57" s="47">
        <f>SUMPRODUCT($B$4:$B$6,1-NORMSDIST((LN(SQRT(M57*N57))-LN($C$4:$C$6))/$B$9))</f>
        <v/>
      </c>
    </row>
    <row r="58">
      <c r="A58" s="9">
        <f>IF(C57&gt;0.5,SQRT(A57*B57),A57)</f>
        <v/>
      </c>
      <c r="B58" s="9">
        <f>IF(C57&gt;0.5,B57,SQRT(A57*B57))</f>
        <v/>
      </c>
      <c r="C58" s="47">
        <f>SUMPRODUCT($B$4:$B$6,1-NORMSDIST((LN(SQRT(A58*B58))-LN($C$4:$C$6))/$B$9))</f>
        <v/>
      </c>
      <c r="D58" s="9">
        <f>IF(F57&gt;0.9,SQRT(D57*E57),D57)</f>
        <v/>
      </c>
      <c r="E58" s="9">
        <f>IF(F57&gt;0.9,E57,SQRT(D57*E57))</f>
        <v/>
      </c>
      <c r="F58" s="47">
        <f>SUMPRODUCT($B$4:$B$6,1-NORMSDIST((LN(SQRT(D58*E58))-LN($C$4:$C$6))/$B$9))</f>
        <v/>
      </c>
      <c r="G58" s="9">
        <f>IF(I57&gt;0.75,SQRT(G57*H57),G57)</f>
        <v/>
      </c>
      <c r="H58" s="9">
        <f>IF(I57&gt;0.75,H57,SQRT(G57*H57))</f>
        <v/>
      </c>
      <c r="I58" s="47">
        <f>SUMPRODUCT($B$4:$B$6,1-NORMSDIST((LN(SQRT(G58*H58))-LN($C$4:$C$6))/$B$9))</f>
        <v/>
      </c>
      <c r="J58" s="9">
        <f>IF(L57&gt;0.25,SQRT(J57*K57),J57)</f>
        <v/>
      </c>
      <c r="K58" s="9">
        <f>IF(L57&gt;0.25,K57,SQRT(J57*K57))</f>
        <v/>
      </c>
      <c r="L58" s="47">
        <f>SUMPRODUCT($B$4:$B$6,1-NORMSDIST((LN(SQRT(J58*K58))-LN($C$4:$C$6))/$B$9))</f>
        <v/>
      </c>
      <c r="M58" s="9">
        <f>IF(O57&gt;0.09999999999999998,SQRT(M57*N57),M57)</f>
        <v/>
      </c>
      <c r="N58" s="9">
        <f>IF(O57&gt;0.09999999999999998,N57,SQRT(M57*N57))</f>
        <v/>
      </c>
      <c r="O58" s="47">
        <f>SUMPRODUCT($B$4:$B$6,1-NORMSDIST((LN(SQRT(M58*N58))-LN($C$4:$C$6))/$B$9))</f>
        <v/>
      </c>
    </row>
    <row r="59">
      <c r="A59" s="9">
        <f>IF(C58&gt;0.5,SQRT(A58*B58),A58)</f>
        <v/>
      </c>
      <c r="B59" s="9">
        <f>IF(C58&gt;0.5,B58,SQRT(A58*B58))</f>
        <v/>
      </c>
      <c r="C59" s="47">
        <f>SUMPRODUCT($B$4:$B$6,1-NORMSDIST((LN(SQRT(A59*B59))-LN($C$4:$C$6))/$B$9))</f>
        <v/>
      </c>
      <c r="D59" s="9">
        <f>IF(F58&gt;0.9,SQRT(D58*E58),D58)</f>
        <v/>
      </c>
      <c r="E59" s="9">
        <f>IF(F58&gt;0.9,E58,SQRT(D58*E58))</f>
        <v/>
      </c>
      <c r="F59" s="47">
        <f>SUMPRODUCT($B$4:$B$6,1-NORMSDIST((LN(SQRT(D59*E59))-LN($C$4:$C$6))/$B$9))</f>
        <v/>
      </c>
      <c r="G59" s="9">
        <f>IF(I58&gt;0.75,SQRT(G58*H58),G58)</f>
        <v/>
      </c>
      <c r="H59" s="9">
        <f>IF(I58&gt;0.75,H58,SQRT(G58*H58))</f>
        <v/>
      </c>
      <c r="I59" s="47">
        <f>SUMPRODUCT($B$4:$B$6,1-NORMSDIST((LN(SQRT(G59*H59))-LN($C$4:$C$6))/$B$9))</f>
        <v/>
      </c>
      <c r="J59" s="9">
        <f>IF(L58&gt;0.25,SQRT(J58*K58),J58)</f>
        <v/>
      </c>
      <c r="K59" s="9">
        <f>IF(L58&gt;0.25,K58,SQRT(J58*K58))</f>
        <v/>
      </c>
      <c r="L59" s="47">
        <f>SUMPRODUCT($B$4:$B$6,1-NORMSDIST((LN(SQRT(J59*K59))-LN($C$4:$C$6))/$B$9))</f>
        <v/>
      </c>
      <c r="M59" s="9">
        <f>IF(O58&gt;0.09999999999999998,SQRT(M58*N58),M58)</f>
        <v/>
      </c>
      <c r="N59" s="9">
        <f>IF(O58&gt;0.09999999999999998,N58,SQRT(M58*N58))</f>
        <v/>
      </c>
      <c r="O59" s="47">
        <f>SUMPRODUCT($B$4:$B$6,1-NORMSDIST((LN(SQRT(M59*N59))-LN($C$4:$C$6))/$B$9))</f>
        <v/>
      </c>
    </row>
    <row r="60">
      <c r="A60" s="9">
        <f>IF(C59&gt;0.5,SQRT(A59*B59),A59)</f>
        <v/>
      </c>
      <c r="B60" s="9">
        <f>IF(C59&gt;0.5,B59,SQRT(A59*B59))</f>
        <v/>
      </c>
      <c r="C60" s="47">
        <f>SUMPRODUCT($B$4:$B$6,1-NORMSDIST((LN(SQRT(A60*B60))-LN($C$4:$C$6))/$B$9))</f>
        <v/>
      </c>
      <c r="D60" s="9">
        <f>IF(F59&gt;0.9,SQRT(D59*E59),D59)</f>
        <v/>
      </c>
      <c r="E60" s="9">
        <f>IF(F59&gt;0.9,E59,SQRT(D59*E59))</f>
        <v/>
      </c>
      <c r="F60" s="47">
        <f>SUMPRODUCT($B$4:$B$6,1-NORMSDIST((LN(SQRT(D60*E60))-LN($C$4:$C$6))/$B$9))</f>
        <v/>
      </c>
      <c r="G60" s="9">
        <f>IF(I59&gt;0.75,SQRT(G59*H59),G59)</f>
        <v/>
      </c>
      <c r="H60" s="9">
        <f>IF(I59&gt;0.75,H59,SQRT(G59*H59))</f>
        <v/>
      </c>
      <c r="I60" s="47">
        <f>SUMPRODUCT($B$4:$B$6,1-NORMSDIST((LN(SQRT(G60*H60))-LN($C$4:$C$6))/$B$9))</f>
        <v/>
      </c>
      <c r="J60" s="9">
        <f>IF(L59&gt;0.25,SQRT(J59*K59),J59)</f>
        <v/>
      </c>
      <c r="K60" s="9">
        <f>IF(L59&gt;0.25,K59,SQRT(J59*K59))</f>
        <v/>
      </c>
      <c r="L60" s="47">
        <f>SUMPRODUCT($B$4:$B$6,1-NORMSDIST((LN(SQRT(J60*K60))-LN($C$4:$C$6))/$B$9))</f>
        <v/>
      </c>
      <c r="M60" s="9">
        <f>IF(O59&gt;0.09999999999999998,SQRT(M59*N59),M59)</f>
        <v/>
      </c>
      <c r="N60" s="9">
        <f>IF(O59&gt;0.09999999999999998,N59,SQRT(M59*N59))</f>
        <v/>
      </c>
      <c r="O60" s="47">
        <f>SUMPRODUCT($B$4:$B$6,1-NORMSDIST((LN(SQRT(M60*N60))-LN($C$4:$C$6))/$B$9))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42"/>
  <sheetViews>
    <sheetView showGridLines="0" workbookViewId="0">
      <pane xSplit="1" ySplit="18" topLeftCell="B1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13" customWidth="1" min="2" max="2"/>
    <col width="13" customWidth="1" min="3" max="3"/>
    <col width="13" customWidth="1" min="4" max="4"/>
    <col width="13" customWidth="1" min="5" max="5"/>
  </cols>
  <sheetData>
    <row r="1">
      <c r="A1" s="1" t="inlineStr">
        <is>
          <t>BE engine calculation: research target (12m) (reconciled set, no scenario deltas)</t>
        </is>
      </c>
    </row>
    <row r="2">
      <c r="A2" s="2" t="inlineStr">
        <is>
          <t>Machinery behind the Valuation and Distribution tabs; drivers come from Model, assumptions from Valuation.</t>
        </is>
      </c>
    </row>
    <row r="4">
      <c r="A4" t="inlineStr">
        <is>
          <t>Scenario Growth Δ</t>
        </is>
      </c>
      <c r="B4" s="20" t="n">
        <v>0</v>
      </c>
    </row>
    <row r="5">
      <c r="A5" t="inlineStr">
        <is>
          <t>Scenario Margin Δ</t>
        </is>
      </c>
      <c r="B5" s="20" t="n">
        <v>0</v>
      </c>
    </row>
    <row r="6">
      <c r="A6" t="inlineStr">
        <is>
          <t>Scenario Multiple Δ (turns)</t>
        </is>
      </c>
      <c r="B6" s="48" t="n">
        <v>0</v>
      </c>
    </row>
    <row r="7">
      <c r="A7" t="inlineStr">
        <is>
          <t>Scenario WACC Δ</t>
        </is>
      </c>
      <c r="B7" s="20" t="n">
        <v>0</v>
      </c>
    </row>
    <row r="8">
      <c r="A8" t="inlineStr">
        <is>
          <t>Scenario Multiple %Δ</t>
        </is>
      </c>
      <c r="B8" s="20" t="n">
        <v>0</v>
      </c>
    </row>
    <row r="9">
      <c r="A9" t="inlineStr">
        <is>
          <t>Scenario Stated EPS/FCF %Δ</t>
        </is>
      </c>
      <c r="B9" s="20" t="n">
        <v>0</v>
      </c>
    </row>
    <row r="10">
      <c r="A10" t="inlineStr">
        <is>
          <t>Scenario Custom %Δ</t>
        </is>
      </c>
      <c r="B10" s="20" t="n">
        <v>0</v>
      </c>
    </row>
    <row r="12">
      <c r="A12" t="inlineStr">
        <is>
          <t>WACC</t>
        </is>
      </c>
      <c r="B12" s="20">
        <f>Valuation!$B$52+B7</f>
        <v/>
      </c>
    </row>
    <row r="13">
      <c r="A13" t="inlineStr">
        <is>
          <t>Years from last FY end to target date</t>
        </is>
      </c>
      <c r="B13" s="49">
        <f>(Valuation!$B$46-Valuation!$B$50)/365.25</f>
        <v/>
      </c>
    </row>
    <row r="14">
      <c r="A14" t="inlineStr">
        <is>
          <t>Years from last FY end to balance date</t>
        </is>
      </c>
      <c r="B14" s="49">
        <f>(Valuation!$B$56-Valuation!$B$50)/365.25</f>
        <v/>
      </c>
    </row>
    <row r="15">
      <c r="A15" t="inlineStr">
        <is>
          <t>Years from last FY end to share count date</t>
        </is>
      </c>
      <c r="B15" s="49">
        <f>(Valuation!$B$62-Valuation!$B$50)/365.25</f>
        <v/>
      </c>
    </row>
    <row r="16">
      <c r="A16" t="inlineStr">
        <is>
          <t>Projected years</t>
        </is>
      </c>
      <c r="B16" t="n">
        <v>3</v>
      </c>
    </row>
    <row r="18">
      <c r="A18" s="3" t="inlineStr">
        <is>
          <t>Projection</t>
        </is>
      </c>
      <c r="B18" s="3" t="inlineStr">
        <is>
          <t>Base</t>
        </is>
      </c>
      <c r="C18" s="3">
        <f>Model!E5</f>
        <v/>
      </c>
      <c r="D18" s="3">
        <f>Model!F5</f>
        <v/>
      </c>
      <c r="E18" s="3">
        <f>Model!G5</f>
        <v/>
      </c>
    </row>
    <row r="19">
      <c r="A19" t="inlineStr">
        <is>
          <t>Year index</t>
        </is>
      </c>
      <c r="B19" t="n">
        <v>0</v>
      </c>
      <c r="C19" t="n">
        <v>1</v>
      </c>
      <c r="D19" t="n">
        <v>2</v>
      </c>
      <c r="E19" t="n">
        <v>3</v>
      </c>
    </row>
    <row r="20">
      <c r="A20" t="inlineStr">
        <is>
          <t>Period end</t>
        </is>
      </c>
      <c r="C20" s="22">
        <f>Valuation!$B$50+ROUND(365.25*C19,0)</f>
        <v/>
      </c>
      <c r="D20" s="22">
        <f>Valuation!$B$50+ROUND(365.25*D19,0)</f>
        <v/>
      </c>
      <c r="E20" s="22">
        <f>Valuation!$B$50+ROUND(365.25*E19,0)</f>
        <v/>
      </c>
    </row>
    <row r="21">
      <c r="A21" t="inlineStr">
        <is>
          <t>Revenue growth</t>
        </is>
      </c>
      <c r="C21" s="20">
        <f>C22/B22-1</f>
        <v/>
      </c>
      <c r="D21" s="20">
        <f>D22/C22-1</f>
        <v/>
      </c>
      <c r="E21" s="20">
        <f>E22/D22-1</f>
        <v/>
      </c>
    </row>
    <row r="22">
      <c r="A22" t="inlineStr">
        <is>
          <t>Revenue</t>
        </is>
      </c>
      <c r="B22" s="25">
        <f>Valuation!$B$51</f>
        <v/>
      </c>
      <c r="C22" s="25">
        <f>C139</f>
        <v/>
      </c>
      <c r="D22" s="25">
        <f>D139</f>
        <v/>
      </c>
      <c r="E22" s="25">
        <f>E139</f>
        <v/>
      </c>
    </row>
    <row r="23">
      <c r="A23" t="inlineStr">
        <is>
          <t>EBIT margin</t>
        </is>
      </c>
      <c r="C23" s="20">
        <f>C24/C22</f>
        <v/>
      </c>
      <c r="D23" s="20">
        <f>D24/D22</f>
        <v/>
      </c>
      <c r="E23" s="20">
        <f>E24/E22</f>
        <v/>
      </c>
    </row>
    <row r="24">
      <c r="A24" t="inlineStr">
        <is>
          <t>EBIT</t>
        </is>
      </c>
      <c r="C24" s="25">
        <f>C142</f>
        <v/>
      </c>
      <c r="D24" s="25">
        <f>D142</f>
        <v/>
      </c>
      <c r="E24" s="25">
        <f>E142</f>
        <v/>
      </c>
    </row>
    <row r="25">
      <c r="A25" t="inlineStr">
        <is>
          <t>Tax rate</t>
        </is>
      </c>
      <c r="C25" s="20">
        <f>Model!E63</f>
        <v/>
      </c>
      <c r="D25" s="20">
        <f>Model!F63</f>
        <v/>
      </c>
      <c r="E25" s="20">
        <f>Model!G63</f>
        <v/>
      </c>
    </row>
    <row r="26">
      <c r="A26" t="inlineStr">
        <is>
          <t>NOPAT</t>
        </is>
      </c>
      <c r="C26" s="25">
        <f>C24*(1-C25)</f>
        <v/>
      </c>
      <c r="D26" s="25">
        <f>D24*(1-D25)</f>
        <v/>
      </c>
      <c r="E26" s="25">
        <f>E24*(1-E25)</f>
        <v/>
      </c>
    </row>
    <row r="27">
      <c r="A27" t="inlineStr">
        <is>
          <t>D&amp;A</t>
        </is>
      </c>
      <c r="C27" s="25">
        <f>C22*(Model!E64)</f>
        <v/>
      </c>
      <c r="D27" s="25">
        <f>D22*(Model!F64)</f>
        <v/>
      </c>
      <c r="E27" s="25">
        <f>E22*(Model!G64)</f>
        <v/>
      </c>
    </row>
    <row r="28">
      <c r="A28" t="inlineStr">
        <is>
          <t>Capex</t>
        </is>
      </c>
      <c r="C28" s="25">
        <f>C22*(Model!E65)</f>
        <v/>
      </c>
      <c r="D28" s="25">
        <f>D22*(Model!F65)</f>
        <v/>
      </c>
      <c r="E28" s="25">
        <f>E22*(Model!G65)</f>
        <v/>
      </c>
    </row>
    <row r="29">
      <c r="A29" t="inlineStr">
        <is>
          <t>Working capital increase</t>
        </is>
      </c>
      <c r="C29" s="25">
        <f>(Model!E66)*(C22-B22)</f>
        <v/>
      </c>
      <c r="D29" s="25">
        <f>(Model!F66)*(D22-C22)</f>
        <v/>
      </c>
      <c r="E29" s="25">
        <f>(Model!G66)*(E22-D22)</f>
        <v/>
      </c>
    </row>
    <row r="30">
      <c r="A30" t="inlineStr">
        <is>
          <t>Stock comp</t>
        </is>
      </c>
      <c r="C30" s="25">
        <f>C22*(Model!E67)</f>
        <v/>
      </c>
      <c r="D30" s="25">
        <f>D22*(Model!F67)</f>
        <v/>
      </c>
      <c r="E30" s="25">
        <f>E22*(Model!G67)</f>
        <v/>
      </c>
    </row>
    <row r="31">
      <c r="A31" t="inlineStr">
        <is>
          <t>Free cash flow to firm</t>
        </is>
      </c>
      <c r="C31" s="25">
        <f>C26+C27-C28-C29-IF(AND(Valuation!$B$48="adjusted",Valuation!$B$49="cost"),C30*(1-C25),0)</f>
        <v/>
      </c>
      <c r="D31" s="25">
        <f>D26+D27-D28-D29-IF(AND(Valuation!$B$48="adjusted",Valuation!$B$49="cost"),D30*(1-D25),0)</f>
        <v/>
      </c>
      <c r="E31" s="25">
        <f>E26+E27-E28-E29-IF(AND(Valuation!$B$48="adjusted",Valuation!$B$49="cost"),E30*(1-E25),0)</f>
        <v/>
      </c>
    </row>
    <row r="32">
      <c r="A32" t="inlineStr">
        <is>
          <t>EBITDA</t>
        </is>
      </c>
      <c r="C32" s="25">
        <f>C24+C27</f>
        <v/>
      </c>
      <c r="D32" s="25">
        <f>D24+D27</f>
        <v/>
      </c>
      <c r="E32" s="25">
        <f>E24+E27</f>
        <v/>
      </c>
    </row>
    <row r="33">
      <c r="A33" t="inlineStr">
        <is>
          <t>Adj. EBITDA</t>
        </is>
      </c>
      <c r="C33" s="25">
        <f>C24+C27+C22*(Model!E71)</f>
        <v/>
      </c>
      <c r="D33" s="25">
        <f>D24+D27+D22*(Model!F71)</f>
        <v/>
      </c>
      <c r="E33" s="25">
        <f>E24+E27+E22*(Model!G71)</f>
        <v/>
      </c>
    </row>
    <row r="34">
      <c r="A34" t="inlineStr">
        <is>
          <t>Shareholder returns + other uses</t>
        </is>
      </c>
      <c r="C34" s="25">
        <f>C22*Model!E69+Model!E68+Model!E70</f>
        <v/>
      </c>
      <c r="D34" s="25">
        <f>D22*Model!F69+Model!F68+Model!F70</f>
        <v/>
      </c>
      <c r="E34" s="25">
        <f>E22*Model!G69+Model!G68+Model!G70</f>
        <v/>
      </c>
    </row>
    <row r="35">
      <c r="A35" t="inlineStr">
        <is>
          <t>Share of year after target date</t>
        </is>
      </c>
      <c r="C35" s="49">
        <f>IF(C19&lt;=$B$13,0,C19-MAX(C19-1,$B$13))</f>
        <v/>
      </c>
      <c r="D35" s="49">
        <f>IF(D19&lt;=$B$13,0,D19-MAX(D19-1,$B$13))</f>
        <v/>
      </c>
      <c r="E35" s="49">
        <f>IF(E19&lt;=$B$13,0,E19-MAX(E19-1,$B$13))</f>
        <v/>
      </c>
    </row>
    <row r="36">
      <c r="A36" t="inlineStr">
        <is>
          <t>PV at target date of FCFF</t>
        </is>
      </c>
      <c r="C36" s="25">
        <f>IF(C35=0,0,C31*C35/(1+$B$12)^(C19-$B$13))</f>
        <v/>
      </c>
      <c r="D36" s="25">
        <f>IF(D35=0,0,D31*D35/(1+$B$12)^(D19-$B$13))</f>
        <v/>
      </c>
      <c r="E36" s="25">
        <f>IF(E35=0,0,E31*E35/(1+$B$12)^(E19-$B$13))</f>
        <v/>
      </c>
    </row>
    <row r="37">
      <c r="A37" t="inlineStr">
        <is>
          <t>Overlap: balance date to target date</t>
        </is>
      </c>
      <c r="C37" s="49">
        <f>MAX(0,MIN(C19,$B$13)-MAX(C19-1,$B$14))</f>
        <v/>
      </c>
      <c r="D37" s="49">
        <f>MAX(0,MIN(D19,$B$13)-MAX(D19-1,$B$14))</f>
        <v/>
      </c>
      <c r="E37" s="49">
        <f>MAX(0,MIN(E19,$B$13)-MAX(E19-1,$B$14))</f>
        <v/>
      </c>
    </row>
    <row r="38">
      <c r="A38" t="inlineStr">
        <is>
          <t>NTM weight at target date</t>
        </is>
      </c>
      <c r="C38" s="49">
        <f>MAX(0,MIN(C19,$B$13+1)-MAX(C19-1,$B$13))</f>
        <v/>
      </c>
      <c r="D38" s="49">
        <f>MAX(0,MIN(D19,$B$13+1)-MAX(D19-1,$B$13))</f>
        <v/>
      </c>
      <c r="E38" s="49">
        <f>MAX(0,MIN(E19,$B$13+1)-MAX(E19-1,$B$13))</f>
        <v/>
      </c>
    </row>
    <row r="39">
      <c r="A39" t="inlineStr">
        <is>
          <t>LTM weight at target date</t>
        </is>
      </c>
      <c r="B39" s="49">
        <f>MAX(0,MIN(0,$B$13)-MAX(-1,$B$13-1))</f>
        <v/>
      </c>
      <c r="C39" s="49">
        <f>MAX(0,MIN(C19,$B$13)-MAX(C19-1,$B$13-1))</f>
        <v/>
      </c>
      <c r="D39" s="49">
        <f>MAX(0,MIN(D19,$B$13)-MAX(D19-1,$B$13-1))</f>
        <v/>
      </c>
      <c r="E39" s="49">
        <f>MAX(0,MIN(E19,$B$13)-MAX(E19-1,$B$13-1))</f>
        <v/>
      </c>
    </row>
    <row r="41">
      <c r="A41" s="21" t="inlineStr">
        <is>
          <t>Value at the target date</t>
        </is>
      </c>
    </row>
    <row r="42">
      <c r="A42" t="inlineStr">
        <is>
          <t>PV of free cash flow after the target date</t>
        </is>
      </c>
      <c r="B42" s="25">
        <f>SUM($C$36:$E$36)</f>
        <v/>
      </c>
    </row>
    <row r="43">
      <c r="A43" t="inlineStr">
        <is>
          <t>Terminal value at final year</t>
        </is>
      </c>
      <c r="B43" s="25">
        <f>IF(Valuation!$B$53="exit_multiple",Valuation!$B$55*E32,E31*(1+Valuation!$B$54)/($B$12-Valuation!$B$54))</f>
        <v/>
      </c>
    </row>
    <row r="44">
      <c r="A44" t="inlineStr">
        <is>
          <t>PV of terminal value at target date</t>
        </is>
      </c>
      <c r="B44" s="25">
        <f>B43/(1+$B$12)^($B$16-$B$13)</f>
        <v/>
      </c>
    </row>
    <row r="45">
      <c r="A45" t="inlineStr">
        <is>
          <t>DCF enterprise value at target date</t>
        </is>
      </c>
      <c r="B45" s="25">
        <f>B42+B44</f>
        <v/>
      </c>
    </row>
    <row r="46">
      <c r="A46" t="inlineStr">
        <is>
          <t>Terminal value share of DCF</t>
        </is>
      </c>
      <c r="B46" s="20">
        <f>B44/B45</f>
        <v/>
      </c>
    </row>
    <row r="47">
      <c r="A47" t="inlineStr">
        <is>
          <t>Free cash flow earned, balance date to target date</t>
        </is>
      </c>
      <c r="B47" s="25">
        <f>SUMPRODUCT($C$37:$E$37,$C$31:$E$31)</f>
        <v/>
      </c>
    </row>
    <row r="48">
      <c r="A48" t="inlineStr">
        <is>
          <t>Shareholder returns + other uses paid</t>
        </is>
      </c>
      <c r="B48" s="25">
        <f>SUMPRODUCT($C$37:$E$37,$C$34:$E$34)</f>
        <v/>
      </c>
    </row>
    <row r="49">
      <c r="A49" t="inlineStr">
        <is>
          <t>Interest drag on net debt</t>
        </is>
      </c>
      <c r="B49" s="25">
        <f>Valuation!$B$59*(1-$C$25)*MAX(Valuation!$B$57,0)*MAX($B$13-$B$14,0)</f>
        <v/>
      </c>
    </row>
    <row r="50">
      <c r="A50" t="inlineStr">
        <is>
          <t>Net debt at target date</t>
        </is>
      </c>
      <c r="B50" s="25">
        <f>IF(Valuation!$B$60="",Valuation!$B$57-B47+B49+B48,Valuation!$B$60)</f>
        <v/>
      </c>
    </row>
    <row r="51">
      <c r="A51" t="inlineStr">
        <is>
          <t>Minority interests</t>
        </is>
      </c>
      <c r="B51" s="25">
        <f>Valuation!$B$58</f>
        <v/>
      </c>
    </row>
    <row r="52">
      <c r="A52" t="inlineStr">
        <is>
          <t>Adjustments (probability-weighted)</t>
        </is>
      </c>
      <c r="B52" s="25">
        <f>0</f>
        <v/>
      </c>
    </row>
    <row r="53">
      <c r="A53" t="inlineStr">
        <is>
          <t>Diluted shares at target date (M)</t>
        </is>
      </c>
      <c r="B53" s="30">
        <f>IF(Valuation!$B$64="",Valuation!$B$61*(1+Valuation!$B$63)^MAX($B$13-$B$15,0),Valuation!$B$64)</f>
        <v/>
      </c>
    </row>
    <row r="54">
      <c r="A54" t="inlineStr">
        <is>
          <t>After-tax interest on target-date net debt</t>
        </is>
      </c>
      <c r="B54" s="25">
        <f>Valuation!$B$59*(1-$C$25)*MAX(B50,0)</f>
        <v/>
      </c>
    </row>
    <row r="55">
      <c r="A55" t="inlineStr">
        <is>
          <t>Check: WACC vs terminal growth</t>
        </is>
      </c>
      <c r="B55">
        <f>IF(AND(Valuation!$B$53&lt;&gt;"exit_multiple",$B$12&lt;=Valuation!$B$54+0.01),"WACC must exceed terminal growth by 1 point","ok")</f>
        <v/>
      </c>
    </row>
    <row r="56">
      <c r="A56" t="inlineStr">
        <is>
          <t>Check: projection length</t>
        </is>
      </c>
      <c r="B56">
        <f>IF(OR($B$13&gt;=$B$16-1,$B$13+1&gt;$B$16),"add projected years past the target date","ok")</f>
        <v/>
      </c>
    </row>
    <row r="58">
      <c r="A58" s="3" t="inlineStr">
        <is>
          <t>Metric at target date</t>
        </is>
      </c>
      <c r="B58" s="3" t="inlineStr">
        <is>
          <t>Next 12 months</t>
        </is>
      </c>
      <c r="C58" s="3" t="inlineStr">
        <is>
          <t>Last 12 months</t>
        </is>
      </c>
    </row>
    <row r="59">
      <c r="A59" t="inlineStr">
        <is>
          <t>Revenue</t>
        </is>
      </c>
      <c r="B59" s="25">
        <f>SUMPRODUCT($C$38:$E$38,$C$22:$E$22)</f>
        <v/>
      </c>
      <c r="C59" s="25">
        <f>SUMPRODUCT($C$39:$E$39,$C$22:$E$22)+$B$39*$B$22</f>
        <v/>
      </c>
    </row>
    <row r="60">
      <c r="A60" t="inlineStr">
        <is>
          <t>EBIT</t>
        </is>
      </c>
      <c r="B60" s="25">
        <f>SUMPRODUCT($C$38:$E$38,$C$24:$E$24)</f>
        <v/>
      </c>
      <c r="C60" s="25">
        <f>SUMPRODUCT($C$39:$E$39,$C$24:$E$24)</f>
        <v/>
      </c>
    </row>
    <row r="61">
      <c r="A61" t="inlineStr">
        <is>
          <t>EBITDA</t>
        </is>
      </c>
      <c r="B61" s="25">
        <f>SUMPRODUCT($C$38:$E$38,$C$32:$E$32)</f>
        <v/>
      </c>
      <c r="C61" s="25">
        <f>SUMPRODUCT($C$39:$E$39,$C$32:$E$32)</f>
        <v/>
      </c>
    </row>
    <row r="62">
      <c r="A62" t="inlineStr">
        <is>
          <t>Adj. EBITDA</t>
        </is>
      </c>
      <c r="B62" s="25">
        <f>SUMPRODUCT($C$38:$E$38,$C$33:$E$33)</f>
        <v/>
      </c>
      <c r="C62" s="25">
        <f>SUMPRODUCT($C$39:$E$39,$C$33:$E$33)</f>
        <v/>
      </c>
    </row>
    <row r="63">
      <c r="A63" t="inlineStr">
        <is>
          <t>NOPAT</t>
        </is>
      </c>
      <c r="B63" s="25">
        <f>SUMPRODUCT($C$38:$E$38,$C$26:$E$26)</f>
        <v/>
      </c>
      <c r="C63" s="25">
        <f>SUMPRODUCT($C$39:$E$39,$C$26:$E$26)</f>
        <v/>
      </c>
    </row>
    <row r="64">
      <c r="A64" t="inlineStr">
        <is>
          <t>Free cash flow to firm</t>
        </is>
      </c>
      <c r="B64" s="25">
        <f>SUMPRODUCT($C$38:$E$38,$C$31:$E$31)</f>
        <v/>
      </c>
      <c r="C64" s="25">
        <f>SUMPRODUCT($C$39:$E$39,$C$31:$E$31)</f>
        <v/>
      </c>
    </row>
    <row r="66">
      <c r="A66" s="3" t="inlineStr">
        <is>
          <t>Valuation method</t>
        </is>
      </c>
      <c r="B66" s="3" t="inlineStr">
        <is>
          <t>Metric</t>
        </is>
      </c>
      <c r="C66" s="3" t="inlineStr">
        <is>
          <t>Multiple used</t>
        </is>
      </c>
      <c r="D66" s="3" t="inlineStr">
        <is>
          <t>Basis</t>
        </is>
      </c>
      <c r="E66" s="3" t="inlineStr">
        <is>
          <t>Metric at target date</t>
        </is>
      </c>
      <c r="F66" s="3" t="inlineStr">
        <is>
          <t>Value per share</t>
        </is>
      </c>
      <c r="G66" s="3" t="inlineStr">
        <is>
          <t>Weight</t>
        </is>
      </c>
      <c r="H66" s="3" t="inlineStr">
        <is>
          <t>Metric key</t>
        </is>
      </c>
      <c r="I66" s="3" t="inlineStr">
        <is>
          <t>Metric shown (stated per-share figure when used)</t>
        </is>
      </c>
    </row>
    <row r="67">
      <c r="A67" t="inlineStr">
        <is>
          <t>DCF (cash flow to target date + terminal)</t>
        </is>
      </c>
      <c r="F67" s="9">
        <f>((B45)-$B$50-$B$51+$B$52)/$B$53</f>
        <v/>
      </c>
      <c r="G67" s="20">
        <f>Valuation!$B$65</f>
        <v/>
      </c>
    </row>
    <row r="68">
      <c r="A68">
        <f>"Multiple: "&amp;Valuation!A71&amp;" ("&amp;Valuation!D71&amp;")"</f>
        <v/>
      </c>
      <c r="B68">
        <f>Valuation!A71</f>
        <v/>
      </c>
      <c r="C68" s="9">
        <f>IF(B68="FCF yield",(Valuation!B71)*(1-$B$8),(Valuation!B71)+IF(B68="EV/sales",0.1,1)*$B$6)</f>
        <v/>
      </c>
      <c r="D68">
        <f>Valuation!D71</f>
        <v/>
      </c>
      <c r="E68" s="25">
        <f>IF(D68="ltm",CHOOSE(H68,$C$59,$C$60,$C$61,$C$62,$C$63,$C$64),CHOOSE(H68,$B$59,$B$60,$B$61,$B$62,$B$63,$B$64))</f>
        <v/>
      </c>
      <c r="F68" s="9">
        <f>IF(OR(B68="EV/EBITDA",B68="EV/sales",B68="EV/EBIT"),((C68*E68)-$B$50-$B$51+$B$52)/$B$53,IF(B68="P/E",IF(Valuation!F71&lt;&gt;"",C68*(Valuation!F71)*(1+$B$9),C68*(E68-$B$54)/$B$53),IF(Valuation!G71&lt;&gt;"",(Valuation!G71)*(1+$B$9)/C68,(E68-IF(Valuation!H71,$B$54,0))/C68/$B$53))+$B$52/$B$53)</f>
        <v/>
      </c>
      <c r="G68" s="20">
        <f>Valuation!C71</f>
        <v/>
      </c>
      <c r="H68">
        <f>IF(B68="EV/sales",1,IF(B68="EV/EBIT",2,IF(B68="EV/EBITDA",IF(Valuation!E71="adjusted",4,3),IF(B68="P/E",5,6))))</f>
        <v/>
      </c>
      <c r="I68" s="50">
        <f>IF(AND(B68="P/E",Valuation!F71&lt;&gt;""),(Valuation!F71)*(1+$B$9),IF(AND(B68="FCF yield",Valuation!G71&lt;&gt;""),(Valuation!G71)*(1+$B$9),E68))</f>
        <v/>
      </c>
    </row>
    <row r="69">
      <c r="A69">
        <f>"Multiple: "&amp;Valuation!A72&amp;" ("&amp;Valuation!D72&amp;")"</f>
        <v/>
      </c>
      <c r="B69">
        <f>Valuation!A72</f>
        <v/>
      </c>
      <c r="C69" s="9">
        <f>IF(B69="FCF yield",(Valuation!B72)*(1-$B$8),(Valuation!B72)+IF(B69="EV/sales",0.1,1)*$B$6)</f>
        <v/>
      </c>
      <c r="D69">
        <f>Valuation!D72</f>
        <v/>
      </c>
      <c r="E69" s="25">
        <f>IF(D69="ltm",CHOOSE(H69,$C$59,$C$60,$C$61,$C$62,$C$63,$C$64),CHOOSE(H69,$B$59,$B$60,$B$61,$B$62,$B$63,$B$64))</f>
        <v/>
      </c>
      <c r="F69" s="9">
        <f>IF(OR(B69="EV/EBITDA",B69="EV/sales",B69="EV/EBIT"),((C69*E69)-$B$50-$B$51+$B$52)/$B$53,IF(B69="P/E",IF(Valuation!F72&lt;&gt;"",C69*(Valuation!F72)*(1+$B$9),C69*(E69-$B$54)/$B$53),IF(Valuation!G72&lt;&gt;"",(Valuation!G72)*(1+$B$9)/C69,(E69-IF(Valuation!H72,$B$54,0))/C69/$B$53))+$B$52/$B$53)</f>
        <v/>
      </c>
      <c r="G69" s="20">
        <f>Valuation!C72</f>
        <v/>
      </c>
      <c r="H69">
        <f>IF(B69="EV/sales",1,IF(B69="EV/EBIT",2,IF(B69="EV/EBITDA",IF(Valuation!E72="adjusted",4,3),IF(B69="P/E",5,6))))</f>
        <v/>
      </c>
      <c r="I69" s="50">
        <f>IF(AND(B69="P/E",Valuation!F72&lt;&gt;""),(Valuation!F72)*(1+$B$9),IF(AND(B69="FCF yield",Valuation!G72&lt;&gt;""),(Valuation!G72)*(1+$B$9),E69))</f>
        <v/>
      </c>
    </row>
    <row r="70">
      <c r="A70">
        <f>"Multiple: "&amp;Valuation!A73&amp;" ("&amp;Valuation!D73&amp;")"</f>
        <v/>
      </c>
      <c r="B70">
        <f>Valuation!A73</f>
        <v/>
      </c>
      <c r="C70" s="9">
        <f>IF(B70="FCF yield",(Valuation!B73)*(1-$B$8),(Valuation!B73)+IF(B70="EV/sales",0.1,1)*$B$6)</f>
        <v/>
      </c>
      <c r="D70">
        <f>Valuation!D73</f>
        <v/>
      </c>
      <c r="E70" s="25">
        <f>IF(D70="ltm",CHOOSE(H70,$C$59,$C$60,$C$61,$C$62,$C$63,$C$64),CHOOSE(H70,$B$59,$B$60,$B$61,$B$62,$B$63,$B$64))</f>
        <v/>
      </c>
      <c r="F70" s="9">
        <f>IF(OR(B70="EV/EBITDA",B70="EV/sales",B70="EV/EBIT"),((C70*E70)-$B$50-$B$51+$B$52)/$B$53,IF(B70="P/E",IF(Valuation!F73&lt;&gt;"",C70*(Valuation!F73)*(1+$B$9),C70*(E70-$B$54)/$B$53),IF(Valuation!G73&lt;&gt;"",(Valuation!G73)*(1+$B$9)/C70,(E70-IF(Valuation!H73,$B$54,0))/C70/$B$53))+$B$52/$B$53)</f>
        <v/>
      </c>
      <c r="G70" s="20">
        <f>Valuation!C73</f>
        <v/>
      </c>
      <c r="H70">
        <f>IF(B70="EV/sales",1,IF(B70="EV/EBIT",2,IF(B70="EV/EBITDA",IF(Valuation!E73="adjusted",4,3),IF(B70="P/E",5,6))))</f>
        <v/>
      </c>
      <c r="I70" s="50">
        <f>IF(AND(B70="P/E",Valuation!F73&lt;&gt;""),(Valuation!F73)*(1+$B$9),IF(AND(B70="FCF yield",Valuation!G73&lt;&gt;""),(Valuation!G73)*(1+$B$9),E70))</f>
        <v/>
      </c>
    </row>
    <row r="71">
      <c r="A71" s="21" t="inlineStr">
        <is>
          <t>Value per share at target date (weighted methods)</t>
        </is>
      </c>
      <c r="F71" s="6">
        <f>SUMPRODUCT(F67:F70,G67:G70)/SUM(G67:G70)</f>
        <v/>
      </c>
    </row>
    <row r="129">
      <c r="A129" s="21" t="inlineStr">
        <is>
          <t>Segment build (model_engine.seg_build): revenue and EBIT are the segment sums plus corporate EBIT</t>
        </is>
      </c>
    </row>
    <row r="130">
      <c r="A130" s="3" t="inlineStr">
        <is>
          <t>Segment</t>
        </is>
      </c>
      <c r="B130" s="3" t="inlineStr">
        <is>
          <t>Base</t>
        </is>
      </c>
      <c r="C130" s="3">
        <f>Model!E5</f>
        <v/>
      </c>
      <c r="D130" s="3">
        <f>Model!F5</f>
        <v/>
      </c>
      <c r="E130" s="3">
        <f>Model!G5</f>
        <v/>
      </c>
    </row>
    <row r="131">
      <c r="A131" t="inlineStr">
        <is>
          <t>Product: revenue growth</t>
        </is>
      </c>
      <c r="C131" s="20">
        <f>Model!E12+$B$4</f>
        <v/>
      </c>
      <c r="D131" s="20">
        <f>Model!F12+$B$4</f>
        <v/>
      </c>
      <c r="E131" s="20">
        <f>Model!G12+$B$4</f>
        <v/>
      </c>
    </row>
    <row r="132">
      <c r="A132" t="inlineStr">
        <is>
          <t>Product: revenue</t>
        </is>
      </c>
      <c r="B132" s="10">
        <f>Valuation!$B$90</f>
        <v/>
      </c>
      <c r="C132" s="25">
        <f>B132*(1+C131)</f>
        <v/>
      </c>
      <c r="D132" s="25">
        <f>C132*(1+D131)</f>
        <v/>
      </c>
      <c r="E132" s="25">
        <f>D132*(1+E131)</f>
        <v/>
      </c>
    </row>
    <row r="133">
      <c r="A133" t="inlineStr">
        <is>
          <t>Product: EBIT margin</t>
        </is>
      </c>
      <c r="C133" s="20">
        <f>Model!E14+$B$5</f>
        <v/>
      </c>
      <c r="D133" s="20">
        <f>Model!F14+$B$5</f>
        <v/>
      </c>
      <c r="E133" s="20">
        <f>Model!G14+$B$5</f>
        <v/>
      </c>
    </row>
    <row r="134">
      <c r="A134" t="inlineStr">
        <is>
          <t>Product: EBIT</t>
        </is>
      </c>
      <c r="C134" s="25">
        <f>C132*C133</f>
        <v/>
      </c>
      <c r="D134" s="25">
        <f>D132*D133</f>
        <v/>
      </c>
      <c r="E134" s="25">
        <f>E132*E133</f>
        <v/>
      </c>
    </row>
    <row r="135">
      <c r="A135" t="inlineStr">
        <is>
          <t>Installation, service and electricity: revenue growth</t>
        </is>
      </c>
      <c r="C135" s="20">
        <f>Model!E16+$B$4</f>
        <v/>
      </c>
      <c r="D135" s="20">
        <f>Model!F16+$B$4</f>
        <v/>
      </c>
      <c r="E135" s="20">
        <f>Model!G16+$B$4</f>
        <v/>
      </c>
    </row>
    <row r="136">
      <c r="A136" t="inlineStr">
        <is>
          <t>Installation, service and electricity: revenue</t>
        </is>
      </c>
      <c r="B136" s="10">
        <f>Valuation!$B$91</f>
        <v/>
      </c>
      <c r="C136" s="25">
        <f>B136*(1+C135)</f>
        <v/>
      </c>
      <c r="D136" s="25">
        <f>C136*(1+D135)</f>
        <v/>
      </c>
      <c r="E136" s="25">
        <f>D136*(1+E135)</f>
        <v/>
      </c>
    </row>
    <row r="137">
      <c r="A137" t="inlineStr">
        <is>
          <t>Installation, service and electricity: EBIT margin</t>
        </is>
      </c>
      <c r="C137" s="20">
        <f>Model!E18+$B$5</f>
        <v/>
      </c>
      <c r="D137" s="20">
        <f>Model!F18+$B$5</f>
        <v/>
      </c>
      <c r="E137" s="20">
        <f>Model!G18+$B$5</f>
        <v/>
      </c>
    </row>
    <row r="138">
      <c r="A138" t="inlineStr">
        <is>
          <t>Installation, service and electricity: EBIT</t>
        </is>
      </c>
      <c r="C138" s="25">
        <f>C136*C137</f>
        <v/>
      </c>
      <c r="D138" s="25">
        <f>D136*D137</f>
        <v/>
      </c>
      <c r="E138" s="25">
        <f>E136*E137</f>
        <v/>
      </c>
    </row>
    <row r="139">
      <c r="A139" s="21" t="inlineStr">
        <is>
          <t>Total segment revenue</t>
        </is>
      </c>
      <c r="C139" s="25">
        <f>C132+C136</f>
        <v/>
      </c>
      <c r="D139" s="25">
        <f>D132+D136</f>
        <v/>
      </c>
      <c r="E139" s="25">
        <f>E132+E136</f>
        <v/>
      </c>
    </row>
    <row r="140">
      <c r="A140" t="inlineStr">
        <is>
          <t>Total segment EBIT</t>
        </is>
      </c>
      <c r="C140" s="25">
        <f>C134+C138</f>
        <v/>
      </c>
      <c r="D140" s="25">
        <f>D134+D138</f>
        <v/>
      </c>
      <c r="E140" s="25">
        <f>E134+E138</f>
        <v/>
      </c>
    </row>
    <row r="141">
      <c r="A141" t="inlineStr">
        <is>
          <t>Corporate / unallocated EBIT</t>
        </is>
      </c>
      <c r="C141" s="10">
        <f>Model!E21</f>
        <v/>
      </c>
      <c r="D141" s="10">
        <f>Model!F21</f>
        <v/>
      </c>
      <c r="E141" s="10">
        <f>Model!G21</f>
        <v/>
      </c>
    </row>
    <row r="142">
      <c r="A142" s="21" t="inlineStr">
        <is>
          <t>EBIT (segments + corporate)</t>
        </is>
      </c>
      <c r="C142" s="25">
        <f>C140+C141</f>
        <v/>
      </c>
      <c r="D142" s="25">
        <f>D140+D141</f>
        <v/>
      </c>
      <c r="E142" s="25">
        <f>E140+E141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55"/>
  <sheetViews>
    <sheetView showGridLines="0" workbookViewId="0">
      <pane xSplit="1" ySplit="18" topLeftCell="B1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13" customWidth="1" min="2" max="2"/>
    <col width="13" customWidth="1" min="3" max="3"/>
    <col width="13" customWidth="1" min="4" max="4"/>
    <col width="13" customWidth="1" min="5" max="5"/>
  </cols>
  <sheetData>
    <row r="1">
      <c r="A1" s="1" t="inlineStr">
        <is>
          <t>BE engine calculation: bear scenario</t>
        </is>
      </c>
    </row>
    <row r="2">
      <c r="A2" s="2" t="inlineStr">
        <is>
          <t>Machinery behind the Valuation and Distribution tabs; drivers come from Model, assumptions from Valuation.</t>
        </is>
      </c>
    </row>
    <row r="4">
      <c r="A4" t="inlineStr">
        <is>
          <t>Scenario Growth Δ</t>
        </is>
      </c>
      <c r="B4" s="12">
        <f>N(Valuation!C85)</f>
        <v/>
      </c>
    </row>
    <row r="5">
      <c r="A5" t="inlineStr">
        <is>
          <t>Scenario Margin Δ</t>
        </is>
      </c>
      <c r="B5" s="12">
        <f>N(Valuation!D85)</f>
        <v/>
      </c>
    </row>
    <row r="6">
      <c r="A6" t="inlineStr">
        <is>
          <t>Scenario Multiple Δ (turns)</t>
        </is>
      </c>
      <c r="B6" s="51">
        <f>N(Valuation!E85)</f>
        <v/>
      </c>
    </row>
    <row r="7">
      <c r="A7" t="inlineStr">
        <is>
          <t>Scenario WACC Δ</t>
        </is>
      </c>
      <c r="B7" s="12">
        <f>N(Valuation!F85)</f>
        <v/>
      </c>
    </row>
    <row r="8">
      <c r="A8" t="inlineStr">
        <is>
          <t>Scenario Multiple %Δ</t>
        </is>
      </c>
      <c r="B8" s="12">
        <f>N(Valuation!G85)</f>
        <v/>
      </c>
    </row>
    <row r="9">
      <c r="A9" t="inlineStr">
        <is>
          <t>Scenario Stated EPS/FCF %Δ</t>
        </is>
      </c>
      <c r="B9" s="12">
        <f>N(Valuation!H85)</f>
        <v/>
      </c>
    </row>
    <row r="10">
      <c r="A10" t="inlineStr">
        <is>
          <t>Scenario Custom %Δ</t>
        </is>
      </c>
      <c r="B10" s="12">
        <f>N(Valuation!I85)</f>
        <v/>
      </c>
    </row>
    <row r="12">
      <c r="A12" t="inlineStr">
        <is>
          <t>WACC</t>
        </is>
      </c>
      <c r="B12" s="20">
        <f>Valuation!$B$52+B7</f>
        <v/>
      </c>
    </row>
    <row r="13">
      <c r="A13" t="inlineStr">
        <is>
          <t>Years from last FY end to target date</t>
        </is>
      </c>
      <c r="B13" s="49">
        <f>(Valuation!$B$46-Valuation!$B$50)/365.25</f>
        <v/>
      </c>
    </row>
    <row r="14">
      <c r="A14" t="inlineStr">
        <is>
          <t>Years from last FY end to balance date</t>
        </is>
      </c>
      <c r="B14" s="49">
        <f>(Valuation!$B$56-Valuation!$B$50)/365.25</f>
        <v/>
      </c>
    </row>
    <row r="15">
      <c r="A15" t="inlineStr">
        <is>
          <t>Years from last FY end to share count date</t>
        </is>
      </c>
      <c r="B15" s="49">
        <f>(Valuation!$B$62-Valuation!$B$50)/365.25</f>
        <v/>
      </c>
    </row>
    <row r="16">
      <c r="A16" t="inlineStr">
        <is>
          <t>Projected years</t>
        </is>
      </c>
      <c r="B16" t="n">
        <v>3</v>
      </c>
    </row>
    <row r="18">
      <c r="A18" s="3" t="inlineStr">
        <is>
          <t>Projection</t>
        </is>
      </c>
      <c r="B18" s="3" t="inlineStr">
        <is>
          <t>Base</t>
        </is>
      </c>
      <c r="C18" s="3">
        <f>Model!E5</f>
        <v/>
      </c>
      <c r="D18" s="3">
        <f>Model!F5</f>
        <v/>
      </c>
      <c r="E18" s="3">
        <f>Model!G5</f>
        <v/>
      </c>
    </row>
    <row r="19">
      <c r="A19" t="inlineStr">
        <is>
          <t>Year index</t>
        </is>
      </c>
      <c r="B19" t="n">
        <v>0</v>
      </c>
      <c r="C19" t="n">
        <v>1</v>
      </c>
      <c r="D19" t="n">
        <v>2</v>
      </c>
      <c r="E19" t="n">
        <v>3</v>
      </c>
    </row>
    <row r="20">
      <c r="A20" t="inlineStr">
        <is>
          <t>Period end</t>
        </is>
      </c>
      <c r="C20" s="22">
        <f>Valuation!$B$50+ROUND(365.25*C19,0)</f>
        <v/>
      </c>
      <c r="D20" s="22">
        <f>Valuation!$B$50+ROUND(365.25*D19,0)</f>
        <v/>
      </c>
      <c r="E20" s="22">
        <f>Valuation!$B$50+ROUND(365.25*E19,0)</f>
        <v/>
      </c>
    </row>
    <row r="21">
      <c r="A21" t="inlineStr">
        <is>
          <t>Revenue growth</t>
        </is>
      </c>
      <c r="C21" s="20">
        <f>C22/B22-1</f>
        <v/>
      </c>
      <c r="D21" s="20">
        <f>D22/C22-1</f>
        <v/>
      </c>
      <c r="E21" s="20">
        <f>E22/D22-1</f>
        <v/>
      </c>
    </row>
    <row r="22">
      <c r="A22" t="inlineStr">
        <is>
          <t>Revenue</t>
        </is>
      </c>
      <c r="B22" s="25">
        <f>Valuation!$B$51</f>
        <v/>
      </c>
      <c r="C22" s="25">
        <f>C139</f>
        <v/>
      </c>
      <c r="D22" s="25">
        <f>D139</f>
        <v/>
      </c>
      <c r="E22" s="25">
        <f>E139</f>
        <v/>
      </c>
    </row>
    <row r="23">
      <c r="A23" t="inlineStr">
        <is>
          <t>EBIT margin</t>
        </is>
      </c>
      <c r="C23" s="20">
        <f>C24/C22</f>
        <v/>
      </c>
      <c r="D23" s="20">
        <f>D24/D22</f>
        <v/>
      </c>
      <c r="E23" s="20">
        <f>E24/E22</f>
        <v/>
      </c>
    </row>
    <row r="24">
      <c r="A24" t="inlineStr">
        <is>
          <t>EBIT</t>
        </is>
      </c>
      <c r="C24" s="25">
        <f>C142</f>
        <v/>
      </c>
      <c r="D24" s="25">
        <f>D142</f>
        <v/>
      </c>
      <c r="E24" s="25">
        <f>E142</f>
        <v/>
      </c>
    </row>
    <row r="25">
      <c r="A25" t="inlineStr">
        <is>
          <t>Tax rate</t>
        </is>
      </c>
      <c r="C25" s="20">
        <f>Model!E63</f>
        <v/>
      </c>
      <c r="D25" s="20">
        <f>Model!F63</f>
        <v/>
      </c>
      <c r="E25" s="20">
        <f>Model!G63</f>
        <v/>
      </c>
    </row>
    <row r="26">
      <c r="A26" t="inlineStr">
        <is>
          <t>NOPAT</t>
        </is>
      </c>
      <c r="C26" s="25">
        <f>C24*(1-C25)</f>
        <v/>
      </c>
      <c r="D26" s="25">
        <f>D24*(1-D25)</f>
        <v/>
      </c>
      <c r="E26" s="25">
        <f>E24*(1-E25)</f>
        <v/>
      </c>
    </row>
    <row r="27">
      <c r="A27" t="inlineStr">
        <is>
          <t>D&amp;A</t>
        </is>
      </c>
      <c r="C27" s="25">
        <f>C22*(Model!E64)</f>
        <v/>
      </c>
      <c r="D27" s="25">
        <f>D22*(Model!F64)</f>
        <v/>
      </c>
      <c r="E27" s="25">
        <f>E22*(Model!G64)</f>
        <v/>
      </c>
    </row>
    <row r="28">
      <c r="A28" t="inlineStr">
        <is>
          <t>Capex</t>
        </is>
      </c>
      <c r="C28" s="25">
        <f>C22*(Model!E65+$B$250)</f>
        <v/>
      </c>
      <c r="D28" s="25">
        <f>D22*(Model!F65+$B$251)</f>
        <v/>
      </c>
      <c r="E28" s="25">
        <f>E22*(Model!G65)</f>
        <v/>
      </c>
    </row>
    <row r="29">
      <c r="A29" t="inlineStr">
        <is>
          <t>Working capital increase</t>
        </is>
      </c>
      <c r="C29" s="25">
        <f>(Model!E66)*(C22-B22)</f>
        <v/>
      </c>
      <c r="D29" s="25">
        <f>(Model!F66)*(D22-C22)</f>
        <v/>
      </c>
      <c r="E29" s="25">
        <f>(Model!G66)*(E22-D22)</f>
        <v/>
      </c>
    </row>
    <row r="30">
      <c r="A30" t="inlineStr">
        <is>
          <t>Stock comp</t>
        </is>
      </c>
      <c r="C30" s="25">
        <f>C22*(Model!E67)</f>
        <v/>
      </c>
      <c r="D30" s="25">
        <f>D22*(Model!F67)</f>
        <v/>
      </c>
      <c r="E30" s="25">
        <f>E22*(Model!G67)</f>
        <v/>
      </c>
    </row>
    <row r="31">
      <c r="A31" t="inlineStr">
        <is>
          <t>Free cash flow to firm</t>
        </is>
      </c>
      <c r="C31" s="25">
        <f>C26+C27-C28-C29-IF(AND(Valuation!$B$48="adjusted",Valuation!$B$49="cost"),C30*(1-C25),0)</f>
        <v/>
      </c>
      <c r="D31" s="25">
        <f>D26+D27-D28-D29-IF(AND(Valuation!$B$48="adjusted",Valuation!$B$49="cost"),D30*(1-D25),0)</f>
        <v/>
      </c>
      <c r="E31" s="25">
        <f>E26+E27-E28-E29-IF(AND(Valuation!$B$48="adjusted",Valuation!$B$49="cost"),E30*(1-E25),0)</f>
        <v/>
      </c>
    </row>
    <row r="32">
      <c r="A32" t="inlineStr">
        <is>
          <t>EBITDA</t>
        </is>
      </c>
      <c r="C32" s="25">
        <f>C24+C27</f>
        <v/>
      </c>
      <c r="D32" s="25">
        <f>D24+D27</f>
        <v/>
      </c>
      <c r="E32" s="25">
        <f>E24+E27</f>
        <v/>
      </c>
    </row>
    <row r="33">
      <c r="A33" t="inlineStr">
        <is>
          <t>Adj. EBITDA</t>
        </is>
      </c>
      <c r="C33" s="25">
        <f>C24+C27+C22*(Model!E71)</f>
        <v/>
      </c>
      <c r="D33" s="25">
        <f>D24+D27+D22*(Model!F71)</f>
        <v/>
      </c>
      <c r="E33" s="25">
        <f>E24+E27+E22*(Model!G71)</f>
        <v/>
      </c>
    </row>
    <row r="34">
      <c r="A34" t="inlineStr">
        <is>
          <t>Shareholder returns + other uses</t>
        </is>
      </c>
      <c r="C34" s="25">
        <f>C22*Model!E69+Model!E68+Model!E70</f>
        <v/>
      </c>
      <c r="D34" s="25">
        <f>D22*Model!F69+Model!F68+Model!F70</f>
        <v/>
      </c>
      <c r="E34" s="25">
        <f>E22*Model!G69+Model!G68+Model!G70</f>
        <v/>
      </c>
    </row>
    <row r="35">
      <c r="A35" t="inlineStr">
        <is>
          <t>Share of year after target date</t>
        </is>
      </c>
      <c r="C35" s="49">
        <f>IF(C19&lt;=$B$13,0,C19-MAX(C19-1,$B$13))</f>
        <v/>
      </c>
      <c r="D35" s="49">
        <f>IF(D19&lt;=$B$13,0,D19-MAX(D19-1,$B$13))</f>
        <v/>
      </c>
      <c r="E35" s="49">
        <f>IF(E19&lt;=$B$13,0,E19-MAX(E19-1,$B$13))</f>
        <v/>
      </c>
    </row>
    <row r="36">
      <c r="A36" t="inlineStr">
        <is>
          <t>PV at target date of FCFF</t>
        </is>
      </c>
      <c r="C36" s="25">
        <f>IF(C35=0,0,C31*C35/(1+$B$12)^(C19-$B$13))</f>
        <v/>
      </c>
      <c r="D36" s="25">
        <f>IF(D35=0,0,D31*D35/(1+$B$12)^(D19-$B$13))</f>
        <v/>
      </c>
      <c r="E36" s="25">
        <f>IF(E35=0,0,E31*E35/(1+$B$12)^(E19-$B$13))</f>
        <v/>
      </c>
    </row>
    <row r="37">
      <c r="A37" t="inlineStr">
        <is>
          <t>Overlap: balance date to target date</t>
        </is>
      </c>
      <c r="C37" s="49">
        <f>MAX(0,MIN(C19,$B$13)-MAX(C19-1,$B$14))</f>
        <v/>
      </c>
      <c r="D37" s="49">
        <f>MAX(0,MIN(D19,$B$13)-MAX(D19-1,$B$14))</f>
        <v/>
      </c>
      <c r="E37" s="49">
        <f>MAX(0,MIN(E19,$B$13)-MAX(E19-1,$B$14))</f>
        <v/>
      </c>
    </row>
    <row r="38">
      <c r="A38" t="inlineStr">
        <is>
          <t>NTM weight at target date</t>
        </is>
      </c>
      <c r="C38" s="49">
        <f>MAX(0,MIN(C19,$B$13+1)-MAX(C19-1,$B$13))</f>
        <v/>
      </c>
      <c r="D38" s="49">
        <f>MAX(0,MIN(D19,$B$13+1)-MAX(D19-1,$B$13))</f>
        <v/>
      </c>
      <c r="E38" s="49">
        <f>MAX(0,MIN(E19,$B$13+1)-MAX(E19-1,$B$13))</f>
        <v/>
      </c>
    </row>
    <row r="39">
      <c r="A39" t="inlineStr">
        <is>
          <t>LTM weight at target date</t>
        </is>
      </c>
      <c r="B39" s="49">
        <f>MAX(0,MIN(0,$B$13)-MAX(-1,$B$13-1))</f>
        <v/>
      </c>
      <c r="C39" s="49">
        <f>MAX(0,MIN(C19,$B$13)-MAX(C19-1,$B$13-1))</f>
        <v/>
      </c>
      <c r="D39" s="49">
        <f>MAX(0,MIN(D19,$B$13)-MAX(D19-1,$B$13-1))</f>
        <v/>
      </c>
      <c r="E39" s="49">
        <f>MAX(0,MIN(E19,$B$13)-MAX(E19-1,$B$13-1))</f>
        <v/>
      </c>
    </row>
    <row r="41">
      <c r="A41" s="21" t="inlineStr">
        <is>
          <t>Value at the target date</t>
        </is>
      </c>
    </row>
    <row r="42">
      <c r="A42" t="inlineStr">
        <is>
          <t>PV of free cash flow after the target date</t>
        </is>
      </c>
      <c r="B42" s="25">
        <f>SUM($C$36:$E$36)</f>
        <v/>
      </c>
    </row>
    <row r="43">
      <c r="A43" t="inlineStr">
        <is>
          <t>Terminal value at final year</t>
        </is>
      </c>
      <c r="B43" s="25">
        <f>IF(Valuation!$B$53="exit_multiple",Valuation!$B$55*E32,E31*(1+Valuation!$B$54)/($B$12-Valuation!$B$54))</f>
        <v/>
      </c>
    </row>
    <row r="44">
      <c r="A44" t="inlineStr">
        <is>
          <t>PV of terminal value at target date</t>
        </is>
      </c>
      <c r="B44" s="25">
        <f>B43/(1+$B$12)^($B$16-$B$13)</f>
        <v/>
      </c>
    </row>
    <row r="45">
      <c r="A45" t="inlineStr">
        <is>
          <t>DCF enterprise value at target date</t>
        </is>
      </c>
      <c r="B45" s="25">
        <f>B42+B44</f>
        <v/>
      </c>
    </row>
    <row r="46">
      <c r="A46" t="inlineStr">
        <is>
          <t>Terminal value share of DCF</t>
        </is>
      </c>
      <c r="B46" s="20">
        <f>B44/B45</f>
        <v/>
      </c>
    </row>
    <row r="47">
      <c r="A47" t="inlineStr">
        <is>
          <t>Free cash flow earned, balance date to target date</t>
        </is>
      </c>
      <c r="B47" s="25">
        <f>SUMPRODUCT($C$37:$E$37,$C$31:$E$31)</f>
        <v/>
      </c>
    </row>
    <row r="48">
      <c r="A48" t="inlineStr">
        <is>
          <t>Shareholder returns + other uses paid</t>
        </is>
      </c>
      <c r="B48" s="25">
        <f>SUMPRODUCT($C$37:$E$37,$C$34:$E$34)</f>
        <v/>
      </c>
    </row>
    <row r="49">
      <c r="A49" t="inlineStr">
        <is>
          <t>Interest drag on net debt</t>
        </is>
      </c>
      <c r="B49" s="25">
        <f>Valuation!$B$59*(1-$C$25)*MAX(Valuation!$B$57,0)*MAX($B$13-$B$14,0)</f>
        <v/>
      </c>
    </row>
    <row r="50">
      <c r="A50" t="inlineStr">
        <is>
          <t>Net debt at target date</t>
        </is>
      </c>
      <c r="B50" s="25">
        <f>IF(Valuation!$B$60="",Valuation!$B$57-B47+B49+B48,Valuation!$B$60)</f>
        <v/>
      </c>
    </row>
    <row r="51">
      <c r="A51" t="inlineStr">
        <is>
          <t>Minority interests</t>
        </is>
      </c>
      <c r="B51" s="25">
        <f>Valuation!$B$58</f>
        <v/>
      </c>
    </row>
    <row r="52">
      <c r="A52" t="inlineStr">
        <is>
          <t>Adjustments (probability-weighted)</t>
        </is>
      </c>
      <c r="B52" s="25">
        <f>0</f>
        <v/>
      </c>
    </row>
    <row r="53">
      <c r="A53" t="inlineStr">
        <is>
          <t>Diluted shares at target date (M)</t>
        </is>
      </c>
      <c r="B53" s="30">
        <f>IF(Valuation!$B$64="",Valuation!$B$61*(1+Valuation!$B$63)^MAX($B$13-$B$15,0),Valuation!$B$64)</f>
        <v/>
      </c>
    </row>
    <row r="54">
      <c r="A54" t="inlineStr">
        <is>
          <t>After-tax interest on target-date net debt</t>
        </is>
      </c>
      <c r="B54" s="25">
        <f>Valuation!$B$59*(1-$C$25)*MAX(B50,0)</f>
        <v/>
      </c>
    </row>
    <row r="55">
      <c r="A55" t="inlineStr">
        <is>
          <t>Check: WACC vs terminal growth</t>
        </is>
      </c>
      <c r="B55">
        <f>IF(AND(Valuation!$B$53&lt;&gt;"exit_multiple",$B$12&lt;=Valuation!$B$54+0.01),"WACC must exceed terminal growth by 1 point","ok")</f>
        <v/>
      </c>
    </row>
    <row r="56">
      <c r="A56" t="inlineStr">
        <is>
          <t>Check: projection length</t>
        </is>
      </c>
      <c r="B56">
        <f>IF(OR($B$13&gt;=$B$16-1,$B$13+1&gt;$B$16),"add projected years past the target date","ok")</f>
        <v/>
      </c>
    </row>
    <row r="58">
      <c r="A58" s="3" t="inlineStr">
        <is>
          <t>Metric at target date</t>
        </is>
      </c>
      <c r="B58" s="3" t="inlineStr">
        <is>
          <t>Next 12 months</t>
        </is>
      </c>
      <c r="C58" s="3" t="inlineStr">
        <is>
          <t>Last 12 months</t>
        </is>
      </c>
    </row>
    <row r="59">
      <c r="A59" t="inlineStr">
        <is>
          <t>Revenue</t>
        </is>
      </c>
      <c r="B59" s="25">
        <f>SUMPRODUCT($C$38:$E$38,$C$22:$E$22)</f>
        <v/>
      </c>
      <c r="C59" s="25">
        <f>SUMPRODUCT($C$39:$E$39,$C$22:$E$22)+$B$39*$B$22</f>
        <v/>
      </c>
    </row>
    <row r="60">
      <c r="A60" t="inlineStr">
        <is>
          <t>EBIT</t>
        </is>
      </c>
      <c r="B60" s="25">
        <f>SUMPRODUCT($C$38:$E$38,$C$24:$E$24)</f>
        <v/>
      </c>
      <c r="C60" s="25">
        <f>SUMPRODUCT($C$39:$E$39,$C$24:$E$24)</f>
        <v/>
      </c>
    </row>
    <row r="61">
      <c r="A61" t="inlineStr">
        <is>
          <t>EBITDA</t>
        </is>
      </c>
      <c r="B61" s="25">
        <f>SUMPRODUCT($C$38:$E$38,$C$32:$E$32)</f>
        <v/>
      </c>
      <c r="C61" s="25">
        <f>SUMPRODUCT($C$39:$E$39,$C$32:$E$32)</f>
        <v/>
      </c>
    </row>
    <row r="62">
      <c r="A62" t="inlineStr">
        <is>
          <t>Adj. EBITDA</t>
        </is>
      </c>
      <c r="B62" s="25">
        <f>SUMPRODUCT($C$38:$E$38,$C$33:$E$33)</f>
        <v/>
      </c>
      <c r="C62" s="25">
        <f>SUMPRODUCT($C$39:$E$39,$C$33:$E$33)</f>
        <v/>
      </c>
    </row>
    <row r="63">
      <c r="A63" t="inlineStr">
        <is>
          <t>NOPAT</t>
        </is>
      </c>
      <c r="B63" s="25">
        <f>SUMPRODUCT($C$38:$E$38,$C$26:$E$26)</f>
        <v/>
      </c>
      <c r="C63" s="25">
        <f>SUMPRODUCT($C$39:$E$39,$C$26:$E$26)</f>
        <v/>
      </c>
    </row>
    <row r="64">
      <c r="A64" t="inlineStr">
        <is>
          <t>Free cash flow to firm</t>
        </is>
      </c>
      <c r="B64" s="25">
        <f>SUMPRODUCT($C$38:$E$38,$C$31:$E$31)</f>
        <v/>
      </c>
      <c r="C64" s="25">
        <f>SUMPRODUCT($C$39:$E$39,$C$31:$E$31)</f>
        <v/>
      </c>
    </row>
    <row r="66">
      <c r="A66" s="3" t="inlineStr">
        <is>
          <t>Valuation method</t>
        </is>
      </c>
      <c r="B66" s="3" t="inlineStr">
        <is>
          <t>Metric</t>
        </is>
      </c>
      <c r="C66" s="3" t="inlineStr">
        <is>
          <t>Multiple used</t>
        </is>
      </c>
      <c r="D66" s="3" t="inlineStr">
        <is>
          <t>Basis</t>
        </is>
      </c>
      <c r="E66" s="3" t="inlineStr">
        <is>
          <t>Metric at target date</t>
        </is>
      </c>
      <c r="F66" s="3" t="inlineStr">
        <is>
          <t>Value per share</t>
        </is>
      </c>
      <c r="G66" s="3" t="inlineStr">
        <is>
          <t>Weight</t>
        </is>
      </c>
      <c r="H66" s="3" t="inlineStr">
        <is>
          <t>Metric key</t>
        </is>
      </c>
      <c r="I66" s="3" t="inlineStr">
        <is>
          <t>Metric shown (stated per-share figure when used)</t>
        </is>
      </c>
    </row>
    <row r="67">
      <c r="A67" t="inlineStr">
        <is>
          <t>DCF (cash flow to target date + terminal)</t>
        </is>
      </c>
      <c r="F67" s="9">
        <f>((B45)-$B$50-$B$51+$B$52)/$B$53</f>
        <v/>
      </c>
      <c r="G67" s="20">
        <f>Valuation!$B$65</f>
        <v/>
      </c>
    </row>
    <row r="68">
      <c r="A68">
        <f>"Multiple: "&amp;Valuation!A71&amp;" ("&amp;Valuation!D71&amp;")"</f>
        <v/>
      </c>
      <c r="B68">
        <f>Valuation!A71</f>
        <v/>
      </c>
      <c r="C68" s="9">
        <f>IF(B68="FCF yield",(Valuation!B71)*(1-$B$8),(Valuation!B71)+IF(B68="EV/sales",0.1,1)*$B$6)</f>
        <v/>
      </c>
      <c r="D68">
        <f>Valuation!D71</f>
        <v/>
      </c>
      <c r="E68" s="25">
        <f>IF(D68="ltm",CHOOSE(H68,$C$59,$C$60,$C$61,$C$62,$C$63,$C$64),CHOOSE(H68,$B$59,$B$60,$B$61,$B$62,$B$63,$B$64))</f>
        <v/>
      </c>
      <c r="F68" s="9">
        <f>IF(OR(B68="EV/EBITDA",B68="EV/sales",B68="EV/EBIT"),((C68*E68)-$B$50-$B$51+$B$52)/$B$53,IF(B68="P/E",IF(Valuation!F71&lt;&gt;"",C68*(Valuation!F71)*(1+$B$9),C68*(E68-$B$54)/$B$53),IF(Valuation!G71&lt;&gt;"",(Valuation!G71)*(1+$B$9)/C68,(E68-IF(Valuation!H71,$B$54,0))/C68/$B$53))+$B$52/$B$53)</f>
        <v/>
      </c>
      <c r="G68" s="20">
        <f>Valuation!C71</f>
        <v/>
      </c>
      <c r="H68">
        <f>IF(B68="EV/sales",1,IF(B68="EV/EBIT",2,IF(B68="EV/EBITDA",IF(Valuation!E71="adjusted",4,3),IF(B68="P/E",5,6))))</f>
        <v/>
      </c>
      <c r="I68" s="50">
        <f>IF(AND(B68="P/E",Valuation!F71&lt;&gt;""),(Valuation!F71)*(1+$B$9),IF(AND(B68="FCF yield",Valuation!G71&lt;&gt;""),(Valuation!G71)*(1+$B$9),E68))</f>
        <v/>
      </c>
    </row>
    <row r="69">
      <c r="A69">
        <f>"Multiple: "&amp;Valuation!A72&amp;" ("&amp;Valuation!D72&amp;")"</f>
        <v/>
      </c>
      <c r="B69">
        <f>Valuation!A72</f>
        <v/>
      </c>
      <c r="C69" s="9">
        <f>IF(B69="FCF yield",(Valuation!B72)*(1-$B$8),(Valuation!B72)+IF(B69="EV/sales",0.1,1)*$B$6)</f>
        <v/>
      </c>
      <c r="D69">
        <f>Valuation!D72</f>
        <v/>
      </c>
      <c r="E69" s="25">
        <f>IF(D69="ltm",CHOOSE(H69,$C$59,$C$60,$C$61,$C$62,$C$63,$C$64),CHOOSE(H69,$B$59,$B$60,$B$61,$B$62,$B$63,$B$64))</f>
        <v/>
      </c>
      <c r="F69" s="9">
        <f>IF(OR(B69="EV/EBITDA",B69="EV/sales",B69="EV/EBIT"),((C69*E69)-$B$50-$B$51+$B$52)/$B$53,IF(B69="P/E",IF(Valuation!F72&lt;&gt;"",C69*(Valuation!F72)*(1+$B$9),C69*(E69-$B$54)/$B$53),IF(Valuation!G72&lt;&gt;"",(Valuation!G72)*(1+$B$9)/C69,(E69-IF(Valuation!H72,$B$54,0))/C69/$B$53))+$B$52/$B$53)</f>
        <v/>
      </c>
      <c r="G69" s="20">
        <f>Valuation!C72</f>
        <v/>
      </c>
      <c r="H69">
        <f>IF(B69="EV/sales",1,IF(B69="EV/EBIT",2,IF(B69="EV/EBITDA",IF(Valuation!E72="adjusted",4,3),IF(B69="P/E",5,6))))</f>
        <v/>
      </c>
      <c r="I69" s="50">
        <f>IF(AND(B69="P/E",Valuation!F72&lt;&gt;""),(Valuation!F72)*(1+$B$9),IF(AND(B69="FCF yield",Valuation!G72&lt;&gt;""),(Valuation!G72)*(1+$B$9),E69))</f>
        <v/>
      </c>
    </row>
    <row r="70">
      <c r="A70">
        <f>"Multiple: "&amp;Valuation!A73&amp;" ("&amp;Valuation!D73&amp;")"</f>
        <v/>
      </c>
      <c r="B70">
        <f>Valuation!A73</f>
        <v/>
      </c>
      <c r="C70" s="9">
        <f>IF(B70="FCF yield",(Valuation!B73)*(1-$B$8),(Valuation!B73)+IF(B70="EV/sales",0.1,1)*$B$6)</f>
        <v/>
      </c>
      <c r="D70">
        <f>Valuation!D73</f>
        <v/>
      </c>
      <c r="E70" s="25">
        <f>IF(D70="ltm",CHOOSE(H70,$C$59,$C$60,$C$61,$C$62,$C$63,$C$64),CHOOSE(H70,$B$59,$B$60,$B$61,$B$62,$B$63,$B$64))</f>
        <v/>
      </c>
      <c r="F70" s="9">
        <f>IF(OR(B70="EV/EBITDA",B70="EV/sales",B70="EV/EBIT"),((C70*E70)-$B$50-$B$51+$B$52)/$B$53,IF(B70="P/E",IF(Valuation!F73&lt;&gt;"",C70*(Valuation!F73)*(1+$B$9),C70*(E70-$B$54)/$B$53),IF(Valuation!G73&lt;&gt;"",(Valuation!G73)*(1+$B$9)/C70,(E70-IF(Valuation!H73,$B$54,0))/C70/$B$53))+$B$52/$B$53)</f>
        <v/>
      </c>
      <c r="G70" s="20">
        <f>Valuation!C73</f>
        <v/>
      </c>
      <c r="H70">
        <f>IF(B70="EV/sales",1,IF(B70="EV/EBIT",2,IF(B70="EV/EBITDA",IF(Valuation!E73="adjusted",4,3),IF(B70="P/E",5,6))))</f>
        <v/>
      </c>
      <c r="I70" s="50">
        <f>IF(AND(B70="P/E",Valuation!F73&lt;&gt;""),(Valuation!F73)*(1+$B$9),IF(AND(B70="FCF yield",Valuation!G73&lt;&gt;""),(Valuation!G73)*(1+$B$9),E70))</f>
        <v/>
      </c>
    </row>
    <row r="71">
      <c r="A71" s="21" t="inlineStr">
        <is>
          <t>Value per share at target date (weighted methods)</t>
        </is>
      </c>
      <c r="F71" s="6">
        <f>SUMPRODUCT(F67:F70,G67:G70)/SUM(G67:G70)</f>
        <v/>
      </c>
    </row>
    <row r="129">
      <c r="A129" s="21" t="inlineStr">
        <is>
          <t>Segment build (model_engine.seg_build): revenue and EBIT are the segment sums plus corporate EBIT</t>
        </is>
      </c>
    </row>
    <row r="130">
      <c r="A130" s="3" t="inlineStr">
        <is>
          <t>Segment</t>
        </is>
      </c>
      <c r="B130" s="3" t="inlineStr">
        <is>
          <t>Base</t>
        </is>
      </c>
      <c r="C130" s="3">
        <f>Model!E5</f>
        <v/>
      </c>
      <c r="D130" s="3">
        <f>Model!F5</f>
        <v/>
      </c>
      <c r="E130" s="3">
        <f>Model!G5</f>
        <v/>
      </c>
    </row>
    <row r="131">
      <c r="A131" t="inlineStr">
        <is>
          <t>Product: revenue growth</t>
        </is>
      </c>
      <c r="C131" s="20">
        <f>Model!E12+$B$4+$B$252</f>
        <v/>
      </c>
      <c r="D131" s="20">
        <f>Model!F12+$B$4</f>
        <v/>
      </c>
      <c r="E131" s="20">
        <f>Model!G12+$B$4</f>
        <v/>
      </c>
    </row>
    <row r="132">
      <c r="A132" t="inlineStr">
        <is>
          <t>Product: revenue</t>
        </is>
      </c>
      <c r="B132" s="10">
        <f>Valuation!$B$90</f>
        <v/>
      </c>
      <c r="C132" s="25">
        <f>B132*(1+C131)</f>
        <v/>
      </c>
      <c r="D132" s="25">
        <f>C132*(1+D131)</f>
        <v/>
      </c>
      <c r="E132" s="25">
        <f>D132*(1+E131)</f>
        <v/>
      </c>
    </row>
    <row r="133">
      <c r="A133" t="inlineStr">
        <is>
          <t>Product: EBIT margin</t>
        </is>
      </c>
      <c r="C133" s="20">
        <f>Model!E14+$B$5+$B$253</f>
        <v/>
      </c>
      <c r="D133" s="20">
        <f>Model!F14+$B$5+$B$254</f>
        <v/>
      </c>
      <c r="E133" s="20">
        <f>Model!G14+$B$5+$B$255</f>
        <v/>
      </c>
    </row>
    <row r="134">
      <c r="A134" t="inlineStr">
        <is>
          <t>Product: EBIT</t>
        </is>
      </c>
      <c r="C134" s="25">
        <f>C132*C133</f>
        <v/>
      </c>
      <c r="D134" s="25">
        <f>D132*D133</f>
        <v/>
      </c>
      <c r="E134" s="25">
        <f>E132*E133</f>
        <v/>
      </c>
    </row>
    <row r="135">
      <c r="A135" t="inlineStr">
        <is>
          <t>Installation, service and electricity: revenue growth</t>
        </is>
      </c>
      <c r="C135" s="20">
        <f>Model!E16+$B$4</f>
        <v/>
      </c>
      <c r="D135" s="20">
        <f>Model!F16+$B$4</f>
        <v/>
      </c>
      <c r="E135" s="20">
        <f>Model!G16+$B$4</f>
        <v/>
      </c>
    </row>
    <row r="136">
      <c r="A136" t="inlineStr">
        <is>
          <t>Installation, service and electricity: revenue</t>
        </is>
      </c>
      <c r="B136" s="10">
        <f>Valuation!$B$91</f>
        <v/>
      </c>
      <c r="C136" s="25">
        <f>B136*(1+C135)</f>
        <v/>
      </c>
      <c r="D136" s="25">
        <f>C136*(1+D135)</f>
        <v/>
      </c>
      <c r="E136" s="25">
        <f>D136*(1+E135)</f>
        <v/>
      </c>
    </row>
    <row r="137">
      <c r="A137" t="inlineStr">
        <is>
          <t>Installation, service and electricity: EBIT margin</t>
        </is>
      </c>
      <c r="C137" s="20">
        <f>Model!E18+$B$5</f>
        <v/>
      </c>
      <c r="D137" s="20">
        <f>Model!F18+$B$5</f>
        <v/>
      </c>
      <c r="E137" s="20">
        <f>Model!G18+$B$5</f>
        <v/>
      </c>
    </row>
    <row r="138">
      <c r="A138" t="inlineStr">
        <is>
          <t>Installation, service and electricity: EBIT</t>
        </is>
      </c>
      <c r="C138" s="25">
        <f>C136*C137</f>
        <v/>
      </c>
      <c r="D138" s="25">
        <f>D136*D137</f>
        <v/>
      </c>
      <c r="E138" s="25">
        <f>E136*E137</f>
        <v/>
      </c>
    </row>
    <row r="139">
      <c r="A139" s="21" t="inlineStr">
        <is>
          <t>Total segment revenue</t>
        </is>
      </c>
      <c r="C139" s="25">
        <f>C132+C136</f>
        <v/>
      </c>
      <c r="D139" s="25">
        <f>D132+D136</f>
        <v/>
      </c>
      <c r="E139" s="25">
        <f>E132+E136</f>
        <v/>
      </c>
    </row>
    <row r="140">
      <c r="A140" t="inlineStr">
        <is>
          <t>Total segment EBIT</t>
        </is>
      </c>
      <c r="C140" s="25">
        <f>C134+C138</f>
        <v/>
      </c>
      <c r="D140" s="25">
        <f>D134+D138</f>
        <v/>
      </c>
      <c r="E140" s="25">
        <f>E134+E138</f>
        <v/>
      </c>
    </row>
    <row r="141">
      <c r="A141" t="inlineStr">
        <is>
          <t>Corporate / unallocated EBIT</t>
        </is>
      </c>
      <c r="C141" s="10">
        <f>Model!E21</f>
        <v/>
      </c>
      <c r="D141" s="10">
        <f>Model!F21</f>
        <v/>
      </c>
      <c r="E141" s="10">
        <f>Model!G21</f>
        <v/>
      </c>
    </row>
    <row r="142">
      <c r="A142" s="21" t="inlineStr">
        <is>
          <t>EBIT (segments + corporate)</t>
        </is>
      </c>
      <c r="C142" s="25">
        <f>C140+C141</f>
        <v/>
      </c>
      <c r="D142" s="25">
        <f>D140+D141</f>
        <v/>
      </c>
      <c r="E142" s="25">
        <f>E140+E141</f>
        <v/>
      </c>
    </row>
    <row r="249">
      <c r="A249" s="21" t="inlineStr">
        <is>
          <t>Driver scenario shifts: line-item changes model_drivers.py resolves from this scenario's driver deltas (added to the Model tab inputs)</t>
        </is>
      </c>
    </row>
    <row r="250">
      <c r="A250" t="inlineStr">
        <is>
          <t>Capex % revenue, year 1</t>
        </is>
      </c>
      <c r="B250" s="52" t="n">
        <v>0.007753732368718277</v>
      </c>
    </row>
    <row r="251">
      <c r="A251" t="inlineStr">
        <is>
          <t>Capex % revenue, year 2</t>
        </is>
      </c>
      <c r="B251" s="52" t="n">
        <v>0.005486325779596263</v>
      </c>
    </row>
    <row r="252">
      <c r="A252" t="inlineStr">
        <is>
          <t>Product: revenue growth, year 1</t>
        </is>
      </c>
      <c r="B252" s="52" t="n">
        <v>-0.6467611336032388</v>
      </c>
    </row>
    <row r="253">
      <c r="A253" t="inlineStr">
        <is>
          <t>Product: EBIT margin, year 1</t>
        </is>
      </c>
      <c r="B253" s="52" t="n">
        <v>-0.09083093543338888</v>
      </c>
    </row>
    <row r="254">
      <c r="A254" t="inlineStr">
        <is>
          <t>Product: EBIT margin, year 2</t>
        </is>
      </c>
      <c r="B254" s="52" t="n">
        <v>-0.08128205128205132</v>
      </c>
    </row>
    <row r="255">
      <c r="A255" t="inlineStr">
        <is>
          <t>Product: EBIT margin, year 3</t>
        </is>
      </c>
      <c r="B255" s="52" t="n">
        <v>-0.07348717948717948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42"/>
  <sheetViews>
    <sheetView showGridLines="0" workbookViewId="0">
      <pane xSplit="1" ySplit="18" topLeftCell="B1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13" customWidth="1" min="2" max="2"/>
    <col width="13" customWidth="1" min="3" max="3"/>
    <col width="13" customWidth="1" min="4" max="4"/>
    <col width="13" customWidth="1" min="5" max="5"/>
  </cols>
  <sheetData>
    <row r="1">
      <c r="A1" s="1" t="inlineStr">
        <is>
          <t>BE engine calculation: base scenario</t>
        </is>
      </c>
    </row>
    <row r="2">
      <c r="A2" s="2" t="inlineStr">
        <is>
          <t>Machinery behind the Valuation and Distribution tabs; drivers come from Model, assumptions from Valuation.</t>
        </is>
      </c>
    </row>
    <row r="4">
      <c r="A4" t="inlineStr">
        <is>
          <t>Scenario Growth Δ</t>
        </is>
      </c>
      <c r="B4" s="12">
        <f>N(Valuation!C86)</f>
        <v/>
      </c>
    </row>
    <row r="5">
      <c r="A5" t="inlineStr">
        <is>
          <t>Scenario Margin Δ</t>
        </is>
      </c>
      <c r="B5" s="12">
        <f>N(Valuation!D86)</f>
        <v/>
      </c>
    </row>
    <row r="6">
      <c r="A6" t="inlineStr">
        <is>
          <t>Scenario Multiple Δ (turns)</t>
        </is>
      </c>
      <c r="B6" s="51">
        <f>N(Valuation!E86)</f>
        <v/>
      </c>
    </row>
    <row r="7">
      <c r="A7" t="inlineStr">
        <is>
          <t>Scenario WACC Δ</t>
        </is>
      </c>
      <c r="B7" s="12">
        <f>N(Valuation!F86)</f>
        <v/>
      </c>
    </row>
    <row r="8">
      <c r="A8" t="inlineStr">
        <is>
          <t>Scenario Multiple %Δ</t>
        </is>
      </c>
      <c r="B8" s="12">
        <f>N(Valuation!G86)</f>
        <v/>
      </c>
    </row>
    <row r="9">
      <c r="A9" t="inlineStr">
        <is>
          <t>Scenario Stated EPS/FCF %Δ</t>
        </is>
      </c>
      <c r="B9" s="12">
        <f>N(Valuation!H86)</f>
        <v/>
      </c>
    </row>
    <row r="10">
      <c r="A10" t="inlineStr">
        <is>
          <t>Scenario Custom %Δ</t>
        </is>
      </c>
      <c r="B10" s="12">
        <f>N(Valuation!I86)</f>
        <v/>
      </c>
    </row>
    <row r="12">
      <c r="A12" t="inlineStr">
        <is>
          <t>WACC</t>
        </is>
      </c>
      <c r="B12" s="20">
        <f>Valuation!$B$52+B7</f>
        <v/>
      </c>
    </row>
    <row r="13">
      <c r="A13" t="inlineStr">
        <is>
          <t>Years from last FY end to target date</t>
        </is>
      </c>
      <c r="B13" s="49">
        <f>(Valuation!$B$46-Valuation!$B$50)/365.25</f>
        <v/>
      </c>
    </row>
    <row r="14">
      <c r="A14" t="inlineStr">
        <is>
          <t>Years from last FY end to balance date</t>
        </is>
      </c>
      <c r="B14" s="49">
        <f>(Valuation!$B$56-Valuation!$B$50)/365.25</f>
        <v/>
      </c>
    </row>
    <row r="15">
      <c r="A15" t="inlineStr">
        <is>
          <t>Years from last FY end to share count date</t>
        </is>
      </c>
      <c r="B15" s="49">
        <f>(Valuation!$B$62-Valuation!$B$50)/365.25</f>
        <v/>
      </c>
    </row>
    <row r="16">
      <c r="A16" t="inlineStr">
        <is>
          <t>Projected years</t>
        </is>
      </c>
      <c r="B16" t="n">
        <v>3</v>
      </c>
    </row>
    <row r="18">
      <c r="A18" s="3" t="inlineStr">
        <is>
          <t>Projection</t>
        </is>
      </c>
      <c r="B18" s="3" t="inlineStr">
        <is>
          <t>Base</t>
        </is>
      </c>
      <c r="C18" s="3">
        <f>Model!E5</f>
        <v/>
      </c>
      <c r="D18" s="3">
        <f>Model!F5</f>
        <v/>
      </c>
      <c r="E18" s="3">
        <f>Model!G5</f>
        <v/>
      </c>
    </row>
    <row r="19">
      <c r="A19" t="inlineStr">
        <is>
          <t>Year index</t>
        </is>
      </c>
      <c r="B19" t="n">
        <v>0</v>
      </c>
      <c r="C19" t="n">
        <v>1</v>
      </c>
      <c r="D19" t="n">
        <v>2</v>
      </c>
      <c r="E19" t="n">
        <v>3</v>
      </c>
    </row>
    <row r="20">
      <c r="A20" t="inlineStr">
        <is>
          <t>Period end</t>
        </is>
      </c>
      <c r="C20" s="22">
        <f>Valuation!$B$50+ROUND(365.25*C19,0)</f>
        <v/>
      </c>
      <c r="D20" s="22">
        <f>Valuation!$B$50+ROUND(365.25*D19,0)</f>
        <v/>
      </c>
      <c r="E20" s="22">
        <f>Valuation!$B$50+ROUND(365.25*E19,0)</f>
        <v/>
      </c>
    </row>
    <row r="21">
      <c r="A21" t="inlineStr">
        <is>
          <t>Revenue growth</t>
        </is>
      </c>
      <c r="C21" s="20">
        <f>C22/B22-1</f>
        <v/>
      </c>
      <c r="D21" s="20">
        <f>D22/C22-1</f>
        <v/>
      </c>
      <c r="E21" s="20">
        <f>E22/D22-1</f>
        <v/>
      </c>
    </row>
    <row r="22">
      <c r="A22" t="inlineStr">
        <is>
          <t>Revenue</t>
        </is>
      </c>
      <c r="B22" s="25">
        <f>Valuation!$B$51</f>
        <v/>
      </c>
      <c r="C22" s="25">
        <f>C139</f>
        <v/>
      </c>
      <c r="D22" s="25">
        <f>D139</f>
        <v/>
      </c>
      <c r="E22" s="25">
        <f>E139</f>
        <v/>
      </c>
    </row>
    <row r="23">
      <c r="A23" t="inlineStr">
        <is>
          <t>EBIT margin</t>
        </is>
      </c>
      <c r="C23" s="20">
        <f>C24/C22</f>
        <v/>
      </c>
      <c r="D23" s="20">
        <f>D24/D22</f>
        <v/>
      </c>
      <c r="E23" s="20">
        <f>E24/E22</f>
        <v/>
      </c>
    </row>
    <row r="24">
      <c r="A24" t="inlineStr">
        <is>
          <t>EBIT</t>
        </is>
      </c>
      <c r="C24" s="25">
        <f>C142</f>
        <v/>
      </c>
      <c r="D24" s="25">
        <f>D142</f>
        <v/>
      </c>
      <c r="E24" s="25">
        <f>E142</f>
        <v/>
      </c>
    </row>
    <row r="25">
      <c r="A25" t="inlineStr">
        <is>
          <t>Tax rate</t>
        </is>
      </c>
      <c r="C25" s="20">
        <f>Model!E63</f>
        <v/>
      </c>
      <c r="D25" s="20">
        <f>Model!F63</f>
        <v/>
      </c>
      <c r="E25" s="20">
        <f>Model!G63</f>
        <v/>
      </c>
    </row>
    <row r="26">
      <c r="A26" t="inlineStr">
        <is>
          <t>NOPAT</t>
        </is>
      </c>
      <c r="C26" s="25">
        <f>C24*(1-C25)</f>
        <v/>
      </c>
      <c r="D26" s="25">
        <f>D24*(1-D25)</f>
        <v/>
      </c>
      <c r="E26" s="25">
        <f>E24*(1-E25)</f>
        <v/>
      </c>
    </row>
    <row r="27">
      <c r="A27" t="inlineStr">
        <is>
          <t>D&amp;A</t>
        </is>
      </c>
      <c r="C27" s="25">
        <f>C22*(Model!E64)</f>
        <v/>
      </c>
      <c r="D27" s="25">
        <f>D22*(Model!F64)</f>
        <v/>
      </c>
      <c r="E27" s="25">
        <f>E22*(Model!G64)</f>
        <v/>
      </c>
    </row>
    <row r="28">
      <c r="A28" t="inlineStr">
        <is>
          <t>Capex</t>
        </is>
      </c>
      <c r="C28" s="25">
        <f>C22*(Model!E65)</f>
        <v/>
      </c>
      <c r="D28" s="25">
        <f>D22*(Model!F65)</f>
        <v/>
      </c>
      <c r="E28" s="25">
        <f>E22*(Model!G65)</f>
        <v/>
      </c>
    </row>
    <row r="29">
      <c r="A29" t="inlineStr">
        <is>
          <t>Working capital increase</t>
        </is>
      </c>
      <c r="C29" s="25">
        <f>(Model!E66)*(C22-B22)</f>
        <v/>
      </c>
      <c r="D29" s="25">
        <f>(Model!F66)*(D22-C22)</f>
        <v/>
      </c>
      <c r="E29" s="25">
        <f>(Model!G66)*(E22-D22)</f>
        <v/>
      </c>
    </row>
    <row r="30">
      <c r="A30" t="inlineStr">
        <is>
          <t>Stock comp</t>
        </is>
      </c>
      <c r="C30" s="25">
        <f>C22*(Model!E67)</f>
        <v/>
      </c>
      <c r="D30" s="25">
        <f>D22*(Model!F67)</f>
        <v/>
      </c>
      <c r="E30" s="25">
        <f>E22*(Model!G67)</f>
        <v/>
      </c>
    </row>
    <row r="31">
      <c r="A31" t="inlineStr">
        <is>
          <t>Free cash flow to firm</t>
        </is>
      </c>
      <c r="C31" s="25">
        <f>C26+C27-C28-C29-IF(AND(Valuation!$B$48="adjusted",Valuation!$B$49="cost"),C30*(1-C25),0)</f>
        <v/>
      </c>
      <c r="D31" s="25">
        <f>D26+D27-D28-D29-IF(AND(Valuation!$B$48="adjusted",Valuation!$B$49="cost"),D30*(1-D25),0)</f>
        <v/>
      </c>
      <c r="E31" s="25">
        <f>E26+E27-E28-E29-IF(AND(Valuation!$B$48="adjusted",Valuation!$B$49="cost"),E30*(1-E25),0)</f>
        <v/>
      </c>
    </row>
    <row r="32">
      <c r="A32" t="inlineStr">
        <is>
          <t>EBITDA</t>
        </is>
      </c>
      <c r="C32" s="25">
        <f>C24+C27</f>
        <v/>
      </c>
      <c r="D32" s="25">
        <f>D24+D27</f>
        <v/>
      </c>
      <c r="E32" s="25">
        <f>E24+E27</f>
        <v/>
      </c>
    </row>
    <row r="33">
      <c r="A33" t="inlineStr">
        <is>
          <t>Adj. EBITDA</t>
        </is>
      </c>
      <c r="C33" s="25">
        <f>C24+C27+C22*(Model!E71)</f>
        <v/>
      </c>
      <c r="D33" s="25">
        <f>D24+D27+D22*(Model!F71)</f>
        <v/>
      </c>
      <c r="E33" s="25">
        <f>E24+E27+E22*(Model!G71)</f>
        <v/>
      </c>
    </row>
    <row r="34">
      <c r="A34" t="inlineStr">
        <is>
          <t>Shareholder returns + other uses</t>
        </is>
      </c>
      <c r="C34" s="25">
        <f>C22*Model!E69+Model!E68+Model!E70</f>
        <v/>
      </c>
      <c r="D34" s="25">
        <f>D22*Model!F69+Model!F68+Model!F70</f>
        <v/>
      </c>
      <c r="E34" s="25">
        <f>E22*Model!G69+Model!G68+Model!G70</f>
        <v/>
      </c>
    </row>
    <row r="35">
      <c r="A35" t="inlineStr">
        <is>
          <t>Share of year after target date</t>
        </is>
      </c>
      <c r="C35" s="49">
        <f>IF(C19&lt;=$B$13,0,C19-MAX(C19-1,$B$13))</f>
        <v/>
      </c>
      <c r="D35" s="49">
        <f>IF(D19&lt;=$B$13,0,D19-MAX(D19-1,$B$13))</f>
        <v/>
      </c>
      <c r="E35" s="49">
        <f>IF(E19&lt;=$B$13,0,E19-MAX(E19-1,$B$13))</f>
        <v/>
      </c>
    </row>
    <row r="36">
      <c r="A36" t="inlineStr">
        <is>
          <t>PV at target date of FCFF</t>
        </is>
      </c>
      <c r="C36" s="25">
        <f>IF(C35=0,0,C31*C35/(1+$B$12)^(C19-$B$13))</f>
        <v/>
      </c>
      <c r="D36" s="25">
        <f>IF(D35=0,0,D31*D35/(1+$B$12)^(D19-$B$13))</f>
        <v/>
      </c>
      <c r="E36" s="25">
        <f>IF(E35=0,0,E31*E35/(1+$B$12)^(E19-$B$13))</f>
        <v/>
      </c>
    </row>
    <row r="37">
      <c r="A37" t="inlineStr">
        <is>
          <t>Overlap: balance date to target date</t>
        </is>
      </c>
      <c r="C37" s="49">
        <f>MAX(0,MIN(C19,$B$13)-MAX(C19-1,$B$14))</f>
        <v/>
      </c>
      <c r="D37" s="49">
        <f>MAX(0,MIN(D19,$B$13)-MAX(D19-1,$B$14))</f>
        <v/>
      </c>
      <c r="E37" s="49">
        <f>MAX(0,MIN(E19,$B$13)-MAX(E19-1,$B$14))</f>
        <v/>
      </c>
    </row>
    <row r="38">
      <c r="A38" t="inlineStr">
        <is>
          <t>NTM weight at target date</t>
        </is>
      </c>
      <c r="C38" s="49">
        <f>MAX(0,MIN(C19,$B$13+1)-MAX(C19-1,$B$13))</f>
        <v/>
      </c>
      <c r="D38" s="49">
        <f>MAX(0,MIN(D19,$B$13+1)-MAX(D19-1,$B$13))</f>
        <v/>
      </c>
      <c r="E38" s="49">
        <f>MAX(0,MIN(E19,$B$13+1)-MAX(E19-1,$B$13))</f>
        <v/>
      </c>
    </row>
    <row r="39">
      <c r="A39" t="inlineStr">
        <is>
          <t>LTM weight at target date</t>
        </is>
      </c>
      <c r="B39" s="49">
        <f>MAX(0,MIN(0,$B$13)-MAX(-1,$B$13-1))</f>
        <v/>
      </c>
      <c r="C39" s="49">
        <f>MAX(0,MIN(C19,$B$13)-MAX(C19-1,$B$13-1))</f>
        <v/>
      </c>
      <c r="D39" s="49">
        <f>MAX(0,MIN(D19,$B$13)-MAX(D19-1,$B$13-1))</f>
        <v/>
      </c>
      <c r="E39" s="49">
        <f>MAX(0,MIN(E19,$B$13)-MAX(E19-1,$B$13-1))</f>
        <v/>
      </c>
    </row>
    <row r="41">
      <c r="A41" s="21" t="inlineStr">
        <is>
          <t>Value at the target date</t>
        </is>
      </c>
    </row>
    <row r="42">
      <c r="A42" t="inlineStr">
        <is>
          <t>PV of free cash flow after the target date</t>
        </is>
      </c>
      <c r="B42" s="25">
        <f>SUM($C$36:$E$36)</f>
        <v/>
      </c>
    </row>
    <row r="43">
      <c r="A43" t="inlineStr">
        <is>
          <t>Terminal value at final year</t>
        </is>
      </c>
      <c r="B43" s="25">
        <f>IF(Valuation!$B$53="exit_multiple",Valuation!$B$55*E32,E31*(1+Valuation!$B$54)/($B$12-Valuation!$B$54))</f>
        <v/>
      </c>
    </row>
    <row r="44">
      <c r="A44" t="inlineStr">
        <is>
          <t>PV of terminal value at target date</t>
        </is>
      </c>
      <c r="B44" s="25">
        <f>B43/(1+$B$12)^($B$16-$B$13)</f>
        <v/>
      </c>
    </row>
    <row r="45">
      <c r="A45" t="inlineStr">
        <is>
          <t>DCF enterprise value at target date</t>
        </is>
      </c>
      <c r="B45" s="25">
        <f>B42+B44</f>
        <v/>
      </c>
    </row>
    <row r="46">
      <c r="A46" t="inlineStr">
        <is>
          <t>Terminal value share of DCF</t>
        </is>
      </c>
      <c r="B46" s="20">
        <f>B44/B45</f>
        <v/>
      </c>
    </row>
    <row r="47">
      <c r="A47" t="inlineStr">
        <is>
          <t>Free cash flow earned, balance date to target date</t>
        </is>
      </c>
      <c r="B47" s="25">
        <f>SUMPRODUCT($C$37:$E$37,$C$31:$E$31)</f>
        <v/>
      </c>
    </row>
    <row r="48">
      <c r="A48" t="inlineStr">
        <is>
          <t>Shareholder returns + other uses paid</t>
        </is>
      </c>
      <c r="B48" s="25">
        <f>SUMPRODUCT($C$37:$E$37,$C$34:$E$34)</f>
        <v/>
      </c>
    </row>
    <row r="49">
      <c r="A49" t="inlineStr">
        <is>
          <t>Interest drag on net debt</t>
        </is>
      </c>
      <c r="B49" s="25">
        <f>Valuation!$B$59*(1-$C$25)*MAX(Valuation!$B$57,0)*MAX($B$13-$B$14,0)</f>
        <v/>
      </c>
    </row>
    <row r="50">
      <c r="A50" t="inlineStr">
        <is>
          <t>Net debt at target date</t>
        </is>
      </c>
      <c r="B50" s="25">
        <f>IF(Valuation!$B$60="",Valuation!$B$57-B47+B49+B48,Valuation!$B$60)</f>
        <v/>
      </c>
    </row>
    <row r="51">
      <c r="A51" t="inlineStr">
        <is>
          <t>Minority interests</t>
        </is>
      </c>
      <c r="B51" s="25">
        <f>Valuation!$B$58</f>
        <v/>
      </c>
    </row>
    <row r="52">
      <c r="A52" t="inlineStr">
        <is>
          <t>Adjustments (probability-weighted)</t>
        </is>
      </c>
      <c r="B52" s="25">
        <f>0</f>
        <v/>
      </c>
    </row>
    <row r="53">
      <c r="A53" t="inlineStr">
        <is>
          <t>Diluted shares at target date (M)</t>
        </is>
      </c>
      <c r="B53" s="30">
        <f>IF(Valuation!$B$64="",Valuation!$B$61*(1+Valuation!$B$63)^MAX($B$13-$B$15,0),Valuation!$B$64)</f>
        <v/>
      </c>
    </row>
    <row r="54">
      <c r="A54" t="inlineStr">
        <is>
          <t>After-tax interest on target-date net debt</t>
        </is>
      </c>
      <c r="B54" s="25">
        <f>Valuation!$B$59*(1-$C$25)*MAX(B50,0)</f>
        <v/>
      </c>
    </row>
    <row r="55">
      <c r="A55" t="inlineStr">
        <is>
          <t>Check: WACC vs terminal growth</t>
        </is>
      </c>
      <c r="B55">
        <f>IF(AND(Valuation!$B$53&lt;&gt;"exit_multiple",$B$12&lt;=Valuation!$B$54+0.01),"WACC must exceed terminal growth by 1 point","ok")</f>
        <v/>
      </c>
    </row>
    <row r="56">
      <c r="A56" t="inlineStr">
        <is>
          <t>Check: projection length</t>
        </is>
      </c>
      <c r="B56">
        <f>IF(OR($B$13&gt;=$B$16-1,$B$13+1&gt;$B$16),"add projected years past the target date","ok")</f>
        <v/>
      </c>
    </row>
    <row r="58">
      <c r="A58" s="3" t="inlineStr">
        <is>
          <t>Metric at target date</t>
        </is>
      </c>
      <c r="B58" s="3" t="inlineStr">
        <is>
          <t>Next 12 months</t>
        </is>
      </c>
      <c r="C58" s="3" t="inlineStr">
        <is>
          <t>Last 12 months</t>
        </is>
      </c>
    </row>
    <row r="59">
      <c r="A59" t="inlineStr">
        <is>
          <t>Revenue</t>
        </is>
      </c>
      <c r="B59" s="25">
        <f>SUMPRODUCT($C$38:$E$38,$C$22:$E$22)</f>
        <v/>
      </c>
      <c r="C59" s="25">
        <f>SUMPRODUCT($C$39:$E$39,$C$22:$E$22)+$B$39*$B$22</f>
        <v/>
      </c>
    </row>
    <row r="60">
      <c r="A60" t="inlineStr">
        <is>
          <t>EBIT</t>
        </is>
      </c>
      <c r="B60" s="25">
        <f>SUMPRODUCT($C$38:$E$38,$C$24:$E$24)</f>
        <v/>
      </c>
      <c r="C60" s="25">
        <f>SUMPRODUCT($C$39:$E$39,$C$24:$E$24)</f>
        <v/>
      </c>
    </row>
    <row r="61">
      <c r="A61" t="inlineStr">
        <is>
          <t>EBITDA</t>
        </is>
      </c>
      <c r="B61" s="25">
        <f>SUMPRODUCT($C$38:$E$38,$C$32:$E$32)</f>
        <v/>
      </c>
      <c r="C61" s="25">
        <f>SUMPRODUCT($C$39:$E$39,$C$32:$E$32)</f>
        <v/>
      </c>
    </row>
    <row r="62">
      <c r="A62" t="inlineStr">
        <is>
          <t>Adj. EBITDA</t>
        </is>
      </c>
      <c r="B62" s="25">
        <f>SUMPRODUCT($C$38:$E$38,$C$33:$E$33)</f>
        <v/>
      </c>
      <c r="C62" s="25">
        <f>SUMPRODUCT($C$39:$E$39,$C$33:$E$33)</f>
        <v/>
      </c>
    </row>
    <row r="63">
      <c r="A63" t="inlineStr">
        <is>
          <t>NOPAT</t>
        </is>
      </c>
      <c r="B63" s="25">
        <f>SUMPRODUCT($C$38:$E$38,$C$26:$E$26)</f>
        <v/>
      </c>
      <c r="C63" s="25">
        <f>SUMPRODUCT($C$39:$E$39,$C$26:$E$26)</f>
        <v/>
      </c>
    </row>
    <row r="64">
      <c r="A64" t="inlineStr">
        <is>
          <t>Free cash flow to firm</t>
        </is>
      </c>
      <c r="B64" s="25">
        <f>SUMPRODUCT($C$38:$E$38,$C$31:$E$31)</f>
        <v/>
      </c>
      <c r="C64" s="25">
        <f>SUMPRODUCT($C$39:$E$39,$C$31:$E$31)</f>
        <v/>
      </c>
    </row>
    <row r="66">
      <c r="A66" s="3" t="inlineStr">
        <is>
          <t>Valuation method</t>
        </is>
      </c>
      <c r="B66" s="3" t="inlineStr">
        <is>
          <t>Metric</t>
        </is>
      </c>
      <c r="C66" s="3" t="inlineStr">
        <is>
          <t>Multiple used</t>
        </is>
      </c>
      <c r="D66" s="3" t="inlineStr">
        <is>
          <t>Basis</t>
        </is>
      </c>
      <c r="E66" s="3" t="inlineStr">
        <is>
          <t>Metric at target date</t>
        </is>
      </c>
      <c r="F66" s="3" t="inlineStr">
        <is>
          <t>Value per share</t>
        </is>
      </c>
      <c r="G66" s="3" t="inlineStr">
        <is>
          <t>Weight</t>
        </is>
      </c>
      <c r="H66" s="3" t="inlineStr">
        <is>
          <t>Metric key</t>
        </is>
      </c>
      <c r="I66" s="3" t="inlineStr">
        <is>
          <t>Metric shown (stated per-share figure when used)</t>
        </is>
      </c>
    </row>
    <row r="67">
      <c r="A67" t="inlineStr">
        <is>
          <t>DCF (cash flow to target date + terminal)</t>
        </is>
      </c>
      <c r="F67" s="9">
        <f>((B45)-$B$50-$B$51+$B$52)/$B$53</f>
        <v/>
      </c>
      <c r="G67" s="20">
        <f>Valuation!$B$65</f>
        <v/>
      </c>
    </row>
    <row r="68">
      <c r="A68">
        <f>"Multiple: "&amp;Valuation!A71&amp;" ("&amp;Valuation!D71&amp;")"</f>
        <v/>
      </c>
      <c r="B68">
        <f>Valuation!A71</f>
        <v/>
      </c>
      <c r="C68" s="9">
        <f>IF(B68="FCF yield",(Valuation!B71)*(1-$B$8),(Valuation!B71)+IF(B68="EV/sales",0.1,1)*$B$6)</f>
        <v/>
      </c>
      <c r="D68">
        <f>Valuation!D71</f>
        <v/>
      </c>
      <c r="E68" s="25">
        <f>IF(D68="ltm",CHOOSE(H68,$C$59,$C$60,$C$61,$C$62,$C$63,$C$64),CHOOSE(H68,$B$59,$B$60,$B$61,$B$62,$B$63,$B$64))</f>
        <v/>
      </c>
      <c r="F68" s="9">
        <f>IF(OR(B68="EV/EBITDA",B68="EV/sales",B68="EV/EBIT"),((C68*E68)-$B$50-$B$51+$B$52)/$B$53,IF(B68="P/E",IF(Valuation!F71&lt;&gt;"",C68*(Valuation!F71)*(1+$B$9),C68*(E68-$B$54)/$B$53),IF(Valuation!G71&lt;&gt;"",(Valuation!G71)*(1+$B$9)/C68,(E68-IF(Valuation!H71,$B$54,0))/C68/$B$53))+$B$52/$B$53)</f>
        <v/>
      </c>
      <c r="G68" s="20">
        <f>Valuation!C71</f>
        <v/>
      </c>
      <c r="H68">
        <f>IF(B68="EV/sales",1,IF(B68="EV/EBIT",2,IF(B68="EV/EBITDA",IF(Valuation!E71="adjusted",4,3),IF(B68="P/E",5,6))))</f>
        <v/>
      </c>
      <c r="I68" s="50">
        <f>IF(AND(B68="P/E",Valuation!F71&lt;&gt;""),(Valuation!F71)*(1+$B$9),IF(AND(B68="FCF yield",Valuation!G71&lt;&gt;""),(Valuation!G71)*(1+$B$9),E68))</f>
        <v/>
      </c>
    </row>
    <row r="69">
      <c r="A69">
        <f>"Multiple: "&amp;Valuation!A72&amp;" ("&amp;Valuation!D72&amp;")"</f>
        <v/>
      </c>
      <c r="B69">
        <f>Valuation!A72</f>
        <v/>
      </c>
      <c r="C69" s="9">
        <f>IF(B69="FCF yield",(Valuation!B72)*(1-$B$8),(Valuation!B72)+IF(B69="EV/sales",0.1,1)*$B$6)</f>
        <v/>
      </c>
      <c r="D69">
        <f>Valuation!D72</f>
        <v/>
      </c>
      <c r="E69" s="25">
        <f>IF(D69="ltm",CHOOSE(H69,$C$59,$C$60,$C$61,$C$62,$C$63,$C$64),CHOOSE(H69,$B$59,$B$60,$B$61,$B$62,$B$63,$B$64))</f>
        <v/>
      </c>
      <c r="F69" s="9">
        <f>IF(OR(B69="EV/EBITDA",B69="EV/sales",B69="EV/EBIT"),((C69*E69)-$B$50-$B$51+$B$52)/$B$53,IF(B69="P/E",IF(Valuation!F72&lt;&gt;"",C69*(Valuation!F72)*(1+$B$9),C69*(E69-$B$54)/$B$53),IF(Valuation!G72&lt;&gt;"",(Valuation!G72)*(1+$B$9)/C69,(E69-IF(Valuation!H72,$B$54,0))/C69/$B$53))+$B$52/$B$53)</f>
        <v/>
      </c>
      <c r="G69" s="20">
        <f>Valuation!C72</f>
        <v/>
      </c>
      <c r="H69">
        <f>IF(B69="EV/sales",1,IF(B69="EV/EBIT",2,IF(B69="EV/EBITDA",IF(Valuation!E72="adjusted",4,3),IF(B69="P/E",5,6))))</f>
        <v/>
      </c>
      <c r="I69" s="50">
        <f>IF(AND(B69="P/E",Valuation!F72&lt;&gt;""),(Valuation!F72)*(1+$B$9),IF(AND(B69="FCF yield",Valuation!G72&lt;&gt;""),(Valuation!G72)*(1+$B$9),E69))</f>
        <v/>
      </c>
    </row>
    <row r="70">
      <c r="A70">
        <f>"Multiple: "&amp;Valuation!A73&amp;" ("&amp;Valuation!D73&amp;")"</f>
        <v/>
      </c>
      <c r="B70">
        <f>Valuation!A73</f>
        <v/>
      </c>
      <c r="C70" s="9">
        <f>IF(B70="FCF yield",(Valuation!B73)*(1-$B$8),(Valuation!B73)+IF(B70="EV/sales",0.1,1)*$B$6)</f>
        <v/>
      </c>
      <c r="D70">
        <f>Valuation!D73</f>
        <v/>
      </c>
      <c r="E70" s="25">
        <f>IF(D70="ltm",CHOOSE(H70,$C$59,$C$60,$C$61,$C$62,$C$63,$C$64),CHOOSE(H70,$B$59,$B$60,$B$61,$B$62,$B$63,$B$64))</f>
        <v/>
      </c>
      <c r="F70" s="9">
        <f>IF(OR(B70="EV/EBITDA",B70="EV/sales",B70="EV/EBIT"),((C70*E70)-$B$50-$B$51+$B$52)/$B$53,IF(B70="P/E",IF(Valuation!F73&lt;&gt;"",C70*(Valuation!F73)*(1+$B$9),C70*(E70-$B$54)/$B$53),IF(Valuation!G73&lt;&gt;"",(Valuation!G73)*(1+$B$9)/C70,(E70-IF(Valuation!H73,$B$54,0))/C70/$B$53))+$B$52/$B$53)</f>
        <v/>
      </c>
      <c r="G70" s="20">
        <f>Valuation!C73</f>
        <v/>
      </c>
      <c r="H70">
        <f>IF(B70="EV/sales",1,IF(B70="EV/EBIT",2,IF(B70="EV/EBITDA",IF(Valuation!E73="adjusted",4,3),IF(B70="P/E",5,6))))</f>
        <v/>
      </c>
      <c r="I70" s="50">
        <f>IF(AND(B70="P/E",Valuation!F73&lt;&gt;""),(Valuation!F73)*(1+$B$9),IF(AND(B70="FCF yield",Valuation!G73&lt;&gt;""),(Valuation!G73)*(1+$B$9),E70))</f>
        <v/>
      </c>
    </row>
    <row r="71">
      <c r="A71" s="21" t="inlineStr">
        <is>
          <t>Value per share at target date (weighted methods)</t>
        </is>
      </c>
      <c r="F71" s="6">
        <f>SUMPRODUCT(F67:F70,G67:G70)/SUM(G67:G70)</f>
        <v/>
      </c>
    </row>
    <row r="129">
      <c r="A129" s="21" t="inlineStr">
        <is>
          <t>Segment build (model_engine.seg_build): revenue and EBIT are the segment sums plus corporate EBIT</t>
        </is>
      </c>
    </row>
    <row r="130">
      <c r="A130" s="3" t="inlineStr">
        <is>
          <t>Segment</t>
        </is>
      </c>
      <c r="B130" s="3" t="inlineStr">
        <is>
          <t>Base</t>
        </is>
      </c>
      <c r="C130" s="3">
        <f>Model!E5</f>
        <v/>
      </c>
      <c r="D130" s="3">
        <f>Model!F5</f>
        <v/>
      </c>
      <c r="E130" s="3">
        <f>Model!G5</f>
        <v/>
      </c>
    </row>
    <row r="131">
      <c r="A131" t="inlineStr">
        <is>
          <t>Product: revenue growth</t>
        </is>
      </c>
      <c r="C131" s="20">
        <f>Model!E12+$B$4</f>
        <v/>
      </c>
      <c r="D131" s="20">
        <f>Model!F12+$B$4</f>
        <v/>
      </c>
      <c r="E131" s="20">
        <f>Model!G12+$B$4</f>
        <v/>
      </c>
    </row>
    <row r="132">
      <c r="A132" t="inlineStr">
        <is>
          <t>Product: revenue</t>
        </is>
      </c>
      <c r="B132" s="10">
        <f>Valuation!$B$90</f>
        <v/>
      </c>
      <c r="C132" s="25">
        <f>B132*(1+C131)</f>
        <v/>
      </c>
      <c r="D132" s="25">
        <f>C132*(1+D131)</f>
        <v/>
      </c>
      <c r="E132" s="25">
        <f>D132*(1+E131)</f>
        <v/>
      </c>
    </row>
    <row r="133">
      <c r="A133" t="inlineStr">
        <is>
          <t>Product: EBIT margin</t>
        </is>
      </c>
      <c r="C133" s="20">
        <f>Model!E14+$B$5</f>
        <v/>
      </c>
      <c r="D133" s="20">
        <f>Model!F14+$B$5</f>
        <v/>
      </c>
      <c r="E133" s="20">
        <f>Model!G14+$B$5</f>
        <v/>
      </c>
    </row>
    <row r="134">
      <c r="A134" t="inlineStr">
        <is>
          <t>Product: EBIT</t>
        </is>
      </c>
      <c r="C134" s="25">
        <f>C132*C133</f>
        <v/>
      </c>
      <c r="D134" s="25">
        <f>D132*D133</f>
        <v/>
      </c>
      <c r="E134" s="25">
        <f>E132*E133</f>
        <v/>
      </c>
    </row>
    <row r="135">
      <c r="A135" t="inlineStr">
        <is>
          <t>Installation, service and electricity: revenue growth</t>
        </is>
      </c>
      <c r="C135" s="20">
        <f>Model!E16+$B$4</f>
        <v/>
      </c>
      <c r="D135" s="20">
        <f>Model!F16+$B$4</f>
        <v/>
      </c>
      <c r="E135" s="20">
        <f>Model!G16+$B$4</f>
        <v/>
      </c>
    </row>
    <row r="136">
      <c r="A136" t="inlineStr">
        <is>
          <t>Installation, service and electricity: revenue</t>
        </is>
      </c>
      <c r="B136" s="10">
        <f>Valuation!$B$91</f>
        <v/>
      </c>
      <c r="C136" s="25">
        <f>B136*(1+C135)</f>
        <v/>
      </c>
      <c r="D136" s="25">
        <f>C136*(1+D135)</f>
        <v/>
      </c>
      <c r="E136" s="25">
        <f>D136*(1+E135)</f>
        <v/>
      </c>
    </row>
    <row r="137">
      <c r="A137" t="inlineStr">
        <is>
          <t>Installation, service and electricity: EBIT margin</t>
        </is>
      </c>
      <c r="C137" s="20">
        <f>Model!E18+$B$5</f>
        <v/>
      </c>
      <c r="D137" s="20">
        <f>Model!F18+$B$5</f>
        <v/>
      </c>
      <c r="E137" s="20">
        <f>Model!G18+$B$5</f>
        <v/>
      </c>
    </row>
    <row r="138">
      <c r="A138" t="inlineStr">
        <is>
          <t>Installation, service and electricity: EBIT</t>
        </is>
      </c>
      <c r="C138" s="25">
        <f>C136*C137</f>
        <v/>
      </c>
      <c r="D138" s="25">
        <f>D136*D137</f>
        <v/>
      </c>
      <c r="E138" s="25">
        <f>E136*E137</f>
        <v/>
      </c>
    </row>
    <row r="139">
      <c r="A139" s="21" t="inlineStr">
        <is>
          <t>Total segment revenue</t>
        </is>
      </c>
      <c r="C139" s="25">
        <f>C132+C136</f>
        <v/>
      </c>
      <c r="D139" s="25">
        <f>D132+D136</f>
        <v/>
      </c>
      <c r="E139" s="25">
        <f>E132+E136</f>
        <v/>
      </c>
    </row>
    <row r="140">
      <c r="A140" t="inlineStr">
        <is>
          <t>Total segment EBIT</t>
        </is>
      </c>
      <c r="C140" s="25">
        <f>C134+C138</f>
        <v/>
      </c>
      <c r="D140" s="25">
        <f>D134+D138</f>
        <v/>
      </c>
      <c r="E140" s="25">
        <f>E134+E138</f>
        <v/>
      </c>
    </row>
    <row r="141">
      <c r="A141" t="inlineStr">
        <is>
          <t>Corporate / unallocated EBIT</t>
        </is>
      </c>
      <c r="C141" s="10">
        <f>Model!E21</f>
        <v/>
      </c>
      <c r="D141" s="10">
        <f>Model!F21</f>
        <v/>
      </c>
      <c r="E141" s="10">
        <f>Model!G21</f>
        <v/>
      </c>
    </row>
    <row r="142">
      <c r="A142" s="21" t="inlineStr">
        <is>
          <t>EBIT (segments + corporate)</t>
        </is>
      </c>
      <c r="C142" s="25">
        <f>C140+C141</f>
        <v/>
      </c>
      <c r="D142" s="25">
        <f>D140+D141</f>
        <v/>
      </c>
      <c r="E142" s="25">
        <f>E140+E141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55"/>
  <sheetViews>
    <sheetView showGridLines="0" workbookViewId="0">
      <pane xSplit="1" ySplit="18" topLeftCell="B1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13" customWidth="1" min="2" max="2"/>
    <col width="13" customWidth="1" min="3" max="3"/>
    <col width="13" customWidth="1" min="4" max="4"/>
    <col width="13" customWidth="1" min="5" max="5"/>
  </cols>
  <sheetData>
    <row r="1">
      <c r="A1" s="1" t="inlineStr">
        <is>
          <t>BE engine calculation: bull scenario</t>
        </is>
      </c>
    </row>
    <row r="2">
      <c r="A2" s="2" t="inlineStr">
        <is>
          <t>Machinery behind the Valuation and Distribution tabs; drivers come from Model, assumptions from Valuation.</t>
        </is>
      </c>
    </row>
    <row r="4">
      <c r="A4" t="inlineStr">
        <is>
          <t>Scenario Growth Δ</t>
        </is>
      </c>
      <c r="B4" s="12">
        <f>N(Valuation!C87)</f>
        <v/>
      </c>
    </row>
    <row r="5">
      <c r="A5" t="inlineStr">
        <is>
          <t>Scenario Margin Δ</t>
        </is>
      </c>
      <c r="B5" s="12">
        <f>N(Valuation!D87)</f>
        <v/>
      </c>
    </row>
    <row r="6">
      <c r="A6" t="inlineStr">
        <is>
          <t>Scenario Multiple Δ (turns)</t>
        </is>
      </c>
      <c r="B6" s="51">
        <f>N(Valuation!E87)</f>
        <v/>
      </c>
    </row>
    <row r="7">
      <c r="A7" t="inlineStr">
        <is>
          <t>Scenario WACC Δ</t>
        </is>
      </c>
      <c r="B7" s="12">
        <f>N(Valuation!F87)</f>
        <v/>
      </c>
    </row>
    <row r="8">
      <c r="A8" t="inlineStr">
        <is>
          <t>Scenario Multiple %Δ</t>
        </is>
      </c>
      <c r="B8" s="12">
        <f>N(Valuation!G87)</f>
        <v/>
      </c>
    </row>
    <row r="9">
      <c r="A9" t="inlineStr">
        <is>
          <t>Scenario Stated EPS/FCF %Δ</t>
        </is>
      </c>
      <c r="B9" s="12">
        <f>N(Valuation!H87)</f>
        <v/>
      </c>
    </row>
    <row r="10">
      <c r="A10" t="inlineStr">
        <is>
          <t>Scenario Custom %Δ</t>
        </is>
      </c>
      <c r="B10" s="12">
        <f>N(Valuation!I87)</f>
        <v/>
      </c>
    </row>
    <row r="12">
      <c r="A12" t="inlineStr">
        <is>
          <t>WACC</t>
        </is>
      </c>
      <c r="B12" s="20">
        <f>Valuation!$B$52+B7</f>
        <v/>
      </c>
    </row>
    <row r="13">
      <c r="A13" t="inlineStr">
        <is>
          <t>Years from last FY end to target date</t>
        </is>
      </c>
      <c r="B13" s="49">
        <f>(Valuation!$B$46-Valuation!$B$50)/365.25</f>
        <v/>
      </c>
    </row>
    <row r="14">
      <c r="A14" t="inlineStr">
        <is>
          <t>Years from last FY end to balance date</t>
        </is>
      </c>
      <c r="B14" s="49">
        <f>(Valuation!$B$56-Valuation!$B$50)/365.25</f>
        <v/>
      </c>
    </row>
    <row r="15">
      <c r="A15" t="inlineStr">
        <is>
          <t>Years from last FY end to share count date</t>
        </is>
      </c>
      <c r="B15" s="49">
        <f>(Valuation!$B$62-Valuation!$B$50)/365.25</f>
        <v/>
      </c>
    </row>
    <row r="16">
      <c r="A16" t="inlineStr">
        <is>
          <t>Projected years</t>
        </is>
      </c>
      <c r="B16" t="n">
        <v>3</v>
      </c>
    </row>
    <row r="18">
      <c r="A18" s="3" t="inlineStr">
        <is>
          <t>Projection</t>
        </is>
      </c>
      <c r="B18" s="3" t="inlineStr">
        <is>
          <t>Base</t>
        </is>
      </c>
      <c r="C18" s="3">
        <f>Model!E5</f>
        <v/>
      </c>
      <c r="D18" s="3">
        <f>Model!F5</f>
        <v/>
      </c>
      <c r="E18" s="3">
        <f>Model!G5</f>
        <v/>
      </c>
    </row>
    <row r="19">
      <c r="A19" t="inlineStr">
        <is>
          <t>Year index</t>
        </is>
      </c>
      <c r="B19" t="n">
        <v>0</v>
      </c>
      <c r="C19" t="n">
        <v>1</v>
      </c>
      <c r="D19" t="n">
        <v>2</v>
      </c>
      <c r="E19" t="n">
        <v>3</v>
      </c>
    </row>
    <row r="20">
      <c r="A20" t="inlineStr">
        <is>
          <t>Period end</t>
        </is>
      </c>
      <c r="C20" s="22">
        <f>Valuation!$B$50+ROUND(365.25*C19,0)</f>
        <v/>
      </c>
      <c r="D20" s="22">
        <f>Valuation!$B$50+ROUND(365.25*D19,0)</f>
        <v/>
      </c>
      <c r="E20" s="22">
        <f>Valuation!$B$50+ROUND(365.25*E19,0)</f>
        <v/>
      </c>
    </row>
    <row r="21">
      <c r="A21" t="inlineStr">
        <is>
          <t>Revenue growth</t>
        </is>
      </c>
      <c r="C21" s="20">
        <f>C22/B22-1</f>
        <v/>
      </c>
      <c r="D21" s="20">
        <f>D22/C22-1</f>
        <v/>
      </c>
      <c r="E21" s="20">
        <f>E22/D22-1</f>
        <v/>
      </c>
    </row>
    <row r="22">
      <c r="A22" t="inlineStr">
        <is>
          <t>Revenue</t>
        </is>
      </c>
      <c r="B22" s="25">
        <f>Valuation!$B$51</f>
        <v/>
      </c>
      <c r="C22" s="25">
        <f>C139</f>
        <v/>
      </c>
      <c r="D22" s="25">
        <f>D139</f>
        <v/>
      </c>
      <c r="E22" s="25">
        <f>E139</f>
        <v/>
      </c>
    </row>
    <row r="23">
      <c r="A23" t="inlineStr">
        <is>
          <t>EBIT margin</t>
        </is>
      </c>
      <c r="C23" s="20">
        <f>C24/C22</f>
        <v/>
      </c>
      <c r="D23" s="20">
        <f>D24/D22</f>
        <v/>
      </c>
      <c r="E23" s="20">
        <f>E24/E22</f>
        <v/>
      </c>
    </row>
    <row r="24">
      <c r="A24" t="inlineStr">
        <is>
          <t>EBIT</t>
        </is>
      </c>
      <c r="C24" s="25">
        <f>C142</f>
        <v/>
      </c>
      <c r="D24" s="25">
        <f>D142</f>
        <v/>
      </c>
      <c r="E24" s="25">
        <f>E142</f>
        <v/>
      </c>
    </row>
    <row r="25">
      <c r="A25" t="inlineStr">
        <is>
          <t>Tax rate</t>
        </is>
      </c>
      <c r="C25" s="20">
        <f>Model!E63</f>
        <v/>
      </c>
      <c r="D25" s="20">
        <f>Model!F63</f>
        <v/>
      </c>
      <c r="E25" s="20">
        <f>Model!G63</f>
        <v/>
      </c>
    </row>
    <row r="26">
      <c r="A26" t="inlineStr">
        <is>
          <t>NOPAT</t>
        </is>
      </c>
      <c r="C26" s="25">
        <f>C24*(1-C25)</f>
        <v/>
      </c>
      <c r="D26" s="25">
        <f>D24*(1-D25)</f>
        <v/>
      </c>
      <c r="E26" s="25">
        <f>E24*(1-E25)</f>
        <v/>
      </c>
    </row>
    <row r="27">
      <c r="A27" t="inlineStr">
        <is>
          <t>D&amp;A</t>
        </is>
      </c>
      <c r="C27" s="25">
        <f>C22*(Model!E64)</f>
        <v/>
      </c>
      <c r="D27" s="25">
        <f>D22*(Model!F64)</f>
        <v/>
      </c>
      <c r="E27" s="25">
        <f>E22*(Model!G64)</f>
        <v/>
      </c>
    </row>
    <row r="28">
      <c r="A28" t="inlineStr">
        <is>
          <t>Capex</t>
        </is>
      </c>
      <c r="C28" s="25">
        <f>C22*(Model!E65+$B$250)</f>
        <v/>
      </c>
      <c r="D28" s="25">
        <f>D22*(Model!F65+$B$251)</f>
        <v/>
      </c>
      <c r="E28" s="25">
        <f>E22*(Model!G65)</f>
        <v/>
      </c>
    </row>
    <row r="29">
      <c r="A29" t="inlineStr">
        <is>
          <t>Working capital increase</t>
        </is>
      </c>
      <c r="C29" s="25">
        <f>(Model!E66)*(C22-B22)</f>
        <v/>
      </c>
      <c r="D29" s="25">
        <f>(Model!F66)*(D22-C22)</f>
        <v/>
      </c>
      <c r="E29" s="25">
        <f>(Model!G66)*(E22-D22)</f>
        <v/>
      </c>
    </row>
    <row r="30">
      <c r="A30" t="inlineStr">
        <is>
          <t>Stock comp</t>
        </is>
      </c>
      <c r="C30" s="25">
        <f>C22*(Model!E67)</f>
        <v/>
      </c>
      <c r="D30" s="25">
        <f>D22*(Model!F67)</f>
        <v/>
      </c>
      <c r="E30" s="25">
        <f>E22*(Model!G67)</f>
        <v/>
      </c>
    </row>
    <row r="31">
      <c r="A31" t="inlineStr">
        <is>
          <t>Free cash flow to firm</t>
        </is>
      </c>
      <c r="C31" s="25">
        <f>C26+C27-C28-C29-IF(AND(Valuation!$B$48="adjusted",Valuation!$B$49="cost"),C30*(1-C25),0)</f>
        <v/>
      </c>
      <c r="D31" s="25">
        <f>D26+D27-D28-D29-IF(AND(Valuation!$B$48="adjusted",Valuation!$B$49="cost"),D30*(1-D25),0)</f>
        <v/>
      </c>
      <c r="E31" s="25">
        <f>E26+E27-E28-E29-IF(AND(Valuation!$B$48="adjusted",Valuation!$B$49="cost"),E30*(1-E25),0)</f>
        <v/>
      </c>
    </row>
    <row r="32">
      <c r="A32" t="inlineStr">
        <is>
          <t>EBITDA</t>
        </is>
      </c>
      <c r="C32" s="25">
        <f>C24+C27</f>
        <v/>
      </c>
      <c r="D32" s="25">
        <f>D24+D27</f>
        <v/>
      </c>
      <c r="E32" s="25">
        <f>E24+E27</f>
        <v/>
      </c>
    </row>
    <row r="33">
      <c r="A33" t="inlineStr">
        <is>
          <t>Adj. EBITDA</t>
        </is>
      </c>
      <c r="C33" s="25">
        <f>C24+C27+C22*(Model!E71)</f>
        <v/>
      </c>
      <c r="D33" s="25">
        <f>D24+D27+D22*(Model!F71)</f>
        <v/>
      </c>
      <c r="E33" s="25">
        <f>E24+E27+E22*(Model!G71)</f>
        <v/>
      </c>
    </row>
    <row r="34">
      <c r="A34" t="inlineStr">
        <is>
          <t>Shareholder returns + other uses</t>
        </is>
      </c>
      <c r="C34" s="25">
        <f>C22*Model!E69+Model!E68+Model!E70</f>
        <v/>
      </c>
      <c r="D34" s="25">
        <f>D22*Model!F69+Model!F68+Model!F70</f>
        <v/>
      </c>
      <c r="E34" s="25">
        <f>E22*Model!G69+Model!G68+Model!G70</f>
        <v/>
      </c>
    </row>
    <row r="35">
      <c r="A35" t="inlineStr">
        <is>
          <t>Share of year after target date</t>
        </is>
      </c>
      <c r="C35" s="49">
        <f>IF(C19&lt;=$B$13,0,C19-MAX(C19-1,$B$13))</f>
        <v/>
      </c>
      <c r="D35" s="49">
        <f>IF(D19&lt;=$B$13,0,D19-MAX(D19-1,$B$13))</f>
        <v/>
      </c>
      <c r="E35" s="49">
        <f>IF(E19&lt;=$B$13,0,E19-MAX(E19-1,$B$13))</f>
        <v/>
      </c>
    </row>
    <row r="36">
      <c r="A36" t="inlineStr">
        <is>
          <t>PV at target date of FCFF</t>
        </is>
      </c>
      <c r="C36" s="25">
        <f>IF(C35=0,0,C31*C35/(1+$B$12)^(C19-$B$13))</f>
        <v/>
      </c>
      <c r="D36" s="25">
        <f>IF(D35=0,0,D31*D35/(1+$B$12)^(D19-$B$13))</f>
        <v/>
      </c>
      <c r="E36" s="25">
        <f>IF(E35=0,0,E31*E35/(1+$B$12)^(E19-$B$13))</f>
        <v/>
      </c>
    </row>
    <row r="37">
      <c r="A37" t="inlineStr">
        <is>
          <t>Overlap: balance date to target date</t>
        </is>
      </c>
      <c r="C37" s="49">
        <f>MAX(0,MIN(C19,$B$13)-MAX(C19-1,$B$14))</f>
        <v/>
      </c>
      <c r="D37" s="49">
        <f>MAX(0,MIN(D19,$B$13)-MAX(D19-1,$B$14))</f>
        <v/>
      </c>
      <c r="E37" s="49">
        <f>MAX(0,MIN(E19,$B$13)-MAX(E19-1,$B$14))</f>
        <v/>
      </c>
    </row>
    <row r="38">
      <c r="A38" t="inlineStr">
        <is>
          <t>NTM weight at target date</t>
        </is>
      </c>
      <c r="C38" s="49">
        <f>MAX(0,MIN(C19,$B$13+1)-MAX(C19-1,$B$13))</f>
        <v/>
      </c>
      <c r="D38" s="49">
        <f>MAX(0,MIN(D19,$B$13+1)-MAX(D19-1,$B$13))</f>
        <v/>
      </c>
      <c r="E38" s="49">
        <f>MAX(0,MIN(E19,$B$13+1)-MAX(E19-1,$B$13))</f>
        <v/>
      </c>
    </row>
    <row r="39">
      <c r="A39" t="inlineStr">
        <is>
          <t>LTM weight at target date</t>
        </is>
      </c>
      <c r="B39" s="49">
        <f>MAX(0,MIN(0,$B$13)-MAX(-1,$B$13-1))</f>
        <v/>
      </c>
      <c r="C39" s="49">
        <f>MAX(0,MIN(C19,$B$13)-MAX(C19-1,$B$13-1))</f>
        <v/>
      </c>
      <c r="D39" s="49">
        <f>MAX(0,MIN(D19,$B$13)-MAX(D19-1,$B$13-1))</f>
        <v/>
      </c>
      <c r="E39" s="49">
        <f>MAX(0,MIN(E19,$B$13)-MAX(E19-1,$B$13-1))</f>
        <v/>
      </c>
    </row>
    <row r="41">
      <c r="A41" s="21" t="inlineStr">
        <is>
          <t>Value at the target date</t>
        </is>
      </c>
    </row>
    <row r="42">
      <c r="A42" t="inlineStr">
        <is>
          <t>PV of free cash flow after the target date</t>
        </is>
      </c>
      <c r="B42" s="25">
        <f>SUM($C$36:$E$36)</f>
        <v/>
      </c>
    </row>
    <row r="43">
      <c r="A43" t="inlineStr">
        <is>
          <t>Terminal value at final year</t>
        </is>
      </c>
      <c r="B43" s="25">
        <f>IF(Valuation!$B$53="exit_multiple",Valuation!$B$55*E32,E31*(1+Valuation!$B$54)/($B$12-Valuation!$B$54))</f>
        <v/>
      </c>
    </row>
    <row r="44">
      <c r="A44" t="inlineStr">
        <is>
          <t>PV of terminal value at target date</t>
        </is>
      </c>
      <c r="B44" s="25">
        <f>B43/(1+$B$12)^($B$16-$B$13)</f>
        <v/>
      </c>
    </row>
    <row r="45">
      <c r="A45" t="inlineStr">
        <is>
          <t>DCF enterprise value at target date</t>
        </is>
      </c>
      <c r="B45" s="25">
        <f>B42+B44</f>
        <v/>
      </c>
    </row>
    <row r="46">
      <c r="A46" t="inlineStr">
        <is>
          <t>Terminal value share of DCF</t>
        </is>
      </c>
      <c r="B46" s="20">
        <f>B44/B45</f>
        <v/>
      </c>
    </row>
    <row r="47">
      <c r="A47" t="inlineStr">
        <is>
          <t>Free cash flow earned, balance date to target date</t>
        </is>
      </c>
      <c r="B47" s="25">
        <f>SUMPRODUCT($C$37:$E$37,$C$31:$E$31)</f>
        <v/>
      </c>
    </row>
    <row r="48">
      <c r="A48" t="inlineStr">
        <is>
          <t>Shareholder returns + other uses paid</t>
        </is>
      </c>
      <c r="B48" s="25">
        <f>SUMPRODUCT($C$37:$E$37,$C$34:$E$34)</f>
        <v/>
      </c>
    </row>
    <row r="49">
      <c r="A49" t="inlineStr">
        <is>
          <t>Interest drag on net debt</t>
        </is>
      </c>
      <c r="B49" s="25">
        <f>Valuation!$B$59*(1-$C$25)*MAX(Valuation!$B$57,0)*MAX($B$13-$B$14,0)</f>
        <v/>
      </c>
    </row>
    <row r="50">
      <c r="A50" t="inlineStr">
        <is>
          <t>Net debt at target date</t>
        </is>
      </c>
      <c r="B50" s="25">
        <f>IF(Valuation!$B$60="",Valuation!$B$57-B47+B49+B48,Valuation!$B$60)</f>
        <v/>
      </c>
    </row>
    <row r="51">
      <c r="A51" t="inlineStr">
        <is>
          <t>Minority interests</t>
        </is>
      </c>
      <c r="B51" s="25">
        <f>Valuation!$B$58</f>
        <v/>
      </c>
    </row>
    <row r="52">
      <c r="A52" t="inlineStr">
        <is>
          <t>Adjustments (probability-weighted)</t>
        </is>
      </c>
      <c r="B52" s="25">
        <f>0</f>
        <v/>
      </c>
    </row>
    <row r="53">
      <c r="A53" t="inlineStr">
        <is>
          <t>Diluted shares at target date (M)</t>
        </is>
      </c>
      <c r="B53" s="30">
        <f>IF(Valuation!$B$64="",Valuation!$B$61*(1+Valuation!$B$63)^MAX($B$13-$B$15,0),Valuation!$B$64)</f>
        <v/>
      </c>
    </row>
    <row r="54">
      <c r="A54" t="inlineStr">
        <is>
          <t>After-tax interest on target-date net debt</t>
        </is>
      </c>
      <c r="B54" s="25">
        <f>Valuation!$B$59*(1-$C$25)*MAX(B50,0)</f>
        <v/>
      </c>
    </row>
    <row r="55">
      <c r="A55" t="inlineStr">
        <is>
          <t>Check: WACC vs terminal growth</t>
        </is>
      </c>
      <c r="B55">
        <f>IF(AND(Valuation!$B$53&lt;&gt;"exit_multiple",$B$12&lt;=Valuation!$B$54+0.01),"WACC must exceed terminal growth by 1 point","ok")</f>
        <v/>
      </c>
    </row>
    <row r="56">
      <c r="A56" t="inlineStr">
        <is>
          <t>Check: projection length</t>
        </is>
      </c>
      <c r="B56">
        <f>IF(OR($B$13&gt;=$B$16-1,$B$13+1&gt;$B$16),"add projected years past the target date","ok")</f>
        <v/>
      </c>
    </row>
    <row r="58">
      <c r="A58" s="3" t="inlineStr">
        <is>
          <t>Metric at target date</t>
        </is>
      </c>
      <c r="B58" s="3" t="inlineStr">
        <is>
          <t>Next 12 months</t>
        </is>
      </c>
      <c r="C58" s="3" t="inlineStr">
        <is>
          <t>Last 12 months</t>
        </is>
      </c>
    </row>
    <row r="59">
      <c r="A59" t="inlineStr">
        <is>
          <t>Revenue</t>
        </is>
      </c>
      <c r="B59" s="25">
        <f>SUMPRODUCT($C$38:$E$38,$C$22:$E$22)</f>
        <v/>
      </c>
      <c r="C59" s="25">
        <f>SUMPRODUCT($C$39:$E$39,$C$22:$E$22)+$B$39*$B$22</f>
        <v/>
      </c>
    </row>
    <row r="60">
      <c r="A60" t="inlineStr">
        <is>
          <t>EBIT</t>
        </is>
      </c>
      <c r="B60" s="25">
        <f>SUMPRODUCT($C$38:$E$38,$C$24:$E$24)</f>
        <v/>
      </c>
      <c r="C60" s="25">
        <f>SUMPRODUCT($C$39:$E$39,$C$24:$E$24)</f>
        <v/>
      </c>
    </row>
    <row r="61">
      <c r="A61" t="inlineStr">
        <is>
          <t>EBITDA</t>
        </is>
      </c>
      <c r="B61" s="25">
        <f>SUMPRODUCT($C$38:$E$38,$C$32:$E$32)</f>
        <v/>
      </c>
      <c r="C61" s="25">
        <f>SUMPRODUCT($C$39:$E$39,$C$32:$E$32)</f>
        <v/>
      </c>
    </row>
    <row r="62">
      <c r="A62" t="inlineStr">
        <is>
          <t>Adj. EBITDA</t>
        </is>
      </c>
      <c r="B62" s="25">
        <f>SUMPRODUCT($C$38:$E$38,$C$33:$E$33)</f>
        <v/>
      </c>
      <c r="C62" s="25">
        <f>SUMPRODUCT($C$39:$E$39,$C$33:$E$33)</f>
        <v/>
      </c>
    </row>
    <row r="63">
      <c r="A63" t="inlineStr">
        <is>
          <t>NOPAT</t>
        </is>
      </c>
      <c r="B63" s="25">
        <f>SUMPRODUCT($C$38:$E$38,$C$26:$E$26)</f>
        <v/>
      </c>
      <c r="C63" s="25">
        <f>SUMPRODUCT($C$39:$E$39,$C$26:$E$26)</f>
        <v/>
      </c>
    </row>
    <row r="64">
      <c r="A64" t="inlineStr">
        <is>
          <t>Free cash flow to firm</t>
        </is>
      </c>
      <c r="B64" s="25">
        <f>SUMPRODUCT($C$38:$E$38,$C$31:$E$31)</f>
        <v/>
      </c>
      <c r="C64" s="25">
        <f>SUMPRODUCT($C$39:$E$39,$C$31:$E$31)</f>
        <v/>
      </c>
    </row>
    <row r="66">
      <c r="A66" s="3" t="inlineStr">
        <is>
          <t>Valuation method</t>
        </is>
      </c>
      <c r="B66" s="3" t="inlineStr">
        <is>
          <t>Metric</t>
        </is>
      </c>
      <c r="C66" s="3" t="inlineStr">
        <is>
          <t>Multiple used</t>
        </is>
      </c>
      <c r="D66" s="3" t="inlineStr">
        <is>
          <t>Basis</t>
        </is>
      </c>
      <c r="E66" s="3" t="inlineStr">
        <is>
          <t>Metric at target date</t>
        </is>
      </c>
      <c r="F66" s="3" t="inlineStr">
        <is>
          <t>Value per share</t>
        </is>
      </c>
      <c r="G66" s="3" t="inlineStr">
        <is>
          <t>Weight</t>
        </is>
      </c>
      <c r="H66" s="3" t="inlineStr">
        <is>
          <t>Metric key</t>
        </is>
      </c>
      <c r="I66" s="3" t="inlineStr">
        <is>
          <t>Metric shown (stated per-share figure when used)</t>
        </is>
      </c>
    </row>
    <row r="67">
      <c r="A67" t="inlineStr">
        <is>
          <t>DCF (cash flow to target date + terminal)</t>
        </is>
      </c>
      <c r="F67" s="9">
        <f>((B45)-$B$50-$B$51+$B$52)/$B$53</f>
        <v/>
      </c>
      <c r="G67" s="20">
        <f>Valuation!$B$65</f>
        <v/>
      </c>
    </row>
    <row r="68">
      <c r="A68">
        <f>"Multiple: "&amp;Valuation!A71&amp;" ("&amp;Valuation!D71&amp;")"</f>
        <v/>
      </c>
      <c r="B68">
        <f>Valuation!A71</f>
        <v/>
      </c>
      <c r="C68" s="9">
        <f>IF(B68="FCF yield",(Valuation!B71)*(1-$B$8),(Valuation!B71)+IF(B68="EV/sales",0.1,1)*$B$6)</f>
        <v/>
      </c>
      <c r="D68">
        <f>Valuation!D71</f>
        <v/>
      </c>
      <c r="E68" s="25">
        <f>IF(D68="ltm",CHOOSE(H68,$C$59,$C$60,$C$61,$C$62,$C$63,$C$64),CHOOSE(H68,$B$59,$B$60,$B$61,$B$62,$B$63,$B$64))</f>
        <v/>
      </c>
      <c r="F68" s="9">
        <f>IF(OR(B68="EV/EBITDA",B68="EV/sales",B68="EV/EBIT"),((C68*E68)-$B$50-$B$51+$B$52)/$B$53,IF(B68="P/E",IF(Valuation!F71&lt;&gt;"",C68*(Valuation!F71)*(1+$B$9),C68*(E68-$B$54)/$B$53),IF(Valuation!G71&lt;&gt;"",(Valuation!G71)*(1+$B$9)/C68,(E68-IF(Valuation!H71,$B$54,0))/C68/$B$53))+$B$52/$B$53)</f>
        <v/>
      </c>
      <c r="G68" s="20">
        <f>Valuation!C71</f>
        <v/>
      </c>
      <c r="H68">
        <f>IF(B68="EV/sales",1,IF(B68="EV/EBIT",2,IF(B68="EV/EBITDA",IF(Valuation!E71="adjusted",4,3),IF(B68="P/E",5,6))))</f>
        <v/>
      </c>
      <c r="I68" s="50">
        <f>IF(AND(B68="P/E",Valuation!F71&lt;&gt;""),(Valuation!F71)*(1+$B$9),IF(AND(B68="FCF yield",Valuation!G71&lt;&gt;""),(Valuation!G71)*(1+$B$9),E68))</f>
        <v/>
      </c>
    </row>
    <row r="69">
      <c r="A69">
        <f>"Multiple: "&amp;Valuation!A72&amp;" ("&amp;Valuation!D72&amp;")"</f>
        <v/>
      </c>
      <c r="B69">
        <f>Valuation!A72</f>
        <v/>
      </c>
      <c r="C69" s="9">
        <f>IF(B69="FCF yield",(Valuation!B72)*(1-$B$8),(Valuation!B72)+IF(B69="EV/sales",0.1,1)*$B$6)</f>
        <v/>
      </c>
      <c r="D69">
        <f>Valuation!D72</f>
        <v/>
      </c>
      <c r="E69" s="25">
        <f>IF(D69="ltm",CHOOSE(H69,$C$59,$C$60,$C$61,$C$62,$C$63,$C$64),CHOOSE(H69,$B$59,$B$60,$B$61,$B$62,$B$63,$B$64))</f>
        <v/>
      </c>
      <c r="F69" s="9">
        <f>IF(OR(B69="EV/EBITDA",B69="EV/sales",B69="EV/EBIT"),((C69*E69)-$B$50-$B$51+$B$52)/$B$53,IF(B69="P/E",IF(Valuation!F72&lt;&gt;"",C69*(Valuation!F72)*(1+$B$9),C69*(E69-$B$54)/$B$53),IF(Valuation!G72&lt;&gt;"",(Valuation!G72)*(1+$B$9)/C69,(E69-IF(Valuation!H72,$B$54,0))/C69/$B$53))+$B$52/$B$53)</f>
        <v/>
      </c>
      <c r="G69" s="20">
        <f>Valuation!C72</f>
        <v/>
      </c>
      <c r="H69">
        <f>IF(B69="EV/sales",1,IF(B69="EV/EBIT",2,IF(B69="EV/EBITDA",IF(Valuation!E72="adjusted",4,3),IF(B69="P/E",5,6))))</f>
        <v/>
      </c>
      <c r="I69" s="50">
        <f>IF(AND(B69="P/E",Valuation!F72&lt;&gt;""),(Valuation!F72)*(1+$B$9),IF(AND(B69="FCF yield",Valuation!G72&lt;&gt;""),(Valuation!G72)*(1+$B$9),E69))</f>
        <v/>
      </c>
    </row>
    <row r="70">
      <c r="A70">
        <f>"Multiple: "&amp;Valuation!A73&amp;" ("&amp;Valuation!D73&amp;")"</f>
        <v/>
      </c>
      <c r="B70">
        <f>Valuation!A73</f>
        <v/>
      </c>
      <c r="C70" s="9">
        <f>IF(B70="FCF yield",(Valuation!B73)*(1-$B$8),(Valuation!B73)+IF(B70="EV/sales",0.1,1)*$B$6)</f>
        <v/>
      </c>
      <c r="D70">
        <f>Valuation!D73</f>
        <v/>
      </c>
      <c r="E70" s="25">
        <f>IF(D70="ltm",CHOOSE(H70,$C$59,$C$60,$C$61,$C$62,$C$63,$C$64),CHOOSE(H70,$B$59,$B$60,$B$61,$B$62,$B$63,$B$64))</f>
        <v/>
      </c>
      <c r="F70" s="9">
        <f>IF(OR(B70="EV/EBITDA",B70="EV/sales",B70="EV/EBIT"),((C70*E70)-$B$50-$B$51+$B$52)/$B$53,IF(B70="P/E",IF(Valuation!F73&lt;&gt;"",C70*(Valuation!F73)*(1+$B$9),C70*(E70-$B$54)/$B$53),IF(Valuation!G73&lt;&gt;"",(Valuation!G73)*(1+$B$9)/C70,(E70-IF(Valuation!H73,$B$54,0))/C70/$B$53))+$B$52/$B$53)</f>
        <v/>
      </c>
      <c r="G70" s="20">
        <f>Valuation!C73</f>
        <v/>
      </c>
      <c r="H70">
        <f>IF(B70="EV/sales",1,IF(B70="EV/EBIT",2,IF(B70="EV/EBITDA",IF(Valuation!E73="adjusted",4,3),IF(B70="P/E",5,6))))</f>
        <v/>
      </c>
      <c r="I70" s="50">
        <f>IF(AND(B70="P/E",Valuation!F73&lt;&gt;""),(Valuation!F73)*(1+$B$9),IF(AND(B70="FCF yield",Valuation!G73&lt;&gt;""),(Valuation!G73)*(1+$B$9),E70))</f>
        <v/>
      </c>
    </row>
    <row r="71">
      <c r="A71" s="21" t="inlineStr">
        <is>
          <t>Value per share at target date (weighted methods)</t>
        </is>
      </c>
      <c r="F71" s="6">
        <f>SUMPRODUCT(F67:F70,G67:G70)/SUM(G67:G70)</f>
        <v/>
      </c>
    </row>
    <row r="129">
      <c r="A129" s="21" t="inlineStr">
        <is>
          <t>Segment build (model_engine.seg_build): revenue and EBIT are the segment sums plus corporate EBIT</t>
        </is>
      </c>
    </row>
    <row r="130">
      <c r="A130" s="3" t="inlineStr">
        <is>
          <t>Segment</t>
        </is>
      </c>
      <c r="B130" s="3" t="inlineStr">
        <is>
          <t>Base</t>
        </is>
      </c>
      <c r="C130" s="3">
        <f>Model!E5</f>
        <v/>
      </c>
      <c r="D130" s="3">
        <f>Model!F5</f>
        <v/>
      </c>
      <c r="E130" s="3">
        <f>Model!G5</f>
        <v/>
      </c>
    </row>
    <row r="131">
      <c r="A131" t="inlineStr">
        <is>
          <t>Product: revenue growth</t>
        </is>
      </c>
      <c r="C131" s="20">
        <f>Model!E12+$B$4+$B$252</f>
        <v/>
      </c>
      <c r="D131" s="20">
        <f>Model!F12+$B$4</f>
        <v/>
      </c>
      <c r="E131" s="20">
        <f>Model!G12+$B$4</f>
        <v/>
      </c>
    </row>
    <row r="132">
      <c r="A132" t="inlineStr">
        <is>
          <t>Product: revenue</t>
        </is>
      </c>
      <c r="B132" s="10">
        <f>Valuation!$B$90</f>
        <v/>
      </c>
      <c r="C132" s="25">
        <f>B132*(1+C131)</f>
        <v/>
      </c>
      <c r="D132" s="25">
        <f>C132*(1+D131)</f>
        <v/>
      </c>
      <c r="E132" s="25">
        <f>D132*(1+E131)</f>
        <v/>
      </c>
    </row>
    <row r="133">
      <c r="A133" t="inlineStr">
        <is>
          <t>Product: EBIT margin</t>
        </is>
      </c>
      <c r="C133" s="20">
        <f>Model!E14+$B$5+$B$253</f>
        <v/>
      </c>
      <c r="D133" s="20">
        <f>Model!F14+$B$5+$B$254</f>
        <v/>
      </c>
      <c r="E133" s="20">
        <f>Model!G14+$B$5+$B$255</f>
        <v/>
      </c>
    </row>
    <row r="134">
      <c r="A134" t="inlineStr">
        <is>
          <t>Product: EBIT</t>
        </is>
      </c>
      <c r="C134" s="25">
        <f>C132*C133</f>
        <v/>
      </c>
      <c r="D134" s="25">
        <f>D132*D133</f>
        <v/>
      </c>
      <c r="E134" s="25">
        <f>E132*E133</f>
        <v/>
      </c>
    </row>
    <row r="135">
      <c r="A135" t="inlineStr">
        <is>
          <t>Installation, service and electricity: revenue growth</t>
        </is>
      </c>
      <c r="C135" s="20">
        <f>Model!E16+$B$4</f>
        <v/>
      </c>
      <c r="D135" s="20">
        <f>Model!F16+$B$4</f>
        <v/>
      </c>
      <c r="E135" s="20">
        <f>Model!G16+$B$4</f>
        <v/>
      </c>
    </row>
    <row r="136">
      <c r="A136" t="inlineStr">
        <is>
          <t>Installation, service and electricity: revenue</t>
        </is>
      </c>
      <c r="B136" s="10">
        <f>Valuation!$B$91</f>
        <v/>
      </c>
      <c r="C136" s="25">
        <f>B136*(1+C135)</f>
        <v/>
      </c>
      <c r="D136" s="25">
        <f>C136*(1+D135)</f>
        <v/>
      </c>
      <c r="E136" s="25">
        <f>D136*(1+E135)</f>
        <v/>
      </c>
    </row>
    <row r="137">
      <c r="A137" t="inlineStr">
        <is>
          <t>Installation, service and electricity: EBIT margin</t>
        </is>
      </c>
      <c r="C137" s="20">
        <f>Model!E18+$B$5</f>
        <v/>
      </c>
      <c r="D137" s="20">
        <f>Model!F18+$B$5</f>
        <v/>
      </c>
      <c r="E137" s="20">
        <f>Model!G18+$B$5</f>
        <v/>
      </c>
    </row>
    <row r="138">
      <c r="A138" t="inlineStr">
        <is>
          <t>Installation, service and electricity: EBIT</t>
        </is>
      </c>
      <c r="C138" s="25">
        <f>C136*C137</f>
        <v/>
      </c>
      <c r="D138" s="25">
        <f>D136*D137</f>
        <v/>
      </c>
      <c r="E138" s="25">
        <f>E136*E137</f>
        <v/>
      </c>
    </row>
    <row r="139">
      <c r="A139" s="21" t="inlineStr">
        <is>
          <t>Total segment revenue</t>
        </is>
      </c>
      <c r="C139" s="25">
        <f>C132+C136</f>
        <v/>
      </c>
      <c r="D139" s="25">
        <f>D132+D136</f>
        <v/>
      </c>
      <c r="E139" s="25">
        <f>E132+E136</f>
        <v/>
      </c>
    </row>
    <row r="140">
      <c r="A140" t="inlineStr">
        <is>
          <t>Total segment EBIT</t>
        </is>
      </c>
      <c r="C140" s="25">
        <f>C134+C138</f>
        <v/>
      </c>
      <c r="D140" s="25">
        <f>D134+D138</f>
        <v/>
      </c>
      <c r="E140" s="25">
        <f>E134+E138</f>
        <v/>
      </c>
    </row>
    <row r="141">
      <c r="A141" t="inlineStr">
        <is>
          <t>Corporate / unallocated EBIT</t>
        </is>
      </c>
      <c r="C141" s="10">
        <f>Model!E21</f>
        <v/>
      </c>
      <c r="D141" s="10">
        <f>Model!F21</f>
        <v/>
      </c>
      <c r="E141" s="10">
        <f>Model!G21</f>
        <v/>
      </c>
    </row>
    <row r="142">
      <c r="A142" s="21" t="inlineStr">
        <is>
          <t>EBIT (segments + corporate)</t>
        </is>
      </c>
      <c r="C142" s="25">
        <f>C140+C141</f>
        <v/>
      </c>
      <c r="D142" s="25">
        <f>D140+D141</f>
        <v/>
      </c>
      <c r="E142" s="25">
        <f>E140+E141</f>
        <v/>
      </c>
    </row>
    <row r="249">
      <c r="A249" s="21" t="inlineStr">
        <is>
          <t>Driver scenario shifts: line-item changes model_drivers.py resolves from this scenario's driver deltas (added to the Model tab inputs)</t>
        </is>
      </c>
    </row>
    <row r="250">
      <c r="A250" t="inlineStr">
        <is>
          <t>Capex % revenue, year 1</t>
        </is>
      </c>
      <c r="B250" s="52" t="n">
        <v>-0.004122004294602286</v>
      </c>
    </row>
    <row r="251">
      <c r="A251" t="inlineStr">
        <is>
          <t>Capex % revenue, year 2</t>
        </is>
      </c>
      <c r="B251" s="52" t="n">
        <v>-0.002892411183806072</v>
      </c>
    </row>
    <row r="252">
      <c r="A252" t="inlineStr">
        <is>
          <t>Product: revenue growth, year 1</t>
        </is>
      </c>
      <c r="B252" s="52" t="n">
        <v>0.5174089068825909</v>
      </c>
    </row>
    <row r="253">
      <c r="A253" t="inlineStr">
        <is>
          <t>Product: EBIT margin, year 1</t>
        </is>
      </c>
      <c r="B253" s="52" t="n">
        <v>0.04041546771669444</v>
      </c>
    </row>
    <row r="254">
      <c r="A254" t="inlineStr">
        <is>
          <t>Product: EBIT margin, year 2</t>
        </is>
      </c>
      <c r="B254" s="52" t="n">
        <v>0.03564102564102567</v>
      </c>
    </row>
    <row r="255">
      <c r="A255" t="inlineStr">
        <is>
          <t>Product: EBIT margin, year 3</t>
        </is>
      </c>
      <c r="B255" s="52" t="n">
        <v>0.03174358974358976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9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34" customWidth="1" min="12" max="12"/>
    <col width="70" customWidth="1" min="13" max="13"/>
  </cols>
  <sheetData>
    <row r="1">
      <c r="A1" s="1" t="inlineStr">
        <is>
          <t>BE: each forecaster's own assumption set through the same engine (from model_engine.json, not live)</t>
        </is>
      </c>
    </row>
    <row r="3">
      <c r="A3" s="3" t="inlineStr">
        <is>
          <t>Set</t>
        </is>
      </c>
      <c r="B3" s="3" t="inlineStr">
        <is>
          <t>Research target (12m)</t>
        </is>
      </c>
      <c r="C3" s="3" t="inlineStr">
        <is>
          <t>Median</t>
        </is>
      </c>
      <c r="D3" s="3" t="inlineStr">
        <is>
          <t>25th pct</t>
        </is>
      </c>
      <c r="E3" s="3" t="inlineStr">
        <is>
          <t>75th pct</t>
        </is>
      </c>
      <c r="F3" s="3" t="inlineStr">
        <is>
          <t>WACC</t>
        </is>
      </c>
      <c r="G3" s="3" t="inlineStr">
        <is>
          <t>Y1 growth</t>
        </is>
      </c>
      <c r="H3" s="3" t="inlineStr">
        <is>
          <t>Y1 margin</t>
        </is>
      </c>
      <c r="I3" s="3" t="inlineStr">
        <is>
          <t>Terminal growth</t>
        </is>
      </c>
      <c r="J3" s="3" t="inlineStr">
        <is>
          <t>DCF weight</t>
        </is>
      </c>
      <c r="K3" s="3" t="inlineStr">
        <is>
          <t>Years</t>
        </is>
      </c>
      <c r="L3" s="3" t="inlineStr">
        <is>
          <t>Multiples</t>
        </is>
      </c>
      <c r="M3" s="3" t="inlineStr">
        <is>
          <t>Supervisor's note</t>
        </is>
      </c>
    </row>
    <row r="4">
      <c r="A4" t="inlineStr">
        <is>
          <t>supervisor</t>
        </is>
      </c>
      <c r="B4" s="9" t="n">
        <v>185.8389834977185</v>
      </c>
      <c r="C4" s="9" t="n">
        <v>184.2883590202084</v>
      </c>
      <c r="D4" s="9" t="n">
        <v>119.8200279292256</v>
      </c>
      <c r="E4" s="9" t="n">
        <v>249.3589526425158</v>
      </c>
      <c r="F4" s="20" t="n"/>
      <c r="G4" s="20" t="n"/>
      <c r="H4" s="20" t="n"/>
      <c r="I4" s="20" t="n"/>
      <c r="J4" s="20" t="n">
        <v>0</v>
      </c>
      <c r="K4" t="n">
        <v>3</v>
      </c>
      <c r="L4" t="inlineStr">
        <is>
          <t>P/E 40.0 (ntm); EV/EBITDA 26.0 (ntm); EV/sales 5.5 (ntm)</t>
        </is>
      </c>
      <c r="M4" s="44" t="inlineStr"/>
    </row>
    <row r="5">
      <c r="A5" t="inlineStr">
        <is>
          <t>agent_1</t>
        </is>
      </c>
      <c r="M5" t="inlineStr">
        <is>
          <t>engine error: no model_inputs found</t>
        </is>
      </c>
    </row>
    <row r="6">
      <c r="A6" t="inlineStr">
        <is>
          <t>agent_2</t>
        </is>
      </c>
      <c r="M6" t="inlineStr">
        <is>
          <t>engine error: no model_inputs found</t>
        </is>
      </c>
    </row>
    <row r="7">
      <c r="A7" t="inlineStr">
        <is>
          <t>agent_3</t>
        </is>
      </c>
      <c r="M7" t="inlineStr">
        <is>
          <t>engine error: no model_inputs found</t>
        </is>
      </c>
    </row>
    <row r="8">
      <c r="A8" t="inlineStr">
        <is>
          <t>agent_4</t>
        </is>
      </c>
      <c r="M8" t="inlineStr">
        <is>
          <t>engine error: no model_inputs found</t>
        </is>
      </c>
    </row>
    <row r="9">
      <c r="A9" t="inlineStr">
        <is>
          <t>agent_5</t>
        </is>
      </c>
      <c r="M9" t="inlineStr">
        <is>
          <t>engine error: no model_inputs found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34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50" customWidth="1" min="2" max="2"/>
    <col width="40" customWidth="1" min="4" max="4"/>
    <col width="70" customWidth="1" min="6" max="6"/>
  </cols>
  <sheetData>
    <row r="1">
      <c r="A1" s="1" t="inlineStr">
        <is>
          <t>BE: where each input comes from (source numbers point to the list below; F ids to the SEC fact table)</t>
        </is>
      </c>
    </row>
    <row r="3">
      <c r="A3" s="3" t="inlineStr">
        <is>
          <t>Input</t>
        </is>
      </c>
      <c r="B3" s="3" t="inlineStr">
        <is>
          <t>Value</t>
        </is>
      </c>
      <c r="C3" s="3" t="inlineStr">
        <is>
          <t>Basis</t>
        </is>
      </c>
      <c r="D3" s="3" t="inlineStr">
        <is>
          <t>Sources</t>
        </is>
      </c>
      <c r="E3" s="3" t="inlineStr">
        <is>
          <t>SEC fact ids</t>
        </is>
      </c>
      <c r="F3" s="3" t="inlineStr">
        <is>
          <t>Derivation</t>
        </is>
      </c>
    </row>
    <row r="4">
      <c r="A4" s="44" t="inlineStr">
        <is>
          <t>driver:product_gw</t>
        </is>
      </c>
      <c r="B4" t="inlineStr">
        <is>
          <t>Energy Server product volume recognized (acceptances): 0.494 -&gt; 1.24/1.8/2.5 GW per year (estimate)</t>
        </is>
      </c>
      <c r="C4" t="inlineStr">
        <is>
          <t>estimate</t>
        </is>
      </c>
      <c r="D4" t="inlineStr">
        <is>
          <t>6, 13, 14, 16, 17, 18, 24</t>
        </is>
      </c>
      <c r="E4" t="inlineStr"/>
      <c r="F4" s="44" t="inlineStr">
        <is>
          <t>Base = FY2025 product revenue $1,531.3M / product_asp $3,100/kW = 0.494 GW (Bloom does not disclose acceptances, so the base is derived). FY2026 = YTD product $2,662.3M + Q4 ~$1,300M = $3,962M / $3,195 = 1.24 GW. Q4 ~$1,300M is a judgment: Q3 $1,073.6M x ~1.21, faster than the Q2-&gt;Q3 step of 1.148 (at 1.148 Q4 would be ~$1,232M and FY2026 ~$3,895M = 1.22 GW), for the 2 GW line coming on stream; total FY2026 $4.52B sits inside the raised $4.4-4.6B guide. 36Kr's 1.14-1.25 GW was tied to the superseded $3.9-4.2B guide, so it is context, not a check. FY2027 = 1.80 GW: 90% of the 2 GW run-rate reached at end-2026; 3% under the agents' FY2027 implied median 1.86 (1.78 / 1.80 / 1.86 / 1.88 / 1.88) because the full year runs at the 2 GW ceiling and Jupiter (2.4 GW) timing depends on the Dec 3, 2026 FERC decision (src 6) and the NM air permit. FY2028 = 2.50 GW = 83% of the 3 GW run-rate (factory_gw during 2027, decided by Kilian 2026-10-26), in line with the agents' FY2028 implied median 2.51 (their ~$9.0B revenue). spread = FY2027 views only.</t>
        </is>
      </c>
    </row>
    <row r="5">
      <c r="A5" s="44" t="inlineStr">
        <is>
          <t>driver:product_asp</t>
        </is>
      </c>
      <c r="B5" t="inlineStr">
        <is>
          <t>Product revenue per kW recognized: 3100.0 -&gt; 3195.0/3250.0/3250.0 $/kW (judgment estimate, flagged)</t>
        </is>
      </c>
      <c r="C5" t="inlineStr">
        <is>
          <t>estimate</t>
        </is>
      </c>
      <c r="D5" t="inlineStr">
        <is>
          <t>13, 16, 24, 25</t>
        </is>
      </c>
      <c r="E5" t="inlineStr"/>
      <c r="F5" s="44" t="inlineStr">
        <is>
          <t>Judgment estimate (flagged, confidence low); no filing or cited source states a $/kW figure. Base FY2025 $3,100/kW is set, so base volume = $1,531.3M / 3,100 = 0.494 GW. FY2026 $3,195 = 3,100 x 1.031 (judgment: +3% for lead-time pricing during the turbine shortage), giving $3,962M / 3,195 = 1.24 GW. FY2027-28 $3,250 (+1.7%; judgment: big-order pricing, Oracle 2.4 GW and AEP 1 GW, 10-K src 16). Cross-check against the only third-party figure: 36Kr estimates ~308 MW shipped in Q2-2026 and assumes ASP down ~5% YoY; Q2 product revenue $935.4M / 308 MW = ~$3,040/kW (36Kr itself states no $/kW). The set's $3,195 is 5% above that and has +3% YoY where 36Kr assumes -5%. Variant at the 36Kr-implied $3,040/kW for FY2026-28 (FY2026 volume 1.30 GW for the same revenue): research target (12m) $168.99 (-9.1%); open judgment call for Kilian. Post-print FY2027 consensus revenue $7.05B (src 25) is 7.1% above the set's $6.55B. No agent states a $/kW figure.</t>
        </is>
      </c>
    </row>
    <row r="6">
      <c r="A6" s="44" t="inlineStr">
        <is>
          <t>driver:product_gm</t>
        </is>
      </c>
      <c r="B6" t="inlineStr">
        <is>
          <t>Product gross margin (GAAP): 0.3516 -&gt; 0.37/0.375/0.37 fraction (estimate)</t>
        </is>
      </c>
      <c r="C6" t="inlineStr">
        <is>
          <t>estimate</t>
        </is>
      </c>
      <c r="D6" t="inlineStr">
        <is>
          <t>13, 14, 17, 18</t>
        </is>
      </c>
      <c r="E6" t="inlineStr"/>
      <c r="F6" s="44" t="inlineStr">
        <is>
          <t>Base = 538.4 / 1,531.3 = 35.16%. YTD-2026 = (2,662.3 - 1,690.2) / 2,662.3 = 36.5%; Q3 37.9%. FY2026 37.0% (Q4 ~38%). FY2027 37.5% on 2 GW scale. FY2028 37.0%: the new capacity and big-order pricing give back ~50bp. Agents state total non-GAAP GM ~34-35% (median 34.75%); this build gives total GAAP GM 34.4% FY2027 (~35.1% non-GAAP, +~0.7pt SBC in cost of revenue, src 14), inside their range.</t>
        </is>
      </c>
    </row>
    <row r="7">
      <c r="A7" s="44" t="inlineStr">
        <is>
          <t>driver:opex</t>
        </is>
      </c>
      <c r="B7" t="inlineStr">
        <is>
          <t>GAAP operating expenses (R&amp;D + S&amp;M + G&amp;A, incl. SBC): 514.6 -&gt; 723.0/900.0/1060.0 $M (estimate)</t>
        </is>
      </c>
      <c r="C7" t="inlineStr">
        <is>
          <t>estimate</t>
        </is>
      </c>
      <c r="D7" t="inlineStr">
        <is>
          <t>14, 17, 18</t>
        </is>
      </c>
      <c r="E7" t="inlineStr">
        <is>
          <t>F10</t>
        </is>
      </c>
      <c r="F7" s="44" t="inlineStr">
        <is>
          <t>Base = 587.4 - 72.8 = 514.6. FY2026 = YTD 518.4 + Q4 ~205 (Q3 +7%) = 723. FY2027 +24% and FY2028 +18% (headcount for 2x then 3x volume; R&amp;D on new products): opex/revenue 16.0% -&gt; 13.7% -&gt; 11.8%. agent_3's 22%-&gt;24% non-GAAP operating margin: the build gives ~24% non-GAAP FY2027 (GAAP 20.7% + ~3.6pt SBC), so opex sits at its view.</t>
        </is>
      </c>
    </row>
    <row r="8">
      <c r="A8" s="44" t="inlineStr">
        <is>
          <t>driver:factory_gw</t>
        </is>
      </c>
      <c r="B8" t="inlineStr">
        <is>
          <t>Fremont annual production capacity run-rate (year end): 1.0 -&gt; 2.0/3.0/3.0 GW (estimate)</t>
        </is>
      </c>
      <c r="C8" t="inlineStr">
        <is>
          <t>estimate</t>
        </is>
      </c>
      <c r="D8" t="inlineStr">
        <is>
          <t>15, 16</t>
        </is>
      </c>
      <c r="E8" t="inlineStr">
        <is>
          <t>F46</t>
        </is>
      </c>
      <c r="F8" s="44" t="inlineStr">
        <is>
          <t>Base 1 GW and FY2026 2 GW from the 10-K plan (reaffirmed in the Q3 release's 'invest ... to build the capabilities and capacity needed to scale', src 14). FY2027 3 GW: an estimate, not announced; needed for the agents' ~$9B FY2028 revenue (2.5 GW shipped at 83% utilization) and feasible in 6-9 months for ~$125M (10-K).</t>
        </is>
      </c>
    </row>
    <row r="9">
      <c r="A9" s="44" t="inlineStr">
        <is>
          <t>base.revenue</t>
        </is>
      </c>
      <c r="B9" t="inlineStr">
        <is>
          <t>2024.0</t>
        </is>
      </c>
      <c r="C9" t="inlineStr">
        <is>
          <t>reported</t>
        </is>
      </c>
      <c r="D9" t="inlineStr">
        <is>
          <t>17</t>
        </is>
      </c>
      <c r="E9" t="inlineStr">
        <is>
          <t>F3</t>
        </is>
      </c>
      <c r="F9" s="44" t="inlineStr">
        <is>
          <t>FY2025 total revenue $2,024.0M (Ex.99.1); XBRL F3 $2,001.6M is contract revenue only (excludes ~$22M of lease electricity).</t>
        </is>
      </c>
    </row>
    <row r="10">
      <c r="A10" s="44" t="inlineStr">
        <is>
          <t>segment_build: Installation, service and electricity</t>
        </is>
      </c>
      <c r="B10" t="inlineStr">
        <is>
          <t>492.7 -&gt; 560 / 700 / 840; EBIT margin 6.7% / 8% / 9%</t>
        </is>
      </c>
      <c r="C10" t="inlineStr">
        <is>
          <t>estimate</t>
        </is>
      </c>
      <c r="D10" t="inlineStr">
        <is>
          <t>17, 18, 13, 14</t>
        </is>
      </c>
      <c r="E10" t="inlineStr"/>
      <c r="F10" s="44" t="inlineStr">
        <is>
          <t>Base 204.1 + 228.3 + 60.35 (src 17). YTD-2026 389.9 (Q1 97.7, Q2 129.95, Q3 162.2) + Q4 ~170 = 560; +25% FY2027 and +20% FY2028 with the fleet; gross margin YTD (389.9-363.9)/389.9 = 6.7%, rising with service scale (FY2025 9.9%).</t>
        </is>
      </c>
    </row>
    <row r="11">
      <c r="A11" s="44" t="inlineStr">
        <is>
          <t>tax_rate</t>
        </is>
      </c>
      <c r="B11" t="inlineStr">
        <is>
          <t>5% / 10% / 15%</t>
        </is>
      </c>
      <c r="C11" t="inlineStr">
        <is>
          <t>estimate</t>
        </is>
      </c>
      <c r="D11" t="inlineStr">
        <is>
          <t>15</t>
        </is>
      </c>
      <c r="E11" t="inlineStr">
        <is>
          <t>F66, F73</t>
        </is>
      </c>
      <c r="F11" s="44" t="inlineStr">
        <is>
          <t>YTD-2026 tax $2.7M on $524.3M pretax (0.5%) with NOLs; rising as NOLs are used. Variant: 21% from FY2027 cuts the P/E leg ~8%.</t>
        </is>
      </c>
    </row>
    <row r="12">
      <c r="A12" s="44" t="inlineStr">
        <is>
          <t>da_pct_rev</t>
        </is>
      </c>
      <c r="B12" t="inlineStr">
        <is>
          <t>1.3% / 1.3% / 1.4%</t>
        </is>
      </c>
      <c r="C12" t="inlineStr">
        <is>
          <t>estimate</t>
        </is>
      </c>
      <c r="D12" t="inlineStr">
        <is>
          <t>14</t>
        </is>
      </c>
      <c r="E12" t="inlineStr"/>
      <c r="F12" s="44" t="inlineStr">
        <is>
          <t>Q3-2026 D&amp;A $13.8M on $1,235.8M (1.1%); capacity adds lift it slightly.</t>
        </is>
      </c>
    </row>
    <row r="13">
      <c r="A13" s="44" t="inlineStr">
        <is>
          <t>nwc_pct_incr_rev</t>
        </is>
      </c>
      <c r="B13" t="inlineStr">
        <is>
          <t>20% / 15% / 15%</t>
        </is>
      </c>
      <c r="C13" t="inlineStr">
        <is>
          <t>estimate</t>
        </is>
      </c>
      <c r="D13" t="inlineStr">
        <is>
          <t>14, 15</t>
        </is>
      </c>
      <c r="E13" t="inlineStr">
        <is>
          <t>F39, F20</t>
        </is>
      </c>
      <c r="F13" s="44" t="inlineStr">
        <is>
          <t>Contract assets $178.9M -&gt; $792.8M and inventory $643.3M -&gt; $927.7M in 9 months (src 14) on revenue +$1.8B annualized; YTD CFO $272.9M vs net income $521.5M.</t>
        </is>
      </c>
    </row>
    <row r="14">
      <c r="A14" s="44" t="inlineStr">
        <is>
          <t>balance.net_debt</t>
        </is>
      </c>
      <c r="B14" t="inlineStr">
        <is>
          <t>16.2</t>
        </is>
      </c>
      <c r="C14" t="inlineStr">
        <is>
          <t>estimate</t>
        </is>
      </c>
      <c r="D14" t="inlineStr">
        <is>
          <t>15</t>
        </is>
      </c>
      <c r="E14" t="inlineStr">
        <is>
          <t>F75, F78, F79</t>
        </is>
      </c>
      <c r="F14" s="44" t="inlineStr">
        <is>
          <t>Estimate (computed, not reported). 10-Q 2026-09-30 debt table (USD M, unpaid principal): 0% converts due Nov 2030 2,500.0 + 3.0% Green Notes due Jun 2029 22.771 + Korean JV 4.6% term loan 2.95 = 2,525.7; cash 2,486.7 (F75). The 2030 converts are carried as debt at principal (the value sits below their $194.97 conversion price). The 2029 Green Notes (conversion price $20.84, deep in the money) are treated as equity (their 1.09M shares are in shares.diluted_now), so their 22.8 is left out. Net debt = 2,500.0 + 2.95 - 2,486.7 = 16.2. The JV loan is counted once: F78 (2.95) and F79 ShortTermBorrowings (3.0) tag the same loan, the balance sheet's only current debt. Restricted cash (0.9 + 20.6) and financing obligations (42.8 + 142.2, sale-leaseback) are excluded. Cross-check: secfacts F83 -7.3 uses carrying values (2,476.4 + 3.0 - 2,486.7) with converts at carrying value and the JV loan counted twice.</t>
        </is>
      </c>
    </row>
    <row r="15">
      <c r="A15" s="44" t="inlineStr">
        <is>
          <t>shares.diluted_now</t>
        </is>
      </c>
      <c r="B15" t="inlineStr">
        <is>
          <t>312.4</t>
        </is>
      </c>
      <c r="C15" t="inlineStr">
        <is>
          <t>estimate</t>
        </is>
      </c>
      <c r="D15" t="inlineStr">
        <is>
          <t>14, 15</t>
        </is>
      </c>
      <c r="E15" t="inlineStr">
        <is>
          <t>F81, F33</t>
        </is>
      </c>
      <c r="F15" s="44" t="inlineStr">
        <is>
          <t>Estimate for converts-as-debt (computed, not reported). Shares outstanding 295.66M at 2026-10-19 (10-Q cover, F81) + 15.61M options and awards (Q3 treasury-method dilution, 10-Q Note 15 EPS table) + 1.09M if-converted shares of the 2029 Green Notes ($22.771M x 47.9795 per $1,000) = 312.4M. The 2030 notes' 12.82M shares ($2,500M x 5.129 per $1,000; 10-Q Note 8) are excluded because those notes are carried as debt. Cross-check: Q3 diluted weighted average 324.29M (F33; basic 294.76 + converts 13.92 + awards 15.61) - 12.82 = 311.47M. annual_change +1.5% for SBC dilution (estimate).</t>
        </is>
      </c>
    </row>
    <row r="16">
      <c r="A16" s="44" t="inlineStr">
        <is>
          <t>horizon_multiples P/E</t>
        </is>
      </c>
      <c r="B16" t="inlineStr">
        <is>
          <t>40.0</t>
        </is>
      </c>
      <c r="C16" t="inlineStr">
        <is>
          <t>judgment</t>
        </is>
      </c>
      <c r="D16" t="inlineStr">
        <is>
          <t>23</t>
        </is>
      </c>
      <c r="E16" t="inlineStr"/>
      <c r="F16" s="44" t="inlineStr">
        <is>
          <t>Whole-company peers GAAP P/E TTM median 39.9x (GEV 22.8, VRT 43.2, ETN 37.1, GNRC 42.7; src 23). 40x NTM GAAP at the horizon = peer trailing median for ~25-35% FY2029 growth vs peers ~10-20%. The agents' median ~40x sits on non-GAAP earnings, which is ~46x GAAP (40 / 0.87, SBC gap ~13%), so 40x GAAP is ~13% below the agents' multiple. Decided by Kilian 2026-10-26 (40x GAAP, with EV/sales 5.5x).</t>
        </is>
      </c>
    </row>
    <row r="17">
      <c r="A17" s="44" t="inlineStr">
        <is>
          <t>horizon_multiples EV/EBITDA</t>
        </is>
      </c>
      <c r="B17" t="inlineStr">
        <is>
          <t>26.0</t>
        </is>
      </c>
      <c r="C17" t="inlineStr">
        <is>
          <t>judgment</t>
        </is>
      </c>
      <c r="D17" t="inlineStr">
        <is>
          <t>23</t>
        </is>
      </c>
      <c r="E17" t="inlineStr"/>
      <c r="F17" s="44" t="inlineStr">
        <is>
          <t>Peer EV/EBITDA TTM: VRT 29.3x, GNRC 18.9x (median 24.1x; GEV, ETN and CAT not computable from their tags; CMI not built this run, src 23). 26x = +2x for growth.</t>
        </is>
      </c>
    </row>
    <row r="18">
      <c r="A18" s="44" t="inlineStr">
        <is>
          <t>horizon_multiples EV/sales</t>
        </is>
      </c>
      <c r="B18" t="inlineStr">
        <is>
          <t>5.5</t>
        </is>
      </c>
      <c r="C18" t="inlineStr">
        <is>
          <t>judgment</t>
        </is>
      </c>
      <c r="D18" t="inlineStr">
        <is>
          <t>23</t>
        </is>
      </c>
      <c r="E18" t="inlineStr"/>
      <c r="F18" s="44" t="inlineStr">
        <is>
          <t>Peer EV/sales TTM median 5.2x (GEV 5.0, VRT 6.5, ETN 5.4, GNRC 2.7; src 23). 5.5x on a ~24% EBITDA margin; agents used 7.5-10x (median 8x) on 2028 revenue, which at that margin is ~33x EBITDA, above every peer. Decided by Kilian 2026-10-26.</t>
        </is>
      </c>
    </row>
    <row r="20">
      <c r="A20" s="3" t="inlineStr">
        <is>
          <t>#</t>
        </is>
      </c>
      <c r="B20" s="3" t="inlineStr">
        <is>
          <t>Source</t>
        </is>
      </c>
      <c r="C20" s="3" t="inlineStr">
        <is>
          <t>Date</t>
        </is>
      </c>
      <c r="D20" s="3" t="inlineStr">
        <is>
          <t>Link</t>
        </is>
      </c>
    </row>
    <row r="21">
      <c r="A21" t="n">
        <v>1</v>
      </c>
      <c r="B21" s="44" t="inlineStr">
        <is>
          <t>New Mexico Denies Reconsideration of Project Jupiter Gas Pipeline (Pipeline &amp; Gas Journal)</t>
        </is>
      </c>
      <c r="C21" t="inlineStr">
        <is>
          <t>2026-07</t>
        </is>
      </c>
      <c r="D21" t="inlineStr">
        <is>
          <t>https://pgjonline.com/news/2026/july/new-mexico-denies-reconsideration-of-project-jupiter-gas-pipeline</t>
        </is>
      </c>
    </row>
    <row r="22">
      <c r="A22" t="n">
        <v>2</v>
      </c>
      <c r="B22" s="44" t="inlineStr">
        <is>
          <t>Commissioner of Public Lands letter re informal request for reconsideration (NM State Land Office)</t>
        </is>
      </c>
      <c r="C22" t="inlineStr">
        <is>
          <t>2026-07-14</t>
        </is>
      </c>
      <c r="D22" t="inlineStr">
        <is>
          <t>https://www.nmstatelands.org/wp-content/uploads/2026/07/2026-07-14-Letter-re-Informal-Request-for-Reconsideration_Final.pdf</t>
        </is>
      </c>
    </row>
    <row r="23">
      <c r="A23" t="n">
        <v>3</v>
      </c>
      <c r="B23" s="44" t="inlineStr">
        <is>
          <t>NM state land commissioner rejects application for gas pipeline to power Project Jupiter data center (Source NM)</t>
        </is>
      </c>
      <c r="C23" t="inlineStr">
        <is>
          <t>2026-03-31</t>
        </is>
      </c>
      <c r="D23" t="inlineStr">
        <is>
          <t>https://sourcenm.com/2026/03/31/nm-state-land-commissioner-rejects-application-for-gas-pipeline-to-power-project-jupiter-data-center/</t>
        </is>
      </c>
    </row>
    <row r="24">
      <c r="A24" t="n">
        <v>4</v>
      </c>
      <c r="B24" s="44" t="inlineStr">
        <is>
          <t>BLM issues rights-of-way for Green Chile Natural Gas Pipeline</t>
        </is>
      </c>
      <c r="C24" t="inlineStr">
        <is>
          <t>2026-05-06</t>
        </is>
      </c>
      <c r="D24" t="inlineStr">
        <is>
          <t>https://www.blm.gov/press-release/blm-issues-rights-way-green-chile-natural-gas-pipeline</t>
        </is>
      </c>
    </row>
    <row r="25">
      <c r="A25" t="n">
        <v>5</v>
      </c>
      <c r="B25" s="44" t="inlineStr">
        <is>
          <t>Transwestern Pipeline Company; Notice of Availability of the EA for the Proposed Green Chile Project, docket CP26-80-000 (Federal Register 2026-18455, official GPO copy on govinfo)</t>
        </is>
      </c>
      <c r="C25" t="inlineStr">
        <is>
          <t>2026-09-10</t>
        </is>
      </c>
      <c r="D25" t="inlineStr">
        <is>
          <t>https://www.govinfo.gov/content/pkg/FR-2026-09-10/html/2026-18455.htm</t>
        </is>
      </c>
    </row>
    <row r="26">
      <c r="A26" t="n">
        <v>6</v>
      </c>
      <c r="B26" s="44" t="inlineStr">
        <is>
          <t>Transwestern; Notice of Schedule for the EA for the Green Chile Project: EA Sep 4, 2026; 90-day federal authorization decision deadline Dec 3, 2026 (Federal Register 2026-15286, govinfo)</t>
        </is>
      </c>
      <c r="C26" t="inlineStr">
        <is>
          <t>2026-07-29</t>
        </is>
      </c>
      <c r="D26" t="inlineStr">
        <is>
          <t>https://www.govinfo.gov/content/pkg/FR-2026-07-29/html/2026-15286.htm</t>
        </is>
      </c>
    </row>
    <row r="27">
      <c r="A27" t="n">
        <v>7</v>
      </c>
      <c r="B27" s="44" t="inlineStr">
        <is>
          <t>Energy Transfer's Green Chile Natural Gas Lateral Loses Fast Track, Delaying AI Fuel Supply (NGI) [not opened at the gate (405); not relied on]</t>
        </is>
      </c>
      <c r="C27" t="inlineStr">
        <is>
          <t>2026</t>
        </is>
      </c>
      <c r="D27" t="inlineStr">
        <is>
          <t>https://naturalgasintel.com/news/energy-transfers-green-chile-natural-gas-lateral-loses-fast-track-delaying-ai-fuel-supply/</t>
        </is>
      </c>
    </row>
    <row r="28">
      <c r="A28" t="n">
        <v>8</v>
      </c>
      <c r="B28" s="44" t="inlineStr">
        <is>
          <t>Project Jupiter hearing examiner bows out: Max Shepherd recusal order dated Aug 22; Sep 14 hearing paused by the Supreme Court stay (Albuquerque Journal)</t>
        </is>
      </c>
      <c r="C28" t="inlineStr">
        <is>
          <t>2026-08-24</t>
        </is>
      </c>
      <c r="D28" t="inlineStr">
        <is>
          <t>https://www.abqjournal.com/news/project-jupiter-hearing-examiner-bows-out/3108469</t>
        </is>
      </c>
    </row>
    <row r="29">
      <c r="A29" t="n">
        <v>9</v>
      </c>
      <c r="B29" s="44" t="inlineStr">
        <is>
          <t>New Mexico Supreme Court lifts stays on Project Jupiter; NMED must appoint a new hearing examiner (Albuquerque Journal)</t>
        </is>
      </c>
      <c r="C29" t="inlineStr">
        <is>
          <t>2026-09-17</t>
        </is>
      </c>
      <c r="D29" t="inlineStr">
        <is>
          <t>https://www.abqjournal.com/business/new-mexico-supreme-court-lifts-stays-on-project-jupiter-dealing-setback-to-opponents/3124024</t>
        </is>
      </c>
    </row>
    <row r="30">
      <c r="A30" t="n">
        <v>10</v>
      </c>
      <c r="B30" s="44" t="inlineStr">
        <is>
          <t>Attorney general backs Project Jupiter court challenges (Organ Mountain News)</t>
        </is>
      </c>
      <c r="C30" t="inlineStr">
        <is>
          <t>2026-09</t>
        </is>
      </c>
      <c r="D30" t="inlineStr">
        <is>
          <t>https://www.organmountainnews.com/raul-torrez-project-jupiter-water-air-permitting-supreme-court-2026/</t>
        </is>
      </c>
    </row>
    <row r="31">
      <c r="A31" t="n">
        <v>11</v>
      </c>
      <c r="B31" s="44" t="inlineStr">
        <is>
          <t>Oracle sends force majeure notice on its New Mexico Stargate data center (TechCrunch)</t>
        </is>
      </c>
      <c r="C31" t="inlineStr">
        <is>
          <t>2026-09-24</t>
        </is>
      </c>
      <c r="D31" t="inlineStr">
        <is>
          <t>https://techcrunch.com/2026/09/24/oracle-sends-force-majeure-notice-on-its-new-mexico-stargate-data-center/</t>
        </is>
      </c>
    </row>
    <row r="32">
      <c r="A32" t="n">
        <v>12</v>
      </c>
      <c r="B32" s="44" t="inlineStr">
        <is>
          <t>Morgan Stanley says Bloom can withstand an Oracle project delay (TheStreet) [403 at the gate; unverified, not used by any figure]</t>
        </is>
      </c>
      <c r="C32" t="inlineStr">
        <is>
          <t>2026-09</t>
        </is>
      </c>
      <c r="D32" t="inlineStr">
        <is>
          <t>https://www.thestreet.com/investing/stocks/morgan-stanley-says-bloom-can-withstand-an-oracle-project-delay</t>
        </is>
      </c>
    </row>
    <row r="33">
      <c r="A33" t="n">
        <v>13</v>
      </c>
      <c r="B33" s="44" t="inlineStr">
        <is>
          <t>Bloom Energy Q2 2026 results (8-K Ex.99.1)</t>
        </is>
      </c>
      <c r="C33" t="inlineStr">
        <is>
          <t>2026-07-28</t>
        </is>
      </c>
      <c r="D33" t="inlineStr">
        <is>
          <t>https://www.sec.gov/Archives/edgar/data/1664703/000162828026050150/ex991_q226financialresults.htm</t>
        </is>
      </c>
    </row>
    <row r="34">
      <c r="A34" t="n">
        <v>14</v>
      </c>
      <c r="B34" s="44" t="inlineStr">
        <is>
          <t>Bloom Energy Q3 2026 results (8-K Ex.99.1)</t>
        </is>
      </c>
      <c r="C34" t="inlineStr">
        <is>
          <t>2026-10-22</t>
        </is>
      </c>
      <c r="D34" t="inlineStr">
        <is>
          <t>https://www.sec.gov/Archives/edgar/data/1664703/000162828026066890/ex991_q326financialresults.htm</t>
        </is>
      </c>
    </row>
    <row r="35">
      <c r="A35" t="n">
        <v>15</v>
      </c>
      <c r="B35" s="44" t="inlineStr">
        <is>
          <t>Bloom Energy Form 10-Q for the quarter ended Sep 30, 2026</t>
        </is>
      </c>
      <c r="C35" t="inlineStr">
        <is>
          <t>2026-10-22</t>
        </is>
      </c>
      <c r="D35" t="inlineStr">
        <is>
          <t>https://www.sec.gov/Archives/edgar/data/1664703/000162828026066931/be-20260930.htm</t>
        </is>
      </c>
    </row>
    <row r="36">
      <c r="A36" t="n">
        <v>16</v>
      </c>
      <c r="B36" s="44" t="inlineStr">
        <is>
          <t>Bloom Energy Form 10-K for FY2025</t>
        </is>
      </c>
      <c r="C36" t="inlineStr">
        <is>
          <t>2026-02-09</t>
        </is>
      </c>
      <c r="D36" t="inlineStr">
        <is>
          <t>https://www.sec.gov/Archives/edgar/data/1664703/000162828026006516/be-20251231.htm</t>
        </is>
      </c>
    </row>
    <row r="37">
      <c r="A37" t="n">
        <v>17</v>
      </c>
      <c r="B37" s="44" t="inlineStr">
        <is>
          <t>Bloom Energy Q4 2025 results and FY2026 outlook (8-K Ex.99.1)</t>
        </is>
      </c>
      <c r="C37" t="inlineStr">
        <is>
          <t>2026-02-05</t>
        </is>
      </c>
      <c r="D37" t="inlineStr">
        <is>
          <t>https://www.sec.gov/Archives/edgar/data/1664703/000162828026005798/ex991_q42025financialresul.htm</t>
        </is>
      </c>
    </row>
    <row r="38">
      <c r="A38" t="n">
        <v>18</v>
      </c>
      <c r="B38" s="44" t="inlineStr">
        <is>
          <t>Bloom Energy Q1 2026 results (8-K Ex.99.1)</t>
        </is>
      </c>
      <c r="C38" t="inlineStr">
        <is>
          <t>2026-04-28</t>
        </is>
      </c>
      <c r="D38" t="inlineStr">
        <is>
          <t>https://www.sec.gov/Archives/edgar/data/1664703/000162828026027913/ex991_q126financialresults.htm</t>
        </is>
      </c>
    </row>
    <row r="39">
      <c r="A39" t="n">
        <v>19</v>
      </c>
      <c r="B39" s="44" t="inlineStr">
        <is>
          <t>Bloom Energy Q4 2024 results and FY2025 outlook (8-K Ex.99.1)</t>
        </is>
      </c>
      <c r="C39" t="inlineStr">
        <is>
          <t>2025-02-27</t>
        </is>
      </c>
      <c r="D39" t="inlineStr">
        <is>
          <t>https://www.sec.gov/Archives/edgar/data/1664703/000162828025008626/ex991_q42024financialresul.htm</t>
        </is>
      </c>
    </row>
    <row r="40">
      <c r="A40" t="n">
        <v>20</v>
      </c>
      <c r="B40" s="44" t="inlineStr">
        <is>
          <t>Bloom Energy Q4 2023 results and FY2024 outlook (8-K Ex.99.1)</t>
        </is>
      </c>
      <c r="C40" t="inlineStr">
        <is>
          <t>2024-02-15</t>
        </is>
      </c>
      <c r="D40" t="inlineStr">
        <is>
          <t>https://www.sec.gov/Archives/edgar/data/1664703/000162828024005031/ex991_q42023financialresul.htm</t>
        </is>
      </c>
    </row>
    <row r="41">
      <c r="A41" t="n">
        <v>21</v>
      </c>
      <c r="B41" s="44" t="inlineStr">
        <is>
          <t>Bloom Energy Q4 2022 results and FY2023 outlook (8-K Ex.99.1)</t>
        </is>
      </c>
      <c r="C41" t="inlineStr">
        <is>
          <t>2023-02-09</t>
        </is>
      </c>
      <c r="D41" t="inlineStr">
        <is>
          <t>https://www.sec.gov/Archives/edgar/data/1664703/000162828023002960/ex991_q42022financialresul.htm</t>
        </is>
      </c>
    </row>
    <row r="42">
      <c r="A42" t="n">
        <v>22</v>
      </c>
      <c r="B42" s="44" t="inlineStr">
        <is>
          <t>Bloom Energy Q4 2021 results and FY2022 outlook (8-K Ex.99.1)</t>
        </is>
      </c>
      <c r="C42" t="inlineStr">
        <is>
          <t>2022-02-10</t>
        </is>
      </c>
      <c r="D42" t="inlineStr">
        <is>
          <t>https://www.sec.gov/Archives/edgar/data/1664703/000166470322000015/ex991be4q2021financialre.htm</t>
        </is>
      </c>
    </row>
    <row r="43">
      <c r="A43" t="n">
        <v>23</v>
      </c>
      <c r="B43" s="44" t="inlineStr">
        <is>
          <t>Peer table runs/2026-10-23/BE/peers.md (peers.py: SEC XBRL + Yahoo last close 2026-10-23)</t>
        </is>
      </c>
      <c r="C43" t="inlineStr">
        <is>
          <t>2026-10-26</t>
        </is>
      </c>
      <c r="D43" t="inlineStr">
        <is>
          <t>runs/2026-10-23/BE/peers.md</t>
        </is>
      </c>
    </row>
    <row r="44">
      <c r="A44" t="n">
        <v>24</v>
      </c>
      <c r="B44" s="44" t="inlineStr">
        <is>
          <t>36Kr: Bloom Energy 2026 guidance implies ~1.14-1.25 GW of SOFC shipments (third-party estimate)</t>
        </is>
      </c>
      <c r="C44" t="inlineStr">
        <is>
          <t>2026</t>
        </is>
      </c>
      <c r="D44" t="inlineStr">
        <is>
          <t>https://eu.36kr.com/de/p/3917481569021574</t>
        </is>
      </c>
    </row>
    <row r="45">
      <c r="A45" t="n">
        <v>25</v>
      </c>
      <c r="B45" s="44" t="inlineStr">
        <is>
          <t>Bloom Energy (BE) analyst forecast: 'Revenue Next Year 7.05B from 4.53B', 'EPS Next Year 5.31 from 3.26' (this year = FY2026; stockanalysis.com, last updated Oct 23, 2026)</t>
        </is>
      </c>
      <c r="C45" t="inlineStr">
        <is>
          <t>2026-10-23</t>
        </is>
      </c>
      <c r="D45" t="inlineStr">
        <is>
          <t>https://stockanalysis.com/stocks/be/forecast/</t>
        </is>
      </c>
    </row>
    <row r="46">
      <c r="A46" t="n">
        <v>26</v>
      </c>
      <c r="B46" s="44" t="inlineStr">
        <is>
          <t>Retired federal judge James Browning named hearing examiner for the Project Jupiter air permit; no opening date announced (Albuquerque Journal)</t>
        </is>
      </c>
      <c r="C46" t="inlineStr">
        <is>
          <t>2026-10-02</t>
        </is>
      </c>
      <c r="D46" t="inlineStr">
        <is>
          <t>https://www.abqjournal.com/news/retired-federal-judge-named-hearing-examiner-for-project-jupiter-permit/3133925</t>
        </is>
      </c>
    </row>
    <row r="47">
      <c r="A47" t="n">
        <v>27</v>
      </c>
      <c r="B47" s="44" t="inlineStr">
        <is>
          <t>BE daily closes 2026-04-22 to 2026-10-23 (Twelve Data time series: close $288.70 on 2026-09-25, $163.75 on 2026-07-29, $193.30 on 2026-10-23)</t>
        </is>
      </c>
      <c r="C47" t="inlineStr">
        <is>
          <t>2026-10-26</t>
        </is>
      </c>
      <c r="D47" t="inlineStr">
        <is>
          <t>https://api.twelvedata.com/time_series?symbol=BE&amp;interval=1day&amp;start_date=2026-04-22&amp;end_date=2026-10-24</t>
        </is>
      </c>
    </row>
    <row r="49">
      <c r="A49" s="3" t="inlineStr">
        <is>
          <t>Fact id</t>
        </is>
      </c>
      <c r="B49" s="3" t="inlineStr">
        <is>
          <t>Figure</t>
        </is>
      </c>
      <c r="C49" s="3" t="inlineStr">
        <is>
          <t>Value</t>
        </is>
      </c>
      <c r="D49" s="3" t="inlineStr">
        <is>
          <t>Filing</t>
        </is>
      </c>
    </row>
    <row r="50">
      <c r="A50" t="inlineStr">
        <is>
          <t>F1</t>
        </is>
      </c>
      <c r="B50" t="inlineStr">
        <is>
          <t>revenue FY ending 2023-12-31 (us-gaap:RevenueFromContractWithCustomerExcludingAssessedTax)</t>
        </is>
      </c>
      <c r="C50" s="50" t="n">
        <v>1268782000</v>
      </c>
      <c r="D50" t="inlineStr">
        <is>
          <t>https://www.sec.gov/Archives/edgar/data/1664703/000162828026006516/</t>
        </is>
      </c>
    </row>
    <row r="51">
      <c r="A51" t="inlineStr">
        <is>
          <t>F2</t>
        </is>
      </c>
      <c r="B51" t="inlineStr">
        <is>
          <t>revenue FY ending 2024-12-31 (us-gaap:RevenueFromContractWithCustomerExcludingAssessedTax)</t>
        </is>
      </c>
      <c r="C51" s="50" t="n">
        <v>1441394000</v>
      </c>
      <c r="D51" t="inlineStr">
        <is>
          <t>https://www.sec.gov/Archives/edgar/data/1664703/000162828026006516/</t>
        </is>
      </c>
    </row>
    <row r="52">
      <c r="A52" t="inlineStr">
        <is>
          <t>F3</t>
        </is>
      </c>
      <c r="B52" t="inlineStr">
        <is>
          <t>revenue FY ending 2025-12-31 (us-gaap:RevenueFromContractWithCustomerExcludingAssessedTax)</t>
        </is>
      </c>
      <c r="C52" s="50" t="n">
        <v>2001614000</v>
      </c>
      <c r="D52" t="inlineStr">
        <is>
          <t>https://www.sec.gov/Archives/edgar/data/1664703/000162828026006516/</t>
        </is>
      </c>
    </row>
    <row r="53">
      <c r="A53" t="inlineStr">
        <is>
          <t>F4</t>
        </is>
      </c>
      <c r="B53" t="inlineStr">
        <is>
          <t>revenue YTD 2026-01-01 to 2026-09-30</t>
        </is>
      </c>
      <c r="C53" s="50" t="n">
        <v>3038175000</v>
      </c>
      <c r="D53" t="inlineStr">
        <is>
          <t>https://www.sec.gov/Archives/edgar/data/1664703/000162828026066931/</t>
        </is>
      </c>
    </row>
    <row r="54">
      <c r="A54" t="inlineStr">
        <is>
          <t>F5</t>
        </is>
      </c>
      <c r="B54" t="inlineStr">
        <is>
          <t>revenue prior-year YTD 2025-01-01 to 2025-09-30</t>
        </is>
      </c>
      <c r="C54" s="50" t="n">
        <v>1228849000</v>
      </c>
      <c r="D54" t="inlineStr">
        <is>
          <t>https://www.sec.gov/Archives/edgar/data/1664703/000162828026066931/</t>
        </is>
      </c>
    </row>
    <row r="55">
      <c r="A55" t="inlineStr">
        <is>
          <t>F6</t>
        </is>
      </c>
      <c r="B55" t="inlineStr">
        <is>
          <t>revenue TTM to 2026-09-30</t>
        </is>
      </c>
      <c r="C55" s="50" t="n">
        <v>3810940000</v>
      </c>
    </row>
    <row r="56">
      <c r="A56" t="inlineStr">
        <is>
          <t>F7</t>
        </is>
      </c>
      <c r="B56" t="inlineStr">
        <is>
          <t>revenue quarter 2026-07-01 to 2026-09-30</t>
        </is>
      </c>
      <c r="C56" s="50" t="n">
        <v>1231028000</v>
      </c>
      <c r="D56" t="inlineStr">
        <is>
          <t>https://www.sec.gov/Archives/edgar/data/1664703/000162828026066931/</t>
        </is>
      </c>
    </row>
    <row r="57">
      <c r="A57" t="inlineStr">
        <is>
          <t>F8</t>
        </is>
      </c>
      <c r="B57" t="inlineStr">
        <is>
          <t>operating_income FY ending 2023-12-31 (us-gaap:OperatingIncomeLoss)</t>
        </is>
      </c>
      <c r="C57" s="50" t="n">
        <v>-208907000</v>
      </c>
      <c r="D57" t="inlineStr">
        <is>
          <t>https://www.sec.gov/Archives/edgar/data/1664703/000162828026006516/</t>
        </is>
      </c>
    </row>
    <row r="58">
      <c r="A58" t="inlineStr">
        <is>
          <t>F9</t>
        </is>
      </c>
      <c r="B58" t="inlineStr">
        <is>
          <t>operating_income FY ending 2024-12-31 (us-gaap:OperatingIncomeLoss)</t>
        </is>
      </c>
      <c r="C58" s="50" t="n">
        <v>22909000</v>
      </c>
      <c r="D58" t="inlineStr">
        <is>
          <t>https://www.sec.gov/Archives/edgar/data/1664703/000162828026006516/</t>
        </is>
      </c>
    </row>
    <row r="59">
      <c r="A59" t="inlineStr">
        <is>
          <t>F10</t>
        </is>
      </c>
      <c r="B59" t="inlineStr">
        <is>
          <t>operating_income FY ending 2025-12-31 (us-gaap:OperatingIncomeLoss)</t>
        </is>
      </c>
      <c r="C59" s="50" t="n">
        <v>72802000</v>
      </c>
      <c r="D59" t="inlineStr">
        <is>
          <t>https://www.sec.gov/Archives/edgar/data/1664703/000162828026006516/</t>
        </is>
      </c>
    </row>
    <row r="60">
      <c r="A60" t="inlineStr">
        <is>
          <t>F11</t>
        </is>
      </c>
      <c r="B60" t="inlineStr">
        <is>
          <t>operating_income YTD 2026-01-01 to 2026-09-30</t>
        </is>
      </c>
      <c r="C60" s="50" t="n">
        <v>479876000</v>
      </c>
      <c r="D60" t="inlineStr">
        <is>
          <t>https://www.sec.gov/Archives/edgar/data/1664703/000162828026066931/</t>
        </is>
      </c>
    </row>
    <row r="61">
      <c r="A61" t="inlineStr">
        <is>
          <t>F12</t>
        </is>
      </c>
      <c r="B61" t="inlineStr">
        <is>
          <t>operating_income prior-year YTD 2025-01-01 to 2025-09-30</t>
        </is>
      </c>
      <c r="C61" s="50" t="n">
        <v>-14727000</v>
      </c>
      <c r="D61" t="inlineStr">
        <is>
          <t>https://www.sec.gov/Archives/edgar/data/1664703/000162828026066931/</t>
        </is>
      </c>
    </row>
    <row r="62">
      <c r="A62" t="inlineStr">
        <is>
          <t>F13</t>
        </is>
      </c>
      <c r="B62" t="inlineStr">
        <is>
          <t>operating_income TTM to 2026-09-30</t>
        </is>
      </c>
      <c r="C62" s="50" t="n">
        <v>567405000</v>
      </c>
    </row>
    <row r="63">
      <c r="A63" t="inlineStr">
        <is>
          <t>F14</t>
        </is>
      </c>
      <c r="B63" t="inlineStr">
        <is>
          <t>operating_income quarter 2026-07-01 to 2026-09-30</t>
        </is>
      </c>
      <c r="C63" s="50" t="n">
        <v>225449000</v>
      </c>
      <c r="D63" t="inlineStr">
        <is>
          <t>https://www.sec.gov/Archives/edgar/data/1664703/000162828026066931/</t>
        </is>
      </c>
    </row>
    <row r="64">
      <c r="A64" t="inlineStr">
        <is>
          <t>F15</t>
        </is>
      </c>
      <c r="B64" t="inlineStr">
        <is>
          <t>net_income FY ending 2023-12-31 (us-gaap:ProfitLoss)</t>
        </is>
      </c>
      <c r="C64" s="50" t="n">
        <v>-307937000</v>
      </c>
      <c r="D64" t="inlineStr">
        <is>
          <t>https://www.sec.gov/Archives/edgar/data/1664703/000162828026006516/</t>
        </is>
      </c>
    </row>
    <row r="65">
      <c r="A65" t="inlineStr">
        <is>
          <t>F16</t>
        </is>
      </c>
      <c r="B65" t="inlineStr">
        <is>
          <t>net_income FY ending 2024-12-31 (us-gaap:ProfitLoss)</t>
        </is>
      </c>
      <c r="C65" s="50" t="n">
        <v>-27203000</v>
      </c>
      <c r="D65" t="inlineStr">
        <is>
          <t>https://www.sec.gov/Archives/edgar/data/1664703/000162828026006516/</t>
        </is>
      </c>
    </row>
    <row r="66">
      <c r="A66" t="inlineStr">
        <is>
          <t>F17</t>
        </is>
      </c>
      <c r="B66" t="inlineStr">
        <is>
          <t>net_income FY ending 2025-12-31 (us-gaap:ProfitLoss)</t>
        </is>
      </c>
      <c r="C66" s="50" t="n">
        <v>-87140000</v>
      </c>
      <c r="D66" t="inlineStr">
        <is>
          <t>https://www.sec.gov/Archives/edgar/data/1664703/000162828026006516/</t>
        </is>
      </c>
    </row>
    <row r="67">
      <c r="A67" t="inlineStr">
        <is>
          <t>F18</t>
        </is>
      </c>
      <c r="B67" t="inlineStr">
        <is>
          <t>net_income YTD 2026-01-01 to 2026-09-30</t>
        </is>
      </c>
      <c r="C67" s="50" t="n">
        <v>521523000</v>
      </c>
      <c r="D67" t="inlineStr">
        <is>
          <t>https://www.sec.gov/Archives/edgar/data/1664703/000162828026066931/</t>
        </is>
      </c>
    </row>
    <row r="68">
      <c r="A68" t="inlineStr">
        <is>
          <t>F19</t>
        </is>
      </c>
      <c r="B68" t="inlineStr">
        <is>
          <t>net_income prior-year YTD 2025-01-01 to 2025-09-30</t>
        </is>
      </c>
      <c r="C68" s="50" t="n">
        <v>-88566000</v>
      </c>
      <c r="D68" t="inlineStr">
        <is>
          <t>https://www.sec.gov/Archives/edgar/data/1664703/000162828026066931/</t>
        </is>
      </c>
    </row>
    <row r="69">
      <c r="A69" t="inlineStr">
        <is>
          <t>F20</t>
        </is>
      </c>
      <c r="B69" t="inlineStr">
        <is>
          <t>net_income TTM to 2026-09-30</t>
        </is>
      </c>
      <c r="C69" s="50" t="n">
        <v>522949000</v>
      </c>
    </row>
    <row r="70">
      <c r="A70" t="inlineStr">
        <is>
          <t>F21</t>
        </is>
      </c>
      <c r="B70" t="inlineStr">
        <is>
          <t>net_income quarter 2026-07-01 to 2026-09-30</t>
        </is>
      </c>
      <c r="C70" s="50" t="n">
        <v>248976000</v>
      </c>
      <c r="D70" t="inlineStr">
        <is>
          <t>https://www.sec.gov/Archives/edgar/data/1664703/000162828026066931/</t>
        </is>
      </c>
    </row>
    <row r="71">
      <c r="A71" t="inlineStr">
        <is>
          <t>F22</t>
        </is>
      </c>
      <c r="B71" t="inlineStr">
        <is>
          <t>eps_diluted FY ending 2023-12-31 (us-gaap:EarningsPerShareDiluted)</t>
        </is>
      </c>
      <c r="C71" s="50" t="n">
        <v>-1.42</v>
      </c>
      <c r="D71" t="inlineStr">
        <is>
          <t>https://www.sec.gov/Archives/edgar/data/1664703/000162828026006516/</t>
        </is>
      </c>
    </row>
    <row r="72">
      <c r="A72" t="inlineStr">
        <is>
          <t>F23</t>
        </is>
      </c>
      <c r="B72" t="inlineStr">
        <is>
          <t>eps_diluted FY ending 2024-12-31 (us-gaap:EarningsPerShareDiluted)</t>
        </is>
      </c>
      <c r="C72" s="50" t="n">
        <v>-0.13</v>
      </c>
      <c r="D72" t="inlineStr">
        <is>
          <t>https://www.sec.gov/Archives/edgar/data/1664703/000162828026006516/</t>
        </is>
      </c>
    </row>
    <row r="73">
      <c r="A73" t="inlineStr">
        <is>
          <t>F24</t>
        </is>
      </c>
      <c r="B73" t="inlineStr">
        <is>
          <t>eps_diluted FY ending 2025-12-31 (us-gaap:EarningsPerShareDiluted)</t>
        </is>
      </c>
      <c r="C73" s="50" t="n">
        <v>-0.37</v>
      </c>
      <c r="D73" t="inlineStr">
        <is>
          <t>https://www.sec.gov/Archives/edgar/data/1664703/000162828026006516/</t>
        </is>
      </c>
    </row>
    <row r="74">
      <c r="A74" t="inlineStr">
        <is>
          <t>F25</t>
        </is>
      </c>
      <c r="B74" t="inlineStr">
        <is>
          <t>eps_diluted YTD 2026-01-01 to 2026-09-30</t>
        </is>
      </c>
      <c r="C74" s="50" t="n">
        <v>1.64</v>
      </c>
      <c r="D74" t="inlineStr">
        <is>
          <t>https://www.sec.gov/Archives/edgar/data/1664703/000162828026066931/</t>
        </is>
      </c>
    </row>
    <row r="75">
      <c r="A75" t="inlineStr">
        <is>
          <t>F26</t>
        </is>
      </c>
      <c r="B75" t="inlineStr">
        <is>
          <t>eps_diluted prior-year YTD 2025-01-01 to 2025-09-30</t>
        </is>
      </c>
      <c r="C75" s="50" t="n">
        <v>-0.38</v>
      </c>
      <c r="D75" t="inlineStr">
        <is>
          <t>https://www.sec.gov/Archives/edgar/data/1664703/000162828026066931/</t>
        </is>
      </c>
    </row>
    <row r="76">
      <c r="A76" t="inlineStr">
        <is>
          <t>F27</t>
        </is>
      </c>
      <c r="B76" t="inlineStr">
        <is>
          <t>eps_diluted quarter 2026-07-01 to 2026-09-30</t>
        </is>
      </c>
      <c r="C76" s="50" t="n">
        <v>0.78</v>
      </c>
      <c r="D76" t="inlineStr">
        <is>
          <t>https://www.sec.gov/Archives/edgar/data/1664703/000162828026066931/</t>
        </is>
      </c>
    </row>
    <row r="77">
      <c r="A77" t="inlineStr">
        <is>
          <t>F28</t>
        </is>
      </c>
      <c r="B77" t="inlineStr">
        <is>
          <t>diluted_shares_wavg FY ending 2023-12-31 (us-gaap:WeightedAverageNumberOfDilutedSharesOutstanding)</t>
        </is>
      </c>
      <c r="C77" s="50" t="n">
        <v>212681000</v>
      </c>
      <c r="D77" t="inlineStr">
        <is>
          <t>https://www.sec.gov/Archives/edgar/data/1664703/000162828026006516/</t>
        </is>
      </c>
    </row>
    <row r="78">
      <c r="A78" t="inlineStr">
        <is>
          <t>F29</t>
        </is>
      </c>
      <c r="B78" t="inlineStr">
        <is>
          <t>diluted_shares_wavg FY ending 2024-12-31 (us-gaap:WeightedAverageNumberOfDilutedSharesOutstanding)</t>
        </is>
      </c>
      <c r="C78" s="50" t="n">
        <v>227365000</v>
      </c>
      <c r="D78" t="inlineStr">
        <is>
          <t>https://www.sec.gov/Archives/edgar/data/1664703/000162828026006516/</t>
        </is>
      </c>
    </row>
    <row r="79">
      <c r="A79" t="inlineStr">
        <is>
          <t>F30</t>
        </is>
      </c>
      <c r="B79" t="inlineStr">
        <is>
          <t>diluted_shares_wavg FY ending 2025-12-31 (us-gaap:WeightedAverageNumberOfDilutedSharesOutstanding)</t>
        </is>
      </c>
      <c r="C79" s="50" t="n">
        <v>240402000</v>
      </c>
      <c r="D79" t="inlineStr">
        <is>
          <t>https://www.sec.gov/Archives/edgar/data/1664703/000162828026006516/</t>
        </is>
      </c>
    </row>
    <row r="80">
      <c r="A80" t="inlineStr">
        <is>
          <t>F31</t>
        </is>
      </c>
      <c r="B80" t="inlineStr">
        <is>
          <t>diluted_shares_wavg YTD 2026-01-01 to 2026-09-30</t>
        </is>
      </c>
      <c r="C80" s="50" t="n">
        <v>323307000</v>
      </c>
      <c r="D80" t="inlineStr">
        <is>
          <t>https://www.sec.gov/Archives/edgar/data/1664703/000162828026066931/</t>
        </is>
      </c>
    </row>
    <row r="81">
      <c r="A81" t="inlineStr">
        <is>
          <t>F32</t>
        </is>
      </c>
      <c r="B81" t="inlineStr">
        <is>
          <t>diluted_shares_wavg prior-year YTD 2025-01-01 to 2025-09-30</t>
        </is>
      </c>
      <c r="C81" s="50" t="n">
        <v>232579000</v>
      </c>
      <c r="D81" t="inlineStr">
        <is>
          <t>https://www.sec.gov/Archives/edgar/data/1664703/000162828026066931/</t>
        </is>
      </c>
    </row>
    <row r="82">
      <c r="A82" t="inlineStr">
        <is>
          <t>F33</t>
        </is>
      </c>
      <c r="B82" t="inlineStr">
        <is>
          <t>diluted_shares_wavg quarter 2026-07-01 to 2026-09-30</t>
        </is>
      </c>
      <c r="C82" s="50" t="n">
        <v>324289000</v>
      </c>
      <c r="D82" t="inlineStr">
        <is>
          <t>https://www.sec.gov/Archives/edgar/data/1664703/000162828026066931/</t>
        </is>
      </c>
    </row>
    <row r="83">
      <c r="A83" t="inlineStr">
        <is>
          <t>F34</t>
        </is>
      </c>
      <c r="B83" t="inlineStr">
        <is>
          <t>cfo FY ending 2023-12-31 (us-gaap:NetCashProvidedByUsedInOperatingActivities)</t>
        </is>
      </c>
      <c r="C83" s="50" t="n">
        <v>-372531000</v>
      </c>
      <c r="D83" t="inlineStr">
        <is>
          <t>https://www.sec.gov/Archives/edgar/data/1664703/000162828026006516/</t>
        </is>
      </c>
    </row>
    <row r="84">
      <c r="A84" t="inlineStr">
        <is>
          <t>F35</t>
        </is>
      </c>
      <c r="B84" t="inlineStr">
        <is>
          <t>cfo FY ending 2024-12-31 (us-gaap:NetCashProvidedByUsedInOperatingActivities)</t>
        </is>
      </c>
      <c r="C84" s="50" t="n">
        <v>91998000</v>
      </c>
      <c r="D84" t="inlineStr">
        <is>
          <t>https://www.sec.gov/Archives/edgar/data/1664703/000162828026006516/</t>
        </is>
      </c>
    </row>
    <row r="85">
      <c r="A85" t="inlineStr">
        <is>
          <t>F36</t>
        </is>
      </c>
      <c r="B85" t="inlineStr">
        <is>
          <t>cfo FY ending 2025-12-31 (us-gaap:NetCashProvidedByUsedInOperatingActivities)</t>
        </is>
      </c>
      <c r="C85" s="50" t="n">
        <v>113949000</v>
      </c>
      <c r="D85" t="inlineStr">
        <is>
          <t>https://www.sec.gov/Archives/edgar/data/1664703/000162828026006516/</t>
        </is>
      </c>
    </row>
    <row r="86">
      <c r="A86" t="inlineStr">
        <is>
          <t>F37</t>
        </is>
      </c>
      <c r="B86" t="inlineStr">
        <is>
          <t>cfo YTD 2026-01-01 to 2026-09-30</t>
        </is>
      </c>
      <c r="C86" s="50" t="n">
        <v>272895000</v>
      </c>
      <c r="D86" t="inlineStr">
        <is>
          <t>https://www.sec.gov/Archives/edgar/data/1664703/000162828026066931/</t>
        </is>
      </c>
    </row>
    <row r="87">
      <c r="A87" t="inlineStr">
        <is>
          <t>F38</t>
        </is>
      </c>
      <c r="B87" t="inlineStr">
        <is>
          <t>cfo prior-year YTD 2025-01-01 to 2025-09-30</t>
        </is>
      </c>
      <c r="C87" s="50" t="n">
        <v>-304124000</v>
      </c>
      <c r="D87" t="inlineStr">
        <is>
          <t>https://www.sec.gov/Archives/edgar/data/1664703/000162828026066931/</t>
        </is>
      </c>
    </row>
    <row r="88">
      <c r="A88" t="inlineStr">
        <is>
          <t>F39</t>
        </is>
      </c>
      <c r="B88" t="inlineStr">
        <is>
          <t>cfo TTM to 2026-09-30</t>
        </is>
      </c>
      <c r="C88" s="50" t="n">
        <v>690968000</v>
      </c>
    </row>
    <row r="89">
      <c r="A89" t="inlineStr">
        <is>
          <t>F40</t>
        </is>
      </c>
      <c r="B89" t="inlineStr">
        <is>
          <t>cfo quarter 2026-01-01 to 2026-03-31</t>
        </is>
      </c>
      <c r="C89" s="50" t="n">
        <v>73610000</v>
      </c>
      <c r="D89" t="inlineStr">
        <is>
          <t>https://www.sec.gov/Archives/edgar/data/1664703/000162828026028021/</t>
        </is>
      </c>
    </row>
    <row r="90">
      <c r="A90" t="inlineStr">
        <is>
          <t>F41</t>
        </is>
      </c>
      <c r="B90" t="inlineStr">
        <is>
          <t>capex FY ending 2023-12-31 (us-gaap:PaymentsToAcquirePropertyPlantAndEquipment)</t>
        </is>
      </c>
      <c r="C90" s="50" t="n">
        <v>83739000</v>
      </c>
      <c r="D90" t="inlineStr">
        <is>
          <t>https://www.sec.gov/Archives/edgar/data/1664703/000162828026006516/</t>
        </is>
      </c>
    </row>
    <row r="91">
      <c r="A91" t="inlineStr">
        <is>
          <t>F42</t>
        </is>
      </c>
      <c r="B91" t="inlineStr">
        <is>
          <t>capex FY ending 2024-12-31 (us-gaap:PaymentsToAcquirePropertyPlantAndEquipment)</t>
        </is>
      </c>
      <c r="C91" s="50" t="n">
        <v>58852000</v>
      </c>
      <c r="D91" t="inlineStr">
        <is>
          <t>https://www.sec.gov/Archives/edgar/data/1664703/000162828026006516/</t>
        </is>
      </c>
    </row>
    <row r="92">
      <c r="A92" t="inlineStr">
        <is>
          <t>F43</t>
        </is>
      </c>
      <c r="B92" t="inlineStr">
        <is>
          <t>capex FY ending 2025-12-31 (us-gaap:PaymentsToAcquirePropertyPlantAndEquipment)</t>
        </is>
      </c>
      <c r="C92" s="50" t="n">
        <v>56759000</v>
      </c>
      <c r="D92" t="inlineStr">
        <is>
          <t>https://www.sec.gov/Archives/edgar/data/1664703/000162828026006516/</t>
        </is>
      </c>
    </row>
    <row r="93">
      <c r="A93" t="inlineStr">
        <is>
          <t>F44</t>
        </is>
      </c>
      <c r="B93" t="inlineStr">
        <is>
          <t>capex YTD 2026-01-01 to 2026-09-30</t>
        </is>
      </c>
      <c r="C93" s="50" t="n">
        <v>231310000</v>
      </c>
      <c r="D93" t="inlineStr">
        <is>
          <t>https://www.sec.gov/Archives/edgar/data/1664703/000162828026066931/</t>
        </is>
      </c>
    </row>
    <row r="94">
      <c r="A94" t="inlineStr">
        <is>
          <t>F45</t>
        </is>
      </c>
      <c r="B94" t="inlineStr">
        <is>
          <t>capex prior-year YTD 2025-01-01 to 2025-09-30</t>
        </is>
      </c>
      <c r="C94" s="50" t="n">
        <v>33805000</v>
      </c>
      <c r="D94" t="inlineStr">
        <is>
          <t>https://www.sec.gov/Archives/edgar/data/1664703/000162828026066931/</t>
        </is>
      </c>
    </row>
    <row r="95">
      <c r="A95" t="inlineStr">
        <is>
          <t>F46</t>
        </is>
      </c>
      <c r="B95" t="inlineStr">
        <is>
          <t>capex TTM to 2026-09-30</t>
        </is>
      </c>
      <c r="C95" s="50" t="n">
        <v>254264000</v>
      </c>
    </row>
    <row r="96">
      <c r="A96" t="inlineStr">
        <is>
          <t>F47</t>
        </is>
      </c>
      <c r="B96" t="inlineStr">
        <is>
          <t>capex quarter 2026-01-01 to 2026-03-31</t>
        </is>
      </c>
      <c r="C96" s="50" t="n">
        <v>26182000</v>
      </c>
      <c r="D96" t="inlineStr">
        <is>
          <t>https://www.sec.gov/Archives/edgar/data/1664703/000162828026028021/</t>
        </is>
      </c>
    </row>
    <row r="97">
      <c r="A97" t="inlineStr">
        <is>
          <t>F48</t>
        </is>
      </c>
      <c r="B97" t="inlineStr">
        <is>
          <t>dividends_paid FY ending 2023-12-31 (us-gaap:PaymentsOfDividends)</t>
        </is>
      </c>
      <c r="C97" s="50" t="n">
        <v>0</v>
      </c>
      <c r="D97" t="inlineStr">
        <is>
          <t>https://www.sec.gov/Archives/edgar/data/1664703/000162828026006516/</t>
        </is>
      </c>
    </row>
    <row r="98">
      <c r="A98" t="inlineStr">
        <is>
          <t>F49</t>
        </is>
      </c>
      <c r="B98" t="inlineStr">
        <is>
          <t>dividends_paid FY ending 2024-12-31 (us-gaap:PaymentsOfDividends)</t>
        </is>
      </c>
      <c r="C98" s="50" t="n">
        <v>1468000</v>
      </c>
      <c r="D98" t="inlineStr">
        <is>
          <t>https://www.sec.gov/Archives/edgar/data/1664703/000162828026006516/</t>
        </is>
      </c>
    </row>
    <row r="99">
      <c r="A99" t="inlineStr">
        <is>
          <t>F50</t>
        </is>
      </c>
      <c r="B99" t="inlineStr">
        <is>
          <t>dividends_paid FY ending 2025-12-31 (us-gaap:PaymentsOfDividends)</t>
        </is>
      </c>
      <c r="C99" s="50" t="n">
        <v>947000</v>
      </c>
      <c r="D99" t="inlineStr">
        <is>
          <t>https://www.sec.gov/Archives/edgar/data/1664703/000162828026006516/</t>
        </is>
      </c>
    </row>
    <row r="100">
      <c r="A100" t="inlineStr">
        <is>
          <t>F51</t>
        </is>
      </c>
      <c r="B100" t="inlineStr">
        <is>
          <t>dividends_paid YTD 2026-01-01 to 2026-09-30</t>
        </is>
      </c>
      <c r="C100" s="50" t="n">
        <v>925000</v>
      </c>
      <c r="D100" t="inlineStr">
        <is>
          <t>https://www.sec.gov/Archives/edgar/data/1664703/000162828026066931/</t>
        </is>
      </c>
    </row>
    <row r="101">
      <c r="A101" t="inlineStr">
        <is>
          <t>F52</t>
        </is>
      </c>
      <c r="B101" t="inlineStr">
        <is>
          <t>dividends_paid prior-year YTD 2025-01-01 to 2025-09-30</t>
        </is>
      </c>
      <c r="C101" s="50" t="n">
        <v>947000</v>
      </c>
      <c r="D101" t="inlineStr">
        <is>
          <t>https://www.sec.gov/Archives/edgar/data/1664703/000162828026066931/</t>
        </is>
      </c>
    </row>
    <row r="102">
      <c r="A102" t="inlineStr">
        <is>
          <t>F53</t>
        </is>
      </c>
      <c r="B102" t="inlineStr">
        <is>
          <t>dividends_paid TTM to 2026-09-30</t>
        </is>
      </c>
      <c r="C102" s="50" t="n">
        <v>925000</v>
      </c>
    </row>
    <row r="103">
      <c r="A103" t="inlineStr">
        <is>
          <t>F54</t>
        </is>
      </c>
      <c r="B103" t="inlineStr">
        <is>
          <t>interest_expense FY ending 2023-12-31 (us-gaap:InterestExpenseNonoperating)</t>
        </is>
      </c>
      <c r="C103" s="50" t="n">
        <v>108299000</v>
      </c>
      <c r="D103" t="inlineStr">
        <is>
          <t>https://www.sec.gov/Archives/edgar/data/1664703/000162828026006516/</t>
        </is>
      </c>
    </row>
    <row r="104">
      <c r="A104" t="inlineStr">
        <is>
          <t>F55</t>
        </is>
      </c>
      <c r="B104" t="inlineStr">
        <is>
          <t>interest_expense FY ending 2024-12-31 (us-gaap:InterestExpenseNonoperating)</t>
        </is>
      </c>
      <c r="C104" s="50" t="n">
        <v>62636000</v>
      </c>
      <c r="D104" t="inlineStr">
        <is>
          <t>https://www.sec.gov/Archives/edgar/data/1664703/000162828026006516/</t>
        </is>
      </c>
    </row>
    <row r="105">
      <c r="A105" t="inlineStr">
        <is>
          <t>F56</t>
        </is>
      </c>
      <c r="B105" t="inlineStr">
        <is>
          <t>interest_expense FY ending 2025-12-31 (us-gaap:InterestExpenseNonoperating)</t>
        </is>
      </c>
      <c r="C105" s="50" t="n">
        <v>53888000</v>
      </c>
      <c r="D105" t="inlineStr">
        <is>
          <t>https://www.sec.gov/Archives/edgar/data/1664703/000162828026006516/</t>
        </is>
      </c>
    </row>
    <row r="106">
      <c r="A106" t="inlineStr">
        <is>
          <t>F57</t>
        </is>
      </c>
      <c r="B106" t="inlineStr">
        <is>
          <t>interest_expense YTD 2026-01-01 to 2026-09-30</t>
        </is>
      </c>
      <c r="C106" s="50" t="n">
        <v>25035000</v>
      </c>
      <c r="D106" t="inlineStr">
        <is>
          <t>https://www.sec.gov/Archives/edgar/data/1664703/000162828026066931/</t>
        </is>
      </c>
    </row>
    <row r="107">
      <c r="A107" t="inlineStr">
        <is>
          <t>F58</t>
        </is>
      </c>
      <c r="B107" t="inlineStr">
        <is>
          <t>interest_expense prior-year YTD 2025-01-01 to 2025-09-30</t>
        </is>
      </c>
      <c r="C107" s="50" t="n">
        <v>43241000</v>
      </c>
      <c r="D107" t="inlineStr">
        <is>
          <t>https://www.sec.gov/Archives/edgar/data/1664703/000162828026066931/</t>
        </is>
      </c>
    </row>
    <row r="108">
      <c r="A108" t="inlineStr">
        <is>
          <t>F59</t>
        </is>
      </c>
      <c r="B108" t="inlineStr">
        <is>
          <t>interest_expense TTM to 2026-09-30</t>
        </is>
      </c>
      <c r="C108" s="50" t="n">
        <v>35682000</v>
      </c>
    </row>
    <row r="109">
      <c r="A109" t="inlineStr">
        <is>
          <t>F60</t>
        </is>
      </c>
      <c r="B109" t="inlineStr">
        <is>
          <t>interest_expense quarter 2026-07-01 to 2026-09-30</t>
        </is>
      </c>
      <c r="C109" s="50" t="n">
        <v>7525000</v>
      </c>
      <c r="D109" t="inlineStr">
        <is>
          <t>https://www.sec.gov/Archives/edgar/data/1664703/000162828026066931/</t>
        </is>
      </c>
    </row>
    <row r="110">
      <c r="A110" t="inlineStr">
        <is>
          <t>F61</t>
        </is>
      </c>
      <c r="B110" t="inlineStr">
        <is>
          <t>income_tax FY ending 2023-12-31 (us-gaap:IncomeTaxExpenseBenefit)</t>
        </is>
      </c>
      <c r="C110" s="50" t="n">
        <v>1894000</v>
      </c>
      <c r="D110" t="inlineStr">
        <is>
          <t>https://www.sec.gov/Archives/edgar/data/1664703/000162828026006516/</t>
        </is>
      </c>
    </row>
    <row r="111">
      <c r="A111" t="inlineStr">
        <is>
          <t>F62</t>
        </is>
      </c>
      <c r="B111" t="inlineStr">
        <is>
          <t>income_tax FY ending 2024-12-31 (us-gaap:IncomeTaxExpenseBenefit)</t>
        </is>
      </c>
      <c r="C111" s="50" t="n">
        <v>846000</v>
      </c>
      <c r="D111" t="inlineStr">
        <is>
          <t>https://www.sec.gov/Archives/edgar/data/1664703/000162828026006516/</t>
        </is>
      </c>
    </row>
    <row r="112">
      <c r="A112" t="inlineStr">
        <is>
          <t>F63</t>
        </is>
      </c>
      <c r="B112" t="inlineStr">
        <is>
          <t>income_tax FY ending 2025-12-31 (us-gaap:IncomeTaxExpenseBenefit)</t>
        </is>
      </c>
      <c r="C112" s="50" t="n">
        <v>2736000</v>
      </c>
      <c r="D112" t="inlineStr">
        <is>
          <t>https://www.sec.gov/Archives/edgar/data/1664703/000162828026006516/</t>
        </is>
      </c>
    </row>
    <row r="113">
      <c r="A113" t="inlineStr">
        <is>
          <t>F64</t>
        </is>
      </c>
      <c r="B113" t="inlineStr">
        <is>
          <t>income_tax YTD 2026-01-01 to 2026-09-30</t>
        </is>
      </c>
      <c r="C113" s="50" t="n">
        <v>2732000</v>
      </c>
      <c r="D113" t="inlineStr">
        <is>
          <t>https://www.sec.gov/Archives/edgar/data/1664703/000162828026066931/</t>
        </is>
      </c>
    </row>
    <row r="114">
      <c r="A114" t="inlineStr">
        <is>
          <t>F65</t>
        </is>
      </c>
      <c r="B114" t="inlineStr">
        <is>
          <t>income_tax prior-year YTD 2025-01-01 to 2025-09-30</t>
        </is>
      </c>
      <c r="C114" s="50" t="n">
        <v>1784000</v>
      </c>
      <c r="D114" t="inlineStr">
        <is>
          <t>https://www.sec.gov/Archives/edgar/data/1664703/000162828026066931/</t>
        </is>
      </c>
    </row>
    <row r="115">
      <c r="A115" t="inlineStr">
        <is>
          <t>F66</t>
        </is>
      </c>
      <c r="B115" t="inlineStr">
        <is>
          <t>income_tax TTM to 2026-09-30</t>
        </is>
      </c>
      <c r="C115" s="50" t="n">
        <v>3684000</v>
      </c>
    </row>
    <row r="116">
      <c r="A116" t="inlineStr">
        <is>
          <t>F67</t>
        </is>
      </c>
      <c r="B116" t="inlineStr">
        <is>
          <t>income_tax quarter 2026-07-01 to 2026-09-30</t>
        </is>
      </c>
      <c r="C116" s="50" t="n">
        <v>817000</v>
      </c>
      <c r="D116" t="inlineStr">
        <is>
          <t>https://www.sec.gov/Archives/edgar/data/1664703/000162828026066931/</t>
        </is>
      </c>
    </row>
    <row r="117">
      <c r="A117" t="inlineStr">
        <is>
          <t>F68</t>
        </is>
      </c>
      <c r="B117" t="inlineStr">
        <is>
          <t>pretax_income FY ending 2023-12-31 (us-gaap:IncomeLossFromContinuingOperationsBeforeIncomeTaxesExtraordinaryItemsNoncontrollingInterest)</t>
        </is>
      </c>
      <c r="C117" s="50" t="n">
        <v>-306043000</v>
      </c>
      <c r="D117" t="inlineStr">
        <is>
          <t>https://www.sec.gov/Archives/edgar/data/1664703/000162828026006516/</t>
        </is>
      </c>
    </row>
    <row r="118">
      <c r="A118" t="inlineStr">
        <is>
          <t>F69</t>
        </is>
      </c>
      <c r="B118" t="inlineStr">
        <is>
          <t>pretax_income FY ending 2024-12-31 (us-gaap:IncomeLossFromContinuingOperationsBeforeIncomeTaxesExtraordinaryItemsNoncontrollingInterest)</t>
        </is>
      </c>
      <c r="C118" s="50" t="n">
        <v>-26357000</v>
      </c>
      <c r="D118" t="inlineStr">
        <is>
          <t>https://www.sec.gov/Archives/edgar/data/1664703/000162828026006516/</t>
        </is>
      </c>
    </row>
    <row r="119">
      <c r="A119" t="inlineStr">
        <is>
          <t>F70</t>
        </is>
      </c>
      <c r="B119" t="inlineStr">
        <is>
          <t>pretax_income FY ending 2025-12-31 (us-gaap:IncomeLossFromContinuingOperationsBeforeIncomeTaxesExtraordinaryItemsNoncontrollingInterest)</t>
        </is>
      </c>
      <c r="C119" s="50" t="n">
        <v>-84404000</v>
      </c>
      <c r="D119" t="inlineStr">
        <is>
          <t>https://www.sec.gov/Archives/edgar/data/1664703/000162828026006516/</t>
        </is>
      </c>
    </row>
    <row r="120">
      <c r="A120" t="inlineStr">
        <is>
          <t>F71</t>
        </is>
      </c>
      <c r="B120" t="inlineStr">
        <is>
          <t>pretax_income YTD 2026-01-01 to 2026-09-30</t>
        </is>
      </c>
      <c r="C120" s="50" t="n">
        <v>524255000</v>
      </c>
      <c r="D120" t="inlineStr">
        <is>
          <t>https://www.sec.gov/Archives/edgar/data/1664703/000162828026066931/</t>
        </is>
      </c>
    </row>
    <row r="121">
      <c r="A121" t="inlineStr">
        <is>
          <t>F72</t>
        </is>
      </c>
      <c r="B121" t="inlineStr">
        <is>
          <t>pretax_income prior-year YTD 2025-01-01 to 2025-09-30</t>
        </is>
      </c>
      <c r="C121" s="50" t="n">
        <v>-86782000</v>
      </c>
      <c r="D121" t="inlineStr">
        <is>
          <t>https://www.sec.gov/Archives/edgar/data/1664703/000162828026066931/</t>
        </is>
      </c>
    </row>
    <row r="122">
      <c r="A122" t="inlineStr">
        <is>
          <t>F73</t>
        </is>
      </c>
      <c r="B122" t="inlineStr">
        <is>
          <t>pretax_income TTM to 2026-09-30</t>
        </is>
      </c>
      <c r="C122" s="50" t="n">
        <v>526633000</v>
      </c>
    </row>
    <row r="123">
      <c r="A123" t="inlineStr">
        <is>
          <t>F74</t>
        </is>
      </c>
      <c r="B123" t="inlineStr">
        <is>
          <t>pretax_income quarter 2026-07-01 to 2026-09-30</t>
        </is>
      </c>
      <c r="C123" s="50" t="n">
        <v>249793000</v>
      </c>
      <c r="D123" t="inlineStr">
        <is>
          <t>https://www.sec.gov/Archives/edgar/data/1664703/000162828026066931/</t>
        </is>
      </c>
    </row>
    <row r="124">
      <c r="A124" t="inlineStr">
        <is>
          <t>F75</t>
        </is>
      </c>
      <c r="B124" t="inlineStr">
        <is>
          <t>cash at 2026-09-30 (us-gaap:CashAndCashEquivalentsAtCarryingValue)</t>
        </is>
      </c>
      <c r="C124" s="50" t="n">
        <v>2486702000</v>
      </c>
      <c r="D124" t="inlineStr">
        <is>
          <t>https://www.sec.gov/Archives/edgar/data/1664703/000162828026066931/</t>
        </is>
      </c>
    </row>
    <row r="125">
      <c r="A125" t="inlineStr">
        <is>
          <t>F76</t>
        </is>
      </c>
      <c r="B125" t="inlineStr">
        <is>
          <t>debt_total at 2026-09-30 (us-gaap:LongTermDebt)</t>
        </is>
      </c>
      <c r="C125" s="50" t="n">
        <v>2476449000</v>
      </c>
      <c r="D125" t="inlineStr">
        <is>
          <t>https://www.sec.gov/Archives/edgar/data/1664703/000162828026066931/</t>
        </is>
      </c>
    </row>
    <row r="126">
      <c r="A126" t="inlineStr">
        <is>
          <t>F77</t>
        </is>
      </c>
      <c r="B126" t="inlineStr">
        <is>
          <t>debt_noncurrent at 2026-09-30 (us-gaap:LongTermDebtNoncurrent)</t>
        </is>
      </c>
      <c r="C126" s="50" t="n">
        <v>2473499000</v>
      </c>
      <c r="D126" t="inlineStr">
        <is>
          <t>https://www.sec.gov/Archives/edgar/data/1664703/000162828026066931/</t>
        </is>
      </c>
    </row>
    <row r="127">
      <c r="A127" t="inlineStr">
        <is>
          <t>F78</t>
        </is>
      </c>
      <c r="B127" t="inlineStr">
        <is>
          <t>debt_current at 2026-09-30 (us-gaap:LongTermDebtCurrent)</t>
        </is>
      </c>
      <c r="C127" s="50" t="n">
        <v>2950000</v>
      </c>
      <c r="D127" t="inlineStr">
        <is>
          <t>https://www.sec.gov/Archives/edgar/data/1664703/000162828026066931/</t>
        </is>
      </c>
    </row>
    <row r="128">
      <c r="A128" t="inlineStr">
        <is>
          <t>F79</t>
        </is>
      </c>
      <c r="B128" t="inlineStr">
        <is>
          <t>st_borrowings at 2026-09-30 (us-gaap:ShortTermBorrowings)</t>
        </is>
      </c>
      <c r="C128" s="50" t="n">
        <v>3000000</v>
      </c>
      <c r="D128" t="inlineStr">
        <is>
          <t>https://www.sec.gov/Archives/edgar/data/1664703/000162828026066931/</t>
        </is>
      </c>
    </row>
    <row r="129">
      <c r="A129" t="inlineStr">
        <is>
          <t>F80</t>
        </is>
      </c>
      <c r="B129" t="inlineStr">
        <is>
          <t>equity at 2026-09-30 (us-gaap:StockholdersEquity)</t>
        </is>
      </c>
      <c r="C129" s="50" t="n">
        <v>1932877000</v>
      </c>
      <c r="D129" t="inlineStr">
        <is>
          <t>https://www.sec.gov/Archives/edgar/data/1664703/000162828026066931/</t>
        </is>
      </c>
    </row>
    <row r="130">
      <c r="A130" t="inlineStr">
        <is>
          <t>F81</t>
        </is>
      </c>
      <c r="B130" t="inlineStr">
        <is>
          <t>shares outstanding (cover page, 1 class(es)) as of 2026-10-19</t>
        </is>
      </c>
      <c r="C130" s="50" t="n">
        <v>295656689</v>
      </c>
      <c r="D130" t="inlineStr">
        <is>
          <t>https://www.sec.gov/Archives/edgar/data/1664703/000162828026066931/</t>
        </is>
      </c>
    </row>
    <row r="131">
      <c r="A131" t="inlineStr">
        <is>
          <t>F82</t>
        </is>
      </c>
      <c r="B131" t="inlineStr">
        <is>
          <t>total debt (XBRL tags; excludes leases unless tagged in; check the balance sheet)</t>
        </is>
      </c>
      <c r="C131" s="50" t="n">
        <v>2479449000</v>
      </c>
    </row>
    <row r="132">
      <c r="A132" t="inlineStr">
        <is>
          <t>F83</t>
        </is>
      </c>
      <c r="B132" t="inlineStr">
        <is>
          <t>net debt = debt - cash - short-term investments</t>
        </is>
      </c>
      <c r="C132" s="50" t="n">
        <v>-7253000</v>
      </c>
    </row>
    <row r="133">
      <c r="A133" t="inlineStr">
        <is>
          <t>F84</t>
        </is>
      </c>
      <c r="B133" t="inlineStr">
        <is>
          <t>free cash flow TTM = operating cash flow - capex (before SBC adjustment)</t>
        </is>
      </c>
      <c r="C133" s="50" t="n">
        <v>436704000</v>
      </c>
    </row>
    <row r="134">
      <c r="A134" t="inlineStr">
        <is>
          <t>F85</t>
        </is>
      </c>
      <c r="B134" t="inlineStr">
        <is>
          <t>diluted EPS TTM approx = net income TTM / latest quarter diluted shares</t>
        </is>
      </c>
      <c r="C134" s="50" t="n">
        <v>1.612601722537613</v>
      </c>
    </row>
  </sheetData>
  <hyperlinks>
    <hyperlink xmlns:r="http://schemas.openxmlformats.org/officeDocument/2006/relationships" ref="D21" r:id="rId1"/>
    <hyperlink xmlns:r="http://schemas.openxmlformats.org/officeDocument/2006/relationships" ref="D22" r:id="rId2"/>
    <hyperlink xmlns:r="http://schemas.openxmlformats.org/officeDocument/2006/relationships" ref="D23" r:id="rId3"/>
    <hyperlink xmlns:r="http://schemas.openxmlformats.org/officeDocument/2006/relationships" ref="D24" r:id="rId4"/>
    <hyperlink xmlns:r="http://schemas.openxmlformats.org/officeDocument/2006/relationships" ref="D25" r:id="rId5"/>
    <hyperlink xmlns:r="http://schemas.openxmlformats.org/officeDocument/2006/relationships" ref="D26" r:id="rId6"/>
    <hyperlink xmlns:r="http://schemas.openxmlformats.org/officeDocument/2006/relationships" ref="D27" r:id="rId7"/>
    <hyperlink xmlns:r="http://schemas.openxmlformats.org/officeDocument/2006/relationships" ref="D28" r:id="rId8"/>
    <hyperlink xmlns:r="http://schemas.openxmlformats.org/officeDocument/2006/relationships" ref="D29" r:id="rId9"/>
    <hyperlink xmlns:r="http://schemas.openxmlformats.org/officeDocument/2006/relationships" ref="D30" r:id="rId10"/>
    <hyperlink xmlns:r="http://schemas.openxmlformats.org/officeDocument/2006/relationships" ref="D31" r:id="rId11"/>
    <hyperlink xmlns:r="http://schemas.openxmlformats.org/officeDocument/2006/relationships" ref="D32" r:id="rId12"/>
    <hyperlink xmlns:r="http://schemas.openxmlformats.org/officeDocument/2006/relationships" ref="D33" r:id="rId13"/>
    <hyperlink xmlns:r="http://schemas.openxmlformats.org/officeDocument/2006/relationships" ref="D34" r:id="rId14"/>
    <hyperlink xmlns:r="http://schemas.openxmlformats.org/officeDocument/2006/relationships" ref="D35" r:id="rId15"/>
    <hyperlink xmlns:r="http://schemas.openxmlformats.org/officeDocument/2006/relationships" ref="D36" r:id="rId16"/>
    <hyperlink xmlns:r="http://schemas.openxmlformats.org/officeDocument/2006/relationships" ref="D37" r:id="rId17"/>
    <hyperlink xmlns:r="http://schemas.openxmlformats.org/officeDocument/2006/relationships" ref="D38" r:id="rId18"/>
    <hyperlink xmlns:r="http://schemas.openxmlformats.org/officeDocument/2006/relationships" ref="D39" r:id="rId19"/>
    <hyperlink xmlns:r="http://schemas.openxmlformats.org/officeDocument/2006/relationships" ref="D40" r:id="rId20"/>
    <hyperlink xmlns:r="http://schemas.openxmlformats.org/officeDocument/2006/relationships" ref="D41" r:id="rId21"/>
    <hyperlink xmlns:r="http://schemas.openxmlformats.org/officeDocument/2006/relationships" ref="D42" r:id="rId22"/>
    <hyperlink xmlns:r="http://schemas.openxmlformats.org/officeDocument/2006/relationships" ref="D43" r:id="rId23"/>
    <hyperlink xmlns:r="http://schemas.openxmlformats.org/officeDocument/2006/relationships" ref="D44" r:id="rId24"/>
    <hyperlink xmlns:r="http://schemas.openxmlformats.org/officeDocument/2006/relationships" ref="D45" r:id="rId25"/>
    <hyperlink xmlns:r="http://schemas.openxmlformats.org/officeDocument/2006/relationships" ref="D46" r:id="rId26"/>
    <hyperlink xmlns:r="http://schemas.openxmlformats.org/officeDocument/2006/relationships" ref="D47" r:id="rId27"/>
    <hyperlink xmlns:r="http://schemas.openxmlformats.org/officeDocument/2006/relationships" ref="D50" r:id="rId28"/>
    <hyperlink xmlns:r="http://schemas.openxmlformats.org/officeDocument/2006/relationships" ref="D51" r:id="rId29"/>
    <hyperlink xmlns:r="http://schemas.openxmlformats.org/officeDocument/2006/relationships" ref="D52" r:id="rId30"/>
    <hyperlink xmlns:r="http://schemas.openxmlformats.org/officeDocument/2006/relationships" ref="D53" r:id="rId31"/>
    <hyperlink xmlns:r="http://schemas.openxmlformats.org/officeDocument/2006/relationships" ref="D54" r:id="rId32"/>
    <hyperlink xmlns:r="http://schemas.openxmlformats.org/officeDocument/2006/relationships" ref="D56" r:id="rId33"/>
    <hyperlink xmlns:r="http://schemas.openxmlformats.org/officeDocument/2006/relationships" ref="D57" r:id="rId34"/>
    <hyperlink xmlns:r="http://schemas.openxmlformats.org/officeDocument/2006/relationships" ref="D58" r:id="rId35"/>
    <hyperlink xmlns:r="http://schemas.openxmlformats.org/officeDocument/2006/relationships" ref="D59" r:id="rId36"/>
    <hyperlink xmlns:r="http://schemas.openxmlformats.org/officeDocument/2006/relationships" ref="D60" r:id="rId37"/>
    <hyperlink xmlns:r="http://schemas.openxmlformats.org/officeDocument/2006/relationships" ref="D61" r:id="rId38"/>
    <hyperlink xmlns:r="http://schemas.openxmlformats.org/officeDocument/2006/relationships" ref="D63" r:id="rId39"/>
    <hyperlink xmlns:r="http://schemas.openxmlformats.org/officeDocument/2006/relationships" ref="D64" r:id="rId40"/>
    <hyperlink xmlns:r="http://schemas.openxmlformats.org/officeDocument/2006/relationships" ref="D65" r:id="rId41"/>
    <hyperlink xmlns:r="http://schemas.openxmlformats.org/officeDocument/2006/relationships" ref="D66" r:id="rId42"/>
    <hyperlink xmlns:r="http://schemas.openxmlformats.org/officeDocument/2006/relationships" ref="D67" r:id="rId43"/>
    <hyperlink xmlns:r="http://schemas.openxmlformats.org/officeDocument/2006/relationships" ref="D68" r:id="rId44"/>
    <hyperlink xmlns:r="http://schemas.openxmlformats.org/officeDocument/2006/relationships" ref="D70" r:id="rId45"/>
    <hyperlink xmlns:r="http://schemas.openxmlformats.org/officeDocument/2006/relationships" ref="D71" r:id="rId46"/>
    <hyperlink xmlns:r="http://schemas.openxmlformats.org/officeDocument/2006/relationships" ref="D72" r:id="rId47"/>
    <hyperlink xmlns:r="http://schemas.openxmlformats.org/officeDocument/2006/relationships" ref="D73" r:id="rId48"/>
    <hyperlink xmlns:r="http://schemas.openxmlformats.org/officeDocument/2006/relationships" ref="D74" r:id="rId49"/>
    <hyperlink xmlns:r="http://schemas.openxmlformats.org/officeDocument/2006/relationships" ref="D75" r:id="rId50"/>
    <hyperlink xmlns:r="http://schemas.openxmlformats.org/officeDocument/2006/relationships" ref="D76" r:id="rId51"/>
    <hyperlink xmlns:r="http://schemas.openxmlformats.org/officeDocument/2006/relationships" ref="D77" r:id="rId52"/>
    <hyperlink xmlns:r="http://schemas.openxmlformats.org/officeDocument/2006/relationships" ref="D78" r:id="rId53"/>
    <hyperlink xmlns:r="http://schemas.openxmlformats.org/officeDocument/2006/relationships" ref="D79" r:id="rId54"/>
    <hyperlink xmlns:r="http://schemas.openxmlformats.org/officeDocument/2006/relationships" ref="D80" r:id="rId55"/>
    <hyperlink xmlns:r="http://schemas.openxmlformats.org/officeDocument/2006/relationships" ref="D81" r:id="rId56"/>
    <hyperlink xmlns:r="http://schemas.openxmlformats.org/officeDocument/2006/relationships" ref="D82" r:id="rId57"/>
    <hyperlink xmlns:r="http://schemas.openxmlformats.org/officeDocument/2006/relationships" ref="D83" r:id="rId58"/>
    <hyperlink xmlns:r="http://schemas.openxmlformats.org/officeDocument/2006/relationships" ref="D84" r:id="rId59"/>
    <hyperlink xmlns:r="http://schemas.openxmlformats.org/officeDocument/2006/relationships" ref="D85" r:id="rId60"/>
    <hyperlink xmlns:r="http://schemas.openxmlformats.org/officeDocument/2006/relationships" ref="D86" r:id="rId61"/>
    <hyperlink xmlns:r="http://schemas.openxmlformats.org/officeDocument/2006/relationships" ref="D87" r:id="rId62"/>
    <hyperlink xmlns:r="http://schemas.openxmlformats.org/officeDocument/2006/relationships" ref="D89" r:id="rId63"/>
    <hyperlink xmlns:r="http://schemas.openxmlformats.org/officeDocument/2006/relationships" ref="D90" r:id="rId64"/>
    <hyperlink xmlns:r="http://schemas.openxmlformats.org/officeDocument/2006/relationships" ref="D91" r:id="rId65"/>
    <hyperlink xmlns:r="http://schemas.openxmlformats.org/officeDocument/2006/relationships" ref="D92" r:id="rId66"/>
    <hyperlink xmlns:r="http://schemas.openxmlformats.org/officeDocument/2006/relationships" ref="D93" r:id="rId67"/>
    <hyperlink xmlns:r="http://schemas.openxmlformats.org/officeDocument/2006/relationships" ref="D94" r:id="rId68"/>
    <hyperlink xmlns:r="http://schemas.openxmlformats.org/officeDocument/2006/relationships" ref="D96" r:id="rId69"/>
    <hyperlink xmlns:r="http://schemas.openxmlformats.org/officeDocument/2006/relationships" ref="D97" r:id="rId70"/>
    <hyperlink xmlns:r="http://schemas.openxmlformats.org/officeDocument/2006/relationships" ref="D98" r:id="rId71"/>
    <hyperlink xmlns:r="http://schemas.openxmlformats.org/officeDocument/2006/relationships" ref="D99" r:id="rId72"/>
    <hyperlink xmlns:r="http://schemas.openxmlformats.org/officeDocument/2006/relationships" ref="D100" r:id="rId73"/>
    <hyperlink xmlns:r="http://schemas.openxmlformats.org/officeDocument/2006/relationships" ref="D101" r:id="rId74"/>
    <hyperlink xmlns:r="http://schemas.openxmlformats.org/officeDocument/2006/relationships" ref="D103" r:id="rId75"/>
    <hyperlink xmlns:r="http://schemas.openxmlformats.org/officeDocument/2006/relationships" ref="D104" r:id="rId76"/>
    <hyperlink xmlns:r="http://schemas.openxmlformats.org/officeDocument/2006/relationships" ref="D105" r:id="rId77"/>
    <hyperlink xmlns:r="http://schemas.openxmlformats.org/officeDocument/2006/relationships" ref="D106" r:id="rId78"/>
    <hyperlink xmlns:r="http://schemas.openxmlformats.org/officeDocument/2006/relationships" ref="D107" r:id="rId79"/>
    <hyperlink xmlns:r="http://schemas.openxmlformats.org/officeDocument/2006/relationships" ref="D109" r:id="rId80"/>
    <hyperlink xmlns:r="http://schemas.openxmlformats.org/officeDocument/2006/relationships" ref="D110" r:id="rId81"/>
    <hyperlink xmlns:r="http://schemas.openxmlformats.org/officeDocument/2006/relationships" ref="D111" r:id="rId82"/>
    <hyperlink xmlns:r="http://schemas.openxmlformats.org/officeDocument/2006/relationships" ref="D112" r:id="rId83"/>
    <hyperlink xmlns:r="http://schemas.openxmlformats.org/officeDocument/2006/relationships" ref="D113" r:id="rId84"/>
    <hyperlink xmlns:r="http://schemas.openxmlformats.org/officeDocument/2006/relationships" ref="D114" r:id="rId85"/>
    <hyperlink xmlns:r="http://schemas.openxmlformats.org/officeDocument/2006/relationships" ref="D116" r:id="rId86"/>
    <hyperlink xmlns:r="http://schemas.openxmlformats.org/officeDocument/2006/relationships" ref="D117" r:id="rId87"/>
    <hyperlink xmlns:r="http://schemas.openxmlformats.org/officeDocument/2006/relationships" ref="D118" r:id="rId88"/>
    <hyperlink xmlns:r="http://schemas.openxmlformats.org/officeDocument/2006/relationships" ref="D119" r:id="rId89"/>
    <hyperlink xmlns:r="http://schemas.openxmlformats.org/officeDocument/2006/relationships" ref="D120" r:id="rId90"/>
    <hyperlink xmlns:r="http://schemas.openxmlformats.org/officeDocument/2006/relationships" ref="D121" r:id="rId91"/>
    <hyperlink xmlns:r="http://schemas.openxmlformats.org/officeDocument/2006/relationships" ref="D123" r:id="rId92"/>
    <hyperlink xmlns:r="http://schemas.openxmlformats.org/officeDocument/2006/relationships" ref="D124" r:id="rId93"/>
    <hyperlink xmlns:r="http://schemas.openxmlformats.org/officeDocument/2006/relationships" ref="D125" r:id="rId94"/>
    <hyperlink xmlns:r="http://schemas.openxmlformats.org/officeDocument/2006/relationships" ref="D126" r:id="rId95"/>
    <hyperlink xmlns:r="http://schemas.openxmlformats.org/officeDocument/2006/relationships" ref="D127" r:id="rId96"/>
    <hyperlink xmlns:r="http://schemas.openxmlformats.org/officeDocument/2006/relationships" ref="D128" r:id="rId97"/>
    <hyperlink xmlns:r="http://schemas.openxmlformats.org/officeDocument/2006/relationships" ref="D129" r:id="rId98"/>
    <hyperlink xmlns:r="http://schemas.openxmlformats.org/officeDocument/2006/relationships" ref="D130" r:id="rId9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2026-10-26T12:38:59Z</dcterms:created>
  <dcterms:modified xmlns:dcterms="http://purl.org/dc/terms/" xmlns:xsi="http://www.w3.org/2001/XMLSchema-instance" xsi:type="dcterms:W3CDTF">2026-10-26T12:38:59Z</dcterms:modified>
</cp:coreProperties>
</file>