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Distribution" sheetId="5" state="visible" r:id="rId5"/>
    <sheet xmlns:r="http://schemas.openxmlformats.org/officeDocument/2006/relationships" name="Calc - research target (12m)" sheetId="6" state="visible" r:id="rId6"/>
    <sheet xmlns:r="http://schemas.openxmlformats.org/officeDocument/2006/relationships" name="Calc - bear" sheetId="7" state="visible" r:id="rId7"/>
    <sheet xmlns:r="http://schemas.openxmlformats.org/officeDocument/2006/relationships" name="Calc - base" sheetId="8" state="visible" r:id="rId8"/>
    <sheet xmlns:r="http://schemas.openxmlformats.org/officeDocument/2006/relationships" name="Calc - bull" sheetId="9" state="visible" r:id="rId9"/>
    <sheet xmlns:r="http://schemas.openxmlformats.org/officeDocument/2006/relationships" name="Agents" sheetId="10" state="visible" r:id="rId10"/>
    <sheet xmlns:r="http://schemas.openxmlformats.org/officeDocument/2006/relationships" name="Sourc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yyyy-mm-dd"/>
    <numFmt numFmtId="165" formatCode="#,##0;(#,##0)"/>
    <numFmt numFmtId="166" formatCode="0.0%"/>
    <numFmt numFmtId="167" formatCode="0.00&quot;x&quot;"/>
    <numFmt numFmtId="168" formatCode="#,##0.0"/>
    <numFmt numFmtId="169" formatCode="$0.00"/>
    <numFmt numFmtId="170" formatCode="0.0"/>
    <numFmt numFmtId="171" formatCode="0&quot; bp&quot;;-0&quot; bp&quot;"/>
    <numFmt numFmtId="172" formatCode="0.000"/>
    <numFmt numFmtId="173" formatCode="0.0000"/>
    <numFmt numFmtId="174" formatCode="0.0&quot;x&quot;"/>
    <numFmt numFmtId="175" formatCode="+0.0%;-0.0%;0.0%"/>
    <numFmt numFmtId="176" formatCode="yyyy-mm-dd hh:mm"/>
  </numFmts>
  <fonts count="9">
    <font>
      <name val="Calibri"/>
      <family val="2"/>
      <color theme="1"/>
      <sz val="11"/>
      <scheme val="minor"/>
    </font>
    <font>
      <b val="1"/>
    </font>
    <font>
      <color rgb="000000FF"/>
    </font>
    <font>
      <i val="1"/>
      <color rgb="00444444"/>
    </font>
    <font>
      <b val="1"/>
      <sz val="13"/>
    </font>
    <font>
      <i val="1"/>
      <color rgb="00666666"/>
    </font>
    <font>
      <color rgb="00008000"/>
    </font>
    <font>
      <color rgb="007030A0"/>
    </font>
    <font>
      <color rgb="00C55A11"/>
    </font>
  </fonts>
  <fills count="4">
    <fill>
      <patternFill/>
    </fill>
    <fill>
      <patternFill patternType="gray125"/>
    </fill>
    <fill>
      <patternFill patternType="solid">
        <fgColor rgb="00D9E2F0"/>
      </patternFill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3" borderId="0" pivotButton="0" quotePrefix="0" xfId="0"/>
    <xf numFmtId="2" fontId="6" fillId="0" borderId="0" pivotButton="0" quotePrefix="0" xfId="0"/>
    <xf numFmtId="176" fontId="0" fillId="0" borderId="0" pivotButton="0" quotePrefix="0" xfId="0"/>
    <xf numFmtId="2" fontId="1" fillId="0" borderId="0" pivotButton="0" quotePrefix="0" xfId="0"/>
    <xf numFmtId="166" fontId="1" fillId="0" borderId="0" pivotButton="0" quotePrefix="0" xfId="0"/>
    <xf numFmtId="164" fontId="6" fillId="0" borderId="0" pivotButton="0" quotePrefix="0" xfId="0"/>
    <xf numFmtId="2" fontId="0" fillId="0" borderId="0" pivotButton="0" quotePrefix="0" xfId="0"/>
    <xf numFmtId="165" fontId="6" fillId="0" borderId="0" pivotButton="0" quotePrefix="0" xfId="0"/>
    <xf numFmtId="0" fontId="3" fillId="0" borderId="0" pivotButton="0" quotePrefix="0" xfId="0"/>
    <xf numFmtId="166" fontId="6" fillId="0" borderId="0" pivotButton="0" quotePrefix="0" xfId="0"/>
    <xf numFmtId="169" fontId="6" fillId="0" borderId="0" pivotButton="0" quotePrefix="0" xfId="0"/>
    <xf numFmtId="0" fontId="8" fillId="0" borderId="0" pivotButton="0" quotePrefix="0" xfId="0"/>
    <xf numFmtId="169" fontId="8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top" wrapText="1"/>
    </xf>
    <xf numFmtId="166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165" fontId="0" fillId="0" borderId="0" pivotButton="0" quotePrefix="0" xfId="0"/>
    <xf numFmtId="166" fontId="2" fillId="0" borderId="0" pivotButton="0" quotePrefix="0" xfId="0"/>
    <xf numFmtId="165" fontId="1" fillId="0" borderId="0" pivotButton="0" quotePrefix="0" xfId="0"/>
    <xf numFmtId="165" fontId="2" fillId="0" borderId="0" pivotButton="0" quotePrefix="0" xfId="0"/>
    <xf numFmtId="166" fontId="3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69" fontId="1" fillId="0" borderId="0" pivotButton="0" quotePrefix="0" xfId="0"/>
    <xf numFmtId="165" fontId="7" fillId="0" borderId="0" pivotButton="0" quotePrefix="0" xfId="0"/>
    <xf numFmtId="165" fontId="8" fillId="0" borderId="0" pivotButton="0" quotePrefix="0" xfId="0"/>
    <xf numFmtId="166" fontId="8" fillId="0" borderId="0" pivotButton="0" quotePrefix="0" xfId="0"/>
    <xf numFmtId="171" fontId="3" fillId="0" borderId="0" pivotButton="0" quotePrefix="0" xfId="0"/>
    <xf numFmtId="4" fontId="6" fillId="0" borderId="0" pivotButton="0" quotePrefix="0" xfId="0"/>
    <xf numFmtId="168" fontId="6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167" fontId="2" fillId="0" borderId="0" pivotButton="0" quotePrefix="0" xfId="0"/>
    <xf numFmtId="168" fontId="2" fillId="0" borderId="0" pivotButton="0" quotePrefix="0" xfId="0"/>
    <xf numFmtId="2" fontId="2" fillId="0" borderId="0" pivotButton="0" quotePrefix="0" xfId="0"/>
    <xf numFmtId="169" fontId="2" fillId="0" borderId="0" pivotButton="0" quotePrefix="0" xfId="0"/>
    <xf numFmtId="170" fontId="2" fillId="0" borderId="0" pivotButton="0" quotePrefix="0" xfId="0"/>
    <xf numFmtId="0" fontId="0" fillId="0" borderId="0" applyAlignment="1" pivotButton="0" quotePrefix="0" xfId="0">
      <alignment vertical="top" wrapText="1"/>
    </xf>
    <xf numFmtId="174" fontId="1" fillId="0" borderId="0" pivotButton="0" quotePrefix="0" xfId="0"/>
    <xf numFmtId="175" fontId="1" fillId="0" borderId="0" pivotButton="0" quotePrefix="0" xfId="0"/>
    <xf numFmtId="173" fontId="0" fillId="0" borderId="0" pivotButton="0" quotePrefix="0" xfId="0"/>
    <xf numFmtId="170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0" fontId="6" fillId="0" borderId="0" pivotButton="0" quotePrefix="0" xfId="0"/>
    <xf numFmtId="17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hyperlink" Target="https://www.sec.gov/Archives/edgar/data/1652044/000165204426000066/googexhibit991q22026.htm" TargetMode="External" Id="rId1"/><Relationship Type="http://schemas.openxmlformats.org/officeDocument/2006/relationships/hyperlink" Target="https://www.sec.gov/Archives/edgar/data/1652044/000165204426000071/goog-20260630.htm" TargetMode="External" Id="rId2"/><Relationship Type="http://schemas.openxmlformats.org/officeDocument/2006/relationships/hyperlink" Target="https://data.sec.gov/api/xbrl/companyfacts/CIK0001652044.json" TargetMode="External" Id="rId3"/><Relationship Type="http://schemas.openxmlformats.org/officeDocument/2006/relationships/hyperlink" Target="https://data.sec.gov/submissions/CIK0001652044.json" TargetMode="External" Id="rId4"/><Relationship Type="http://schemas.openxmlformats.org/officeDocument/2006/relationships/hyperlink" Target="https://s206.q4cdn.com/479360582/files/doc_events/2026/Jul/22/2026_Q2_Earnings_Transcript.pdf" TargetMode="External" Id="rId5"/><Relationship Type="http://schemas.openxmlformats.org/officeDocument/2006/relationships/hyperlink" Target="https://www.sec.gov/Archives/edgar/data/1652044/000119312526259830/d36818d8k.htm" TargetMode="External" Id="rId6"/><Relationship Type="http://schemas.openxmlformats.org/officeDocument/2006/relationships/hyperlink" Target="https://abc.xyz/investor/news/news-details/2026/Alphabet-Announces-Date-of-Third-Quarter-2026-Financial-Results-Conference-Call-2026-8tpGZsLS6v/default.aspx" TargetMode="External" Id="rId7"/><Relationship Type="http://schemas.openxmlformats.org/officeDocument/2006/relationships/hyperlink" Target="https://finance.yahoo.com/quote/GOOGL/analysis/" TargetMode="External" Id="rId8"/><Relationship Type="http://schemas.openxmlformats.org/officeDocument/2006/relationships/hyperlink" Target="https://www.marketscreener.com/quote/stock/ALPHABET-INC-24203373/finances/" TargetMode="External" Id="rId9"/><Relationship Type="http://schemas.openxmlformats.org/officeDocument/2006/relationships/hyperlink" Target="https://stockanalysis.com/stocks/googl/forecast/" TargetMode="External" Id="rId10"/><Relationship Type="http://schemas.openxmlformats.org/officeDocument/2006/relationships/hyperlink" Target="https://247wallst.com/investing/2026/10/05/the-ai-boom-could-make-this-magnificent-7-stock-a-much-bigger-business/" TargetMode="External" Id="rId11"/><Relationship Type="http://schemas.openxmlformats.org/officeDocument/2006/relationships/hyperlink" Target="https://stockanalysis.com/stocks/orcl/forecast/" TargetMode="External" Id="rId12"/><Relationship Type="http://schemas.openxmlformats.org/officeDocument/2006/relationships/hyperlink" Target="file:///mnt/project-files/adhoc/nvda_customer_capex.md" TargetMode="External" Id="rId13"/><Relationship Type="http://schemas.openxmlformats.org/officeDocument/2006/relationships/hyperlink" Target="https://www.marketscreener.com/quote/stock/MICROSOFT-CORPORATION-4835/finances/" TargetMode="External" Id="rId14"/><Relationship Type="http://schemas.openxmlformats.org/officeDocument/2006/relationships/hyperlink" Target="https://www.marketscreener.com/quote/stock/AMAZON-COM-INC-12864605/finances/" TargetMode="External" Id="rId15"/><Relationship Type="http://schemas.openxmlformats.org/officeDocument/2006/relationships/hyperlink" Target="https://www.marketscreener.com/quote/stock/META-PLATFORMS-INC-10547141/finances/" TargetMode="External" Id="rId16"/><Relationship Type="http://schemas.openxmlformats.org/officeDocument/2006/relationships/hyperlink" Target="https://www.marketscreener.com/quote/stock/APPLE-INC-4849/finances/" TargetMode="External" Id="rId17"/><Relationship Type="http://schemas.openxmlformats.org/officeDocument/2006/relationships/hyperlink" Target="https://www.marketscreener.com/quote/stock/ORACLE-CORPORATION-13620698/finances/" TargetMode="External" Id="rId18"/><Relationship Type="http://schemas.openxmlformats.org/officeDocument/2006/relationships/hyperlink" Target="https://www.marketscreener.com/quote/stock/NETFLIX-INC-44292425/finances/" TargetMode="External" Id="rId19"/><Relationship Type="http://schemas.openxmlformats.org/officeDocument/2006/relationships/hyperlink" Target="https://www.marketscreener.com/quote/stock/SALESFORCE-INC-12180/finances/" TargetMode="External" Id="rId20"/><Relationship Type="http://schemas.openxmlformats.org/officeDocument/2006/relationships/hyperlink" Target="https://www.marketscreener.com/quote/stock/SERVICENOW-INC-10912979/finances/" TargetMode="External" Id="rId21"/><Relationship Type="http://schemas.openxmlformats.org/officeDocument/2006/relationships/hyperlink" Target="https://www.marketscreener.com/quote/stock/ADOBE-INC-4844/finances/" TargetMode="External" Id="rId22"/><Relationship Type="http://schemas.openxmlformats.org/officeDocument/2006/relationships/hyperlink" Target="https://www.marketscreener.com/quote/stock/REDDIT-INC-167442757/finances/" TargetMode="External" Id="rId23"/><Relationship Type="http://schemas.openxmlformats.org/officeDocument/2006/relationships/hyperlink" Target="https://www.marketscreener.com/quote/stock/APPLOVIN-CORPORATION-121407289/finances/" TargetMode="External" Id="rId24"/><Relationship Type="http://schemas.openxmlformats.org/officeDocument/2006/relationships/hyperlink" Target="https://www.sec.gov/Archives/edgar/data/1652044/000165204426000018/R11.htm" TargetMode="External" Id="rId25"/><Relationship Type="http://schemas.openxmlformats.org/officeDocument/2006/relationships/hyperlink" Target="https://stockanalysis.com/stocks/googl/history/" TargetMode="External" Id="rId26"/><Relationship Type="http://schemas.openxmlformats.org/officeDocument/2006/relationships/hyperlink" Target="https://data.sec.gov/api/xbrl/companyfacts/" TargetMode="External" Id="rId27"/><Relationship Type="http://schemas.openxmlformats.org/officeDocument/2006/relationships/hyperlink" Target="https://home.treasury.gov/resource-center/data-chart-center/interest-rates/daily-treasury-rates.csv/2026/all?type=daily_treasury_yield_curve&amp;field_tdr_date_value=2026&amp;page&amp;_format=csv" TargetMode="External" Id="rId28"/><Relationship Type="http://schemas.openxmlformats.org/officeDocument/2006/relationships/hyperlink" Target="https://api.nasdaq.com/api/analyst/MSFT/earnings-forecast" TargetMode="External" Id="rId29"/><Relationship Type="http://schemas.openxmlformats.org/officeDocument/2006/relationships/hyperlink" Target="https://api.nasdaq.com/api/analyst/AMZN/earnings-forecast" TargetMode="External" Id="rId30"/><Relationship Type="http://schemas.openxmlformats.org/officeDocument/2006/relationships/hyperlink" Target="https://api.nasdaq.com/api/analyst/META/earnings-forecast" TargetMode="External" Id="rId31"/><Relationship Type="http://schemas.openxmlformats.org/officeDocument/2006/relationships/hyperlink" Target="https://api.nasdaq.com/api/analyst/RDDT/earnings-forecast" TargetMode="External" Id="rId32"/><Relationship Type="http://schemas.openxmlformats.org/officeDocument/2006/relationships/hyperlink" Target="https://api.nasdaq.com/api/analyst/APP/earnings-forecast" TargetMode="External" Id="rId33"/><Relationship Type="http://schemas.openxmlformats.org/officeDocument/2006/relationships/hyperlink" Target="https://api.nasdaq.com/api/analyst/NFLX/earnings-forecast" TargetMode="External" Id="rId34"/><Relationship Type="http://schemas.openxmlformats.org/officeDocument/2006/relationships/hyperlink" Target="https://api.nasdaq.com/api/analyst/ORCL/earnings-forecast" TargetMode="External" Id="rId35"/><Relationship Type="http://schemas.openxmlformats.org/officeDocument/2006/relationships/hyperlink" Target="file:///mnt/project-files/valuation/runs/2026-10-23/GOOGL/peers.md" TargetMode="External" Id="rId36"/><Relationship Type="http://schemas.openxmlformats.org/officeDocument/2006/relationships/hyperlink" Target="file:///mnt/project-files/valuation/peer_refresh_2026-10-26/README.md" TargetMode="External" Id="rId37"/><Relationship Type="http://schemas.openxmlformats.org/officeDocument/2006/relationships/hyperlink" Target="https://query1.finance.yahoo.com/v8/finance/chart/MSFT" TargetMode="External" Id="rId38"/><Relationship Type="http://schemas.openxmlformats.org/officeDocument/2006/relationships/hyperlink" Target="https://query1.finance.yahoo.com/v8/finance/chart/AMZN" TargetMode="External" Id="rId39"/><Relationship Type="http://schemas.openxmlformats.org/officeDocument/2006/relationships/hyperlink" Target="https://query1.finance.yahoo.com/v8/finance/chart/META" TargetMode="External" Id="rId40"/><Relationship Type="http://schemas.openxmlformats.org/officeDocument/2006/relationships/hyperlink" Target="https://query1.finance.yahoo.com/v8/finance/chart/RDDT" TargetMode="External" Id="rId41"/><Relationship Type="http://schemas.openxmlformats.org/officeDocument/2006/relationships/hyperlink" Target="https://query1.finance.yahoo.com/v8/finance/chart/APP" TargetMode="External" Id="rId42"/><Relationship Type="http://schemas.openxmlformats.org/officeDocument/2006/relationships/hyperlink" Target="https://query1.finance.yahoo.com/v8/finance/chart/NFLX" TargetMode="External" Id="rId43"/><Relationship Type="http://schemas.openxmlformats.org/officeDocument/2006/relationships/hyperlink" Target="https://query1.finance.yahoo.com/v8/finance/chart/ORCL" TargetMode="External" Id="rId44"/><Relationship Type="http://schemas.openxmlformats.org/officeDocument/2006/relationships/hyperlink" Target="https://api.nasdaq.com/api/company/META/earnings-surprise" TargetMode="External" Id="rId45"/><Relationship Type="http://schemas.openxmlformats.org/officeDocument/2006/relationships/hyperlink" Target="https://data.sec.gov/api/xbrl/companyfacts/CIK0001326801.json" TargetMode="External" Id="rId46"/><Relationship Type="http://schemas.openxmlformats.org/officeDocument/2006/relationships/hyperlink" Target="https://www.sec.gov/Archives/edgar/data/1341439/000119312526387905/orcl-ex99_1.htm" TargetMode="External" Id="rId47"/><Relationship Type="http://schemas.openxmlformats.org/officeDocument/2006/relationships/hyperlink" Target="https://data.sec.gov/api/xbrl/companyfacts/CIK0000789019.json" TargetMode="External" Id="rId48"/><Relationship Type="http://schemas.openxmlformats.org/officeDocument/2006/relationships/hyperlink" Target="https://data.sec.gov/api/xbrl/companyfacts/CIK0001018724.json" TargetMode="External" Id="rId49"/><Relationship Type="http://schemas.openxmlformats.org/officeDocument/2006/relationships/hyperlink" Target="https://data.sec.gov/api/xbrl/companyfacts/CIK0001341439.json" TargetMode="External" Id="rId50"/><Relationship Type="http://schemas.openxmlformats.org/officeDocument/2006/relationships/hyperlink" Target="https://data.sec.gov/api/xbrl/companyfacts/CIK0001713445.json" TargetMode="External" Id="rId51"/><Relationship Type="http://schemas.openxmlformats.org/officeDocument/2006/relationships/hyperlink" Target="https://data.sec.gov/api/xbrl/companyfacts/CIK0001751008.json" TargetMode="External" Id="rId52"/><Relationship Type="http://schemas.openxmlformats.org/officeDocument/2006/relationships/hyperlink" Target="https://data.sec.gov/api/xbrl/companyfacts/CIK0001065280.json" TargetMode="External" Id="rId53"/><Relationship Type="http://schemas.openxmlformats.org/officeDocument/2006/relationships/hyperlink" Target="https://api.nasdaq.com/api/company/MSFT/earnings-surprise" TargetMode="External" Id="rId54"/><Relationship Type="http://schemas.openxmlformats.org/officeDocument/2006/relationships/hyperlink" Target="https://api.nasdaq.com/api/company/AMZN/earnings-surprise" TargetMode="External" Id="rId55"/><Relationship Type="http://schemas.openxmlformats.org/officeDocument/2006/relationships/hyperlink" Target="https://api.nasdaq.com/api/company/RDDT/earnings-surprise" TargetMode="External" Id="rId56"/><Relationship Type="http://schemas.openxmlformats.org/officeDocument/2006/relationships/hyperlink" Target="https://api.nasdaq.com/api/company/APP/earnings-surprise" TargetMode="External" Id="rId57"/><Relationship Type="http://schemas.openxmlformats.org/officeDocument/2006/relationships/hyperlink" Target="https://api.nasdaq.com/api/company/NFLX/earnings-surprise" TargetMode="External" Id="rId58"/><Relationship Type="http://schemas.openxmlformats.org/officeDocument/2006/relationships/hyperlink" Target="https://api.nasdaq.com/api/company/ORCL/earnings-surprise" TargetMode="External" Id="rId59"/><Relationship Type="http://schemas.openxmlformats.org/officeDocument/2006/relationships/hyperlink" Target="https://www.sec.gov/Archives/edgar/data/1652044/000165204426000018/" TargetMode="External" Id="rId60"/><Relationship Type="http://schemas.openxmlformats.org/officeDocument/2006/relationships/hyperlink" Target="https://www.sec.gov/Archives/edgar/data/1652044/000165204426000018/" TargetMode="External" Id="rId61"/><Relationship Type="http://schemas.openxmlformats.org/officeDocument/2006/relationships/hyperlink" Target="https://www.sec.gov/Archives/edgar/data/1652044/000165204426000018/" TargetMode="External" Id="rId62"/><Relationship Type="http://schemas.openxmlformats.org/officeDocument/2006/relationships/hyperlink" Target="https://www.sec.gov/Archives/edgar/data/1652044/000165204426000071/" TargetMode="External" Id="rId63"/><Relationship Type="http://schemas.openxmlformats.org/officeDocument/2006/relationships/hyperlink" Target="https://www.sec.gov/Archives/edgar/data/1652044/000165204426000071/" TargetMode="External" Id="rId64"/><Relationship Type="http://schemas.openxmlformats.org/officeDocument/2006/relationships/hyperlink" Target="https://www.sec.gov/Archives/edgar/data/1652044/000165204426000071/" TargetMode="External" Id="rId65"/><Relationship Type="http://schemas.openxmlformats.org/officeDocument/2006/relationships/hyperlink" Target="https://www.sec.gov/Archives/edgar/data/1652044/000165204426000018/" TargetMode="External" Id="rId66"/><Relationship Type="http://schemas.openxmlformats.org/officeDocument/2006/relationships/hyperlink" Target="https://www.sec.gov/Archives/edgar/data/1652044/000165204426000018/" TargetMode="External" Id="rId67"/><Relationship Type="http://schemas.openxmlformats.org/officeDocument/2006/relationships/hyperlink" Target="https://www.sec.gov/Archives/edgar/data/1652044/000165204426000018/" TargetMode="External" Id="rId68"/><Relationship Type="http://schemas.openxmlformats.org/officeDocument/2006/relationships/hyperlink" Target="https://www.sec.gov/Archives/edgar/data/1652044/000165204426000071/" TargetMode="External" Id="rId69"/><Relationship Type="http://schemas.openxmlformats.org/officeDocument/2006/relationships/hyperlink" Target="https://www.sec.gov/Archives/edgar/data/1652044/000165204426000071/" TargetMode="External" Id="rId70"/><Relationship Type="http://schemas.openxmlformats.org/officeDocument/2006/relationships/hyperlink" Target="https://www.sec.gov/Archives/edgar/data/1652044/000165204426000071/" TargetMode="External" Id="rId71"/><Relationship Type="http://schemas.openxmlformats.org/officeDocument/2006/relationships/hyperlink" Target="https://www.sec.gov/Archives/edgar/data/1652044/000165204426000018/" TargetMode="External" Id="rId72"/><Relationship Type="http://schemas.openxmlformats.org/officeDocument/2006/relationships/hyperlink" Target="https://www.sec.gov/Archives/edgar/data/1652044/000165204426000018/" TargetMode="External" Id="rId73"/><Relationship Type="http://schemas.openxmlformats.org/officeDocument/2006/relationships/hyperlink" Target="https://www.sec.gov/Archives/edgar/data/1652044/000165204426000018/" TargetMode="External" Id="rId74"/><Relationship Type="http://schemas.openxmlformats.org/officeDocument/2006/relationships/hyperlink" Target="https://www.sec.gov/Archives/edgar/data/1652044/000165204426000071/" TargetMode="External" Id="rId75"/><Relationship Type="http://schemas.openxmlformats.org/officeDocument/2006/relationships/hyperlink" Target="https://www.sec.gov/Archives/edgar/data/1652044/000165204426000071/" TargetMode="External" Id="rId76"/><Relationship Type="http://schemas.openxmlformats.org/officeDocument/2006/relationships/hyperlink" Target="https://www.sec.gov/Archives/edgar/data/1652044/000165204426000071/" TargetMode="External" Id="rId77"/><Relationship Type="http://schemas.openxmlformats.org/officeDocument/2006/relationships/hyperlink" Target="https://www.sec.gov/Archives/edgar/data/1652044/000165204426000018/" TargetMode="External" Id="rId78"/><Relationship Type="http://schemas.openxmlformats.org/officeDocument/2006/relationships/hyperlink" Target="https://www.sec.gov/Archives/edgar/data/1652044/000165204426000018/" TargetMode="External" Id="rId79"/><Relationship Type="http://schemas.openxmlformats.org/officeDocument/2006/relationships/hyperlink" Target="https://www.sec.gov/Archives/edgar/data/1652044/000165204426000018/" TargetMode="External" Id="rId80"/><Relationship Type="http://schemas.openxmlformats.org/officeDocument/2006/relationships/hyperlink" Target="https://www.sec.gov/Archives/edgar/data/1652044/000165204426000071/" TargetMode="External" Id="rId81"/><Relationship Type="http://schemas.openxmlformats.org/officeDocument/2006/relationships/hyperlink" Target="https://www.sec.gov/Archives/edgar/data/1652044/000165204426000071/" TargetMode="External" Id="rId82"/><Relationship Type="http://schemas.openxmlformats.org/officeDocument/2006/relationships/hyperlink" Target="https://www.sec.gov/Archives/edgar/data/1652044/000165204426000071/" TargetMode="External" Id="rId83"/><Relationship Type="http://schemas.openxmlformats.org/officeDocument/2006/relationships/hyperlink" Target="https://www.sec.gov/Archives/edgar/data/1652044/000165204426000018/" TargetMode="External" Id="rId84"/><Relationship Type="http://schemas.openxmlformats.org/officeDocument/2006/relationships/hyperlink" Target="https://www.sec.gov/Archives/edgar/data/1652044/000165204426000018/" TargetMode="External" Id="rId85"/><Relationship Type="http://schemas.openxmlformats.org/officeDocument/2006/relationships/hyperlink" Target="https://www.sec.gov/Archives/edgar/data/1652044/000165204426000018/" TargetMode="External" Id="rId86"/><Relationship Type="http://schemas.openxmlformats.org/officeDocument/2006/relationships/hyperlink" Target="https://www.sec.gov/Archives/edgar/data/1652044/000165204426000071/" TargetMode="External" Id="rId87"/><Relationship Type="http://schemas.openxmlformats.org/officeDocument/2006/relationships/hyperlink" Target="https://www.sec.gov/Archives/edgar/data/1652044/000165204426000071/" TargetMode="External" Id="rId88"/><Relationship Type="http://schemas.openxmlformats.org/officeDocument/2006/relationships/hyperlink" Target="https://www.sec.gov/Archives/edgar/data/1652044/000165204426000071/" TargetMode="External" Id="rId89"/><Relationship Type="http://schemas.openxmlformats.org/officeDocument/2006/relationships/hyperlink" Target="https://www.sec.gov/Archives/edgar/data/1652044/000165204426000018/" TargetMode="External" Id="rId90"/><Relationship Type="http://schemas.openxmlformats.org/officeDocument/2006/relationships/hyperlink" Target="https://www.sec.gov/Archives/edgar/data/1652044/000165204426000018/" TargetMode="External" Id="rId91"/><Relationship Type="http://schemas.openxmlformats.org/officeDocument/2006/relationships/hyperlink" Target="https://www.sec.gov/Archives/edgar/data/1652044/000165204426000018/" TargetMode="External" Id="rId92"/><Relationship Type="http://schemas.openxmlformats.org/officeDocument/2006/relationships/hyperlink" Target="https://www.sec.gov/Archives/edgar/data/1652044/000165204426000071/" TargetMode="External" Id="rId93"/><Relationship Type="http://schemas.openxmlformats.org/officeDocument/2006/relationships/hyperlink" Target="https://www.sec.gov/Archives/edgar/data/1652044/000165204426000071/" TargetMode="External" Id="rId94"/><Relationship Type="http://schemas.openxmlformats.org/officeDocument/2006/relationships/hyperlink" Target="https://www.sec.gov/Archives/edgar/data/1652044/000165204426000048/" TargetMode="External" Id="rId95"/><Relationship Type="http://schemas.openxmlformats.org/officeDocument/2006/relationships/hyperlink" Target="https://www.sec.gov/Archives/edgar/data/1652044/000165204426000018/" TargetMode="External" Id="rId96"/><Relationship Type="http://schemas.openxmlformats.org/officeDocument/2006/relationships/hyperlink" Target="https://www.sec.gov/Archives/edgar/data/1652044/000165204426000018/" TargetMode="External" Id="rId97"/><Relationship Type="http://schemas.openxmlformats.org/officeDocument/2006/relationships/hyperlink" Target="https://www.sec.gov/Archives/edgar/data/1652044/000165204426000018/" TargetMode="External" Id="rId98"/><Relationship Type="http://schemas.openxmlformats.org/officeDocument/2006/relationships/hyperlink" Target="https://www.sec.gov/Archives/edgar/data/1652044/000165204426000071/" TargetMode="External" Id="rId99"/><Relationship Type="http://schemas.openxmlformats.org/officeDocument/2006/relationships/hyperlink" Target="https://www.sec.gov/Archives/edgar/data/1652044/000165204426000071/" TargetMode="External" Id="rId100"/><Relationship Type="http://schemas.openxmlformats.org/officeDocument/2006/relationships/hyperlink" Target="https://www.sec.gov/Archives/edgar/data/1652044/000165204426000048/" TargetMode="External" Id="rId101"/><Relationship Type="http://schemas.openxmlformats.org/officeDocument/2006/relationships/hyperlink" Target="https://www.sec.gov/Archives/edgar/data/1652044/000165204426000018/" TargetMode="External" Id="rId102"/><Relationship Type="http://schemas.openxmlformats.org/officeDocument/2006/relationships/hyperlink" Target="https://www.sec.gov/Archives/edgar/data/1652044/000165204426000018/" TargetMode="External" Id="rId103"/><Relationship Type="http://schemas.openxmlformats.org/officeDocument/2006/relationships/hyperlink" Target="https://www.sec.gov/Archives/edgar/data/1652044/000165204426000018/" TargetMode="External" Id="rId104"/><Relationship Type="http://schemas.openxmlformats.org/officeDocument/2006/relationships/hyperlink" Target="https://www.sec.gov/Archives/edgar/data/1652044/000165204426000071/" TargetMode="External" Id="rId105"/><Relationship Type="http://schemas.openxmlformats.org/officeDocument/2006/relationships/hyperlink" Target="https://www.sec.gov/Archives/edgar/data/1652044/000165204426000071/" TargetMode="External" Id="rId106"/><Relationship Type="http://schemas.openxmlformats.org/officeDocument/2006/relationships/hyperlink" Target="https://www.sec.gov/Archives/edgar/data/1652044/000165204426000048/" TargetMode="External" Id="rId107"/><Relationship Type="http://schemas.openxmlformats.org/officeDocument/2006/relationships/hyperlink" Target="https://www.sec.gov/Archives/edgar/data/1652044/000165204426000018/" TargetMode="External" Id="rId108"/><Relationship Type="http://schemas.openxmlformats.org/officeDocument/2006/relationships/hyperlink" Target="https://www.sec.gov/Archives/edgar/data/1652044/000165204426000018/" TargetMode="External" Id="rId109"/><Relationship Type="http://schemas.openxmlformats.org/officeDocument/2006/relationships/hyperlink" Target="https://www.sec.gov/Archives/edgar/data/1652044/000165204426000018/" TargetMode="External" Id="rId110"/><Relationship Type="http://schemas.openxmlformats.org/officeDocument/2006/relationships/hyperlink" Target="https://www.sec.gov/Archives/edgar/data/1652044/000165204426000071/" TargetMode="External" Id="rId111"/><Relationship Type="http://schemas.openxmlformats.org/officeDocument/2006/relationships/hyperlink" Target="https://www.sec.gov/Archives/edgar/data/1652044/000165204426000071/" TargetMode="External" Id="rId112"/><Relationship Type="http://schemas.openxmlformats.org/officeDocument/2006/relationships/hyperlink" Target="https://www.sec.gov/Archives/edgar/data/1652044/000165204426000048/" TargetMode="External" Id="rId113"/><Relationship Type="http://schemas.openxmlformats.org/officeDocument/2006/relationships/hyperlink" Target="https://www.sec.gov/Archives/edgar/data/1652044/000165204426000018/" TargetMode="External" Id="rId114"/><Relationship Type="http://schemas.openxmlformats.org/officeDocument/2006/relationships/hyperlink" Target="https://www.sec.gov/Archives/edgar/data/1652044/000165204426000018/" TargetMode="External" Id="rId115"/><Relationship Type="http://schemas.openxmlformats.org/officeDocument/2006/relationships/hyperlink" Target="https://www.sec.gov/Archives/edgar/data/1652044/000165204426000018/" TargetMode="External" Id="rId116"/><Relationship Type="http://schemas.openxmlformats.org/officeDocument/2006/relationships/hyperlink" Target="https://www.sec.gov/Archives/edgar/data/1652044/000165204426000048/" TargetMode="External" Id="rId117"/><Relationship Type="http://schemas.openxmlformats.org/officeDocument/2006/relationships/hyperlink" Target="https://www.sec.gov/Archives/edgar/data/1652044/000165204426000048/" TargetMode="External" Id="rId118"/><Relationship Type="http://schemas.openxmlformats.org/officeDocument/2006/relationships/hyperlink" Target="https://www.sec.gov/Archives/edgar/data/1652044/000165204426000048/" TargetMode="External" Id="rId119"/><Relationship Type="http://schemas.openxmlformats.org/officeDocument/2006/relationships/hyperlink" Target="https://www.sec.gov/Archives/edgar/data/1652044/000165204426000018/" TargetMode="External" Id="rId120"/><Relationship Type="http://schemas.openxmlformats.org/officeDocument/2006/relationships/hyperlink" Target="https://www.sec.gov/Archives/edgar/data/1652044/000165204426000018/" TargetMode="External" Id="rId121"/><Relationship Type="http://schemas.openxmlformats.org/officeDocument/2006/relationships/hyperlink" Target="https://www.sec.gov/Archives/edgar/data/1652044/000165204426000018/" TargetMode="External" Id="rId122"/><Relationship Type="http://schemas.openxmlformats.org/officeDocument/2006/relationships/hyperlink" Target="https://www.sec.gov/Archives/edgar/data/1652044/000165204426000071/" TargetMode="External" Id="rId123"/><Relationship Type="http://schemas.openxmlformats.org/officeDocument/2006/relationships/hyperlink" Target="https://www.sec.gov/Archives/edgar/data/1652044/000165204426000071/" TargetMode="External" Id="rId124"/><Relationship Type="http://schemas.openxmlformats.org/officeDocument/2006/relationships/hyperlink" Target="https://www.sec.gov/Archives/edgar/data/1652044/000165204426000071/" TargetMode="External" Id="rId125"/><Relationship Type="http://schemas.openxmlformats.org/officeDocument/2006/relationships/hyperlink" Target="https://www.sec.gov/Archives/edgar/data/1652044/000165204426000018/" TargetMode="External" Id="rId126"/><Relationship Type="http://schemas.openxmlformats.org/officeDocument/2006/relationships/hyperlink" Target="https://www.sec.gov/Archives/edgar/data/1652044/000165204426000018/" TargetMode="External" Id="rId127"/><Relationship Type="http://schemas.openxmlformats.org/officeDocument/2006/relationships/hyperlink" Target="https://www.sec.gov/Archives/edgar/data/1652044/000165204426000018/" TargetMode="External" Id="rId128"/><Relationship Type="http://schemas.openxmlformats.org/officeDocument/2006/relationships/hyperlink" Target="https://www.sec.gov/Archives/edgar/data/1652044/000165204426000071/" TargetMode="External" Id="rId129"/><Relationship Type="http://schemas.openxmlformats.org/officeDocument/2006/relationships/hyperlink" Target="https://www.sec.gov/Archives/edgar/data/1652044/000165204426000071/" TargetMode="External" Id="rId130"/><Relationship Type="http://schemas.openxmlformats.org/officeDocument/2006/relationships/hyperlink" Target="https://www.sec.gov/Archives/edgar/data/1652044/000165204426000071/" TargetMode="External" Id="rId131"/><Relationship Type="http://schemas.openxmlformats.org/officeDocument/2006/relationships/hyperlink" Target="https://www.sec.gov/Archives/edgar/data/1652044/000165204426000018/" TargetMode="External" Id="rId132"/><Relationship Type="http://schemas.openxmlformats.org/officeDocument/2006/relationships/hyperlink" Target="https://www.sec.gov/Archives/edgar/data/1652044/000165204426000018/" TargetMode="External" Id="rId133"/><Relationship Type="http://schemas.openxmlformats.org/officeDocument/2006/relationships/hyperlink" Target="https://www.sec.gov/Archives/edgar/data/1652044/000165204426000018/" TargetMode="External" Id="rId134"/><Relationship Type="http://schemas.openxmlformats.org/officeDocument/2006/relationships/hyperlink" Target="https://www.sec.gov/Archives/edgar/data/1652044/000165204426000071/" TargetMode="External" Id="rId135"/><Relationship Type="http://schemas.openxmlformats.org/officeDocument/2006/relationships/hyperlink" Target="https://www.sec.gov/Archives/edgar/data/1652044/000165204426000071/" TargetMode="External" Id="rId136"/><Relationship Type="http://schemas.openxmlformats.org/officeDocument/2006/relationships/hyperlink" Target="https://www.sec.gov/Archives/edgar/data/1652044/000165204426000071/" TargetMode="External" Id="rId137"/><Relationship Type="http://schemas.openxmlformats.org/officeDocument/2006/relationships/hyperlink" Target="https://www.sec.gov/Archives/edgar/data/1652044/000165204426000071/" TargetMode="External" Id="rId138"/><Relationship Type="http://schemas.openxmlformats.org/officeDocument/2006/relationships/hyperlink" Target="https://www.sec.gov/Archives/edgar/data/1652044/000165204426000071/" TargetMode="External" Id="rId139"/><Relationship Type="http://schemas.openxmlformats.org/officeDocument/2006/relationships/hyperlink" Target="https://www.sec.gov/Archives/edgar/data/1652044/000165204426000071/" TargetMode="External" Id="rId140"/><Relationship Type="http://schemas.openxmlformats.org/officeDocument/2006/relationships/hyperlink" Target="https://www.sec.gov/Archives/edgar/data/1652044/000165204426000071/" TargetMode="External" Id="rId141"/><Relationship Type="http://schemas.openxmlformats.org/officeDocument/2006/relationships/hyperlink" Target="https://www.sec.gov/Archives/edgar/data/1652044/000165204426000071/" TargetMode="External" Id="rId142"/><Relationship Type="http://schemas.openxmlformats.org/officeDocument/2006/relationships/hyperlink" Target="https://www.sec.gov/Archives/edgar/data/1652044/000165204426000071/" TargetMode="External" Id="rId1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GOOGL standard model (trial) · research run 2026-10-23</t>
        </is>
      </c>
    </row>
    <row r="2">
      <c r="A2" s="2" t="inlineStr">
        <is>
          <t>The supervisor's reconciled assumption set as a live model. Trial: shown beside the blended page target, not used for trade levels until its weight is decided. Edit blue cells on Model (drivers) and Valuation (assumptions).</t>
        </is>
      </c>
    </row>
    <row r="3">
      <c r="A3" s="3" t="inlineStr">
        <is>
          <t>Price target box</t>
        </is>
      </c>
      <c r="B3" s="3" t="inlineStr">
        <is>
          <t>Value</t>
        </is>
      </c>
    </row>
    <row r="4">
      <c r="A4" t="inlineStr">
        <is>
          <t>Live price</t>
        </is>
      </c>
      <c r="B4" s="4">
        <f>IFERROR(GOOGLEFINANCE("GOOGL","price"),Valuation!$B$67)</f>
        <v/>
      </c>
    </row>
    <row r="5">
      <c r="A5" t="inlineStr">
        <is>
          <t>Price as of</t>
        </is>
      </c>
      <c r="B5" s="5">
        <f>NOW()</f>
        <v/>
      </c>
    </row>
    <row r="6">
      <c r="A6" t="inlineStr">
        <is>
          <t>Model target (12-month median)</t>
        </is>
      </c>
      <c r="B6" s="6">
        <f>Distribution!$B$13</f>
        <v/>
      </c>
    </row>
    <row r="7">
      <c r="A7" t="inlineStr">
        <is>
          <t>Upside to model target from live price</t>
        </is>
      </c>
      <c r="B7" s="7">
        <f>B6/B4-1</f>
        <v/>
      </c>
    </row>
    <row r="8">
      <c r="A8" t="inlineStr">
        <is>
          <t>Research target (12m) (no scenario deltas)</t>
        </is>
      </c>
      <c r="B8" s="4">
        <f>Valuation!$D$7</f>
        <v/>
      </c>
    </row>
    <row r="9">
      <c r="A9" t="inlineStr">
        <is>
          <t>Probability-weighted mean</t>
        </is>
      </c>
      <c r="B9" s="4">
        <f>Distribution!$B$10</f>
        <v/>
      </c>
    </row>
    <row r="10">
      <c r="A10" t="inlineStr">
        <is>
          <t>10th percentile</t>
        </is>
      </c>
      <c r="B10" s="4">
        <f>Distribution!$B$14</f>
        <v/>
      </c>
    </row>
    <row r="11">
      <c r="A11" t="inlineStr">
        <is>
          <t>25th percentile</t>
        </is>
      </c>
      <c r="B11" s="4">
        <f>Distribution!$B$15</f>
        <v/>
      </c>
    </row>
    <row r="12">
      <c r="A12" t="inlineStr">
        <is>
          <t>75th percentile</t>
        </is>
      </c>
      <c r="B12" s="4">
        <f>Distribution!$B$16</f>
        <v/>
      </c>
    </row>
    <row r="13">
      <c r="A13" t="inlineStr">
        <is>
          <t>90th percentile</t>
        </is>
      </c>
      <c r="B13" s="4">
        <f>Distribution!$B$17</f>
        <v/>
      </c>
    </row>
    <row r="14">
      <c r="A14" t="inlineStr">
        <is>
          <t>Target date</t>
        </is>
      </c>
      <c r="B14" s="8">
        <f>Valuation!$B$45</f>
        <v/>
      </c>
    </row>
    <row r="15">
      <c r="A15" t="inlineStr">
        <is>
          <t>Price at the run</t>
        </is>
      </c>
      <c r="B15" s="4">
        <f>Valuation!$B$67</f>
        <v/>
      </c>
    </row>
    <row r="16">
      <c r="A16" t="inlineStr">
        <is>
          <t>Blended page target (options 67% + agents 33%, not live)</t>
        </is>
      </c>
      <c r="B16" s="9" t="n">
        <v>335.2598</v>
      </c>
    </row>
    <row r="17">
      <c r="A17" t="inlineStr">
        <is>
          <t>Supervisor research target (12m) (its own methods)</t>
        </is>
      </c>
      <c r="B17" s="9" t="n">
        <v>323.03</v>
      </c>
    </row>
    <row r="18">
      <c r="A18" t="inlineStr">
        <is>
          <t>Thesis break price (supervisor)</t>
        </is>
      </c>
      <c r="B18" s="9" t="n">
        <v>250</v>
      </c>
    </row>
    <row r="19">
      <c r="A19" t="inlineStr">
        <is>
          <t>Supervisor confidence</t>
        </is>
      </c>
      <c r="B19" t="inlineStr">
        <is>
          <t>medium</t>
        </is>
      </c>
    </row>
    <row r="21">
      <c r="A21" s="3" t="inlineStr">
        <is>
          <t>Key estimates</t>
        </is>
      </c>
      <c r="B21" s="3" t="inlineStr">
        <is>
          <t>FY2025A</t>
        </is>
      </c>
      <c r="C21" s="3">
        <f>Model!E5</f>
        <v/>
      </c>
      <c r="D21" s="3">
        <f>Model!F5</f>
        <v/>
      </c>
    </row>
    <row r="22">
      <c r="A22" t="inlineStr">
        <is>
          <t>Net sales</t>
        </is>
      </c>
      <c r="B22" s="10">
        <f>IF(Model!D32="","",Model!D32)</f>
        <v/>
      </c>
      <c r="C22" s="10">
        <f>Model!E32</f>
        <v/>
      </c>
      <c r="D22" s="10">
        <f>Model!F32</f>
        <v/>
      </c>
    </row>
    <row r="23">
      <c r="A23" s="11" t="inlineStr">
        <is>
          <t xml:space="preserve">  % YoY</t>
        </is>
      </c>
      <c r="B23" s="12">
        <f>IF(Model!D33="","",Model!D33)</f>
        <v/>
      </c>
      <c r="C23" s="12">
        <f>Model!E33</f>
        <v/>
      </c>
      <c r="D23" s="12">
        <f>Model!F33</f>
        <v/>
      </c>
    </row>
    <row r="24">
      <c r="A24" t="inlineStr">
        <is>
          <t>Pretax margin</t>
        </is>
      </c>
      <c r="B24" s="12">
        <f>IF(Model!D43="","",Model!D43)</f>
        <v/>
      </c>
      <c r="C24" s="12">
        <f>Model!E43</f>
        <v/>
      </c>
      <c r="D24" s="12">
        <f>Model!F43</f>
        <v/>
      </c>
    </row>
    <row r="25">
      <c r="A25" t="inlineStr">
        <is>
          <t>Diluted EPS (model)</t>
        </is>
      </c>
      <c r="B25" s="13">
        <f>IF(Model!D50="","",Model!D50)</f>
        <v/>
      </c>
      <c r="C25" s="13">
        <f>Model!E50</f>
        <v/>
      </c>
      <c r="D25" s="13">
        <f>Model!F50</f>
        <v/>
      </c>
    </row>
    <row r="26">
      <c r="A26" s="11" t="inlineStr">
        <is>
          <t xml:space="preserve">  % YoY</t>
        </is>
      </c>
      <c r="B26" s="12">
        <f>IF(Model!D51="","",Model!D51)</f>
        <v/>
      </c>
      <c r="C26" s="12">
        <f>Model!E51</f>
        <v/>
      </c>
      <c r="D26" s="12">
        <f>Model!F51</f>
        <v/>
      </c>
    </row>
    <row r="27">
      <c r="A27" t="inlineStr">
        <is>
          <t>Free cash flow to firm</t>
        </is>
      </c>
      <c r="B27" s="10">
        <f>IF(Model!D60="","",Model!D60)</f>
        <v/>
      </c>
      <c r="C27" s="10">
        <f>Model!E60</f>
        <v/>
      </c>
      <c r="D27" s="10">
        <f>Model!F60</f>
        <v/>
      </c>
    </row>
    <row r="28">
      <c r="A28" s="14" t="inlineStr">
        <is>
          <t>Consensus: EPS (GAAP (consensus excludes equity-security)</t>
        </is>
      </c>
      <c r="D28" s="15" t="n">
        <v>14.95</v>
      </c>
    </row>
    <row r="30">
      <c r="A30" s="3" t="inlineStr">
        <is>
          <t>Valuation method</t>
        </is>
      </c>
      <c r="B30" s="3" t="inlineStr">
        <is>
          <t>Value per share</t>
        </is>
      </c>
      <c r="C30" s="3" t="inlineStr">
        <is>
          <t>Weight</t>
        </is>
      </c>
    </row>
    <row r="31">
      <c r="A31" s="16">
        <f>Valuation!A4</f>
        <v/>
      </c>
      <c r="B31" s="4">
        <f>Valuation!D4</f>
        <v/>
      </c>
      <c r="C31" s="12">
        <f>Valuation!E4</f>
        <v/>
      </c>
    </row>
    <row r="32">
      <c r="A32" s="16">
        <f>Valuation!A5</f>
        <v/>
      </c>
      <c r="B32" s="4">
        <f>Valuation!D5</f>
        <v/>
      </c>
      <c r="C32" s="12">
        <f>Valuation!E5</f>
        <v/>
      </c>
    </row>
    <row r="33">
      <c r="A33" s="16">
        <f>Valuation!A6</f>
        <v/>
      </c>
      <c r="B33" s="4">
        <f>Valuation!D6</f>
        <v/>
      </c>
      <c r="C33" s="12">
        <f>Valuation!E6</f>
        <v/>
      </c>
    </row>
    <row r="35">
      <c r="A35" s="3" t="inlineStr">
        <is>
          <t>Scenario</t>
        </is>
      </c>
      <c r="B35" s="3" t="inlineStr">
        <is>
          <t>Probability</t>
        </is>
      </c>
      <c r="C35" s="3" t="inlineStr">
        <is>
          <t>Value at target date</t>
        </is>
      </c>
      <c r="D35" s="3" t="inlineStr">
        <is>
          <t>What has to happen</t>
        </is>
      </c>
    </row>
    <row r="36">
      <c r="A36" s="16">
        <f>Distribution!A4</f>
        <v/>
      </c>
      <c r="B36" s="12">
        <f>Distribution!B4</f>
        <v/>
      </c>
      <c r="C36" s="4">
        <f>Distribution!C4</f>
        <v/>
      </c>
      <c r="D36" s="17">
        <f>Distribution!D4</f>
        <v/>
      </c>
    </row>
    <row r="37">
      <c r="A37" s="16">
        <f>Distribution!A5</f>
        <v/>
      </c>
      <c r="B37" s="12">
        <f>Distribution!B5</f>
        <v/>
      </c>
      <c r="C37" s="4">
        <f>Distribution!C5</f>
        <v/>
      </c>
      <c r="D37" s="17">
        <f>Distribution!D5</f>
        <v/>
      </c>
    </row>
    <row r="38">
      <c r="A38" s="16">
        <f>Distribution!A6</f>
        <v/>
      </c>
      <c r="B38" s="12">
        <f>Distribution!B6</f>
        <v/>
      </c>
      <c r="C38" s="4">
        <f>Distribution!C6</f>
        <v/>
      </c>
      <c r="D38" s="17">
        <f>Distribution!D6</f>
        <v/>
      </c>
    </row>
    <row r="40">
      <c r="A40" s="3" t="inlineStr">
        <is>
          <t>Price at target date</t>
        </is>
      </c>
      <c r="B40" s="3" t="inlineStr">
        <is>
          <t>Probability above</t>
        </is>
      </c>
    </row>
    <row r="41">
      <c r="A41" s="9">
        <f>ROUND(Valuation!$B$67*0.7,0)</f>
        <v/>
      </c>
      <c r="B41" s="18">
        <f>SUMPRODUCT(Distribution!$B$4:$B$6,1-NORMSDIST((LN(A41)-LN(Distribution!$C$4:$C$6))/Distribution!$B$9))</f>
        <v/>
      </c>
    </row>
    <row r="42">
      <c r="A42" s="9">
        <f>ROUND(Valuation!$B$67*0.8,0)</f>
        <v/>
      </c>
      <c r="B42" s="18">
        <f>SUMPRODUCT(Distribution!$B$4:$B$6,1-NORMSDIST((LN(A42)-LN(Distribution!$C$4:$C$6))/Distribution!$B$9))</f>
        <v/>
      </c>
    </row>
    <row r="43">
      <c r="A43" s="9">
        <f>ROUND(Valuation!$B$67*0.9,0)</f>
        <v/>
      </c>
      <c r="B43" s="18">
        <f>SUMPRODUCT(Distribution!$B$4:$B$6,1-NORMSDIST((LN(A43)-LN(Distribution!$C$4:$C$6))/Distribution!$B$9))</f>
        <v/>
      </c>
    </row>
    <row r="44">
      <c r="A44" s="9">
        <f>ROUND(Valuation!$B$67*1.0,0)</f>
        <v/>
      </c>
      <c r="B44" s="18">
        <f>SUMPRODUCT(Distribution!$B$4:$B$6,1-NORMSDIST((LN(A44)-LN(Distribution!$C$4:$C$6))/Distribution!$B$9))</f>
        <v/>
      </c>
    </row>
    <row r="45">
      <c r="A45" s="9">
        <f>ROUND(Valuation!$B$67*1.1,0)</f>
        <v/>
      </c>
      <c r="B45" s="18">
        <f>SUMPRODUCT(Distribution!$B$4:$B$6,1-NORMSDIST((LN(A45)-LN(Distribution!$C$4:$C$6))/Distribution!$B$9))</f>
        <v/>
      </c>
    </row>
    <row r="46">
      <c r="A46" s="9">
        <f>ROUND(Valuation!$B$67*1.2,0)</f>
        <v/>
      </c>
      <c r="B46" s="18">
        <f>SUMPRODUCT(Distribution!$B$4:$B$6,1-NORMSDIST((LN(A46)-LN(Distribution!$C$4:$C$6))/Distribution!$B$9))</f>
        <v/>
      </c>
    </row>
    <row r="47">
      <c r="A47" s="9">
        <f>ROUND(Valuation!$B$67*1.3,0)</f>
        <v/>
      </c>
      <c r="B47" s="18">
        <f>SUMPRODUCT(Distribution!$B$4:$B$6,1-NORMSDIST((LN(A47)-LN(Distribution!$C$4:$C$6))/Distribution!$B$9))</f>
        <v/>
      </c>
    </row>
    <row r="48">
      <c r="A48" s="9">
        <f>ROUND(Valuation!$B$67*1.5,0)</f>
        <v/>
      </c>
      <c r="B48" s="18">
        <f>SUMPRODUCT(Distribution!$B$4:$B$6,1-NORMSDIST((LN(A48)-LN(Distribution!$C$4:$C$6))/Distribution!$B$9))</f>
        <v/>
      </c>
    </row>
    <row r="50">
      <c r="A50" s="3" t="inlineStr">
        <is>
          <t>Model checks</t>
        </is>
      </c>
      <c r="B50" s="3" t="inlineStr">
        <is>
          <t>Status</t>
        </is>
      </c>
    </row>
    <row r="51">
      <c r="A51" t="inlineStr">
        <is>
          <t>Scenario probabilities sum to 100%</t>
        </is>
      </c>
      <c r="B51">
        <f>IF(ABS(Distribution!B8-1)&lt;0.005,"ok","FLAG: "&amp;TEXT(Distribution!B8,"0.0%"))</f>
        <v/>
      </c>
    </row>
    <row r="52">
      <c r="A52" t="inlineStr">
        <is>
          <t>WACC exceeds terminal growth by 1 point or more</t>
        </is>
      </c>
      <c r="B52">
        <f>IF('Calc - research target (12m)'!B55="ok","ok","FLAG")</f>
        <v/>
      </c>
    </row>
    <row r="53">
      <c r="A53" t="inlineStr">
        <is>
          <t>Projection runs a full year past the target date</t>
        </is>
      </c>
      <c r="B53">
        <f>IF('Calc - research target (12m)'!B56="ok","ok","FLAG")</f>
        <v/>
      </c>
    </row>
    <row r="54">
      <c r="A54" t="inlineStr">
        <is>
          <t>Method weights add up to more than zero</t>
        </is>
      </c>
      <c r="B54">
        <f>IF(SUM(Valuation!E4:E6)&gt;0,"ok","FLAG")</f>
        <v/>
      </c>
    </row>
    <row r="55">
      <c r="A55" t="inlineStr">
        <is>
          <t>Terminal value under 85% of the DCF</t>
        </is>
      </c>
      <c r="B55">
        <f>IF('Calc - research target (12m)'!B46&lt;0.85,"ok","note: "&amp;TEXT('Calc - research target (12m)'!B46,"0%")&amp;" of the DCF is terminal value")</f>
        <v/>
      </c>
    </row>
    <row r="56">
      <c r="A56" t="inlineStr">
        <is>
          <t>Segment base revenues tie to the last reported net sales (within 2%)</t>
        </is>
      </c>
      <c r="B56">
        <f>IF(ABS(Valuation!$B$107/Valuation!$B$50-1)&lt;=0.02,"ok","FLAG")</f>
        <v/>
      </c>
    </row>
    <row r="57">
      <c r="A57" t="inlineStr">
        <is>
          <t>Matches the engine run at publication (target, research target (12m))</t>
        </is>
      </c>
      <c r="B57">
        <f>IF(AND(ABS(Distribution!$B$13-317.6465)&lt;0.01,ABS(Valuation!$D$7-323.0327)&lt;0.01),"ok","inputs edited since publication")</f>
        <v/>
      </c>
    </row>
    <row r="58">
      <c r="A58" s="19" t="inlineStr">
        <is>
          <t>All checks</t>
        </is>
      </c>
      <c r="B58" s="19">
        <f>IF(COUNTIF(B51:B57,"ok")=7,"all ok",7-COUNTIF(B51:B57,"ok")&amp;" to look at")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60" customWidth="1" min="8" max="8"/>
  </cols>
  <sheetData>
    <row r="1">
      <c r="A1" s="1" t="inlineStr">
        <is>
          <t>GOOGL: annual model, base case</t>
        </is>
      </c>
    </row>
    <row r="2">
      <c r="A2" s="2" t="inlineStr">
        <is>
          <t>(M of US dollars except per share; fiscal years named by the calendar year they end in)</t>
        </is>
      </c>
    </row>
    <row r="3">
      <c r="A3" s="2" t="inlineStr">
        <is>
          <t>Blue = input · black = formula · green = link to another tab · actuals from SEC filings (fact ids in the last column, links on Sources)</t>
        </is>
      </c>
    </row>
    <row r="5">
      <c r="A5" s="3" t="inlineStr">
        <is>
          <t>Fiscal year</t>
        </is>
      </c>
      <c r="B5" s="3" t="inlineStr">
        <is>
          <t>FY2023A</t>
        </is>
      </c>
      <c r="C5" s="3" t="inlineStr">
        <is>
          <t>FY2024A</t>
        </is>
      </c>
      <c r="D5" s="3" t="inlineStr">
        <is>
          <t>FY2025A</t>
        </is>
      </c>
      <c r="E5" s="3" t="inlineStr">
        <is>
          <t>FY2026E</t>
        </is>
      </c>
      <c r="F5" s="3" t="inlineStr">
        <is>
          <t>FY2027E</t>
        </is>
      </c>
      <c r="G5" s="3" t="inlineStr">
        <is>
          <t>FY2028E</t>
        </is>
      </c>
      <c r="H5" s="3" t="inlineStr">
        <is>
          <t>Source / note</t>
        </is>
      </c>
    </row>
    <row r="6">
      <c r="A6" t="inlineStr">
        <is>
          <t>Period end</t>
        </is>
      </c>
      <c r="B6" s="20" t="n">
        <v>45291</v>
      </c>
      <c r="C6" s="20" t="n">
        <v>45657</v>
      </c>
      <c r="D6" s="20" t="n">
        <v>46022</v>
      </c>
      <c r="E6" s="20">
        <f>IF(DAY(Valuation!$B$49+1)=1,EOMONTH(Valuation!$B$49,12*E7),EDATE(Valuation!$B$49,12*E7))</f>
        <v/>
      </c>
      <c r="F6" s="20">
        <f>IF(DAY(Valuation!$B$49+1)=1,EOMONTH(Valuation!$B$49,12*F7),EDATE(Valuation!$B$49,12*F7))</f>
        <v/>
      </c>
      <c r="G6" s="20">
        <f>IF(DAY(Valuation!$B$49+1)=1,EOMONTH(Valuation!$B$49,12*G7),EDATE(Valuation!$B$49,12*G7))</f>
        <v/>
      </c>
    </row>
    <row r="7">
      <c r="A7" t="inlineStr">
        <is>
          <t>Projection year</t>
        </is>
      </c>
      <c r="B7" t="n">
        <v>-2</v>
      </c>
      <c r="C7" t="n">
        <v>-1</v>
      </c>
      <c r="D7" t="n">
        <v>0</v>
      </c>
      <c r="E7" t="n">
        <v>1</v>
      </c>
      <c r="F7" t="n">
        <v>2</v>
      </c>
      <c r="G7" t="n">
        <v>3</v>
      </c>
    </row>
    <row r="10">
      <c r="A10" s="21" t="inlineStr">
        <is>
          <t>Segment build (blue = input: revenue growth and EBIT margin by segment and year)</t>
        </is>
      </c>
      <c r="B10" s="22" t="n"/>
      <c r="C10" s="22" t="n"/>
      <c r="D10" s="22" t="n"/>
      <c r="E10" s="22" t="n"/>
      <c r="F10" s="22" t="n"/>
      <c r="G10" s="22" t="n"/>
      <c r="H10" s="22" t="n"/>
    </row>
    <row r="11">
      <c r="A11" t="inlineStr">
        <is>
          <t>Google Search &amp; other</t>
        </is>
      </c>
      <c r="D11" s="10">
        <f>Valuation!$B$103</f>
        <v/>
      </c>
      <c r="E11" s="23">
        <f>Valuation!$B$103*(1+E12)</f>
        <v/>
      </c>
      <c r="F11" s="23">
        <f>E11*(1+F12)</f>
        <v/>
      </c>
      <c r="G11" s="23">
        <f>F11*(1+G12)</f>
        <v/>
      </c>
    </row>
    <row r="12">
      <c r="A12" s="11" t="inlineStr">
        <is>
          <t xml:space="preserve">  Revenue growth</t>
        </is>
      </c>
      <c r="E12" s="24" t="n">
        <v>0.1592</v>
      </c>
      <c r="F12" s="24" t="n">
        <v>0.1123478260869566</v>
      </c>
      <c r="G12" s="24" t="n">
        <v>0.1021439180737962</v>
      </c>
    </row>
    <row r="13">
      <c r="A13" t="inlineStr">
        <is>
          <t xml:space="preserve">  Segment EBIT</t>
        </is>
      </c>
      <c r="E13" s="23">
        <f>E11*E14</f>
        <v/>
      </c>
      <c r="F13" s="23">
        <f>F11*F14</f>
        <v/>
      </c>
      <c r="G13" s="23">
        <f>G11*G14</f>
        <v/>
      </c>
    </row>
    <row r="14">
      <c r="A14" s="11" t="inlineStr">
        <is>
          <t xml:space="preserve">  EBIT margin</t>
        </is>
      </c>
      <c r="E14" s="24" t="n">
        <v>0.43</v>
      </c>
      <c r="F14" s="24" t="n">
        <v>0.445</v>
      </c>
      <c r="G14" s="24" t="n">
        <v>0.46</v>
      </c>
    </row>
    <row r="15">
      <c r="A15" t="inlineStr">
        <is>
          <t>Google Services other (YouTube ads, Network, subscriptions/platforms/devices, hedging)</t>
        </is>
      </c>
      <c r="D15" s="10">
        <f>Valuation!$B$104</f>
        <v/>
      </c>
      <c r="E15" s="23">
        <f>Valuation!$B$104*(1+E16)</f>
        <v/>
      </c>
      <c r="F15" s="23">
        <f>E15*(1+F16)</f>
        <v/>
      </c>
      <c r="G15" s="23">
        <f>F15*(1+G16)</f>
        <v/>
      </c>
    </row>
    <row r="16">
      <c r="A16" s="11" t="inlineStr">
        <is>
          <t xml:space="preserve">  Revenue growth</t>
        </is>
      </c>
      <c r="E16" s="24" t="n">
        <v>0.1</v>
      </c>
      <c r="F16" s="24" t="n">
        <v>0.09</v>
      </c>
      <c r="G16" s="24" t="n">
        <v>0.08</v>
      </c>
    </row>
    <row r="17">
      <c r="A17" t="inlineStr">
        <is>
          <t xml:space="preserve">  Segment EBIT</t>
        </is>
      </c>
      <c r="E17" s="23">
        <f>E15*E18</f>
        <v/>
      </c>
      <c r="F17" s="23">
        <f>F15*F18</f>
        <v/>
      </c>
      <c r="G17" s="23">
        <f>G15*G18</f>
        <v/>
      </c>
    </row>
    <row r="18">
      <c r="A18" s="11" t="inlineStr">
        <is>
          <t xml:space="preserve">  EBIT margin</t>
        </is>
      </c>
      <c r="E18" s="24" t="n">
        <v>0.43</v>
      </c>
      <c r="F18" s="24" t="n">
        <v>0.445</v>
      </c>
      <c r="G18" s="24" t="n">
        <v>0.46</v>
      </c>
    </row>
    <row r="19">
      <c r="A19" t="inlineStr">
        <is>
          <t>Google Cloud</t>
        </is>
      </c>
      <c r="D19" s="10">
        <f>Valuation!$B$105</f>
        <v/>
      </c>
      <c r="E19" s="23">
        <f>Valuation!$B$105*(1+E20)</f>
        <v/>
      </c>
      <c r="F19" s="23">
        <f>E19*(1+F20)</f>
        <v/>
      </c>
      <c r="G19" s="23">
        <f>F19*(1+G20)</f>
        <v/>
      </c>
    </row>
    <row r="20">
      <c r="A20" s="11" t="inlineStr">
        <is>
          <t xml:space="preserve">  Revenue growth</t>
        </is>
      </c>
      <c r="E20" s="24" t="n">
        <v>0.737097685477798</v>
      </c>
      <c r="F20" s="24" t="n">
        <v>0.6125853141915745</v>
      </c>
      <c r="G20" s="24" t="n">
        <v>0.2040499863176137</v>
      </c>
    </row>
    <row r="21">
      <c r="A21" t="inlineStr">
        <is>
          <t xml:space="preserve">  Segment EBIT</t>
        </is>
      </c>
      <c r="E21" s="23">
        <f>E19*E22</f>
        <v/>
      </c>
      <c r="F21" s="23">
        <f>F19*F22</f>
        <v/>
      </c>
      <c r="G21" s="23">
        <f>G19*G22</f>
        <v/>
      </c>
    </row>
    <row r="22">
      <c r="A22" s="11" t="inlineStr">
        <is>
          <t xml:space="preserve">  EBIT margin</t>
        </is>
      </c>
      <c r="E22" s="24" t="n">
        <v>0.35</v>
      </c>
      <c r="F22" s="24" t="n">
        <v>0.37</v>
      </c>
      <c r="G22" s="24" t="n">
        <v>0.39</v>
      </c>
    </row>
    <row r="23">
      <c r="A23" t="inlineStr">
        <is>
          <t>Other Bets</t>
        </is>
      </c>
      <c r="D23" s="10">
        <f>Valuation!$B$106</f>
        <v/>
      </c>
      <c r="E23" s="23">
        <f>Valuation!$B$106*(1+E24)</f>
        <v/>
      </c>
      <c r="F23" s="23">
        <f>E23*(1+F24)</f>
        <v/>
      </c>
      <c r="G23" s="23">
        <f>F23*(1+G24)</f>
        <v/>
      </c>
    </row>
    <row r="24">
      <c r="A24" s="11" t="inlineStr">
        <is>
          <t xml:space="preserve">  Revenue growth</t>
        </is>
      </c>
      <c r="E24" s="24" t="n">
        <v>0</v>
      </c>
      <c r="F24" s="24" t="n">
        <v>0</v>
      </c>
      <c r="G24" s="24" t="n">
        <v>0</v>
      </c>
    </row>
    <row r="25">
      <c r="A25" t="inlineStr">
        <is>
          <t xml:space="preserve">  Segment EBIT</t>
        </is>
      </c>
      <c r="E25" s="23">
        <f>E23*E26</f>
        <v/>
      </c>
      <c r="F25" s="23">
        <f>F23*F26</f>
        <v/>
      </c>
      <c r="G25" s="23">
        <f>G23*G26</f>
        <v/>
      </c>
    </row>
    <row r="26">
      <c r="A26" s="11" t="inlineStr">
        <is>
          <t xml:space="preserve">  EBIT margin</t>
        </is>
      </c>
      <c r="E26" s="24" t="n">
        <v>-5.074821080026025</v>
      </c>
      <c r="F26" s="24" t="n">
        <v>-5.074821080026025</v>
      </c>
      <c r="G26" s="24" t="n">
        <v>-5.074821080026025</v>
      </c>
    </row>
    <row r="27">
      <c r="A27" t="inlineStr">
        <is>
          <t>Total segment revenue (= net sales)</t>
        </is>
      </c>
      <c r="D27" s="25">
        <f>D11+D15+D19+D23</f>
        <v/>
      </c>
      <c r="E27" s="25">
        <f>E11+E15+E19+E23</f>
        <v/>
      </c>
      <c r="F27" s="25">
        <f>F11+F15+F19+F23</f>
        <v/>
      </c>
      <c r="G27" s="25">
        <f>G11+G15+G19+G23</f>
        <v/>
      </c>
      <c r="H27" s="2" t="inlineStr">
        <is>
          <t>base revenues on Valuation (segment build); net sales = this total</t>
        </is>
      </c>
    </row>
    <row r="28">
      <c r="A28" t="inlineStr">
        <is>
          <t>Total segment EBIT</t>
        </is>
      </c>
      <c r="E28" s="25">
        <f>E13+E17+E21+E25</f>
        <v/>
      </c>
      <c r="F28" s="25">
        <f>F13+F17+F21+F25</f>
        <v/>
      </c>
      <c r="G28" s="25">
        <f>G13+G17+G21+G25</f>
        <v/>
      </c>
    </row>
    <row r="29">
      <c r="A29" t="inlineStr">
        <is>
          <t>Corporate / unallocated EBIT (blue = input)</t>
        </is>
      </c>
      <c r="E29" s="26" t="n">
        <v>-26108.96546224</v>
      </c>
      <c r="F29" s="26" t="n">
        <v>-43294.92270410192</v>
      </c>
      <c r="G29" s="26" t="n">
        <v>-67958.96406346309</v>
      </c>
      <c r="H29" s="2" t="inlineStr">
        <is>
          <t>years[].corporate_ebit; EBIT = total segment EBIT + corporate</t>
        </is>
      </c>
    </row>
    <row r="31">
      <c r="A31" s="21" t="inlineStr">
        <is>
          <t>Sales</t>
        </is>
      </c>
      <c r="B31" s="22" t="n"/>
      <c r="C31" s="22" t="n"/>
      <c r="D31" s="22" t="n"/>
      <c r="E31" s="22" t="n"/>
      <c r="F31" s="22" t="n"/>
      <c r="G31" s="22" t="n"/>
      <c r="H31" s="22" t="n"/>
    </row>
    <row r="32">
      <c r="A32" s="19" t="inlineStr">
        <is>
          <t>Net sales</t>
        </is>
      </c>
      <c r="B32" s="23" t="n">
        <v>307394</v>
      </c>
      <c r="C32" s="23" t="n">
        <v>350018</v>
      </c>
      <c r="D32" s="23" t="n">
        <v>402836</v>
      </c>
      <c r="E32" s="25">
        <f>E27</f>
        <v/>
      </c>
      <c r="F32" s="25">
        <f>F27</f>
        <v/>
      </c>
      <c r="G32" s="25">
        <f>G27</f>
        <v/>
      </c>
      <c r="H32" s="2" t="inlineStr">
        <is>
          <t>SEC XBRL F1, F2, F3</t>
        </is>
      </c>
    </row>
    <row r="33">
      <c r="A33" s="11" t="inlineStr">
        <is>
          <t xml:space="preserve">  % YoY</t>
        </is>
      </c>
      <c r="C33" s="27">
        <f>IF(OR(C32="",B32="",B32=0),"",C32/B32-1)</f>
        <v/>
      </c>
      <c r="D33" s="27">
        <f>IF(OR(D32="",C32="",C32=0),"",D32/C32-1)</f>
        <v/>
      </c>
      <c r="E33" s="27">
        <f>E32/Valuation!$B$50-1</f>
        <v/>
      </c>
      <c r="F33" s="27">
        <f>F32/E32-1</f>
        <v/>
      </c>
      <c r="G33" s="27">
        <f>G32/F32-1</f>
        <v/>
      </c>
    </row>
    <row r="35">
      <c r="A35" s="21" t="inlineStr">
        <is>
          <t>Operating profit</t>
        </is>
      </c>
      <c r="B35" s="22" t="n"/>
      <c r="C35" s="22" t="n"/>
      <c r="D35" s="22" t="n"/>
      <c r="E35" s="22" t="n"/>
      <c r="F35" s="22" t="n"/>
      <c r="G35" s="22" t="n"/>
      <c r="H35" s="22" t="n"/>
    </row>
    <row r="36">
      <c r="A36" t="inlineStr">
        <is>
          <t>EBIT (operating income)</t>
        </is>
      </c>
      <c r="E36" s="23">
        <f>E28+E29</f>
        <v/>
      </c>
      <c r="F36" s="23">
        <f>F28+F29</f>
        <v/>
      </c>
      <c r="G36" s="23">
        <f>G28+G29</f>
        <v/>
      </c>
    </row>
    <row r="37">
      <c r="A37" s="11" t="inlineStr">
        <is>
          <t xml:space="preserve">  EBIT margin</t>
        </is>
      </c>
      <c r="E37" s="27">
        <f>E36/E32</f>
        <v/>
      </c>
      <c r="F37" s="27">
        <f>F36/F32</f>
        <v/>
      </c>
      <c r="G37" s="27">
        <f>G36/G32</f>
        <v/>
      </c>
    </row>
    <row r="38">
      <c r="A38" t="inlineStr">
        <is>
          <t>D&amp;A</t>
        </is>
      </c>
      <c r="E38" s="23">
        <f>E32*E72</f>
        <v/>
      </c>
      <c r="F38" s="23">
        <f>F32*F72</f>
        <v/>
      </c>
      <c r="G38" s="23">
        <f>G32*G72</f>
        <v/>
      </c>
    </row>
    <row r="39">
      <c r="A39" t="inlineStr">
        <is>
          <t>EBITDA</t>
        </is>
      </c>
      <c r="E39" s="23">
        <f>E36+E38</f>
        <v/>
      </c>
      <c r="F39" s="23">
        <f>F36+F38</f>
        <v/>
      </c>
      <c r="G39" s="23">
        <f>G36+G38</f>
        <v/>
      </c>
    </row>
    <row r="40">
      <c r="A40" s="11" t="inlineStr">
        <is>
          <t xml:space="preserve">  EBITDA margin</t>
        </is>
      </c>
      <c r="E40" s="27">
        <f>E39/E32</f>
        <v/>
      </c>
      <c r="F40" s="27">
        <f>F39/F32</f>
        <v/>
      </c>
      <c r="G40" s="27">
        <f>G39/G32</f>
        <v/>
      </c>
    </row>
    <row r="41">
      <c r="A41" t="inlineStr">
        <is>
          <t>Net interest income / (expense)</t>
        </is>
      </c>
      <c r="E41" s="23">
        <f>-Valuation!$B$58*Valuation!$B$56</f>
        <v/>
      </c>
      <c r="F41" s="23">
        <f>-Valuation!$B$58*E66</f>
        <v/>
      </c>
      <c r="G41" s="23">
        <f>-Valuation!$B$58*F66</f>
        <v/>
      </c>
      <c r="H41" s="2" t="inlineStr">
        <is>
          <t>rate x prior year-end net debt (memo roll)</t>
        </is>
      </c>
    </row>
    <row r="42">
      <c r="A42" s="19" t="inlineStr">
        <is>
          <t>Pretax income</t>
        </is>
      </c>
      <c r="B42" s="23" t="n">
        <v>85717</v>
      </c>
      <c r="C42" s="23" t="n">
        <v>119815</v>
      </c>
      <c r="D42" s="23" t="n">
        <v>158826</v>
      </c>
      <c r="E42" s="25">
        <f>E36+E41</f>
        <v/>
      </c>
      <c r="F42" s="25">
        <f>F36+F41</f>
        <v/>
      </c>
      <c r="G42" s="25">
        <f>G36+G41</f>
        <v/>
      </c>
      <c r="H42" s="2" t="inlineStr">
        <is>
          <t>SEC XBRL F83, F84, F85</t>
        </is>
      </c>
    </row>
    <row r="43">
      <c r="A43" s="11" t="inlineStr">
        <is>
          <t xml:space="preserve">  Pretax margin</t>
        </is>
      </c>
      <c r="B43" s="27">
        <f>B42/B32</f>
        <v/>
      </c>
      <c r="C43" s="27">
        <f>C42/C32</f>
        <v/>
      </c>
      <c r="D43" s="27">
        <f>D42/D32</f>
        <v/>
      </c>
      <c r="E43" s="27">
        <f>E42/E32</f>
        <v/>
      </c>
      <c r="F43" s="27">
        <f>F42/F32</f>
        <v/>
      </c>
      <c r="G43" s="27">
        <f>G42/G32</f>
        <v/>
      </c>
    </row>
    <row r="44">
      <c r="A44" t="inlineStr">
        <is>
          <t>Income tax</t>
        </is>
      </c>
      <c r="B44" s="23" t="n">
        <v>11922</v>
      </c>
      <c r="C44" s="23" t="n">
        <v>19697</v>
      </c>
      <c r="D44" s="23" t="n">
        <v>26656</v>
      </c>
      <c r="E44" s="23">
        <f>E42*E71</f>
        <v/>
      </c>
      <c r="F44" s="23">
        <f>F42*F71</f>
        <v/>
      </c>
      <c r="G44" s="23">
        <f>G42*G71</f>
        <v/>
      </c>
      <c r="H44" s="2" t="inlineStr">
        <is>
          <t>SEC XBRL F76, F77, F78</t>
        </is>
      </c>
    </row>
    <row r="45">
      <c r="A45" s="11" t="inlineStr">
        <is>
          <t xml:space="preserve">  Effective tax rate</t>
        </is>
      </c>
      <c r="B45" s="27">
        <f>B44/B42</f>
        <v/>
      </c>
      <c r="C45" s="27">
        <f>C44/C42</f>
        <v/>
      </c>
      <c r="D45" s="27">
        <f>D44/D42</f>
        <v/>
      </c>
      <c r="E45" s="27">
        <f>E44/E42</f>
        <v/>
      </c>
      <c r="F45" s="27">
        <f>F44/F42</f>
        <v/>
      </c>
      <c r="G45" s="27">
        <f>G44/G42</f>
        <v/>
      </c>
    </row>
    <row r="46">
      <c r="A46" s="19" t="inlineStr">
        <is>
          <t>Net income</t>
        </is>
      </c>
      <c r="B46" s="23" t="n">
        <v>73795</v>
      </c>
      <c r="C46" s="23" t="n">
        <v>100118</v>
      </c>
      <c r="D46" s="23" t="n">
        <v>132170</v>
      </c>
      <c r="E46" s="25">
        <f>E42-E44</f>
        <v/>
      </c>
      <c r="F46" s="25">
        <f>F42-F44</f>
        <v/>
      </c>
      <c r="G46" s="25">
        <f>G42-G44</f>
        <v/>
      </c>
      <c r="H46" s="2" t="inlineStr">
        <is>
          <t>SEC XBRL F15, F16, F17</t>
        </is>
      </c>
    </row>
    <row r="47">
      <c r="A47" s="11" t="inlineStr">
        <is>
          <t xml:space="preserve">  % YoY</t>
        </is>
      </c>
      <c r="C47" s="27">
        <f>IF(OR(C46="",B46="",B46=0),"",C46/B46-1)</f>
        <v/>
      </c>
      <c r="D47" s="27">
        <f>IF(OR(D46="",C46="",C46=0),"",D46/C46-1)</f>
        <v/>
      </c>
      <c r="E47" s="27">
        <f>IF(OR(D46="",D46=0),"",E46/D46-1)</f>
        <v/>
      </c>
      <c r="F47" s="27">
        <f>IF(OR(E46="",E46=0),"",F46/E46-1)</f>
        <v/>
      </c>
      <c r="G47" s="27">
        <f>IF(OR(F46="",F46=0),"",G46/F46-1)</f>
        <v/>
      </c>
    </row>
    <row r="48">
      <c r="A48" t="inlineStr">
        <is>
          <t>Diluted shares (M, average)</t>
        </is>
      </c>
      <c r="B48" s="23" t="n">
        <v>12722</v>
      </c>
      <c r="C48" s="23" t="n">
        <v>12447</v>
      </c>
      <c r="D48" s="23" t="n">
        <v>12230</v>
      </c>
      <c r="E48" s="28">
        <f>Valuation!$B$60*(1+Valuation!$B$62)^(E7-0.5-((Valuation!$B$61-Valuation!$B$49)/365.25))</f>
        <v/>
      </c>
      <c r="F48" s="28">
        <f>Valuation!$B$60*(1+Valuation!$B$62)^(F7-0.5-((Valuation!$B$61-Valuation!$B$49)/365.25))</f>
        <v/>
      </c>
      <c r="G48" s="28">
        <f>Valuation!$B$60*(1+Valuation!$B$62)^(G7-0.5-((Valuation!$B$61-Valuation!$B$49)/365.25))</f>
        <v/>
      </c>
      <c r="H48" s="2" t="inlineStr">
        <is>
          <t>diluted count rolled at the annual change to mid-year</t>
        </is>
      </c>
    </row>
    <row r="49">
      <c r="A49" s="11" t="inlineStr">
        <is>
          <t xml:space="preserve">  % YoY</t>
        </is>
      </c>
      <c r="C49" s="27">
        <f>IF(OR(C48="",B48="",B48=0),"",C48/B48-1)</f>
        <v/>
      </c>
      <c r="D49" s="27">
        <f>IF(OR(D48="",C48="",C48=0),"",D48/C48-1)</f>
        <v/>
      </c>
      <c r="E49" s="27">
        <f>IF(OR(D48="",D48=0),"",E48/D48-1)</f>
        <v/>
      </c>
      <c r="F49" s="27">
        <f>IF(OR(E48="",E48=0),"",F48/E48-1)</f>
        <v/>
      </c>
      <c r="G49" s="27">
        <f>IF(OR(F48="",F48=0),"",G48/F48-1)</f>
        <v/>
      </c>
    </row>
    <row r="50">
      <c r="A50" s="19" t="inlineStr">
        <is>
          <t>Diluted EPS</t>
        </is>
      </c>
      <c r="B50" s="29" t="n">
        <v>5.8</v>
      </c>
      <c r="C50" s="29" t="n">
        <v>8.039999999999999</v>
      </c>
      <c r="D50" s="29" t="n">
        <v>10.81</v>
      </c>
      <c r="E50" s="30">
        <f>E46/E48</f>
        <v/>
      </c>
      <c r="F50" s="30">
        <f>F46/F48</f>
        <v/>
      </c>
      <c r="G50" s="30">
        <f>G46/G48</f>
        <v/>
      </c>
      <c r="H50" s="2" t="inlineStr">
        <is>
          <t>SEC XBRL F22, F23, F24</t>
        </is>
      </c>
    </row>
    <row r="51">
      <c r="A51" s="11" t="inlineStr">
        <is>
          <t xml:space="preserve">  % YoY</t>
        </is>
      </c>
      <c r="C51" s="27">
        <f>IF(OR(C50="",B50="",B50=0),"",C50/B50-1)</f>
        <v/>
      </c>
      <c r="D51" s="27">
        <f>IF(OR(D50="",C50="",C50=0),"",D50/C50-1)</f>
        <v/>
      </c>
      <c r="E51" s="27">
        <f>IF(OR(D50="",D50=0),"",E50/D50-1)</f>
        <v/>
      </c>
      <c r="F51" s="27">
        <f>IF(OR(E50="",E50=0),"",F50/E50-1)</f>
        <v/>
      </c>
      <c r="G51" s="27">
        <f>IF(OR(F50="",F50=0),"",G50/F50-1)</f>
        <v/>
      </c>
    </row>
    <row r="53">
      <c r="A53" s="21" t="inlineStr">
        <is>
          <t>Cash flow</t>
        </is>
      </c>
      <c r="B53" s="22" t="n"/>
      <c r="C53" s="22" t="n"/>
      <c r="D53" s="22" t="n"/>
      <c r="E53" s="22" t="n"/>
      <c r="F53" s="22" t="n"/>
      <c r="G53" s="22" t="n"/>
      <c r="H53" s="22" t="n"/>
    </row>
    <row r="54">
      <c r="A54" t="inlineStr">
        <is>
          <t>NOPAT (EBIT x (1 - tax))</t>
        </is>
      </c>
      <c r="E54" s="23">
        <f>E36*(1-E71)</f>
        <v/>
      </c>
      <c r="F54" s="23">
        <f>F36*(1-F71)</f>
        <v/>
      </c>
      <c r="G54" s="23">
        <f>G36*(1-G71)</f>
        <v/>
      </c>
    </row>
    <row r="55">
      <c r="A55" t="inlineStr">
        <is>
          <t>+ D&amp;A</t>
        </is>
      </c>
      <c r="B55" s="23">
        <f>B38</f>
        <v/>
      </c>
      <c r="C55" s="23">
        <f>C38</f>
        <v/>
      </c>
      <c r="D55" s="23">
        <f>D38</f>
        <v/>
      </c>
      <c r="E55" s="23">
        <f>E38</f>
        <v/>
      </c>
      <c r="F55" s="23">
        <f>F38</f>
        <v/>
      </c>
      <c r="G55" s="23">
        <f>G38</f>
        <v/>
      </c>
    </row>
    <row r="56">
      <c r="A56" t="inlineStr">
        <is>
          <t>- Capex</t>
        </is>
      </c>
      <c r="B56" s="23" t="n">
        <v>32251</v>
      </c>
      <c r="C56" s="23" t="n">
        <v>52535</v>
      </c>
      <c r="D56" s="23" t="n">
        <v>91447</v>
      </c>
      <c r="E56" s="23">
        <f>E32*E73</f>
        <v/>
      </c>
      <c r="F56" s="23">
        <f>F32*F73</f>
        <v/>
      </c>
      <c r="G56" s="23">
        <f>G32*G73</f>
        <v/>
      </c>
      <c r="H56" s="2" t="inlineStr">
        <is>
          <t>SEC XBRL F48, F49, F50</t>
        </is>
      </c>
    </row>
    <row r="57">
      <c r="A57" s="11" t="inlineStr">
        <is>
          <t xml:space="preserve">  Capex % of sales</t>
        </is>
      </c>
      <c r="B57" s="27">
        <f>B56/B32</f>
        <v/>
      </c>
      <c r="C57" s="27">
        <f>C56/C32</f>
        <v/>
      </c>
      <c r="D57" s="27">
        <f>D56/D32</f>
        <v/>
      </c>
      <c r="E57" s="27">
        <f>E56/E32</f>
        <v/>
      </c>
      <c r="F57" s="27">
        <f>F56/F32</f>
        <v/>
      </c>
      <c r="G57" s="27">
        <f>G56/G32</f>
        <v/>
      </c>
    </row>
    <row r="58">
      <c r="A58" t="inlineStr">
        <is>
          <t>- Working capital increase</t>
        </is>
      </c>
      <c r="E58" s="23">
        <f>E74*(E32-Valuation!$B$50)</f>
        <v/>
      </c>
      <c r="F58" s="23">
        <f>F74*(F32-E32)</f>
        <v/>
      </c>
      <c r="G58" s="23">
        <f>G74*(G32-F32)</f>
        <v/>
      </c>
    </row>
    <row r="59">
      <c r="A59" t="inlineStr">
        <is>
          <t>- Stock comp (adjusted EBIT only)</t>
        </is>
      </c>
      <c r="E59" s="23">
        <f>IF(AND(Valuation!$B$47="adjusted",Valuation!$B$48="cost"),E63*(1-E71),0)</f>
        <v/>
      </c>
      <c r="F59" s="23">
        <f>IF(AND(Valuation!$B$47="adjusted",Valuation!$B$48="cost"),F63*(1-F71),0)</f>
        <v/>
      </c>
      <c r="G59" s="23">
        <f>IF(AND(Valuation!$B$47="adjusted",Valuation!$B$48="cost"),G63*(1-G71),0)</f>
        <v/>
      </c>
    </row>
    <row r="60">
      <c r="A60" s="19" t="inlineStr">
        <is>
          <t>Free cash flow to firm</t>
        </is>
      </c>
      <c r="E60" s="25">
        <f>E54+E55-E56-E58-E59</f>
        <v/>
      </c>
      <c r="F60" s="25">
        <f>F54+F55-F56-F58-F59</f>
        <v/>
      </c>
      <c r="G60" s="25">
        <f>G54+G55-G56-G58-G59</f>
        <v/>
      </c>
      <c r="H60" s="2" t="inlineStr">
        <is>
          <t>what the DCF discounts (Calc tabs)</t>
        </is>
      </c>
    </row>
    <row r="61">
      <c r="A61" t="inlineStr">
        <is>
          <t>Operating cash flow (reported)</t>
        </is>
      </c>
      <c r="B61" s="23" t="n">
        <v>101746</v>
      </c>
      <c r="C61" s="23" t="n">
        <v>125299</v>
      </c>
      <c r="D61" s="23" t="n">
        <v>164713</v>
      </c>
      <c r="H61" s="2" t="inlineStr">
        <is>
          <t>SEC XBRL F41, F42, F43</t>
        </is>
      </c>
    </row>
    <row r="62">
      <c r="A62" t="inlineStr">
        <is>
          <t>FCF (operating cash flow - capex)</t>
        </is>
      </c>
      <c r="B62" s="23">
        <f>B61-B56</f>
        <v/>
      </c>
      <c r="C62" s="23">
        <f>C61-C56</f>
        <v/>
      </c>
      <c r="D62" s="23">
        <f>D61-D56</f>
        <v/>
      </c>
    </row>
    <row r="63">
      <c r="A63" t="inlineStr">
        <is>
          <t>Stock comp (memo)</t>
        </is>
      </c>
      <c r="B63" s="23" t="n">
        <v>22460</v>
      </c>
      <c r="C63" s="23" t="n">
        <v>22785</v>
      </c>
      <c r="D63" s="23" t="n">
        <v>24953</v>
      </c>
      <c r="E63" s="23">
        <f>E32*E75</f>
        <v/>
      </c>
      <c r="F63" s="23">
        <f>F32*F75</f>
        <v/>
      </c>
      <c r="G63" s="23">
        <f>G32*G75</f>
        <v/>
      </c>
      <c r="H63" s="2" t="inlineStr">
        <is>
          <t>SEC XBRL F34, F35, F36</t>
        </is>
      </c>
    </row>
    <row r="64">
      <c r="A64" t="inlineStr">
        <is>
          <t>Buybacks + dividends + other uses</t>
        </is>
      </c>
      <c r="B64" s="23" t="n">
        <v>61504</v>
      </c>
      <c r="C64" s="23" t="n">
        <v>69585</v>
      </c>
      <c r="D64" s="23" t="n">
        <v>55758</v>
      </c>
      <c r="E64" s="23">
        <f>E32*E77+E76+E78</f>
        <v/>
      </c>
      <c r="F64" s="23">
        <f>F32*F77+F76+F78</f>
        <v/>
      </c>
      <c r="G64" s="23">
        <f>G32*G77+G76+G78</f>
        <v/>
      </c>
      <c r="H64" s="2" t="inlineStr">
        <is>
          <t>SEC XBRL F55, F62, F56, F63, F57, F64</t>
        </is>
      </c>
    </row>
    <row r="65">
      <c r="A65" s="11" t="inlineStr">
        <is>
          <t xml:space="preserve">  % of sales</t>
        </is>
      </c>
      <c r="B65" s="27">
        <f>B64/B32</f>
        <v/>
      </c>
      <c r="C65" s="27">
        <f>C64/C32</f>
        <v/>
      </c>
      <c r="D65" s="27">
        <f>D64/D32</f>
        <v/>
      </c>
      <c r="E65" s="27">
        <f>E64/E32</f>
        <v/>
      </c>
      <c r="F65" s="27">
        <f>F64/F32</f>
        <v/>
      </c>
      <c r="G65" s="27">
        <f>G64/G32</f>
        <v/>
      </c>
    </row>
    <row r="66">
      <c r="A66" t="inlineStr">
        <is>
          <t>Net debt / (net cash), year end (memo)</t>
        </is>
      </c>
      <c r="E66" s="23">
        <f>Valuation!$B$56-E60-E41*(1-E71)+E64</f>
        <v/>
      </c>
      <c r="F66" s="23">
        <f>E66-F60-F41*(1-F71)+F64</f>
        <v/>
      </c>
      <c r="G66" s="23">
        <f>F66-G60-G41*(1-G71)+G64</f>
        <v/>
      </c>
      <c r="H66" s="2" t="inlineStr">
        <is>
          <t>rolled from the balance-date figure; feeds interest only</t>
        </is>
      </c>
    </row>
    <row r="68">
      <c r="A68" s="21" t="inlineStr">
        <is>
          <t>Drivers (blue = input; a year left black carries the prior year)</t>
        </is>
      </c>
      <c r="B68" s="22" t="n"/>
      <c r="C68" s="22" t="n"/>
      <c r="D68" s="22" t="n"/>
      <c r="E68" s="22" t="n"/>
      <c r="F68" s="22" t="n"/>
      <c r="G68" s="22" t="n"/>
      <c r="H68" s="22" t="n"/>
    </row>
    <row r="69">
      <c r="A69" t="inlineStr">
        <is>
          <t>Revenue growth</t>
        </is>
      </c>
      <c r="C69" s="18">
        <f>C33</f>
        <v/>
      </c>
      <c r="D69" s="18">
        <f>D33</f>
        <v/>
      </c>
      <c r="E69" s="24">
        <f>E33</f>
        <v/>
      </c>
      <c r="F69" s="18">
        <f>F33</f>
        <v/>
      </c>
      <c r="G69" s="18">
        <f>G33</f>
        <v/>
      </c>
      <c r="H69" s="2" t="inlineStr">
        <is>
          <t>implied by the segment build (edit the segment rows)</t>
        </is>
      </c>
    </row>
    <row r="70">
      <c r="A70" t="inlineStr">
        <is>
          <t>EBIT margin</t>
        </is>
      </c>
      <c r="E70" s="24">
        <f>E37</f>
        <v/>
      </c>
      <c r="F70" s="18">
        <f>F37</f>
        <v/>
      </c>
      <c r="G70" s="18">
        <f>G37</f>
        <v/>
      </c>
      <c r="H70" s="2" t="inlineStr">
        <is>
          <t>implied by the segment build and corporate EBIT</t>
        </is>
      </c>
    </row>
    <row r="71">
      <c r="A71" t="inlineStr">
        <is>
          <t>Tax rate</t>
        </is>
      </c>
      <c r="B71" s="18">
        <f>B45</f>
        <v/>
      </c>
      <c r="C71" s="18">
        <f>C45</f>
        <v/>
      </c>
      <c r="D71" s="18">
        <f>D45</f>
        <v/>
      </c>
      <c r="E71" s="24" t="n">
        <v>0.17</v>
      </c>
      <c r="F71" s="18">
        <f>E71</f>
        <v/>
      </c>
      <c r="G71" s="18">
        <f>F71</f>
        <v/>
      </c>
    </row>
    <row r="72">
      <c r="A72" t="inlineStr">
        <is>
          <t>D&amp;A % revenue</t>
        </is>
      </c>
      <c r="B72" s="18">
        <f>B38/B32</f>
        <v/>
      </c>
      <c r="C72" s="18">
        <f>C38/C32</f>
        <v/>
      </c>
      <c r="D72" s="18">
        <f>D38/D32</f>
        <v/>
      </c>
      <c r="E72" s="24" t="n">
        <v>0.06544780351791167</v>
      </c>
      <c r="F72" s="24" t="n">
        <v>0.08811693258695982</v>
      </c>
      <c r="G72" s="24" t="n">
        <v>0.1171669904439271</v>
      </c>
    </row>
    <row r="73">
      <c r="A73" t="inlineStr">
        <is>
          <t>Capex % revenue</t>
        </is>
      </c>
      <c r="B73" s="18">
        <f>B57</f>
        <v/>
      </c>
      <c r="C73" s="18">
        <f>C57</f>
        <v/>
      </c>
      <c r="D73" s="18">
        <f>D57</f>
        <v/>
      </c>
      <c r="E73" s="24" t="n">
        <v>0.4051382104048282</v>
      </c>
      <c r="F73" s="24" t="n">
        <v>0.5041039241547339</v>
      </c>
      <c r="G73" s="24" t="n">
        <v>0.5055043401847299</v>
      </c>
    </row>
    <row r="74">
      <c r="A74" t="inlineStr">
        <is>
          <t>Working capital % of revenue increase</t>
        </is>
      </c>
      <c r="E74" s="24" t="n">
        <v>0</v>
      </c>
      <c r="F74" s="18">
        <f>E74</f>
        <v/>
      </c>
      <c r="G74" s="18">
        <f>F74</f>
        <v/>
      </c>
    </row>
    <row r="75">
      <c r="A75" t="inlineStr">
        <is>
          <t>Stock comp % revenue</t>
        </is>
      </c>
      <c r="B75" s="18">
        <f>B63/B32</f>
        <v/>
      </c>
      <c r="C75" s="18">
        <f>C63/C32</f>
        <v/>
      </c>
      <c r="D75" s="18">
        <f>D63/D32</f>
        <v/>
      </c>
      <c r="E75" s="24" t="n">
        <v>0.063129</v>
      </c>
      <c r="F75" s="18">
        <f>E75</f>
        <v/>
      </c>
      <c r="G75" s="18">
        <f>F75</f>
        <v/>
      </c>
    </row>
    <row r="76">
      <c r="A76" t="inlineStr">
        <is>
          <t>Shareholder returns ($)</t>
        </is>
      </c>
      <c r="E76" s="26" t="n">
        <v>0</v>
      </c>
      <c r="F76" s="23">
        <f>E76</f>
        <v/>
      </c>
      <c r="G76" s="23">
        <f>F76</f>
        <v/>
      </c>
    </row>
    <row r="77">
      <c r="A77" t="inlineStr">
        <is>
          <t>Shareholder returns % revenue</t>
        </is>
      </c>
      <c r="B77" s="18">
        <f>B65</f>
        <v/>
      </c>
      <c r="C77" s="18">
        <f>C65</f>
        <v/>
      </c>
      <c r="D77" s="18">
        <f>D65</f>
        <v/>
      </c>
      <c r="E77" s="24" t="n">
        <v>0</v>
      </c>
      <c r="F77" s="18">
        <f>E77</f>
        <v/>
      </c>
      <c r="G77" s="18">
        <f>F77</f>
        <v/>
      </c>
    </row>
    <row r="78">
      <c r="A78" t="inlineStr">
        <is>
          <t>Other uses of cash ($: M&amp;A, investments)</t>
        </is>
      </c>
      <c r="E78" s="26" t="n">
        <v>0</v>
      </c>
      <c r="F78" s="23">
        <f>E78</f>
        <v/>
      </c>
      <c r="G78" s="23">
        <f>F78</f>
        <v/>
      </c>
    </row>
    <row r="79">
      <c r="A79" t="inlineStr">
        <is>
          <t>Adj. EBITDA addback % revenue</t>
        </is>
      </c>
      <c r="E79" s="24" t="n">
        <v>0</v>
      </c>
      <c r="F79" s="18">
        <f>E79</f>
        <v/>
      </c>
      <c r="G79" s="18">
        <f>F79</f>
        <v/>
      </c>
    </row>
    <row r="81">
      <c r="A81" s="21" t="inlineStr">
        <is>
          <t>Versus company guidance and street consensus</t>
        </is>
      </c>
      <c r="B81" s="22" t="n"/>
      <c r="C81" s="22" t="n"/>
      <c r="D81" s="22" t="n"/>
      <c r="E81" s="22" t="n"/>
      <c r="F81" s="22" t="n"/>
      <c r="G81" s="22" t="n"/>
      <c r="H81" s="22" t="n"/>
    </row>
    <row r="82">
      <c r="A82" t="inlineStr">
        <is>
          <t>Guidance: capex (company guidance ($M)), midpoint</t>
        </is>
      </c>
      <c r="E82" s="31">
        <f>AVERAGE(195000.0,205000.0)</f>
        <v/>
      </c>
      <c r="H82" s="2" t="inlineStr">
        <is>
          <t>1.95e+05 to 2.05e+05; as of 2026-07-22; source 5 (Alphabet Q2 2026 earnings call transcript (IR PDF))</t>
        </is>
      </c>
    </row>
    <row r="83">
      <c r="A83" t="inlineStr">
        <is>
          <t>Consensus: EPS diluted (GAAP (consensus excludes equity-security gains))</t>
        </is>
      </c>
      <c r="F83" s="15" t="n">
        <v>14.95</v>
      </c>
      <c r="H83" s="2" t="inlineStr">
        <is>
          <t>as of 2026-10-06; source 8, 9 (Yahoo Finance GOOGL analysis (consensus EPS, trend))</t>
        </is>
      </c>
    </row>
    <row r="84">
      <c r="A84" s="11" t="inlineStr">
        <is>
          <t xml:space="preserve">  Model vs consensus</t>
        </is>
      </c>
      <c r="F84" s="27">
        <f>F50/F83-1</f>
        <v/>
      </c>
    </row>
    <row r="85">
      <c r="A85" t="inlineStr">
        <is>
          <t>Consensus: EPS diluted (GAAP (consensus excludes equity-security gains))</t>
        </is>
      </c>
      <c r="G85" s="15" t="n">
        <v>17.89</v>
      </c>
      <c r="H85" s="2" t="inlineStr">
        <is>
          <t>as of 2026-10-06; source 9 (MarketScreener Alphabet finances (EPS, capex, FCF, EBIT, EBI)</t>
        </is>
      </c>
    </row>
    <row r="86">
      <c r="A86" s="11" t="inlineStr">
        <is>
          <t xml:space="preserve">  Model vs consensus</t>
        </is>
      </c>
      <c r="G86" s="27">
        <f>G50/G85-1</f>
        <v/>
      </c>
    </row>
    <row r="87">
      <c r="A87" t="inlineStr">
        <is>
          <t>Consensus: revenue (GAAP ($M))</t>
        </is>
      </c>
      <c r="F87" s="32" t="n">
        <v>615038</v>
      </c>
      <c r="H87" s="2" t="inlineStr">
        <is>
          <t>as of 2026-10-06; source 9 (MarketScreener Alphabet finances (EPS, capex, FCF, EBIT, EBI)</t>
        </is>
      </c>
    </row>
    <row r="88">
      <c r="A88" s="11" t="inlineStr">
        <is>
          <t xml:space="preserve">  Model vs consensus</t>
        </is>
      </c>
      <c r="F88" s="27">
        <f>F32/F87-1</f>
        <v/>
      </c>
    </row>
    <row r="89">
      <c r="A89" t="inlineStr">
        <is>
          <t>Consensus: revenue (GAAP ($M))</t>
        </is>
      </c>
      <c r="G89" s="32" t="n">
        <v>734199</v>
      </c>
      <c r="H89" s="2" t="inlineStr">
        <is>
          <t>as of 2026-10-06; source 9 (MarketScreener Alphabet finances (EPS, capex, FCF, EBIT, EBI)</t>
        </is>
      </c>
    </row>
    <row r="90">
      <c r="A90" s="11" t="inlineStr">
        <is>
          <t xml:space="preserve">  Model vs consensus</t>
        </is>
      </c>
      <c r="G90" s="27">
        <f>G32/G89-1</f>
        <v/>
      </c>
    </row>
    <row r="91">
      <c r="A91" t="inlineStr">
        <is>
          <t>Consensus: EBIT margin (GAAP; EBIT $216,996M / sales $615,038M)</t>
        </is>
      </c>
      <c r="F91" s="33" t="n">
        <v>0.352817</v>
      </c>
      <c r="H91" s="2" t="inlineStr">
        <is>
          <t>as of 2026-10-06; source 9 (MarketScreener Alphabet finances (EPS, capex, FCF, EBIT, EBI)</t>
        </is>
      </c>
    </row>
    <row r="92">
      <c r="A92" s="11" t="inlineStr">
        <is>
          <t xml:space="preserve">  Model vs consensus</t>
        </is>
      </c>
      <c r="F92" s="34">
        <f>(F37-F91)*10000</f>
        <v/>
      </c>
    </row>
    <row r="93">
      <c r="A93" t="inlineStr">
        <is>
          <t>Consensus: EBIT margin (GAAP; EBIT $263,325M / sales $734,199M)</t>
        </is>
      </c>
      <c r="G93" s="33" t="n">
        <v>0.358656</v>
      </c>
      <c r="H93" s="2" t="inlineStr">
        <is>
          <t>as of 2026-10-06; source 9 (MarketScreener Alphabet finances (EPS, capex, FCF, EBIT, EBI)</t>
        </is>
      </c>
    </row>
    <row r="94">
      <c r="A94" s="11" t="inlineStr">
        <is>
          <t xml:space="preserve">  Model vs consensus</t>
        </is>
      </c>
      <c r="G94" s="34">
        <f>(G37-G93)*10000</f>
        <v/>
      </c>
    </row>
    <row r="95">
      <c r="A95" t="inlineStr">
        <is>
          <t>Consensus: EBITDA ($M)</t>
        </is>
      </c>
      <c r="F95" s="32" t="n">
        <v>298668</v>
      </c>
      <c r="H95" s="2" t="inlineStr">
        <is>
          <t>as of 2026-10-06; source 9 (MarketScreener Alphabet finances (EPS, capex, FCF, EBIT, EBI)</t>
        </is>
      </c>
    </row>
    <row r="96">
      <c r="A96" t="inlineStr">
        <is>
          <t>Consensus: capex ($M)</t>
        </is>
      </c>
      <c r="F96" s="32" t="n">
        <v>300979</v>
      </c>
      <c r="H96" s="2" t="inlineStr">
        <is>
          <t>as of 2026-10-06; source 9 (MarketScreener Alphabet finances (EPS, capex, FCF, EBIT, EBI)</t>
        </is>
      </c>
    </row>
    <row r="97">
      <c r="A97" t="inlineStr">
        <is>
          <t>Consensus: capex ($M)</t>
        </is>
      </c>
      <c r="G97" s="32" t="n">
        <v>339451</v>
      </c>
      <c r="H97" s="2" t="inlineStr">
        <is>
          <t>as of 2026-10-06; source 9 (MarketScreener Alphabet finances (EPS, capex, FCF, EBIT, EBI)</t>
        </is>
      </c>
    </row>
    <row r="98">
      <c r="A98" t="inlineStr">
        <is>
          <t>Consensus: free cash flow ($M)</t>
        </is>
      </c>
      <c r="E98" s="32" t="n">
        <v>8448</v>
      </c>
      <c r="H98" s="2" t="inlineStr">
        <is>
          <t>as of 2026-10-06; source 9 (MarketScreener Alphabet finances (EPS, capex, FCF, EBIT, EBI)</t>
        </is>
      </c>
    </row>
    <row r="99">
      <c r="A99" t="inlineStr">
        <is>
          <t>Consensus: free cash flow ($M)</t>
        </is>
      </c>
      <c r="F99" s="32" t="n">
        <v>-36658</v>
      </c>
      <c r="H99" s="2" t="inlineStr">
        <is>
          <t>as of 2026-10-06; source 9 (MarketScreener Alphabet finances (EPS, capex, FCF, EBIT, EBI)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60" customWidth="1" min="10" max="10"/>
    <col width="13" customWidth="1" min="11" max="11"/>
  </cols>
  <sheetData>
    <row r="1">
      <c r="A1" s="1" t="inlineStr">
        <is>
          <t>GOOGL: valuation and price target derivation</t>
        </is>
      </c>
    </row>
    <row r="2">
      <c r="A2" s="2" t="inlineStr">
        <is>
          <t>Value per share at the target date = weighted methods below; the 12-month target is the median of the scenario mix (Distribution tab).</t>
        </is>
      </c>
    </row>
    <row r="3">
      <c r="A3" s="3" t="inlineStr">
        <is>
          <t>Method</t>
        </is>
      </c>
      <c r="B3" s="3" t="inlineStr">
        <is>
          <t>Multiple</t>
        </is>
      </c>
      <c r="C3" s="3" t="inlineStr">
        <is>
          <t>Metric at target date</t>
        </is>
      </c>
      <c r="D3" s="3" t="inlineStr">
        <is>
          <t>Value per share</t>
        </is>
      </c>
      <c r="E3" s="3" t="inlineStr">
        <is>
          <t>Weight</t>
        </is>
      </c>
      <c r="F3" s="3" t="inlineStr">
        <is>
          <t>Contribution</t>
        </is>
      </c>
    </row>
    <row r="4">
      <c r="A4" s="16">
        <f>'Calc - research target (12m)'!A67</f>
        <v/>
      </c>
      <c r="B4" s="4">
        <f>IF('Calc - research target (12m)'!C67="","",'Calc - research target (12m)'!C67)</f>
        <v/>
      </c>
      <c r="C4" s="35">
        <f>IF('Calc - research target (12m)'!I67="","",'Calc - research target (12m)'!I67)</f>
        <v/>
      </c>
      <c r="D4" s="4">
        <f>'Calc - research target (12m)'!F67</f>
        <v/>
      </c>
      <c r="E4" s="12">
        <f>'Calc - research target (12m)'!G67</f>
        <v/>
      </c>
      <c r="F4" s="9">
        <f>D4*E4/SUM($E$4:$E$6)</f>
        <v/>
      </c>
    </row>
    <row r="5">
      <c r="A5" s="16">
        <f>'Calc - research target (12m)'!A68</f>
        <v/>
      </c>
      <c r="B5" s="4">
        <f>IF('Calc - research target (12m)'!C68="","",'Calc - research target (12m)'!C68)</f>
        <v/>
      </c>
      <c r="C5" s="35">
        <f>IF('Calc - research target (12m)'!I68="","",'Calc - research target (12m)'!I68)</f>
        <v/>
      </c>
      <c r="D5" s="4">
        <f>'Calc - research target (12m)'!F68</f>
        <v/>
      </c>
      <c r="E5" s="12">
        <f>'Calc - research target (12m)'!G68</f>
        <v/>
      </c>
      <c r="F5" s="9">
        <f>D5*E5/SUM($E$4:$E$6)</f>
        <v/>
      </c>
    </row>
    <row r="6">
      <c r="A6" s="16">
        <f>'Calc - research target (12m)'!A69</f>
        <v/>
      </c>
      <c r="B6" s="4">
        <f>IF('Calc - research target (12m)'!C69="","",'Calc - research target (12m)'!C69)</f>
        <v/>
      </c>
      <c r="C6" s="35">
        <f>IF('Calc - research target (12m)'!I69="","",'Calc - research target (12m)'!I69)</f>
        <v/>
      </c>
      <c r="D6" s="4">
        <f>'Calc - research target (12m)'!F69</f>
        <v/>
      </c>
      <c r="E6" s="12">
        <f>'Calc - research target (12m)'!G69</f>
        <v/>
      </c>
      <c r="F6" s="9">
        <f>D6*E6/SUM($E$4:$E$6)</f>
        <v/>
      </c>
    </row>
    <row r="7">
      <c r="A7" s="19" t="inlineStr">
        <is>
          <t>Research target (12m) per share</t>
        </is>
      </c>
      <c r="D7" s="6">
        <f>'Calc - research target (12m)'!$F$70</f>
        <v/>
      </c>
      <c r="F7" s="6">
        <f>SUM(F4:F6)</f>
        <v/>
      </c>
    </row>
    <row r="9">
      <c r="A9" s="21" t="inlineStr">
        <is>
          <t>12-month EPS basis (what the P/E is applied to)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</row>
    <row r="10">
      <c r="A10" s="3" t="inlineStr">
        <is>
          <t>Fiscal year</t>
        </is>
      </c>
      <c r="B10" s="3">
        <f>Model!E5</f>
        <v/>
      </c>
      <c r="C10" s="3">
        <f>Model!F5</f>
        <v/>
      </c>
      <c r="D10" s="3">
        <f>Model!G5</f>
        <v/>
      </c>
    </row>
    <row r="11">
      <c r="A11" t="inlineStr">
        <is>
          <t>Share of the 12 months after the target date</t>
        </is>
      </c>
      <c r="B11" s="12">
        <f>'Calc - research target (12m)'!C38</f>
        <v/>
      </c>
      <c r="C11" s="12">
        <f>'Calc - research target (12m)'!D38</f>
        <v/>
      </c>
      <c r="D11" s="12">
        <f>'Calc - research target (12m)'!E38</f>
        <v/>
      </c>
    </row>
    <row r="12">
      <c r="A12" t="inlineStr">
        <is>
          <t>Model EPS (Model tab)</t>
        </is>
      </c>
      <c r="B12" s="13">
        <f>Model!E50</f>
        <v/>
      </c>
      <c r="C12" s="13">
        <f>Model!F50</f>
        <v/>
      </c>
      <c r="D12" s="13">
        <f>Model!G50</f>
        <v/>
      </c>
    </row>
    <row r="13">
      <c r="A13" t="inlineStr">
        <is>
          <t>Model EPS, next 12 months after the target date</t>
        </is>
      </c>
      <c r="B13" s="30">
        <f>SUMPRODUCT(B11:D11,B12:D12)</f>
        <v/>
      </c>
    </row>
    <row r="14">
      <c r="A14" t="inlineStr">
        <is>
          <t>Stated next-12-month EPS used by the P/E method (consensus basis, cited)</t>
        </is>
      </c>
      <c r="B14" s="29">
        <f>Valuation!F70</f>
        <v/>
      </c>
      <c r="C14" s="27">
        <f>B14/B13-1</f>
        <v/>
      </c>
      <c r="D14" s="2" t="inlineStr">
        <is>
          <t>vs model EPS</t>
        </is>
      </c>
    </row>
    <row r="16">
      <c r="A16" s="21" t="inlineStr">
        <is>
          <t>DCF build (free cash flow to firm, discounted to the target date)</t>
        </is>
      </c>
      <c r="B16" s="22" t="n"/>
      <c r="C16" s="22" t="n"/>
      <c r="D16" s="22" t="n"/>
      <c r="E16" s="22" t="n"/>
      <c r="F16" s="22" t="n"/>
      <c r="G16" s="22" t="n"/>
      <c r="H16" s="22" t="n"/>
      <c r="I16" s="22" t="n"/>
    </row>
    <row r="17">
      <c r="A17" s="3" t="inlineStr">
        <is>
          <t>Fiscal year</t>
        </is>
      </c>
      <c r="B17" s="3">
        <f>Model!E5</f>
        <v/>
      </c>
      <c r="C17" s="3">
        <f>Model!F5</f>
        <v/>
      </c>
      <c r="D17" s="3">
        <f>Model!G5</f>
        <v/>
      </c>
    </row>
    <row r="18">
      <c r="A18" t="inlineStr">
        <is>
          <t>Free cash flow to firm</t>
        </is>
      </c>
      <c r="B18" s="10">
        <f>'Calc - research target (12m)'!C31</f>
        <v/>
      </c>
      <c r="C18" s="10">
        <f>'Calc - research target (12m)'!D31</f>
        <v/>
      </c>
      <c r="D18" s="10">
        <f>'Calc - research target (12m)'!E31</f>
        <v/>
      </c>
    </row>
    <row r="19">
      <c r="A19" t="inlineStr">
        <is>
          <t>Share of the year after the target date</t>
        </is>
      </c>
      <c r="B19" s="12">
        <f>'Calc - research target (12m)'!C35</f>
        <v/>
      </c>
      <c r="C19" s="12">
        <f>'Calc - research target (12m)'!D35</f>
        <v/>
      </c>
      <c r="D19" s="12">
        <f>'Calc - research target (12m)'!E35</f>
        <v/>
      </c>
    </row>
    <row r="20">
      <c r="A20" t="inlineStr">
        <is>
          <t>PV at target date</t>
        </is>
      </c>
      <c r="B20" s="10">
        <f>'Calc - research target (12m)'!C36</f>
        <v/>
      </c>
      <c r="C20" s="10">
        <f>'Calc - research target (12m)'!D36</f>
        <v/>
      </c>
      <c r="D20" s="10">
        <f>'Calc - research target (12m)'!E36</f>
        <v/>
      </c>
    </row>
    <row r="22">
      <c r="A22" t="inlineStr">
        <is>
          <t>PV of free cash flow after the target date</t>
        </is>
      </c>
      <c r="B22" s="10">
        <f>'Calc - research target (12m)'!B42</f>
        <v/>
      </c>
    </row>
    <row r="23">
      <c r="A23" t="inlineStr">
        <is>
          <t>Terminal value (final year)</t>
        </is>
      </c>
      <c r="B23" s="10">
        <f>'Calc - research target (12m)'!B43</f>
        <v/>
      </c>
    </row>
    <row r="24">
      <c r="A24" t="inlineStr">
        <is>
          <t>PV of terminal value</t>
        </is>
      </c>
      <c r="B24" s="10">
        <f>'Calc - research target (12m)'!B44</f>
        <v/>
      </c>
    </row>
    <row r="25">
      <c r="A25" t="inlineStr">
        <is>
          <t>Enterprise value at target date</t>
        </is>
      </c>
      <c r="B25" s="10">
        <f>'Calc - research target (12m)'!B45</f>
        <v/>
      </c>
    </row>
    <row r="26">
      <c r="A26" t="inlineStr">
        <is>
          <t>Terminal value share of DCF</t>
        </is>
      </c>
      <c r="B26" s="12">
        <f>'Calc - research target (12m)'!B46</f>
        <v/>
      </c>
    </row>
    <row r="27">
      <c r="A27" t="inlineStr">
        <is>
          <t>Net debt at target date</t>
        </is>
      </c>
      <c r="B27" s="10">
        <f>'Calc - research target (12m)'!B50</f>
        <v/>
      </c>
    </row>
    <row r="28">
      <c r="A28" t="inlineStr">
        <is>
          <t>Minority interests</t>
        </is>
      </c>
      <c r="B28" s="10">
        <f>'Calc - research target (12m)'!B51</f>
        <v/>
      </c>
    </row>
    <row r="29">
      <c r="A29" t="inlineStr">
        <is>
          <t>Adjustments</t>
        </is>
      </c>
      <c r="B29" s="10">
        <f>'Calc - research target (12m)'!B52</f>
        <v/>
      </c>
    </row>
    <row r="30">
      <c r="A30" t="inlineStr">
        <is>
          <t>Diluted shares at target date (M)</t>
        </is>
      </c>
      <c r="B30" s="36">
        <f>'Calc - research target (12m)'!B53</f>
        <v/>
      </c>
    </row>
    <row r="31">
      <c r="A31" t="inlineStr">
        <is>
          <t>DCF value per share</t>
        </is>
      </c>
      <c r="B31" s="4">
        <f>'Calc - research target (12m)'!F67</f>
        <v/>
      </c>
    </row>
    <row r="32">
      <c r="A32" t="inlineStr">
        <is>
          <t>WACC</t>
        </is>
      </c>
      <c r="B32" s="12">
        <f>'Calc - research target (12m)'!B12</f>
        <v/>
      </c>
    </row>
    <row r="42">
      <c r="A42" s="21" t="inlineStr">
        <is>
          <t>Assumptions (blue = input; sources on the Sources tab)</t>
        </is>
      </c>
      <c r="B42" s="22" t="n"/>
      <c r="C42" s="22" t="n"/>
      <c r="D42" s="22" t="n"/>
      <c r="E42" s="22" t="n"/>
      <c r="F42" s="22" t="n"/>
      <c r="G42" s="22" t="n"/>
      <c r="H42" s="22" t="n"/>
      <c r="I42" s="22" t="n"/>
    </row>
    <row r="43">
      <c r="A43" s="3" t="inlineStr">
        <is>
          <t>Input</t>
        </is>
      </c>
      <c r="B43" s="3" t="inlineStr">
        <is>
          <t>Value</t>
        </is>
      </c>
      <c r="C43" s="3" t="inlineStr">
        <is>
          <t>Basis / note</t>
        </is>
      </c>
    </row>
    <row r="44">
      <c r="A44" t="inlineStr">
        <is>
          <t>Run date (valuation as of)</t>
        </is>
      </c>
      <c r="B44" s="37" t="n">
        <v>46318</v>
      </c>
      <c r="C44" t="inlineStr"/>
    </row>
    <row r="45">
      <c r="A45" t="inlineStr">
        <is>
          <t>Target date (run date + 365 days)</t>
        </is>
      </c>
      <c r="B45" s="20">
        <f>B44+365</f>
        <v/>
      </c>
      <c r="C45" t="inlineStr">
        <is>
          <t>12-month horizon</t>
        </is>
      </c>
    </row>
    <row r="46">
      <c r="A46" t="inlineStr">
        <is>
          <t>Money unit</t>
        </is>
      </c>
      <c r="B46" s="38" t="inlineStr">
        <is>
          <t>$M</t>
        </is>
      </c>
      <c r="C46" t="inlineStr"/>
    </row>
    <row r="47">
      <c r="A47" t="inlineStr">
        <is>
          <t>EBIT basis (gaap / adjusted)</t>
        </is>
      </c>
      <c r="B47" s="38" t="inlineStr">
        <is>
          <t>gaap</t>
        </is>
      </c>
      <c r="C47" t="inlineStr">
        <is>
          <t>gaap = after stock comp</t>
        </is>
      </c>
    </row>
    <row r="48">
      <c r="A48" t="inlineStr">
        <is>
          <t>Stock comp treatment (cost / dilution)</t>
        </is>
      </c>
      <c r="B48" s="38" t="inlineStr">
        <is>
          <t>cost</t>
        </is>
      </c>
      <c r="C48" t="inlineStr">
        <is>
          <t>used only when EBIT is adjusted</t>
        </is>
      </c>
    </row>
    <row r="49">
      <c r="A49" t="inlineStr">
        <is>
          <t>Last reported fiscal year end</t>
        </is>
      </c>
      <c r="B49" s="37" t="n">
        <v>46022</v>
      </c>
      <c r="C49" t="inlineStr"/>
    </row>
    <row r="50">
      <c r="A50" t="inlineStr">
        <is>
          <t>Net sales, last reported year ($M)</t>
        </is>
      </c>
      <c r="B50" s="26" t="n">
        <v>402836</v>
      </c>
      <c r="C50" t="inlineStr"/>
    </row>
    <row r="51">
      <c r="A51" t="inlineStr">
        <is>
          <t>WACC</t>
        </is>
      </c>
      <c r="B51" s="24" t="n">
        <v>0.09</v>
      </c>
      <c r="C51" t="inlineStr">
        <is>
          <t>filled in (not stated in this set's original work): agent_1's stated ~9% roll-forward rate (mega-cap cost of equity), the only discount rate in the run. Its basis: mega-cap cost of equity at about 32% realised vol, less the $0.22 quarterly dividend (about 0.25% yield). Alphabet holds net cash (6/30: cash + debt securities $155.4B vs debt $100.2B), so the cost of equity is used as the WACC.</t>
        </is>
      </c>
    </row>
    <row r="52">
      <c r="A52" t="inlineStr">
        <is>
          <t>Terminal method (gordon / exit_multiple / steady_state)</t>
        </is>
      </c>
      <c r="B52" s="38" t="inlineStr">
        <is>
          <t>exit_multiple</t>
        </is>
      </c>
      <c r="C52" t="inlineStr"/>
    </row>
    <row r="53">
      <c r="A53" t="inlineStr">
        <is>
          <t>Terminal growth</t>
        </is>
      </c>
      <c r="B53" s="24" t="n">
        <v>0.02</v>
      </c>
      <c r="C53" t="inlineStr"/>
    </row>
    <row r="54">
      <c r="A54" t="inlineStr">
        <is>
          <t>Exit EV/EBITDA (exit_multiple only)</t>
        </is>
      </c>
      <c r="B54" s="39" t="n">
        <v>10.5</v>
      </c>
      <c r="C54" t="inlineStr"/>
    </row>
    <row r="55">
      <c r="A55" t="inlineStr">
        <is>
          <t>Balance-sheet date</t>
        </is>
      </c>
      <c r="B55" s="37" t="n">
        <v>46203</v>
      </c>
      <c r="C55" t="inlineStr"/>
    </row>
    <row r="56">
      <c r="A56" t="inlineStr">
        <is>
          <t>Net debt / (net cash) at balance date ($M)</t>
        </is>
      </c>
      <c r="B56" s="26" t="n">
        <v>-55247</v>
      </c>
      <c r="C56" t="inlineStr">
        <is>
          <t>excludes operating leases</t>
        </is>
      </c>
    </row>
    <row r="57">
      <c r="A57" t="inlineStr">
        <is>
          <t>Minority interests + preferred stock</t>
        </is>
      </c>
      <c r="B57" s="26" t="n">
        <v>0</v>
      </c>
      <c r="C57" t="inlineStr"/>
    </row>
    <row r="58">
      <c r="A58" t="inlineStr">
        <is>
          <t>Interest rate on net debt / cash</t>
        </is>
      </c>
      <c r="B58" s="24" t="n">
        <v>0.022483</v>
      </c>
      <c r="C58" t="inlineStr"/>
    </row>
    <row r="59">
      <c r="A59" t="inlineStr">
        <is>
          <t>Net debt at target date (override; blank = bridge)</t>
        </is>
      </c>
      <c r="B59" s="26" t="n">
        <v>0</v>
      </c>
      <c r="C59" t="inlineStr"/>
    </row>
    <row r="60">
      <c r="A60" t="inlineStr">
        <is>
          <t>Diluted shares (M)</t>
        </is>
      </c>
      <c r="B60" s="40" t="n">
        <v>12309</v>
      </c>
      <c r="C60" t="inlineStr"/>
    </row>
    <row r="61">
      <c r="A61" t="inlineStr">
        <is>
          <t>Share count date</t>
        </is>
      </c>
      <c r="B61" s="37" t="n">
        <v>46203</v>
      </c>
      <c r="C61" t="inlineStr"/>
    </row>
    <row r="62">
      <c r="A62" t="inlineStr">
        <is>
          <t>Annual change in diluted shares</t>
        </is>
      </c>
      <c r="B62" s="24" t="n">
        <v>0</v>
      </c>
      <c r="C62" t="inlineStr">
        <is>
          <t>net of buybacks and stock-comp dilution</t>
        </is>
      </c>
    </row>
    <row r="63">
      <c r="A63" t="inlineStr">
        <is>
          <t>Shares at target date (override; blank = from annual change)</t>
        </is>
      </c>
      <c r="B63" s="40" t="n">
        <v>12423</v>
      </c>
      <c r="C63" t="inlineStr"/>
    </row>
    <row r="64">
      <c r="A64" t="inlineStr">
        <is>
          <t>DCF weight</t>
        </is>
      </c>
      <c r="B64" s="24" t="n">
        <v>0</v>
      </c>
      <c r="C64" t="inlineStr">
        <is>
          <t>Kilian 2026-10-21: 0 unless the name has a DCF leg (dcf_policy)</t>
        </is>
      </c>
    </row>
    <row r="65">
      <c r="A65" t="inlineStr">
        <is>
          <t>Sum-of-the-parts weight</t>
        </is>
      </c>
      <c r="B65" s="24" t="n">
        <v>0.5</v>
      </c>
      <c r="C65" t="inlineStr"/>
    </row>
    <row r="66">
      <c r="A66" t="inlineStr">
        <is>
          <t>Spread within each scenario (lognormal vol)</t>
        </is>
      </c>
      <c r="B66" s="24" t="n">
        <v>0.2116</v>
      </c>
      <c r="C66" t="inlineStr"/>
    </row>
    <row r="67">
      <c r="A67" t="inlineStr">
        <is>
          <t>Share price at the run</t>
        </is>
      </c>
      <c r="B67" s="41" t="n">
        <v>320.21</v>
      </c>
      <c r="C67" t="inlineStr">
        <is>
          <t>close used by the run (2026-10-23)</t>
        </is>
      </c>
    </row>
    <row r="69">
      <c r="A69" s="3" t="inlineStr">
        <is>
          <t>Target multiple</t>
        </is>
      </c>
      <c r="B69" s="3" t="inlineStr">
        <is>
          <t>Multiple</t>
        </is>
      </c>
      <c r="C69" s="3" t="inlineStr">
        <is>
          <t>Weight</t>
        </is>
      </c>
      <c r="D69" s="3" t="inlineStr">
        <is>
          <t>Basis (ntm / ltm)</t>
        </is>
      </c>
      <c r="E69" s="3" t="inlineStr">
        <is>
          <t>EBITDA basis</t>
        </is>
      </c>
      <c r="F69" s="3" t="inlineStr">
        <is>
          <t>Stated EPS</t>
        </is>
      </c>
      <c r="G69" s="3" t="inlineStr">
        <is>
          <t>Stated FCF/share</t>
        </is>
      </c>
      <c r="H69" s="3" t="inlineStr">
        <is>
          <t>Levered</t>
        </is>
      </c>
      <c r="I69" s="3" t="inlineStr">
        <is>
          <t>Peer basis</t>
        </is>
      </c>
    </row>
    <row r="70">
      <c r="A70" s="38" t="inlineStr">
        <is>
          <t>P/E</t>
        </is>
      </c>
      <c r="B70" s="39" t="n">
        <v>21.2</v>
      </c>
      <c r="C70" s="24" t="n">
        <v>0.5</v>
      </c>
      <c r="D70" s="38" t="inlineStr">
        <is>
          <t>ntm</t>
        </is>
      </c>
      <c r="E70" s="38" t="inlineStr">
        <is>
          <t>gaap</t>
        </is>
      </c>
      <c r="F70" s="42" t="n">
        <v>14.60289668028933</v>
      </c>
      <c r="G70" s="42" t="n"/>
      <c r="H70" s="38" t="b">
        <v>1</v>
      </c>
      <c r="I70" t="inlineStr">
        <is>
          <t>Refreshed 5-name set (Kilian 2026-10-26 06:07Z): MSFT, AMZN, META, RDDT, APP; Nasdaq.com/Zacks consensus EPS calendarized to CY2027 at the 2026-10-23 close: MSFT 24.45x, AMZN 23.29x, RDDT 20.79x, META 18.94x, APP 13.08x -&gt; median 20.8x, no premium. CY2027 is the base round's basis (next calendar year from the price date, applied to CY2028E at the Oct-2027 horizon, the same 69-day lead). Peer count flag: 5 (under 10). EXIT k=0.8 (2026-10-26T12:28Z): Exit-multiple rule (Kilian card 2026-10-26 12:16Z; METHOD.md Peer comparables): exit = peer median x (own NTM multiple / peer median)^k, k = 0.8. Peer median 20.8x; own 21.3x: GOOGL $320.21 / CY2027 Zacks consensus EPS $15.03 = 21.30x, the CY2027 basis of this leg (FY2027 used because FY2026 consensus carries stake gains; same figure as the AMZN round's peer row). 20.8 x (21.3 / 20.8)^0.8 = 20.8 x 1.0192 = 21.2x (was 20.8x). SOTP segment multiples (Services 18.25x, Cloud 23.3x) stay at their peer medians: a segment has no own traded multiple (rule: no meaningful own multiple -&gt; peer median).</t>
        </is>
      </c>
    </row>
    <row r="72">
      <c r="A72" s="3" t="inlineStr">
        <is>
          <t>Segment (sum of the parts)</t>
        </is>
      </c>
      <c r="B72" s="3" t="inlineStr">
        <is>
          <t>NTM metric</t>
        </is>
      </c>
      <c r="C72" s="3" t="inlineStr">
        <is>
          <t>Metric</t>
        </is>
      </c>
      <c r="D72" s="3" t="inlineStr">
        <is>
          <t>Multiple</t>
        </is>
      </c>
      <c r="E72" s="3" t="inlineStr">
        <is>
          <t>Note</t>
        </is>
      </c>
    </row>
    <row r="73">
      <c r="A73" s="38" t="inlineStr">
        <is>
          <t>Google Services: CY2028E after-tax OI x ad/consumer-platform peers</t>
        </is>
      </c>
      <c r="B73" s="26" t="n">
        <v>157419.5710200481</v>
      </c>
      <c r="C73" s="38" t="inlineStr"/>
      <c r="D73" s="39" t="n">
        <v>18.25</v>
      </c>
      <c r="E73" t="inlineStr">
        <is>
          <t>Search &amp; other + YouTube ads, Network, subscriptions/platforms/devices: segment_build FY2028 OI (margin 46%) less its revenue share of the capex-vintage depreciation above the H1-26 intensity, x (1 - 17%). Driver-linked (driver_build.set).</t>
        </is>
      </c>
    </row>
    <row r="74">
      <c r="A74" s="38" t="inlineStr">
        <is>
          <t>Google Cloud: CY2028E after-tax OI x cloud peers</t>
        </is>
      </c>
      <c r="B74" s="26" t="n">
        <v>54536.21443918616</v>
      </c>
      <c r="C74" s="38" t="inlineStr"/>
      <c r="D74" s="39" t="n">
        <v>23.3</v>
      </c>
      <c r="E74" t="inlineStr">
        <is>
          <t>Google Cloud: segment_build FY2028 OI (margin 39%) less its revenue share of the excess depreciation, x (1 - 17%). Driver-linked.</t>
        </is>
      </c>
    </row>
    <row r="75">
      <c r="A75" s="38" t="inlineStr">
        <is>
          <t>Alphabet-level costs: CY2028E after tax x the Services multiple</t>
        </is>
      </c>
      <c r="B75" s="26" t="n">
        <v>-24070</v>
      </c>
      <c r="C75" s="38" t="inlineStr"/>
      <c r="D75" s="39" t="n">
        <v>18.25</v>
      </c>
      <c r="E75" t="inlineStr">
        <is>
          <t>Alphabet-level costs FY2028 -$29.0B (segment_build corporate_ebit constant, estimate) x (1 - 17%) = -$24.07B.</t>
        </is>
      </c>
    </row>
    <row r="76">
      <c r="A76" s="38" t="inlineStr">
        <is>
          <t>Other Bets: CY2028E after-tax loss x the P/E multiple (Waymo / Isomorphic add-backs in adjustments)</t>
        </is>
      </c>
      <c r="B76" s="26" t="n">
        <v>-6474</v>
      </c>
      <c r="C76" s="38" t="inlineStr"/>
      <c r="D76" s="39" t="n">
        <v>20.8</v>
      </c>
      <c r="E76" t="inlineStr">
        <is>
          <t>Other Bets FY2028 -$7.80B (run-rate, segment_build) x (1 - 17%) = -$6.474B.</t>
        </is>
      </c>
    </row>
    <row r="78">
      <c r="A78" s="3" t="inlineStr">
        <is>
          <t>Adjustment (equity level)</t>
        </is>
      </c>
      <c r="B78" s="3" t="inlineStr">
        <is>
          <t>Value</t>
        </is>
      </c>
      <c r="C78" s="3" t="inlineStr">
        <is>
          <t>Probability</t>
        </is>
      </c>
      <c r="D78" s="3" t="inlineStr">
        <is>
          <t>Note</t>
        </is>
      </c>
    </row>
    <row r="79">
      <c r="A79" s="38" t="inlineStr">
        <is>
          <t>Net financial assets at the horizon (supervisor)</t>
        </is>
      </c>
      <c r="B79" s="26" t="n">
        <v>187300</v>
      </c>
      <c r="C79" s="24" t="n">
        <v>1</v>
      </c>
      <c r="D79" t="inlineStr">
        <is>
          <t>Net cash rolled to Oct 2027 on consensus FCF $17.0B + other marketable equity $7.063B x 0.85 + SpaceX $94.1B x 0.75 + non-marketable $131.461B x 0.70 = $185.6B. Carries the net cash, so net debt at the horizon is set to 0.</t>
        </is>
      </c>
    </row>
    <row r="80">
      <c r="A80" s="38" t="inlineStr">
        <is>
          <t>post-research adjustment 2026-10-19 (once-over): accrued fines and settlements</t>
        </is>
      </c>
      <c r="B80" s="26" t="n">
        <v>-17356</v>
      </c>
      <c r="C80" s="24" t="n">
        <v>1</v>
      </c>
      <c r="D80" t="inlineStr">
        <is>
          <t>Accrued fines and settlements $17.356B at 6/30 (10-Q R65), not deducted from net cash in the run: -17,356.</t>
        </is>
      </c>
    </row>
    <row r="81">
      <c r="A81" s="38" t="inlineStr">
        <is>
          <t>post-research adjustment 2026-10-19 (once-over): SpaceX re-marked to the 2026-10-16 close</t>
        </is>
      </c>
      <c r="B81" s="26" t="n">
        <v>-10207.5</v>
      </c>
      <c r="C81" s="24" t="n">
        <v>1</v>
      </c>
      <c r="D81" t="inlineStr">
        <is>
          <t>551,189,500 shares (13F at 6/30, $94.176B = $170.86/sh) x $146.03 (10-16 close) = $80.49B, -$13.61B; x 0.75 (the run's SpaceX haircut) = -10,207.5.</t>
        </is>
      </c>
    </row>
    <row r="82">
      <c r="A82" s="38" t="inlineStr">
        <is>
          <t>post-research adjustment 2026-10-19 (once-over): $20.0B private-company funding commitment</t>
        </is>
      </c>
      <c r="B82" s="26" t="n">
        <v>-6000</v>
      </c>
      <c r="C82" s="24" t="n">
        <v>1</v>
      </c>
      <c r="D82" t="inlineStr">
        <is>
          <t>Future capital funding commitment with a private company $20.0B (10-Q R14), an investing outflow not in FCF; at the run's 0.70 stake haircut the loss is 30%: -20,000 x 0.30 = -6,000.</t>
        </is>
      </c>
    </row>
    <row r="83">
      <c r="A83" s="38" t="inlineStr">
        <is>
          <t>post-research adjustment 2026-10-19 (once-over): finance lease liabilities</t>
        </is>
      </c>
      <c r="B83" s="26" t="n">
        <v>-2590</v>
      </c>
      <c r="C83" s="24" t="n">
        <v>1</v>
      </c>
      <c r="D83" t="inlineStr">
        <is>
          <t>Finance lease liabilities $2.590B (XBRL) not deducted: -2,590. Operating leases stay out (rent is in EPS).</t>
        </is>
      </c>
    </row>
    <row r="84">
      <c r="A84" s="38" t="inlineStr">
        <is>
          <t>post-research adjustment 2026-10-19 (once-over): SBC creep shares removed (counted once)</t>
        </is>
      </c>
      <c r="B84" s="26" t="n">
        <v>0</v>
      </c>
      <c r="C84" s="24" t="n">
        <v>1</v>
      </c>
      <c r="D84" t="inlineStr">
        <is>
          <t>Value 0: the item is in the share count. Shares at the horizon 12,400M -&gt; 12,350M (12,309 Q2 diluted + 38M preferred at the maximum rate; the +50M net SBC creep is removed because SBC is a cost in GAAP EPS). P/E leg effect +$0.06 x 0.6 = +$0.04.</t>
        </is>
      </c>
    </row>
    <row r="85">
      <c r="A85" s="38" t="inlineStr">
        <is>
          <t>Anthropic stake estimate 2026-10-19</t>
        </is>
      </c>
      <c r="B85" s="26" t="n">
        <v>51210</v>
      </c>
      <c r="C85" s="24" t="n">
        <v>1</v>
      </c>
      <c r="D85" t="inlineStr">
        <is>
          <t>Labelled estimate (not a filing figure). After-tax, after-lock-up value of Alphabet's Anthropic stake at a $1.5T IPO valuation $124.71B minus the part of the $131.461B non-marketable line already counted (Anthropic carrying value, est. $105B, x 0.70 = $73.50B) = +$51.21B (+$4.15/share on 12,350M). Stake 11.28% fully diluted at the IPO (est.) x $1,500B = $169.22B; less 10.37% lock-up discount (Finnerty, 65% vol, 0.5 yr) = $151.67B; less 21% tax on the gain over an est. $23.3B cost = -$26.96B. Range +$22.7B to +$76.0B. Variant (Polymarket first-day close, $1.92T): +$86.9B. The unfunded $20.0B milestone commitment stays in its own once-over line. See file:///mnt/project-files/valuation/runs/2026-10-06/GOOGL/anthropic_stake_2026-10-19.md</t>
        </is>
      </c>
    </row>
    <row r="86">
      <c r="A86" s="38" t="inlineStr">
        <is>
          <t>Waymo / Other Bets SOTP 2026-10-19</t>
        </is>
      </c>
      <c r="B86" s="26" t="n">
        <v>158066</v>
      </c>
      <c r="C86" s="24" t="n">
        <v>1</v>
      </c>
      <c r="D86" t="inlineStr">
        <is>
          <t>Peer refresh 2026-10-26: the loss add-back moves with the P/E multiple 21.7x -&gt; 20.8x: 4.207 x 20.8 = $87.51B + stake $70.56B = $158.07B (was $161.85B). The SOTP leg values Other Bets at the same 20.8x, so the add-back cancels there too. Labelled estimate (not a filing figure). Consensus GAAP EPS carries Other Bets losses, so the P/E leg values Waymo as a negative. SOTP bridge: (a) add back Waymo's share of the Other Bets loss: H1 2026 Other Bets loss $3.899B x 2 = $7.80B run-rate (10-Q) x 65% Waymo share (est.) = $5.07B pre-tax, x (1 - 17%) = $4.21B after tax, x 21.7 = +$91.29B; (b) plus Alphabet's Waymo stake: ~80% fully diluted (est.) x ($126B post-money Feb 2026 round, Waymo blog, less est. $12B Waymo cash already in consolidated net cash) x (1 - 20% haircut) - 20% x $12B cash attributable to outside holders = +$70.56B; (c) minus non-marketable line: $0 (Waymo is a consolidated VIE, not a non-marketable security). Total +$161.85B = +$13.11/share on 12,350M. Non-Waymo bets (Verily, Wing, X, Calico, GFiber) stay as consensus EPS treats them. Range +$121.5B to +$194.4B (+$9.84 to +$15.74/share). Variant (robotaxi scenario view, Waymo equity ~$62B vs $126B round): +$129.1B (+$10.45/share). See file:///mnt/project-files/valuation/runs/2026-10-06/GOOGL/anthropic_stake_2026-10-19.md</t>
        </is>
      </c>
    </row>
    <row r="87">
      <c r="A87" s="38" t="inlineStr">
        <is>
          <t>remaining items 2026-10-19: conglomerate overlay 10% on non-core stakes (est.)</t>
        </is>
      </c>
      <c r="B87" s="26" t="n">
        <v>-28970</v>
      </c>
      <c r="C87" s="24" t="n">
        <v>1</v>
      </c>
      <c r="D87" t="inlineStr">
        <is>
          <t>Labelled estimate (conglomerate discount requested 2026-10-19 21:33Z). 10% overlay on the non-core stakes after the model's own haircuts: Anthropic 124.71 + other non-marketable (131.461 - 105) x 0.70 = 18.52 + SpaceX 94.1 x 0.75 - 10.21 = 60.37 + other marketable (87.063 - 80.0) x 0.85 = 6.00 + Waymo stake 70.56 + Isomorphic stake 9.52 = $289.68B; x 10% = -$28.97B (-$2.35/share on 12,350M, both legs). Not applied to the core P/E, net cash or the Waymo loss add-back. Variants: 0 (Villalonga 2004 / Campa-Kedia 2002: no discount once selection is controlled) to -$5.86 (25% on stakes) to -$7.71 (25% on stakes and the Waymo add-back). See file:///mnt/project-files/valuation/runs/2026-10-06/GOOGL/remaining_items_2026-10-19.md</t>
        </is>
      </c>
    </row>
    <row r="88">
      <c r="A88" s="38" t="inlineStr">
        <is>
          <t>remaining items 2026-10-19: pre-horizon stock comp, RSU tax-withholding cash (15 months)</t>
        </is>
      </c>
      <c r="B88" s="26" t="n">
        <v>-30140</v>
      </c>
      <c r="C88" s="24" t="n">
        <v>1</v>
      </c>
      <c r="D88" t="inlineStr">
        <is>
          <t>SBC counted once (METHOD.md rule of 2026-10-12): before the horizon it is counted here as withholding cash; after the horizon it is the cost in CY2028 GAAP EPS. Consensus FCF (CFO less capex) adds SBC back, and RSU tax withholding is a financing outflow, so the ~15 months from 6/30/26 to the 2027-10-06 horizon are otherwise charged nowhere. Net payments related to stock-based award activities H1 2026 $12.056B (Q2 10-Q cash flow) x 2.5 half-years = -$30.14B (-$2.44/share, P/E leg only: the cross-check legs value at 6/30 with no roll-forward). Not also counted: SBC-creep shares (removed in the once-over) and ATM dilution (the $40B ATM is 'primarily intended to be used to meet tax obligations associated with employee equity grants', Q2 10-Q). See file:///mnt/project-files/valuation/runs/2026-10-06/GOOGL/remaining_items_2026-10-19.md</t>
        </is>
      </c>
    </row>
    <row r="89">
      <c r="A89" s="38" t="inlineStr">
        <is>
          <t>remaining items 2026-10-19: legal remedies, probability-weighted (EU DMA fine, DOJ search appeal, ad tech)</t>
        </is>
      </c>
      <c r="B89" s="26" t="n">
        <v>-15800</v>
      </c>
      <c r="C89" s="24" t="n">
        <v>1</v>
      </c>
      <c r="D89" t="inlineStr">
        <is>
          <t>EU DMA fine EUR 890M (EC 2026-07-23, EUR 460M Search + EUR 430M Play; not in the $17.356B accrued at 6/30: the Q2 10-Q says 'we cannot reasonably estimate a probable loss') x EUR/USD 1.1212 = -$998M (hard figure); DOJ search appeal, probability-weighted (est.): 0.15 x +1% EPS (Google wins) - 0.15 x 2% EPS (payment ban on remand) on 21.7 x $17.54 = -$0.57/share = -$7,052M; ad tech expected costs (est.): AdX divestiture on appeal 0.07 x $25B + Texas states $2.5B + private follow-on $3.0B + EU structural 0.05 x $10B = -$7,750M. Total -$15,800M (-$1.28/share, both legs). Variant: -5% EPS in the payment-ban case makes the DOJ piece 0.15 x 3.81 - 0.15 x 19.03 = -$2.28/share. See file:///mnt/project-files/valuation/runs/2026-10-06/GOOGL/remaining_items_2026-10-19.md</t>
        </is>
      </c>
    </row>
    <row r="90">
      <c r="A90" s="38" t="inlineStr">
        <is>
          <t>remaining items 2026-10-19: Isomorphic Labs stake + loss add-back (est.)</t>
        </is>
      </c>
      <c r="B90" s="26" t="n">
        <v>16426</v>
      </c>
      <c r="C90" s="24" t="n">
        <v>1</v>
      </c>
      <c r="D90" t="inlineStr">
        <is>
          <t>Peer refresh 2026-10-26: loss add-back 0.4 x 0.83 x 20.8 = $6.906B + stake $9.52B = $16.426B (was $16.724B). Labelled estimate. Consensus EPS capitalises Isomorphic's loss inside Other Bets at -21.7x (the Waymo SOTP adds back only Waymo's 65%). Stake: 80% ownership (est.) x ($17.5B prior valuation (Crypto Briefing 2026-10-08) - $2B cash (est.)) x (1 - 20% haircut, as Waymo) - 20% x $2B = $9.52B; loss add-back: 2026 loss ~$0.4B (est. from the UK accounts: FY2025 loss GBP 159.4M, FY2024 GBP 74.8M) x (1 - 17%) x 21.7 = $7.20B; total +$16,724M (+$1.35/share P/E leg; +$1.07 cross-check; +$1.24 on fair value). Variant: the $40B talks (Bloomberg 2026-10-08, not closed) -&gt; stake $23.92B, +$2.42 on fair value. See file:///mnt/project-files/valuation/runs/2026-10-06/GOOGL/remaining_items_2026-10-19.md</t>
        </is>
      </c>
    </row>
    <row r="91">
      <c r="A91" s="38" t="inlineStr">
        <is>
          <t>remaining items 2026-10-19: share count at the horizon 12,350M -&gt; 12,423M</t>
        </is>
      </c>
      <c r="B91" s="26" t="n">
        <v>0</v>
      </c>
      <c r="C91" s="24" t="n">
        <v>1</v>
      </c>
      <c r="D91" t="inlineStr">
        <is>
          <t>Value 0: the item is in the share count. Point-in-time diluted shares at 6/30: 12,230M outstanding (Q2 10-Q balance sheet) + 142M RSU and contingently issuable (treasury method, Q2 10-Q Note 12) + 50.5M preferred on conversion at ~$381 (19.25M preferred x $1,000 / $381; rates 2.2520-2.8160 / 2.2740-2.8420, Note 11) = 12,423M, vs 12,350M (the June 4 common offering was only time-weighted in the Q2 diluted 12,309M). Shares at the horizon 12,350M -&gt; 12,423M (+0.59%). Effect: the P/E leg's adjustments are divided by 12,423M; the cross-check legs (12.30 / 12.35B shares) lose a mean 0.72% = -$2.43 in the custom leg. See file:///mnt/project-files/valuation/runs/2026-10-06/GOOGL/remaining_items_2026-10-19.md</t>
        </is>
      </c>
    </row>
    <row r="92">
      <c r="A92" s="38" t="inlineStr">
        <is>
          <t>remaining items 2026-10-19: GFiber divestiture cash + note</t>
        </is>
      </c>
      <c r="B92" s="26" t="n">
        <v>3300</v>
      </c>
      <c r="C92" s="24" t="n">
        <v>1</v>
      </c>
      <c r="D92" t="inlineStr">
        <is>
          <t>At close (expected late 2026) Alphabet receives $1.5B cash, a $2.0B note receivable and a 49.99% equity interest (Q2 10-Q Note 8); not in consensus FCF or net financial assets. Cash $1.5B + note $2.0B x 0.9 (haircut, est.) = +$3,300M (+$0.27/share, both legs). The 49.99% equity-method share flows through post-close EPS, so it is not added. See file:///mnt/project-files/valuation/runs/2026-10-06/GOOGL/remaining_items_2026-10-19.md</t>
        </is>
      </c>
    </row>
    <row r="94">
      <c r="A94" s="3" t="inlineStr">
        <is>
          <t>Custom method</t>
        </is>
      </c>
      <c r="B94" s="3" t="inlineStr">
        <is>
          <t>Value per share</t>
        </is>
      </c>
      <c r="C94" s="3" t="inlineStr">
        <is>
          <t>Weight</t>
        </is>
      </c>
      <c r="D94" s="3" t="inlineStr">
        <is>
          <t>Explanation</t>
        </is>
      </c>
    </row>
    <row r="95">
      <c r="A95" s="11" t="inlineStr">
        <is>
          <t>none</t>
        </is>
      </c>
    </row>
    <row r="97">
      <c r="A97" s="3" t="inlineStr">
        <is>
          <t>Scenario</t>
        </is>
      </c>
      <c r="B97" s="3" t="inlineStr">
        <is>
          <t>Probability</t>
        </is>
      </c>
      <c r="C97" s="3" t="inlineStr">
        <is>
          <t>Growth Δ</t>
        </is>
      </c>
      <c r="D97" s="3" t="inlineStr">
        <is>
          <t>Margin Δ</t>
        </is>
      </c>
      <c r="E97" s="3" t="inlineStr">
        <is>
          <t>Multiple Δ (turns)</t>
        </is>
      </c>
      <c r="F97" s="3" t="inlineStr">
        <is>
          <t>WACC Δ</t>
        </is>
      </c>
      <c r="G97" s="3" t="inlineStr">
        <is>
          <t>Multiple %Δ (FCF yield, segments)</t>
        </is>
      </c>
      <c r="H97" s="3" t="inlineStr">
        <is>
          <t>Stated EPS/FCF %Δ</t>
        </is>
      </c>
      <c r="I97" s="3" t="inlineStr">
        <is>
          <t>Custom methods %Δ</t>
        </is>
      </c>
      <c r="J97" s="3" t="inlineStr">
        <is>
          <t>Story</t>
        </is>
      </c>
    </row>
    <row r="98">
      <c r="A98" t="inlineStr">
        <is>
          <t>bear</t>
        </is>
      </c>
      <c r="B98" s="24" t="n">
        <v>0.22</v>
      </c>
      <c r="C98" s="24" t="n"/>
      <c r="D98" s="24" t="n"/>
      <c r="E98" s="43" t="n">
        <v>-5.3</v>
      </c>
      <c r="F98" s="24" t="n"/>
      <c r="G98" s="24" t="n">
        <v>-0.2548</v>
      </c>
      <c r="H98" s="24" t="n"/>
      <c r="I98" s="24" t="n"/>
      <c r="J98" s="44" t="inlineStr">
        <is>
          <t>Stated $252. CY2028 EPS cut to ~$15.5 (capex near the standing view's high case of consensus +39%, and margins flat instead of 35.3% to 35.9%) x 15.5x (between ORCL 17.9x and APP 13.9x on the reconciled set) + ~$12 of stakes after a deeper mark-down = ~$252. Driver restatement (driver_models 2026-10-22): paid clicks -3%, Cloud conversion -10%, capex +25% in every projected year (toward the high case; depreciation and the cash roll both move), multiple -6.2, cross-check -25.6% as before. Peer refresh 2026-10-26: P/E level kept at 15.5x (delta -5.30 on 20.8x); the SOTP parts move -25.48% (same proportion); the cross-check custom leg is gone.</t>
        </is>
      </c>
      <c r="K98" s="44" t="inlineStr">
        <is>
          <t>driver deltas: paid_clicks -0.03 %; cloud_conv -0.1 %; capex +0.25 %</t>
        </is>
      </c>
    </row>
    <row r="99">
      <c r="A99" t="inlineStr">
        <is>
          <t>base</t>
        </is>
      </c>
      <c r="B99" s="24" t="n">
        <v>0.53</v>
      </c>
      <c r="C99" s="24" t="n"/>
      <c r="D99" s="24" t="n"/>
      <c r="E99" s="43" t="n"/>
      <c r="F99" s="24" t="n"/>
      <c r="G99" s="24" t="n"/>
      <c r="H99" s="24" t="n"/>
      <c r="I99" s="24" t="n"/>
      <c r="J99" s="44" t="inlineStr">
        <is>
          <t>[exit k=0.8 2026-10-26: P/E 20.8x -&gt; 21.2x] Stated $370. Equals the reconciled fair value: 0.6 x P/E leg $395.6 (21.7x x $17.54 + $14.97) + 0.4 x $332.4 (mean of the agents' sourcing-corrected SOTP/EV legs $349.9, $327.1, $320.3) = $370.3. Peer refresh 2026-10-26: 0.5 x P/E leg (20.8x) + 0.5 x SOTP leg (Services 18.25x, Cloud 23.3x, Alphabet costs 18.25x, Other Bets 20.8x).</t>
        </is>
      </c>
    </row>
    <row r="100">
      <c r="A100" t="inlineStr">
        <is>
          <t>bull</t>
        </is>
      </c>
      <c r="B100" s="24" t="n">
        <v>0.25</v>
      </c>
      <c r="C100" s="24" t="n"/>
      <c r="D100" s="24" t="n"/>
      <c r="E100" s="43" t="n">
        <v>3.2</v>
      </c>
      <c r="F100" s="24" t="n"/>
      <c r="G100" s="24" t="n">
        <v>0.1538</v>
      </c>
      <c r="H100" s="24" t="n"/>
      <c r="I100" s="24" t="n"/>
      <c r="J100" s="44" t="inlineStr">
        <is>
          <t>Stated $474. CY2028 EPS ~$19 (TPU system revenue lands mostly in 2027, as the CFO said on the Q2 call, and the backlog converts) x 24x (mega-cap median 24.4x) + ~$18 of stakes = ~$474. Driver restatement (driver_models 2026-10-22): TPU system revenue converts the backlog faster (Cloud conversion +15%), paid clicks +2%, multiple +2.3, cross-check +44.0% as before. Peer refresh 2026-10-26: P/E level kept at 24.0x (delta +3.20 on 20.8x); the SOTP parts move +15.38% (same proportion); the cross-check custom leg is gone.</t>
        </is>
      </c>
      <c r="K100" s="44" t="inlineStr">
        <is>
          <t>driver deltas: paid_clicks +0.02 %; cloud_conv +0.15 %</t>
        </is>
      </c>
    </row>
    <row r="102">
      <c r="A102" s="3" t="inlineStr">
        <is>
          <t>Segment build (segment_build)</t>
        </is>
      </c>
      <c r="B102" s="3" t="inlineStr">
        <is>
          <t>Base revenue ($M)</t>
        </is>
      </c>
      <c r="C102" s="3" t="inlineStr">
        <is>
          <t>Driver note (growth and EBIT margin by year: Model tab)</t>
        </is>
      </c>
    </row>
    <row r="103">
      <c r="A103" t="inlineStr">
        <is>
          <t>Google Search &amp; other</t>
        </is>
      </c>
      <c r="B103" s="26" t="n">
        <v>224532</v>
      </c>
      <c r="C103" t="inlineStr"/>
    </row>
    <row r="104">
      <c r="A104" t="inlineStr">
        <is>
          <t>Google Services other (YouTube ads, Network, subscriptions/platforms/devices, hedging)</t>
        </is>
      </c>
      <c r="B104" s="26" t="n">
        <v>118062</v>
      </c>
      <c r="C104" t="inlineStr"/>
    </row>
    <row r="105">
      <c r="A105" t="inlineStr">
        <is>
          <t>Google Cloud</t>
        </is>
      </c>
      <c r="B105" s="26" t="n">
        <v>58705</v>
      </c>
      <c r="C105" t="inlineStr"/>
    </row>
    <row r="106">
      <c r="A106" t="inlineStr">
        <is>
          <t>Other Bets</t>
        </is>
      </c>
      <c r="B106" s="26" t="n">
        <v>1537</v>
      </c>
      <c r="C106" t="inlineStr"/>
    </row>
    <row r="107">
      <c r="A107" s="19" t="inlineStr">
        <is>
          <t>Sum of segment base revenues</t>
        </is>
      </c>
      <c r="B107" s="25">
        <f>SUM(B103:B106)</f>
        <v/>
      </c>
      <c r="C107">
        <f>IF(ABS(B107/Valuation!$B$50-1)&lt;=0.02,"ties to the last reported net sales (within 2%)","FLAG: does not tie to the last reported net sales")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GOOGL: sensitivity tables (bold = current inputs; every cell recalculates from the live model)</t>
        </is>
      </c>
    </row>
    <row r="3">
      <c r="A3" s="19" t="inlineStr">
        <is>
          <t>DCF value per share: WACC (down) x exit EV/EBITDA multiple (across)</t>
        </is>
      </c>
    </row>
    <row r="4">
      <c r="A4" s="19" t="inlineStr">
        <is>
          <t>WACC \ exit multiple</t>
        </is>
      </c>
      <c r="B4" s="45">
        <f>Valuation!$B$54+(-2)</f>
        <v/>
      </c>
      <c r="C4" s="45">
        <f>Valuation!$B$54+(-1)</f>
        <v/>
      </c>
      <c r="D4" s="45">
        <f>Valuation!$B$54+(0)</f>
        <v/>
      </c>
      <c r="E4" s="45">
        <f>Valuation!$B$54+(1)</f>
        <v/>
      </c>
      <c r="F4" s="45">
        <f>Valuation!$B$54+(2)</f>
        <v/>
      </c>
    </row>
    <row r="5">
      <c r="A5" s="7">
        <f>Valuation!$B$51+(-0.01)</f>
        <v/>
      </c>
      <c r="B5" s="9">
        <f>((SUMPRODUCT('Calc - research target (12m)'!$C$31:$E$31,'Calc - research target (12m)'!$C$35:$E$35,(1+$A5)^(-('Calc - research target (12m)'!$C$19:$E$19-'Calc - research target (12m)'!$B$13)))+B$4*'Calc - research target (12m)'!$E$32/(1+$A5)^('Calc - research target (12m)'!$B$16-'Calc - research target (12m)'!$B$13))-'Calc - research target (12m)'!$B$50-'Calc - research target (12m)'!$B$51+'Calc - research target (12m)'!$B$52)/'Calc - research target (12m)'!$B$53</f>
        <v/>
      </c>
      <c r="C5" s="9">
        <f>((SUMPRODUCT('Calc - research target (12m)'!$C$31:$E$31,'Calc - research target (12m)'!$C$35:$E$35,(1+$A5)^(-('Calc - research target (12m)'!$C$19:$E$19-'Calc - research target (12m)'!$B$13)))+C$4*'Calc - research target (12m)'!$E$32/(1+$A5)^('Calc - research target (12m)'!$B$16-'Calc - research target (12m)'!$B$13))-'Calc - research target (12m)'!$B$50-'Calc - research target (12m)'!$B$51+'Calc - research target (12m)'!$B$52)/'Calc - research target (12m)'!$B$53</f>
        <v/>
      </c>
      <c r="D5" s="9">
        <f>((SUMPRODUCT('Calc - research target (12m)'!$C$31:$E$31,'Calc - research target (12m)'!$C$35:$E$35,(1+$A5)^(-('Calc - research target (12m)'!$C$19:$E$19-'Calc - research target (12m)'!$B$13)))+D$4*'Calc - research target (12m)'!$E$32/(1+$A5)^('Calc - research target (12m)'!$B$16-'Calc - research target (12m)'!$B$13))-'Calc - research target (12m)'!$B$50-'Calc - research target (12m)'!$B$51+'Calc - research target (12m)'!$B$52)/'Calc - research target (12m)'!$B$53</f>
        <v/>
      </c>
      <c r="E5" s="9">
        <f>((SUMPRODUCT('Calc - research target (12m)'!$C$31:$E$31,'Calc - research target (12m)'!$C$35:$E$35,(1+$A5)^(-('Calc - research target (12m)'!$C$19:$E$19-'Calc - research target (12m)'!$B$13)))+E$4*'Calc - research target (12m)'!$E$32/(1+$A5)^('Calc - research target (12m)'!$B$16-'Calc - research target (12m)'!$B$13))-'Calc - research target (12m)'!$B$50-'Calc - research target (12m)'!$B$51+'Calc - research target (12m)'!$B$52)/'Calc - research target (12m)'!$B$53</f>
        <v/>
      </c>
      <c r="F5" s="9">
        <f>((SUMPRODUCT('Calc - research target (12m)'!$C$31:$E$31,'Calc - research target (12m)'!$C$35:$E$35,(1+$A5)^(-('Calc - research target (12m)'!$C$19:$E$19-'Calc - research target (12m)'!$B$13)))+F$4*'Calc - research target (12m)'!$E$32/(1+$A5)^('Calc - research target (12m)'!$B$16-'Calc - research target (12m)'!$B$13))-'Calc - research target (12m)'!$B$50-'Calc - research target (12m)'!$B$51+'Calc - research target (12m)'!$B$52)/'Calc - research target (12m)'!$B$53</f>
        <v/>
      </c>
    </row>
    <row r="6">
      <c r="A6" s="7">
        <f>Valuation!$B$51+(-0.005)</f>
        <v/>
      </c>
      <c r="B6" s="9">
        <f>((SUMPRODUCT('Calc - research target (12m)'!$C$31:$E$31,'Calc - research target (12m)'!$C$35:$E$35,(1+$A6)^(-('Calc - research target (12m)'!$C$19:$E$19-'Calc - research target (12m)'!$B$13)))+B$4*'Calc - research target (12m)'!$E$32/(1+$A6)^('Calc - research target (12m)'!$B$16-'Calc - research target (12m)'!$B$13))-'Calc - research target (12m)'!$B$50-'Calc - research target (12m)'!$B$51+'Calc - research target (12m)'!$B$52)/'Calc - research target (12m)'!$B$53</f>
        <v/>
      </c>
      <c r="C6" s="9">
        <f>((SUMPRODUCT('Calc - research target (12m)'!$C$31:$E$31,'Calc - research target (12m)'!$C$35:$E$35,(1+$A6)^(-('Calc - research target (12m)'!$C$19:$E$19-'Calc - research target (12m)'!$B$13)))+C$4*'Calc - research target (12m)'!$E$32/(1+$A6)^('Calc - research target (12m)'!$B$16-'Calc - research target (12m)'!$B$13))-'Calc - research target (12m)'!$B$50-'Calc - research target (12m)'!$B$51+'Calc - research target (12m)'!$B$52)/'Calc - research target (12m)'!$B$53</f>
        <v/>
      </c>
      <c r="D6" s="9">
        <f>((SUMPRODUCT('Calc - research target (12m)'!$C$31:$E$31,'Calc - research target (12m)'!$C$35:$E$35,(1+$A6)^(-('Calc - research target (12m)'!$C$19:$E$19-'Calc - research target (12m)'!$B$13)))+D$4*'Calc - research target (12m)'!$E$32/(1+$A6)^('Calc - research target (12m)'!$B$16-'Calc - research target (12m)'!$B$13))-'Calc - research target (12m)'!$B$50-'Calc - research target (12m)'!$B$51+'Calc - research target (12m)'!$B$52)/'Calc - research target (12m)'!$B$53</f>
        <v/>
      </c>
      <c r="E6" s="9">
        <f>((SUMPRODUCT('Calc - research target (12m)'!$C$31:$E$31,'Calc - research target (12m)'!$C$35:$E$35,(1+$A6)^(-('Calc - research target (12m)'!$C$19:$E$19-'Calc - research target (12m)'!$B$13)))+E$4*'Calc - research target (12m)'!$E$32/(1+$A6)^('Calc - research target (12m)'!$B$16-'Calc - research target (12m)'!$B$13))-'Calc - research target (12m)'!$B$50-'Calc - research target (12m)'!$B$51+'Calc - research target (12m)'!$B$52)/'Calc - research target (12m)'!$B$53</f>
        <v/>
      </c>
      <c r="F6" s="9">
        <f>((SUMPRODUCT('Calc - research target (12m)'!$C$31:$E$31,'Calc - research target (12m)'!$C$35:$E$35,(1+$A6)^(-('Calc - research target (12m)'!$C$19:$E$19-'Calc - research target (12m)'!$B$13)))+F$4*'Calc - research target (12m)'!$E$32/(1+$A6)^('Calc - research target (12m)'!$B$16-'Calc - research target (12m)'!$B$13))-'Calc - research target (12m)'!$B$50-'Calc - research target (12m)'!$B$51+'Calc - research target (12m)'!$B$52)/'Calc - research target (12m)'!$B$53</f>
        <v/>
      </c>
    </row>
    <row r="7">
      <c r="A7" s="7">
        <f>Valuation!$B$51+(0)</f>
        <v/>
      </c>
      <c r="B7" s="9">
        <f>((SUMPRODUCT('Calc - research target (12m)'!$C$31:$E$31,'Calc - research target (12m)'!$C$35:$E$35,(1+$A7)^(-('Calc - research target (12m)'!$C$19:$E$19-'Calc - research target (12m)'!$B$13)))+B$4*'Calc - research target (12m)'!$E$32/(1+$A7)^('Calc - research target (12m)'!$B$16-'Calc - research target (12m)'!$B$13))-'Calc - research target (12m)'!$B$50-'Calc - research target (12m)'!$B$51+'Calc - research target (12m)'!$B$52)/'Calc - research target (12m)'!$B$53</f>
        <v/>
      </c>
      <c r="C7" s="9">
        <f>((SUMPRODUCT('Calc - research target (12m)'!$C$31:$E$31,'Calc - research target (12m)'!$C$35:$E$35,(1+$A7)^(-('Calc - research target (12m)'!$C$19:$E$19-'Calc - research target (12m)'!$B$13)))+C$4*'Calc - research target (12m)'!$E$32/(1+$A7)^('Calc - research target (12m)'!$B$16-'Calc - research target (12m)'!$B$13))-'Calc - research target (12m)'!$B$50-'Calc - research target (12m)'!$B$51+'Calc - research target (12m)'!$B$52)/'Calc - research target (12m)'!$B$53</f>
        <v/>
      </c>
      <c r="D7" s="6">
        <f>((SUMPRODUCT('Calc - research target (12m)'!$C$31:$E$31,'Calc - research target (12m)'!$C$35:$E$35,(1+$A7)^(-('Calc - research target (12m)'!$C$19:$E$19-'Calc - research target (12m)'!$B$13)))+D$4*'Calc - research target (12m)'!$E$32/(1+$A7)^('Calc - research target (12m)'!$B$16-'Calc - research target (12m)'!$B$13))-'Calc - research target (12m)'!$B$50-'Calc - research target (12m)'!$B$51+'Calc - research target (12m)'!$B$52)/'Calc - research target (12m)'!$B$53</f>
        <v/>
      </c>
      <c r="E7" s="9">
        <f>((SUMPRODUCT('Calc - research target (12m)'!$C$31:$E$31,'Calc - research target (12m)'!$C$35:$E$35,(1+$A7)^(-('Calc - research target (12m)'!$C$19:$E$19-'Calc - research target (12m)'!$B$13)))+E$4*'Calc - research target (12m)'!$E$32/(1+$A7)^('Calc - research target (12m)'!$B$16-'Calc - research target (12m)'!$B$13))-'Calc - research target (12m)'!$B$50-'Calc - research target (12m)'!$B$51+'Calc - research target (12m)'!$B$52)/'Calc - research target (12m)'!$B$53</f>
        <v/>
      </c>
      <c r="F7" s="9">
        <f>((SUMPRODUCT('Calc - research target (12m)'!$C$31:$E$31,'Calc - research target (12m)'!$C$35:$E$35,(1+$A7)^(-('Calc - research target (12m)'!$C$19:$E$19-'Calc - research target (12m)'!$B$13)))+F$4*'Calc - research target (12m)'!$E$32/(1+$A7)^('Calc - research target (12m)'!$B$16-'Calc - research target (12m)'!$B$13))-'Calc - research target (12m)'!$B$50-'Calc - research target (12m)'!$B$51+'Calc - research target (12m)'!$B$52)/'Calc - research target (12m)'!$B$53</f>
        <v/>
      </c>
    </row>
    <row r="8">
      <c r="A8" s="7">
        <f>Valuation!$B$51+(0.005)</f>
        <v/>
      </c>
      <c r="B8" s="9">
        <f>((SUMPRODUCT('Calc - research target (12m)'!$C$31:$E$31,'Calc - research target (12m)'!$C$35:$E$35,(1+$A8)^(-('Calc - research target (12m)'!$C$19:$E$19-'Calc - research target (12m)'!$B$13)))+B$4*'Calc - research target (12m)'!$E$32/(1+$A8)^('Calc - research target (12m)'!$B$16-'Calc - research target (12m)'!$B$13))-'Calc - research target (12m)'!$B$50-'Calc - research target (12m)'!$B$51+'Calc - research target (12m)'!$B$52)/'Calc - research target (12m)'!$B$53</f>
        <v/>
      </c>
      <c r="C8" s="9">
        <f>((SUMPRODUCT('Calc - research target (12m)'!$C$31:$E$31,'Calc - research target (12m)'!$C$35:$E$35,(1+$A8)^(-('Calc - research target (12m)'!$C$19:$E$19-'Calc - research target (12m)'!$B$13)))+C$4*'Calc - research target (12m)'!$E$32/(1+$A8)^('Calc - research target (12m)'!$B$16-'Calc - research target (12m)'!$B$13))-'Calc - research target (12m)'!$B$50-'Calc - research target (12m)'!$B$51+'Calc - research target (12m)'!$B$52)/'Calc - research target (12m)'!$B$53</f>
        <v/>
      </c>
      <c r="D8" s="9">
        <f>((SUMPRODUCT('Calc - research target (12m)'!$C$31:$E$31,'Calc - research target (12m)'!$C$35:$E$35,(1+$A8)^(-('Calc - research target (12m)'!$C$19:$E$19-'Calc - research target (12m)'!$B$13)))+D$4*'Calc - research target (12m)'!$E$32/(1+$A8)^('Calc - research target (12m)'!$B$16-'Calc - research target (12m)'!$B$13))-'Calc - research target (12m)'!$B$50-'Calc - research target (12m)'!$B$51+'Calc - research target (12m)'!$B$52)/'Calc - research target (12m)'!$B$53</f>
        <v/>
      </c>
      <c r="E8" s="9">
        <f>((SUMPRODUCT('Calc - research target (12m)'!$C$31:$E$31,'Calc - research target (12m)'!$C$35:$E$35,(1+$A8)^(-('Calc - research target (12m)'!$C$19:$E$19-'Calc - research target (12m)'!$B$13)))+E$4*'Calc - research target (12m)'!$E$32/(1+$A8)^('Calc - research target (12m)'!$B$16-'Calc - research target (12m)'!$B$13))-'Calc - research target (12m)'!$B$50-'Calc - research target (12m)'!$B$51+'Calc - research target (12m)'!$B$52)/'Calc - research target (12m)'!$B$53</f>
        <v/>
      </c>
      <c r="F8" s="9">
        <f>((SUMPRODUCT('Calc - research target (12m)'!$C$31:$E$31,'Calc - research target (12m)'!$C$35:$E$35,(1+$A8)^(-('Calc - research target (12m)'!$C$19:$E$19-'Calc - research target (12m)'!$B$13)))+F$4*'Calc - research target (12m)'!$E$32/(1+$A8)^('Calc - research target (12m)'!$B$16-'Calc - research target (12m)'!$B$13))-'Calc - research target (12m)'!$B$50-'Calc - research target (12m)'!$B$51+'Calc - research target (12m)'!$B$52)/'Calc - research target (12m)'!$B$53</f>
        <v/>
      </c>
    </row>
    <row r="9">
      <c r="A9" s="7">
        <f>Valuation!$B$51+(0.01)</f>
        <v/>
      </c>
      <c r="B9" s="9">
        <f>((SUMPRODUCT('Calc - research target (12m)'!$C$31:$E$31,'Calc - research target (12m)'!$C$35:$E$35,(1+$A9)^(-('Calc - research target (12m)'!$C$19:$E$19-'Calc - research target (12m)'!$B$13)))+B$4*'Calc - research target (12m)'!$E$32/(1+$A9)^('Calc - research target (12m)'!$B$16-'Calc - research target (12m)'!$B$13))-'Calc - research target (12m)'!$B$50-'Calc - research target (12m)'!$B$51+'Calc - research target (12m)'!$B$52)/'Calc - research target (12m)'!$B$53</f>
        <v/>
      </c>
      <c r="C9" s="9">
        <f>((SUMPRODUCT('Calc - research target (12m)'!$C$31:$E$31,'Calc - research target (12m)'!$C$35:$E$35,(1+$A9)^(-('Calc - research target (12m)'!$C$19:$E$19-'Calc - research target (12m)'!$B$13)))+C$4*'Calc - research target (12m)'!$E$32/(1+$A9)^('Calc - research target (12m)'!$B$16-'Calc - research target (12m)'!$B$13))-'Calc - research target (12m)'!$B$50-'Calc - research target (12m)'!$B$51+'Calc - research target (12m)'!$B$52)/'Calc - research target (12m)'!$B$53</f>
        <v/>
      </c>
      <c r="D9" s="9">
        <f>((SUMPRODUCT('Calc - research target (12m)'!$C$31:$E$31,'Calc - research target (12m)'!$C$35:$E$35,(1+$A9)^(-('Calc - research target (12m)'!$C$19:$E$19-'Calc - research target (12m)'!$B$13)))+D$4*'Calc - research target (12m)'!$E$32/(1+$A9)^('Calc - research target (12m)'!$B$16-'Calc - research target (12m)'!$B$13))-'Calc - research target (12m)'!$B$50-'Calc - research target (12m)'!$B$51+'Calc - research target (12m)'!$B$52)/'Calc - research target (12m)'!$B$53</f>
        <v/>
      </c>
      <c r="E9" s="9">
        <f>((SUMPRODUCT('Calc - research target (12m)'!$C$31:$E$31,'Calc - research target (12m)'!$C$35:$E$35,(1+$A9)^(-('Calc - research target (12m)'!$C$19:$E$19-'Calc - research target (12m)'!$B$13)))+E$4*'Calc - research target (12m)'!$E$32/(1+$A9)^('Calc - research target (12m)'!$B$16-'Calc - research target (12m)'!$B$13))-'Calc - research target (12m)'!$B$50-'Calc - research target (12m)'!$B$51+'Calc - research target (12m)'!$B$52)/'Calc - research target (12m)'!$B$53</f>
        <v/>
      </c>
      <c r="F9" s="9">
        <f>((SUMPRODUCT('Calc - research target (12m)'!$C$31:$E$31,'Calc - research target (12m)'!$C$35:$E$35,(1+$A9)^(-('Calc - research target (12m)'!$C$19:$E$19-'Calc - research target (12m)'!$B$13)))+F$4*'Calc - research target (12m)'!$E$32/(1+$A9)^('Calc - research target (12m)'!$B$16-'Calc - research target (12m)'!$B$13))-'Calc - research target (12m)'!$B$50-'Calc - research target (12m)'!$B$51+'Calc - research target (12m)'!$B$52)/'Calc - research target (12m)'!$B$53</f>
        <v/>
      </c>
    </row>
    <row r="11">
      <c r="A11" s="19" t="inlineStr">
        <is>
          <t>Research target (12m) per share: P/E multiple (down) x stated EPS (across)</t>
        </is>
      </c>
    </row>
    <row r="12">
      <c r="A12" s="19" t="inlineStr">
        <is>
          <t>Multiple \ metric</t>
        </is>
      </c>
      <c r="B12" s="30">
        <f>Valuation!F70*0.9</f>
        <v/>
      </c>
      <c r="C12" s="30">
        <f>Valuation!F70*0.95</f>
        <v/>
      </c>
      <c r="D12" s="30">
        <f>Valuation!F70*1.0</f>
        <v/>
      </c>
      <c r="E12" s="30">
        <f>Valuation!F70*1.05</f>
        <v/>
      </c>
      <c r="F12" s="30">
        <f>Valuation!F70*1.1</f>
        <v/>
      </c>
    </row>
    <row r="13">
      <c r="A13" s="45">
        <f>Valuation!$B$70+(-3)</f>
        <v/>
      </c>
      <c r="B13" s="9">
        <f>((SUMPRODUCT('Calc - research target (12m)'!$F$67:$F$69,'Calc - research target (12m)'!$G$67:$G$69)-'Calc - research target (12m)'!$F$68*'Calc - research target (12m)'!$G$68)+'Calc - research target (12m)'!$G$68*($A13*B$12+'Calc - research target (12m)'!$B$52/'Calc - research target (12m)'!$B$53))/SUM('Calc - research target (12m)'!$G$67:$G$69)</f>
        <v/>
      </c>
      <c r="C13" s="9">
        <f>((SUMPRODUCT('Calc - research target (12m)'!$F$67:$F$69,'Calc - research target (12m)'!$G$67:$G$69)-'Calc - research target (12m)'!$F$68*'Calc - research target (12m)'!$G$68)+'Calc - research target (12m)'!$G$68*($A13*C$12+'Calc - research target (12m)'!$B$52/'Calc - research target (12m)'!$B$53))/SUM('Calc - research target (12m)'!$G$67:$G$69)</f>
        <v/>
      </c>
      <c r="D13" s="9">
        <f>((SUMPRODUCT('Calc - research target (12m)'!$F$67:$F$69,'Calc - research target (12m)'!$G$67:$G$69)-'Calc - research target (12m)'!$F$68*'Calc - research target (12m)'!$G$68)+'Calc - research target (12m)'!$G$68*($A13*D$12+'Calc - research target (12m)'!$B$52/'Calc - research target (12m)'!$B$53))/SUM('Calc - research target (12m)'!$G$67:$G$69)</f>
        <v/>
      </c>
      <c r="E13" s="9">
        <f>((SUMPRODUCT('Calc - research target (12m)'!$F$67:$F$69,'Calc - research target (12m)'!$G$67:$G$69)-'Calc - research target (12m)'!$F$68*'Calc - research target (12m)'!$G$68)+'Calc - research target (12m)'!$G$68*($A13*E$12+'Calc - research target (12m)'!$B$52/'Calc - research target (12m)'!$B$53))/SUM('Calc - research target (12m)'!$G$67:$G$69)</f>
        <v/>
      </c>
      <c r="F13" s="9">
        <f>((SUMPRODUCT('Calc - research target (12m)'!$F$67:$F$69,'Calc - research target (12m)'!$G$67:$G$69)-'Calc - research target (12m)'!$F$68*'Calc - research target (12m)'!$G$68)+'Calc - research target (12m)'!$G$68*($A13*F$12+'Calc - research target (12m)'!$B$52/'Calc - research target (12m)'!$B$53))/SUM('Calc - research target (12m)'!$G$67:$G$69)</f>
        <v/>
      </c>
    </row>
    <row r="14">
      <c r="A14" s="45">
        <f>Valuation!$B$70+(-2)</f>
        <v/>
      </c>
      <c r="B14" s="9">
        <f>((SUMPRODUCT('Calc - research target (12m)'!$F$67:$F$69,'Calc - research target (12m)'!$G$67:$G$69)-'Calc - research target (12m)'!$F$68*'Calc - research target (12m)'!$G$68)+'Calc - research target (12m)'!$G$68*($A14*B$12+'Calc - research target (12m)'!$B$52/'Calc - research target (12m)'!$B$53))/SUM('Calc - research target (12m)'!$G$67:$G$69)</f>
        <v/>
      </c>
      <c r="C14" s="9">
        <f>((SUMPRODUCT('Calc - research target (12m)'!$F$67:$F$69,'Calc - research target (12m)'!$G$67:$G$69)-'Calc - research target (12m)'!$F$68*'Calc - research target (12m)'!$G$68)+'Calc - research target (12m)'!$G$68*($A14*C$12+'Calc - research target (12m)'!$B$52/'Calc - research target (12m)'!$B$53))/SUM('Calc - research target (12m)'!$G$67:$G$69)</f>
        <v/>
      </c>
      <c r="D14" s="9">
        <f>((SUMPRODUCT('Calc - research target (12m)'!$F$67:$F$69,'Calc - research target (12m)'!$G$67:$G$69)-'Calc - research target (12m)'!$F$68*'Calc - research target (12m)'!$G$68)+'Calc - research target (12m)'!$G$68*($A14*D$12+'Calc - research target (12m)'!$B$52/'Calc - research target (12m)'!$B$53))/SUM('Calc - research target (12m)'!$G$67:$G$69)</f>
        <v/>
      </c>
      <c r="E14" s="9">
        <f>((SUMPRODUCT('Calc - research target (12m)'!$F$67:$F$69,'Calc - research target (12m)'!$G$67:$G$69)-'Calc - research target (12m)'!$F$68*'Calc - research target (12m)'!$G$68)+'Calc - research target (12m)'!$G$68*($A14*E$12+'Calc - research target (12m)'!$B$52/'Calc - research target (12m)'!$B$53))/SUM('Calc - research target (12m)'!$G$67:$G$69)</f>
        <v/>
      </c>
      <c r="F14" s="9">
        <f>((SUMPRODUCT('Calc - research target (12m)'!$F$67:$F$69,'Calc - research target (12m)'!$G$67:$G$69)-'Calc - research target (12m)'!$F$68*'Calc - research target (12m)'!$G$68)+'Calc - research target (12m)'!$G$68*($A14*F$12+'Calc - research target (12m)'!$B$52/'Calc - research target (12m)'!$B$53))/SUM('Calc - research target (12m)'!$G$67:$G$69)</f>
        <v/>
      </c>
    </row>
    <row r="15">
      <c r="A15" s="45">
        <f>Valuation!$B$70+(-1)</f>
        <v/>
      </c>
      <c r="B15" s="9">
        <f>((SUMPRODUCT('Calc - research target (12m)'!$F$67:$F$69,'Calc - research target (12m)'!$G$67:$G$69)-'Calc - research target (12m)'!$F$68*'Calc - research target (12m)'!$G$68)+'Calc - research target (12m)'!$G$68*($A15*B$12+'Calc - research target (12m)'!$B$52/'Calc - research target (12m)'!$B$53))/SUM('Calc - research target (12m)'!$G$67:$G$69)</f>
        <v/>
      </c>
      <c r="C15" s="9">
        <f>((SUMPRODUCT('Calc - research target (12m)'!$F$67:$F$69,'Calc - research target (12m)'!$G$67:$G$69)-'Calc - research target (12m)'!$F$68*'Calc - research target (12m)'!$G$68)+'Calc - research target (12m)'!$G$68*($A15*C$12+'Calc - research target (12m)'!$B$52/'Calc - research target (12m)'!$B$53))/SUM('Calc - research target (12m)'!$G$67:$G$69)</f>
        <v/>
      </c>
      <c r="D15" s="9">
        <f>((SUMPRODUCT('Calc - research target (12m)'!$F$67:$F$69,'Calc - research target (12m)'!$G$67:$G$69)-'Calc - research target (12m)'!$F$68*'Calc - research target (12m)'!$G$68)+'Calc - research target (12m)'!$G$68*($A15*D$12+'Calc - research target (12m)'!$B$52/'Calc - research target (12m)'!$B$53))/SUM('Calc - research target (12m)'!$G$67:$G$69)</f>
        <v/>
      </c>
      <c r="E15" s="9">
        <f>((SUMPRODUCT('Calc - research target (12m)'!$F$67:$F$69,'Calc - research target (12m)'!$G$67:$G$69)-'Calc - research target (12m)'!$F$68*'Calc - research target (12m)'!$G$68)+'Calc - research target (12m)'!$G$68*($A15*E$12+'Calc - research target (12m)'!$B$52/'Calc - research target (12m)'!$B$53))/SUM('Calc - research target (12m)'!$G$67:$G$69)</f>
        <v/>
      </c>
      <c r="F15" s="9">
        <f>((SUMPRODUCT('Calc - research target (12m)'!$F$67:$F$69,'Calc - research target (12m)'!$G$67:$G$69)-'Calc - research target (12m)'!$F$68*'Calc - research target (12m)'!$G$68)+'Calc - research target (12m)'!$G$68*($A15*F$12+'Calc - research target (12m)'!$B$52/'Calc - research target (12m)'!$B$53))/SUM('Calc - research target (12m)'!$G$67:$G$69)</f>
        <v/>
      </c>
    </row>
    <row r="16">
      <c r="A16" s="45">
        <f>Valuation!$B$70+(0)</f>
        <v/>
      </c>
      <c r="B16" s="9">
        <f>((SUMPRODUCT('Calc - research target (12m)'!$F$67:$F$69,'Calc - research target (12m)'!$G$67:$G$69)-'Calc - research target (12m)'!$F$68*'Calc - research target (12m)'!$G$68)+'Calc - research target (12m)'!$G$68*($A16*B$12+'Calc - research target (12m)'!$B$52/'Calc - research target (12m)'!$B$53))/SUM('Calc - research target (12m)'!$G$67:$G$69)</f>
        <v/>
      </c>
      <c r="C16" s="9">
        <f>((SUMPRODUCT('Calc - research target (12m)'!$F$67:$F$69,'Calc - research target (12m)'!$G$67:$G$69)-'Calc - research target (12m)'!$F$68*'Calc - research target (12m)'!$G$68)+'Calc - research target (12m)'!$G$68*($A16*C$12+'Calc - research target (12m)'!$B$52/'Calc - research target (12m)'!$B$53))/SUM('Calc - research target (12m)'!$G$67:$G$69)</f>
        <v/>
      </c>
      <c r="D16" s="6">
        <f>((SUMPRODUCT('Calc - research target (12m)'!$F$67:$F$69,'Calc - research target (12m)'!$G$67:$G$69)-'Calc - research target (12m)'!$F$68*'Calc - research target (12m)'!$G$68)+'Calc - research target (12m)'!$G$68*($A16*D$12+'Calc - research target (12m)'!$B$52/'Calc - research target (12m)'!$B$53))/SUM('Calc - research target (12m)'!$G$67:$G$69)</f>
        <v/>
      </c>
      <c r="E16" s="9">
        <f>((SUMPRODUCT('Calc - research target (12m)'!$F$67:$F$69,'Calc - research target (12m)'!$G$67:$G$69)-'Calc - research target (12m)'!$F$68*'Calc - research target (12m)'!$G$68)+'Calc - research target (12m)'!$G$68*($A16*E$12+'Calc - research target (12m)'!$B$52/'Calc - research target (12m)'!$B$53))/SUM('Calc - research target (12m)'!$G$67:$G$69)</f>
        <v/>
      </c>
      <c r="F16" s="9">
        <f>((SUMPRODUCT('Calc - research target (12m)'!$F$67:$F$69,'Calc - research target (12m)'!$G$67:$G$69)-'Calc - research target (12m)'!$F$68*'Calc - research target (12m)'!$G$68)+'Calc - research target (12m)'!$G$68*($A16*F$12+'Calc - research target (12m)'!$B$52/'Calc - research target (12m)'!$B$53))/SUM('Calc - research target (12m)'!$G$67:$G$69)</f>
        <v/>
      </c>
    </row>
    <row r="17">
      <c r="A17" s="45">
        <f>Valuation!$B$70+(1)</f>
        <v/>
      </c>
      <c r="B17" s="9">
        <f>((SUMPRODUCT('Calc - research target (12m)'!$F$67:$F$69,'Calc - research target (12m)'!$G$67:$G$69)-'Calc - research target (12m)'!$F$68*'Calc - research target (12m)'!$G$68)+'Calc - research target (12m)'!$G$68*($A17*B$12+'Calc - research target (12m)'!$B$52/'Calc - research target (12m)'!$B$53))/SUM('Calc - research target (12m)'!$G$67:$G$69)</f>
        <v/>
      </c>
      <c r="C17" s="9">
        <f>((SUMPRODUCT('Calc - research target (12m)'!$F$67:$F$69,'Calc - research target (12m)'!$G$67:$G$69)-'Calc - research target (12m)'!$F$68*'Calc - research target (12m)'!$G$68)+'Calc - research target (12m)'!$G$68*($A17*C$12+'Calc - research target (12m)'!$B$52/'Calc - research target (12m)'!$B$53))/SUM('Calc - research target (12m)'!$G$67:$G$69)</f>
        <v/>
      </c>
      <c r="D17" s="9">
        <f>((SUMPRODUCT('Calc - research target (12m)'!$F$67:$F$69,'Calc - research target (12m)'!$G$67:$G$69)-'Calc - research target (12m)'!$F$68*'Calc - research target (12m)'!$G$68)+'Calc - research target (12m)'!$G$68*($A17*D$12+'Calc - research target (12m)'!$B$52/'Calc - research target (12m)'!$B$53))/SUM('Calc - research target (12m)'!$G$67:$G$69)</f>
        <v/>
      </c>
      <c r="E17" s="9">
        <f>((SUMPRODUCT('Calc - research target (12m)'!$F$67:$F$69,'Calc - research target (12m)'!$G$67:$G$69)-'Calc - research target (12m)'!$F$68*'Calc - research target (12m)'!$G$68)+'Calc - research target (12m)'!$G$68*($A17*E$12+'Calc - research target (12m)'!$B$52/'Calc - research target (12m)'!$B$53))/SUM('Calc - research target (12m)'!$G$67:$G$69)</f>
        <v/>
      </c>
      <c r="F17" s="9">
        <f>((SUMPRODUCT('Calc - research target (12m)'!$F$67:$F$69,'Calc - research target (12m)'!$G$67:$G$69)-'Calc - research target (12m)'!$F$68*'Calc - research target (12m)'!$G$68)+'Calc - research target (12m)'!$G$68*($A17*F$12+'Calc - research target (12m)'!$B$52/'Calc - research target (12m)'!$B$53))/SUM('Calc - research target (12m)'!$G$67:$G$69)</f>
        <v/>
      </c>
    </row>
    <row r="18">
      <c r="A18" s="45">
        <f>Valuation!$B$70+(2)</f>
        <v/>
      </c>
      <c r="B18" s="9">
        <f>((SUMPRODUCT('Calc - research target (12m)'!$F$67:$F$69,'Calc - research target (12m)'!$G$67:$G$69)-'Calc - research target (12m)'!$F$68*'Calc - research target (12m)'!$G$68)+'Calc - research target (12m)'!$G$68*($A18*B$12+'Calc - research target (12m)'!$B$52/'Calc - research target (12m)'!$B$53))/SUM('Calc - research target (12m)'!$G$67:$G$69)</f>
        <v/>
      </c>
      <c r="C18" s="9">
        <f>((SUMPRODUCT('Calc - research target (12m)'!$F$67:$F$69,'Calc - research target (12m)'!$G$67:$G$69)-'Calc - research target (12m)'!$F$68*'Calc - research target (12m)'!$G$68)+'Calc - research target (12m)'!$G$68*($A18*C$12+'Calc - research target (12m)'!$B$52/'Calc - research target (12m)'!$B$53))/SUM('Calc - research target (12m)'!$G$67:$G$69)</f>
        <v/>
      </c>
      <c r="D18" s="9">
        <f>((SUMPRODUCT('Calc - research target (12m)'!$F$67:$F$69,'Calc - research target (12m)'!$G$67:$G$69)-'Calc - research target (12m)'!$F$68*'Calc - research target (12m)'!$G$68)+'Calc - research target (12m)'!$G$68*($A18*D$12+'Calc - research target (12m)'!$B$52/'Calc - research target (12m)'!$B$53))/SUM('Calc - research target (12m)'!$G$67:$G$69)</f>
        <v/>
      </c>
      <c r="E18" s="9">
        <f>((SUMPRODUCT('Calc - research target (12m)'!$F$67:$F$69,'Calc - research target (12m)'!$G$67:$G$69)-'Calc - research target (12m)'!$F$68*'Calc - research target (12m)'!$G$68)+'Calc - research target (12m)'!$G$68*($A18*E$12+'Calc - research target (12m)'!$B$52/'Calc - research target (12m)'!$B$53))/SUM('Calc - research target (12m)'!$G$67:$G$69)</f>
        <v/>
      </c>
      <c r="F18" s="9">
        <f>((SUMPRODUCT('Calc - research target (12m)'!$F$67:$F$69,'Calc - research target (12m)'!$G$67:$G$69)-'Calc - research target (12m)'!$F$68*'Calc - research target (12m)'!$G$68)+'Calc - research target (12m)'!$G$68*($A18*F$12+'Calc - research target (12m)'!$B$52/'Calc - research target (12m)'!$B$53))/SUM('Calc - research target (12m)'!$G$67:$G$69)</f>
        <v/>
      </c>
    </row>
    <row r="19">
      <c r="A19" s="45">
        <f>Valuation!$B$70+(3)</f>
        <v/>
      </c>
      <c r="B19" s="9">
        <f>((SUMPRODUCT('Calc - research target (12m)'!$F$67:$F$69,'Calc - research target (12m)'!$G$67:$G$69)-'Calc - research target (12m)'!$F$68*'Calc - research target (12m)'!$G$68)+'Calc - research target (12m)'!$G$68*($A19*B$12+'Calc - research target (12m)'!$B$52/'Calc - research target (12m)'!$B$53))/SUM('Calc - research target (12m)'!$G$67:$G$69)</f>
        <v/>
      </c>
      <c r="C19" s="9">
        <f>((SUMPRODUCT('Calc - research target (12m)'!$F$67:$F$69,'Calc - research target (12m)'!$G$67:$G$69)-'Calc - research target (12m)'!$F$68*'Calc - research target (12m)'!$G$68)+'Calc - research target (12m)'!$G$68*($A19*C$12+'Calc - research target (12m)'!$B$52/'Calc - research target (12m)'!$B$53))/SUM('Calc - research target (12m)'!$G$67:$G$69)</f>
        <v/>
      </c>
      <c r="D19" s="9">
        <f>((SUMPRODUCT('Calc - research target (12m)'!$F$67:$F$69,'Calc - research target (12m)'!$G$67:$G$69)-'Calc - research target (12m)'!$F$68*'Calc - research target (12m)'!$G$68)+'Calc - research target (12m)'!$G$68*($A19*D$12+'Calc - research target (12m)'!$B$52/'Calc - research target (12m)'!$B$53))/SUM('Calc - research target (12m)'!$G$67:$G$69)</f>
        <v/>
      </c>
      <c r="E19" s="9">
        <f>((SUMPRODUCT('Calc - research target (12m)'!$F$67:$F$69,'Calc - research target (12m)'!$G$67:$G$69)-'Calc - research target (12m)'!$F$68*'Calc - research target (12m)'!$G$68)+'Calc - research target (12m)'!$G$68*($A19*E$12+'Calc - research target (12m)'!$B$52/'Calc - research target (12m)'!$B$53))/SUM('Calc - research target (12m)'!$G$67:$G$69)</f>
        <v/>
      </c>
      <c r="F19" s="9">
        <f>((SUMPRODUCT('Calc - research target (12m)'!$F$67:$F$69,'Calc - research target (12m)'!$G$67:$G$69)-'Calc - research target (12m)'!$F$68*'Calc - research target (12m)'!$G$68)+'Calc - research target (12m)'!$G$68*($A19*F$12+'Calc - research target (12m)'!$B$52/'Calc - research target (12m)'!$B$53))/SUM('Calc - research target (12m)'!$G$67:$G$69)</f>
        <v/>
      </c>
    </row>
    <row r="22">
      <c r="A22" s="19" t="inlineStr">
        <is>
          <t>FY2027E diluted EPS: revenue growth change in every year (down) x EBIT margin change (across)</t>
        </is>
      </c>
    </row>
    <row r="23">
      <c r="A23" s="19" t="inlineStr">
        <is>
          <t>Growth Δ \ margin Δ</t>
        </is>
      </c>
      <c r="B23" s="46" t="n">
        <v>-0.01</v>
      </c>
      <c r="C23" s="46" t="n">
        <v>-0.005</v>
      </c>
      <c r="D23" s="46" t="n">
        <v>0</v>
      </c>
      <c r="E23" s="46" t="n">
        <v>0.005</v>
      </c>
      <c r="F23" s="46" t="n">
        <v>0.01</v>
      </c>
    </row>
    <row r="24">
      <c r="A24" s="46" t="n">
        <v>-0.02</v>
      </c>
      <c r="B24" s="29">
        <f>(Valuation!$B$103*(1+Model!E12+$A24)*(1+Model!F12+$A24)*(Model!F14+B$23)+Valuation!$B$104*(1+Model!E16+$A24)*(1+Model!F16+$A24)*(Model!F18+B$23)+Valuation!$B$105*(1+Model!E20+$A24)*(1+Model!F20+$A24)*(Model!F22+B$23)+Valuation!$B$106*(1+Model!E24+$A24)*(1+Model!F24+$A24)*(Model!F26+B$23)+Model!F29+Model!F41)*(1-Model!F71)/Model!F48</f>
        <v/>
      </c>
      <c r="C24" s="29">
        <f>(Valuation!$B$103*(1+Model!E12+$A24)*(1+Model!F12+$A24)*(Model!F14+C$23)+Valuation!$B$104*(1+Model!E16+$A24)*(1+Model!F16+$A24)*(Model!F18+C$23)+Valuation!$B$105*(1+Model!E20+$A24)*(1+Model!F20+$A24)*(Model!F22+C$23)+Valuation!$B$106*(1+Model!E24+$A24)*(1+Model!F24+$A24)*(Model!F26+C$23)+Model!F29+Model!F41)*(1-Model!F71)/Model!F48</f>
        <v/>
      </c>
      <c r="D24" s="29">
        <f>(Valuation!$B$103*(1+Model!E12+$A24)*(1+Model!F12+$A24)*(Model!F14+D$23)+Valuation!$B$104*(1+Model!E16+$A24)*(1+Model!F16+$A24)*(Model!F18+D$23)+Valuation!$B$105*(1+Model!E20+$A24)*(1+Model!F20+$A24)*(Model!F22+D$23)+Valuation!$B$106*(1+Model!E24+$A24)*(1+Model!F24+$A24)*(Model!F26+D$23)+Model!F29+Model!F41)*(1-Model!F71)/Model!F48</f>
        <v/>
      </c>
      <c r="E24" s="29">
        <f>(Valuation!$B$103*(1+Model!E12+$A24)*(1+Model!F12+$A24)*(Model!F14+E$23)+Valuation!$B$104*(1+Model!E16+$A24)*(1+Model!F16+$A24)*(Model!F18+E$23)+Valuation!$B$105*(1+Model!E20+$A24)*(1+Model!F20+$A24)*(Model!F22+E$23)+Valuation!$B$106*(1+Model!E24+$A24)*(1+Model!F24+$A24)*(Model!F26+E$23)+Model!F29+Model!F41)*(1-Model!F71)/Model!F48</f>
        <v/>
      </c>
      <c r="F24" s="29">
        <f>(Valuation!$B$103*(1+Model!E12+$A24)*(1+Model!F12+$A24)*(Model!F14+F$23)+Valuation!$B$104*(1+Model!E16+$A24)*(1+Model!F16+$A24)*(Model!F18+F$23)+Valuation!$B$105*(1+Model!E20+$A24)*(1+Model!F20+$A24)*(Model!F22+F$23)+Valuation!$B$106*(1+Model!E24+$A24)*(1+Model!F24+$A24)*(Model!F26+F$23)+Model!F29+Model!F41)*(1-Model!F71)/Model!F48</f>
        <v/>
      </c>
    </row>
    <row r="25">
      <c r="A25" s="46" t="n">
        <v>-0.01</v>
      </c>
      <c r="B25" s="29">
        <f>(Valuation!$B$103*(1+Model!E12+$A25)*(1+Model!F12+$A25)*(Model!F14+B$23)+Valuation!$B$104*(1+Model!E16+$A25)*(1+Model!F16+$A25)*(Model!F18+B$23)+Valuation!$B$105*(1+Model!E20+$A25)*(1+Model!F20+$A25)*(Model!F22+B$23)+Valuation!$B$106*(1+Model!E24+$A25)*(1+Model!F24+$A25)*(Model!F26+B$23)+Model!F29+Model!F41)*(1-Model!F71)/Model!F48</f>
        <v/>
      </c>
      <c r="C25" s="29">
        <f>(Valuation!$B$103*(1+Model!E12+$A25)*(1+Model!F12+$A25)*(Model!F14+C$23)+Valuation!$B$104*(1+Model!E16+$A25)*(1+Model!F16+$A25)*(Model!F18+C$23)+Valuation!$B$105*(1+Model!E20+$A25)*(1+Model!F20+$A25)*(Model!F22+C$23)+Valuation!$B$106*(1+Model!E24+$A25)*(1+Model!F24+$A25)*(Model!F26+C$23)+Model!F29+Model!F41)*(1-Model!F71)/Model!F48</f>
        <v/>
      </c>
      <c r="D25" s="29">
        <f>(Valuation!$B$103*(1+Model!E12+$A25)*(1+Model!F12+$A25)*(Model!F14+D$23)+Valuation!$B$104*(1+Model!E16+$A25)*(1+Model!F16+$A25)*(Model!F18+D$23)+Valuation!$B$105*(1+Model!E20+$A25)*(1+Model!F20+$A25)*(Model!F22+D$23)+Valuation!$B$106*(1+Model!E24+$A25)*(1+Model!F24+$A25)*(Model!F26+D$23)+Model!F29+Model!F41)*(1-Model!F71)/Model!F48</f>
        <v/>
      </c>
      <c r="E25" s="29">
        <f>(Valuation!$B$103*(1+Model!E12+$A25)*(1+Model!F12+$A25)*(Model!F14+E$23)+Valuation!$B$104*(1+Model!E16+$A25)*(1+Model!F16+$A25)*(Model!F18+E$23)+Valuation!$B$105*(1+Model!E20+$A25)*(1+Model!F20+$A25)*(Model!F22+E$23)+Valuation!$B$106*(1+Model!E24+$A25)*(1+Model!F24+$A25)*(Model!F26+E$23)+Model!F29+Model!F41)*(1-Model!F71)/Model!F48</f>
        <v/>
      </c>
      <c r="F25" s="29">
        <f>(Valuation!$B$103*(1+Model!E12+$A25)*(1+Model!F12+$A25)*(Model!F14+F$23)+Valuation!$B$104*(1+Model!E16+$A25)*(1+Model!F16+$A25)*(Model!F18+F$23)+Valuation!$B$105*(1+Model!E20+$A25)*(1+Model!F20+$A25)*(Model!F22+F$23)+Valuation!$B$106*(1+Model!E24+$A25)*(1+Model!F24+$A25)*(Model!F26+F$23)+Model!F29+Model!F41)*(1-Model!F71)/Model!F48</f>
        <v/>
      </c>
    </row>
    <row r="26">
      <c r="A26" s="46" t="n">
        <v>0</v>
      </c>
      <c r="B26" s="29">
        <f>(Valuation!$B$103*(1+Model!E12+$A26)*(1+Model!F12+$A26)*(Model!F14+B$23)+Valuation!$B$104*(1+Model!E16+$A26)*(1+Model!F16+$A26)*(Model!F18+B$23)+Valuation!$B$105*(1+Model!E20+$A26)*(1+Model!F20+$A26)*(Model!F22+B$23)+Valuation!$B$106*(1+Model!E24+$A26)*(1+Model!F24+$A26)*(Model!F26+B$23)+Model!F29+Model!F41)*(1-Model!F71)/Model!F48</f>
        <v/>
      </c>
      <c r="C26" s="29">
        <f>(Valuation!$B$103*(1+Model!E12+$A26)*(1+Model!F12+$A26)*(Model!F14+C$23)+Valuation!$B$104*(1+Model!E16+$A26)*(1+Model!F16+$A26)*(Model!F18+C$23)+Valuation!$B$105*(1+Model!E20+$A26)*(1+Model!F20+$A26)*(Model!F22+C$23)+Valuation!$B$106*(1+Model!E24+$A26)*(1+Model!F24+$A26)*(Model!F26+C$23)+Model!F29+Model!F41)*(1-Model!F71)/Model!F48</f>
        <v/>
      </c>
      <c r="D26" s="30">
        <f>(Valuation!$B$103*(1+Model!E12+$A26)*(1+Model!F12+$A26)*(Model!F14+D$23)+Valuation!$B$104*(1+Model!E16+$A26)*(1+Model!F16+$A26)*(Model!F18+D$23)+Valuation!$B$105*(1+Model!E20+$A26)*(1+Model!F20+$A26)*(Model!F22+D$23)+Valuation!$B$106*(1+Model!E24+$A26)*(1+Model!F24+$A26)*(Model!F26+D$23)+Model!F29+Model!F41)*(1-Model!F71)/Model!F48</f>
        <v/>
      </c>
      <c r="E26" s="29">
        <f>(Valuation!$B$103*(1+Model!E12+$A26)*(1+Model!F12+$A26)*(Model!F14+E$23)+Valuation!$B$104*(1+Model!E16+$A26)*(1+Model!F16+$A26)*(Model!F18+E$23)+Valuation!$B$105*(1+Model!E20+$A26)*(1+Model!F20+$A26)*(Model!F22+E$23)+Valuation!$B$106*(1+Model!E24+$A26)*(1+Model!F24+$A26)*(Model!F26+E$23)+Model!F29+Model!F41)*(1-Model!F71)/Model!F48</f>
        <v/>
      </c>
      <c r="F26" s="29">
        <f>(Valuation!$B$103*(1+Model!E12+$A26)*(1+Model!F12+$A26)*(Model!F14+F$23)+Valuation!$B$104*(1+Model!E16+$A26)*(1+Model!F16+$A26)*(Model!F18+F$23)+Valuation!$B$105*(1+Model!E20+$A26)*(1+Model!F20+$A26)*(Model!F22+F$23)+Valuation!$B$106*(1+Model!E24+$A26)*(1+Model!F24+$A26)*(Model!F26+F$23)+Model!F29+Model!F41)*(1-Model!F71)/Model!F48</f>
        <v/>
      </c>
    </row>
    <row r="27">
      <c r="A27" s="46" t="n">
        <v>0.01</v>
      </c>
      <c r="B27" s="29">
        <f>(Valuation!$B$103*(1+Model!E12+$A27)*(1+Model!F12+$A27)*(Model!F14+B$23)+Valuation!$B$104*(1+Model!E16+$A27)*(1+Model!F16+$A27)*(Model!F18+B$23)+Valuation!$B$105*(1+Model!E20+$A27)*(1+Model!F20+$A27)*(Model!F22+B$23)+Valuation!$B$106*(1+Model!E24+$A27)*(1+Model!F24+$A27)*(Model!F26+B$23)+Model!F29+Model!F41)*(1-Model!F71)/Model!F48</f>
        <v/>
      </c>
      <c r="C27" s="29">
        <f>(Valuation!$B$103*(1+Model!E12+$A27)*(1+Model!F12+$A27)*(Model!F14+C$23)+Valuation!$B$104*(1+Model!E16+$A27)*(1+Model!F16+$A27)*(Model!F18+C$23)+Valuation!$B$105*(1+Model!E20+$A27)*(1+Model!F20+$A27)*(Model!F22+C$23)+Valuation!$B$106*(1+Model!E24+$A27)*(1+Model!F24+$A27)*(Model!F26+C$23)+Model!F29+Model!F41)*(1-Model!F71)/Model!F48</f>
        <v/>
      </c>
      <c r="D27" s="29">
        <f>(Valuation!$B$103*(1+Model!E12+$A27)*(1+Model!F12+$A27)*(Model!F14+D$23)+Valuation!$B$104*(1+Model!E16+$A27)*(1+Model!F16+$A27)*(Model!F18+D$23)+Valuation!$B$105*(1+Model!E20+$A27)*(1+Model!F20+$A27)*(Model!F22+D$23)+Valuation!$B$106*(1+Model!E24+$A27)*(1+Model!F24+$A27)*(Model!F26+D$23)+Model!F29+Model!F41)*(1-Model!F71)/Model!F48</f>
        <v/>
      </c>
      <c r="E27" s="29">
        <f>(Valuation!$B$103*(1+Model!E12+$A27)*(1+Model!F12+$A27)*(Model!F14+E$23)+Valuation!$B$104*(1+Model!E16+$A27)*(1+Model!F16+$A27)*(Model!F18+E$23)+Valuation!$B$105*(1+Model!E20+$A27)*(1+Model!F20+$A27)*(Model!F22+E$23)+Valuation!$B$106*(1+Model!E24+$A27)*(1+Model!F24+$A27)*(Model!F26+E$23)+Model!F29+Model!F41)*(1-Model!F71)/Model!F48</f>
        <v/>
      </c>
      <c r="F27" s="29">
        <f>(Valuation!$B$103*(1+Model!E12+$A27)*(1+Model!F12+$A27)*(Model!F14+F$23)+Valuation!$B$104*(1+Model!E16+$A27)*(1+Model!F16+$A27)*(Model!F18+F$23)+Valuation!$B$105*(1+Model!E20+$A27)*(1+Model!F20+$A27)*(Model!F22+F$23)+Valuation!$B$106*(1+Model!E24+$A27)*(1+Model!F24+$A27)*(Model!F26+F$23)+Model!F29+Model!F41)*(1-Model!F71)/Model!F48</f>
        <v/>
      </c>
    </row>
    <row r="28">
      <c r="A28" s="46" t="n">
        <v>0.02</v>
      </c>
      <c r="B28" s="29">
        <f>(Valuation!$B$103*(1+Model!E12+$A28)*(1+Model!F12+$A28)*(Model!F14+B$23)+Valuation!$B$104*(1+Model!E16+$A28)*(1+Model!F16+$A28)*(Model!F18+B$23)+Valuation!$B$105*(1+Model!E20+$A28)*(1+Model!F20+$A28)*(Model!F22+B$23)+Valuation!$B$106*(1+Model!E24+$A28)*(1+Model!F24+$A28)*(Model!F26+B$23)+Model!F29+Model!F41)*(1-Model!F71)/Model!F48</f>
        <v/>
      </c>
      <c r="C28" s="29">
        <f>(Valuation!$B$103*(1+Model!E12+$A28)*(1+Model!F12+$A28)*(Model!F14+C$23)+Valuation!$B$104*(1+Model!E16+$A28)*(1+Model!F16+$A28)*(Model!F18+C$23)+Valuation!$B$105*(1+Model!E20+$A28)*(1+Model!F20+$A28)*(Model!F22+C$23)+Valuation!$B$106*(1+Model!E24+$A28)*(1+Model!F24+$A28)*(Model!F26+C$23)+Model!F29+Model!F41)*(1-Model!F71)/Model!F48</f>
        <v/>
      </c>
      <c r="D28" s="29">
        <f>(Valuation!$B$103*(1+Model!E12+$A28)*(1+Model!F12+$A28)*(Model!F14+D$23)+Valuation!$B$104*(1+Model!E16+$A28)*(1+Model!F16+$A28)*(Model!F18+D$23)+Valuation!$B$105*(1+Model!E20+$A28)*(1+Model!F20+$A28)*(Model!F22+D$23)+Valuation!$B$106*(1+Model!E24+$A28)*(1+Model!F24+$A28)*(Model!F26+D$23)+Model!F29+Model!F41)*(1-Model!F71)/Model!F48</f>
        <v/>
      </c>
      <c r="E28" s="29">
        <f>(Valuation!$B$103*(1+Model!E12+$A28)*(1+Model!F12+$A28)*(Model!F14+E$23)+Valuation!$B$104*(1+Model!E16+$A28)*(1+Model!F16+$A28)*(Model!F18+E$23)+Valuation!$B$105*(1+Model!E20+$A28)*(1+Model!F20+$A28)*(Model!F22+E$23)+Valuation!$B$106*(1+Model!E24+$A28)*(1+Model!F24+$A28)*(Model!F26+E$23)+Model!F29+Model!F41)*(1-Model!F71)/Model!F48</f>
        <v/>
      </c>
      <c r="F28" s="29">
        <f>(Valuation!$B$103*(1+Model!E12+$A28)*(1+Model!F12+$A28)*(Model!F14+F$23)+Valuation!$B$104*(1+Model!E16+$A28)*(1+Model!F16+$A28)*(Model!F18+F$23)+Valuation!$B$105*(1+Model!E20+$A28)*(1+Model!F20+$A28)*(Model!F22+F$23)+Valuation!$B$106*(1+Model!E24+$A28)*(1+Model!F24+$A28)*(Model!F26+F$23)+Model!F29+Model!F41)*(1-Model!F71)/Model!F48</f>
        <v/>
      </c>
    </row>
    <row r="30">
      <c r="A30" s="2" t="inlineStr">
        <is>
          <t>Net interest and the share count are held at the base case in table 3.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6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GOOGL: 12-month distribution (mix of lognormals around each scenario value)</t>
        </is>
      </c>
    </row>
    <row r="3">
      <c r="A3" s="3" t="inlineStr">
        <is>
          <t>Scenario</t>
        </is>
      </c>
      <c r="B3" s="3" t="inlineStr">
        <is>
          <t>Probability</t>
        </is>
      </c>
      <c r="C3" s="3" t="inlineStr">
        <is>
          <t>Value at target date</t>
        </is>
      </c>
      <c r="D3" s="3" t="inlineStr">
        <is>
          <t>Story</t>
        </is>
      </c>
    </row>
    <row r="4">
      <c r="A4" t="inlineStr">
        <is>
          <t>bear</t>
        </is>
      </c>
      <c r="B4" s="12">
        <f>Valuation!B98</f>
        <v/>
      </c>
      <c r="C4" s="4">
        <f>'Calc - bear'!$F$70</f>
        <v/>
      </c>
      <c r="D4">
        <f>Valuation!J98</f>
        <v/>
      </c>
    </row>
    <row r="5">
      <c r="A5" t="inlineStr">
        <is>
          <t>base</t>
        </is>
      </c>
      <c r="B5" s="12">
        <f>Valuation!B99</f>
        <v/>
      </c>
      <c r="C5" s="4">
        <f>'Calc - base'!$F$70</f>
        <v/>
      </c>
      <c r="D5">
        <f>Valuation!J99</f>
        <v/>
      </c>
    </row>
    <row r="6">
      <c r="A6" t="inlineStr">
        <is>
          <t>bull</t>
        </is>
      </c>
      <c r="B6" s="12">
        <f>Valuation!B100</f>
        <v/>
      </c>
      <c r="C6" s="4">
        <f>'Calc - bull'!$F$70</f>
        <v/>
      </c>
      <c r="D6">
        <f>Valuation!J100</f>
        <v/>
      </c>
    </row>
    <row r="8">
      <c r="A8" t="inlineStr">
        <is>
          <t>Probabilities sum to</t>
        </is>
      </c>
      <c r="B8" s="18">
        <f>SUM(B4:B6)</f>
        <v/>
      </c>
    </row>
    <row r="9">
      <c r="A9" t="inlineStr">
        <is>
          <t>Spread within each scenario</t>
        </is>
      </c>
      <c r="B9" s="12">
        <f>Valuation!$B$66</f>
        <v/>
      </c>
    </row>
    <row r="10">
      <c r="A10" t="inlineStr">
        <is>
          <t>Probability-weighted mean</t>
        </is>
      </c>
      <c r="B10" s="9">
        <f>($B$4*$C$4+$B$5*$C$5+$B$6*$C$6)*EXP($B$9^2/2)</f>
        <v/>
      </c>
    </row>
    <row r="12">
      <c r="A12" s="3" t="inlineStr">
        <is>
          <t>Quantile</t>
        </is>
      </c>
      <c r="B12" s="3" t="inlineStr">
        <is>
          <t>Price</t>
        </is>
      </c>
    </row>
    <row r="13">
      <c r="A13" t="inlineStr">
        <is>
          <t>Median (model target)</t>
        </is>
      </c>
      <c r="B13" s="9">
        <f>SQRT(A60*B60)</f>
        <v/>
      </c>
    </row>
    <row r="14">
      <c r="A14" t="inlineStr">
        <is>
          <t>10th percentile</t>
        </is>
      </c>
      <c r="B14" s="9">
        <f>SQRT(D60*E60)</f>
        <v/>
      </c>
    </row>
    <row r="15">
      <c r="A15" t="inlineStr">
        <is>
          <t>25th percentile</t>
        </is>
      </c>
      <c r="B15" s="9">
        <f>SQRT(G60*H60)</f>
        <v/>
      </c>
    </row>
    <row r="16">
      <c r="A16" t="inlineStr">
        <is>
          <t>75th percentile</t>
        </is>
      </c>
      <c r="B16" s="9">
        <f>SQRT(J60*K60)</f>
        <v/>
      </c>
    </row>
    <row r="17">
      <c r="A17" t="inlineStr">
        <is>
          <t>90th percentile</t>
        </is>
      </c>
      <c r="B17" s="9">
        <f>SQRT(M60*N60)</f>
        <v/>
      </c>
    </row>
    <row r="19">
      <c r="A19" s="2" t="inlineStr">
        <is>
          <t>Each quantile solved by bisection (block: low, high, probability above the midpoint)</t>
        </is>
      </c>
    </row>
    <row r="20">
      <c r="A20" s="3" t="inlineStr">
        <is>
          <t>Median (model target): low</t>
        </is>
      </c>
      <c r="B20" s="3" t="inlineStr">
        <is>
          <t>high</t>
        </is>
      </c>
      <c r="C20" s="3" t="inlineStr">
        <is>
          <t>P(above mid)</t>
        </is>
      </c>
      <c r="D20" s="3" t="inlineStr">
        <is>
          <t>10th percentile: low</t>
        </is>
      </c>
      <c r="E20" s="3" t="inlineStr">
        <is>
          <t>high</t>
        </is>
      </c>
      <c r="F20" s="3" t="inlineStr">
        <is>
          <t>P(above mid)</t>
        </is>
      </c>
      <c r="G20" s="3" t="inlineStr">
        <is>
          <t>25th percentile: low</t>
        </is>
      </c>
      <c r="H20" s="3" t="inlineStr">
        <is>
          <t>high</t>
        </is>
      </c>
      <c r="I20" s="3" t="inlineStr">
        <is>
          <t>P(above mid)</t>
        </is>
      </c>
      <c r="J20" s="3" t="inlineStr">
        <is>
          <t>75th percentile: low</t>
        </is>
      </c>
      <c r="K20" s="3" t="inlineStr">
        <is>
          <t>high</t>
        </is>
      </c>
      <c r="L20" s="3" t="inlineStr">
        <is>
          <t>P(above mid)</t>
        </is>
      </c>
      <c r="M20" s="3" t="inlineStr">
        <is>
          <t>90th percentile: low</t>
        </is>
      </c>
      <c r="N20" s="3" t="inlineStr">
        <is>
          <t>high</t>
        </is>
      </c>
      <c r="O20" s="3" t="inlineStr">
        <is>
          <t>P(above mid)</t>
        </is>
      </c>
    </row>
    <row r="21">
      <c r="A21" s="9">
        <f>MIN($C$4,$C$5,$C$6)*0.2</f>
        <v/>
      </c>
      <c r="B21" s="9">
        <f>MAX($C$4,$C$5,$C$6)*4</f>
        <v/>
      </c>
      <c r="C21" s="47">
        <f>SUMPRODUCT($B$4:$B$6,1-NORMSDIST((LN(SQRT(A21*B21))-LN($C$4:$C$6))/$B$9))</f>
        <v/>
      </c>
      <c r="D21" s="9">
        <f>MIN($C$4,$C$5,$C$6)*0.2</f>
        <v/>
      </c>
      <c r="E21" s="9">
        <f>MAX($C$4,$C$5,$C$6)*4</f>
        <v/>
      </c>
      <c r="F21" s="47">
        <f>SUMPRODUCT($B$4:$B$6,1-NORMSDIST((LN(SQRT(D21*E21))-LN($C$4:$C$6))/$B$9))</f>
        <v/>
      </c>
      <c r="G21" s="9">
        <f>MIN($C$4,$C$5,$C$6)*0.2</f>
        <v/>
      </c>
      <c r="H21" s="9">
        <f>MAX($C$4,$C$5,$C$6)*4</f>
        <v/>
      </c>
      <c r="I21" s="47">
        <f>SUMPRODUCT($B$4:$B$6,1-NORMSDIST((LN(SQRT(G21*H21))-LN($C$4:$C$6))/$B$9))</f>
        <v/>
      </c>
      <c r="J21" s="9">
        <f>MIN($C$4,$C$5,$C$6)*0.2</f>
        <v/>
      </c>
      <c r="K21" s="9">
        <f>MAX($C$4,$C$5,$C$6)*4</f>
        <v/>
      </c>
      <c r="L21" s="47">
        <f>SUMPRODUCT($B$4:$B$6,1-NORMSDIST((LN(SQRT(J21*K21))-LN($C$4:$C$6))/$B$9))</f>
        <v/>
      </c>
      <c r="M21" s="9">
        <f>MIN($C$4,$C$5,$C$6)*0.2</f>
        <v/>
      </c>
      <c r="N21" s="9">
        <f>MAX($C$4,$C$5,$C$6)*4</f>
        <v/>
      </c>
      <c r="O21" s="47">
        <f>SUMPRODUCT($B$4:$B$6,1-NORMSDIST((LN(SQRT(M21*N21))-LN($C$4:$C$6))/$B$9))</f>
        <v/>
      </c>
    </row>
    <row r="22">
      <c r="A22" s="9">
        <f>IF(C21&gt;0.5,SQRT(A21*B21),A21)</f>
        <v/>
      </c>
      <c r="B22" s="9">
        <f>IF(C21&gt;0.5,B21,SQRT(A21*B21))</f>
        <v/>
      </c>
      <c r="C22" s="47">
        <f>SUMPRODUCT($B$4:$B$6,1-NORMSDIST((LN(SQRT(A22*B22))-LN($C$4:$C$6))/$B$9))</f>
        <v/>
      </c>
      <c r="D22" s="9">
        <f>IF(F21&gt;0.9,SQRT(D21*E21),D21)</f>
        <v/>
      </c>
      <c r="E22" s="9">
        <f>IF(F21&gt;0.9,E21,SQRT(D21*E21))</f>
        <v/>
      </c>
      <c r="F22" s="47">
        <f>SUMPRODUCT($B$4:$B$6,1-NORMSDIST((LN(SQRT(D22*E22))-LN($C$4:$C$6))/$B$9))</f>
        <v/>
      </c>
      <c r="G22" s="9">
        <f>IF(I21&gt;0.75,SQRT(G21*H21),G21)</f>
        <v/>
      </c>
      <c r="H22" s="9">
        <f>IF(I21&gt;0.75,H21,SQRT(G21*H21))</f>
        <v/>
      </c>
      <c r="I22" s="47">
        <f>SUMPRODUCT($B$4:$B$6,1-NORMSDIST((LN(SQRT(G22*H22))-LN($C$4:$C$6))/$B$9))</f>
        <v/>
      </c>
      <c r="J22" s="9">
        <f>IF(L21&gt;0.25,SQRT(J21*K21),J21)</f>
        <v/>
      </c>
      <c r="K22" s="9">
        <f>IF(L21&gt;0.25,K21,SQRT(J21*K21))</f>
        <v/>
      </c>
      <c r="L22" s="47">
        <f>SUMPRODUCT($B$4:$B$6,1-NORMSDIST((LN(SQRT(J22*K22))-LN($C$4:$C$6))/$B$9))</f>
        <v/>
      </c>
      <c r="M22" s="9">
        <f>IF(O21&gt;0.09999999999999998,SQRT(M21*N21),M21)</f>
        <v/>
      </c>
      <c r="N22" s="9">
        <f>IF(O21&gt;0.09999999999999998,N21,SQRT(M21*N21))</f>
        <v/>
      </c>
      <c r="O22" s="47">
        <f>SUMPRODUCT($B$4:$B$6,1-NORMSDIST((LN(SQRT(M22*N22))-LN($C$4:$C$6))/$B$9))</f>
        <v/>
      </c>
    </row>
    <row r="23">
      <c r="A23" s="9">
        <f>IF(C22&gt;0.5,SQRT(A22*B22),A22)</f>
        <v/>
      </c>
      <c r="B23" s="9">
        <f>IF(C22&gt;0.5,B22,SQRT(A22*B22))</f>
        <v/>
      </c>
      <c r="C23" s="47">
        <f>SUMPRODUCT($B$4:$B$6,1-NORMSDIST((LN(SQRT(A23*B23))-LN($C$4:$C$6))/$B$9))</f>
        <v/>
      </c>
      <c r="D23" s="9">
        <f>IF(F22&gt;0.9,SQRT(D22*E22),D22)</f>
        <v/>
      </c>
      <c r="E23" s="9">
        <f>IF(F22&gt;0.9,E22,SQRT(D22*E22))</f>
        <v/>
      </c>
      <c r="F23" s="47">
        <f>SUMPRODUCT($B$4:$B$6,1-NORMSDIST((LN(SQRT(D23*E23))-LN($C$4:$C$6))/$B$9))</f>
        <v/>
      </c>
      <c r="G23" s="9">
        <f>IF(I22&gt;0.75,SQRT(G22*H22),G22)</f>
        <v/>
      </c>
      <c r="H23" s="9">
        <f>IF(I22&gt;0.75,H22,SQRT(G22*H22))</f>
        <v/>
      </c>
      <c r="I23" s="47">
        <f>SUMPRODUCT($B$4:$B$6,1-NORMSDIST((LN(SQRT(G23*H23))-LN($C$4:$C$6))/$B$9))</f>
        <v/>
      </c>
      <c r="J23" s="9">
        <f>IF(L22&gt;0.25,SQRT(J22*K22),J22)</f>
        <v/>
      </c>
      <c r="K23" s="9">
        <f>IF(L22&gt;0.25,K22,SQRT(J22*K22))</f>
        <v/>
      </c>
      <c r="L23" s="47">
        <f>SUMPRODUCT($B$4:$B$6,1-NORMSDIST((LN(SQRT(J23*K23))-LN($C$4:$C$6))/$B$9))</f>
        <v/>
      </c>
      <c r="M23" s="9">
        <f>IF(O22&gt;0.09999999999999998,SQRT(M22*N22),M22)</f>
        <v/>
      </c>
      <c r="N23" s="9">
        <f>IF(O22&gt;0.09999999999999998,N22,SQRT(M22*N22))</f>
        <v/>
      </c>
      <c r="O23" s="47">
        <f>SUMPRODUCT($B$4:$B$6,1-NORMSDIST((LN(SQRT(M23*N23))-LN($C$4:$C$6))/$B$9))</f>
        <v/>
      </c>
    </row>
    <row r="24">
      <c r="A24" s="9">
        <f>IF(C23&gt;0.5,SQRT(A23*B23),A23)</f>
        <v/>
      </c>
      <c r="B24" s="9">
        <f>IF(C23&gt;0.5,B23,SQRT(A23*B23))</f>
        <v/>
      </c>
      <c r="C24" s="47">
        <f>SUMPRODUCT($B$4:$B$6,1-NORMSDIST((LN(SQRT(A24*B24))-LN($C$4:$C$6))/$B$9))</f>
        <v/>
      </c>
      <c r="D24" s="9">
        <f>IF(F23&gt;0.9,SQRT(D23*E23),D23)</f>
        <v/>
      </c>
      <c r="E24" s="9">
        <f>IF(F23&gt;0.9,E23,SQRT(D23*E23))</f>
        <v/>
      </c>
      <c r="F24" s="47">
        <f>SUMPRODUCT($B$4:$B$6,1-NORMSDIST((LN(SQRT(D24*E24))-LN($C$4:$C$6))/$B$9))</f>
        <v/>
      </c>
      <c r="G24" s="9">
        <f>IF(I23&gt;0.75,SQRT(G23*H23),G23)</f>
        <v/>
      </c>
      <c r="H24" s="9">
        <f>IF(I23&gt;0.75,H23,SQRT(G23*H23))</f>
        <v/>
      </c>
      <c r="I24" s="47">
        <f>SUMPRODUCT($B$4:$B$6,1-NORMSDIST((LN(SQRT(G24*H24))-LN($C$4:$C$6))/$B$9))</f>
        <v/>
      </c>
      <c r="J24" s="9">
        <f>IF(L23&gt;0.25,SQRT(J23*K23),J23)</f>
        <v/>
      </c>
      <c r="K24" s="9">
        <f>IF(L23&gt;0.25,K23,SQRT(J23*K23))</f>
        <v/>
      </c>
      <c r="L24" s="47">
        <f>SUMPRODUCT($B$4:$B$6,1-NORMSDIST((LN(SQRT(J24*K24))-LN($C$4:$C$6))/$B$9))</f>
        <v/>
      </c>
      <c r="M24" s="9">
        <f>IF(O23&gt;0.09999999999999998,SQRT(M23*N23),M23)</f>
        <v/>
      </c>
      <c r="N24" s="9">
        <f>IF(O23&gt;0.09999999999999998,N23,SQRT(M23*N23))</f>
        <v/>
      </c>
      <c r="O24" s="47">
        <f>SUMPRODUCT($B$4:$B$6,1-NORMSDIST((LN(SQRT(M24*N24))-LN($C$4:$C$6))/$B$9))</f>
        <v/>
      </c>
    </row>
    <row r="25">
      <c r="A25" s="9">
        <f>IF(C24&gt;0.5,SQRT(A24*B24),A24)</f>
        <v/>
      </c>
      <c r="B25" s="9">
        <f>IF(C24&gt;0.5,B24,SQRT(A24*B24))</f>
        <v/>
      </c>
      <c r="C25" s="47">
        <f>SUMPRODUCT($B$4:$B$6,1-NORMSDIST((LN(SQRT(A25*B25))-LN($C$4:$C$6))/$B$9))</f>
        <v/>
      </c>
      <c r="D25" s="9">
        <f>IF(F24&gt;0.9,SQRT(D24*E24),D24)</f>
        <v/>
      </c>
      <c r="E25" s="9">
        <f>IF(F24&gt;0.9,E24,SQRT(D24*E24))</f>
        <v/>
      </c>
      <c r="F25" s="47">
        <f>SUMPRODUCT($B$4:$B$6,1-NORMSDIST((LN(SQRT(D25*E25))-LN($C$4:$C$6))/$B$9))</f>
        <v/>
      </c>
      <c r="G25" s="9">
        <f>IF(I24&gt;0.75,SQRT(G24*H24),G24)</f>
        <v/>
      </c>
      <c r="H25" s="9">
        <f>IF(I24&gt;0.75,H24,SQRT(G24*H24))</f>
        <v/>
      </c>
      <c r="I25" s="47">
        <f>SUMPRODUCT($B$4:$B$6,1-NORMSDIST((LN(SQRT(G25*H25))-LN($C$4:$C$6))/$B$9))</f>
        <v/>
      </c>
      <c r="J25" s="9">
        <f>IF(L24&gt;0.25,SQRT(J24*K24),J24)</f>
        <v/>
      </c>
      <c r="K25" s="9">
        <f>IF(L24&gt;0.25,K24,SQRT(J24*K24))</f>
        <v/>
      </c>
      <c r="L25" s="47">
        <f>SUMPRODUCT($B$4:$B$6,1-NORMSDIST((LN(SQRT(J25*K25))-LN($C$4:$C$6))/$B$9))</f>
        <v/>
      </c>
      <c r="M25" s="9">
        <f>IF(O24&gt;0.09999999999999998,SQRT(M24*N24),M24)</f>
        <v/>
      </c>
      <c r="N25" s="9">
        <f>IF(O24&gt;0.09999999999999998,N24,SQRT(M24*N24))</f>
        <v/>
      </c>
      <c r="O25" s="47">
        <f>SUMPRODUCT($B$4:$B$6,1-NORMSDIST((LN(SQRT(M25*N25))-LN($C$4:$C$6))/$B$9))</f>
        <v/>
      </c>
    </row>
    <row r="26">
      <c r="A26" s="9">
        <f>IF(C25&gt;0.5,SQRT(A25*B25),A25)</f>
        <v/>
      </c>
      <c r="B26" s="9">
        <f>IF(C25&gt;0.5,B25,SQRT(A25*B25))</f>
        <v/>
      </c>
      <c r="C26" s="47">
        <f>SUMPRODUCT($B$4:$B$6,1-NORMSDIST((LN(SQRT(A26*B26))-LN($C$4:$C$6))/$B$9))</f>
        <v/>
      </c>
      <c r="D26" s="9">
        <f>IF(F25&gt;0.9,SQRT(D25*E25),D25)</f>
        <v/>
      </c>
      <c r="E26" s="9">
        <f>IF(F25&gt;0.9,E25,SQRT(D25*E25))</f>
        <v/>
      </c>
      <c r="F26" s="47">
        <f>SUMPRODUCT($B$4:$B$6,1-NORMSDIST((LN(SQRT(D26*E26))-LN($C$4:$C$6))/$B$9))</f>
        <v/>
      </c>
      <c r="G26" s="9">
        <f>IF(I25&gt;0.75,SQRT(G25*H25),G25)</f>
        <v/>
      </c>
      <c r="H26" s="9">
        <f>IF(I25&gt;0.75,H25,SQRT(G25*H25))</f>
        <v/>
      </c>
      <c r="I26" s="47">
        <f>SUMPRODUCT($B$4:$B$6,1-NORMSDIST((LN(SQRT(G26*H26))-LN($C$4:$C$6))/$B$9))</f>
        <v/>
      </c>
      <c r="J26" s="9">
        <f>IF(L25&gt;0.25,SQRT(J25*K25),J25)</f>
        <v/>
      </c>
      <c r="K26" s="9">
        <f>IF(L25&gt;0.25,K25,SQRT(J25*K25))</f>
        <v/>
      </c>
      <c r="L26" s="47">
        <f>SUMPRODUCT($B$4:$B$6,1-NORMSDIST((LN(SQRT(J26*K26))-LN($C$4:$C$6))/$B$9))</f>
        <v/>
      </c>
      <c r="M26" s="9">
        <f>IF(O25&gt;0.09999999999999998,SQRT(M25*N25),M25)</f>
        <v/>
      </c>
      <c r="N26" s="9">
        <f>IF(O25&gt;0.09999999999999998,N25,SQRT(M25*N25))</f>
        <v/>
      </c>
      <c r="O26" s="47">
        <f>SUMPRODUCT($B$4:$B$6,1-NORMSDIST((LN(SQRT(M26*N26))-LN($C$4:$C$6))/$B$9))</f>
        <v/>
      </c>
    </row>
    <row r="27">
      <c r="A27" s="9">
        <f>IF(C26&gt;0.5,SQRT(A26*B26),A26)</f>
        <v/>
      </c>
      <c r="B27" s="9">
        <f>IF(C26&gt;0.5,B26,SQRT(A26*B26))</f>
        <v/>
      </c>
      <c r="C27" s="47">
        <f>SUMPRODUCT($B$4:$B$6,1-NORMSDIST((LN(SQRT(A27*B27))-LN($C$4:$C$6))/$B$9))</f>
        <v/>
      </c>
      <c r="D27" s="9">
        <f>IF(F26&gt;0.9,SQRT(D26*E26),D26)</f>
        <v/>
      </c>
      <c r="E27" s="9">
        <f>IF(F26&gt;0.9,E26,SQRT(D26*E26))</f>
        <v/>
      </c>
      <c r="F27" s="47">
        <f>SUMPRODUCT($B$4:$B$6,1-NORMSDIST((LN(SQRT(D27*E27))-LN($C$4:$C$6))/$B$9))</f>
        <v/>
      </c>
      <c r="G27" s="9">
        <f>IF(I26&gt;0.75,SQRT(G26*H26),G26)</f>
        <v/>
      </c>
      <c r="H27" s="9">
        <f>IF(I26&gt;0.75,H26,SQRT(G26*H26))</f>
        <v/>
      </c>
      <c r="I27" s="47">
        <f>SUMPRODUCT($B$4:$B$6,1-NORMSDIST((LN(SQRT(G27*H27))-LN($C$4:$C$6))/$B$9))</f>
        <v/>
      </c>
      <c r="J27" s="9">
        <f>IF(L26&gt;0.25,SQRT(J26*K26),J26)</f>
        <v/>
      </c>
      <c r="K27" s="9">
        <f>IF(L26&gt;0.25,K26,SQRT(J26*K26))</f>
        <v/>
      </c>
      <c r="L27" s="47">
        <f>SUMPRODUCT($B$4:$B$6,1-NORMSDIST((LN(SQRT(J27*K27))-LN($C$4:$C$6))/$B$9))</f>
        <v/>
      </c>
      <c r="M27" s="9">
        <f>IF(O26&gt;0.09999999999999998,SQRT(M26*N26),M26)</f>
        <v/>
      </c>
      <c r="N27" s="9">
        <f>IF(O26&gt;0.09999999999999998,N26,SQRT(M26*N26))</f>
        <v/>
      </c>
      <c r="O27" s="47">
        <f>SUMPRODUCT($B$4:$B$6,1-NORMSDIST((LN(SQRT(M27*N27))-LN($C$4:$C$6))/$B$9))</f>
        <v/>
      </c>
    </row>
    <row r="28">
      <c r="A28" s="9">
        <f>IF(C27&gt;0.5,SQRT(A27*B27),A27)</f>
        <v/>
      </c>
      <c r="B28" s="9">
        <f>IF(C27&gt;0.5,B27,SQRT(A27*B27))</f>
        <v/>
      </c>
      <c r="C28" s="47">
        <f>SUMPRODUCT($B$4:$B$6,1-NORMSDIST((LN(SQRT(A28*B28))-LN($C$4:$C$6))/$B$9))</f>
        <v/>
      </c>
      <c r="D28" s="9">
        <f>IF(F27&gt;0.9,SQRT(D27*E27),D27)</f>
        <v/>
      </c>
      <c r="E28" s="9">
        <f>IF(F27&gt;0.9,E27,SQRT(D27*E27))</f>
        <v/>
      </c>
      <c r="F28" s="47">
        <f>SUMPRODUCT($B$4:$B$6,1-NORMSDIST((LN(SQRT(D28*E28))-LN($C$4:$C$6))/$B$9))</f>
        <v/>
      </c>
      <c r="G28" s="9">
        <f>IF(I27&gt;0.75,SQRT(G27*H27),G27)</f>
        <v/>
      </c>
      <c r="H28" s="9">
        <f>IF(I27&gt;0.75,H27,SQRT(G27*H27))</f>
        <v/>
      </c>
      <c r="I28" s="47">
        <f>SUMPRODUCT($B$4:$B$6,1-NORMSDIST((LN(SQRT(G28*H28))-LN($C$4:$C$6))/$B$9))</f>
        <v/>
      </c>
      <c r="J28" s="9">
        <f>IF(L27&gt;0.25,SQRT(J27*K27),J27)</f>
        <v/>
      </c>
      <c r="K28" s="9">
        <f>IF(L27&gt;0.25,K27,SQRT(J27*K27))</f>
        <v/>
      </c>
      <c r="L28" s="47">
        <f>SUMPRODUCT($B$4:$B$6,1-NORMSDIST((LN(SQRT(J28*K28))-LN($C$4:$C$6))/$B$9))</f>
        <v/>
      </c>
      <c r="M28" s="9">
        <f>IF(O27&gt;0.09999999999999998,SQRT(M27*N27),M27)</f>
        <v/>
      </c>
      <c r="N28" s="9">
        <f>IF(O27&gt;0.09999999999999998,N27,SQRT(M27*N27))</f>
        <v/>
      </c>
      <c r="O28" s="47">
        <f>SUMPRODUCT($B$4:$B$6,1-NORMSDIST((LN(SQRT(M28*N28))-LN($C$4:$C$6))/$B$9))</f>
        <v/>
      </c>
    </row>
    <row r="29">
      <c r="A29" s="9">
        <f>IF(C28&gt;0.5,SQRT(A28*B28),A28)</f>
        <v/>
      </c>
      <c r="B29" s="9">
        <f>IF(C28&gt;0.5,B28,SQRT(A28*B28))</f>
        <v/>
      </c>
      <c r="C29" s="47">
        <f>SUMPRODUCT($B$4:$B$6,1-NORMSDIST((LN(SQRT(A29*B29))-LN($C$4:$C$6))/$B$9))</f>
        <v/>
      </c>
      <c r="D29" s="9">
        <f>IF(F28&gt;0.9,SQRT(D28*E28),D28)</f>
        <v/>
      </c>
      <c r="E29" s="9">
        <f>IF(F28&gt;0.9,E28,SQRT(D28*E28))</f>
        <v/>
      </c>
      <c r="F29" s="47">
        <f>SUMPRODUCT($B$4:$B$6,1-NORMSDIST((LN(SQRT(D29*E29))-LN($C$4:$C$6))/$B$9))</f>
        <v/>
      </c>
      <c r="G29" s="9">
        <f>IF(I28&gt;0.75,SQRT(G28*H28),G28)</f>
        <v/>
      </c>
      <c r="H29" s="9">
        <f>IF(I28&gt;0.75,H28,SQRT(G28*H28))</f>
        <v/>
      </c>
      <c r="I29" s="47">
        <f>SUMPRODUCT($B$4:$B$6,1-NORMSDIST((LN(SQRT(G29*H29))-LN($C$4:$C$6))/$B$9))</f>
        <v/>
      </c>
      <c r="J29" s="9">
        <f>IF(L28&gt;0.25,SQRT(J28*K28),J28)</f>
        <v/>
      </c>
      <c r="K29" s="9">
        <f>IF(L28&gt;0.25,K28,SQRT(J28*K28))</f>
        <v/>
      </c>
      <c r="L29" s="47">
        <f>SUMPRODUCT($B$4:$B$6,1-NORMSDIST((LN(SQRT(J29*K29))-LN($C$4:$C$6))/$B$9))</f>
        <v/>
      </c>
      <c r="M29" s="9">
        <f>IF(O28&gt;0.09999999999999998,SQRT(M28*N28),M28)</f>
        <v/>
      </c>
      <c r="N29" s="9">
        <f>IF(O28&gt;0.09999999999999998,N28,SQRT(M28*N28))</f>
        <v/>
      </c>
      <c r="O29" s="47">
        <f>SUMPRODUCT($B$4:$B$6,1-NORMSDIST((LN(SQRT(M29*N29))-LN($C$4:$C$6))/$B$9))</f>
        <v/>
      </c>
    </row>
    <row r="30">
      <c r="A30" s="9">
        <f>IF(C29&gt;0.5,SQRT(A29*B29),A29)</f>
        <v/>
      </c>
      <c r="B30" s="9">
        <f>IF(C29&gt;0.5,B29,SQRT(A29*B29))</f>
        <v/>
      </c>
      <c r="C30" s="47">
        <f>SUMPRODUCT($B$4:$B$6,1-NORMSDIST((LN(SQRT(A30*B30))-LN($C$4:$C$6))/$B$9))</f>
        <v/>
      </c>
      <c r="D30" s="9">
        <f>IF(F29&gt;0.9,SQRT(D29*E29),D29)</f>
        <v/>
      </c>
      <c r="E30" s="9">
        <f>IF(F29&gt;0.9,E29,SQRT(D29*E29))</f>
        <v/>
      </c>
      <c r="F30" s="47">
        <f>SUMPRODUCT($B$4:$B$6,1-NORMSDIST((LN(SQRT(D30*E30))-LN($C$4:$C$6))/$B$9))</f>
        <v/>
      </c>
      <c r="G30" s="9">
        <f>IF(I29&gt;0.75,SQRT(G29*H29),G29)</f>
        <v/>
      </c>
      <c r="H30" s="9">
        <f>IF(I29&gt;0.75,H29,SQRT(G29*H29))</f>
        <v/>
      </c>
      <c r="I30" s="47">
        <f>SUMPRODUCT($B$4:$B$6,1-NORMSDIST((LN(SQRT(G30*H30))-LN($C$4:$C$6))/$B$9))</f>
        <v/>
      </c>
      <c r="J30" s="9">
        <f>IF(L29&gt;0.25,SQRT(J29*K29),J29)</f>
        <v/>
      </c>
      <c r="K30" s="9">
        <f>IF(L29&gt;0.25,K29,SQRT(J29*K29))</f>
        <v/>
      </c>
      <c r="L30" s="47">
        <f>SUMPRODUCT($B$4:$B$6,1-NORMSDIST((LN(SQRT(J30*K30))-LN($C$4:$C$6))/$B$9))</f>
        <v/>
      </c>
      <c r="M30" s="9">
        <f>IF(O29&gt;0.09999999999999998,SQRT(M29*N29),M29)</f>
        <v/>
      </c>
      <c r="N30" s="9">
        <f>IF(O29&gt;0.09999999999999998,N29,SQRT(M29*N29))</f>
        <v/>
      </c>
      <c r="O30" s="47">
        <f>SUMPRODUCT($B$4:$B$6,1-NORMSDIST((LN(SQRT(M30*N30))-LN($C$4:$C$6))/$B$9))</f>
        <v/>
      </c>
    </row>
    <row r="31">
      <c r="A31" s="9">
        <f>IF(C30&gt;0.5,SQRT(A30*B30),A30)</f>
        <v/>
      </c>
      <c r="B31" s="9">
        <f>IF(C30&gt;0.5,B30,SQRT(A30*B30))</f>
        <v/>
      </c>
      <c r="C31" s="47">
        <f>SUMPRODUCT($B$4:$B$6,1-NORMSDIST((LN(SQRT(A31*B31))-LN($C$4:$C$6))/$B$9))</f>
        <v/>
      </c>
      <c r="D31" s="9">
        <f>IF(F30&gt;0.9,SQRT(D30*E30),D30)</f>
        <v/>
      </c>
      <c r="E31" s="9">
        <f>IF(F30&gt;0.9,E30,SQRT(D30*E30))</f>
        <v/>
      </c>
      <c r="F31" s="47">
        <f>SUMPRODUCT($B$4:$B$6,1-NORMSDIST((LN(SQRT(D31*E31))-LN($C$4:$C$6))/$B$9))</f>
        <v/>
      </c>
      <c r="G31" s="9">
        <f>IF(I30&gt;0.75,SQRT(G30*H30),G30)</f>
        <v/>
      </c>
      <c r="H31" s="9">
        <f>IF(I30&gt;0.75,H30,SQRT(G30*H30))</f>
        <v/>
      </c>
      <c r="I31" s="47">
        <f>SUMPRODUCT($B$4:$B$6,1-NORMSDIST((LN(SQRT(G31*H31))-LN($C$4:$C$6))/$B$9))</f>
        <v/>
      </c>
      <c r="J31" s="9">
        <f>IF(L30&gt;0.25,SQRT(J30*K30),J30)</f>
        <v/>
      </c>
      <c r="K31" s="9">
        <f>IF(L30&gt;0.25,K30,SQRT(J30*K30))</f>
        <v/>
      </c>
      <c r="L31" s="47">
        <f>SUMPRODUCT($B$4:$B$6,1-NORMSDIST((LN(SQRT(J31*K31))-LN($C$4:$C$6))/$B$9))</f>
        <v/>
      </c>
      <c r="M31" s="9">
        <f>IF(O30&gt;0.09999999999999998,SQRT(M30*N30),M30)</f>
        <v/>
      </c>
      <c r="N31" s="9">
        <f>IF(O30&gt;0.09999999999999998,N30,SQRT(M30*N30))</f>
        <v/>
      </c>
      <c r="O31" s="47">
        <f>SUMPRODUCT($B$4:$B$6,1-NORMSDIST((LN(SQRT(M31*N31))-LN($C$4:$C$6))/$B$9))</f>
        <v/>
      </c>
    </row>
    <row r="32">
      <c r="A32" s="9">
        <f>IF(C31&gt;0.5,SQRT(A31*B31),A31)</f>
        <v/>
      </c>
      <c r="B32" s="9">
        <f>IF(C31&gt;0.5,B31,SQRT(A31*B31))</f>
        <v/>
      </c>
      <c r="C32" s="47">
        <f>SUMPRODUCT($B$4:$B$6,1-NORMSDIST((LN(SQRT(A32*B32))-LN($C$4:$C$6))/$B$9))</f>
        <v/>
      </c>
      <c r="D32" s="9">
        <f>IF(F31&gt;0.9,SQRT(D31*E31),D31)</f>
        <v/>
      </c>
      <c r="E32" s="9">
        <f>IF(F31&gt;0.9,E31,SQRT(D31*E31))</f>
        <v/>
      </c>
      <c r="F32" s="47">
        <f>SUMPRODUCT($B$4:$B$6,1-NORMSDIST((LN(SQRT(D32*E32))-LN($C$4:$C$6))/$B$9))</f>
        <v/>
      </c>
      <c r="G32" s="9">
        <f>IF(I31&gt;0.75,SQRT(G31*H31),G31)</f>
        <v/>
      </c>
      <c r="H32" s="9">
        <f>IF(I31&gt;0.75,H31,SQRT(G31*H31))</f>
        <v/>
      </c>
      <c r="I32" s="47">
        <f>SUMPRODUCT($B$4:$B$6,1-NORMSDIST((LN(SQRT(G32*H32))-LN($C$4:$C$6))/$B$9))</f>
        <v/>
      </c>
      <c r="J32" s="9">
        <f>IF(L31&gt;0.25,SQRT(J31*K31),J31)</f>
        <v/>
      </c>
      <c r="K32" s="9">
        <f>IF(L31&gt;0.25,K31,SQRT(J31*K31))</f>
        <v/>
      </c>
      <c r="L32" s="47">
        <f>SUMPRODUCT($B$4:$B$6,1-NORMSDIST((LN(SQRT(J32*K32))-LN($C$4:$C$6))/$B$9))</f>
        <v/>
      </c>
      <c r="M32" s="9">
        <f>IF(O31&gt;0.09999999999999998,SQRT(M31*N31),M31)</f>
        <v/>
      </c>
      <c r="N32" s="9">
        <f>IF(O31&gt;0.09999999999999998,N31,SQRT(M31*N31))</f>
        <v/>
      </c>
      <c r="O32" s="47">
        <f>SUMPRODUCT($B$4:$B$6,1-NORMSDIST((LN(SQRT(M32*N32))-LN($C$4:$C$6))/$B$9))</f>
        <v/>
      </c>
    </row>
    <row r="33">
      <c r="A33" s="9">
        <f>IF(C32&gt;0.5,SQRT(A32*B32),A32)</f>
        <v/>
      </c>
      <c r="B33" s="9">
        <f>IF(C32&gt;0.5,B32,SQRT(A32*B32))</f>
        <v/>
      </c>
      <c r="C33" s="47">
        <f>SUMPRODUCT($B$4:$B$6,1-NORMSDIST((LN(SQRT(A33*B33))-LN($C$4:$C$6))/$B$9))</f>
        <v/>
      </c>
      <c r="D33" s="9">
        <f>IF(F32&gt;0.9,SQRT(D32*E32),D32)</f>
        <v/>
      </c>
      <c r="E33" s="9">
        <f>IF(F32&gt;0.9,E32,SQRT(D32*E32))</f>
        <v/>
      </c>
      <c r="F33" s="47">
        <f>SUMPRODUCT($B$4:$B$6,1-NORMSDIST((LN(SQRT(D33*E33))-LN($C$4:$C$6))/$B$9))</f>
        <v/>
      </c>
      <c r="G33" s="9">
        <f>IF(I32&gt;0.75,SQRT(G32*H32),G32)</f>
        <v/>
      </c>
      <c r="H33" s="9">
        <f>IF(I32&gt;0.75,H32,SQRT(G32*H32))</f>
        <v/>
      </c>
      <c r="I33" s="47">
        <f>SUMPRODUCT($B$4:$B$6,1-NORMSDIST((LN(SQRT(G33*H33))-LN($C$4:$C$6))/$B$9))</f>
        <v/>
      </c>
      <c r="J33" s="9">
        <f>IF(L32&gt;0.25,SQRT(J32*K32),J32)</f>
        <v/>
      </c>
      <c r="K33" s="9">
        <f>IF(L32&gt;0.25,K32,SQRT(J32*K32))</f>
        <v/>
      </c>
      <c r="L33" s="47">
        <f>SUMPRODUCT($B$4:$B$6,1-NORMSDIST((LN(SQRT(J33*K33))-LN($C$4:$C$6))/$B$9))</f>
        <v/>
      </c>
      <c r="M33" s="9">
        <f>IF(O32&gt;0.09999999999999998,SQRT(M32*N32),M32)</f>
        <v/>
      </c>
      <c r="N33" s="9">
        <f>IF(O32&gt;0.09999999999999998,N32,SQRT(M32*N32))</f>
        <v/>
      </c>
      <c r="O33" s="47">
        <f>SUMPRODUCT($B$4:$B$6,1-NORMSDIST((LN(SQRT(M33*N33))-LN($C$4:$C$6))/$B$9))</f>
        <v/>
      </c>
    </row>
    <row r="34">
      <c r="A34" s="9">
        <f>IF(C33&gt;0.5,SQRT(A33*B33),A33)</f>
        <v/>
      </c>
      <c r="B34" s="9">
        <f>IF(C33&gt;0.5,B33,SQRT(A33*B33))</f>
        <v/>
      </c>
      <c r="C34" s="47">
        <f>SUMPRODUCT($B$4:$B$6,1-NORMSDIST((LN(SQRT(A34*B34))-LN($C$4:$C$6))/$B$9))</f>
        <v/>
      </c>
      <c r="D34" s="9">
        <f>IF(F33&gt;0.9,SQRT(D33*E33),D33)</f>
        <v/>
      </c>
      <c r="E34" s="9">
        <f>IF(F33&gt;0.9,E33,SQRT(D33*E33))</f>
        <v/>
      </c>
      <c r="F34" s="47">
        <f>SUMPRODUCT($B$4:$B$6,1-NORMSDIST((LN(SQRT(D34*E34))-LN($C$4:$C$6))/$B$9))</f>
        <v/>
      </c>
      <c r="G34" s="9">
        <f>IF(I33&gt;0.75,SQRT(G33*H33),G33)</f>
        <v/>
      </c>
      <c r="H34" s="9">
        <f>IF(I33&gt;0.75,H33,SQRT(G33*H33))</f>
        <v/>
      </c>
      <c r="I34" s="47">
        <f>SUMPRODUCT($B$4:$B$6,1-NORMSDIST((LN(SQRT(G34*H34))-LN($C$4:$C$6))/$B$9))</f>
        <v/>
      </c>
      <c r="J34" s="9">
        <f>IF(L33&gt;0.25,SQRT(J33*K33),J33)</f>
        <v/>
      </c>
      <c r="K34" s="9">
        <f>IF(L33&gt;0.25,K33,SQRT(J33*K33))</f>
        <v/>
      </c>
      <c r="L34" s="47">
        <f>SUMPRODUCT($B$4:$B$6,1-NORMSDIST((LN(SQRT(J34*K34))-LN($C$4:$C$6))/$B$9))</f>
        <v/>
      </c>
      <c r="M34" s="9">
        <f>IF(O33&gt;0.09999999999999998,SQRT(M33*N33),M33)</f>
        <v/>
      </c>
      <c r="N34" s="9">
        <f>IF(O33&gt;0.09999999999999998,N33,SQRT(M33*N33))</f>
        <v/>
      </c>
      <c r="O34" s="47">
        <f>SUMPRODUCT($B$4:$B$6,1-NORMSDIST((LN(SQRT(M34*N34))-LN($C$4:$C$6))/$B$9))</f>
        <v/>
      </c>
    </row>
    <row r="35">
      <c r="A35" s="9">
        <f>IF(C34&gt;0.5,SQRT(A34*B34),A34)</f>
        <v/>
      </c>
      <c r="B35" s="9">
        <f>IF(C34&gt;0.5,B34,SQRT(A34*B34))</f>
        <v/>
      </c>
      <c r="C35" s="47">
        <f>SUMPRODUCT($B$4:$B$6,1-NORMSDIST((LN(SQRT(A35*B35))-LN($C$4:$C$6))/$B$9))</f>
        <v/>
      </c>
      <c r="D35" s="9">
        <f>IF(F34&gt;0.9,SQRT(D34*E34),D34)</f>
        <v/>
      </c>
      <c r="E35" s="9">
        <f>IF(F34&gt;0.9,E34,SQRT(D34*E34))</f>
        <v/>
      </c>
      <c r="F35" s="47">
        <f>SUMPRODUCT($B$4:$B$6,1-NORMSDIST((LN(SQRT(D35*E35))-LN($C$4:$C$6))/$B$9))</f>
        <v/>
      </c>
      <c r="G35" s="9">
        <f>IF(I34&gt;0.75,SQRT(G34*H34),G34)</f>
        <v/>
      </c>
      <c r="H35" s="9">
        <f>IF(I34&gt;0.75,H34,SQRT(G34*H34))</f>
        <v/>
      </c>
      <c r="I35" s="47">
        <f>SUMPRODUCT($B$4:$B$6,1-NORMSDIST((LN(SQRT(G35*H35))-LN($C$4:$C$6))/$B$9))</f>
        <v/>
      </c>
      <c r="J35" s="9">
        <f>IF(L34&gt;0.25,SQRT(J34*K34),J34)</f>
        <v/>
      </c>
      <c r="K35" s="9">
        <f>IF(L34&gt;0.25,K34,SQRT(J34*K34))</f>
        <v/>
      </c>
      <c r="L35" s="47">
        <f>SUMPRODUCT($B$4:$B$6,1-NORMSDIST((LN(SQRT(J35*K35))-LN($C$4:$C$6))/$B$9))</f>
        <v/>
      </c>
      <c r="M35" s="9">
        <f>IF(O34&gt;0.09999999999999998,SQRT(M34*N34),M34)</f>
        <v/>
      </c>
      <c r="N35" s="9">
        <f>IF(O34&gt;0.09999999999999998,N34,SQRT(M34*N34))</f>
        <v/>
      </c>
      <c r="O35" s="47">
        <f>SUMPRODUCT($B$4:$B$6,1-NORMSDIST((LN(SQRT(M35*N35))-LN($C$4:$C$6))/$B$9))</f>
        <v/>
      </c>
    </row>
    <row r="36">
      <c r="A36" s="9">
        <f>IF(C35&gt;0.5,SQRT(A35*B35),A35)</f>
        <v/>
      </c>
      <c r="B36" s="9">
        <f>IF(C35&gt;0.5,B35,SQRT(A35*B35))</f>
        <v/>
      </c>
      <c r="C36" s="47">
        <f>SUMPRODUCT($B$4:$B$6,1-NORMSDIST((LN(SQRT(A36*B36))-LN($C$4:$C$6))/$B$9))</f>
        <v/>
      </c>
      <c r="D36" s="9">
        <f>IF(F35&gt;0.9,SQRT(D35*E35),D35)</f>
        <v/>
      </c>
      <c r="E36" s="9">
        <f>IF(F35&gt;0.9,E35,SQRT(D35*E35))</f>
        <v/>
      </c>
      <c r="F36" s="47">
        <f>SUMPRODUCT($B$4:$B$6,1-NORMSDIST((LN(SQRT(D36*E36))-LN($C$4:$C$6))/$B$9))</f>
        <v/>
      </c>
      <c r="G36" s="9">
        <f>IF(I35&gt;0.75,SQRT(G35*H35),G35)</f>
        <v/>
      </c>
      <c r="H36" s="9">
        <f>IF(I35&gt;0.75,H35,SQRT(G35*H35))</f>
        <v/>
      </c>
      <c r="I36" s="47">
        <f>SUMPRODUCT($B$4:$B$6,1-NORMSDIST((LN(SQRT(G36*H36))-LN($C$4:$C$6))/$B$9))</f>
        <v/>
      </c>
      <c r="J36" s="9">
        <f>IF(L35&gt;0.25,SQRT(J35*K35),J35)</f>
        <v/>
      </c>
      <c r="K36" s="9">
        <f>IF(L35&gt;0.25,K35,SQRT(J35*K35))</f>
        <v/>
      </c>
      <c r="L36" s="47">
        <f>SUMPRODUCT($B$4:$B$6,1-NORMSDIST((LN(SQRT(J36*K36))-LN($C$4:$C$6))/$B$9))</f>
        <v/>
      </c>
      <c r="M36" s="9">
        <f>IF(O35&gt;0.09999999999999998,SQRT(M35*N35),M35)</f>
        <v/>
      </c>
      <c r="N36" s="9">
        <f>IF(O35&gt;0.09999999999999998,N35,SQRT(M35*N35))</f>
        <v/>
      </c>
      <c r="O36" s="47">
        <f>SUMPRODUCT($B$4:$B$6,1-NORMSDIST((LN(SQRT(M36*N36))-LN($C$4:$C$6))/$B$9))</f>
        <v/>
      </c>
    </row>
    <row r="37">
      <c r="A37" s="9">
        <f>IF(C36&gt;0.5,SQRT(A36*B36),A36)</f>
        <v/>
      </c>
      <c r="B37" s="9">
        <f>IF(C36&gt;0.5,B36,SQRT(A36*B36))</f>
        <v/>
      </c>
      <c r="C37" s="47">
        <f>SUMPRODUCT($B$4:$B$6,1-NORMSDIST((LN(SQRT(A37*B37))-LN($C$4:$C$6))/$B$9))</f>
        <v/>
      </c>
      <c r="D37" s="9">
        <f>IF(F36&gt;0.9,SQRT(D36*E36),D36)</f>
        <v/>
      </c>
      <c r="E37" s="9">
        <f>IF(F36&gt;0.9,E36,SQRT(D36*E36))</f>
        <v/>
      </c>
      <c r="F37" s="47">
        <f>SUMPRODUCT($B$4:$B$6,1-NORMSDIST((LN(SQRT(D37*E37))-LN($C$4:$C$6))/$B$9))</f>
        <v/>
      </c>
      <c r="G37" s="9">
        <f>IF(I36&gt;0.75,SQRT(G36*H36),G36)</f>
        <v/>
      </c>
      <c r="H37" s="9">
        <f>IF(I36&gt;0.75,H36,SQRT(G36*H36))</f>
        <v/>
      </c>
      <c r="I37" s="47">
        <f>SUMPRODUCT($B$4:$B$6,1-NORMSDIST((LN(SQRT(G37*H37))-LN($C$4:$C$6))/$B$9))</f>
        <v/>
      </c>
      <c r="J37" s="9">
        <f>IF(L36&gt;0.25,SQRT(J36*K36),J36)</f>
        <v/>
      </c>
      <c r="K37" s="9">
        <f>IF(L36&gt;0.25,K36,SQRT(J36*K36))</f>
        <v/>
      </c>
      <c r="L37" s="47">
        <f>SUMPRODUCT($B$4:$B$6,1-NORMSDIST((LN(SQRT(J37*K37))-LN($C$4:$C$6))/$B$9))</f>
        <v/>
      </c>
      <c r="M37" s="9">
        <f>IF(O36&gt;0.09999999999999998,SQRT(M36*N36),M36)</f>
        <v/>
      </c>
      <c r="N37" s="9">
        <f>IF(O36&gt;0.09999999999999998,N36,SQRT(M36*N36))</f>
        <v/>
      </c>
      <c r="O37" s="47">
        <f>SUMPRODUCT($B$4:$B$6,1-NORMSDIST((LN(SQRT(M37*N37))-LN($C$4:$C$6))/$B$9))</f>
        <v/>
      </c>
    </row>
    <row r="38">
      <c r="A38" s="9">
        <f>IF(C37&gt;0.5,SQRT(A37*B37),A37)</f>
        <v/>
      </c>
      <c r="B38" s="9">
        <f>IF(C37&gt;0.5,B37,SQRT(A37*B37))</f>
        <v/>
      </c>
      <c r="C38" s="47">
        <f>SUMPRODUCT($B$4:$B$6,1-NORMSDIST((LN(SQRT(A38*B38))-LN($C$4:$C$6))/$B$9))</f>
        <v/>
      </c>
      <c r="D38" s="9">
        <f>IF(F37&gt;0.9,SQRT(D37*E37),D37)</f>
        <v/>
      </c>
      <c r="E38" s="9">
        <f>IF(F37&gt;0.9,E37,SQRT(D37*E37))</f>
        <v/>
      </c>
      <c r="F38" s="47">
        <f>SUMPRODUCT($B$4:$B$6,1-NORMSDIST((LN(SQRT(D38*E38))-LN($C$4:$C$6))/$B$9))</f>
        <v/>
      </c>
      <c r="G38" s="9">
        <f>IF(I37&gt;0.75,SQRT(G37*H37),G37)</f>
        <v/>
      </c>
      <c r="H38" s="9">
        <f>IF(I37&gt;0.75,H37,SQRT(G37*H37))</f>
        <v/>
      </c>
      <c r="I38" s="47">
        <f>SUMPRODUCT($B$4:$B$6,1-NORMSDIST((LN(SQRT(G38*H38))-LN($C$4:$C$6))/$B$9))</f>
        <v/>
      </c>
      <c r="J38" s="9">
        <f>IF(L37&gt;0.25,SQRT(J37*K37),J37)</f>
        <v/>
      </c>
      <c r="K38" s="9">
        <f>IF(L37&gt;0.25,K37,SQRT(J37*K37))</f>
        <v/>
      </c>
      <c r="L38" s="47">
        <f>SUMPRODUCT($B$4:$B$6,1-NORMSDIST((LN(SQRT(J38*K38))-LN($C$4:$C$6))/$B$9))</f>
        <v/>
      </c>
      <c r="M38" s="9">
        <f>IF(O37&gt;0.09999999999999998,SQRT(M37*N37),M37)</f>
        <v/>
      </c>
      <c r="N38" s="9">
        <f>IF(O37&gt;0.09999999999999998,N37,SQRT(M37*N37))</f>
        <v/>
      </c>
      <c r="O38" s="47">
        <f>SUMPRODUCT($B$4:$B$6,1-NORMSDIST((LN(SQRT(M38*N38))-LN($C$4:$C$6))/$B$9))</f>
        <v/>
      </c>
    </row>
    <row r="39">
      <c r="A39" s="9">
        <f>IF(C38&gt;0.5,SQRT(A38*B38),A38)</f>
        <v/>
      </c>
      <c r="B39" s="9">
        <f>IF(C38&gt;0.5,B38,SQRT(A38*B38))</f>
        <v/>
      </c>
      <c r="C39" s="47">
        <f>SUMPRODUCT($B$4:$B$6,1-NORMSDIST((LN(SQRT(A39*B39))-LN($C$4:$C$6))/$B$9))</f>
        <v/>
      </c>
      <c r="D39" s="9">
        <f>IF(F38&gt;0.9,SQRT(D38*E38),D38)</f>
        <v/>
      </c>
      <c r="E39" s="9">
        <f>IF(F38&gt;0.9,E38,SQRT(D38*E38))</f>
        <v/>
      </c>
      <c r="F39" s="47">
        <f>SUMPRODUCT($B$4:$B$6,1-NORMSDIST((LN(SQRT(D39*E39))-LN($C$4:$C$6))/$B$9))</f>
        <v/>
      </c>
      <c r="G39" s="9">
        <f>IF(I38&gt;0.75,SQRT(G38*H38),G38)</f>
        <v/>
      </c>
      <c r="H39" s="9">
        <f>IF(I38&gt;0.75,H38,SQRT(G38*H38))</f>
        <v/>
      </c>
      <c r="I39" s="47">
        <f>SUMPRODUCT($B$4:$B$6,1-NORMSDIST((LN(SQRT(G39*H39))-LN($C$4:$C$6))/$B$9))</f>
        <v/>
      </c>
      <c r="J39" s="9">
        <f>IF(L38&gt;0.25,SQRT(J38*K38),J38)</f>
        <v/>
      </c>
      <c r="K39" s="9">
        <f>IF(L38&gt;0.25,K38,SQRT(J38*K38))</f>
        <v/>
      </c>
      <c r="L39" s="47">
        <f>SUMPRODUCT($B$4:$B$6,1-NORMSDIST((LN(SQRT(J39*K39))-LN($C$4:$C$6))/$B$9))</f>
        <v/>
      </c>
      <c r="M39" s="9">
        <f>IF(O38&gt;0.09999999999999998,SQRT(M38*N38),M38)</f>
        <v/>
      </c>
      <c r="N39" s="9">
        <f>IF(O38&gt;0.09999999999999998,N38,SQRT(M38*N38))</f>
        <v/>
      </c>
      <c r="O39" s="47">
        <f>SUMPRODUCT($B$4:$B$6,1-NORMSDIST((LN(SQRT(M39*N39))-LN($C$4:$C$6))/$B$9))</f>
        <v/>
      </c>
    </row>
    <row r="40">
      <c r="A40" s="9">
        <f>IF(C39&gt;0.5,SQRT(A39*B39),A39)</f>
        <v/>
      </c>
      <c r="B40" s="9">
        <f>IF(C39&gt;0.5,B39,SQRT(A39*B39))</f>
        <v/>
      </c>
      <c r="C40" s="47">
        <f>SUMPRODUCT($B$4:$B$6,1-NORMSDIST((LN(SQRT(A40*B40))-LN($C$4:$C$6))/$B$9))</f>
        <v/>
      </c>
      <c r="D40" s="9">
        <f>IF(F39&gt;0.9,SQRT(D39*E39),D39)</f>
        <v/>
      </c>
      <c r="E40" s="9">
        <f>IF(F39&gt;0.9,E39,SQRT(D39*E39))</f>
        <v/>
      </c>
      <c r="F40" s="47">
        <f>SUMPRODUCT($B$4:$B$6,1-NORMSDIST((LN(SQRT(D40*E40))-LN($C$4:$C$6))/$B$9))</f>
        <v/>
      </c>
      <c r="G40" s="9">
        <f>IF(I39&gt;0.75,SQRT(G39*H39),G39)</f>
        <v/>
      </c>
      <c r="H40" s="9">
        <f>IF(I39&gt;0.75,H39,SQRT(G39*H39))</f>
        <v/>
      </c>
      <c r="I40" s="47">
        <f>SUMPRODUCT($B$4:$B$6,1-NORMSDIST((LN(SQRT(G40*H40))-LN($C$4:$C$6))/$B$9))</f>
        <v/>
      </c>
      <c r="J40" s="9">
        <f>IF(L39&gt;0.25,SQRT(J39*K39),J39)</f>
        <v/>
      </c>
      <c r="K40" s="9">
        <f>IF(L39&gt;0.25,K39,SQRT(J39*K39))</f>
        <v/>
      </c>
      <c r="L40" s="47">
        <f>SUMPRODUCT($B$4:$B$6,1-NORMSDIST((LN(SQRT(J40*K40))-LN($C$4:$C$6))/$B$9))</f>
        <v/>
      </c>
      <c r="M40" s="9">
        <f>IF(O39&gt;0.09999999999999998,SQRT(M39*N39),M39)</f>
        <v/>
      </c>
      <c r="N40" s="9">
        <f>IF(O39&gt;0.09999999999999998,N39,SQRT(M39*N39))</f>
        <v/>
      </c>
      <c r="O40" s="47">
        <f>SUMPRODUCT($B$4:$B$6,1-NORMSDIST((LN(SQRT(M40*N40))-LN($C$4:$C$6))/$B$9))</f>
        <v/>
      </c>
    </row>
    <row r="41">
      <c r="A41" s="9">
        <f>IF(C40&gt;0.5,SQRT(A40*B40),A40)</f>
        <v/>
      </c>
      <c r="B41" s="9">
        <f>IF(C40&gt;0.5,B40,SQRT(A40*B40))</f>
        <v/>
      </c>
      <c r="C41" s="47">
        <f>SUMPRODUCT($B$4:$B$6,1-NORMSDIST((LN(SQRT(A41*B41))-LN($C$4:$C$6))/$B$9))</f>
        <v/>
      </c>
      <c r="D41" s="9">
        <f>IF(F40&gt;0.9,SQRT(D40*E40),D40)</f>
        <v/>
      </c>
      <c r="E41" s="9">
        <f>IF(F40&gt;0.9,E40,SQRT(D40*E40))</f>
        <v/>
      </c>
      <c r="F41" s="47">
        <f>SUMPRODUCT($B$4:$B$6,1-NORMSDIST((LN(SQRT(D41*E41))-LN($C$4:$C$6))/$B$9))</f>
        <v/>
      </c>
      <c r="G41" s="9">
        <f>IF(I40&gt;0.75,SQRT(G40*H40),G40)</f>
        <v/>
      </c>
      <c r="H41" s="9">
        <f>IF(I40&gt;0.75,H40,SQRT(G40*H40))</f>
        <v/>
      </c>
      <c r="I41" s="47">
        <f>SUMPRODUCT($B$4:$B$6,1-NORMSDIST((LN(SQRT(G41*H41))-LN($C$4:$C$6))/$B$9))</f>
        <v/>
      </c>
      <c r="J41" s="9">
        <f>IF(L40&gt;0.25,SQRT(J40*K40),J40)</f>
        <v/>
      </c>
      <c r="K41" s="9">
        <f>IF(L40&gt;0.25,K40,SQRT(J40*K40))</f>
        <v/>
      </c>
      <c r="L41" s="47">
        <f>SUMPRODUCT($B$4:$B$6,1-NORMSDIST((LN(SQRT(J41*K41))-LN($C$4:$C$6))/$B$9))</f>
        <v/>
      </c>
      <c r="M41" s="9">
        <f>IF(O40&gt;0.09999999999999998,SQRT(M40*N40),M40)</f>
        <v/>
      </c>
      <c r="N41" s="9">
        <f>IF(O40&gt;0.09999999999999998,N40,SQRT(M40*N40))</f>
        <v/>
      </c>
      <c r="O41" s="47">
        <f>SUMPRODUCT($B$4:$B$6,1-NORMSDIST((LN(SQRT(M41*N41))-LN($C$4:$C$6))/$B$9))</f>
        <v/>
      </c>
    </row>
    <row r="42">
      <c r="A42" s="9">
        <f>IF(C41&gt;0.5,SQRT(A41*B41),A41)</f>
        <v/>
      </c>
      <c r="B42" s="9">
        <f>IF(C41&gt;0.5,B41,SQRT(A41*B41))</f>
        <v/>
      </c>
      <c r="C42" s="47">
        <f>SUMPRODUCT($B$4:$B$6,1-NORMSDIST((LN(SQRT(A42*B42))-LN($C$4:$C$6))/$B$9))</f>
        <v/>
      </c>
      <c r="D42" s="9">
        <f>IF(F41&gt;0.9,SQRT(D41*E41),D41)</f>
        <v/>
      </c>
      <c r="E42" s="9">
        <f>IF(F41&gt;0.9,E41,SQRT(D41*E41))</f>
        <v/>
      </c>
      <c r="F42" s="47">
        <f>SUMPRODUCT($B$4:$B$6,1-NORMSDIST((LN(SQRT(D42*E42))-LN($C$4:$C$6))/$B$9))</f>
        <v/>
      </c>
      <c r="G42" s="9">
        <f>IF(I41&gt;0.75,SQRT(G41*H41),G41)</f>
        <v/>
      </c>
      <c r="H42" s="9">
        <f>IF(I41&gt;0.75,H41,SQRT(G41*H41))</f>
        <v/>
      </c>
      <c r="I42" s="47">
        <f>SUMPRODUCT($B$4:$B$6,1-NORMSDIST((LN(SQRT(G42*H42))-LN($C$4:$C$6))/$B$9))</f>
        <v/>
      </c>
      <c r="J42" s="9">
        <f>IF(L41&gt;0.25,SQRT(J41*K41),J41)</f>
        <v/>
      </c>
      <c r="K42" s="9">
        <f>IF(L41&gt;0.25,K41,SQRT(J41*K41))</f>
        <v/>
      </c>
      <c r="L42" s="47">
        <f>SUMPRODUCT($B$4:$B$6,1-NORMSDIST((LN(SQRT(J42*K42))-LN($C$4:$C$6))/$B$9))</f>
        <v/>
      </c>
      <c r="M42" s="9">
        <f>IF(O41&gt;0.09999999999999998,SQRT(M41*N41),M41)</f>
        <v/>
      </c>
      <c r="N42" s="9">
        <f>IF(O41&gt;0.09999999999999998,N41,SQRT(M41*N41))</f>
        <v/>
      </c>
      <c r="O42" s="47">
        <f>SUMPRODUCT($B$4:$B$6,1-NORMSDIST((LN(SQRT(M42*N42))-LN($C$4:$C$6))/$B$9))</f>
        <v/>
      </c>
    </row>
    <row r="43">
      <c r="A43" s="9">
        <f>IF(C42&gt;0.5,SQRT(A42*B42),A42)</f>
        <v/>
      </c>
      <c r="B43" s="9">
        <f>IF(C42&gt;0.5,B42,SQRT(A42*B42))</f>
        <v/>
      </c>
      <c r="C43" s="47">
        <f>SUMPRODUCT($B$4:$B$6,1-NORMSDIST((LN(SQRT(A43*B43))-LN($C$4:$C$6))/$B$9))</f>
        <v/>
      </c>
      <c r="D43" s="9">
        <f>IF(F42&gt;0.9,SQRT(D42*E42),D42)</f>
        <v/>
      </c>
      <c r="E43" s="9">
        <f>IF(F42&gt;0.9,E42,SQRT(D42*E42))</f>
        <v/>
      </c>
      <c r="F43" s="47">
        <f>SUMPRODUCT($B$4:$B$6,1-NORMSDIST((LN(SQRT(D43*E43))-LN($C$4:$C$6))/$B$9))</f>
        <v/>
      </c>
      <c r="G43" s="9">
        <f>IF(I42&gt;0.75,SQRT(G42*H42),G42)</f>
        <v/>
      </c>
      <c r="H43" s="9">
        <f>IF(I42&gt;0.75,H42,SQRT(G42*H42))</f>
        <v/>
      </c>
      <c r="I43" s="47">
        <f>SUMPRODUCT($B$4:$B$6,1-NORMSDIST((LN(SQRT(G43*H43))-LN($C$4:$C$6))/$B$9))</f>
        <v/>
      </c>
      <c r="J43" s="9">
        <f>IF(L42&gt;0.25,SQRT(J42*K42),J42)</f>
        <v/>
      </c>
      <c r="K43" s="9">
        <f>IF(L42&gt;0.25,K42,SQRT(J42*K42))</f>
        <v/>
      </c>
      <c r="L43" s="47">
        <f>SUMPRODUCT($B$4:$B$6,1-NORMSDIST((LN(SQRT(J43*K43))-LN($C$4:$C$6))/$B$9))</f>
        <v/>
      </c>
      <c r="M43" s="9">
        <f>IF(O42&gt;0.09999999999999998,SQRT(M42*N42),M42)</f>
        <v/>
      </c>
      <c r="N43" s="9">
        <f>IF(O42&gt;0.09999999999999998,N42,SQRT(M42*N42))</f>
        <v/>
      </c>
      <c r="O43" s="47">
        <f>SUMPRODUCT($B$4:$B$6,1-NORMSDIST((LN(SQRT(M43*N43))-LN($C$4:$C$6))/$B$9))</f>
        <v/>
      </c>
    </row>
    <row r="44">
      <c r="A44" s="9">
        <f>IF(C43&gt;0.5,SQRT(A43*B43),A43)</f>
        <v/>
      </c>
      <c r="B44" s="9">
        <f>IF(C43&gt;0.5,B43,SQRT(A43*B43))</f>
        <v/>
      </c>
      <c r="C44" s="47">
        <f>SUMPRODUCT($B$4:$B$6,1-NORMSDIST((LN(SQRT(A44*B44))-LN($C$4:$C$6))/$B$9))</f>
        <v/>
      </c>
      <c r="D44" s="9">
        <f>IF(F43&gt;0.9,SQRT(D43*E43),D43)</f>
        <v/>
      </c>
      <c r="E44" s="9">
        <f>IF(F43&gt;0.9,E43,SQRT(D43*E43))</f>
        <v/>
      </c>
      <c r="F44" s="47">
        <f>SUMPRODUCT($B$4:$B$6,1-NORMSDIST((LN(SQRT(D44*E44))-LN($C$4:$C$6))/$B$9))</f>
        <v/>
      </c>
      <c r="G44" s="9">
        <f>IF(I43&gt;0.75,SQRT(G43*H43),G43)</f>
        <v/>
      </c>
      <c r="H44" s="9">
        <f>IF(I43&gt;0.75,H43,SQRT(G43*H43))</f>
        <v/>
      </c>
      <c r="I44" s="47">
        <f>SUMPRODUCT($B$4:$B$6,1-NORMSDIST((LN(SQRT(G44*H44))-LN($C$4:$C$6))/$B$9))</f>
        <v/>
      </c>
      <c r="J44" s="9">
        <f>IF(L43&gt;0.25,SQRT(J43*K43),J43)</f>
        <v/>
      </c>
      <c r="K44" s="9">
        <f>IF(L43&gt;0.25,K43,SQRT(J43*K43))</f>
        <v/>
      </c>
      <c r="L44" s="47">
        <f>SUMPRODUCT($B$4:$B$6,1-NORMSDIST((LN(SQRT(J44*K44))-LN($C$4:$C$6))/$B$9))</f>
        <v/>
      </c>
      <c r="M44" s="9">
        <f>IF(O43&gt;0.09999999999999998,SQRT(M43*N43),M43)</f>
        <v/>
      </c>
      <c r="N44" s="9">
        <f>IF(O43&gt;0.09999999999999998,N43,SQRT(M43*N43))</f>
        <v/>
      </c>
      <c r="O44" s="47">
        <f>SUMPRODUCT($B$4:$B$6,1-NORMSDIST((LN(SQRT(M44*N44))-LN($C$4:$C$6))/$B$9))</f>
        <v/>
      </c>
    </row>
    <row r="45">
      <c r="A45" s="9">
        <f>IF(C44&gt;0.5,SQRT(A44*B44),A44)</f>
        <v/>
      </c>
      <c r="B45" s="9">
        <f>IF(C44&gt;0.5,B44,SQRT(A44*B44))</f>
        <v/>
      </c>
      <c r="C45" s="47">
        <f>SUMPRODUCT($B$4:$B$6,1-NORMSDIST((LN(SQRT(A45*B45))-LN($C$4:$C$6))/$B$9))</f>
        <v/>
      </c>
      <c r="D45" s="9">
        <f>IF(F44&gt;0.9,SQRT(D44*E44),D44)</f>
        <v/>
      </c>
      <c r="E45" s="9">
        <f>IF(F44&gt;0.9,E44,SQRT(D44*E44))</f>
        <v/>
      </c>
      <c r="F45" s="47">
        <f>SUMPRODUCT($B$4:$B$6,1-NORMSDIST((LN(SQRT(D45*E45))-LN($C$4:$C$6))/$B$9))</f>
        <v/>
      </c>
      <c r="G45" s="9">
        <f>IF(I44&gt;0.75,SQRT(G44*H44),G44)</f>
        <v/>
      </c>
      <c r="H45" s="9">
        <f>IF(I44&gt;0.75,H44,SQRT(G44*H44))</f>
        <v/>
      </c>
      <c r="I45" s="47">
        <f>SUMPRODUCT($B$4:$B$6,1-NORMSDIST((LN(SQRT(G45*H45))-LN($C$4:$C$6))/$B$9))</f>
        <v/>
      </c>
      <c r="J45" s="9">
        <f>IF(L44&gt;0.25,SQRT(J44*K44),J44)</f>
        <v/>
      </c>
      <c r="K45" s="9">
        <f>IF(L44&gt;0.25,K44,SQRT(J44*K44))</f>
        <v/>
      </c>
      <c r="L45" s="47">
        <f>SUMPRODUCT($B$4:$B$6,1-NORMSDIST((LN(SQRT(J45*K45))-LN($C$4:$C$6))/$B$9))</f>
        <v/>
      </c>
      <c r="M45" s="9">
        <f>IF(O44&gt;0.09999999999999998,SQRT(M44*N44),M44)</f>
        <v/>
      </c>
      <c r="N45" s="9">
        <f>IF(O44&gt;0.09999999999999998,N44,SQRT(M44*N44))</f>
        <v/>
      </c>
      <c r="O45" s="47">
        <f>SUMPRODUCT($B$4:$B$6,1-NORMSDIST((LN(SQRT(M45*N45))-LN($C$4:$C$6))/$B$9))</f>
        <v/>
      </c>
    </row>
    <row r="46">
      <c r="A46" s="9">
        <f>IF(C45&gt;0.5,SQRT(A45*B45),A45)</f>
        <v/>
      </c>
      <c r="B46" s="9">
        <f>IF(C45&gt;0.5,B45,SQRT(A45*B45))</f>
        <v/>
      </c>
      <c r="C46" s="47">
        <f>SUMPRODUCT($B$4:$B$6,1-NORMSDIST((LN(SQRT(A46*B46))-LN($C$4:$C$6))/$B$9))</f>
        <v/>
      </c>
      <c r="D46" s="9">
        <f>IF(F45&gt;0.9,SQRT(D45*E45),D45)</f>
        <v/>
      </c>
      <c r="E46" s="9">
        <f>IF(F45&gt;0.9,E45,SQRT(D45*E45))</f>
        <v/>
      </c>
      <c r="F46" s="47">
        <f>SUMPRODUCT($B$4:$B$6,1-NORMSDIST((LN(SQRT(D46*E46))-LN($C$4:$C$6))/$B$9))</f>
        <v/>
      </c>
      <c r="G46" s="9">
        <f>IF(I45&gt;0.75,SQRT(G45*H45),G45)</f>
        <v/>
      </c>
      <c r="H46" s="9">
        <f>IF(I45&gt;0.75,H45,SQRT(G45*H45))</f>
        <v/>
      </c>
      <c r="I46" s="47">
        <f>SUMPRODUCT($B$4:$B$6,1-NORMSDIST((LN(SQRT(G46*H46))-LN($C$4:$C$6))/$B$9))</f>
        <v/>
      </c>
      <c r="J46" s="9">
        <f>IF(L45&gt;0.25,SQRT(J45*K45),J45)</f>
        <v/>
      </c>
      <c r="K46" s="9">
        <f>IF(L45&gt;0.25,K45,SQRT(J45*K45))</f>
        <v/>
      </c>
      <c r="L46" s="47">
        <f>SUMPRODUCT($B$4:$B$6,1-NORMSDIST((LN(SQRT(J46*K46))-LN($C$4:$C$6))/$B$9))</f>
        <v/>
      </c>
      <c r="M46" s="9">
        <f>IF(O45&gt;0.09999999999999998,SQRT(M45*N45),M45)</f>
        <v/>
      </c>
      <c r="N46" s="9">
        <f>IF(O45&gt;0.09999999999999998,N45,SQRT(M45*N45))</f>
        <v/>
      </c>
      <c r="O46" s="47">
        <f>SUMPRODUCT($B$4:$B$6,1-NORMSDIST((LN(SQRT(M46*N46))-LN($C$4:$C$6))/$B$9))</f>
        <v/>
      </c>
    </row>
    <row r="47">
      <c r="A47" s="9">
        <f>IF(C46&gt;0.5,SQRT(A46*B46),A46)</f>
        <v/>
      </c>
      <c r="B47" s="9">
        <f>IF(C46&gt;0.5,B46,SQRT(A46*B46))</f>
        <v/>
      </c>
      <c r="C47" s="47">
        <f>SUMPRODUCT($B$4:$B$6,1-NORMSDIST((LN(SQRT(A47*B47))-LN($C$4:$C$6))/$B$9))</f>
        <v/>
      </c>
      <c r="D47" s="9">
        <f>IF(F46&gt;0.9,SQRT(D46*E46),D46)</f>
        <v/>
      </c>
      <c r="E47" s="9">
        <f>IF(F46&gt;0.9,E46,SQRT(D46*E46))</f>
        <v/>
      </c>
      <c r="F47" s="47">
        <f>SUMPRODUCT($B$4:$B$6,1-NORMSDIST((LN(SQRT(D47*E47))-LN($C$4:$C$6))/$B$9))</f>
        <v/>
      </c>
      <c r="G47" s="9">
        <f>IF(I46&gt;0.75,SQRT(G46*H46),G46)</f>
        <v/>
      </c>
      <c r="H47" s="9">
        <f>IF(I46&gt;0.75,H46,SQRT(G46*H46))</f>
        <v/>
      </c>
      <c r="I47" s="47">
        <f>SUMPRODUCT($B$4:$B$6,1-NORMSDIST((LN(SQRT(G47*H47))-LN($C$4:$C$6))/$B$9))</f>
        <v/>
      </c>
      <c r="J47" s="9">
        <f>IF(L46&gt;0.25,SQRT(J46*K46),J46)</f>
        <v/>
      </c>
      <c r="K47" s="9">
        <f>IF(L46&gt;0.25,K46,SQRT(J46*K46))</f>
        <v/>
      </c>
      <c r="L47" s="47">
        <f>SUMPRODUCT($B$4:$B$6,1-NORMSDIST((LN(SQRT(J47*K47))-LN($C$4:$C$6))/$B$9))</f>
        <v/>
      </c>
      <c r="M47" s="9">
        <f>IF(O46&gt;0.09999999999999998,SQRT(M46*N46),M46)</f>
        <v/>
      </c>
      <c r="N47" s="9">
        <f>IF(O46&gt;0.09999999999999998,N46,SQRT(M46*N46))</f>
        <v/>
      </c>
      <c r="O47" s="47">
        <f>SUMPRODUCT($B$4:$B$6,1-NORMSDIST((LN(SQRT(M47*N47))-LN($C$4:$C$6))/$B$9))</f>
        <v/>
      </c>
    </row>
    <row r="48">
      <c r="A48" s="9">
        <f>IF(C47&gt;0.5,SQRT(A47*B47),A47)</f>
        <v/>
      </c>
      <c r="B48" s="9">
        <f>IF(C47&gt;0.5,B47,SQRT(A47*B47))</f>
        <v/>
      </c>
      <c r="C48" s="47">
        <f>SUMPRODUCT($B$4:$B$6,1-NORMSDIST((LN(SQRT(A48*B48))-LN($C$4:$C$6))/$B$9))</f>
        <v/>
      </c>
      <c r="D48" s="9">
        <f>IF(F47&gt;0.9,SQRT(D47*E47),D47)</f>
        <v/>
      </c>
      <c r="E48" s="9">
        <f>IF(F47&gt;0.9,E47,SQRT(D47*E47))</f>
        <v/>
      </c>
      <c r="F48" s="47">
        <f>SUMPRODUCT($B$4:$B$6,1-NORMSDIST((LN(SQRT(D48*E48))-LN($C$4:$C$6))/$B$9))</f>
        <v/>
      </c>
      <c r="G48" s="9">
        <f>IF(I47&gt;0.75,SQRT(G47*H47),G47)</f>
        <v/>
      </c>
      <c r="H48" s="9">
        <f>IF(I47&gt;0.75,H47,SQRT(G47*H47))</f>
        <v/>
      </c>
      <c r="I48" s="47">
        <f>SUMPRODUCT($B$4:$B$6,1-NORMSDIST((LN(SQRT(G48*H48))-LN($C$4:$C$6))/$B$9))</f>
        <v/>
      </c>
      <c r="J48" s="9">
        <f>IF(L47&gt;0.25,SQRT(J47*K47),J47)</f>
        <v/>
      </c>
      <c r="K48" s="9">
        <f>IF(L47&gt;0.25,K47,SQRT(J47*K47))</f>
        <v/>
      </c>
      <c r="L48" s="47">
        <f>SUMPRODUCT($B$4:$B$6,1-NORMSDIST((LN(SQRT(J48*K48))-LN($C$4:$C$6))/$B$9))</f>
        <v/>
      </c>
      <c r="M48" s="9">
        <f>IF(O47&gt;0.09999999999999998,SQRT(M47*N47),M47)</f>
        <v/>
      </c>
      <c r="N48" s="9">
        <f>IF(O47&gt;0.09999999999999998,N47,SQRT(M47*N47))</f>
        <v/>
      </c>
      <c r="O48" s="47">
        <f>SUMPRODUCT($B$4:$B$6,1-NORMSDIST((LN(SQRT(M48*N48))-LN($C$4:$C$6))/$B$9))</f>
        <v/>
      </c>
    </row>
    <row r="49">
      <c r="A49" s="9">
        <f>IF(C48&gt;0.5,SQRT(A48*B48),A48)</f>
        <v/>
      </c>
      <c r="B49" s="9">
        <f>IF(C48&gt;0.5,B48,SQRT(A48*B48))</f>
        <v/>
      </c>
      <c r="C49" s="47">
        <f>SUMPRODUCT($B$4:$B$6,1-NORMSDIST((LN(SQRT(A49*B49))-LN($C$4:$C$6))/$B$9))</f>
        <v/>
      </c>
      <c r="D49" s="9">
        <f>IF(F48&gt;0.9,SQRT(D48*E48),D48)</f>
        <v/>
      </c>
      <c r="E49" s="9">
        <f>IF(F48&gt;0.9,E48,SQRT(D48*E48))</f>
        <v/>
      </c>
      <c r="F49" s="47">
        <f>SUMPRODUCT($B$4:$B$6,1-NORMSDIST((LN(SQRT(D49*E49))-LN($C$4:$C$6))/$B$9))</f>
        <v/>
      </c>
      <c r="G49" s="9">
        <f>IF(I48&gt;0.75,SQRT(G48*H48),G48)</f>
        <v/>
      </c>
      <c r="H49" s="9">
        <f>IF(I48&gt;0.75,H48,SQRT(G48*H48))</f>
        <v/>
      </c>
      <c r="I49" s="47">
        <f>SUMPRODUCT($B$4:$B$6,1-NORMSDIST((LN(SQRT(G49*H49))-LN($C$4:$C$6))/$B$9))</f>
        <v/>
      </c>
      <c r="J49" s="9">
        <f>IF(L48&gt;0.25,SQRT(J48*K48),J48)</f>
        <v/>
      </c>
      <c r="K49" s="9">
        <f>IF(L48&gt;0.25,K48,SQRT(J48*K48))</f>
        <v/>
      </c>
      <c r="L49" s="47">
        <f>SUMPRODUCT($B$4:$B$6,1-NORMSDIST((LN(SQRT(J49*K49))-LN($C$4:$C$6))/$B$9))</f>
        <v/>
      </c>
      <c r="M49" s="9">
        <f>IF(O48&gt;0.09999999999999998,SQRT(M48*N48),M48)</f>
        <v/>
      </c>
      <c r="N49" s="9">
        <f>IF(O48&gt;0.09999999999999998,N48,SQRT(M48*N48))</f>
        <v/>
      </c>
      <c r="O49" s="47">
        <f>SUMPRODUCT($B$4:$B$6,1-NORMSDIST((LN(SQRT(M49*N49))-LN($C$4:$C$6))/$B$9))</f>
        <v/>
      </c>
    </row>
    <row r="50">
      <c r="A50" s="9">
        <f>IF(C49&gt;0.5,SQRT(A49*B49),A49)</f>
        <v/>
      </c>
      <c r="B50" s="9">
        <f>IF(C49&gt;0.5,B49,SQRT(A49*B49))</f>
        <v/>
      </c>
      <c r="C50" s="47">
        <f>SUMPRODUCT($B$4:$B$6,1-NORMSDIST((LN(SQRT(A50*B50))-LN($C$4:$C$6))/$B$9))</f>
        <v/>
      </c>
      <c r="D50" s="9">
        <f>IF(F49&gt;0.9,SQRT(D49*E49),D49)</f>
        <v/>
      </c>
      <c r="E50" s="9">
        <f>IF(F49&gt;0.9,E49,SQRT(D49*E49))</f>
        <v/>
      </c>
      <c r="F50" s="47">
        <f>SUMPRODUCT($B$4:$B$6,1-NORMSDIST((LN(SQRT(D50*E50))-LN($C$4:$C$6))/$B$9))</f>
        <v/>
      </c>
      <c r="G50" s="9">
        <f>IF(I49&gt;0.75,SQRT(G49*H49),G49)</f>
        <v/>
      </c>
      <c r="H50" s="9">
        <f>IF(I49&gt;0.75,H49,SQRT(G49*H49))</f>
        <v/>
      </c>
      <c r="I50" s="47">
        <f>SUMPRODUCT($B$4:$B$6,1-NORMSDIST((LN(SQRT(G50*H50))-LN($C$4:$C$6))/$B$9))</f>
        <v/>
      </c>
      <c r="J50" s="9">
        <f>IF(L49&gt;0.25,SQRT(J49*K49),J49)</f>
        <v/>
      </c>
      <c r="K50" s="9">
        <f>IF(L49&gt;0.25,K49,SQRT(J49*K49))</f>
        <v/>
      </c>
      <c r="L50" s="47">
        <f>SUMPRODUCT($B$4:$B$6,1-NORMSDIST((LN(SQRT(J50*K50))-LN($C$4:$C$6))/$B$9))</f>
        <v/>
      </c>
      <c r="M50" s="9">
        <f>IF(O49&gt;0.09999999999999998,SQRT(M49*N49),M49)</f>
        <v/>
      </c>
      <c r="N50" s="9">
        <f>IF(O49&gt;0.09999999999999998,N49,SQRT(M49*N49))</f>
        <v/>
      </c>
      <c r="O50" s="47">
        <f>SUMPRODUCT($B$4:$B$6,1-NORMSDIST((LN(SQRT(M50*N50))-LN($C$4:$C$6))/$B$9))</f>
        <v/>
      </c>
    </row>
    <row r="51">
      <c r="A51" s="9">
        <f>IF(C50&gt;0.5,SQRT(A50*B50),A50)</f>
        <v/>
      </c>
      <c r="B51" s="9">
        <f>IF(C50&gt;0.5,B50,SQRT(A50*B50))</f>
        <v/>
      </c>
      <c r="C51" s="47">
        <f>SUMPRODUCT($B$4:$B$6,1-NORMSDIST((LN(SQRT(A51*B51))-LN($C$4:$C$6))/$B$9))</f>
        <v/>
      </c>
      <c r="D51" s="9">
        <f>IF(F50&gt;0.9,SQRT(D50*E50),D50)</f>
        <v/>
      </c>
      <c r="E51" s="9">
        <f>IF(F50&gt;0.9,E50,SQRT(D50*E50))</f>
        <v/>
      </c>
      <c r="F51" s="47">
        <f>SUMPRODUCT($B$4:$B$6,1-NORMSDIST((LN(SQRT(D51*E51))-LN($C$4:$C$6))/$B$9))</f>
        <v/>
      </c>
      <c r="G51" s="9">
        <f>IF(I50&gt;0.75,SQRT(G50*H50),G50)</f>
        <v/>
      </c>
      <c r="H51" s="9">
        <f>IF(I50&gt;0.75,H50,SQRT(G50*H50))</f>
        <v/>
      </c>
      <c r="I51" s="47">
        <f>SUMPRODUCT($B$4:$B$6,1-NORMSDIST((LN(SQRT(G51*H51))-LN($C$4:$C$6))/$B$9))</f>
        <v/>
      </c>
      <c r="J51" s="9">
        <f>IF(L50&gt;0.25,SQRT(J50*K50),J50)</f>
        <v/>
      </c>
      <c r="K51" s="9">
        <f>IF(L50&gt;0.25,K50,SQRT(J50*K50))</f>
        <v/>
      </c>
      <c r="L51" s="47">
        <f>SUMPRODUCT($B$4:$B$6,1-NORMSDIST((LN(SQRT(J51*K51))-LN($C$4:$C$6))/$B$9))</f>
        <v/>
      </c>
      <c r="M51" s="9">
        <f>IF(O50&gt;0.09999999999999998,SQRT(M50*N50),M50)</f>
        <v/>
      </c>
      <c r="N51" s="9">
        <f>IF(O50&gt;0.09999999999999998,N50,SQRT(M50*N50))</f>
        <v/>
      </c>
      <c r="O51" s="47">
        <f>SUMPRODUCT($B$4:$B$6,1-NORMSDIST((LN(SQRT(M51*N51))-LN($C$4:$C$6))/$B$9))</f>
        <v/>
      </c>
    </row>
    <row r="52">
      <c r="A52" s="9">
        <f>IF(C51&gt;0.5,SQRT(A51*B51),A51)</f>
        <v/>
      </c>
      <c r="B52" s="9">
        <f>IF(C51&gt;0.5,B51,SQRT(A51*B51))</f>
        <v/>
      </c>
      <c r="C52" s="47">
        <f>SUMPRODUCT($B$4:$B$6,1-NORMSDIST((LN(SQRT(A52*B52))-LN($C$4:$C$6))/$B$9))</f>
        <v/>
      </c>
      <c r="D52" s="9">
        <f>IF(F51&gt;0.9,SQRT(D51*E51),D51)</f>
        <v/>
      </c>
      <c r="E52" s="9">
        <f>IF(F51&gt;0.9,E51,SQRT(D51*E51))</f>
        <v/>
      </c>
      <c r="F52" s="47">
        <f>SUMPRODUCT($B$4:$B$6,1-NORMSDIST((LN(SQRT(D52*E52))-LN($C$4:$C$6))/$B$9))</f>
        <v/>
      </c>
      <c r="G52" s="9">
        <f>IF(I51&gt;0.75,SQRT(G51*H51),G51)</f>
        <v/>
      </c>
      <c r="H52" s="9">
        <f>IF(I51&gt;0.75,H51,SQRT(G51*H51))</f>
        <v/>
      </c>
      <c r="I52" s="47">
        <f>SUMPRODUCT($B$4:$B$6,1-NORMSDIST((LN(SQRT(G52*H52))-LN($C$4:$C$6))/$B$9))</f>
        <v/>
      </c>
      <c r="J52" s="9">
        <f>IF(L51&gt;0.25,SQRT(J51*K51),J51)</f>
        <v/>
      </c>
      <c r="K52" s="9">
        <f>IF(L51&gt;0.25,K51,SQRT(J51*K51))</f>
        <v/>
      </c>
      <c r="L52" s="47">
        <f>SUMPRODUCT($B$4:$B$6,1-NORMSDIST((LN(SQRT(J52*K52))-LN($C$4:$C$6))/$B$9))</f>
        <v/>
      </c>
      <c r="M52" s="9">
        <f>IF(O51&gt;0.09999999999999998,SQRT(M51*N51),M51)</f>
        <v/>
      </c>
      <c r="N52" s="9">
        <f>IF(O51&gt;0.09999999999999998,N51,SQRT(M51*N51))</f>
        <v/>
      </c>
      <c r="O52" s="47">
        <f>SUMPRODUCT($B$4:$B$6,1-NORMSDIST((LN(SQRT(M52*N52))-LN($C$4:$C$6))/$B$9))</f>
        <v/>
      </c>
    </row>
    <row r="53">
      <c r="A53" s="9">
        <f>IF(C52&gt;0.5,SQRT(A52*B52),A52)</f>
        <v/>
      </c>
      <c r="B53" s="9">
        <f>IF(C52&gt;0.5,B52,SQRT(A52*B52))</f>
        <v/>
      </c>
      <c r="C53" s="47">
        <f>SUMPRODUCT($B$4:$B$6,1-NORMSDIST((LN(SQRT(A53*B53))-LN($C$4:$C$6))/$B$9))</f>
        <v/>
      </c>
      <c r="D53" s="9">
        <f>IF(F52&gt;0.9,SQRT(D52*E52),D52)</f>
        <v/>
      </c>
      <c r="E53" s="9">
        <f>IF(F52&gt;0.9,E52,SQRT(D52*E52))</f>
        <v/>
      </c>
      <c r="F53" s="47">
        <f>SUMPRODUCT($B$4:$B$6,1-NORMSDIST((LN(SQRT(D53*E53))-LN($C$4:$C$6))/$B$9))</f>
        <v/>
      </c>
      <c r="G53" s="9">
        <f>IF(I52&gt;0.75,SQRT(G52*H52),G52)</f>
        <v/>
      </c>
      <c r="H53" s="9">
        <f>IF(I52&gt;0.75,H52,SQRT(G52*H52))</f>
        <v/>
      </c>
      <c r="I53" s="47">
        <f>SUMPRODUCT($B$4:$B$6,1-NORMSDIST((LN(SQRT(G53*H53))-LN($C$4:$C$6))/$B$9))</f>
        <v/>
      </c>
      <c r="J53" s="9">
        <f>IF(L52&gt;0.25,SQRT(J52*K52),J52)</f>
        <v/>
      </c>
      <c r="K53" s="9">
        <f>IF(L52&gt;0.25,K52,SQRT(J52*K52))</f>
        <v/>
      </c>
      <c r="L53" s="47">
        <f>SUMPRODUCT($B$4:$B$6,1-NORMSDIST((LN(SQRT(J53*K53))-LN($C$4:$C$6))/$B$9))</f>
        <v/>
      </c>
      <c r="M53" s="9">
        <f>IF(O52&gt;0.09999999999999998,SQRT(M52*N52),M52)</f>
        <v/>
      </c>
      <c r="N53" s="9">
        <f>IF(O52&gt;0.09999999999999998,N52,SQRT(M52*N52))</f>
        <v/>
      </c>
      <c r="O53" s="47">
        <f>SUMPRODUCT($B$4:$B$6,1-NORMSDIST((LN(SQRT(M53*N53))-LN($C$4:$C$6))/$B$9))</f>
        <v/>
      </c>
    </row>
    <row r="54">
      <c r="A54" s="9">
        <f>IF(C53&gt;0.5,SQRT(A53*B53),A53)</f>
        <v/>
      </c>
      <c r="B54" s="9">
        <f>IF(C53&gt;0.5,B53,SQRT(A53*B53))</f>
        <v/>
      </c>
      <c r="C54" s="47">
        <f>SUMPRODUCT($B$4:$B$6,1-NORMSDIST((LN(SQRT(A54*B54))-LN($C$4:$C$6))/$B$9))</f>
        <v/>
      </c>
      <c r="D54" s="9">
        <f>IF(F53&gt;0.9,SQRT(D53*E53),D53)</f>
        <v/>
      </c>
      <c r="E54" s="9">
        <f>IF(F53&gt;0.9,E53,SQRT(D53*E53))</f>
        <v/>
      </c>
      <c r="F54" s="47">
        <f>SUMPRODUCT($B$4:$B$6,1-NORMSDIST((LN(SQRT(D54*E54))-LN($C$4:$C$6))/$B$9))</f>
        <v/>
      </c>
      <c r="G54" s="9">
        <f>IF(I53&gt;0.75,SQRT(G53*H53),G53)</f>
        <v/>
      </c>
      <c r="H54" s="9">
        <f>IF(I53&gt;0.75,H53,SQRT(G53*H53))</f>
        <v/>
      </c>
      <c r="I54" s="47">
        <f>SUMPRODUCT($B$4:$B$6,1-NORMSDIST((LN(SQRT(G54*H54))-LN($C$4:$C$6))/$B$9))</f>
        <v/>
      </c>
      <c r="J54" s="9">
        <f>IF(L53&gt;0.25,SQRT(J53*K53),J53)</f>
        <v/>
      </c>
      <c r="K54" s="9">
        <f>IF(L53&gt;0.25,K53,SQRT(J53*K53))</f>
        <v/>
      </c>
      <c r="L54" s="47">
        <f>SUMPRODUCT($B$4:$B$6,1-NORMSDIST((LN(SQRT(J54*K54))-LN($C$4:$C$6))/$B$9))</f>
        <v/>
      </c>
      <c r="M54" s="9">
        <f>IF(O53&gt;0.09999999999999998,SQRT(M53*N53),M53)</f>
        <v/>
      </c>
      <c r="N54" s="9">
        <f>IF(O53&gt;0.09999999999999998,N53,SQRT(M53*N53))</f>
        <v/>
      </c>
      <c r="O54" s="47">
        <f>SUMPRODUCT($B$4:$B$6,1-NORMSDIST((LN(SQRT(M54*N54))-LN($C$4:$C$6))/$B$9))</f>
        <v/>
      </c>
    </row>
    <row r="55">
      <c r="A55" s="9">
        <f>IF(C54&gt;0.5,SQRT(A54*B54),A54)</f>
        <v/>
      </c>
      <c r="B55" s="9">
        <f>IF(C54&gt;0.5,B54,SQRT(A54*B54))</f>
        <v/>
      </c>
      <c r="C55" s="47">
        <f>SUMPRODUCT($B$4:$B$6,1-NORMSDIST((LN(SQRT(A55*B55))-LN($C$4:$C$6))/$B$9))</f>
        <v/>
      </c>
      <c r="D55" s="9">
        <f>IF(F54&gt;0.9,SQRT(D54*E54),D54)</f>
        <v/>
      </c>
      <c r="E55" s="9">
        <f>IF(F54&gt;0.9,E54,SQRT(D54*E54))</f>
        <v/>
      </c>
      <c r="F55" s="47">
        <f>SUMPRODUCT($B$4:$B$6,1-NORMSDIST((LN(SQRT(D55*E55))-LN($C$4:$C$6))/$B$9))</f>
        <v/>
      </c>
      <c r="G55" s="9">
        <f>IF(I54&gt;0.75,SQRT(G54*H54),G54)</f>
        <v/>
      </c>
      <c r="H55" s="9">
        <f>IF(I54&gt;0.75,H54,SQRT(G54*H54))</f>
        <v/>
      </c>
      <c r="I55" s="47">
        <f>SUMPRODUCT($B$4:$B$6,1-NORMSDIST((LN(SQRT(G55*H55))-LN($C$4:$C$6))/$B$9))</f>
        <v/>
      </c>
      <c r="J55" s="9">
        <f>IF(L54&gt;0.25,SQRT(J54*K54),J54)</f>
        <v/>
      </c>
      <c r="K55" s="9">
        <f>IF(L54&gt;0.25,K54,SQRT(J54*K54))</f>
        <v/>
      </c>
      <c r="L55" s="47">
        <f>SUMPRODUCT($B$4:$B$6,1-NORMSDIST((LN(SQRT(J55*K55))-LN($C$4:$C$6))/$B$9))</f>
        <v/>
      </c>
      <c r="M55" s="9">
        <f>IF(O54&gt;0.09999999999999998,SQRT(M54*N54),M54)</f>
        <v/>
      </c>
      <c r="N55" s="9">
        <f>IF(O54&gt;0.09999999999999998,N54,SQRT(M54*N54))</f>
        <v/>
      </c>
      <c r="O55" s="47">
        <f>SUMPRODUCT($B$4:$B$6,1-NORMSDIST((LN(SQRT(M55*N55))-LN($C$4:$C$6))/$B$9))</f>
        <v/>
      </c>
    </row>
    <row r="56">
      <c r="A56" s="9">
        <f>IF(C55&gt;0.5,SQRT(A55*B55),A55)</f>
        <v/>
      </c>
      <c r="B56" s="9">
        <f>IF(C55&gt;0.5,B55,SQRT(A55*B55))</f>
        <v/>
      </c>
      <c r="C56" s="47">
        <f>SUMPRODUCT($B$4:$B$6,1-NORMSDIST((LN(SQRT(A56*B56))-LN($C$4:$C$6))/$B$9))</f>
        <v/>
      </c>
      <c r="D56" s="9">
        <f>IF(F55&gt;0.9,SQRT(D55*E55),D55)</f>
        <v/>
      </c>
      <c r="E56" s="9">
        <f>IF(F55&gt;0.9,E55,SQRT(D55*E55))</f>
        <v/>
      </c>
      <c r="F56" s="47">
        <f>SUMPRODUCT($B$4:$B$6,1-NORMSDIST((LN(SQRT(D56*E56))-LN($C$4:$C$6))/$B$9))</f>
        <v/>
      </c>
      <c r="G56" s="9">
        <f>IF(I55&gt;0.75,SQRT(G55*H55),G55)</f>
        <v/>
      </c>
      <c r="H56" s="9">
        <f>IF(I55&gt;0.75,H55,SQRT(G55*H55))</f>
        <v/>
      </c>
      <c r="I56" s="47">
        <f>SUMPRODUCT($B$4:$B$6,1-NORMSDIST((LN(SQRT(G56*H56))-LN($C$4:$C$6))/$B$9))</f>
        <v/>
      </c>
      <c r="J56" s="9">
        <f>IF(L55&gt;0.25,SQRT(J55*K55),J55)</f>
        <v/>
      </c>
      <c r="K56" s="9">
        <f>IF(L55&gt;0.25,K55,SQRT(J55*K55))</f>
        <v/>
      </c>
      <c r="L56" s="47">
        <f>SUMPRODUCT($B$4:$B$6,1-NORMSDIST((LN(SQRT(J56*K56))-LN($C$4:$C$6))/$B$9))</f>
        <v/>
      </c>
      <c r="M56" s="9">
        <f>IF(O55&gt;0.09999999999999998,SQRT(M55*N55),M55)</f>
        <v/>
      </c>
      <c r="N56" s="9">
        <f>IF(O55&gt;0.09999999999999998,N55,SQRT(M55*N55))</f>
        <v/>
      </c>
      <c r="O56" s="47">
        <f>SUMPRODUCT($B$4:$B$6,1-NORMSDIST((LN(SQRT(M56*N56))-LN($C$4:$C$6))/$B$9))</f>
        <v/>
      </c>
    </row>
    <row r="57">
      <c r="A57" s="9">
        <f>IF(C56&gt;0.5,SQRT(A56*B56),A56)</f>
        <v/>
      </c>
      <c r="B57" s="9">
        <f>IF(C56&gt;0.5,B56,SQRT(A56*B56))</f>
        <v/>
      </c>
      <c r="C57" s="47">
        <f>SUMPRODUCT($B$4:$B$6,1-NORMSDIST((LN(SQRT(A57*B57))-LN($C$4:$C$6))/$B$9))</f>
        <v/>
      </c>
      <c r="D57" s="9">
        <f>IF(F56&gt;0.9,SQRT(D56*E56),D56)</f>
        <v/>
      </c>
      <c r="E57" s="9">
        <f>IF(F56&gt;0.9,E56,SQRT(D56*E56))</f>
        <v/>
      </c>
      <c r="F57" s="47">
        <f>SUMPRODUCT($B$4:$B$6,1-NORMSDIST((LN(SQRT(D57*E57))-LN($C$4:$C$6))/$B$9))</f>
        <v/>
      </c>
      <c r="G57" s="9">
        <f>IF(I56&gt;0.75,SQRT(G56*H56),G56)</f>
        <v/>
      </c>
      <c r="H57" s="9">
        <f>IF(I56&gt;0.75,H56,SQRT(G56*H56))</f>
        <v/>
      </c>
      <c r="I57" s="47">
        <f>SUMPRODUCT($B$4:$B$6,1-NORMSDIST((LN(SQRT(G57*H57))-LN($C$4:$C$6))/$B$9))</f>
        <v/>
      </c>
      <c r="J57" s="9">
        <f>IF(L56&gt;0.25,SQRT(J56*K56),J56)</f>
        <v/>
      </c>
      <c r="K57" s="9">
        <f>IF(L56&gt;0.25,K56,SQRT(J56*K56))</f>
        <v/>
      </c>
      <c r="L57" s="47">
        <f>SUMPRODUCT($B$4:$B$6,1-NORMSDIST((LN(SQRT(J57*K57))-LN($C$4:$C$6))/$B$9))</f>
        <v/>
      </c>
      <c r="M57" s="9">
        <f>IF(O56&gt;0.09999999999999998,SQRT(M56*N56),M56)</f>
        <v/>
      </c>
      <c r="N57" s="9">
        <f>IF(O56&gt;0.09999999999999998,N56,SQRT(M56*N56))</f>
        <v/>
      </c>
      <c r="O57" s="47">
        <f>SUMPRODUCT($B$4:$B$6,1-NORMSDIST((LN(SQRT(M57*N57))-LN($C$4:$C$6))/$B$9))</f>
        <v/>
      </c>
    </row>
    <row r="58">
      <c r="A58" s="9">
        <f>IF(C57&gt;0.5,SQRT(A57*B57),A57)</f>
        <v/>
      </c>
      <c r="B58" s="9">
        <f>IF(C57&gt;0.5,B57,SQRT(A57*B57))</f>
        <v/>
      </c>
      <c r="C58" s="47">
        <f>SUMPRODUCT($B$4:$B$6,1-NORMSDIST((LN(SQRT(A58*B58))-LN($C$4:$C$6))/$B$9))</f>
        <v/>
      </c>
      <c r="D58" s="9">
        <f>IF(F57&gt;0.9,SQRT(D57*E57),D57)</f>
        <v/>
      </c>
      <c r="E58" s="9">
        <f>IF(F57&gt;0.9,E57,SQRT(D57*E57))</f>
        <v/>
      </c>
      <c r="F58" s="47">
        <f>SUMPRODUCT($B$4:$B$6,1-NORMSDIST((LN(SQRT(D58*E58))-LN($C$4:$C$6))/$B$9))</f>
        <v/>
      </c>
      <c r="G58" s="9">
        <f>IF(I57&gt;0.75,SQRT(G57*H57),G57)</f>
        <v/>
      </c>
      <c r="H58" s="9">
        <f>IF(I57&gt;0.75,H57,SQRT(G57*H57))</f>
        <v/>
      </c>
      <c r="I58" s="47">
        <f>SUMPRODUCT($B$4:$B$6,1-NORMSDIST((LN(SQRT(G58*H58))-LN($C$4:$C$6))/$B$9))</f>
        <v/>
      </c>
      <c r="J58" s="9">
        <f>IF(L57&gt;0.25,SQRT(J57*K57),J57)</f>
        <v/>
      </c>
      <c r="K58" s="9">
        <f>IF(L57&gt;0.25,K57,SQRT(J57*K57))</f>
        <v/>
      </c>
      <c r="L58" s="47">
        <f>SUMPRODUCT($B$4:$B$6,1-NORMSDIST((LN(SQRT(J58*K58))-LN($C$4:$C$6))/$B$9))</f>
        <v/>
      </c>
      <c r="M58" s="9">
        <f>IF(O57&gt;0.09999999999999998,SQRT(M57*N57),M57)</f>
        <v/>
      </c>
      <c r="N58" s="9">
        <f>IF(O57&gt;0.09999999999999998,N57,SQRT(M57*N57))</f>
        <v/>
      </c>
      <c r="O58" s="47">
        <f>SUMPRODUCT($B$4:$B$6,1-NORMSDIST((LN(SQRT(M58*N58))-LN($C$4:$C$6))/$B$9))</f>
        <v/>
      </c>
    </row>
    <row r="59">
      <c r="A59" s="9">
        <f>IF(C58&gt;0.5,SQRT(A58*B58),A58)</f>
        <v/>
      </c>
      <c r="B59" s="9">
        <f>IF(C58&gt;0.5,B58,SQRT(A58*B58))</f>
        <v/>
      </c>
      <c r="C59" s="47">
        <f>SUMPRODUCT($B$4:$B$6,1-NORMSDIST((LN(SQRT(A59*B59))-LN($C$4:$C$6))/$B$9))</f>
        <v/>
      </c>
      <c r="D59" s="9">
        <f>IF(F58&gt;0.9,SQRT(D58*E58),D58)</f>
        <v/>
      </c>
      <c r="E59" s="9">
        <f>IF(F58&gt;0.9,E58,SQRT(D58*E58))</f>
        <v/>
      </c>
      <c r="F59" s="47">
        <f>SUMPRODUCT($B$4:$B$6,1-NORMSDIST((LN(SQRT(D59*E59))-LN($C$4:$C$6))/$B$9))</f>
        <v/>
      </c>
      <c r="G59" s="9">
        <f>IF(I58&gt;0.75,SQRT(G58*H58),G58)</f>
        <v/>
      </c>
      <c r="H59" s="9">
        <f>IF(I58&gt;0.75,H58,SQRT(G58*H58))</f>
        <v/>
      </c>
      <c r="I59" s="47">
        <f>SUMPRODUCT($B$4:$B$6,1-NORMSDIST((LN(SQRT(G59*H59))-LN($C$4:$C$6))/$B$9))</f>
        <v/>
      </c>
      <c r="J59" s="9">
        <f>IF(L58&gt;0.25,SQRT(J58*K58),J58)</f>
        <v/>
      </c>
      <c r="K59" s="9">
        <f>IF(L58&gt;0.25,K58,SQRT(J58*K58))</f>
        <v/>
      </c>
      <c r="L59" s="47">
        <f>SUMPRODUCT($B$4:$B$6,1-NORMSDIST((LN(SQRT(J59*K59))-LN($C$4:$C$6))/$B$9))</f>
        <v/>
      </c>
      <c r="M59" s="9">
        <f>IF(O58&gt;0.09999999999999998,SQRT(M58*N58),M58)</f>
        <v/>
      </c>
      <c r="N59" s="9">
        <f>IF(O58&gt;0.09999999999999998,N58,SQRT(M58*N58))</f>
        <v/>
      </c>
      <c r="O59" s="47">
        <f>SUMPRODUCT($B$4:$B$6,1-NORMSDIST((LN(SQRT(M59*N59))-LN($C$4:$C$6))/$B$9))</f>
        <v/>
      </c>
    </row>
    <row r="60">
      <c r="A60" s="9">
        <f>IF(C59&gt;0.5,SQRT(A59*B59),A59)</f>
        <v/>
      </c>
      <c r="B60" s="9">
        <f>IF(C59&gt;0.5,B59,SQRT(A59*B59))</f>
        <v/>
      </c>
      <c r="C60" s="47">
        <f>SUMPRODUCT($B$4:$B$6,1-NORMSDIST((LN(SQRT(A60*B60))-LN($C$4:$C$6))/$B$9))</f>
        <v/>
      </c>
      <c r="D60" s="9">
        <f>IF(F59&gt;0.9,SQRT(D59*E59),D59)</f>
        <v/>
      </c>
      <c r="E60" s="9">
        <f>IF(F59&gt;0.9,E59,SQRT(D59*E59))</f>
        <v/>
      </c>
      <c r="F60" s="47">
        <f>SUMPRODUCT($B$4:$B$6,1-NORMSDIST((LN(SQRT(D60*E60))-LN($C$4:$C$6))/$B$9))</f>
        <v/>
      </c>
      <c r="G60" s="9">
        <f>IF(I59&gt;0.75,SQRT(G59*H59),G59)</f>
        <v/>
      </c>
      <c r="H60" s="9">
        <f>IF(I59&gt;0.75,H59,SQRT(G59*H59))</f>
        <v/>
      </c>
      <c r="I60" s="47">
        <f>SUMPRODUCT($B$4:$B$6,1-NORMSDIST((LN(SQRT(G60*H60))-LN($C$4:$C$6))/$B$9))</f>
        <v/>
      </c>
      <c r="J60" s="9">
        <f>IF(L59&gt;0.25,SQRT(J59*K59),J59)</f>
        <v/>
      </c>
      <c r="K60" s="9">
        <f>IF(L59&gt;0.25,K59,SQRT(J59*K59))</f>
        <v/>
      </c>
      <c r="L60" s="47">
        <f>SUMPRODUCT($B$4:$B$6,1-NORMSDIST((LN(SQRT(J60*K60))-LN($C$4:$C$6))/$B$9))</f>
        <v/>
      </c>
      <c r="M60" s="9">
        <f>IF(O59&gt;0.09999999999999998,SQRT(M59*N59),M59)</f>
        <v/>
      </c>
      <c r="N60" s="9">
        <f>IF(O59&gt;0.09999999999999998,N59,SQRT(M59*N59))</f>
        <v/>
      </c>
      <c r="O60" s="47">
        <f>SUMPRODUCT($B$4:$B$6,1-NORMSDIST((LN(SQRT(M60*N60))-LN($C$4:$C$6))/$B$9))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0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GOOGL engine calculation: research target (12m) (reconciled set, no scenario deltas)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18" t="n">
        <v>0</v>
      </c>
    </row>
    <row r="5">
      <c r="A5" t="inlineStr">
        <is>
          <t>Scenario Margin Δ</t>
        </is>
      </c>
      <c r="B5" s="18" t="n">
        <v>0</v>
      </c>
    </row>
    <row r="6">
      <c r="A6" t="inlineStr">
        <is>
          <t>Scenario Multiple Δ (turns)</t>
        </is>
      </c>
      <c r="B6" s="48" t="n">
        <v>0</v>
      </c>
    </row>
    <row r="7">
      <c r="A7" t="inlineStr">
        <is>
          <t>Scenario WACC Δ</t>
        </is>
      </c>
      <c r="B7" s="18" t="n">
        <v>0</v>
      </c>
    </row>
    <row r="8">
      <c r="A8" t="inlineStr">
        <is>
          <t>Scenario Multiple %Δ</t>
        </is>
      </c>
      <c r="B8" s="18" t="n">
        <v>0</v>
      </c>
    </row>
    <row r="9">
      <c r="A9" t="inlineStr">
        <is>
          <t>Scenario Stated EPS/FCF %Δ</t>
        </is>
      </c>
      <c r="B9" s="18" t="n">
        <v>0</v>
      </c>
    </row>
    <row r="10">
      <c r="A10" t="inlineStr">
        <is>
          <t>Scenario Custom %Δ</t>
        </is>
      </c>
      <c r="B10" s="18" t="n">
        <v>0</v>
      </c>
    </row>
    <row r="12">
      <c r="A12" t="inlineStr">
        <is>
          <t>WACC</t>
        </is>
      </c>
      <c r="B12" s="18">
        <f>Valuation!$B$51+B7</f>
        <v/>
      </c>
    </row>
    <row r="13">
      <c r="A13" t="inlineStr">
        <is>
          <t>Years from last FY end to target date</t>
        </is>
      </c>
      <c r="B13" s="49">
        <f>(Valuation!$B$45-Valuation!$B$49)/365.25</f>
        <v/>
      </c>
    </row>
    <row r="14">
      <c r="A14" t="inlineStr">
        <is>
          <t>Years from last FY end to balance date</t>
        </is>
      </c>
      <c r="B14" s="49">
        <f>(Valuation!$B$55-Valuation!$B$49)/365.25</f>
        <v/>
      </c>
    </row>
    <row r="15">
      <c r="A15" t="inlineStr">
        <is>
          <t>Years from last FY end to share count date</t>
        </is>
      </c>
      <c r="B15" s="49">
        <f>(Valuation!$B$61-Valuation!$B$49)/365.25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20">
        <f>Valuation!$B$49+ROUND(365.25*C19,0)</f>
        <v/>
      </c>
      <c r="D20" s="20">
        <f>Valuation!$B$49+ROUND(365.25*D19,0)</f>
        <v/>
      </c>
      <c r="E20" s="20">
        <f>Valuation!$B$49+ROUND(365.25*E19,0)</f>
        <v/>
      </c>
    </row>
    <row r="21">
      <c r="A21" t="inlineStr">
        <is>
          <t>Revenue growth</t>
        </is>
      </c>
      <c r="C21" s="18">
        <f>C22/B22-1</f>
        <v/>
      </c>
      <c r="D21" s="18">
        <f>D22/C22-1</f>
        <v/>
      </c>
      <c r="E21" s="18">
        <f>E22/D22-1</f>
        <v/>
      </c>
    </row>
    <row r="22">
      <c r="A22" t="inlineStr">
        <is>
          <t>Revenue</t>
        </is>
      </c>
      <c r="B22" s="23">
        <f>Valuation!$B$50</f>
        <v/>
      </c>
      <c r="C22" s="23">
        <f>C147</f>
        <v/>
      </c>
      <c r="D22" s="23">
        <f>D147</f>
        <v/>
      </c>
      <c r="E22" s="23">
        <f>E147</f>
        <v/>
      </c>
    </row>
    <row r="23">
      <c r="A23" t="inlineStr">
        <is>
          <t>EBIT margin</t>
        </is>
      </c>
      <c r="C23" s="18">
        <f>C24/C22</f>
        <v/>
      </c>
      <c r="D23" s="18">
        <f>D24/D22</f>
        <v/>
      </c>
      <c r="E23" s="18">
        <f>E24/E22</f>
        <v/>
      </c>
    </row>
    <row r="24">
      <c r="A24" t="inlineStr">
        <is>
          <t>EBIT</t>
        </is>
      </c>
      <c r="C24" s="23">
        <f>C150</f>
        <v/>
      </c>
      <c r="D24" s="23">
        <f>D150</f>
        <v/>
      </c>
      <c r="E24" s="23">
        <f>E150</f>
        <v/>
      </c>
    </row>
    <row r="25">
      <c r="A25" t="inlineStr">
        <is>
          <t>Tax rate</t>
        </is>
      </c>
      <c r="C25" s="18">
        <f>Model!E71</f>
        <v/>
      </c>
      <c r="D25" s="18">
        <f>Model!F71</f>
        <v/>
      </c>
      <c r="E25" s="18">
        <f>Model!G71</f>
        <v/>
      </c>
    </row>
    <row r="26">
      <c r="A26" t="inlineStr">
        <is>
          <t>NOPAT</t>
        </is>
      </c>
      <c r="C26" s="23">
        <f>C24*(1-C25)</f>
        <v/>
      </c>
      <c r="D26" s="23">
        <f>D24*(1-D25)</f>
        <v/>
      </c>
      <c r="E26" s="23">
        <f>E24*(1-E25)</f>
        <v/>
      </c>
    </row>
    <row r="27">
      <c r="A27" t="inlineStr">
        <is>
          <t>D&amp;A</t>
        </is>
      </c>
      <c r="C27" s="23">
        <f>C22*(Model!E72)</f>
        <v/>
      </c>
      <c r="D27" s="23">
        <f>D22*(Model!F72)</f>
        <v/>
      </c>
      <c r="E27" s="23">
        <f>E22*(Model!G72)</f>
        <v/>
      </c>
    </row>
    <row r="28">
      <c r="A28" t="inlineStr">
        <is>
          <t>Capex</t>
        </is>
      </c>
      <c r="C28" s="23">
        <f>C22*(Model!E73)</f>
        <v/>
      </c>
      <c r="D28" s="23">
        <f>D22*(Model!F73)</f>
        <v/>
      </c>
      <c r="E28" s="23">
        <f>E22*(Model!G73)</f>
        <v/>
      </c>
    </row>
    <row r="29">
      <c r="A29" t="inlineStr">
        <is>
          <t>Working capital increase</t>
        </is>
      </c>
      <c r="C29" s="23">
        <f>(Model!E74)*(C22-B22)</f>
        <v/>
      </c>
      <c r="D29" s="23">
        <f>(Model!F74)*(D22-C22)</f>
        <v/>
      </c>
      <c r="E29" s="23">
        <f>(Model!G74)*(E22-D22)</f>
        <v/>
      </c>
    </row>
    <row r="30">
      <c r="A30" t="inlineStr">
        <is>
          <t>Stock comp</t>
        </is>
      </c>
      <c r="C30" s="23">
        <f>C22*(Model!E75)</f>
        <v/>
      </c>
      <c r="D30" s="23">
        <f>D22*(Model!F75)</f>
        <v/>
      </c>
      <c r="E30" s="23">
        <f>E22*(Model!G75)</f>
        <v/>
      </c>
    </row>
    <row r="31">
      <c r="A31" t="inlineStr">
        <is>
          <t>Free cash flow to firm</t>
        </is>
      </c>
      <c r="C31" s="23">
        <f>C26+C27-C28-C29-IF(AND(Valuation!$B$47="adjusted",Valuation!$B$48="cost"),C30*(1-C25),0)</f>
        <v/>
      </c>
      <c r="D31" s="23">
        <f>D26+D27-D28-D29-IF(AND(Valuation!$B$47="adjusted",Valuation!$B$48="cost"),D30*(1-D25),0)</f>
        <v/>
      </c>
      <c r="E31" s="23">
        <f>E26+E27-E28-E29-IF(AND(Valuation!$B$47="adjusted",Valuation!$B$48="cost"),E30*(1-E25),0)</f>
        <v/>
      </c>
    </row>
    <row r="32">
      <c r="A32" t="inlineStr">
        <is>
          <t>EBITDA</t>
        </is>
      </c>
      <c r="C32" s="23">
        <f>C24+C27</f>
        <v/>
      </c>
      <c r="D32" s="23">
        <f>D24+D27</f>
        <v/>
      </c>
      <c r="E32" s="23">
        <f>E24+E27</f>
        <v/>
      </c>
    </row>
    <row r="33">
      <c r="A33" t="inlineStr">
        <is>
          <t>Adj. EBITDA</t>
        </is>
      </c>
      <c r="C33" s="23">
        <f>C24+C27+C22*(Model!E79)</f>
        <v/>
      </c>
      <c r="D33" s="23">
        <f>D24+D27+D22*(Model!F79)</f>
        <v/>
      </c>
      <c r="E33" s="23">
        <f>E24+E27+E22*(Model!G79)</f>
        <v/>
      </c>
    </row>
    <row r="34">
      <c r="A34" t="inlineStr">
        <is>
          <t>Shareholder returns + other uses</t>
        </is>
      </c>
      <c r="C34" s="23">
        <f>C22*Model!E77+Model!E76+Model!E78</f>
        <v/>
      </c>
      <c r="D34" s="23">
        <f>D22*Model!F77+Model!F76+Model!F78</f>
        <v/>
      </c>
      <c r="E34" s="23">
        <f>E22*Model!G77+Model!G76+Model!G78</f>
        <v/>
      </c>
    </row>
    <row r="35">
      <c r="A35" t="inlineStr">
        <is>
          <t>Share of year after target date</t>
        </is>
      </c>
      <c r="C35" s="49">
        <f>IF(C19&lt;=$B$13,0,C19-MAX(C19-1,$B$13))</f>
        <v/>
      </c>
      <c r="D35" s="49">
        <f>IF(D19&lt;=$B$13,0,D19-MAX(D19-1,$B$13))</f>
        <v/>
      </c>
      <c r="E35" s="49">
        <f>IF(E19&lt;=$B$13,0,E19-MAX(E19-1,$B$13))</f>
        <v/>
      </c>
    </row>
    <row r="36">
      <c r="A36" t="inlineStr">
        <is>
          <t>PV at target date of FCFF</t>
        </is>
      </c>
      <c r="C36" s="23">
        <f>IF(C35=0,0,C31*C35/(1+$B$12)^(C19-$B$13))</f>
        <v/>
      </c>
      <c r="D36" s="23">
        <f>IF(D35=0,0,D31*D35/(1+$B$12)^(D19-$B$13))</f>
        <v/>
      </c>
      <c r="E36" s="23">
        <f>IF(E35=0,0,E31*E35/(1+$B$12)^(E19-$B$13))</f>
        <v/>
      </c>
    </row>
    <row r="37">
      <c r="A37" t="inlineStr">
        <is>
          <t>Overlap: balance date to target date</t>
        </is>
      </c>
      <c r="C37" s="49">
        <f>MAX(0,MIN(C19,$B$13)-MAX(C19-1,$B$14))</f>
        <v/>
      </c>
      <c r="D37" s="49">
        <f>MAX(0,MIN(D19,$B$13)-MAX(D19-1,$B$14))</f>
        <v/>
      </c>
      <c r="E37" s="49">
        <f>MAX(0,MIN(E19,$B$13)-MAX(E19-1,$B$14))</f>
        <v/>
      </c>
    </row>
    <row r="38">
      <c r="A38" t="inlineStr">
        <is>
          <t>NTM weight at target date</t>
        </is>
      </c>
      <c r="C38" s="49">
        <f>MAX(0,MIN(C19,$B$13+1)-MAX(C19-1,$B$13))</f>
        <v/>
      </c>
      <c r="D38" s="49">
        <f>MAX(0,MIN(D19,$B$13+1)-MAX(D19-1,$B$13))</f>
        <v/>
      </c>
      <c r="E38" s="49">
        <f>MAX(0,MIN(E19,$B$13+1)-MAX(E19-1,$B$13))</f>
        <v/>
      </c>
    </row>
    <row r="39">
      <c r="A39" t="inlineStr">
        <is>
          <t>LTM weight at target date</t>
        </is>
      </c>
      <c r="B39" s="49">
        <f>MAX(0,MIN(0,$B$13)-MAX(-1,$B$13-1))</f>
        <v/>
      </c>
      <c r="C39" s="49">
        <f>MAX(0,MIN(C19,$B$13)-MAX(C19-1,$B$13-1))</f>
        <v/>
      </c>
      <c r="D39" s="49">
        <f>MAX(0,MIN(D19,$B$13)-MAX(D19-1,$B$13-1))</f>
        <v/>
      </c>
      <c r="E39" s="49">
        <f>MAX(0,MIN(E19,$B$13)-MAX(E19-1,$B$13-1))</f>
        <v/>
      </c>
    </row>
    <row r="41">
      <c r="A41" s="19" t="inlineStr">
        <is>
          <t>Value at the target date</t>
        </is>
      </c>
    </row>
    <row r="42">
      <c r="A42" t="inlineStr">
        <is>
          <t>PV of free cash flow after the target date</t>
        </is>
      </c>
      <c r="B42" s="23">
        <f>SUM($C$36:$E$36)</f>
        <v/>
      </c>
    </row>
    <row r="43">
      <c r="A43" t="inlineStr">
        <is>
          <t>Terminal value at final year</t>
        </is>
      </c>
      <c r="B43" s="23">
        <f>IF(Valuation!$B$52="exit_multiple",Valuation!$B$54*E32,E31*(1+Valuation!$B$53)/($B$12-Valuation!$B$53))</f>
        <v/>
      </c>
    </row>
    <row r="44">
      <c r="A44" t="inlineStr">
        <is>
          <t>PV of terminal value at target date</t>
        </is>
      </c>
      <c r="B44" s="23">
        <f>B43/(1+$B$12)^($B$16-$B$13)</f>
        <v/>
      </c>
    </row>
    <row r="45">
      <c r="A45" t="inlineStr">
        <is>
          <t>DCF enterprise value at target date</t>
        </is>
      </c>
      <c r="B45" s="23">
        <f>B42+B44</f>
        <v/>
      </c>
    </row>
    <row r="46">
      <c r="A46" t="inlineStr">
        <is>
          <t>Terminal value share of DCF</t>
        </is>
      </c>
      <c r="B46" s="18">
        <f>B44/B45</f>
        <v/>
      </c>
    </row>
    <row r="47">
      <c r="A47" t="inlineStr">
        <is>
          <t>Free cash flow earned, balance date to target date</t>
        </is>
      </c>
      <c r="B47" s="23">
        <f>SUMPRODUCT($C$37:$E$37,$C$31:$E$31)</f>
        <v/>
      </c>
    </row>
    <row r="48">
      <c r="A48" t="inlineStr">
        <is>
          <t>Shareholder returns + other uses paid</t>
        </is>
      </c>
      <c r="B48" s="23">
        <f>SUMPRODUCT($C$37:$E$37,$C$34:$E$34)</f>
        <v/>
      </c>
    </row>
    <row r="49">
      <c r="A49" t="inlineStr">
        <is>
          <t>Interest drag on net debt</t>
        </is>
      </c>
      <c r="B49" s="23">
        <f>Valuation!$B$58*(1-$C$25)*MAX(Valuation!$B$56,0)*MAX($B$13-$B$14,0)</f>
        <v/>
      </c>
    </row>
    <row r="50">
      <c r="A50" t="inlineStr">
        <is>
          <t>Net debt at target date</t>
        </is>
      </c>
      <c r="B50" s="23">
        <f>IF(Valuation!$B$59="",Valuation!$B$56-B47+B49+B48,Valuation!$B$59)</f>
        <v/>
      </c>
    </row>
    <row r="51">
      <c r="A51" t="inlineStr">
        <is>
          <t>Minority interests</t>
        </is>
      </c>
      <c r="B51" s="23">
        <f>Valuation!$B$57</f>
        <v/>
      </c>
    </row>
    <row r="52">
      <c r="A52" t="inlineStr">
        <is>
          <t>Adjustments (probability-weighted)</t>
        </is>
      </c>
      <c r="B52" s="23">
        <f>(Valuation!B79)*Valuation!C79+(Valuation!B80)*Valuation!C80+(Valuation!B81)*Valuation!C81+(Valuation!B82)*Valuation!C82+(Valuation!B83)*Valuation!C83+(Valuation!B84)*Valuation!C84+(Valuation!B85)*Valuation!C85+(Valuation!B86)*Valuation!C86+(Valuation!B87)*Valuation!C87+(Valuation!B88)*Valuation!C88+(Valuation!B89)*Valuation!C89+(Valuation!B90)*Valuation!C90+(Valuation!B91)*Valuation!C91+(Valuation!B92)*Valuation!C92+0</f>
        <v/>
      </c>
    </row>
    <row r="53">
      <c r="A53" t="inlineStr">
        <is>
          <t>Diluted shares at target date (M)</t>
        </is>
      </c>
      <c r="B53" s="28">
        <f>IF(Valuation!$B$63="",Valuation!$B$60*(1+Valuation!$B$62)^MAX($B$13-$B$15,0),Valuation!$B$63)</f>
        <v/>
      </c>
    </row>
    <row r="54">
      <c r="A54" t="inlineStr">
        <is>
          <t>After-tax interest on target-date net debt</t>
        </is>
      </c>
      <c r="B54" s="23">
        <f>Valuation!$B$58*(1-$C$25)*MAX(B50,0)</f>
        <v/>
      </c>
    </row>
    <row r="55">
      <c r="A55" t="inlineStr">
        <is>
          <t>Check: WACC vs terminal growth</t>
        </is>
      </c>
      <c r="B55">
        <f>IF(AND(Valuation!$B$52&lt;&gt;"exit_multiple",$B$12&lt;=Valuation!$B$53+0.01),"WACC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3">
        <f>SUMPRODUCT($C$38:$E$38,$C$22:$E$22)</f>
        <v/>
      </c>
      <c r="C59" s="23">
        <f>SUMPRODUCT($C$39:$E$39,$C$22:$E$22)+$B$39*$B$22</f>
        <v/>
      </c>
    </row>
    <row r="60">
      <c r="A60" t="inlineStr">
        <is>
          <t>EBIT</t>
        </is>
      </c>
      <c r="B60" s="23">
        <f>SUMPRODUCT($C$38:$E$38,$C$24:$E$24)</f>
        <v/>
      </c>
      <c r="C60" s="23">
        <f>SUMPRODUCT($C$39:$E$39,$C$24:$E$24)</f>
        <v/>
      </c>
    </row>
    <row r="61">
      <c r="A61" t="inlineStr">
        <is>
          <t>EBITDA</t>
        </is>
      </c>
      <c r="B61" s="23">
        <f>SUMPRODUCT($C$38:$E$38,$C$32:$E$32)</f>
        <v/>
      </c>
      <c r="C61" s="23">
        <f>SUMPRODUCT($C$39:$E$39,$C$32:$E$32)</f>
        <v/>
      </c>
    </row>
    <row r="62">
      <c r="A62" t="inlineStr">
        <is>
          <t>Adj. EBITDA</t>
        </is>
      </c>
      <c r="B62" s="23">
        <f>SUMPRODUCT($C$38:$E$38,$C$33:$E$33)</f>
        <v/>
      </c>
      <c r="C62" s="23">
        <f>SUMPRODUCT($C$39:$E$39,$C$33:$E$33)</f>
        <v/>
      </c>
    </row>
    <row r="63">
      <c r="A63" t="inlineStr">
        <is>
          <t>NOPAT</t>
        </is>
      </c>
      <c r="B63" s="23">
        <f>SUMPRODUCT($C$38:$E$38,$C$26:$E$26)</f>
        <v/>
      </c>
      <c r="C63" s="23">
        <f>SUMPRODUCT($C$39:$E$39,$C$26:$E$26)</f>
        <v/>
      </c>
    </row>
    <row r="64">
      <c r="A64" t="inlineStr">
        <is>
          <t>Free cash flow to firm</t>
        </is>
      </c>
      <c r="B64" s="23">
        <f>SUMPRODUCT($C$38:$E$38,$C$31:$E$31)</f>
        <v/>
      </c>
      <c r="C64" s="23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18">
        <f>Valuation!$B$64</f>
        <v/>
      </c>
    </row>
    <row r="68">
      <c r="A68">
        <f>"Multiple: "&amp;Valuation!A70&amp;" ("&amp;Valuation!D70&amp;")"</f>
        <v/>
      </c>
      <c r="B68">
        <f>Valuation!A70</f>
        <v/>
      </c>
      <c r="C68" s="9">
        <f>IF(B68="FCF yield",(Valuation!B70)*(1-$B$8),(Valuation!B70)+IF(B68="EV/sales",0.1,1)*$B$6)</f>
        <v/>
      </c>
      <c r="D68">
        <f>Valuation!D70</f>
        <v/>
      </c>
      <c r="E68" s="23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70&lt;&gt;"",C68*(Valuation!F70)*(1+$B$9),C68*(E68-$B$54)/$B$53),IF(Valuation!G70&lt;&gt;"",(Valuation!G70)*(1+$B$9)/C68,(E68-IF(Valuation!H70,$B$54,0))/C68/$B$53))+$B$52/$B$53)</f>
        <v/>
      </c>
      <c r="G68" s="18">
        <f>Valuation!C70</f>
        <v/>
      </c>
      <c r="H68">
        <f>IF(B68="EV/sales",1,IF(B68="EV/EBIT",2,IF(B68="EV/EBITDA",IF(Valuation!E70="adjusted",4,3),IF(B68="P/E",5,6))))</f>
        <v/>
      </c>
      <c r="I68" s="50">
        <f>IF(AND(B68="P/E",Valuation!F70&lt;&gt;""),(Valuation!F70)*(1+$B$9),IF(AND(B68="FCF yield",Valuation!G70&lt;&gt;""),(Valuation!G70)*(1+$B$9),E68))</f>
        <v/>
      </c>
    </row>
    <row r="69">
      <c r="A69" t="inlineStr">
        <is>
          <t>Sum of the parts</t>
        </is>
      </c>
      <c r="F69" s="9">
        <f>((((Valuation!B73)*(Valuation!D73)+(Valuation!B74)*(Valuation!D74)+(Valuation!B75)*(Valuation!D75)+(Valuation!B76)*(Valuation!D76))*(1+$B$8))-$B$50-$B$51+$B$52)/$B$53</f>
        <v/>
      </c>
      <c r="G69" s="18">
        <f>Valuation!$B$65</f>
        <v/>
      </c>
    </row>
    <row r="70">
      <c r="A70" s="19" t="inlineStr">
        <is>
          <t>Value per share at target date (weighted methods)</t>
        </is>
      </c>
      <c r="F70" s="6">
        <f>SUMPRODUCT(F67:F69,G67:G69)/SUM(G67:G69)</f>
        <v/>
      </c>
    </row>
    <row r="129">
      <c r="A129" s="19" t="inlineStr">
        <is>
          <t>Segment build (model_engine.seg_build): revenue and EBIT are the segment sums plus corporate EBIT</t>
        </is>
      </c>
    </row>
    <row r="130">
      <c r="A130" s="3" t="inlineStr">
        <is>
          <t>Segment</t>
        </is>
      </c>
      <c r="B130" s="3" t="inlineStr">
        <is>
          <t>Base</t>
        </is>
      </c>
      <c r="C130" s="3">
        <f>Model!E5</f>
        <v/>
      </c>
      <c r="D130" s="3">
        <f>Model!F5</f>
        <v/>
      </c>
      <c r="E130" s="3">
        <f>Model!G5</f>
        <v/>
      </c>
    </row>
    <row r="131">
      <c r="A131" t="inlineStr">
        <is>
          <t>Google Search &amp; other: revenue growth</t>
        </is>
      </c>
      <c r="C131" s="18">
        <f>Model!E12+$B$4</f>
        <v/>
      </c>
      <c r="D131" s="18">
        <f>Model!F12+$B$4</f>
        <v/>
      </c>
      <c r="E131" s="18">
        <f>Model!G12+$B$4</f>
        <v/>
      </c>
    </row>
    <row r="132">
      <c r="A132" t="inlineStr">
        <is>
          <t>Google Search &amp; other: revenue</t>
        </is>
      </c>
      <c r="B132" s="10">
        <f>Valuation!$B$103</f>
        <v/>
      </c>
      <c r="C132" s="23">
        <f>B132*(1+C131)</f>
        <v/>
      </c>
      <c r="D132" s="23">
        <f>C132*(1+D131)</f>
        <v/>
      </c>
      <c r="E132" s="23">
        <f>D132*(1+E131)</f>
        <v/>
      </c>
    </row>
    <row r="133">
      <c r="A133" t="inlineStr">
        <is>
          <t>Google Search &amp; other: EBIT margin</t>
        </is>
      </c>
      <c r="C133" s="18">
        <f>Model!E14+$B$5</f>
        <v/>
      </c>
      <c r="D133" s="18">
        <f>Model!F14+$B$5</f>
        <v/>
      </c>
      <c r="E133" s="18">
        <f>Model!G14+$B$5</f>
        <v/>
      </c>
    </row>
    <row r="134">
      <c r="A134" t="inlineStr">
        <is>
          <t>Google Search &amp; other: EBIT</t>
        </is>
      </c>
      <c r="C134" s="23">
        <f>C132*C133</f>
        <v/>
      </c>
      <c r="D134" s="23">
        <f>D132*D133</f>
        <v/>
      </c>
      <c r="E134" s="23">
        <f>E132*E133</f>
        <v/>
      </c>
    </row>
    <row r="135">
      <c r="A135" t="inlineStr">
        <is>
          <t>Google Services other (YouTube ads, Netw: revenue growth</t>
        </is>
      </c>
      <c r="C135" s="18">
        <f>Model!E16+$B$4</f>
        <v/>
      </c>
      <c r="D135" s="18">
        <f>Model!F16+$B$4</f>
        <v/>
      </c>
      <c r="E135" s="18">
        <f>Model!G16+$B$4</f>
        <v/>
      </c>
    </row>
    <row r="136">
      <c r="A136" t="inlineStr">
        <is>
          <t>Google Services other (YouTube ads, Netw: revenue</t>
        </is>
      </c>
      <c r="B136" s="10">
        <f>Valuation!$B$104</f>
        <v/>
      </c>
      <c r="C136" s="23">
        <f>B136*(1+C135)</f>
        <v/>
      </c>
      <c r="D136" s="23">
        <f>C136*(1+D135)</f>
        <v/>
      </c>
      <c r="E136" s="23">
        <f>D136*(1+E135)</f>
        <v/>
      </c>
    </row>
    <row r="137">
      <c r="A137" t="inlineStr">
        <is>
          <t>Google Services other (YouTube ads, Netw: EBIT margin</t>
        </is>
      </c>
      <c r="C137" s="18">
        <f>Model!E18+$B$5</f>
        <v/>
      </c>
      <c r="D137" s="18">
        <f>Model!F18+$B$5</f>
        <v/>
      </c>
      <c r="E137" s="18">
        <f>Model!G18+$B$5</f>
        <v/>
      </c>
    </row>
    <row r="138">
      <c r="A138" t="inlineStr">
        <is>
          <t>Google Services other (YouTube ads, Netw: EBIT</t>
        </is>
      </c>
      <c r="C138" s="23">
        <f>C136*C137</f>
        <v/>
      </c>
      <c r="D138" s="23">
        <f>D136*D137</f>
        <v/>
      </c>
      <c r="E138" s="23">
        <f>E136*E137</f>
        <v/>
      </c>
    </row>
    <row r="139">
      <c r="A139" t="inlineStr">
        <is>
          <t>Google Cloud: revenue growth</t>
        </is>
      </c>
      <c r="C139" s="18">
        <f>Model!E20+$B$4</f>
        <v/>
      </c>
      <c r="D139" s="18">
        <f>Model!F20+$B$4</f>
        <v/>
      </c>
      <c r="E139" s="18">
        <f>Model!G20+$B$4</f>
        <v/>
      </c>
    </row>
    <row r="140">
      <c r="A140" t="inlineStr">
        <is>
          <t>Google Cloud: revenue</t>
        </is>
      </c>
      <c r="B140" s="10">
        <f>Valuation!$B$105</f>
        <v/>
      </c>
      <c r="C140" s="23">
        <f>B140*(1+C139)</f>
        <v/>
      </c>
      <c r="D140" s="23">
        <f>C140*(1+D139)</f>
        <v/>
      </c>
      <c r="E140" s="23">
        <f>D140*(1+E139)</f>
        <v/>
      </c>
    </row>
    <row r="141">
      <c r="A141" t="inlineStr">
        <is>
          <t>Google Cloud: EBIT margin</t>
        </is>
      </c>
      <c r="C141" s="18">
        <f>Model!E22+$B$5</f>
        <v/>
      </c>
      <c r="D141" s="18">
        <f>Model!F22+$B$5</f>
        <v/>
      </c>
      <c r="E141" s="18">
        <f>Model!G22+$B$5</f>
        <v/>
      </c>
    </row>
    <row r="142">
      <c r="A142" t="inlineStr">
        <is>
          <t>Google Cloud: EBIT</t>
        </is>
      </c>
      <c r="C142" s="23">
        <f>C140*C141</f>
        <v/>
      </c>
      <c r="D142" s="23">
        <f>D140*D141</f>
        <v/>
      </c>
      <c r="E142" s="23">
        <f>E140*E141</f>
        <v/>
      </c>
    </row>
    <row r="143">
      <c r="A143" t="inlineStr">
        <is>
          <t>Other Bets: revenue growth</t>
        </is>
      </c>
      <c r="C143" s="18">
        <f>Model!E24+$B$4</f>
        <v/>
      </c>
      <c r="D143" s="18">
        <f>Model!F24+$B$4</f>
        <v/>
      </c>
      <c r="E143" s="18">
        <f>Model!G24+$B$4</f>
        <v/>
      </c>
    </row>
    <row r="144">
      <c r="A144" t="inlineStr">
        <is>
          <t>Other Bets: revenue</t>
        </is>
      </c>
      <c r="B144" s="10">
        <f>Valuation!$B$106</f>
        <v/>
      </c>
      <c r="C144" s="23">
        <f>B144*(1+C143)</f>
        <v/>
      </c>
      <c r="D144" s="23">
        <f>C144*(1+D143)</f>
        <v/>
      </c>
      <c r="E144" s="23">
        <f>D144*(1+E143)</f>
        <v/>
      </c>
    </row>
    <row r="145">
      <c r="A145" t="inlineStr">
        <is>
          <t>Other Bets: EBIT margin</t>
        </is>
      </c>
      <c r="C145" s="18">
        <f>Model!E26+$B$5</f>
        <v/>
      </c>
      <c r="D145" s="18">
        <f>Model!F26+$B$5</f>
        <v/>
      </c>
      <c r="E145" s="18">
        <f>Model!G26+$B$5</f>
        <v/>
      </c>
    </row>
    <row r="146">
      <c r="A146" t="inlineStr">
        <is>
          <t>Other Bets: EBIT</t>
        </is>
      </c>
      <c r="C146" s="23">
        <f>C144*C145</f>
        <v/>
      </c>
      <c r="D146" s="23">
        <f>D144*D145</f>
        <v/>
      </c>
      <c r="E146" s="23">
        <f>E144*E145</f>
        <v/>
      </c>
    </row>
    <row r="147">
      <c r="A147" s="19" t="inlineStr">
        <is>
          <t>Total segment revenue</t>
        </is>
      </c>
      <c r="C147" s="23">
        <f>C132+C136+C140+C144</f>
        <v/>
      </c>
      <c r="D147" s="23">
        <f>D132+D136+D140+D144</f>
        <v/>
      </c>
      <c r="E147" s="23">
        <f>E132+E136+E140+E144</f>
        <v/>
      </c>
    </row>
    <row r="148">
      <c r="A148" t="inlineStr">
        <is>
          <t>Total segment EBIT</t>
        </is>
      </c>
      <c r="C148" s="23">
        <f>C134+C138+C142+C146</f>
        <v/>
      </c>
      <c r="D148" s="23">
        <f>D134+D138+D142+D146</f>
        <v/>
      </c>
      <c r="E148" s="23">
        <f>E134+E138+E142+E146</f>
        <v/>
      </c>
    </row>
    <row r="149">
      <c r="A149" t="inlineStr">
        <is>
          <t>Corporate / unallocated EBIT</t>
        </is>
      </c>
      <c r="C149" s="10">
        <f>Model!E29</f>
        <v/>
      </c>
      <c r="D149" s="10">
        <f>Model!F29</f>
        <v/>
      </c>
      <c r="E149" s="10">
        <f>Model!G29</f>
        <v/>
      </c>
    </row>
    <row r="150">
      <c r="A150" s="19" t="inlineStr">
        <is>
          <t>EBIT (segments + corporate)</t>
        </is>
      </c>
      <c r="C150" s="23">
        <f>C148+C149</f>
        <v/>
      </c>
      <c r="D150" s="23">
        <f>D148+D149</f>
        <v/>
      </c>
      <c r="E150" s="23">
        <f>E148+E149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4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GOOGL engine calculation: bear scenario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12">
        <f>N(Valuation!C98)</f>
        <v/>
      </c>
    </row>
    <row r="5">
      <c r="A5" t="inlineStr">
        <is>
          <t>Scenario Margin Δ</t>
        </is>
      </c>
      <c r="B5" s="12">
        <f>N(Valuation!D98)</f>
        <v/>
      </c>
    </row>
    <row r="6">
      <c r="A6" t="inlineStr">
        <is>
          <t>Scenario Multiple Δ (turns)</t>
        </is>
      </c>
      <c r="B6" s="51">
        <f>N(Valuation!E98)</f>
        <v/>
      </c>
    </row>
    <row r="7">
      <c r="A7" t="inlineStr">
        <is>
          <t>Scenario WACC Δ</t>
        </is>
      </c>
      <c r="B7" s="12">
        <f>N(Valuation!F98)</f>
        <v/>
      </c>
    </row>
    <row r="8">
      <c r="A8" t="inlineStr">
        <is>
          <t>Scenario Multiple %Δ</t>
        </is>
      </c>
      <c r="B8" s="12">
        <f>N(Valuation!G98)</f>
        <v/>
      </c>
    </row>
    <row r="9">
      <c r="A9" t="inlineStr">
        <is>
          <t>Scenario Stated EPS/FCF %Δ</t>
        </is>
      </c>
      <c r="B9" s="12">
        <f>N(Valuation!H98)</f>
        <v/>
      </c>
    </row>
    <row r="10">
      <c r="A10" t="inlineStr">
        <is>
          <t>Scenario Custom %Δ</t>
        </is>
      </c>
      <c r="B10" s="12">
        <f>N(Valuation!I98)</f>
        <v/>
      </c>
    </row>
    <row r="12">
      <c r="A12" t="inlineStr">
        <is>
          <t>WACC</t>
        </is>
      </c>
      <c r="B12" s="18">
        <f>Valuation!$B$51+B7</f>
        <v/>
      </c>
    </row>
    <row r="13">
      <c r="A13" t="inlineStr">
        <is>
          <t>Years from last FY end to target date</t>
        </is>
      </c>
      <c r="B13" s="49">
        <f>(Valuation!$B$45-Valuation!$B$49)/365.25</f>
        <v/>
      </c>
    </row>
    <row r="14">
      <c r="A14" t="inlineStr">
        <is>
          <t>Years from last FY end to balance date</t>
        </is>
      </c>
      <c r="B14" s="49">
        <f>(Valuation!$B$55-Valuation!$B$49)/365.25</f>
        <v/>
      </c>
    </row>
    <row r="15">
      <c r="A15" t="inlineStr">
        <is>
          <t>Years from last FY end to share count date</t>
        </is>
      </c>
      <c r="B15" s="49">
        <f>(Valuation!$B$61-Valuation!$B$49)/365.25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20">
        <f>Valuation!$B$49+ROUND(365.25*C19,0)</f>
        <v/>
      </c>
      <c r="D20" s="20">
        <f>Valuation!$B$49+ROUND(365.25*D19,0)</f>
        <v/>
      </c>
      <c r="E20" s="20">
        <f>Valuation!$B$49+ROUND(365.25*E19,0)</f>
        <v/>
      </c>
    </row>
    <row r="21">
      <c r="A21" t="inlineStr">
        <is>
          <t>Revenue growth</t>
        </is>
      </c>
      <c r="C21" s="18">
        <f>C22/B22-1</f>
        <v/>
      </c>
      <c r="D21" s="18">
        <f>D22/C22-1</f>
        <v/>
      </c>
      <c r="E21" s="18">
        <f>E22/D22-1</f>
        <v/>
      </c>
    </row>
    <row r="22">
      <c r="A22" t="inlineStr">
        <is>
          <t>Revenue</t>
        </is>
      </c>
      <c r="B22" s="23">
        <f>Valuation!$B$50</f>
        <v/>
      </c>
      <c r="C22" s="23">
        <f>C147</f>
        <v/>
      </c>
      <c r="D22" s="23">
        <f>D147</f>
        <v/>
      </c>
      <c r="E22" s="23">
        <f>E147</f>
        <v/>
      </c>
    </row>
    <row r="23">
      <c r="A23" t="inlineStr">
        <is>
          <t>EBIT margin</t>
        </is>
      </c>
      <c r="C23" s="18">
        <f>C24/C22</f>
        <v/>
      </c>
      <c r="D23" s="18">
        <f>D24/D22</f>
        <v/>
      </c>
      <c r="E23" s="18">
        <f>E24/E22</f>
        <v/>
      </c>
    </row>
    <row r="24">
      <c r="A24" t="inlineStr">
        <is>
          <t>EBIT</t>
        </is>
      </c>
      <c r="C24" s="23">
        <f>C150</f>
        <v/>
      </c>
      <c r="D24" s="23">
        <f>D150</f>
        <v/>
      </c>
      <c r="E24" s="23">
        <f>E150</f>
        <v/>
      </c>
    </row>
    <row r="25">
      <c r="A25" t="inlineStr">
        <is>
          <t>Tax rate</t>
        </is>
      </c>
      <c r="C25" s="18">
        <f>Model!E71</f>
        <v/>
      </c>
      <c r="D25" s="18">
        <f>Model!F71</f>
        <v/>
      </c>
      <c r="E25" s="18">
        <f>Model!G71</f>
        <v/>
      </c>
    </row>
    <row r="26">
      <c r="A26" t="inlineStr">
        <is>
          <t>NOPAT</t>
        </is>
      </c>
      <c r="C26" s="23">
        <f>C24*(1-C25)</f>
        <v/>
      </c>
      <c r="D26" s="23">
        <f>D24*(1-D25)</f>
        <v/>
      </c>
      <c r="E26" s="23">
        <f>E24*(1-E25)</f>
        <v/>
      </c>
    </row>
    <row r="27">
      <c r="A27" t="inlineStr">
        <is>
          <t>D&amp;A</t>
        </is>
      </c>
      <c r="C27" s="23">
        <f>C22*(Model!E72+$B$250)</f>
        <v/>
      </c>
      <c r="D27" s="23">
        <f>D22*(Model!F72+$B$252)</f>
        <v/>
      </c>
      <c r="E27" s="23">
        <f>E22*(Model!G72+$B$254)</f>
        <v/>
      </c>
    </row>
    <row r="28">
      <c r="A28" t="inlineStr">
        <is>
          <t>Capex</t>
        </is>
      </c>
      <c r="C28" s="23">
        <f>C22*(Model!E73+$B$251)</f>
        <v/>
      </c>
      <c r="D28" s="23">
        <f>D22*(Model!F73+$B$253)</f>
        <v/>
      </c>
      <c r="E28" s="23">
        <f>E22*(Model!G73+$B$255)</f>
        <v/>
      </c>
    </row>
    <row r="29">
      <c r="A29" t="inlineStr">
        <is>
          <t>Working capital increase</t>
        </is>
      </c>
      <c r="C29" s="23">
        <f>(Model!E74)*(C22-B22)</f>
        <v/>
      </c>
      <c r="D29" s="23">
        <f>(Model!F74)*(D22-C22)</f>
        <v/>
      </c>
      <c r="E29" s="23">
        <f>(Model!G74)*(E22-D22)</f>
        <v/>
      </c>
    </row>
    <row r="30">
      <c r="A30" t="inlineStr">
        <is>
          <t>Stock comp</t>
        </is>
      </c>
      <c r="C30" s="23">
        <f>C22*(Model!E75)</f>
        <v/>
      </c>
      <c r="D30" s="23">
        <f>D22*(Model!F75)</f>
        <v/>
      </c>
      <c r="E30" s="23">
        <f>E22*(Model!G75)</f>
        <v/>
      </c>
    </row>
    <row r="31">
      <c r="A31" t="inlineStr">
        <is>
          <t>Free cash flow to firm</t>
        </is>
      </c>
      <c r="C31" s="23">
        <f>C26+C27-C28-C29-IF(AND(Valuation!$B$47="adjusted",Valuation!$B$48="cost"),C30*(1-C25),0)</f>
        <v/>
      </c>
      <c r="D31" s="23">
        <f>D26+D27-D28-D29-IF(AND(Valuation!$B$47="adjusted",Valuation!$B$48="cost"),D30*(1-D25),0)</f>
        <v/>
      </c>
      <c r="E31" s="23">
        <f>E26+E27-E28-E29-IF(AND(Valuation!$B$47="adjusted",Valuation!$B$48="cost"),E30*(1-E25),0)</f>
        <v/>
      </c>
    </row>
    <row r="32">
      <c r="A32" t="inlineStr">
        <is>
          <t>EBITDA</t>
        </is>
      </c>
      <c r="C32" s="23">
        <f>C24+C27</f>
        <v/>
      </c>
      <c r="D32" s="23">
        <f>D24+D27</f>
        <v/>
      </c>
      <c r="E32" s="23">
        <f>E24+E27</f>
        <v/>
      </c>
    </row>
    <row r="33">
      <c r="A33" t="inlineStr">
        <is>
          <t>Adj. EBITDA</t>
        </is>
      </c>
      <c r="C33" s="23">
        <f>C24+C27+C22*(Model!E79)</f>
        <v/>
      </c>
      <c r="D33" s="23">
        <f>D24+D27+D22*(Model!F79)</f>
        <v/>
      </c>
      <c r="E33" s="23">
        <f>E24+E27+E22*(Model!G79)</f>
        <v/>
      </c>
    </row>
    <row r="34">
      <c r="A34" t="inlineStr">
        <is>
          <t>Shareholder returns + other uses</t>
        </is>
      </c>
      <c r="C34" s="23">
        <f>C22*Model!E77+Model!E76+Model!E78</f>
        <v/>
      </c>
      <c r="D34" s="23">
        <f>D22*Model!F77+Model!F76+Model!F78</f>
        <v/>
      </c>
      <c r="E34" s="23">
        <f>E22*Model!G77+Model!G76+Model!G78</f>
        <v/>
      </c>
    </row>
    <row r="35">
      <c r="A35" t="inlineStr">
        <is>
          <t>Share of year after target date</t>
        </is>
      </c>
      <c r="C35" s="49">
        <f>IF(C19&lt;=$B$13,0,C19-MAX(C19-1,$B$13))</f>
        <v/>
      </c>
      <c r="D35" s="49">
        <f>IF(D19&lt;=$B$13,0,D19-MAX(D19-1,$B$13))</f>
        <v/>
      </c>
      <c r="E35" s="49">
        <f>IF(E19&lt;=$B$13,0,E19-MAX(E19-1,$B$13))</f>
        <v/>
      </c>
    </row>
    <row r="36">
      <c r="A36" t="inlineStr">
        <is>
          <t>PV at target date of FCFF</t>
        </is>
      </c>
      <c r="C36" s="23">
        <f>IF(C35=0,0,C31*C35/(1+$B$12)^(C19-$B$13))</f>
        <v/>
      </c>
      <c r="D36" s="23">
        <f>IF(D35=0,0,D31*D35/(1+$B$12)^(D19-$B$13))</f>
        <v/>
      </c>
      <c r="E36" s="23">
        <f>IF(E35=0,0,E31*E35/(1+$B$12)^(E19-$B$13))</f>
        <v/>
      </c>
    </row>
    <row r="37">
      <c r="A37" t="inlineStr">
        <is>
          <t>Overlap: balance date to target date</t>
        </is>
      </c>
      <c r="C37" s="49">
        <f>MAX(0,MIN(C19,$B$13)-MAX(C19-1,$B$14))</f>
        <v/>
      </c>
      <c r="D37" s="49">
        <f>MAX(0,MIN(D19,$B$13)-MAX(D19-1,$B$14))</f>
        <v/>
      </c>
      <c r="E37" s="49">
        <f>MAX(0,MIN(E19,$B$13)-MAX(E19-1,$B$14))</f>
        <v/>
      </c>
    </row>
    <row r="38">
      <c r="A38" t="inlineStr">
        <is>
          <t>NTM weight at target date</t>
        </is>
      </c>
      <c r="C38" s="49">
        <f>MAX(0,MIN(C19,$B$13+1)-MAX(C19-1,$B$13))</f>
        <v/>
      </c>
      <c r="D38" s="49">
        <f>MAX(0,MIN(D19,$B$13+1)-MAX(D19-1,$B$13))</f>
        <v/>
      </c>
      <c r="E38" s="49">
        <f>MAX(0,MIN(E19,$B$13+1)-MAX(E19-1,$B$13))</f>
        <v/>
      </c>
    </row>
    <row r="39">
      <c r="A39" t="inlineStr">
        <is>
          <t>LTM weight at target date</t>
        </is>
      </c>
      <c r="B39" s="49">
        <f>MAX(0,MIN(0,$B$13)-MAX(-1,$B$13-1))</f>
        <v/>
      </c>
      <c r="C39" s="49">
        <f>MAX(0,MIN(C19,$B$13)-MAX(C19-1,$B$13-1))</f>
        <v/>
      </c>
      <c r="D39" s="49">
        <f>MAX(0,MIN(D19,$B$13)-MAX(D19-1,$B$13-1))</f>
        <v/>
      </c>
      <c r="E39" s="49">
        <f>MAX(0,MIN(E19,$B$13)-MAX(E19-1,$B$13-1))</f>
        <v/>
      </c>
    </row>
    <row r="41">
      <c r="A41" s="19" t="inlineStr">
        <is>
          <t>Value at the target date</t>
        </is>
      </c>
    </row>
    <row r="42">
      <c r="A42" t="inlineStr">
        <is>
          <t>PV of free cash flow after the target date</t>
        </is>
      </c>
      <c r="B42" s="23">
        <f>SUM($C$36:$E$36)</f>
        <v/>
      </c>
    </row>
    <row r="43">
      <c r="A43" t="inlineStr">
        <is>
          <t>Terminal value at final year</t>
        </is>
      </c>
      <c r="B43" s="23">
        <f>IF(Valuation!$B$52="exit_multiple",Valuation!$B$54*E32,E31*(1+Valuation!$B$53)/($B$12-Valuation!$B$53))</f>
        <v/>
      </c>
    </row>
    <row r="44">
      <c r="A44" t="inlineStr">
        <is>
          <t>PV of terminal value at target date</t>
        </is>
      </c>
      <c r="B44" s="23">
        <f>B43/(1+$B$12)^($B$16-$B$13)</f>
        <v/>
      </c>
    </row>
    <row r="45">
      <c r="A45" t="inlineStr">
        <is>
          <t>DCF enterprise value at target date</t>
        </is>
      </c>
      <c r="B45" s="23">
        <f>B42+B44</f>
        <v/>
      </c>
    </row>
    <row r="46">
      <c r="A46" t="inlineStr">
        <is>
          <t>Terminal value share of DCF</t>
        </is>
      </c>
      <c r="B46" s="18">
        <f>B44/B45</f>
        <v/>
      </c>
    </row>
    <row r="47">
      <c r="A47" t="inlineStr">
        <is>
          <t>Free cash flow earned, balance date to target date</t>
        </is>
      </c>
      <c r="B47" s="23">
        <f>SUMPRODUCT($C$37:$E$37,$C$31:$E$31)</f>
        <v/>
      </c>
    </row>
    <row r="48">
      <c r="A48" t="inlineStr">
        <is>
          <t>Shareholder returns + other uses paid</t>
        </is>
      </c>
      <c r="B48" s="23">
        <f>SUMPRODUCT($C$37:$E$37,$C$34:$E$34)</f>
        <v/>
      </c>
    </row>
    <row r="49">
      <c r="A49" t="inlineStr">
        <is>
          <t>Interest drag on net debt</t>
        </is>
      </c>
      <c r="B49" s="23">
        <f>Valuation!$B$58*(1-$C$25)*MAX(Valuation!$B$56,0)*MAX($B$13-$B$14,0)</f>
        <v/>
      </c>
    </row>
    <row r="50">
      <c r="A50" t="inlineStr">
        <is>
          <t>Net debt at target date</t>
        </is>
      </c>
      <c r="B50" s="23">
        <f>IF(Valuation!$B$59="",Valuation!$B$56-B47+B49+B48,Valuation!$B$59)</f>
        <v/>
      </c>
    </row>
    <row r="51">
      <c r="A51" t="inlineStr">
        <is>
          <t>Minority interests</t>
        </is>
      </c>
      <c r="B51" s="23">
        <f>Valuation!$B$57</f>
        <v/>
      </c>
    </row>
    <row r="52">
      <c r="A52" t="inlineStr">
        <is>
          <t>Adjustments (probability-weighted)</t>
        </is>
      </c>
      <c r="B52" s="23">
        <f>(Valuation!B79+$B$261)*Valuation!C79+(Valuation!B80)*Valuation!C80+(Valuation!B81)*Valuation!C81+(Valuation!B82)*Valuation!C82+(Valuation!B83)*Valuation!C83+(Valuation!B84)*Valuation!C84+(Valuation!B85)*Valuation!C85+(Valuation!B86)*Valuation!C86+(Valuation!B87)*Valuation!C87+(Valuation!B88)*Valuation!C88+(Valuation!B89)*Valuation!C89+(Valuation!B90)*Valuation!C90+(Valuation!B91)*Valuation!C91+(Valuation!B92)*Valuation!C92+0</f>
        <v/>
      </c>
    </row>
    <row r="53">
      <c r="A53" t="inlineStr">
        <is>
          <t>Diluted shares at target date (M)</t>
        </is>
      </c>
      <c r="B53" s="28">
        <f>IF(Valuation!$B$63="",Valuation!$B$60*(1+Valuation!$B$62)^MAX($B$13-$B$15,0),Valuation!$B$63)</f>
        <v/>
      </c>
    </row>
    <row r="54">
      <c r="A54" t="inlineStr">
        <is>
          <t>After-tax interest on target-date net debt</t>
        </is>
      </c>
      <c r="B54" s="23">
        <f>Valuation!$B$58*(1-$C$25)*MAX(B50,0)</f>
        <v/>
      </c>
    </row>
    <row r="55">
      <c r="A55" t="inlineStr">
        <is>
          <t>Check: WACC vs terminal growth</t>
        </is>
      </c>
      <c r="B55">
        <f>IF(AND(Valuation!$B$52&lt;&gt;"exit_multiple",$B$12&lt;=Valuation!$B$53+0.01),"WACC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3">
        <f>SUMPRODUCT($C$38:$E$38,$C$22:$E$22)</f>
        <v/>
      </c>
      <c r="C59" s="23">
        <f>SUMPRODUCT($C$39:$E$39,$C$22:$E$22)+$B$39*$B$22</f>
        <v/>
      </c>
    </row>
    <row r="60">
      <c r="A60" t="inlineStr">
        <is>
          <t>EBIT</t>
        </is>
      </c>
      <c r="B60" s="23">
        <f>SUMPRODUCT($C$38:$E$38,$C$24:$E$24)</f>
        <v/>
      </c>
      <c r="C60" s="23">
        <f>SUMPRODUCT($C$39:$E$39,$C$24:$E$24)</f>
        <v/>
      </c>
    </row>
    <row r="61">
      <c r="A61" t="inlineStr">
        <is>
          <t>EBITDA</t>
        </is>
      </c>
      <c r="B61" s="23">
        <f>SUMPRODUCT($C$38:$E$38,$C$32:$E$32)</f>
        <v/>
      </c>
      <c r="C61" s="23">
        <f>SUMPRODUCT($C$39:$E$39,$C$32:$E$32)</f>
        <v/>
      </c>
    </row>
    <row r="62">
      <c r="A62" t="inlineStr">
        <is>
          <t>Adj. EBITDA</t>
        </is>
      </c>
      <c r="B62" s="23">
        <f>SUMPRODUCT($C$38:$E$38,$C$33:$E$33)</f>
        <v/>
      </c>
      <c r="C62" s="23">
        <f>SUMPRODUCT($C$39:$E$39,$C$33:$E$33)</f>
        <v/>
      </c>
    </row>
    <row r="63">
      <c r="A63" t="inlineStr">
        <is>
          <t>NOPAT</t>
        </is>
      </c>
      <c r="B63" s="23">
        <f>SUMPRODUCT($C$38:$E$38,$C$26:$E$26)</f>
        <v/>
      </c>
      <c r="C63" s="23">
        <f>SUMPRODUCT($C$39:$E$39,$C$26:$E$26)</f>
        <v/>
      </c>
    </row>
    <row r="64">
      <c r="A64" t="inlineStr">
        <is>
          <t>Free cash flow to firm</t>
        </is>
      </c>
      <c r="B64" s="23">
        <f>SUMPRODUCT($C$38:$E$38,$C$31:$E$31)</f>
        <v/>
      </c>
      <c r="C64" s="23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18">
        <f>Valuation!$B$64</f>
        <v/>
      </c>
    </row>
    <row r="68">
      <c r="A68">
        <f>"Multiple: "&amp;Valuation!A70&amp;" ("&amp;Valuation!D70&amp;")"</f>
        <v/>
      </c>
      <c r="B68">
        <f>Valuation!A70</f>
        <v/>
      </c>
      <c r="C68" s="9">
        <f>IF(B68="FCF yield",(Valuation!B70)*(1-$B$8),(Valuation!B70)+IF(B68="EV/sales",0.1,1)*$B$6)</f>
        <v/>
      </c>
      <c r="D68">
        <f>Valuation!D70</f>
        <v/>
      </c>
      <c r="E68" s="23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70&lt;&gt;"",C68*(Valuation!F70+$B$262)*(1+$B$9),C68*(E68-$B$54)/$B$53),IF(Valuation!G70&lt;&gt;"",(Valuation!G70)*(1+$B$9)/C68,(E68-IF(Valuation!H70,$B$54,0))/C68/$B$53))+$B$52/$B$53)</f>
        <v/>
      </c>
      <c r="G68" s="18">
        <f>Valuation!C70</f>
        <v/>
      </c>
      <c r="H68">
        <f>IF(B68="EV/sales",1,IF(B68="EV/EBIT",2,IF(B68="EV/EBITDA",IF(Valuation!E70="adjusted",4,3),IF(B68="P/E",5,6))))</f>
        <v/>
      </c>
      <c r="I68" s="50">
        <f>IF(AND(B68="P/E",Valuation!F70&lt;&gt;""),(Valuation!F70+$B$262)*(1+$B$9),IF(AND(B68="FCF yield",Valuation!G70&lt;&gt;""),(Valuation!G70)*(1+$B$9),E68))</f>
        <v/>
      </c>
    </row>
    <row r="69">
      <c r="A69" t="inlineStr">
        <is>
          <t>Sum of the parts</t>
        </is>
      </c>
      <c r="F69" s="9">
        <f>((((Valuation!B73+$B$263)*(Valuation!D73)+(Valuation!B74+$B$264)*(Valuation!D74)+(Valuation!B75)*(Valuation!D75)+(Valuation!B76)*(Valuation!D76))*(1+$B$8))-$B$50-$B$51+$B$52)/$B$53</f>
        <v/>
      </c>
      <c r="G69" s="18">
        <f>Valuation!$B$65</f>
        <v/>
      </c>
    </row>
    <row r="70">
      <c r="A70" s="19" t="inlineStr">
        <is>
          <t>Value per share at target date (weighted methods)</t>
        </is>
      </c>
      <c r="F70" s="6">
        <f>SUMPRODUCT(F67:F69,G67:G69)/SUM(G67:G69)</f>
        <v/>
      </c>
    </row>
    <row r="129">
      <c r="A129" s="19" t="inlineStr">
        <is>
          <t>Segment build (model_engine.seg_build): revenue and EBIT are the segment sums plus corporate EBIT</t>
        </is>
      </c>
    </row>
    <row r="130">
      <c r="A130" s="3" t="inlineStr">
        <is>
          <t>Segment</t>
        </is>
      </c>
      <c r="B130" s="3" t="inlineStr">
        <is>
          <t>Base</t>
        </is>
      </c>
      <c r="C130" s="3">
        <f>Model!E5</f>
        <v/>
      </c>
      <c r="D130" s="3">
        <f>Model!F5</f>
        <v/>
      </c>
      <c r="E130" s="3">
        <f>Model!G5</f>
        <v/>
      </c>
    </row>
    <row r="131">
      <c r="A131" t="inlineStr">
        <is>
          <t>Google Search &amp; other: revenue growth</t>
        </is>
      </c>
      <c r="C131" s="18">
        <f>Model!E12+$B$4+$B$256</f>
        <v/>
      </c>
      <c r="D131" s="18">
        <f>Model!F12+$B$4</f>
        <v/>
      </c>
      <c r="E131" s="18">
        <f>Model!G12+$B$4</f>
        <v/>
      </c>
    </row>
    <row r="132">
      <c r="A132" t="inlineStr">
        <is>
          <t>Google Search &amp; other: revenue</t>
        </is>
      </c>
      <c r="B132" s="10">
        <f>Valuation!$B$103</f>
        <v/>
      </c>
      <c r="C132" s="23">
        <f>B132*(1+C131)</f>
        <v/>
      </c>
      <c r="D132" s="23">
        <f>C132*(1+D131)</f>
        <v/>
      </c>
      <c r="E132" s="23">
        <f>D132*(1+E131)</f>
        <v/>
      </c>
    </row>
    <row r="133">
      <c r="A133" t="inlineStr">
        <is>
          <t>Google Search &amp; other: EBIT margin</t>
        </is>
      </c>
      <c r="C133" s="18">
        <f>Model!E14+$B$5</f>
        <v/>
      </c>
      <c r="D133" s="18">
        <f>Model!F14+$B$5</f>
        <v/>
      </c>
      <c r="E133" s="18">
        <f>Model!G14+$B$5</f>
        <v/>
      </c>
    </row>
    <row r="134">
      <c r="A134" t="inlineStr">
        <is>
          <t>Google Search &amp; other: EBIT</t>
        </is>
      </c>
      <c r="C134" s="23">
        <f>C132*C133</f>
        <v/>
      </c>
      <c r="D134" s="23">
        <f>D132*D133</f>
        <v/>
      </c>
      <c r="E134" s="23">
        <f>E132*E133</f>
        <v/>
      </c>
    </row>
    <row r="135">
      <c r="A135" t="inlineStr">
        <is>
          <t>Google Services other (YouTube ads, Netw: revenue growth</t>
        </is>
      </c>
      <c r="C135" s="18">
        <f>Model!E16+$B$4</f>
        <v/>
      </c>
      <c r="D135" s="18">
        <f>Model!F16+$B$4</f>
        <v/>
      </c>
      <c r="E135" s="18">
        <f>Model!G16+$B$4</f>
        <v/>
      </c>
    </row>
    <row r="136">
      <c r="A136" t="inlineStr">
        <is>
          <t>Google Services other (YouTube ads, Netw: revenue</t>
        </is>
      </c>
      <c r="B136" s="10">
        <f>Valuation!$B$104</f>
        <v/>
      </c>
      <c r="C136" s="23">
        <f>B136*(1+C135)</f>
        <v/>
      </c>
      <c r="D136" s="23">
        <f>C136*(1+D135)</f>
        <v/>
      </c>
      <c r="E136" s="23">
        <f>D136*(1+E135)</f>
        <v/>
      </c>
    </row>
    <row r="137">
      <c r="A137" t="inlineStr">
        <is>
          <t>Google Services other (YouTube ads, Netw: EBIT margin</t>
        </is>
      </c>
      <c r="C137" s="18">
        <f>Model!E18+$B$5</f>
        <v/>
      </c>
      <c r="D137" s="18">
        <f>Model!F18+$B$5</f>
        <v/>
      </c>
      <c r="E137" s="18">
        <f>Model!G18+$B$5</f>
        <v/>
      </c>
    </row>
    <row r="138">
      <c r="A138" t="inlineStr">
        <is>
          <t>Google Services other (YouTube ads, Netw: EBIT</t>
        </is>
      </c>
      <c r="C138" s="23">
        <f>C136*C137</f>
        <v/>
      </c>
      <c r="D138" s="23">
        <f>D136*D137</f>
        <v/>
      </c>
      <c r="E138" s="23">
        <f>E136*E137</f>
        <v/>
      </c>
    </row>
    <row r="139">
      <c r="A139" t="inlineStr">
        <is>
          <t>Google Cloud: revenue growth</t>
        </is>
      </c>
      <c r="C139" s="18">
        <f>Model!E20+$B$4+$B$257</f>
        <v/>
      </c>
      <c r="D139" s="18">
        <f>Model!F20+$B$4</f>
        <v/>
      </c>
      <c r="E139" s="18">
        <f>Model!G20+$B$4</f>
        <v/>
      </c>
    </row>
    <row r="140">
      <c r="A140" t="inlineStr">
        <is>
          <t>Google Cloud: revenue</t>
        </is>
      </c>
      <c r="B140" s="10">
        <f>Valuation!$B$105</f>
        <v/>
      </c>
      <c r="C140" s="23">
        <f>B140*(1+C139)</f>
        <v/>
      </c>
      <c r="D140" s="23">
        <f>C140*(1+D139)</f>
        <v/>
      </c>
      <c r="E140" s="23">
        <f>D140*(1+E139)</f>
        <v/>
      </c>
    </row>
    <row r="141">
      <c r="A141" t="inlineStr">
        <is>
          <t>Google Cloud: EBIT margin</t>
        </is>
      </c>
      <c r="C141" s="18">
        <f>Model!E22+$B$5</f>
        <v/>
      </c>
      <c r="D141" s="18">
        <f>Model!F22+$B$5</f>
        <v/>
      </c>
      <c r="E141" s="18">
        <f>Model!G22+$B$5</f>
        <v/>
      </c>
    </row>
    <row r="142">
      <c r="A142" t="inlineStr">
        <is>
          <t>Google Cloud: EBIT</t>
        </is>
      </c>
      <c r="C142" s="23">
        <f>C140*C141</f>
        <v/>
      </c>
      <c r="D142" s="23">
        <f>D140*D141</f>
        <v/>
      </c>
      <c r="E142" s="23">
        <f>E140*E141</f>
        <v/>
      </c>
    </row>
    <row r="143">
      <c r="A143" t="inlineStr">
        <is>
          <t>Other Bets: revenue growth</t>
        </is>
      </c>
      <c r="C143" s="18">
        <f>Model!E24+$B$4</f>
        <v/>
      </c>
      <c r="D143" s="18">
        <f>Model!F24+$B$4</f>
        <v/>
      </c>
      <c r="E143" s="18">
        <f>Model!G24+$B$4</f>
        <v/>
      </c>
    </row>
    <row r="144">
      <c r="A144" t="inlineStr">
        <is>
          <t>Other Bets: revenue</t>
        </is>
      </c>
      <c r="B144" s="10">
        <f>Valuation!$B$106</f>
        <v/>
      </c>
      <c r="C144" s="23">
        <f>B144*(1+C143)</f>
        <v/>
      </c>
      <c r="D144" s="23">
        <f>C144*(1+D143)</f>
        <v/>
      </c>
      <c r="E144" s="23">
        <f>D144*(1+E143)</f>
        <v/>
      </c>
    </row>
    <row r="145">
      <c r="A145" t="inlineStr">
        <is>
          <t>Other Bets: EBIT margin</t>
        </is>
      </c>
      <c r="C145" s="18">
        <f>Model!E26+$B$5</f>
        <v/>
      </c>
      <c r="D145" s="18">
        <f>Model!F26+$B$5</f>
        <v/>
      </c>
      <c r="E145" s="18">
        <f>Model!G26+$B$5</f>
        <v/>
      </c>
    </row>
    <row r="146">
      <c r="A146" t="inlineStr">
        <is>
          <t>Other Bets: EBIT</t>
        </is>
      </c>
      <c r="C146" s="23">
        <f>C144*C145</f>
        <v/>
      </c>
      <c r="D146" s="23">
        <f>D144*D145</f>
        <v/>
      </c>
      <c r="E146" s="23">
        <f>E144*E145</f>
        <v/>
      </c>
    </row>
    <row r="147">
      <c r="A147" s="19" t="inlineStr">
        <is>
          <t>Total segment revenue</t>
        </is>
      </c>
      <c r="C147" s="23">
        <f>C132+C136+C140+C144</f>
        <v/>
      </c>
      <c r="D147" s="23">
        <f>D132+D136+D140+D144</f>
        <v/>
      </c>
      <c r="E147" s="23">
        <f>E132+E136+E140+E144</f>
        <v/>
      </c>
    </row>
    <row r="148">
      <c r="A148" t="inlineStr">
        <is>
          <t>Total segment EBIT</t>
        </is>
      </c>
      <c r="C148" s="23">
        <f>C134+C138+C142+C146</f>
        <v/>
      </c>
      <c r="D148" s="23">
        <f>D134+D138+D142+D146</f>
        <v/>
      </c>
      <c r="E148" s="23">
        <f>E134+E138+E142+E146</f>
        <v/>
      </c>
    </row>
    <row r="149">
      <c r="A149" t="inlineStr">
        <is>
          <t>Corporate / unallocated EBIT</t>
        </is>
      </c>
      <c r="C149" s="10">
        <f>Model!E29+$B$258</f>
        <v/>
      </c>
      <c r="D149" s="10">
        <f>Model!F29+$B$259</f>
        <v/>
      </c>
      <c r="E149" s="10">
        <f>Model!G29+$B$260</f>
        <v/>
      </c>
    </row>
    <row r="150">
      <c r="A150" s="19" t="inlineStr">
        <is>
          <t>EBIT (segments + corporate)</t>
        </is>
      </c>
      <c r="C150" s="23">
        <f>C148+C149</f>
        <v/>
      </c>
      <c r="D150" s="23">
        <f>D148+D149</f>
        <v/>
      </c>
      <c r="E150" s="23">
        <f>E148+E149</f>
        <v/>
      </c>
    </row>
    <row r="249">
      <c r="A249" s="19" t="inlineStr">
        <is>
          <t>Driver scenario shifts: line-item changes model_drivers.py resolves from this scenario's driver deltas (added to the Model tab inputs)</t>
        </is>
      </c>
    </row>
    <row r="250">
      <c r="A250" t="inlineStr">
        <is>
          <t>D&amp;A % revenue, year 1</t>
        </is>
      </c>
      <c r="B250" s="52" t="n">
        <v>0.007091619026262805</v>
      </c>
    </row>
    <row r="251">
      <c r="A251" t="inlineStr">
        <is>
          <t>Capex % revenue, year 1</t>
        </is>
      </c>
      <c r="B251" s="52" t="n">
        <v>0.1204552813077426</v>
      </c>
    </row>
    <row r="252">
      <c r="A252" t="inlineStr">
        <is>
          <t>D&amp;A % revenue, year 2</t>
        </is>
      </c>
      <c r="B252" s="52" t="n">
        <v>0.01732139173492857</v>
      </c>
    </row>
    <row r="253">
      <c r="A253" t="inlineStr">
        <is>
          <t>Capex % revenue, year 2</t>
        </is>
      </c>
      <c r="B253" s="52" t="n">
        <v>0.1537134313089306</v>
      </c>
    </row>
    <row r="254">
      <c r="A254" t="inlineStr">
        <is>
          <t>D&amp;A % revenue, year 3</t>
        </is>
      </c>
      <c r="B254" s="52" t="n">
        <v>0.02828286459958375</v>
      </c>
    </row>
    <row r="255">
      <c r="A255" t="inlineStr">
        <is>
          <t>Capex % revenue, year 3</t>
        </is>
      </c>
      <c r="B255" s="52" t="n">
        <v>0.1552796868587751</v>
      </c>
    </row>
    <row r="256">
      <c r="A256" t="inlineStr">
        <is>
          <t>Google Search &amp; other: revenue growth, year 1</t>
        </is>
      </c>
      <c r="B256" s="52" t="n">
        <v>-0.03477600000000014</v>
      </c>
    </row>
    <row r="257">
      <c r="A257" t="inlineStr">
        <is>
          <t>Google Cloud: revenue growth, year 1</t>
        </is>
      </c>
      <c r="B257" s="52" t="n">
        <v>-0.1737097685477798</v>
      </c>
    </row>
    <row r="258">
      <c r="A258" t="inlineStr">
        <is>
          <t>Corporate EBIT, year 1</t>
        </is>
      </c>
      <c r="B258" s="52" t="n">
        <v>-3259.750453812805</v>
      </c>
    </row>
    <row r="259">
      <c r="A259" t="inlineStr">
        <is>
          <t>Corporate EBIT, year 2</t>
        </is>
      </c>
      <c r="B259" s="52" t="n">
        <v>-9178.636883455947</v>
      </c>
    </row>
    <row r="260">
      <c r="A260" t="inlineStr">
        <is>
          <t>Corporate EBIT, year 3</t>
        </is>
      </c>
      <c r="B260" s="52" t="n">
        <v>-16457.34992010362</v>
      </c>
    </row>
    <row r="261">
      <c r="A261" t="inlineStr">
        <is>
          <t>Adjustment 1 value</t>
        </is>
      </c>
      <c r="B261" s="52" t="n">
        <v>-106433.5625</v>
      </c>
    </row>
    <row r="262">
      <c r="A262" t="inlineStr">
        <is>
          <t>Stated EPS, multiple 1</t>
        </is>
      </c>
      <c r="B262" s="52" t="n">
        <v>-1.909662481205286</v>
      </c>
    </row>
    <row r="263">
      <c r="A263" t="inlineStr">
        <is>
          <t>Segment 1 NTM metric</t>
        </is>
      </c>
      <c r="B263" s="52" t="n">
        <v>-14075.97072382868</v>
      </c>
    </row>
    <row r="264">
      <c r="A264" t="inlineStr">
        <is>
          <t>Segment 2 NTM metric</t>
        </is>
      </c>
      <c r="B264" s="52" t="n">
        <v>-9647.766280184602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0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GOOGL engine calculation: base scenario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12">
        <f>N(Valuation!C99)</f>
        <v/>
      </c>
    </row>
    <row r="5">
      <c r="A5" t="inlineStr">
        <is>
          <t>Scenario Margin Δ</t>
        </is>
      </c>
      <c r="B5" s="12">
        <f>N(Valuation!D99)</f>
        <v/>
      </c>
    </row>
    <row r="6">
      <c r="A6" t="inlineStr">
        <is>
          <t>Scenario Multiple Δ (turns)</t>
        </is>
      </c>
      <c r="B6" s="51">
        <f>N(Valuation!E99)</f>
        <v/>
      </c>
    </row>
    <row r="7">
      <c r="A7" t="inlineStr">
        <is>
          <t>Scenario WACC Δ</t>
        </is>
      </c>
      <c r="B7" s="12">
        <f>N(Valuation!F99)</f>
        <v/>
      </c>
    </row>
    <row r="8">
      <c r="A8" t="inlineStr">
        <is>
          <t>Scenario Multiple %Δ</t>
        </is>
      </c>
      <c r="B8" s="12">
        <f>N(Valuation!G99)</f>
        <v/>
      </c>
    </row>
    <row r="9">
      <c r="A9" t="inlineStr">
        <is>
          <t>Scenario Stated EPS/FCF %Δ</t>
        </is>
      </c>
      <c r="B9" s="12">
        <f>N(Valuation!H99)</f>
        <v/>
      </c>
    </row>
    <row r="10">
      <c r="A10" t="inlineStr">
        <is>
          <t>Scenario Custom %Δ</t>
        </is>
      </c>
      <c r="B10" s="12">
        <f>N(Valuation!I99)</f>
        <v/>
      </c>
    </row>
    <row r="12">
      <c r="A12" t="inlineStr">
        <is>
          <t>WACC</t>
        </is>
      </c>
      <c r="B12" s="18">
        <f>Valuation!$B$51+B7</f>
        <v/>
      </c>
    </row>
    <row r="13">
      <c r="A13" t="inlineStr">
        <is>
          <t>Years from last FY end to target date</t>
        </is>
      </c>
      <c r="B13" s="49">
        <f>(Valuation!$B$45-Valuation!$B$49)/365.25</f>
        <v/>
      </c>
    </row>
    <row r="14">
      <c r="A14" t="inlineStr">
        <is>
          <t>Years from last FY end to balance date</t>
        </is>
      </c>
      <c r="B14" s="49">
        <f>(Valuation!$B$55-Valuation!$B$49)/365.25</f>
        <v/>
      </c>
    </row>
    <row r="15">
      <c r="A15" t="inlineStr">
        <is>
          <t>Years from last FY end to share count date</t>
        </is>
      </c>
      <c r="B15" s="49">
        <f>(Valuation!$B$61-Valuation!$B$49)/365.25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20">
        <f>Valuation!$B$49+ROUND(365.25*C19,0)</f>
        <v/>
      </c>
      <c r="D20" s="20">
        <f>Valuation!$B$49+ROUND(365.25*D19,0)</f>
        <v/>
      </c>
      <c r="E20" s="20">
        <f>Valuation!$B$49+ROUND(365.25*E19,0)</f>
        <v/>
      </c>
    </row>
    <row r="21">
      <c r="A21" t="inlineStr">
        <is>
          <t>Revenue growth</t>
        </is>
      </c>
      <c r="C21" s="18">
        <f>C22/B22-1</f>
        <v/>
      </c>
      <c r="D21" s="18">
        <f>D22/C22-1</f>
        <v/>
      </c>
      <c r="E21" s="18">
        <f>E22/D22-1</f>
        <v/>
      </c>
    </row>
    <row r="22">
      <c r="A22" t="inlineStr">
        <is>
          <t>Revenue</t>
        </is>
      </c>
      <c r="B22" s="23">
        <f>Valuation!$B$50</f>
        <v/>
      </c>
      <c r="C22" s="23">
        <f>C147</f>
        <v/>
      </c>
      <c r="D22" s="23">
        <f>D147</f>
        <v/>
      </c>
      <c r="E22" s="23">
        <f>E147</f>
        <v/>
      </c>
    </row>
    <row r="23">
      <c r="A23" t="inlineStr">
        <is>
          <t>EBIT margin</t>
        </is>
      </c>
      <c r="C23" s="18">
        <f>C24/C22</f>
        <v/>
      </c>
      <c r="D23" s="18">
        <f>D24/D22</f>
        <v/>
      </c>
      <c r="E23" s="18">
        <f>E24/E22</f>
        <v/>
      </c>
    </row>
    <row r="24">
      <c r="A24" t="inlineStr">
        <is>
          <t>EBIT</t>
        </is>
      </c>
      <c r="C24" s="23">
        <f>C150</f>
        <v/>
      </c>
      <c r="D24" s="23">
        <f>D150</f>
        <v/>
      </c>
      <c r="E24" s="23">
        <f>E150</f>
        <v/>
      </c>
    </row>
    <row r="25">
      <c r="A25" t="inlineStr">
        <is>
          <t>Tax rate</t>
        </is>
      </c>
      <c r="C25" s="18">
        <f>Model!E71</f>
        <v/>
      </c>
      <c r="D25" s="18">
        <f>Model!F71</f>
        <v/>
      </c>
      <c r="E25" s="18">
        <f>Model!G71</f>
        <v/>
      </c>
    </row>
    <row r="26">
      <c r="A26" t="inlineStr">
        <is>
          <t>NOPAT</t>
        </is>
      </c>
      <c r="C26" s="23">
        <f>C24*(1-C25)</f>
        <v/>
      </c>
      <c r="D26" s="23">
        <f>D24*(1-D25)</f>
        <v/>
      </c>
      <c r="E26" s="23">
        <f>E24*(1-E25)</f>
        <v/>
      </c>
    </row>
    <row r="27">
      <c r="A27" t="inlineStr">
        <is>
          <t>D&amp;A</t>
        </is>
      </c>
      <c r="C27" s="23">
        <f>C22*(Model!E72)</f>
        <v/>
      </c>
      <c r="D27" s="23">
        <f>D22*(Model!F72)</f>
        <v/>
      </c>
      <c r="E27" s="23">
        <f>E22*(Model!G72)</f>
        <v/>
      </c>
    </row>
    <row r="28">
      <c r="A28" t="inlineStr">
        <is>
          <t>Capex</t>
        </is>
      </c>
      <c r="C28" s="23">
        <f>C22*(Model!E73)</f>
        <v/>
      </c>
      <c r="D28" s="23">
        <f>D22*(Model!F73)</f>
        <v/>
      </c>
      <c r="E28" s="23">
        <f>E22*(Model!G73)</f>
        <v/>
      </c>
    </row>
    <row r="29">
      <c r="A29" t="inlineStr">
        <is>
          <t>Working capital increase</t>
        </is>
      </c>
      <c r="C29" s="23">
        <f>(Model!E74)*(C22-B22)</f>
        <v/>
      </c>
      <c r="D29" s="23">
        <f>(Model!F74)*(D22-C22)</f>
        <v/>
      </c>
      <c r="E29" s="23">
        <f>(Model!G74)*(E22-D22)</f>
        <v/>
      </c>
    </row>
    <row r="30">
      <c r="A30" t="inlineStr">
        <is>
          <t>Stock comp</t>
        </is>
      </c>
      <c r="C30" s="23">
        <f>C22*(Model!E75)</f>
        <v/>
      </c>
      <c r="D30" s="23">
        <f>D22*(Model!F75)</f>
        <v/>
      </c>
      <c r="E30" s="23">
        <f>E22*(Model!G75)</f>
        <v/>
      </c>
    </row>
    <row r="31">
      <c r="A31" t="inlineStr">
        <is>
          <t>Free cash flow to firm</t>
        </is>
      </c>
      <c r="C31" s="23">
        <f>C26+C27-C28-C29-IF(AND(Valuation!$B$47="adjusted",Valuation!$B$48="cost"),C30*(1-C25),0)</f>
        <v/>
      </c>
      <c r="D31" s="23">
        <f>D26+D27-D28-D29-IF(AND(Valuation!$B$47="adjusted",Valuation!$B$48="cost"),D30*(1-D25),0)</f>
        <v/>
      </c>
      <c r="E31" s="23">
        <f>E26+E27-E28-E29-IF(AND(Valuation!$B$47="adjusted",Valuation!$B$48="cost"),E30*(1-E25),0)</f>
        <v/>
      </c>
    </row>
    <row r="32">
      <c r="A32" t="inlineStr">
        <is>
          <t>EBITDA</t>
        </is>
      </c>
      <c r="C32" s="23">
        <f>C24+C27</f>
        <v/>
      </c>
      <c r="D32" s="23">
        <f>D24+D27</f>
        <v/>
      </c>
      <c r="E32" s="23">
        <f>E24+E27</f>
        <v/>
      </c>
    </row>
    <row r="33">
      <c r="A33" t="inlineStr">
        <is>
          <t>Adj. EBITDA</t>
        </is>
      </c>
      <c r="C33" s="23">
        <f>C24+C27+C22*(Model!E79)</f>
        <v/>
      </c>
      <c r="D33" s="23">
        <f>D24+D27+D22*(Model!F79)</f>
        <v/>
      </c>
      <c r="E33" s="23">
        <f>E24+E27+E22*(Model!G79)</f>
        <v/>
      </c>
    </row>
    <row r="34">
      <c r="A34" t="inlineStr">
        <is>
          <t>Shareholder returns + other uses</t>
        </is>
      </c>
      <c r="C34" s="23">
        <f>C22*Model!E77+Model!E76+Model!E78</f>
        <v/>
      </c>
      <c r="D34" s="23">
        <f>D22*Model!F77+Model!F76+Model!F78</f>
        <v/>
      </c>
      <c r="E34" s="23">
        <f>E22*Model!G77+Model!G76+Model!G78</f>
        <v/>
      </c>
    </row>
    <row r="35">
      <c r="A35" t="inlineStr">
        <is>
          <t>Share of year after target date</t>
        </is>
      </c>
      <c r="C35" s="49">
        <f>IF(C19&lt;=$B$13,0,C19-MAX(C19-1,$B$13))</f>
        <v/>
      </c>
      <c r="D35" s="49">
        <f>IF(D19&lt;=$B$13,0,D19-MAX(D19-1,$B$13))</f>
        <v/>
      </c>
      <c r="E35" s="49">
        <f>IF(E19&lt;=$B$13,0,E19-MAX(E19-1,$B$13))</f>
        <v/>
      </c>
    </row>
    <row r="36">
      <c r="A36" t="inlineStr">
        <is>
          <t>PV at target date of FCFF</t>
        </is>
      </c>
      <c r="C36" s="23">
        <f>IF(C35=0,0,C31*C35/(1+$B$12)^(C19-$B$13))</f>
        <v/>
      </c>
      <c r="D36" s="23">
        <f>IF(D35=0,0,D31*D35/(1+$B$12)^(D19-$B$13))</f>
        <v/>
      </c>
      <c r="E36" s="23">
        <f>IF(E35=0,0,E31*E35/(1+$B$12)^(E19-$B$13))</f>
        <v/>
      </c>
    </row>
    <row r="37">
      <c r="A37" t="inlineStr">
        <is>
          <t>Overlap: balance date to target date</t>
        </is>
      </c>
      <c r="C37" s="49">
        <f>MAX(0,MIN(C19,$B$13)-MAX(C19-1,$B$14))</f>
        <v/>
      </c>
      <c r="D37" s="49">
        <f>MAX(0,MIN(D19,$B$13)-MAX(D19-1,$B$14))</f>
        <v/>
      </c>
      <c r="E37" s="49">
        <f>MAX(0,MIN(E19,$B$13)-MAX(E19-1,$B$14))</f>
        <v/>
      </c>
    </row>
    <row r="38">
      <c r="A38" t="inlineStr">
        <is>
          <t>NTM weight at target date</t>
        </is>
      </c>
      <c r="C38" s="49">
        <f>MAX(0,MIN(C19,$B$13+1)-MAX(C19-1,$B$13))</f>
        <v/>
      </c>
      <c r="D38" s="49">
        <f>MAX(0,MIN(D19,$B$13+1)-MAX(D19-1,$B$13))</f>
        <v/>
      </c>
      <c r="E38" s="49">
        <f>MAX(0,MIN(E19,$B$13+1)-MAX(E19-1,$B$13))</f>
        <v/>
      </c>
    </row>
    <row r="39">
      <c r="A39" t="inlineStr">
        <is>
          <t>LTM weight at target date</t>
        </is>
      </c>
      <c r="B39" s="49">
        <f>MAX(0,MIN(0,$B$13)-MAX(-1,$B$13-1))</f>
        <v/>
      </c>
      <c r="C39" s="49">
        <f>MAX(0,MIN(C19,$B$13)-MAX(C19-1,$B$13-1))</f>
        <v/>
      </c>
      <c r="D39" s="49">
        <f>MAX(0,MIN(D19,$B$13)-MAX(D19-1,$B$13-1))</f>
        <v/>
      </c>
      <c r="E39" s="49">
        <f>MAX(0,MIN(E19,$B$13)-MAX(E19-1,$B$13-1))</f>
        <v/>
      </c>
    </row>
    <row r="41">
      <c r="A41" s="19" t="inlineStr">
        <is>
          <t>Value at the target date</t>
        </is>
      </c>
    </row>
    <row r="42">
      <c r="A42" t="inlineStr">
        <is>
          <t>PV of free cash flow after the target date</t>
        </is>
      </c>
      <c r="B42" s="23">
        <f>SUM($C$36:$E$36)</f>
        <v/>
      </c>
    </row>
    <row r="43">
      <c r="A43" t="inlineStr">
        <is>
          <t>Terminal value at final year</t>
        </is>
      </c>
      <c r="B43" s="23">
        <f>IF(Valuation!$B$52="exit_multiple",Valuation!$B$54*E32,E31*(1+Valuation!$B$53)/($B$12-Valuation!$B$53))</f>
        <v/>
      </c>
    </row>
    <row r="44">
      <c r="A44" t="inlineStr">
        <is>
          <t>PV of terminal value at target date</t>
        </is>
      </c>
      <c r="B44" s="23">
        <f>B43/(1+$B$12)^($B$16-$B$13)</f>
        <v/>
      </c>
    </row>
    <row r="45">
      <c r="A45" t="inlineStr">
        <is>
          <t>DCF enterprise value at target date</t>
        </is>
      </c>
      <c r="B45" s="23">
        <f>B42+B44</f>
        <v/>
      </c>
    </row>
    <row r="46">
      <c r="A46" t="inlineStr">
        <is>
          <t>Terminal value share of DCF</t>
        </is>
      </c>
      <c r="B46" s="18">
        <f>B44/B45</f>
        <v/>
      </c>
    </row>
    <row r="47">
      <c r="A47" t="inlineStr">
        <is>
          <t>Free cash flow earned, balance date to target date</t>
        </is>
      </c>
      <c r="B47" s="23">
        <f>SUMPRODUCT($C$37:$E$37,$C$31:$E$31)</f>
        <v/>
      </c>
    </row>
    <row r="48">
      <c r="A48" t="inlineStr">
        <is>
          <t>Shareholder returns + other uses paid</t>
        </is>
      </c>
      <c r="B48" s="23">
        <f>SUMPRODUCT($C$37:$E$37,$C$34:$E$34)</f>
        <v/>
      </c>
    </row>
    <row r="49">
      <c r="A49" t="inlineStr">
        <is>
          <t>Interest drag on net debt</t>
        </is>
      </c>
      <c r="B49" s="23">
        <f>Valuation!$B$58*(1-$C$25)*MAX(Valuation!$B$56,0)*MAX($B$13-$B$14,0)</f>
        <v/>
      </c>
    </row>
    <row r="50">
      <c r="A50" t="inlineStr">
        <is>
          <t>Net debt at target date</t>
        </is>
      </c>
      <c r="B50" s="23">
        <f>IF(Valuation!$B$59="",Valuation!$B$56-B47+B49+B48,Valuation!$B$59)</f>
        <v/>
      </c>
    </row>
    <row r="51">
      <c r="A51" t="inlineStr">
        <is>
          <t>Minority interests</t>
        </is>
      </c>
      <c r="B51" s="23">
        <f>Valuation!$B$57</f>
        <v/>
      </c>
    </row>
    <row r="52">
      <c r="A52" t="inlineStr">
        <is>
          <t>Adjustments (probability-weighted)</t>
        </is>
      </c>
      <c r="B52" s="23">
        <f>(Valuation!B79)*Valuation!C79+(Valuation!B80)*Valuation!C80+(Valuation!B81)*Valuation!C81+(Valuation!B82)*Valuation!C82+(Valuation!B83)*Valuation!C83+(Valuation!B84)*Valuation!C84+(Valuation!B85)*Valuation!C85+(Valuation!B86)*Valuation!C86+(Valuation!B87)*Valuation!C87+(Valuation!B88)*Valuation!C88+(Valuation!B89)*Valuation!C89+(Valuation!B90)*Valuation!C90+(Valuation!B91)*Valuation!C91+(Valuation!B92)*Valuation!C92+0</f>
        <v/>
      </c>
    </row>
    <row r="53">
      <c r="A53" t="inlineStr">
        <is>
          <t>Diluted shares at target date (M)</t>
        </is>
      </c>
      <c r="B53" s="28">
        <f>IF(Valuation!$B$63="",Valuation!$B$60*(1+Valuation!$B$62)^MAX($B$13-$B$15,0),Valuation!$B$63)</f>
        <v/>
      </c>
    </row>
    <row r="54">
      <c r="A54" t="inlineStr">
        <is>
          <t>After-tax interest on target-date net debt</t>
        </is>
      </c>
      <c r="B54" s="23">
        <f>Valuation!$B$58*(1-$C$25)*MAX(B50,0)</f>
        <v/>
      </c>
    </row>
    <row r="55">
      <c r="A55" t="inlineStr">
        <is>
          <t>Check: WACC vs terminal growth</t>
        </is>
      </c>
      <c r="B55">
        <f>IF(AND(Valuation!$B$52&lt;&gt;"exit_multiple",$B$12&lt;=Valuation!$B$53+0.01),"WACC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3">
        <f>SUMPRODUCT($C$38:$E$38,$C$22:$E$22)</f>
        <v/>
      </c>
      <c r="C59" s="23">
        <f>SUMPRODUCT($C$39:$E$39,$C$22:$E$22)+$B$39*$B$22</f>
        <v/>
      </c>
    </row>
    <row r="60">
      <c r="A60" t="inlineStr">
        <is>
          <t>EBIT</t>
        </is>
      </c>
      <c r="B60" s="23">
        <f>SUMPRODUCT($C$38:$E$38,$C$24:$E$24)</f>
        <v/>
      </c>
      <c r="C60" s="23">
        <f>SUMPRODUCT($C$39:$E$39,$C$24:$E$24)</f>
        <v/>
      </c>
    </row>
    <row r="61">
      <c r="A61" t="inlineStr">
        <is>
          <t>EBITDA</t>
        </is>
      </c>
      <c r="B61" s="23">
        <f>SUMPRODUCT($C$38:$E$38,$C$32:$E$32)</f>
        <v/>
      </c>
      <c r="C61" s="23">
        <f>SUMPRODUCT($C$39:$E$39,$C$32:$E$32)</f>
        <v/>
      </c>
    </row>
    <row r="62">
      <c r="A62" t="inlineStr">
        <is>
          <t>Adj. EBITDA</t>
        </is>
      </c>
      <c r="B62" s="23">
        <f>SUMPRODUCT($C$38:$E$38,$C$33:$E$33)</f>
        <v/>
      </c>
      <c r="C62" s="23">
        <f>SUMPRODUCT($C$39:$E$39,$C$33:$E$33)</f>
        <v/>
      </c>
    </row>
    <row r="63">
      <c r="A63" t="inlineStr">
        <is>
          <t>NOPAT</t>
        </is>
      </c>
      <c r="B63" s="23">
        <f>SUMPRODUCT($C$38:$E$38,$C$26:$E$26)</f>
        <v/>
      </c>
      <c r="C63" s="23">
        <f>SUMPRODUCT($C$39:$E$39,$C$26:$E$26)</f>
        <v/>
      </c>
    </row>
    <row r="64">
      <c r="A64" t="inlineStr">
        <is>
          <t>Free cash flow to firm</t>
        </is>
      </c>
      <c r="B64" s="23">
        <f>SUMPRODUCT($C$38:$E$38,$C$31:$E$31)</f>
        <v/>
      </c>
      <c r="C64" s="23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18">
        <f>Valuation!$B$64</f>
        <v/>
      </c>
    </row>
    <row r="68">
      <c r="A68">
        <f>"Multiple: "&amp;Valuation!A70&amp;" ("&amp;Valuation!D70&amp;")"</f>
        <v/>
      </c>
      <c r="B68">
        <f>Valuation!A70</f>
        <v/>
      </c>
      <c r="C68" s="9">
        <f>IF(B68="FCF yield",(Valuation!B70)*(1-$B$8),(Valuation!B70)+IF(B68="EV/sales",0.1,1)*$B$6)</f>
        <v/>
      </c>
      <c r="D68">
        <f>Valuation!D70</f>
        <v/>
      </c>
      <c r="E68" s="23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70&lt;&gt;"",C68*(Valuation!F70)*(1+$B$9),C68*(E68-$B$54)/$B$53),IF(Valuation!G70&lt;&gt;"",(Valuation!G70)*(1+$B$9)/C68,(E68-IF(Valuation!H70,$B$54,0))/C68/$B$53))+$B$52/$B$53)</f>
        <v/>
      </c>
      <c r="G68" s="18">
        <f>Valuation!C70</f>
        <v/>
      </c>
      <c r="H68">
        <f>IF(B68="EV/sales",1,IF(B68="EV/EBIT",2,IF(B68="EV/EBITDA",IF(Valuation!E70="adjusted",4,3),IF(B68="P/E",5,6))))</f>
        <v/>
      </c>
      <c r="I68" s="50">
        <f>IF(AND(B68="P/E",Valuation!F70&lt;&gt;""),(Valuation!F70)*(1+$B$9),IF(AND(B68="FCF yield",Valuation!G70&lt;&gt;""),(Valuation!G70)*(1+$B$9),E68))</f>
        <v/>
      </c>
    </row>
    <row r="69">
      <c r="A69" t="inlineStr">
        <is>
          <t>Sum of the parts</t>
        </is>
      </c>
      <c r="F69" s="9">
        <f>((((Valuation!B73)*(Valuation!D73)+(Valuation!B74)*(Valuation!D74)+(Valuation!B75)*(Valuation!D75)+(Valuation!B76)*(Valuation!D76))*(1+$B$8))-$B$50-$B$51+$B$52)/$B$53</f>
        <v/>
      </c>
      <c r="G69" s="18">
        <f>Valuation!$B$65</f>
        <v/>
      </c>
    </row>
    <row r="70">
      <c r="A70" s="19" t="inlineStr">
        <is>
          <t>Value per share at target date (weighted methods)</t>
        </is>
      </c>
      <c r="F70" s="6">
        <f>SUMPRODUCT(F67:F69,G67:G69)/SUM(G67:G69)</f>
        <v/>
      </c>
    </row>
    <row r="129">
      <c r="A129" s="19" t="inlineStr">
        <is>
          <t>Segment build (model_engine.seg_build): revenue and EBIT are the segment sums plus corporate EBIT</t>
        </is>
      </c>
    </row>
    <row r="130">
      <c r="A130" s="3" t="inlineStr">
        <is>
          <t>Segment</t>
        </is>
      </c>
      <c r="B130" s="3" t="inlineStr">
        <is>
          <t>Base</t>
        </is>
      </c>
      <c r="C130" s="3">
        <f>Model!E5</f>
        <v/>
      </c>
      <c r="D130" s="3">
        <f>Model!F5</f>
        <v/>
      </c>
      <c r="E130" s="3">
        <f>Model!G5</f>
        <v/>
      </c>
    </row>
    <row r="131">
      <c r="A131" t="inlineStr">
        <is>
          <t>Google Search &amp; other: revenue growth</t>
        </is>
      </c>
      <c r="C131" s="18">
        <f>Model!E12+$B$4</f>
        <v/>
      </c>
      <c r="D131" s="18">
        <f>Model!F12+$B$4</f>
        <v/>
      </c>
      <c r="E131" s="18">
        <f>Model!G12+$B$4</f>
        <v/>
      </c>
    </row>
    <row r="132">
      <c r="A132" t="inlineStr">
        <is>
          <t>Google Search &amp; other: revenue</t>
        </is>
      </c>
      <c r="B132" s="10">
        <f>Valuation!$B$103</f>
        <v/>
      </c>
      <c r="C132" s="23">
        <f>B132*(1+C131)</f>
        <v/>
      </c>
      <c r="D132" s="23">
        <f>C132*(1+D131)</f>
        <v/>
      </c>
      <c r="E132" s="23">
        <f>D132*(1+E131)</f>
        <v/>
      </c>
    </row>
    <row r="133">
      <c r="A133" t="inlineStr">
        <is>
          <t>Google Search &amp; other: EBIT margin</t>
        </is>
      </c>
      <c r="C133" s="18">
        <f>Model!E14+$B$5</f>
        <v/>
      </c>
      <c r="D133" s="18">
        <f>Model!F14+$B$5</f>
        <v/>
      </c>
      <c r="E133" s="18">
        <f>Model!G14+$B$5</f>
        <v/>
      </c>
    </row>
    <row r="134">
      <c r="A134" t="inlineStr">
        <is>
          <t>Google Search &amp; other: EBIT</t>
        </is>
      </c>
      <c r="C134" s="23">
        <f>C132*C133</f>
        <v/>
      </c>
      <c r="D134" s="23">
        <f>D132*D133</f>
        <v/>
      </c>
      <c r="E134" s="23">
        <f>E132*E133</f>
        <v/>
      </c>
    </row>
    <row r="135">
      <c r="A135" t="inlineStr">
        <is>
          <t>Google Services other (YouTube ads, Netw: revenue growth</t>
        </is>
      </c>
      <c r="C135" s="18">
        <f>Model!E16+$B$4</f>
        <v/>
      </c>
      <c r="D135" s="18">
        <f>Model!F16+$B$4</f>
        <v/>
      </c>
      <c r="E135" s="18">
        <f>Model!G16+$B$4</f>
        <v/>
      </c>
    </row>
    <row r="136">
      <c r="A136" t="inlineStr">
        <is>
          <t>Google Services other (YouTube ads, Netw: revenue</t>
        </is>
      </c>
      <c r="B136" s="10">
        <f>Valuation!$B$104</f>
        <v/>
      </c>
      <c r="C136" s="23">
        <f>B136*(1+C135)</f>
        <v/>
      </c>
      <c r="D136" s="23">
        <f>C136*(1+D135)</f>
        <v/>
      </c>
      <c r="E136" s="23">
        <f>D136*(1+E135)</f>
        <v/>
      </c>
    </row>
    <row r="137">
      <c r="A137" t="inlineStr">
        <is>
          <t>Google Services other (YouTube ads, Netw: EBIT margin</t>
        </is>
      </c>
      <c r="C137" s="18">
        <f>Model!E18+$B$5</f>
        <v/>
      </c>
      <c r="D137" s="18">
        <f>Model!F18+$B$5</f>
        <v/>
      </c>
      <c r="E137" s="18">
        <f>Model!G18+$B$5</f>
        <v/>
      </c>
    </row>
    <row r="138">
      <c r="A138" t="inlineStr">
        <is>
          <t>Google Services other (YouTube ads, Netw: EBIT</t>
        </is>
      </c>
      <c r="C138" s="23">
        <f>C136*C137</f>
        <v/>
      </c>
      <c r="D138" s="23">
        <f>D136*D137</f>
        <v/>
      </c>
      <c r="E138" s="23">
        <f>E136*E137</f>
        <v/>
      </c>
    </row>
    <row r="139">
      <c r="A139" t="inlineStr">
        <is>
          <t>Google Cloud: revenue growth</t>
        </is>
      </c>
      <c r="C139" s="18">
        <f>Model!E20+$B$4</f>
        <v/>
      </c>
      <c r="D139" s="18">
        <f>Model!F20+$B$4</f>
        <v/>
      </c>
      <c r="E139" s="18">
        <f>Model!G20+$B$4</f>
        <v/>
      </c>
    </row>
    <row r="140">
      <c r="A140" t="inlineStr">
        <is>
          <t>Google Cloud: revenue</t>
        </is>
      </c>
      <c r="B140" s="10">
        <f>Valuation!$B$105</f>
        <v/>
      </c>
      <c r="C140" s="23">
        <f>B140*(1+C139)</f>
        <v/>
      </c>
      <c r="D140" s="23">
        <f>C140*(1+D139)</f>
        <v/>
      </c>
      <c r="E140" s="23">
        <f>D140*(1+E139)</f>
        <v/>
      </c>
    </row>
    <row r="141">
      <c r="A141" t="inlineStr">
        <is>
          <t>Google Cloud: EBIT margin</t>
        </is>
      </c>
      <c r="C141" s="18">
        <f>Model!E22+$B$5</f>
        <v/>
      </c>
      <c r="D141" s="18">
        <f>Model!F22+$B$5</f>
        <v/>
      </c>
      <c r="E141" s="18">
        <f>Model!G22+$B$5</f>
        <v/>
      </c>
    </row>
    <row r="142">
      <c r="A142" t="inlineStr">
        <is>
          <t>Google Cloud: EBIT</t>
        </is>
      </c>
      <c r="C142" s="23">
        <f>C140*C141</f>
        <v/>
      </c>
      <c r="D142" s="23">
        <f>D140*D141</f>
        <v/>
      </c>
      <c r="E142" s="23">
        <f>E140*E141</f>
        <v/>
      </c>
    </row>
    <row r="143">
      <c r="A143" t="inlineStr">
        <is>
          <t>Other Bets: revenue growth</t>
        </is>
      </c>
      <c r="C143" s="18">
        <f>Model!E24+$B$4</f>
        <v/>
      </c>
      <c r="D143" s="18">
        <f>Model!F24+$B$4</f>
        <v/>
      </c>
      <c r="E143" s="18">
        <f>Model!G24+$B$4</f>
        <v/>
      </c>
    </row>
    <row r="144">
      <c r="A144" t="inlineStr">
        <is>
          <t>Other Bets: revenue</t>
        </is>
      </c>
      <c r="B144" s="10">
        <f>Valuation!$B$106</f>
        <v/>
      </c>
      <c r="C144" s="23">
        <f>B144*(1+C143)</f>
        <v/>
      </c>
      <c r="D144" s="23">
        <f>C144*(1+D143)</f>
        <v/>
      </c>
      <c r="E144" s="23">
        <f>D144*(1+E143)</f>
        <v/>
      </c>
    </row>
    <row r="145">
      <c r="A145" t="inlineStr">
        <is>
          <t>Other Bets: EBIT margin</t>
        </is>
      </c>
      <c r="C145" s="18">
        <f>Model!E26+$B$5</f>
        <v/>
      </c>
      <c r="D145" s="18">
        <f>Model!F26+$B$5</f>
        <v/>
      </c>
      <c r="E145" s="18">
        <f>Model!G26+$B$5</f>
        <v/>
      </c>
    </row>
    <row r="146">
      <c r="A146" t="inlineStr">
        <is>
          <t>Other Bets: EBIT</t>
        </is>
      </c>
      <c r="C146" s="23">
        <f>C144*C145</f>
        <v/>
      </c>
      <c r="D146" s="23">
        <f>D144*D145</f>
        <v/>
      </c>
      <c r="E146" s="23">
        <f>E144*E145</f>
        <v/>
      </c>
    </row>
    <row r="147">
      <c r="A147" s="19" t="inlineStr">
        <is>
          <t>Total segment revenue</t>
        </is>
      </c>
      <c r="C147" s="23">
        <f>C132+C136+C140+C144</f>
        <v/>
      </c>
      <c r="D147" s="23">
        <f>D132+D136+D140+D144</f>
        <v/>
      </c>
      <c r="E147" s="23">
        <f>E132+E136+E140+E144</f>
        <v/>
      </c>
    </row>
    <row r="148">
      <c r="A148" t="inlineStr">
        <is>
          <t>Total segment EBIT</t>
        </is>
      </c>
      <c r="C148" s="23">
        <f>C134+C138+C142+C146</f>
        <v/>
      </c>
      <c r="D148" s="23">
        <f>D134+D138+D142+D146</f>
        <v/>
      </c>
      <c r="E148" s="23">
        <f>E134+E138+E142+E146</f>
        <v/>
      </c>
    </row>
    <row r="149">
      <c r="A149" t="inlineStr">
        <is>
          <t>Corporate / unallocated EBIT</t>
        </is>
      </c>
      <c r="C149" s="10">
        <f>Model!E29</f>
        <v/>
      </c>
      <c r="D149" s="10">
        <f>Model!F29</f>
        <v/>
      </c>
      <c r="E149" s="10">
        <f>Model!G29</f>
        <v/>
      </c>
    </row>
    <row r="150">
      <c r="A150" s="19" t="inlineStr">
        <is>
          <t>EBIT (segments + corporate)</t>
        </is>
      </c>
      <c r="C150" s="23">
        <f>C148+C149</f>
        <v/>
      </c>
      <c r="D150" s="23">
        <f>D148+D149</f>
        <v/>
      </c>
      <c r="E150" s="23">
        <f>E148+E149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3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GOOGL engine calculation: bull scenario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12">
        <f>N(Valuation!C100)</f>
        <v/>
      </c>
    </row>
    <row r="5">
      <c r="A5" t="inlineStr">
        <is>
          <t>Scenario Margin Δ</t>
        </is>
      </c>
      <c r="B5" s="12">
        <f>N(Valuation!D100)</f>
        <v/>
      </c>
    </row>
    <row r="6">
      <c r="A6" t="inlineStr">
        <is>
          <t>Scenario Multiple Δ (turns)</t>
        </is>
      </c>
      <c r="B6" s="51">
        <f>N(Valuation!E100)</f>
        <v/>
      </c>
    </row>
    <row r="7">
      <c r="A7" t="inlineStr">
        <is>
          <t>Scenario WACC Δ</t>
        </is>
      </c>
      <c r="B7" s="12">
        <f>N(Valuation!F100)</f>
        <v/>
      </c>
    </row>
    <row r="8">
      <c r="A8" t="inlineStr">
        <is>
          <t>Scenario Multiple %Δ</t>
        </is>
      </c>
      <c r="B8" s="12">
        <f>N(Valuation!G100)</f>
        <v/>
      </c>
    </row>
    <row r="9">
      <c r="A9" t="inlineStr">
        <is>
          <t>Scenario Stated EPS/FCF %Δ</t>
        </is>
      </c>
      <c r="B9" s="12">
        <f>N(Valuation!H100)</f>
        <v/>
      </c>
    </row>
    <row r="10">
      <c r="A10" t="inlineStr">
        <is>
          <t>Scenario Custom %Δ</t>
        </is>
      </c>
      <c r="B10" s="12">
        <f>N(Valuation!I100)</f>
        <v/>
      </c>
    </row>
    <row r="12">
      <c r="A12" t="inlineStr">
        <is>
          <t>WACC</t>
        </is>
      </c>
      <c r="B12" s="18">
        <f>Valuation!$B$51+B7</f>
        <v/>
      </c>
    </row>
    <row r="13">
      <c r="A13" t="inlineStr">
        <is>
          <t>Years from last FY end to target date</t>
        </is>
      </c>
      <c r="B13" s="49">
        <f>(Valuation!$B$45-Valuation!$B$49)/365.25</f>
        <v/>
      </c>
    </row>
    <row r="14">
      <c r="A14" t="inlineStr">
        <is>
          <t>Years from last FY end to balance date</t>
        </is>
      </c>
      <c r="B14" s="49">
        <f>(Valuation!$B$55-Valuation!$B$49)/365.25</f>
        <v/>
      </c>
    </row>
    <row r="15">
      <c r="A15" t="inlineStr">
        <is>
          <t>Years from last FY end to share count date</t>
        </is>
      </c>
      <c r="B15" s="49">
        <f>(Valuation!$B$61-Valuation!$B$49)/365.25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20">
        <f>Valuation!$B$49+ROUND(365.25*C19,0)</f>
        <v/>
      </c>
      <c r="D20" s="20">
        <f>Valuation!$B$49+ROUND(365.25*D19,0)</f>
        <v/>
      </c>
      <c r="E20" s="20">
        <f>Valuation!$B$49+ROUND(365.25*E19,0)</f>
        <v/>
      </c>
    </row>
    <row r="21">
      <c r="A21" t="inlineStr">
        <is>
          <t>Revenue growth</t>
        </is>
      </c>
      <c r="C21" s="18">
        <f>C22/B22-1</f>
        <v/>
      </c>
      <c r="D21" s="18">
        <f>D22/C22-1</f>
        <v/>
      </c>
      <c r="E21" s="18">
        <f>E22/D22-1</f>
        <v/>
      </c>
    </row>
    <row r="22">
      <c r="A22" t="inlineStr">
        <is>
          <t>Revenue</t>
        </is>
      </c>
      <c r="B22" s="23">
        <f>Valuation!$B$50</f>
        <v/>
      </c>
      <c r="C22" s="23">
        <f>C147</f>
        <v/>
      </c>
      <c r="D22" s="23">
        <f>D147</f>
        <v/>
      </c>
      <c r="E22" s="23">
        <f>E147</f>
        <v/>
      </c>
    </row>
    <row r="23">
      <c r="A23" t="inlineStr">
        <is>
          <t>EBIT margin</t>
        </is>
      </c>
      <c r="C23" s="18">
        <f>C24/C22</f>
        <v/>
      </c>
      <c r="D23" s="18">
        <f>D24/D22</f>
        <v/>
      </c>
      <c r="E23" s="18">
        <f>E24/E22</f>
        <v/>
      </c>
    </row>
    <row r="24">
      <c r="A24" t="inlineStr">
        <is>
          <t>EBIT</t>
        </is>
      </c>
      <c r="C24" s="23">
        <f>C150</f>
        <v/>
      </c>
      <c r="D24" s="23">
        <f>D150</f>
        <v/>
      </c>
      <c r="E24" s="23">
        <f>E150</f>
        <v/>
      </c>
    </row>
    <row r="25">
      <c r="A25" t="inlineStr">
        <is>
          <t>Tax rate</t>
        </is>
      </c>
      <c r="C25" s="18">
        <f>Model!E71</f>
        <v/>
      </c>
      <c r="D25" s="18">
        <f>Model!F71</f>
        <v/>
      </c>
      <c r="E25" s="18">
        <f>Model!G71</f>
        <v/>
      </c>
    </row>
    <row r="26">
      <c r="A26" t="inlineStr">
        <is>
          <t>NOPAT</t>
        </is>
      </c>
      <c r="C26" s="23">
        <f>C24*(1-C25)</f>
        <v/>
      </c>
      <c r="D26" s="23">
        <f>D24*(1-D25)</f>
        <v/>
      </c>
      <c r="E26" s="23">
        <f>E24*(1-E25)</f>
        <v/>
      </c>
    </row>
    <row r="27">
      <c r="A27" t="inlineStr">
        <is>
          <t>D&amp;A</t>
        </is>
      </c>
      <c r="C27" s="23">
        <f>C22*(Model!E72+$B$250)</f>
        <v/>
      </c>
      <c r="D27" s="23">
        <f>D22*(Model!F72+$B$252)</f>
        <v/>
      </c>
      <c r="E27" s="23">
        <f>E22*(Model!G72+$B$254)</f>
        <v/>
      </c>
    </row>
    <row r="28">
      <c r="A28" t="inlineStr">
        <is>
          <t>Capex</t>
        </is>
      </c>
      <c r="C28" s="23">
        <f>C22*(Model!E73+$B$251)</f>
        <v/>
      </c>
      <c r="D28" s="23">
        <f>D22*(Model!F73+$B$253)</f>
        <v/>
      </c>
      <c r="E28" s="23">
        <f>E22*(Model!G73+$B$255)</f>
        <v/>
      </c>
    </row>
    <row r="29">
      <c r="A29" t="inlineStr">
        <is>
          <t>Working capital increase</t>
        </is>
      </c>
      <c r="C29" s="23">
        <f>(Model!E74)*(C22-B22)</f>
        <v/>
      </c>
      <c r="D29" s="23">
        <f>(Model!F74)*(D22-C22)</f>
        <v/>
      </c>
      <c r="E29" s="23">
        <f>(Model!G74)*(E22-D22)</f>
        <v/>
      </c>
    </row>
    <row r="30">
      <c r="A30" t="inlineStr">
        <is>
          <t>Stock comp</t>
        </is>
      </c>
      <c r="C30" s="23">
        <f>C22*(Model!E75)</f>
        <v/>
      </c>
      <c r="D30" s="23">
        <f>D22*(Model!F75)</f>
        <v/>
      </c>
      <c r="E30" s="23">
        <f>E22*(Model!G75)</f>
        <v/>
      </c>
    </row>
    <row r="31">
      <c r="A31" t="inlineStr">
        <is>
          <t>Free cash flow to firm</t>
        </is>
      </c>
      <c r="C31" s="23">
        <f>C26+C27-C28-C29-IF(AND(Valuation!$B$47="adjusted",Valuation!$B$48="cost"),C30*(1-C25),0)</f>
        <v/>
      </c>
      <c r="D31" s="23">
        <f>D26+D27-D28-D29-IF(AND(Valuation!$B$47="adjusted",Valuation!$B$48="cost"),D30*(1-D25),0)</f>
        <v/>
      </c>
      <c r="E31" s="23">
        <f>E26+E27-E28-E29-IF(AND(Valuation!$B$47="adjusted",Valuation!$B$48="cost"),E30*(1-E25),0)</f>
        <v/>
      </c>
    </row>
    <row r="32">
      <c r="A32" t="inlineStr">
        <is>
          <t>EBITDA</t>
        </is>
      </c>
      <c r="C32" s="23">
        <f>C24+C27</f>
        <v/>
      </c>
      <c r="D32" s="23">
        <f>D24+D27</f>
        <v/>
      </c>
      <c r="E32" s="23">
        <f>E24+E27</f>
        <v/>
      </c>
    </row>
    <row r="33">
      <c r="A33" t="inlineStr">
        <is>
          <t>Adj. EBITDA</t>
        </is>
      </c>
      <c r="C33" s="23">
        <f>C24+C27+C22*(Model!E79)</f>
        <v/>
      </c>
      <c r="D33" s="23">
        <f>D24+D27+D22*(Model!F79)</f>
        <v/>
      </c>
      <c r="E33" s="23">
        <f>E24+E27+E22*(Model!G79)</f>
        <v/>
      </c>
    </row>
    <row r="34">
      <c r="A34" t="inlineStr">
        <is>
          <t>Shareholder returns + other uses</t>
        </is>
      </c>
      <c r="C34" s="23">
        <f>C22*Model!E77+Model!E76+Model!E78</f>
        <v/>
      </c>
      <c r="D34" s="23">
        <f>D22*Model!F77+Model!F76+Model!F78</f>
        <v/>
      </c>
      <c r="E34" s="23">
        <f>E22*Model!G77+Model!G76+Model!G78</f>
        <v/>
      </c>
    </row>
    <row r="35">
      <c r="A35" t="inlineStr">
        <is>
          <t>Share of year after target date</t>
        </is>
      </c>
      <c r="C35" s="49">
        <f>IF(C19&lt;=$B$13,0,C19-MAX(C19-1,$B$13))</f>
        <v/>
      </c>
      <c r="D35" s="49">
        <f>IF(D19&lt;=$B$13,0,D19-MAX(D19-1,$B$13))</f>
        <v/>
      </c>
      <c r="E35" s="49">
        <f>IF(E19&lt;=$B$13,0,E19-MAX(E19-1,$B$13))</f>
        <v/>
      </c>
    </row>
    <row r="36">
      <c r="A36" t="inlineStr">
        <is>
          <t>PV at target date of FCFF</t>
        </is>
      </c>
      <c r="C36" s="23">
        <f>IF(C35=0,0,C31*C35/(1+$B$12)^(C19-$B$13))</f>
        <v/>
      </c>
      <c r="D36" s="23">
        <f>IF(D35=0,0,D31*D35/(1+$B$12)^(D19-$B$13))</f>
        <v/>
      </c>
      <c r="E36" s="23">
        <f>IF(E35=0,0,E31*E35/(1+$B$12)^(E19-$B$13))</f>
        <v/>
      </c>
    </row>
    <row r="37">
      <c r="A37" t="inlineStr">
        <is>
          <t>Overlap: balance date to target date</t>
        </is>
      </c>
      <c r="C37" s="49">
        <f>MAX(0,MIN(C19,$B$13)-MAX(C19-1,$B$14))</f>
        <v/>
      </c>
      <c r="D37" s="49">
        <f>MAX(0,MIN(D19,$B$13)-MAX(D19-1,$B$14))</f>
        <v/>
      </c>
      <c r="E37" s="49">
        <f>MAX(0,MIN(E19,$B$13)-MAX(E19-1,$B$14))</f>
        <v/>
      </c>
    </row>
    <row r="38">
      <c r="A38" t="inlineStr">
        <is>
          <t>NTM weight at target date</t>
        </is>
      </c>
      <c r="C38" s="49">
        <f>MAX(0,MIN(C19,$B$13+1)-MAX(C19-1,$B$13))</f>
        <v/>
      </c>
      <c r="D38" s="49">
        <f>MAX(0,MIN(D19,$B$13+1)-MAX(D19-1,$B$13))</f>
        <v/>
      </c>
      <c r="E38" s="49">
        <f>MAX(0,MIN(E19,$B$13+1)-MAX(E19-1,$B$13))</f>
        <v/>
      </c>
    </row>
    <row r="39">
      <c r="A39" t="inlineStr">
        <is>
          <t>LTM weight at target date</t>
        </is>
      </c>
      <c r="B39" s="49">
        <f>MAX(0,MIN(0,$B$13)-MAX(-1,$B$13-1))</f>
        <v/>
      </c>
      <c r="C39" s="49">
        <f>MAX(0,MIN(C19,$B$13)-MAX(C19-1,$B$13-1))</f>
        <v/>
      </c>
      <c r="D39" s="49">
        <f>MAX(0,MIN(D19,$B$13)-MAX(D19-1,$B$13-1))</f>
        <v/>
      </c>
      <c r="E39" s="49">
        <f>MAX(0,MIN(E19,$B$13)-MAX(E19-1,$B$13-1))</f>
        <v/>
      </c>
    </row>
    <row r="41">
      <c r="A41" s="19" t="inlineStr">
        <is>
          <t>Value at the target date</t>
        </is>
      </c>
    </row>
    <row r="42">
      <c r="A42" t="inlineStr">
        <is>
          <t>PV of free cash flow after the target date</t>
        </is>
      </c>
      <c r="B42" s="23">
        <f>SUM($C$36:$E$36)</f>
        <v/>
      </c>
    </row>
    <row r="43">
      <c r="A43" t="inlineStr">
        <is>
          <t>Terminal value at final year</t>
        </is>
      </c>
      <c r="B43" s="23">
        <f>IF(Valuation!$B$52="exit_multiple",Valuation!$B$54*E32,E31*(1+Valuation!$B$53)/($B$12-Valuation!$B$53))</f>
        <v/>
      </c>
    </row>
    <row r="44">
      <c r="A44" t="inlineStr">
        <is>
          <t>PV of terminal value at target date</t>
        </is>
      </c>
      <c r="B44" s="23">
        <f>B43/(1+$B$12)^($B$16-$B$13)</f>
        <v/>
      </c>
    </row>
    <row r="45">
      <c r="A45" t="inlineStr">
        <is>
          <t>DCF enterprise value at target date</t>
        </is>
      </c>
      <c r="B45" s="23">
        <f>B42+B44</f>
        <v/>
      </c>
    </row>
    <row r="46">
      <c r="A46" t="inlineStr">
        <is>
          <t>Terminal value share of DCF</t>
        </is>
      </c>
      <c r="B46" s="18">
        <f>B44/B45</f>
        <v/>
      </c>
    </row>
    <row r="47">
      <c r="A47" t="inlineStr">
        <is>
          <t>Free cash flow earned, balance date to target date</t>
        </is>
      </c>
      <c r="B47" s="23">
        <f>SUMPRODUCT($C$37:$E$37,$C$31:$E$31)</f>
        <v/>
      </c>
    </row>
    <row r="48">
      <c r="A48" t="inlineStr">
        <is>
          <t>Shareholder returns + other uses paid</t>
        </is>
      </c>
      <c r="B48" s="23">
        <f>SUMPRODUCT($C$37:$E$37,$C$34:$E$34)</f>
        <v/>
      </c>
    </row>
    <row r="49">
      <c r="A49" t="inlineStr">
        <is>
          <t>Interest drag on net debt</t>
        </is>
      </c>
      <c r="B49" s="23">
        <f>Valuation!$B$58*(1-$C$25)*MAX(Valuation!$B$56,0)*MAX($B$13-$B$14,0)</f>
        <v/>
      </c>
    </row>
    <row r="50">
      <c r="A50" t="inlineStr">
        <is>
          <t>Net debt at target date</t>
        </is>
      </c>
      <c r="B50" s="23">
        <f>IF(Valuation!$B$59="",Valuation!$B$56-B47+B49+B48,Valuation!$B$59)</f>
        <v/>
      </c>
    </row>
    <row r="51">
      <c r="A51" t="inlineStr">
        <is>
          <t>Minority interests</t>
        </is>
      </c>
      <c r="B51" s="23">
        <f>Valuation!$B$57</f>
        <v/>
      </c>
    </row>
    <row r="52">
      <c r="A52" t="inlineStr">
        <is>
          <t>Adjustments (probability-weighted)</t>
        </is>
      </c>
      <c r="B52" s="23">
        <f>(Valuation!B79)*Valuation!C79+(Valuation!B80)*Valuation!C80+(Valuation!B81)*Valuation!C81+(Valuation!B82)*Valuation!C82+(Valuation!B83)*Valuation!C83+(Valuation!B84)*Valuation!C84+(Valuation!B85)*Valuation!C85+(Valuation!B86)*Valuation!C86+(Valuation!B87)*Valuation!C87+(Valuation!B88)*Valuation!C88+(Valuation!B89)*Valuation!C89+(Valuation!B90)*Valuation!C90+(Valuation!B91)*Valuation!C91+(Valuation!B92)*Valuation!C92+0</f>
        <v/>
      </c>
    </row>
    <row r="53">
      <c r="A53" t="inlineStr">
        <is>
          <t>Diluted shares at target date (M)</t>
        </is>
      </c>
      <c r="B53" s="28">
        <f>IF(Valuation!$B$63="",Valuation!$B$60*(1+Valuation!$B$62)^MAX($B$13-$B$15,0),Valuation!$B$63)</f>
        <v/>
      </c>
    </row>
    <row r="54">
      <c r="A54" t="inlineStr">
        <is>
          <t>After-tax interest on target-date net debt</t>
        </is>
      </c>
      <c r="B54" s="23">
        <f>Valuation!$B$58*(1-$C$25)*MAX(B50,0)</f>
        <v/>
      </c>
    </row>
    <row r="55">
      <c r="A55" t="inlineStr">
        <is>
          <t>Check: WACC vs terminal growth</t>
        </is>
      </c>
      <c r="B55">
        <f>IF(AND(Valuation!$B$52&lt;&gt;"exit_multiple",$B$12&lt;=Valuation!$B$53+0.01),"WACC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3">
        <f>SUMPRODUCT($C$38:$E$38,$C$22:$E$22)</f>
        <v/>
      </c>
      <c r="C59" s="23">
        <f>SUMPRODUCT($C$39:$E$39,$C$22:$E$22)+$B$39*$B$22</f>
        <v/>
      </c>
    </row>
    <row r="60">
      <c r="A60" t="inlineStr">
        <is>
          <t>EBIT</t>
        </is>
      </c>
      <c r="B60" s="23">
        <f>SUMPRODUCT($C$38:$E$38,$C$24:$E$24)</f>
        <v/>
      </c>
      <c r="C60" s="23">
        <f>SUMPRODUCT($C$39:$E$39,$C$24:$E$24)</f>
        <v/>
      </c>
    </row>
    <row r="61">
      <c r="A61" t="inlineStr">
        <is>
          <t>EBITDA</t>
        </is>
      </c>
      <c r="B61" s="23">
        <f>SUMPRODUCT($C$38:$E$38,$C$32:$E$32)</f>
        <v/>
      </c>
      <c r="C61" s="23">
        <f>SUMPRODUCT($C$39:$E$39,$C$32:$E$32)</f>
        <v/>
      </c>
    </row>
    <row r="62">
      <c r="A62" t="inlineStr">
        <is>
          <t>Adj. EBITDA</t>
        </is>
      </c>
      <c r="B62" s="23">
        <f>SUMPRODUCT($C$38:$E$38,$C$33:$E$33)</f>
        <v/>
      </c>
      <c r="C62" s="23">
        <f>SUMPRODUCT($C$39:$E$39,$C$33:$E$33)</f>
        <v/>
      </c>
    </row>
    <row r="63">
      <c r="A63" t="inlineStr">
        <is>
          <t>NOPAT</t>
        </is>
      </c>
      <c r="B63" s="23">
        <f>SUMPRODUCT($C$38:$E$38,$C$26:$E$26)</f>
        <v/>
      </c>
      <c r="C63" s="23">
        <f>SUMPRODUCT($C$39:$E$39,$C$26:$E$26)</f>
        <v/>
      </c>
    </row>
    <row r="64">
      <c r="A64" t="inlineStr">
        <is>
          <t>Free cash flow to firm</t>
        </is>
      </c>
      <c r="B64" s="23">
        <f>SUMPRODUCT($C$38:$E$38,$C$31:$E$31)</f>
        <v/>
      </c>
      <c r="C64" s="23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18">
        <f>Valuation!$B$64</f>
        <v/>
      </c>
    </row>
    <row r="68">
      <c r="A68">
        <f>"Multiple: "&amp;Valuation!A70&amp;" ("&amp;Valuation!D70&amp;")"</f>
        <v/>
      </c>
      <c r="B68">
        <f>Valuation!A70</f>
        <v/>
      </c>
      <c r="C68" s="9">
        <f>IF(B68="FCF yield",(Valuation!B70)*(1-$B$8),(Valuation!B70)+IF(B68="EV/sales",0.1,1)*$B$6)</f>
        <v/>
      </c>
      <c r="D68">
        <f>Valuation!D70</f>
        <v/>
      </c>
      <c r="E68" s="23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70&lt;&gt;"",C68*(Valuation!F70+$B$261)*(1+$B$9),C68*(E68-$B$54)/$B$53),IF(Valuation!G70&lt;&gt;"",(Valuation!G70)*(1+$B$9)/C68,(E68-IF(Valuation!H70,$B$54,0))/C68/$B$53))+$B$52/$B$53)</f>
        <v/>
      </c>
      <c r="G68" s="18">
        <f>Valuation!C70</f>
        <v/>
      </c>
      <c r="H68">
        <f>IF(B68="EV/sales",1,IF(B68="EV/EBIT",2,IF(B68="EV/EBITDA",IF(Valuation!E70="adjusted",4,3),IF(B68="P/E",5,6))))</f>
        <v/>
      </c>
      <c r="I68" s="50">
        <f>IF(AND(B68="P/E",Valuation!F70&lt;&gt;""),(Valuation!F70+$B$261)*(1+$B$9),IF(AND(B68="FCF yield",Valuation!G70&lt;&gt;""),(Valuation!G70)*(1+$B$9),E68))</f>
        <v/>
      </c>
    </row>
    <row r="69">
      <c r="A69" t="inlineStr">
        <is>
          <t>Sum of the parts</t>
        </is>
      </c>
      <c r="F69" s="9">
        <f>((((Valuation!B73+$B$262)*(Valuation!D73)+(Valuation!B74+$B$263)*(Valuation!D74)+(Valuation!B75)*(Valuation!D75)+(Valuation!B76)*(Valuation!D76))*(1+$B$8))-$B$50-$B$51+$B$52)/$B$53</f>
        <v/>
      </c>
      <c r="G69" s="18">
        <f>Valuation!$B$65</f>
        <v/>
      </c>
    </row>
    <row r="70">
      <c r="A70" s="19" t="inlineStr">
        <is>
          <t>Value per share at target date (weighted methods)</t>
        </is>
      </c>
      <c r="F70" s="6">
        <f>SUMPRODUCT(F67:F69,G67:G69)/SUM(G67:G69)</f>
        <v/>
      </c>
    </row>
    <row r="129">
      <c r="A129" s="19" t="inlineStr">
        <is>
          <t>Segment build (model_engine.seg_build): revenue and EBIT are the segment sums plus corporate EBIT</t>
        </is>
      </c>
    </row>
    <row r="130">
      <c r="A130" s="3" t="inlineStr">
        <is>
          <t>Segment</t>
        </is>
      </c>
      <c r="B130" s="3" t="inlineStr">
        <is>
          <t>Base</t>
        </is>
      </c>
      <c r="C130" s="3">
        <f>Model!E5</f>
        <v/>
      </c>
      <c r="D130" s="3">
        <f>Model!F5</f>
        <v/>
      </c>
      <c r="E130" s="3">
        <f>Model!G5</f>
        <v/>
      </c>
    </row>
    <row r="131">
      <c r="A131" t="inlineStr">
        <is>
          <t>Google Search &amp; other: revenue growth</t>
        </is>
      </c>
      <c r="C131" s="18">
        <f>Model!E12+$B$4+$B$256</f>
        <v/>
      </c>
      <c r="D131" s="18">
        <f>Model!F12+$B$4</f>
        <v/>
      </c>
      <c r="E131" s="18">
        <f>Model!G12+$B$4</f>
        <v/>
      </c>
    </row>
    <row r="132">
      <c r="A132" t="inlineStr">
        <is>
          <t>Google Search &amp; other: revenue</t>
        </is>
      </c>
      <c r="B132" s="10">
        <f>Valuation!$B$103</f>
        <v/>
      </c>
      <c r="C132" s="23">
        <f>B132*(1+C131)</f>
        <v/>
      </c>
      <c r="D132" s="23">
        <f>C132*(1+D131)</f>
        <v/>
      </c>
      <c r="E132" s="23">
        <f>D132*(1+E131)</f>
        <v/>
      </c>
    </row>
    <row r="133">
      <c r="A133" t="inlineStr">
        <is>
          <t>Google Search &amp; other: EBIT margin</t>
        </is>
      </c>
      <c r="C133" s="18">
        <f>Model!E14+$B$5</f>
        <v/>
      </c>
      <c r="D133" s="18">
        <f>Model!F14+$B$5</f>
        <v/>
      </c>
      <c r="E133" s="18">
        <f>Model!G14+$B$5</f>
        <v/>
      </c>
    </row>
    <row r="134">
      <c r="A134" t="inlineStr">
        <is>
          <t>Google Search &amp; other: EBIT</t>
        </is>
      </c>
      <c r="C134" s="23">
        <f>C132*C133</f>
        <v/>
      </c>
      <c r="D134" s="23">
        <f>D132*D133</f>
        <v/>
      </c>
      <c r="E134" s="23">
        <f>E132*E133</f>
        <v/>
      </c>
    </row>
    <row r="135">
      <c r="A135" t="inlineStr">
        <is>
          <t>Google Services other (YouTube ads, Netw: revenue growth</t>
        </is>
      </c>
      <c r="C135" s="18">
        <f>Model!E16+$B$4</f>
        <v/>
      </c>
      <c r="D135" s="18">
        <f>Model!F16+$B$4</f>
        <v/>
      </c>
      <c r="E135" s="18">
        <f>Model!G16+$B$4</f>
        <v/>
      </c>
    </row>
    <row r="136">
      <c r="A136" t="inlineStr">
        <is>
          <t>Google Services other (YouTube ads, Netw: revenue</t>
        </is>
      </c>
      <c r="B136" s="10">
        <f>Valuation!$B$104</f>
        <v/>
      </c>
      <c r="C136" s="23">
        <f>B136*(1+C135)</f>
        <v/>
      </c>
      <c r="D136" s="23">
        <f>C136*(1+D135)</f>
        <v/>
      </c>
      <c r="E136" s="23">
        <f>D136*(1+E135)</f>
        <v/>
      </c>
    </row>
    <row r="137">
      <c r="A137" t="inlineStr">
        <is>
          <t>Google Services other (YouTube ads, Netw: EBIT margin</t>
        </is>
      </c>
      <c r="C137" s="18">
        <f>Model!E18+$B$5</f>
        <v/>
      </c>
      <c r="D137" s="18">
        <f>Model!F18+$B$5</f>
        <v/>
      </c>
      <c r="E137" s="18">
        <f>Model!G18+$B$5</f>
        <v/>
      </c>
    </row>
    <row r="138">
      <c r="A138" t="inlineStr">
        <is>
          <t>Google Services other (YouTube ads, Netw: EBIT</t>
        </is>
      </c>
      <c r="C138" s="23">
        <f>C136*C137</f>
        <v/>
      </c>
      <c r="D138" s="23">
        <f>D136*D137</f>
        <v/>
      </c>
      <c r="E138" s="23">
        <f>E136*E137</f>
        <v/>
      </c>
    </row>
    <row r="139">
      <c r="A139" t="inlineStr">
        <is>
          <t>Google Cloud: revenue growth</t>
        </is>
      </c>
      <c r="C139" s="18">
        <f>Model!E20+$B$4+$B$257</f>
        <v/>
      </c>
      <c r="D139" s="18">
        <f>Model!F20+$B$4</f>
        <v/>
      </c>
      <c r="E139" s="18">
        <f>Model!G20+$B$4</f>
        <v/>
      </c>
    </row>
    <row r="140">
      <c r="A140" t="inlineStr">
        <is>
          <t>Google Cloud: revenue</t>
        </is>
      </c>
      <c r="B140" s="10">
        <f>Valuation!$B$105</f>
        <v/>
      </c>
      <c r="C140" s="23">
        <f>B140*(1+C139)</f>
        <v/>
      </c>
      <c r="D140" s="23">
        <f>C140*(1+D139)</f>
        <v/>
      </c>
      <c r="E140" s="23">
        <f>D140*(1+E139)</f>
        <v/>
      </c>
    </row>
    <row r="141">
      <c r="A141" t="inlineStr">
        <is>
          <t>Google Cloud: EBIT margin</t>
        </is>
      </c>
      <c r="C141" s="18">
        <f>Model!E22+$B$5</f>
        <v/>
      </c>
      <c r="D141" s="18">
        <f>Model!F22+$B$5</f>
        <v/>
      </c>
      <c r="E141" s="18">
        <f>Model!G22+$B$5</f>
        <v/>
      </c>
    </row>
    <row r="142">
      <c r="A142" t="inlineStr">
        <is>
          <t>Google Cloud: EBIT</t>
        </is>
      </c>
      <c r="C142" s="23">
        <f>C140*C141</f>
        <v/>
      </c>
      <c r="D142" s="23">
        <f>D140*D141</f>
        <v/>
      </c>
      <c r="E142" s="23">
        <f>E140*E141</f>
        <v/>
      </c>
    </row>
    <row r="143">
      <c r="A143" t="inlineStr">
        <is>
          <t>Other Bets: revenue growth</t>
        </is>
      </c>
      <c r="C143" s="18">
        <f>Model!E24+$B$4</f>
        <v/>
      </c>
      <c r="D143" s="18">
        <f>Model!F24+$B$4</f>
        <v/>
      </c>
      <c r="E143" s="18">
        <f>Model!G24+$B$4</f>
        <v/>
      </c>
    </row>
    <row r="144">
      <c r="A144" t="inlineStr">
        <is>
          <t>Other Bets: revenue</t>
        </is>
      </c>
      <c r="B144" s="10">
        <f>Valuation!$B$106</f>
        <v/>
      </c>
      <c r="C144" s="23">
        <f>B144*(1+C143)</f>
        <v/>
      </c>
      <c r="D144" s="23">
        <f>C144*(1+D143)</f>
        <v/>
      </c>
      <c r="E144" s="23">
        <f>D144*(1+E143)</f>
        <v/>
      </c>
    </row>
    <row r="145">
      <c r="A145" t="inlineStr">
        <is>
          <t>Other Bets: EBIT margin</t>
        </is>
      </c>
      <c r="C145" s="18">
        <f>Model!E26+$B$5</f>
        <v/>
      </c>
      <c r="D145" s="18">
        <f>Model!F26+$B$5</f>
        <v/>
      </c>
      <c r="E145" s="18">
        <f>Model!G26+$B$5</f>
        <v/>
      </c>
    </row>
    <row r="146">
      <c r="A146" t="inlineStr">
        <is>
          <t>Other Bets: EBIT</t>
        </is>
      </c>
      <c r="C146" s="23">
        <f>C144*C145</f>
        <v/>
      </c>
      <c r="D146" s="23">
        <f>D144*D145</f>
        <v/>
      </c>
      <c r="E146" s="23">
        <f>E144*E145</f>
        <v/>
      </c>
    </row>
    <row r="147">
      <c r="A147" s="19" t="inlineStr">
        <is>
          <t>Total segment revenue</t>
        </is>
      </c>
      <c r="C147" s="23">
        <f>C132+C136+C140+C144</f>
        <v/>
      </c>
      <c r="D147" s="23">
        <f>D132+D136+D140+D144</f>
        <v/>
      </c>
      <c r="E147" s="23">
        <f>E132+E136+E140+E144</f>
        <v/>
      </c>
    </row>
    <row r="148">
      <c r="A148" t="inlineStr">
        <is>
          <t>Total segment EBIT</t>
        </is>
      </c>
      <c r="C148" s="23">
        <f>C134+C138+C142+C146</f>
        <v/>
      </c>
      <c r="D148" s="23">
        <f>D134+D138+D142+D146</f>
        <v/>
      </c>
      <c r="E148" s="23">
        <f>E134+E138+E142+E146</f>
        <v/>
      </c>
    </row>
    <row r="149">
      <c r="A149" t="inlineStr">
        <is>
          <t>Corporate / unallocated EBIT</t>
        </is>
      </c>
      <c r="C149" s="10">
        <f>Model!E29+$B$258</f>
        <v/>
      </c>
      <c r="D149" s="10">
        <f>Model!F29+$B$259</f>
        <v/>
      </c>
      <c r="E149" s="10">
        <f>Model!G29+$B$260</f>
        <v/>
      </c>
    </row>
    <row r="150">
      <c r="A150" s="19" t="inlineStr">
        <is>
          <t>EBIT (segments + corporate)</t>
        </is>
      </c>
      <c r="C150" s="23">
        <f>C148+C149</f>
        <v/>
      </c>
      <c r="D150" s="23">
        <f>D148+D149</f>
        <v/>
      </c>
      <c r="E150" s="23">
        <f>E148+E149</f>
        <v/>
      </c>
    </row>
    <row r="249">
      <c r="A249" s="19" t="inlineStr">
        <is>
          <t>Driver scenario shifts: line-item changes model_drivers.py resolves from this scenario's driver deltas (added to the Model tab inputs)</t>
        </is>
      </c>
    </row>
    <row r="250">
      <c r="A250" t="inlineStr">
        <is>
          <t>D&amp;A % revenue, year 1</t>
        </is>
      </c>
      <c r="B250" s="52" t="n">
        <v>-0.002609704968496773</v>
      </c>
    </row>
    <row r="251">
      <c r="A251" t="inlineStr">
        <is>
          <t>Capex % revenue, year 1</t>
        </is>
      </c>
      <c r="B251" s="52" t="n">
        <v>-0.0161547239752976</v>
      </c>
    </row>
    <row r="252">
      <c r="A252" t="inlineStr">
        <is>
          <t>D&amp;A % revenue, year 2</t>
        </is>
      </c>
      <c r="B252" s="52" t="n">
        <v>-0.004276855331088708</v>
      </c>
    </row>
    <row r="253">
      <c r="A253" t="inlineStr">
        <is>
          <t>Capex % revenue, year 2</t>
        </is>
      </c>
      <c r="B253" s="52" t="n">
        <v>-0.0244672560896993</v>
      </c>
    </row>
    <row r="254">
      <c r="A254" t="inlineStr">
        <is>
          <t>D&amp;A % revenue, year 3</t>
        </is>
      </c>
      <c r="B254" s="52" t="n">
        <v>-0.005974634438512511</v>
      </c>
    </row>
    <row r="255">
      <c r="A255" t="inlineStr">
        <is>
          <t>Capex % revenue, year 3</t>
        </is>
      </c>
      <c r="B255" s="52" t="n">
        <v>-0.02577691573575597</v>
      </c>
    </row>
    <row r="256">
      <c r="A256" t="inlineStr">
        <is>
          <t>Google Search &amp; other: revenue growth, year 1</t>
        </is>
      </c>
      <c r="B256" s="52" t="n">
        <v>0.02318400000000009</v>
      </c>
    </row>
    <row r="257">
      <c r="A257" t="inlineStr">
        <is>
          <t>Google Cloud: revenue growth, year 1</t>
        </is>
      </c>
      <c r="B257" s="52" t="n">
        <v>0.2605646528216696</v>
      </c>
    </row>
    <row r="258">
      <c r="A258" t="inlineStr">
        <is>
          <t>Corporate EBIT, year 1</t>
        </is>
      </c>
      <c r="B258" s="52" t="n">
        <v>1212.690335875202</v>
      </c>
    </row>
    <row r="259">
      <c r="A259" t="inlineStr">
        <is>
          <t>Corporate EBIT, year 2</t>
        </is>
      </c>
      <c r="B259" s="52" t="n">
        <v>1801.539363803953</v>
      </c>
    </row>
    <row r="260">
      <c r="A260" t="inlineStr">
        <is>
          <t>Corporate EBIT, year 3</t>
        </is>
      </c>
      <c r="B260" s="52" t="n">
        <v>2134.240505735739</v>
      </c>
    </row>
    <row r="261">
      <c r="A261" t="inlineStr">
        <is>
          <t>Stated EPS, multiple 1</t>
        </is>
      </c>
      <c r="B261" s="52" t="n">
        <v>1.112605167832148</v>
      </c>
    </row>
    <row r="262">
      <c r="A262" t="inlineStr">
        <is>
          <t>Segment 1 NTM metric</t>
        </is>
      </c>
      <c r="B262" s="52" t="n">
        <v>4508.566186420736</v>
      </c>
    </row>
    <row r="263">
      <c r="A263" t="inlineStr">
        <is>
          <t>Segment 2 NTM metric</t>
        </is>
      </c>
      <c r="B263" s="52" t="n">
        <v>9313.327813558091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4" customWidth="1" min="12" max="12"/>
    <col width="70" customWidth="1" min="13" max="13"/>
  </cols>
  <sheetData>
    <row r="1">
      <c r="A1" s="1" t="inlineStr">
        <is>
          <t>GOOGL: each forecaster's own assumption set through the same engine (from model_engine.json, not live)</t>
        </is>
      </c>
    </row>
    <row r="3">
      <c r="A3" s="3" t="inlineStr">
        <is>
          <t>Set</t>
        </is>
      </c>
      <c r="B3" s="3" t="inlineStr">
        <is>
          <t>Research target (12m)</t>
        </is>
      </c>
      <c r="C3" s="3" t="inlineStr">
        <is>
          <t>Median</t>
        </is>
      </c>
      <c r="D3" s="3" t="inlineStr">
        <is>
          <t>25th pct</t>
        </is>
      </c>
      <c r="E3" s="3" t="inlineStr">
        <is>
          <t>75th pct</t>
        </is>
      </c>
      <c r="F3" s="3" t="inlineStr">
        <is>
          <t>WACC</t>
        </is>
      </c>
      <c r="G3" s="3" t="inlineStr">
        <is>
          <t>Y1 growth</t>
        </is>
      </c>
      <c r="H3" s="3" t="inlineStr">
        <is>
          <t>Y1 margin</t>
        </is>
      </c>
      <c r="I3" s="3" t="inlineStr">
        <is>
          <t>Terminal growth</t>
        </is>
      </c>
      <c r="J3" s="3" t="inlineStr">
        <is>
          <t>DCF weight</t>
        </is>
      </c>
      <c r="K3" s="3" t="inlineStr">
        <is>
          <t>Years</t>
        </is>
      </c>
      <c r="L3" s="3" t="inlineStr">
        <is>
          <t>Multiples</t>
        </is>
      </c>
      <c r="M3" s="3" t="inlineStr">
        <is>
          <t>Supervisor's note</t>
        </is>
      </c>
    </row>
    <row r="4">
      <c r="A4" t="inlineStr">
        <is>
          <t>supervisor</t>
        </is>
      </c>
      <c r="B4" s="9" t="n">
        <v>323.0327263658007</v>
      </c>
      <c r="C4" s="9" t="n">
        <v>317.6464885595622</v>
      </c>
      <c r="D4" s="9" t="n">
        <v>253.2950793555616</v>
      </c>
      <c r="E4" s="9" t="n">
        <v>383.8571200001247</v>
      </c>
      <c r="F4" s="18" t="n">
        <v>0.09</v>
      </c>
      <c r="G4" s="18" t="n"/>
      <c r="H4" s="18" t="n"/>
      <c r="I4" s="18" t="n"/>
      <c r="J4" s="18" t="n">
        <v>0</v>
      </c>
      <c r="K4" t="n">
        <v>3</v>
      </c>
      <c r="L4" t="inlineStr">
        <is>
          <t>P/E 21.2 (ntm)</t>
        </is>
      </c>
      <c r="M4" s="44" t="inlineStr"/>
    </row>
    <row r="5">
      <c r="A5" t="inlineStr">
        <is>
          <t>agent_1</t>
        </is>
      </c>
      <c r="M5" t="inlineStr">
        <is>
          <t>engine error: no model_inputs found</t>
        </is>
      </c>
    </row>
    <row r="6">
      <c r="A6" t="inlineStr">
        <is>
          <t>agent_2</t>
        </is>
      </c>
      <c r="M6" t="inlineStr">
        <is>
          <t>engine error: no model_inputs found</t>
        </is>
      </c>
    </row>
    <row r="7">
      <c r="A7" t="inlineStr">
        <is>
          <t>agent_3</t>
        </is>
      </c>
      <c r="M7" t="inlineStr">
        <is>
          <t>engine error: no model_inputs found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40" customWidth="1" min="4" max="4"/>
    <col width="70" customWidth="1" min="6" max="6"/>
  </cols>
  <sheetData>
    <row r="1">
      <c r="A1" s="1" t="inlineStr">
        <is>
          <t>GOOGL: where each input comes from (source numbers point to the list below; F ids to the SEC fact table)</t>
        </is>
      </c>
    </row>
    <row r="3">
      <c r="A3" s="3" t="inlineStr">
        <is>
          <t>Input</t>
        </is>
      </c>
      <c r="B3" s="3" t="inlineStr">
        <is>
          <t>Value</t>
        </is>
      </c>
      <c r="C3" s="3" t="inlineStr">
        <is>
          <t>Basis</t>
        </is>
      </c>
      <c r="D3" s="3" t="inlineStr">
        <is>
          <t>Sources</t>
        </is>
      </c>
      <c r="E3" s="3" t="inlineStr">
        <is>
          <t>SEC fact ids</t>
        </is>
      </c>
      <c r="F3" s="3" t="inlineStr">
        <is>
          <t>Derivation</t>
        </is>
      </c>
    </row>
    <row r="4">
      <c r="A4" s="44" t="inlineStr">
        <is>
          <t>Base revenue FY2025 (fiscal year ended 2025-12-31)</t>
        </is>
      </c>
      <c r="B4" t="inlineStr">
        <is>
          <t>$402,836M</t>
        </is>
      </c>
      <c r="C4" t="inlineStr">
        <is>
          <t>reported</t>
        </is>
      </c>
      <c r="D4" t="inlineStr">
        <is>
          <t>1, 3</t>
        </is>
      </c>
      <c r="E4" t="inlineStr">
        <is>
          <t>F3</t>
        </is>
      </c>
      <c r="F4" s="44" t="inlineStr">
        <is>
          <t>filled in (not stated in this set's original work): 10-K filed 2026-02-05, us-gaap:Revenues (fact pack F3).</t>
        </is>
      </c>
    </row>
    <row r="5">
      <c r="A5" s="44" t="inlineStr">
        <is>
          <t>FY2026 revenue growth</t>
        </is>
      </c>
      <c r="B5" t="inlineStr">
        <is>
          <t>23.05%</t>
        </is>
      </c>
      <c r="C5" t="inlineStr">
        <is>
          <t>estimate</t>
        </is>
      </c>
      <c r="D5" t="inlineStr">
        <is>
          <t>1, 3</t>
        </is>
      </c>
      <c r="E5" t="inlineStr">
        <is>
          <t>F6</t>
        </is>
      </c>
      <c r="F5" s="44" t="inlineStr">
        <is>
          <t>filled in (not stated in this set's original work): H1-2026 year-on-year growth held for the full year: YTD to 2026-06-30 $229,692M / prior-year YTD $186,662M - 1 = 23.05% (F6 derivation) -&gt; FY2026 revenue $495,699M. FY2026 ends before the horizon, so it enters no leg.</t>
        </is>
      </c>
    </row>
    <row r="6">
      <c r="A6" s="44" t="inlineStr">
        <is>
          <t>FY2027 revenue (consensus)</t>
        </is>
      </c>
      <c r="B6" t="inlineStr">
        <is>
          <t>$615,038M (growth 24.07%)</t>
        </is>
      </c>
      <c r="C6" t="inlineStr">
        <is>
          <t>consensus</t>
        </is>
      </c>
      <c r="D6" t="inlineStr">
        <is>
          <t>9</t>
        </is>
      </c>
      <c r="E6" t="inlineStr"/>
      <c r="F6" s="44" t="inlineStr">
        <is>
          <t>Supervisor-cited consensus: MarketScreener consensus 2027 sales $615,038M (supervisor disagreements evidence, 2026-10-06; the same page as this set's EPS); growth = 615,038 / FY2026 revenue - 1.</t>
        </is>
      </c>
    </row>
    <row r="7">
      <c r="A7" s="44" t="inlineStr">
        <is>
          <t>FY2028 revenue (consensus)</t>
        </is>
      </c>
      <c r="B7" t="inlineStr">
        <is>
          <t>$734,199M (growth 19.37%)</t>
        </is>
      </c>
      <c r="C7" t="inlineStr">
        <is>
          <t>consensus</t>
        </is>
      </c>
      <c r="D7" t="inlineStr">
        <is>
          <t>9</t>
        </is>
      </c>
      <c r="E7" t="inlineStr"/>
      <c r="F7" s="44" t="inlineStr">
        <is>
          <t>Supervisor-cited consensus: MarketScreener consensus 2028 sales $734,199M, as cited by the supervisor (disagreements evidence) from the same page; growth = 734,199 / 615,038 - 1.</t>
        </is>
      </c>
    </row>
    <row r="8">
      <c r="A8" s="44" t="inlineStr">
        <is>
          <t>EBIT margin FY2026 / FY2027 / FY2028 (consensus, GAAP after stock comp)</t>
        </is>
      </c>
      <c r="B8" t="inlineStr">
        <is>
          <t>34.4% / 35.28% / 35.87%</t>
        </is>
      </c>
      <c r="C8" t="inlineStr">
        <is>
          <t>consensus</t>
        </is>
      </c>
      <c r="D8" t="inlineStr">
        <is>
          <t>9</t>
        </is>
      </c>
      <c r="E8" t="inlineStr"/>
      <c r="F8" s="44" t="inlineStr">
        <is>
          <t>filled in (not stated in this set's original work): FY2026 34.4% is the consensus margin agent_3 cites (MarketScreener); FY2027 $216,996M / $615,038M and FY2028 $263,325M / $734,199M are the MarketScreener EBIT and sales the supervisor cites. The set's P/E leg uses its own stated EPS, so these margins move only the DCF diagnostic and the Model tab.</t>
        </is>
      </c>
    </row>
    <row r="9">
      <c r="A9" s="44" t="inlineStr">
        <is>
          <t>Tax rate</t>
        </is>
      </c>
      <c r="B9" t="inlineStr">
        <is>
          <t>17.00%</t>
        </is>
      </c>
      <c r="C9" t="inlineStr">
        <is>
          <t>estimate</t>
        </is>
      </c>
      <c r="D9" t="inlineStr">
        <is>
          <t>1, 3</t>
        </is>
      </c>
      <c r="E9" t="inlineStr"/>
      <c r="F9" s="44" t="inlineStr">
        <is>
          <t>Supervisor's 17% (capex D&amp;A derivation): Q2-25 $5,737M / $33,933M = 16.9%, H1-25 $12,986M / $75,722M = 17.1% (8-K, XBRL). Not settled as a separate driver; the agents use 17-18%.</t>
        </is>
      </c>
    </row>
    <row r="10">
      <c r="A10" s="44" t="inlineStr">
        <is>
          <t>D&amp;A % revenue FY2027 / FY2028</t>
        </is>
      </c>
      <c r="B10" t="inlineStr">
        <is>
          <t>13.28% / 16.28%</t>
        </is>
      </c>
      <c r="C10" t="inlineStr">
        <is>
          <t>consensus</t>
        </is>
      </c>
      <c r="D10" t="inlineStr">
        <is>
          <t>9</t>
        </is>
      </c>
      <c r="E10" t="inlineStr"/>
      <c r="F10" s="44" t="inlineStr">
        <is>
          <t>filled in (not stated in this set's original work): consensus EBITDA less EBIT (MarketScreener, as cited in the run): 2027 $298,668M - $216,996M = $81,672M; 2028 $382,826M - $263,325M = $119,501M; over the consensus sales above.</t>
        </is>
      </c>
    </row>
    <row r="11">
      <c r="A11" s="44" t="inlineStr">
        <is>
          <t>D&amp;A % revenue FY2026</t>
        </is>
      </c>
      <c r="B11" t="inlineStr">
        <is>
          <t>13.84%</t>
        </is>
      </c>
      <c r="C11" t="inlineStr">
        <is>
          <t>estimate</t>
        </is>
      </c>
      <c r="D11" t="inlineStr">
        <is>
          <t>9</t>
        </is>
      </c>
      <c r="E11" t="inlineStr"/>
      <c r="F11" s="44" t="inlineStr">
        <is>
          <t>filled in (not stated in this set's original work): no 2026 D&amp;A figure in the run or the fact pack; set so FY2026 FCFF equals consensus 2026 FCF $8,448M (MarketScreener, cited by the supervisor): D&amp;A = 8,448 - NOPAT 141,532 + capex 201,700 = $68,616M (includes other non-cash items). Pre-horizon year: no effect on any leg.</t>
        </is>
      </c>
    </row>
    <row r="12">
      <c r="A12" s="44" t="inlineStr">
        <is>
          <t>Capex % revenue FY2026 / FY2027 / FY2028</t>
        </is>
      </c>
      <c r="B12" t="inlineStr">
        <is>
          <t>40.69% / 48.94% / 46.23%</t>
        </is>
      </c>
      <c r="C12" t="inlineStr">
        <is>
          <t>consensus</t>
        </is>
      </c>
      <c r="D12" t="inlineStr">
        <is>
          <t>9</t>
        </is>
      </c>
      <c r="E12" t="inlineStr"/>
      <c r="F12" s="44" t="inlineStr">
        <is>
          <t>filled in (not stated in this set's original work): consensus capex $201.7B (2026, agent_3), $300,979M (2027) and $339,451M (2028) (MarketScreener, supervisor), over the revenue above. 2026 sits inside the $195-205B guide (Q2 call).</t>
        </is>
      </c>
    </row>
    <row r="13">
      <c r="A13" s="44" t="inlineStr">
        <is>
          <t>Working capital % of revenue increase</t>
        </is>
      </c>
      <c r="B13" t="inlineStr">
        <is>
          <t>0%</t>
        </is>
      </c>
      <c r="C13" t="inlineStr">
        <is>
          <t>judgment</t>
        </is>
      </c>
      <c r="D13" t="inlineStr"/>
      <c r="E13" t="inlineStr"/>
      <c r="F13" s="44" t="inlineStr">
        <is>
          <t>filled in (not stated in this set's original work): no working-capital figure in the run; 0. Check: FY2027 NOPAT + D&amp;A - capex on consensus is about -$39B against consensus 2027 FCF of -$36,658M, so working capital is a small item.</t>
        </is>
      </c>
    </row>
    <row r="14">
      <c r="A14" s="44" t="inlineStr">
        <is>
          <t>Stock comp % revenue (information only; EBIT is GAAP after stock comp)</t>
        </is>
      </c>
      <c r="B14" t="inlineStr">
        <is>
          <t>6.31%</t>
        </is>
      </c>
      <c r="C14" t="inlineStr">
        <is>
          <t>reported</t>
        </is>
      </c>
      <c r="D14" t="inlineStr">
        <is>
          <t>1, 3</t>
        </is>
      </c>
      <c r="E14" t="inlineStr">
        <is>
          <t>F39, F6</t>
        </is>
      </c>
      <c r="F14" s="44" t="inlineStr">
        <is>
          <t>filled in (not stated in this set's original work): TTM stock comp $28,147M (F39) / TTM revenue $445,866M (F6). Counted once, as a cost inside GAAP EPS and EBIT (sbc_treatment cost); not used by the engine with ebit_basis gaap.</t>
        </is>
      </c>
    </row>
    <row r="15">
      <c r="A15" s="44" t="inlineStr">
        <is>
          <t>Interest rate on net debt / cash</t>
        </is>
      </c>
      <c r="B15" t="inlineStr">
        <is>
          <t>2.25%</t>
        </is>
      </c>
      <c r="C15" t="inlineStr">
        <is>
          <t>reported</t>
        </is>
      </c>
      <c r="D15" t="inlineStr">
        <is>
          <t>1, 3</t>
        </is>
      </c>
      <c r="E15" t="inlineStr">
        <is>
          <t>F74, F97</t>
        </is>
      </c>
      <c r="F15" s="44" t="inlineStr">
        <is>
          <t>filled in (not stated in this set's original work): TTM interest expense $2,252M (F74) / total debt $100,164M (F97). Unused while net debt is negative or set at the horizon.</t>
        </is>
      </c>
    </row>
    <row r="16">
      <c r="A16" s="44" t="inlineStr">
        <is>
          <t>Discount rate (WACC)</t>
        </is>
      </c>
      <c r="B16" t="inlineStr">
        <is>
          <t>9.0%</t>
        </is>
      </c>
      <c r="C16" t="inlineStr">
        <is>
          <t>judgment</t>
        </is>
      </c>
      <c r="D16" t="inlineStr"/>
      <c r="E16" t="inlineStr"/>
      <c r="F16" s="44" t="inlineStr">
        <is>
          <t>filled in (not stated in this set's original work): agent_1's stated ~9% roll-forward rate (mega-cap cost of equity), the only discount rate in the run. Its basis: mega-cap cost of equity at about 32% realised vol, less the $0.22 quarterly dividend (about 0.25% yield). Alphabet holds net cash (6/30: cash + debt securities $155.4B vs debt $100.2B), so the cost of equity is used as the WACC. This set has no DCF, so dcf_weight is 0 and the rate only drives the DCF diagnostic and the reverse DCF.</t>
        </is>
      </c>
    </row>
    <row r="17">
      <c r="A17" s="44" t="inlineStr">
        <is>
          <t>Terminal value (diagnostic only)</t>
        </is>
      </c>
      <c r="B17" t="inlineStr">
        <is>
          <t>exit EV/EBITDA 10.5x</t>
        </is>
      </c>
      <c r="C17" t="inlineStr">
        <is>
          <t>judgment</t>
        </is>
      </c>
      <c r="D17" t="inlineStr">
        <is>
          <t>9, 27, 26</t>
        </is>
      </c>
      <c r="E17" t="inlineStr"/>
      <c r="F17" s="44" t="inlineStr">
        <is>
          <t>filled in (not stated in this set's original work): the supervisor's filing-based US-7 EV/EBITDA median 10.5x (citation audit; agent_3's multiple) on FY2028 EBITDA. No terminal growth is stated anywhere in the run.</t>
        </is>
      </c>
    </row>
    <row r="18">
      <c r="A18" s="44" t="inlineStr">
        <is>
          <t>P/E multiple</t>
        </is>
      </c>
      <c r="B18" t="inlineStr">
        <is>
          <t>21.2x</t>
        </is>
      </c>
      <c r="C18" t="inlineStr">
        <is>
          <t>estimate</t>
        </is>
      </c>
      <c r="D18" t="inlineStr">
        <is>
          <t>29, 30, 31, 32, 33, 36, 37, 45, 46, 47, 48, 49, 50, 51, 52, 53, 54, 55, 56, 57, 58, 59</t>
        </is>
      </c>
      <c r="E18" t="inlineStr">
        <is>
          <t>MSFT.price, AMZN.price, META.price, RDDT.price, APP.price</t>
        </is>
      </c>
      <c r="F18" s="44" t="inlineStr">
        <is>
          <t>Exit-multiple rule (Kilian card 2026-10-26 12:16Z; METHOD.md Peer comparables): exit = peer median x (own NTM multiple / peer median)^k, k = 0.8. Peer median 20.8x (unchanged, gated 2026-10-26: see the rest of this derivation). Own multiple 21.3x on the peers' basis: GOOGL $320.21 / CY2027 Zacks consensus EPS $15.03 = 21.30x, the CY2027 basis of this leg (FY2027 used because FY2026 consensus carries stake gains; same figure as the AMZN round's peer row). Exit = 20.8 x (21.3 / 20.8)^0.8 = 20.8 x 1.0192 = 21.2x (was 20.8x). SOTP segment multiples (Services 18.25x, Cloud 23.3x) stay at their peer medians: a segment has no own traded multiple (rule: no meaningful own multiple -&gt; peer median). PREVIOUS DERIVATION: Peer refresh 2026-10-26 (Kilian 06:07Z: apply the approved set): median of the 5-name set's CY2027 P/E at the 2026-10-23 close; MSFT 524.51 / (0.5 x FY Jun-27 19.65 + 0.5 x FY Jun-28 23.25 = 21.450) = 24.45x; AMZN 248.0 / (CY2027 10.65) = 23.29x; META 642.62 / (CY2027 33.93) = 18.94x; RDDT 144.25 / (CY2027 6.94) = 20.79x; APP 260.25 / (CY2027 19.9) = 13.08x -&gt; median 20.8x (was 21.7x on the 11-name 10-06 set). No premium or discount: no persistence case. EPS: Nasdaq.com / Zacks consensus by fiscal year (retrieved 2026-10-26); prices: 2026-10-23 closes (peers.md ids). EPS basis (per-row reconciliation to filings in comps_review.basis_check): GAAP diluted EPS with stock comp as a cost, excluding investment marks and one-offs (MSFT OpenAI items, AMZN Anthropic marks, META settlement / one-off tax), GOOGL's basis; RDDT, APP, NFLX equal GAAP; ORCL mixed but the Cloud median does not depend on it.</t>
        </is>
      </c>
    </row>
    <row r="19">
      <c r="A19" s="44" t="inlineStr">
        <is>
          <t>Stated EPS at the horizon (CY2028E)</t>
        </is>
      </c>
      <c r="B19" t="inlineStr">
        <is>
          <t>$17.54</t>
        </is>
      </c>
      <c r="C19" t="inlineStr">
        <is>
          <t>estimate</t>
        </is>
      </c>
      <c r="D19" t="inlineStr">
        <is>
          <t>9, 13, 5, 25</t>
        </is>
      </c>
      <c r="E19" t="inlineStr"/>
      <c r="F19" s="44" t="inlineStr">
        <is>
          <t>Settled (disagreements 3 and 5): CY2028 consensus $17.89 (MarketScreener) less $0.35 of extra D&amp;A from the standing view's capex base (consensus +10%, ~$331B vs $300.979B; servers 6 years per 10-K). Like-for-like CY2028 at the horizon, not NTM.</t>
        </is>
      </c>
    </row>
    <row r="20">
      <c r="A20" s="44" t="inlineStr">
        <is>
          <t>Net financial assets at the horizon (adjustment)</t>
        </is>
      </c>
      <c r="B20" t="inlineStr">
        <is>
          <t>$185,600M</t>
        </is>
      </c>
      <c r="C20" t="inlineStr">
        <is>
          <t>estimate</t>
        </is>
      </c>
      <c r="D20" t="inlineStr">
        <is>
          <t>2, 3, 9, 1</t>
        </is>
      </c>
      <c r="E20" t="inlineStr">
        <is>
          <t>F90, F91, F92, F93</t>
        </is>
      </c>
      <c r="F20" s="44" t="inlineStr">
        <is>
          <t>Settled (disagreement 4): net cash 6/30 55.911 + 99.500 - 98.165 - 1.999 = 55.247; + H2-26 consensus FCF (8.448 - (84.859 - 80.598)) = +4.187; + 0.75 x 2027 FCF (-36.658) = -27.494; - common dividends 0.22 x 12.23 x 5 = -13.453; - preferred 0.0625 x 19.0 x 1.25 = -1.484 -&gt; 16.99. Plus (87.063 - 80.0) x 0.85 = 6.00; SpaceX 94.1 x 0.75 = 70.58; non-marketable 131.461 x 0.70 = 92.02. Total $185.6B ($14.97/share on 12.40B; $15.03 on 12.35B).</t>
        </is>
      </c>
    </row>
    <row r="21">
      <c r="A21" s="44" t="inlineStr">
        <is>
          <t>Balance: net debt at 2026-06-30 / at the horizon</t>
        </is>
      </c>
      <c r="B21" t="inlineStr">
        <is>
          <t>-$55,247M / $0 (override)</t>
        </is>
      </c>
      <c r="C21" t="inlineStr">
        <is>
          <t>reported</t>
        </is>
      </c>
      <c r="D21" t="inlineStr">
        <is>
          <t>3</t>
        </is>
      </c>
      <c r="E21" t="inlineStr">
        <is>
          <t>F90, F92, F93</t>
        </is>
      </c>
      <c r="F21" s="44" t="inlineStr">
        <is>
          <t>6/30 net cash $55,247M (supervisor, XBRL; F90, F92, F93). Net debt at the horizon is 0 in the bridge because the supervisor's $17.0B horizon net cash sits inside the net-financial-assets adjustment (counted once).</t>
        </is>
      </c>
    </row>
    <row r="22">
      <c r="A22" s="44" t="inlineStr">
        <is>
          <t>Diluted shares now / at the horizon</t>
        </is>
      </c>
      <c r="B22" t="inlineStr">
        <is>
          <t>12,309M / 12,350M</t>
        </is>
      </c>
      <c r="C22" t="inlineStr">
        <is>
          <t>estimate</t>
        </is>
      </c>
      <c r="D22" t="inlineStr">
        <is>
          <t>1, 6, 2, 3</t>
        </is>
      </c>
      <c r="E22" t="inlineStr">
        <is>
          <t>F33</t>
        </is>
      </c>
      <c r="F22" s="44" t="inlineStr">
        <is>
          <t>Supervisor: Q2 diluted 12,309M (F33) + ~38M mandatory preferred at the maximum rate + ~50M net SBC creep = ~12.40B. post-research adjustment 2026-10-19 (once-over): the 50M SBC creep is removed (SBC is already a cost in GAAP consensus EPS; counted once) -&gt; 12,309 + 38 = 12,347 ~ 12,350M. Source: once-over item 4, file:///mnt/project-files/valuation/runs/2026-10-06/GOOGL/once_over_2026-10-19.md; https://data.sec.gov/api/xbrl/companyfacts/CIK0001652044.json.</t>
        </is>
      </c>
    </row>
    <row r="23">
      <c r="A23" s="44" t="inlineStr">
        <is>
          <t>Cross-check custom leg</t>
        </is>
      </c>
      <c r="B23" t="inlineStr">
        <is>
          <t>replaced 2026-10-26 by the SOTP leg (was $329.88 / $334.12, weight 0.4)</t>
        </is>
      </c>
      <c r="C23" t="inlineStr">
        <is>
          <t>estimate</t>
        </is>
      </c>
      <c r="D23" t="inlineStr">
        <is>
          <t>1, 2, 3, 9</t>
        </is>
      </c>
      <c r="E23" t="inlineStr"/>
      <c r="F23" s="44" t="inlineStr">
        <is>
          <t>Peer refresh 2026-10-26: the custom cross-check leg (agents' SOTP / EV mean) is replaced by an explicit SOTP leg (see SOTP rows). Supervisor: mean of the agents' sourcing-corrected legs $349.9 / $327.1 / $320.3 = $332.4. post-research adjustment 2026-10-19 (once-over): -1.40 (fines, 17.356 / 12.40) - 0.91 (SpaceX, mean of -1.03 / -0.88 / -0.83) - 0.21 (finance leases, 2.59 / 12.40) = $329.88. Sources: https://www.sec.gov/Archives/edgar/data/1652044/000165204426000071/ (R65), https://www.sec.gov/Archives/edgar/data/1652044/000165204426000073/information_table.xml, https://data.sec.gov/api/xbrl/companyfacts/CIK0001652044.json; file:///mnt/project-files/valuation/runs/2026-10-06/GOOGL/once_over_2026-10-19.md.</t>
        </is>
      </c>
    </row>
    <row r="24">
      <c r="A24" s="44" t="inlineStr">
        <is>
          <t>post-research adjustment 2026-10-19 (once-over): accrued fines and settlements</t>
        </is>
      </c>
      <c r="B24" t="inlineStr">
        <is>
          <t>-$17,356M</t>
        </is>
      </c>
      <c r="C24" t="inlineStr">
        <is>
          <t>reported</t>
        </is>
      </c>
      <c r="D24" t="inlineStr">
        <is>
          <t>2</t>
        </is>
      </c>
      <c r="E24" t="inlineStr"/>
      <c r="F24" s="44" t="inlineStr">
        <is>
          <t>"Accrued fines and settlements" $17.356B at 6/30 (10-Q R65; includes the Android fine paid July 2026 at $5.2B, the EC ad-tech charge $3.5B and PriceRunner $2.1B, R19), not deducted from net cash in the run. Effect -17.356 / 12.40 = -$1.40/share on both legs (if consensus 2026 FCF already includes the July $5.2B, -12.156 / 12.40 = -$0.98; unverified). Source: https://www.sec.gov/Archives/edgar/data/1652044/000165204426000071/ (R65, R19); file:///mnt/project-files/valuation/runs/2026-10-06/GOOGL/once_over_2026-10-19.md.</t>
        </is>
      </c>
    </row>
    <row r="25">
      <c r="A25" s="44" t="inlineStr">
        <is>
          <t>post-research adjustment 2026-10-19 (once-over): SpaceX stake re-marked to the 2026-10-16 close</t>
        </is>
      </c>
      <c r="B25" t="inlineStr">
        <is>
          <t>-$13,610M before haircut; -$10,207.5M after the run's 0.75</t>
        </is>
      </c>
      <c r="C25" t="inlineStr">
        <is>
          <t>estimate</t>
        </is>
      </c>
      <c r="D25" t="inlineStr">
        <is>
          <t>2</t>
        </is>
      </c>
      <c r="E25" t="inlineStr"/>
      <c r="F25" s="44" t="inlineStr">
        <is>
          <t>13F at 6/30: 551,189,500 shares, $94,176,237,970 ($170.86/sh). 2026-10-16 close $146.03 (Twelve Data, Nasdaq SPCX; a market price, not an SEC figure): 551,189,500 x 146.03 = $80.49B, -$13.61B against the $94.1B the run carries (-$13.69B against the 13F's $94.176B). P/E leg: -13.61 x 0.75 / 12.40 = -$0.82 x 0.6 = -$0.49; cross-check legs mean -$0.91 x 0.4 = -$0.36; total -$0.86. Source: https://www.sec.gov/Archives/edgar/data/1652044/000165204426000073/information_table.xml; file:///mnt/project-files/valuation/runs/2026-10-06/GOOGL/once_over_2026-10-19.md.</t>
        </is>
      </c>
    </row>
    <row r="26">
      <c r="A26" s="44" t="inlineStr">
        <is>
          <t>post-research adjustment 2026-10-19 (once-over): $20.0B private-company funding commitment</t>
        </is>
      </c>
      <c r="B26" t="inlineStr">
        <is>
          <t>-$6,000M (= -20,000 x 0.30)</t>
        </is>
      </c>
      <c r="C26" t="inlineStr">
        <is>
          <t>estimate</t>
        </is>
      </c>
      <c r="D26" t="inlineStr">
        <is>
          <t>2</t>
        </is>
      </c>
      <c r="E26" t="inlineStr"/>
      <c r="F26" s="44" t="inlineStr">
        <is>
          <t>Filing figure: "future capital funding commitments with a private company" $20.0B at 6/30 (10-Q R14, contingent on milestones through 2030, an equity derivative), an investing outflow not in FCF. Derived (estimate): at the run's 0.70 stake haircut the loss is 30%: -20,000 x 0.30 = -6,000; -20 x 0.30 / 12.40 = -$0.48 x 0.6 = -$0.29 (P/E leg only). The investee is not named. Source: https://www.sec.gov/Archives/edgar/data/1652044/000165204426000071/R14.htm; file:///mnt/project-files/valuation/runs/2026-10-06/GOOGL/once_over_2026-10-19.md.</t>
        </is>
      </c>
    </row>
    <row r="27">
      <c r="A27" s="44" t="inlineStr">
        <is>
          <t>post-research adjustment 2026-10-19 (once-over): finance lease liabilities</t>
        </is>
      </c>
      <c r="B27" t="inlineStr">
        <is>
          <t>-$2,590M</t>
        </is>
      </c>
      <c r="C27" t="inlineStr">
        <is>
          <t>reported</t>
        </is>
      </c>
      <c r="D27" t="inlineStr">
        <is>
          <t>3</t>
        </is>
      </c>
      <c r="E27" t="inlineStr"/>
      <c r="F27" s="44" t="inlineStr">
        <is>
          <t>Finance lease liabilities $2.590B (XBRL), not deducted: -2.59 / 12.40 = -$0.21/share on both legs. Operating leases ($18.037B) stay out because rent is in EPS. Source: https://data.sec.gov/api/xbrl/companyfacts/CIK0001652044.json; file:///mnt/project-files/valuation/runs/2026-10-06/GOOGL/once_over_2026-10-19.md.</t>
        </is>
      </c>
    </row>
    <row r="28">
      <c r="A28" s="44" t="inlineStr">
        <is>
          <t>post-research adjustment 2026-10-19 (once-over): SBC creep shares removed</t>
        </is>
      </c>
      <c r="B28" t="inlineStr">
        <is>
          <t>shares at the horizon 12,400M -&gt; 12,350M</t>
        </is>
      </c>
      <c r="C28" t="inlineStr">
        <is>
          <t>estimate</t>
        </is>
      </c>
      <c r="D28" t="inlineStr">
        <is>
          <t>3</t>
        </is>
      </c>
      <c r="E28" t="inlineStr">
        <is>
          <t>F33</t>
        </is>
      </c>
      <c r="F28" s="44" t="inlineStr">
        <is>
          <t>SBC is a cost in GAAP consensus EPS ($15.2B in H1 2026, XBRL), so the supervisor's +50M net SBC creep counts it twice. Removing it: 185.6 / 12.35 = $15.03 vs $14.97 = +$0.06 x 0.6 = +$0.04. Source: https://data.sec.gov/api/xbrl/companyfacts/CIK0001652044.json; file:///mnt/project-files/valuation/runs/2026-10-06/GOOGL/once_over_2026-10-19.md.</t>
        </is>
      </c>
    </row>
    <row r="29">
      <c r="A29" s="44" t="inlineStr">
        <is>
          <t>Scenario vol (within each scenario)</t>
        </is>
      </c>
      <c r="B29" t="inlineStr">
        <is>
          <t>21.2%</t>
        </is>
      </c>
      <c r="C29" t="inlineStr">
        <is>
          <t>estimate</t>
        </is>
      </c>
      <c r="D29" t="inlineStr">
        <is>
          <t>26</t>
        </is>
      </c>
      <c r="E29" t="inlineStr"/>
      <c r="F29" s="44" t="inlineStr">
        <is>
          <t>filled in (not stated in this set's original work): fitted (before the once-over items) so the engine's 12-month mixture best matches the supervisor's own 15-strike ladder (least squares on P(close &gt;= K)).</t>
        </is>
      </c>
    </row>
    <row r="30">
      <c r="A30" s="44" t="inlineStr">
        <is>
          <t>Scenario bear</t>
        </is>
      </c>
      <c r="B30" t="inlineStr">
        <is>
          <t>$206.99 at p 0.22 (engine, peer refresh 2026-10-26; was $252.0 stated 10-06, $227.23 before this refresh)</t>
        </is>
      </c>
      <c r="C30" t="inlineStr">
        <is>
          <t>estimate</t>
        </is>
      </c>
      <c r="D30" t="inlineStr">
        <is>
          <t>9, 13, 5</t>
        </is>
      </c>
      <c r="E30" t="inlineStr"/>
      <c r="F30" s="44" t="inlineStr">
        <is>
          <t>Peer refresh 2026-10-26: current engine values bear $206.99 / base $320.11 / bull $392.82 (model_engine.py check on this set; deltas: drivers as 2026-10-22, P/E levels 15.5x / 20.8x / 24.0x, SOTP parts -25.48% / 0 / +15.38%). The $252 / $370 / $474 below are the 10-06 stated values, history only. This set's own scenario: CY2028 EPS cut to ~$15.5 (capex near the standing view's high case of consensus +39%, and margins flat instead of 35.3% to 35.9%) x 15.5x (between ORCL 17.9x and APP 13.9x on the reconciled set) + ~$12 of stakes after a deeper mark-down = ~$252. Engine deltas {"eps_pct": -0.116306, "multiple": -6.2, "custom_pct": -0.2564} (stated EPS and multiple from the story; the second leg scaled so the blend equals the stated price); engine value $252.00. After the post-research adjustment 2026-10-19 (once-over) items every scenario sits $2.5-3.2 lower. Peer refresh 2026-10-26: multiple level kept (15.5x): delta -5.30 on 20.8x, SOTP parts -25.48%; custom_pct removed with the custom leg.</t>
        </is>
      </c>
    </row>
    <row r="31">
      <c r="A31" s="44" t="inlineStr">
        <is>
          <t>Scenario base</t>
        </is>
      </c>
      <c r="B31" t="inlineStr">
        <is>
          <t>$320.11 at p 0.53 (engine, peer refresh 2026-10-26; was $370.0 stated 10-06, $338.72 before this refresh)</t>
        </is>
      </c>
      <c r="C31" t="inlineStr">
        <is>
          <t>estimate</t>
        </is>
      </c>
      <c r="D31" t="inlineStr">
        <is>
          <t>9, 13, 5</t>
        </is>
      </c>
      <c r="E31" t="inlineStr"/>
      <c r="F31" s="44" t="inlineStr">
        <is>
          <t>Peer refresh 2026-10-26: current engine values bear $206.99 / base $320.11 / bull $392.82 (model_engine.py check on this set; deltas: drivers as 2026-10-22, P/E levels 15.5x / 20.8x / 24.0x, SOTP parts -25.48% / 0 / +15.38%). The $252 / $370 / $474 below are the 10-06 stated values, history only. This set's own scenario: Equals the reconciled fair value: 0.6 x P/E leg $395.6 (21.7x x $17.54 + $14.97) + 0.4 x $332.4 (mean of the agents' sourcing-corrected SOTP/EV legs $349.9, $327.1, $320.3) = $370.3. Engine deltas {} (no deltas (equals the set's fair value)); engine value $370.31. After the post-research adjustment 2026-10-19 (once-over) items every scenario sits $2.5-3.2 lower.</t>
        </is>
      </c>
    </row>
    <row r="32">
      <c r="A32" s="44" t="inlineStr">
        <is>
          <t>Scenario bull</t>
        </is>
      </c>
      <c r="B32" t="inlineStr">
        <is>
          <t>$392.82 at p 0.25 (engine, peer refresh 2026-10-26; was $474.0 stated 10-06, $433.65 before this refresh)</t>
        </is>
      </c>
      <c r="C32" t="inlineStr">
        <is>
          <t>estimate</t>
        </is>
      </c>
      <c r="D32" t="inlineStr">
        <is>
          <t>9, 13, 5</t>
        </is>
      </c>
      <c r="E32" t="inlineStr"/>
      <c r="F32" s="44" t="inlineStr">
        <is>
          <t>Peer refresh 2026-10-26: current engine values bear $206.99 / base $320.11 / bull $392.82 (model_engine.py check on this set; deltas: drivers as 2026-10-22, P/E levels 15.5x / 20.8x / 24.0x, SOTP parts -25.48% / 0 / +15.38%). The $252 / $370 / $474 below are the 10-06 stated values, history only. This set's own scenario: CY2028 EPS ~$19 (TPU system revenue lands mostly in 2027, as the CFO said on the Q2 call, and the backlog converts) x 24x (mega-cap median 24.4x) + ~$18 of stakes = ~$474. Engine deltas {"eps_pct": 0.083238, "multiple": 2.3, "custom_pct": 0.43968} (stated EPS and multiple from the story; the second leg scaled so the blend equals the stated price); engine value $474.00. After the post-research adjustment 2026-10-19 (once-over) items every scenario sits $2.5-3.2 lower. Peer refresh 2026-10-26: multiple level kept (24.0x): delta +3.20 on 20.8x, SOTP parts +15.38%; custom_pct removed with the custom leg.</t>
        </is>
      </c>
    </row>
    <row r="33">
      <c r="A33" s="44" t="inlineStr">
        <is>
          <t>Anthropic stake estimate 2026-10-19: Google's investments in Anthropic (cost basis)</t>
        </is>
      </c>
      <c r="B33" t="inlineStr">
        <is>
          <t>~$23.3B (est.): ~$3.3B 2023-25 + $10.0B Apr 2026 + $10.0B milestone tranche Q2 2026 (inferred)</t>
        </is>
      </c>
      <c r="C33" t="inlineStr">
        <is>
          <t>estimate</t>
        </is>
      </c>
      <c r="D33" t="inlineStr">
        <is>
          <t>2</t>
        </is>
      </c>
      <c r="E33" t="inlineStr"/>
      <c r="F33" s="44" t="inlineStr">
        <is>
          <t>2023 ~$300-550M (FT/WSJ via press); Oct 2023 $2B ($500M upfront + $1.5B over time, convertible note; Anthropic representative / Bloomberg via https://www.verdict.co.uk/google-investing-2bn-in-anthropic/, 2023-10-30); Jan 2025 $1B (FT via https://siliconrepublic.com/start-ups/google-anthropic-1bn-investment, 2025-01-22); Fortune 2026-07-22: "an initial $300 million investment ... has since grown to $13.3 billion", with "commitments of up to $30 billion more" (so the $13.3B includes the funded $10B of the April 2026 deal; inference) (https://fortune.com/2026/07/22/anthropic-spacex-investments-google-earnings-biggest-ever-profit-quarter/). Q1 10-Q: 'In March 2026, we committed to a $40.0 billion investment in a private company' (EDGAR full-text search); note 5: 'a $10.0 billion capital commitment and $30.0 billion of future capital funding contingent upon ... milestones through 2030' (https://www.sec.gov/Archives/edgar/data/1652044/000165204426000048/goog-20260331.htm); Q2 10-Q: remaining contingent commitment $20.0B at 6/30 and measurement-alternative cost +$18.15B in Q2 (29,489 -&gt; 47,642) -&gt; about $20B funded in Q2 (inference). Estimate: 13.3 + 10.0 = $23.3B.</t>
        </is>
      </c>
    </row>
    <row r="34">
      <c r="A34" s="44" t="inlineStr">
        <is>
          <t>Anthropic stake estimate 2026-10-19: Anthropic valuation used (base)</t>
        </is>
      </c>
      <c r="B34" t="inlineStr">
        <is>
          <t>$1,500B IPO valuation (reported investor discussions); variant $1,924B</t>
        </is>
      </c>
      <c r="C34" t="inlineStr">
        <is>
          <t>estimate</t>
        </is>
      </c>
      <c r="D34" t="inlineStr"/>
      <c r="E34" t="inlineStr"/>
      <c r="F34" s="44" t="inlineStr">
        <is>
          <t>Reuters, via Investing.com 2026-10-15: investors at the 2026-10-14 investor day discussed ~$1.5T for the planned November IPO, down from ~$2T (https://www.investing.com/news/stock-market-news/some-investors-push-anthropic-to-cut-ipo-valuation-to-15-trillion--report-4952696). Company target per IFR ~$2T, raise up to $100B (https://www.ifre.com/equities/2499407/anthropic-pushes-ahead-with-mid-november-ipo). Last private round: Series H $65B at $965B post, 2026-05-28 (https://www.anthropic.com/news/series-h). Market-implied (Polymarket, prices read 2026-10-19, labelled as probabilities): pricing valuation E = $1.74T given an IPO, first-day close E = $1.96T, P(no IPO by end-2027) 3.5-4.3%; mixed with $965B if no IPO: $1.71T / $1.92T (https://gamma-api.polymarket.com/public-search?q=anthropic%20ipo).</t>
        </is>
      </c>
    </row>
    <row r="35">
      <c r="A35" s="44" t="inlineStr">
        <is>
          <t>Anthropic stake estimate 2026-10-19: Google fully diluted ownership at the IPO</t>
        </is>
      </c>
      <c r="B35" t="inlineStr">
        <is>
          <t>11.28% (est.; range 9.75-12.49%)</t>
        </is>
      </c>
      <c r="C35" t="inlineStr">
        <is>
          <t>estimate</t>
        </is>
      </c>
      <c r="D35" t="inlineStr">
        <is>
          <t>2</t>
        </is>
      </c>
      <c r="E35" t="inlineStr"/>
      <c r="F35" s="44" t="inlineStr">
        <is>
          <t>Start 14% (NYT from Anthropic's court filings, 2025-03; "owns a 14% stake ... holds no voting rights", "can own only up to 15%": https://www.tipranks.com/news/the-fly/google-owns-14-stake-in-anthropic-holds-no-voting-rights-ny-times-reports, 2025-03-12). Dilution path: Series E 3.5/61.5 (https://www.anthropic.com/news/anthropic-raises-series-e-at-usd61-5b-post-money-valuation), F 13/183 (https://www.anthropic.com/news/anthropic-raises-series-f-at-usd183b-post-money-valuation), G 30/380 (GIC 2026-02-12, https://www.gic.com.sg/uploads/2026/02/GIC-Leads-Series-G-in-Anthropic.pdf) -&gt; 11.30%; + Google $10B (and Amazon $5B) at a $350B valuation (Anthropic via TechCrunch 2026-04-24, https://techcrunch.com/2026/04/24/google-to-invest-up-to-40b-in-anthropic-in-cash-and-compute/; Bloomberg) -&gt; 13.40%; Series H $50B new money at $965B -&gt; 12.71%; + $10B milestone tranche at the H price -&gt; 13.60% (14.75% if at the G price). Filing cross-check: Anthropic carrying est. $105B / $965B = 10.9%. Pre-IPO estimate 12.5% (between the two). Then x 0.95 for the 5% Public Benefit Fund (Anthropic 2026-10-18, subject to stockholder approval; https://www.anthropic.com/news/public-benefit-fund) x (1 - $75B est. primary / $1,500B) = 11.28%.</t>
        </is>
      </c>
    </row>
    <row r="36">
      <c r="A36" s="44" t="inlineStr">
        <is>
          <t>Anthropic stake estimate 2026-10-19: lock-up / illiquidity discount</t>
        </is>
      </c>
      <c r="B36" t="inlineStr">
        <is>
          <t>10.37% (range 9.6-14.4%)</t>
        </is>
      </c>
      <c r="C36" t="inlineStr">
        <is>
          <t>estimate</t>
        </is>
      </c>
      <c r="D36" t="inlineStr"/>
      <c r="E36" t="inlineStr"/>
      <c r="F36" s="44" t="inlineStr">
        <is>
          <t>Finnerty (2012) average-strike put, 65% vol, 0.5 year (a standard 180-day lock-up; terms not reported): 10.37%; 1 year (orderly sale of a ~11% block) 14.36%. Vol basis: SpaceX (SPCX) realized vol since its 2026-06-12 IPO 67% ex first week (82% incl.), Twelve Data daily closes to 2026-10-19; SPCX priced at $135, closed day one $160.95, fell to $108.37 (2026-07-31), $147.97 on 2026-10-19.</t>
        </is>
      </c>
    </row>
    <row r="37">
      <c r="A37" s="44" t="inlineStr">
        <is>
          <t>Anthropic stake estimate 2026-10-19: Anthropic carrying value already in the non-marketable line</t>
        </is>
      </c>
      <c r="B37" t="inlineStr">
        <is>
          <t>~$105B (est.; range $87.9-116B) x 0.70 = $73.50B already counted</t>
        </is>
      </c>
      <c r="C37" t="inlineStr">
        <is>
          <t>estimate</t>
        </is>
      </c>
      <c r="D37" t="inlineStr">
        <is>
          <t>2, 3</t>
        </is>
      </c>
      <c r="E37" t="inlineStr"/>
      <c r="F37" s="44" t="inlineStr">
        <is>
          <t>Q2 10-Q: measurement-alternative $124.259B 'primarily consist[s] of our investment in a private company'; $87.9B remeasured in Q2 (Series H 2026-05-28); Q2 gross upward adjustments $77.544B; cumulative upward 80,792 -&gt; 85,732 implies ~$72.6B of upward adjustments left with SpaceX's reclass (carried ~$73.5B = 551.19M sh x ~$133, close to the $135 IPO price). Low = remeasured amount $87.9B; high = $124.3B less ~$8B other private holdings; central $105B. Press attributes the Q1 ($36.9B) and Q2 ($99.0B) gains mainly to Anthropic and SpaceX (Fortune 2026-04-30, 2026-07-22); no filing names Anthropic.</t>
        </is>
      </c>
    </row>
    <row r="38">
      <c r="A38" s="44" t="inlineStr">
        <is>
          <t>Anthropic stake estimate 2026-10-19</t>
        </is>
      </c>
      <c r="B38" t="inlineStr">
        <is>
          <t>+$51,210M (+$4.15/share P/E leg; +$4.10 cross-check; +$4.13 on fair value); range +$22.7B to +$76.0B</t>
        </is>
      </c>
      <c r="C38" t="inlineStr">
        <is>
          <t>estimate</t>
        </is>
      </c>
      <c r="D38" t="inlineStr">
        <is>
          <t>2</t>
        </is>
      </c>
      <c r="E38" t="inlineStr"/>
      <c r="F38" s="44" t="inlineStr">
        <is>
          <t>11.28% x $1,500B = $169.22B; x (1 - 0.1037) = $151.67B; tax 0.21 x (151.67 - 23.3) = $26.96B -&gt; $124.71B after tax; minus 105 x 0.70 = $73.50B already counted -&gt; +$51.21B / 12,350M = +$4.15 x 0.6 = +$2.49; cross-check leg +$4.10 x 0.4 = +$1.64; total +$4.13. Variant at $1.92T: +$86.9B (+$7.03 P/E leg, +$7.05 on fair value). Low/high: 9.75%/1-yr discount/carry $116B -&gt; +$22.7B; 12.49%/carry $87.9B -&gt; +$76.0B. Full write-up: file:///mnt/project-files/valuation/runs/2026-10-06/GOOGL/anthropic_stake_2026-10-19.md</t>
        </is>
      </c>
    </row>
    <row r="39">
      <c r="A39" s="44" t="inlineStr">
        <is>
          <t>Waymo / Other Bets SOTP 2026-10-19: Waymo funding rounds and valuations</t>
        </is>
      </c>
      <c r="B39" t="inlineStr">
        <is>
          <t>Feb 2026 $16.0B at $126B post-money; Oct 2024 $5.6B at &gt;$45B; Jun 2021 $2.5B (undisclosed); Jul 2020 $3.2B at ~$30B</t>
        </is>
      </c>
      <c r="C39" t="inlineStr">
        <is>
          <t>reported</t>
        </is>
      </c>
      <c r="D39" t="inlineStr"/>
      <c r="E39" t="inlineStr"/>
      <c r="F39" s="44" t="inlineStr">
        <is>
          <t>Waymo blog 2026-02-02: 'raised a $16 billion investment round valuing the company at $126 billion post-money', led by Dragoneer, DST Global and Sequoia, 'Alphabet's strong sustained support as our majority investor' (https://waymo.com/blog/2026/02/waymo-raises-usd16-billion-investment-round). Alphabet ~$13B of it per Bloomberg, reported (https://news.bloomberglaw.com/private-equity/waymo-raises-16-billion-from-alphabet-others-to-expand-service, 2026-02-02); Q1 10-Q: 'the significant majority of which was funded by Alphabet' (https://www.sec.gov/Archives/edgar/data/1652044/000165204426000048/goog-20260331.htm). Oct 2024 $5.6B led by Alphabet, valued at more than $45B (Electrek 2024-11-01, https://electrek.co/2024/11/01/waymo-is-now-valued-at-a-staggering-45-billion/). 2021 $2.5B, Alphabet among the investors, valuation not stated (Waymo blog 2021-06-16, https://waymo.com/blog/2021/06/transforming-mobility-with-confidence.html). 2020: first external round closed at $3.2B in July 2020 at a $30B valuation (Global Venturing 2021-06-17, https://globalventuring.com/corporate/waymo-drives-through-to-2-5bn-round/).</t>
        </is>
      </c>
    </row>
    <row r="40">
      <c r="A40" s="44" t="inlineStr">
        <is>
          <t>Waymo / Other Bets SOTP 2026-10-19: Alphabet fully diluted ownership of Waymo</t>
        </is>
      </c>
      <c r="B40" t="inlineStr">
        <is>
          <t>~80% (est.; range 75-85%)</t>
        </is>
      </c>
      <c r="C40" t="inlineStr">
        <is>
          <t>estimate</t>
        </is>
      </c>
      <c r="D40" t="inlineStr">
        <is>
          <t>2</t>
        </is>
      </c>
      <c r="E40" t="inlineStr"/>
      <c r="F40" s="44" t="inlineStr">
        <is>
          <t>Dilution path (estimate; terms of 2020/2021 not disclosed): 2020 $3.2B at ~$30B with ~10% from Alphabet -&gt; 90.4%; 2021 $2.5B at an assumed flat $30B pre with ~20% from Alphabet -&gt; 85.0%; 2024 $5.6B at $45B post with ~$4.6B from Alphabet -&gt; 84.6%; 2026 $16B at $126B post with ~$13B from Alphabet -&gt; 84.2% basic; x 0.95 for employee equity (Waymo Bet PSUs, Q1 10-Q exhibit 10.03; $2.1B valuation-based Waymo comp charge in Q4 2025, 10-K) -&gt; ~80%. Filing cross-check: noncontrolling interests in consolidated subsidiaries $3.4B (12/31/25) -&gt; $7.1B (6/30/26) (Q2 10-Q, https://www.sec.gov/Archives/edgar/data/1652044/000165204426000071/goog-20260630.htm), up $3.7B, consistent with ~$3B of outside money in the Feb round.</t>
        </is>
      </c>
    </row>
    <row r="41">
      <c r="A41" s="44" t="inlineStr">
        <is>
          <t>Waymo / Other Bets SOTP 2026-10-19: Waymo operating scale</t>
        </is>
      </c>
      <c r="B41" t="inlineStr">
        <is>
          <t>&gt;500k paid rides/week, 14 US cities (Sep 2026); 15M rides in 2025; fleet &gt;4,000; revenue run-rate ~$355M (Feb 2026, third-party est.)</t>
        </is>
      </c>
      <c r="C41" t="inlineStr">
        <is>
          <t>reported</t>
        </is>
      </c>
      <c r="D41" t="inlineStr"/>
      <c r="E41" t="inlineStr"/>
      <c r="F41" s="44" t="inlineStr">
        <is>
          <t>Waymo blog 2026-02-02: 'more than 400,000 rides provided every week across six major U.S. metropolitan areas'; 'in 2025 alone ... 15 million rides'; 20+ more cities planned in 2026 incl. Tokyo and London (https://waymo.com/blog/2026/02/waymo-raises-usd16-billion-investment-round). 500,000 paid rides/week across 10 cities (TechCrunch 2026-03-27, https://techcrunch.com/2026/03/27/waymo-skyrocketing-ridership-in-one-chart/). Paid rides in Denver, San Diego and Tampa from 2026-09-01, 14 cities, fleet &gt;4,000, &gt;500k rides/week (https://driveteslacanada.ca/news/waymo-driverless-rides-denver-san-diego-tampa/, 2026-09-01). Target 1M paid rides/week by end-2026 (co-CEO, https://uk.finance.yahoo.com/news/waymo-eyes-1-million-paid-152612311.html). Revenue not disclosed; Sacra estimate $355M annualized Feb 2026, ~$15-17 per ride (https://sacra.com/c/waymo/), labelled third-party estimate.</t>
        </is>
      </c>
    </row>
    <row r="42">
      <c r="A42" s="44" t="inlineStr">
        <is>
          <t>Waymo / Other Bets SOTP 2026-10-19: Other Bets operating loss and Waymo's share</t>
        </is>
      </c>
      <c r="B42" t="inlineStr">
        <is>
          <t>Q1 2026 -$2.100B, Q2 2026 -$1.799B (run-rate -$7.80B); FY2025 -$7.515B incl. $2.1B Waymo comp charge; Waymo share ~65% (est.)</t>
        </is>
      </c>
      <c r="C42" t="inlineStr">
        <is>
          <t>estimate</t>
        </is>
      </c>
      <c r="D42" t="inlineStr">
        <is>
          <t>1, 2</t>
        </is>
      </c>
      <c r="E42" t="inlineStr"/>
      <c r="F42" s="44" t="inlineStr">
        <is>
          <t>Segment note: Other Bets operating loss FY2023 -$4,095M, FY2024 -$4,444M, FY2025 -$7,515M (10-K, https://www.sec.gov/Archives/edgar/data/1652044/000165204426000018/goog-20251231.htm; FY2025 'included a $2.1 billion employee compensation charge recognized in the fourth quarter for Waymo'); Q1 2026 -$2,100M (Q1 10-Q); Q2 2026 -$1,799M, H1 -$3,899M; Other Bets revenue Q2 $382M (Q2 10-Q / 8-K). TTM to Q2 2026 -$8.94B, -$6.84B ex the charge. Waymo is not reported separately; 65% (range 55-75%) is an estimate (Waymo is the largest and scaling bet; the rest are Verily, Wing, X, Calico and GFiber, which is being divested for $1.5B cash + $2.0B note + 49.99% equity, Q2 10-Q). Waymo pre-tax loss $5.07B, after tax at 17% $4.21B.</t>
        </is>
      </c>
    </row>
    <row r="43">
      <c r="A43" s="44" t="inlineStr">
        <is>
          <t>Waymo / Other Bets SOTP 2026-10-19: haircut and cash</t>
        </is>
      </c>
      <c r="B43" t="inlineStr">
        <is>
          <t>20% haircut on Alphabet's share of Waymo EV (range 10-30%); Waymo cash est. $12B (range 8-16) already in consolidated net cash</t>
        </is>
      </c>
      <c r="C43" t="inlineStr">
        <is>
          <t>estimate</t>
        </is>
      </c>
      <c r="D43" t="inlineStr"/>
      <c r="E43" t="inlineStr"/>
      <c r="F43" s="44" t="inlineStr">
        <is>
          <t>Haircut: the $126B mark is 8.5 months old; about $13B of the $16B came from Alphabet itself, so only ~$3B was priced by outside investors; new-money terms likely carry preferences; no liquidity; competition (Tesla, Zoox). Partly offset by growth since (400k -&gt; 500k+ rides/week, 6 -&gt; 14 cities). No tax haircut: Waymo is a consolidated subsidiary held as a going concern. Cash: ~$2B pre-round + $16B raised - ~$4B burn Feb-Oct 2026 (op. loss less non-cash SBC plus fleet capex, est.) ~ $12-14B; $12B used.</t>
        </is>
      </c>
    </row>
    <row r="44">
      <c r="A44" s="44" t="inlineStr">
        <is>
          <t>Waymo / Other Bets SOTP 2026-10-19</t>
        </is>
      </c>
      <c r="B44" t="inlineStr">
        <is>
          <t>+$158,066M (loss add-back 4.207 x 20.8 = $87.51B + stake $70.56B; was +$161,850M at 21.7x); +$12.72/share on 12,423M on both legs</t>
        </is>
      </c>
      <c r="C44" t="inlineStr">
        <is>
          <t>estimate</t>
        </is>
      </c>
      <c r="D44" t="inlineStr">
        <is>
          <t>2</t>
        </is>
      </c>
      <c r="E44" t="inlineStr"/>
      <c r="F44" s="44" t="inlineStr">
        <is>
          <t>Peer refresh 2026-10-26: add-back 7.798 x 0.65 x 0.83 x 20.8 = $87.51B (4.207 x 20.8); stake $70.56B unchanged -&gt; $158.07B. Add-back 7.798 x 0.65 x 0.83 x 21.7 = $91.29B; stake 0.80 x (126 - 12) x 0.80 - 0.20 x 12 = $70.56B; non-marketable line $0 -&gt; +$161.85B / 12,350M = +$13.11 x 0.6 = +$7.86; cross-check +$4.86 x 0.4 = +$1.94. Variant (scenario view): 2030 run-rate rides/week 2M/6M/15M at $15/ride (+$0/1/3B licensing) at 5x/15x/20x sales, p 0.30/0.45/0.25, discounted 4 yrs at 15% = $65.3B, less ~$15B PV of interim burn = EV $50.3B (equity ~$62B vs the $126B round); stake value 0.80 x 50.3 - 0.20 x 12 = $37.8B -&gt; increment +$129.1B (+$10.45/share). What the round needs: ~$10.5B EBIT by 2032 at 25x and 15% (~$35B revenue, ~45M rides/week at $15, or licensing/international). Full write-up: file:///mnt/project-files/valuation/runs/2026-10-06/GOOGL/anthropic_stake_2026-10-19.md</t>
        </is>
      </c>
    </row>
    <row r="45">
      <c r="A45" s="44" t="inlineStr">
        <is>
          <t>remaining items 2026-10-19: conglomerate discount evidence</t>
        </is>
      </c>
      <c r="B45" t="inlineStr">
        <is>
          <t>Berger &amp; Ofek (1995) ~15% average diversification discount; Villalonga (2004) diversification premium on Census BITS data; Campa &amp; Kedia (2002) discount falls once self-selection is controlled; listed holdcos: SoftBank ~49% (FY-end March 2026), Naspers/Prosus ~43% combined (Aug 2026)</t>
        </is>
      </c>
      <c r="C45" t="inlineStr">
        <is>
          <t>reported</t>
        </is>
      </c>
      <c r="D45" t="inlineStr"/>
      <c r="E45" t="inlineStr"/>
      <c r="F45" s="44" t="inlineStr">
        <is>
          <t>Graham, Lemmon &amp; Wolf (Duke): 'Berger and Ofek (1995) find that U.S. conglomerates are priced at approximately a 15% discount on average' (https://people.duke.edu/~jgraham/GrahamLemmonWolf.pdf). Villalonga, JF 59(2) 2004, abstract: 'Using these data on a sample that yields a discount according to segment data, I find a diversification premium'; its introduction cites Campa and Kedia (2002) on selection bias (https://pages.stern.nyu.edu/~bvillalo/Villalonga_DivPremium_JF2004.pdf). SoftBank: NAV JPY 40.1T vs market cap JPY 20.3T at FY-end March 2026, 'Der Abschlag: 49 Prozent' (https://www.kapitalmarktexperten.de/softbank-aktie-49-prozent-abschlag-auf-nav-bestaetigt/, 2026-07-01). Naspers/Prosus: 'the combined discount stayed at around 43%', peak ~65% before the 2022 buybacks (https://www.vermoegenszentrum.ch/en/stock-exchange-and-markets/news/naspers-and-prosus-step-efforts-shrink-net-asset-value-discount, 2026-08-27). All read 2026-10-19.</t>
        </is>
      </c>
    </row>
    <row r="46">
      <c r="A46" s="44" t="inlineStr">
        <is>
          <t>remaining items 2026-10-19: conglomerate overlay 10% on non-core stakes</t>
        </is>
      </c>
      <c r="B46" t="inlineStr">
        <is>
          <t>-$28,970M (-$2.35/share on 12,350M, both legs; -$2.35 on fair value); variants $0 to -$7.71/share</t>
        </is>
      </c>
      <c r="C46" t="inlineStr">
        <is>
          <t>estimate</t>
        </is>
      </c>
      <c r="D46" t="inlineStr"/>
      <c r="E46" t="inlineStr"/>
      <c r="F46" s="44" t="inlineStr">
        <is>
          <t>Post-haircut non-core stakes ($B): Anthropic after tax and lock-up 124.71 (adjustment 'Anthropic stake estimate 2026-10-19'); other non-marketable (131.461 - 105) x 0.70 = 18.52; SpaceX 94.1 x 0.75 - 10.21 (once-over re-mark) = 60.37; other marketable (87.063 - 80.0) x 0.85 = 6.00; Waymo stake 70.56 (Waymo SOTP part b); Isomorphic stake 9.52 (row below). Total 289.68 x 10% = 28.97 -&gt; -$28,970M; / 12,350M = -$2.35 on the P/E leg and -$2.35 in the cross-check custom leg -&gt; -$2.35 on fair value. Why 10%: tax (i) and illiquidity (ii) are already deducted stake by stake (Anthropic -26%, SpaceX x0.75, private book x0.70, other marketable x0.85, Waymo x0.80), (iii) holdco costs and leverage are small for Alphabet (net cash, no holdco layer), so only (iv) capital-allocation/agency cost remains, for which Berger-Ofek's ~15% is the cleanest estimate and the later literature (Campa-Kedia, Villalonga) says it is smaller. Effective total factors: SpaceX 0.75 x 0.9 = 0.675; private book 0.70 x 0.9 = 0.63; Waymo 0.80 x 0.9 = 0.72 of EV. Not applied to the core P/E (peer-median multiple), net cash or the Waymo loss add-back (a correction to the core multiple). Write-up: file:///mnt/project-files/valuation/runs/2026-10-06/GOOGL/remaining_items_2026-10-19.md</t>
        </is>
      </c>
    </row>
    <row r="47">
      <c r="A47" s="44" t="inlineStr">
        <is>
          <t>remaining items 2026-10-19: pre-horizon stock comp: RSU tax-withholding cash</t>
        </is>
      </c>
      <c r="B47" t="inlineStr">
        <is>
          <t>-$30,140M (-$2.44/share P/E leg; 0 cross-check; -$1.46 on fair value)</t>
        </is>
      </c>
      <c r="C47" t="inlineStr">
        <is>
          <t>estimate</t>
        </is>
      </c>
      <c r="D47" t="inlineStr"/>
      <c r="E47" t="inlineStr"/>
      <c r="F47" s="44" t="inlineStr">
        <is>
          <t>Q2 10-Q cash flow, financing: 'Net payments related to stock-based award activities' six months 2026 (12,056) [$M] (https://www.sec.gov/Archives/edgar/data/1652044/000165204426000071/goog-20260630.htm). x 2.5 half-years (6/30/26 to the 2027-10-06 horizon, ~15 months) = $30.14B; / 12,350M = $2.44 x 0.6 = -$1.46 on fair value. Why it is uncharged: the P/E leg rolls net cash to the horizon on consensus FCF (CFO less capex; CFO adds SBC back, 'Stock-based compensation expense 14,708' H1 2026) and withholding is a financing outflow, while CY2028 EPS carries SBC only from the horizon on. The 142M treasury-method RSU shares cover only comp recognised by 6/30 ('$59.1 billion of unrecognized compensation cost related to unvested RSUs and PSUs', Note 13). SBC counted once (METHOD.md 2026-10-12): pre-horizon as withholding cash here, post-horizon as the cost in GAAP EPS; the +50M SBC-creep shares stay removed and the $40B ATM ('primarily intended to be used to meet tax obligations associated with employee equity grants', Q2 10-Q) is not counted as dilution. Cross-check: cost basis H1 total SBC expense $15.2B (Note 13) x 2.5 x (1 - 21% tax deduction) = $30.0B. Read 2026-10-19.</t>
        </is>
      </c>
    </row>
    <row r="48">
      <c r="A48" s="44" t="inlineStr">
        <is>
          <t>remaining items 2026-10-19: EU DMA fine (not accrued at 6/30)</t>
        </is>
      </c>
      <c r="B48" t="inlineStr">
        <is>
          <t>EUR 890M = $998M (EUR 460M Search self-preferencing + EUR 430M Play anti-steering, decided 2026-07-23)</t>
        </is>
      </c>
      <c r="C48" t="inlineStr">
        <is>
          <t>reported</t>
        </is>
      </c>
      <c r="D48" t="inlineStr"/>
      <c r="E48" t="inlineStr"/>
      <c r="F48" s="44" t="inlineStr">
        <is>
          <t>Pearl Cohen 2026-07-30: the EC fined Google EUR 890 million on 2026-07-23, EUR 460M for self-preferencing in Google Search and EUR 430M for Google Play anti-steering; 60 days to comply, periodic penalties up to 5% of worldwide turnover possible (https://www.pearlcohen.com/european-commission-fines-google-e890-million-for-digital-markets-act-breaches/). The Q2 10-Q, filed the same day, still says of the DMA investigations 'we cannot reasonably estimate a probable loss' (https://www.sec.gov/Archives/edgar/data/1652044/000165204426000071/goog-20260630.htm), so it is not in the $17.356B accrued fines deducted in the once-over. Unit conversion: 0.89 x EUR/USD 1.1212 (Twelve Data, 2026-10-19 close 1.12113) = $0.998B. Read 2026-10-19.</t>
        </is>
      </c>
    </row>
    <row r="49">
      <c r="A49" s="44" t="inlineStr">
        <is>
          <t>remaining items 2026-10-19: DOJ search appeal, probability-weighted</t>
        </is>
      </c>
      <c r="B49" t="inlineStr">
        <is>
          <t>-$7,052M (-$0.57/share, both legs)</t>
        </is>
      </c>
      <c r="C49" t="inlineStr">
        <is>
          <t>estimate</t>
        </is>
      </c>
      <c r="D49" t="inlineStr"/>
      <c r="E49" t="inlineStr"/>
      <c r="F49" s="44" t="inlineStr">
        <is>
          <t>Status (reported): final judgment December 2025 (default payments allowed, data-sharing and syndication remedies); Google appealed January 2026, stay denied as premature; DOJ and states appealed February 2026 (Q2 10-Q Note 10, https://www.sec.gov/Archives/edgar/data/1652044/000165204426000071/goog-20260630.htm). Google's opening brief 2026-05-22 challenges liability (https://ppc.land/google-asks-appeals-court-to-throw-out-its-entire-search-monopoly-loss/). DOJ 2026-07-28 brief asks the D.C. Circuit to vacate the denial of a payment ban and remand; no Chrome/Android divestiture sought; Google pays 'over $26 billion annually' for defaults (https://www.courthousenews.com/doj-urges-dc-circuit-to-beef-up-remedies-in-google-monopoly-ruling/, 2026-07-29). Parties asked for argument as soon as Dec. 9 (https://www.law360.com/articles/2533918/doj-google-want-dc-circ-priority-for-search-appeal, 2026-10-05). Scenarios (est.): affirmed p 0.60 -&gt; 0; remand without ban p 0.10 -&gt; 0; Google wins p 0.15 -&gt; +1% CY2028 EPS = 17.54 x 0.01 x 21.7 = +$3.81; payment ban p 0.15 -&gt; -2% EPS = -$7.61. Weighted 0.15 x 3.81 - 0.15 x 7.61 = -$0.57/share x 12,350M = -$7,052M. Read 2026-10-19.</t>
        </is>
      </c>
    </row>
    <row r="50">
      <c r="A50" s="44" t="inlineStr">
        <is>
          <t>remaining items 2026-10-19: ad tech, expected costs</t>
        </is>
      </c>
      <c r="B50" t="inlineStr">
        <is>
          <t>-$7,750M (-$0.63/share, both legs)</t>
        </is>
      </c>
      <c r="C50" t="inlineStr">
        <is>
          <t>estimate</t>
        </is>
      </c>
      <c r="D50" t="inlineStr"/>
      <c r="E50" t="inlineStr"/>
      <c r="F50" s="44" t="inlineStr">
        <is>
          <t>Status (reported): 2026-09-02 order rejected AdX divestiture ('structural remedies are neither realistic nor needed') and the open-source auction, imposed six years of global behavioural remedies with a monitor and technical committee, rejected the 50% revenue escrow; joint proposed final judgment due 2026-10-02 (https://ppc.land/google-faces-six-year-worldwide-ad-tech-decree-instead-of-adx-sale/, 2026-09-17). Texas-led states' trial follows the DOJ remedy decision; Alphabet 'cannot estimate a possible loss' (Q2 10-Q Note 10, https://www.sec.gov/Archives/edgar/data/1652044/000165204426000071/goog-20260630.htm). EC ad tech fine (EUR 2.95B / $3.5B charge) already accrued; complainants 'no longer expect a divestiture' (https://thenextweb.com/news/brussels-google-adtech-breakup-alone-brinkema, 2026-09-04). Network revenue Q2 2026 $7,303M vs $7,354M (Q2 10-Q). Expected costs (est.): AdX divestiture on appeal p 0.07 x $25B lost value (AdX/DFP profit ~$2.9B = Network run-rate $28.5B (H1 $14.274B x 2) x ~30% kept after publisher payouts (the 10-Q: most Network advertiser revenue is paid out as TAC) x ~34% margin, x 21.7 = ~$63B, sold at a forced ~40% loss) = $1.75B; Texas states' penalties/settlement $2.5B; private publisher/advertiser follow-on damages $3.0B; EU structural remedy p 0.05 x $10B = $0.5B; total $7.75B / 12,350M = $0.63. Read 2026-10-19.</t>
        </is>
      </c>
    </row>
    <row r="51">
      <c r="A51" s="44" t="inlineStr">
        <is>
          <t>remaining items 2026-10-19: legal remedies, probability-weighted</t>
        </is>
      </c>
      <c r="B51" t="inlineStr">
        <is>
          <t>-$15,800M (-$1.28/share P/E leg; -$1.28 cross-check; -$1.28 on fair value)</t>
        </is>
      </c>
      <c r="C51" t="inlineStr">
        <is>
          <t>estimate</t>
        </is>
      </c>
      <c r="D51" t="inlineStr"/>
      <c r="E51" t="inlineStr"/>
      <c r="F51" s="44" t="inlineStr">
        <is>
          <t>DMA -998 (hard) + DOJ search -7,052 (est.) + ad tech -7,750 (est.) = -$15,800M; / 12,350M = -$1.28 on both legs. Write-up: file:///mnt/project-files/valuation/runs/2026-10-06/GOOGL/remaining_items_2026-10-19.md</t>
        </is>
      </c>
    </row>
    <row r="52">
      <c r="A52" s="44" t="inlineStr">
        <is>
          <t>remaining items 2026-10-19: Isomorphic Labs funding, valuation and losses</t>
        </is>
      </c>
      <c r="B52" t="inlineStr">
        <is>
          <t>Series B $2.1B (May 2026); prior valuation ~$17.5B; talks at &gt;= $40B, possibly $50B (Bloomberg 2026-10-08, not closed); FY2025 loss GBP 159.4M (FY2024 GBP 74.8M); headcount avg 225 (2025), ~427 (March 2026)</t>
        </is>
      </c>
      <c r="C52" t="inlineStr">
        <is>
          <t>reported</t>
        </is>
      </c>
      <c r="D52" t="inlineStr"/>
      <c r="E52" t="inlineStr"/>
      <c r="F52" s="44" t="inlineStr">
        <is>
          <t>Crypto Briefing 2026-10-08: 'in early talks to raise money at a valuation of at least $40 billion', could reach $50B; previously valued at roughly $17.5 billion; $2.1 billion Series B in May 2026 (https://cryptobriefing.com/isomorphic-labs-funding-40-billion-valuation/). RuntimeWire 2026-10-08 citing Bloomberg: at least $40B, 'could reach $50 billion', 'the financing has not closed', raised $2.1B about five months earlier (https://runtimewire.com/article/isomorphic-labs-40-billion-valuation-funding-talks). Isomorphic Labs Limited (UK 13223825) full accounts FY2025, filed 2026-10-02: loss for the year GBP 159,416,384 (2024: GBP 74,767,042), administration expenses GBP 250.7M, no turnover, average headcount 225 (2024: 125); GBP 402.4M of new shares issued to its parent on 2026-06-12 (https://find-and-update.company-information.service.gov.uk/company/13223825/filing-history). Revelio Labs: ~427 employees as of March 2026 (https://www.reveliolabs.com/companies/isomorphic-laboratories/employees). Isomorphic sits in Other Bets (FY2025 10-K, https://www.sec.gov/Archives/edgar/data/1652044/000165204426000018/goog-20251231.htm). Q2 2026 'Sale of interest in consolidated entities' $558M (Q2 10-Q equity statement). Read 2026-10-19.</t>
        </is>
      </c>
    </row>
    <row r="53">
      <c r="A53" s="44" t="inlineStr">
        <is>
          <t>remaining items 2026-10-19: Isomorphic Labs stake + loss add-back</t>
        </is>
      </c>
      <c r="B53" t="inlineStr">
        <is>
          <t>+$16,426M (loss add-back 0.332 x 20.8 = $6.906B + stake $9.52B; was +$16,724M at 21.7x); +$1.32/share on 12,423M on both legs; variant +$2.42 (10-19, history)</t>
        </is>
      </c>
      <c r="C53" t="inlineStr">
        <is>
          <t>estimate</t>
        </is>
      </c>
      <c r="D53" t="inlineStr"/>
      <c r="E53" t="inlineStr"/>
      <c r="F53" s="44" t="inlineStr">
        <is>
          <t>Peer refresh 2026-10-26: loss add-back 0.4 x 0.83 x 20.8 = $6.906B + stake $9.52B. Stake: 0.80 x (17.5 - 2.0) x (1 - 0.20) - 0.20 x 2.0 = $9.52B. Ownership ~80% (est., range 75-90%): wholly owned at the 2021 spin-out; outside money in the $0.6B (2025) and $2.1B (2026) rounds was a minority (Alphabet, GV and CapitalG took part; Q2 2026 sale of interest in all consolidated entities only $558M), plus employee equity. Cash ~$2B (est.): $0.6B + $2.1B raised less ~$0.5B burn since March 2025. Haircut 20% as for Waymo (stale and partly insider-priced mark). Loss add-back: 2026 loss ~$0.4B (est.) = FY2025 GBP 159.4M x ~2 (loss and headcount roughly doubled in 2025; ~427 staff by March 2026) x GBP/USD 1.33 = ~$0.42B; 0.4 x (1 - 0.17) x 21.7 = $7.20B, taken from the 35% of the Other Bets loss the Waymo SOTP leaves capitalised (no overlap). Total 9.52 + 7.20 = $16.724B / 12,350M = +$1.35 x 0.6 = +$0.81. Cross-check: agent_1 9.52 / 12.30 x 1.09 = +0.84; agent_2 (0.4 x 0.83 x 18 + 9.52) / 12.35 = +1.25; agent_3 (0.4 x 10.5 + 9.52) / 12.35 = +1.11; mean +$1.07 x 0.4 = +$0.43. Fair value +$1.24. Write-up: file:///mnt/project-files/valuation/runs/2026-10-06/GOOGL/remaining_items_2026-10-19.md</t>
        </is>
      </c>
    </row>
    <row r="54">
      <c r="A54" s="44" t="inlineStr">
        <is>
          <t>remaining items 2026-10-19: diluted shares at 6/30 (point in time)</t>
        </is>
      </c>
      <c r="B54" t="inlineStr">
        <is>
          <t>12,423M (12,230M outstanding + 142M RSU + 50.5M preferred at ~$381) vs 12,350M; -$1.08 on fair value</t>
        </is>
      </c>
      <c r="C54" t="inlineStr">
        <is>
          <t>estimate</t>
        </is>
      </c>
      <c r="D54" t="inlineStr"/>
      <c r="E54" t="inlineStr"/>
      <c r="F54" s="44" t="inlineStr">
        <is>
          <t>Q2 10-Q (https://www.sec.gov/Archives/edgar/data/1652044/000165204426000071/goog-20260630.htm): 12,230M Class A, B and C shares issued and outstanding at 6/30 (balance sheet); Q2 diluted computation: basic 12,151M + RSUs and other contingently issuable 142M + preferred 16M (if-converted, weighted) = 12,309M (Note 12); 385M depositary shares = 19.25M mandatory convertible preferred, split evenly, rates 2.2520-2.8160 (Series A) and 2.2740-2.8420 (Series B), conversion ~2029-05-15 (Note 11); June 4 offering plus a 28M-share private placement to a Berkshire Hathaway affiliate. Preferred shares at the model fair value ~$381: 19.25M x $1,000 / $381 = 50.5M (est.; max 54.5M at &lt;= ~$355, min 43.6M at &gt;= ~$444). 12,230 + 142 + 50.5 = 12,422.5 -&gt; 12,423M (+73M, +0.59%). Effect: P/E leg adjustments over 12,423M instead of 12,350M (on the old $362.51B: -$0.17 x 0.6 = -$0.10); cross-check legs (agent_1 12.30B, agents 2 and 3 12.35B) mean -0.72% x $338.84 = -$2.43 x 0.4 = -$0.97; total -$1.08. Read 2026-10-19.</t>
        </is>
      </c>
    </row>
    <row r="55">
      <c r="A55" s="44" t="inlineStr">
        <is>
          <t>remaining items 2026-10-19: GFiber divestiture cash + note</t>
        </is>
      </c>
      <c r="B55" t="inlineStr">
        <is>
          <t>+$3,300M (+$0.27/share, both legs)</t>
        </is>
      </c>
      <c r="C55" t="inlineStr">
        <is>
          <t>estimate</t>
        </is>
      </c>
      <c r="D55" t="inlineStr"/>
      <c r="E55" t="inlineStr"/>
      <c r="F55" s="44" t="inlineStr">
        <is>
          <t>Q2 10-Q Note 8 (https://www.sec.gov/Archives/edgar/data/1652044/000165204426000071/goog-20260630.htm): 'Upon closing, we expect to receive $1.5 billion in cash, a $2.0 billion note receivable, and a 49.99% equity interest'; close expected late 2026; held for sale, PP&amp;E $7.1B, no impairment. 1.5 + 2.0 x 0.9 (note haircut, est.) = $3.3B / 12,350M = +$0.27 on both legs. The 49.99% equity-method share flows through post-close EPS, so it is not added. Read 2026-10-19.</t>
        </is>
      </c>
    </row>
    <row r="56">
      <c r="A56" s="44" t="inlineStr">
        <is>
          <t>Driver build (driver_models 2026-10-22)</t>
        </is>
      </c>
      <c r="B56" t="inlineStr">
        <is>
          <t>5 drivers: paid_clicks, cpc, cloud_backlog, cloud_conv, capex</t>
        </is>
      </c>
      <c r="C56" t="inlineStr">
        <is>
          <t>estimate</t>
        </is>
      </c>
      <c r="D56" t="inlineStr">
        <is>
          <t>1, 2, 3, 5, 9</t>
        </is>
      </c>
      <c r="E56" t="inlineStr">
        <is>
          <t>F3, F7, F48, F49, F50, F53</t>
        </is>
      </c>
      <c r="F56" s="44" t="inlineStr">
        <is>
          <t>Search &amp; other = 224,532 x clicks/100 x CPC/100; Cloud = opening backlog x conversion; Services other and Other Bets plain; EBIT = segment margins x revenue + Other Bets + Alphabet-level - (capex-vintage depreciation - 5.92% x revenue); CY2028 EPS = (FY2028 EBIT + OI&amp;E ex-gains 0) x (1 - 17%) / 12,423M replaces the stated $17.54. OI&amp;E ex-gains 0: H1-26 interest income $2,811M x 2 ~ $5.6B vs interest expense Q2 $1,278M x 4 ~ $5.1B (10-Q, F75), falling cash after 2027 FCF.</t>
        </is>
      </c>
    </row>
    <row r="57">
      <c r="A57" s="44" t="inlineStr">
        <is>
          <t>driver:paid_clicks</t>
        </is>
      </c>
      <c r="B57" t="inlineStr">
        <is>
          <t>Google Search &amp; other paid clicks: 100 -&gt; 112/121/129.4 (estimate)</t>
        </is>
      </c>
      <c r="C57" t="inlineStr">
        <is>
          <t>estimate</t>
        </is>
      </c>
      <c r="D57" t="inlineStr"/>
      <c r="E57" t="inlineStr"/>
      <c r="F57" s="44" t="inlineStr">
        <is>
          <t>Index only (Alphabet discloses % changes, not levels). FY2026 +12% = H1 +13% (10-Q) with H2 at ~+11% (CFO, Q2 call: Q3 laps the Search acceleration; run evidence agent_1); FY2027 +8%, FY2028 +7%: fade toward the FY2025 rate (+6%, 10-K) as AI Overviews/AI Mode volume gains annualise.</t>
        </is>
      </c>
    </row>
    <row r="58">
      <c r="A58" s="44" t="inlineStr">
        <is>
          <t>driver:cpc</t>
        </is>
      </c>
      <c r="B58" t="inlineStr">
        <is>
          <t>Google Search &amp; other cost-per-click: 100 -&gt; 103.5/106.6/109.8 (estimate)</t>
        </is>
      </c>
      <c r="C58" t="inlineStr">
        <is>
          <t>estimate</t>
        </is>
      </c>
      <c r="D58" t="inlineStr"/>
      <c r="E58" t="inlineStr"/>
      <c r="F58" s="44" t="inlineStr">
        <is>
          <t>FY2026 +3.5% = H1 +4% / Q2 +3% (10-Q); FY2027-28 +3%/yr = the Q2 rate held (Tinuiti Q2 CPC +1% is context only per the citation gate; Meta/Amazon ad growth +27%/+26% taking incremental share, agent_2 evidence).</t>
        </is>
      </c>
    </row>
    <row r="59">
      <c r="A59" s="44" t="inlineStr">
        <is>
          <t>driver:cloud_backlog</t>
        </is>
      </c>
      <c r="B59" t="inlineStr">
        <is>
          <t>Google Cloud backlog (remaining performance obligations) at the start of the year: 93.2 -&gt; 242.8/577/660 (estimate)</t>
        </is>
      </c>
      <c r="C59" t="inlineStr">
        <is>
          <t>estimate</t>
        </is>
      </c>
      <c r="D59" t="inlineStr"/>
      <c r="E59" t="inlineStr"/>
      <c r="F59" s="44" t="inlineStr">
        <is>
          <t>base = YE2024 and y1 = YE2025 are filing values (opening backlog of FY2025 / FY2026). y2 (YE2026) = 519.5 + H2-26 bookings at book-to-bill 2.0 x H2 Cloud revenue ~57.2 - 57.2 = 576.7 ~ 577 (Q2 implied book-to-bill (519.5 - 467.6 + 24.8) / 24.8 = 3.1, FY2025 (242.8 - 93.2 + 58.7) / 58.7 = 3.5: 2.0 assumes the Anthropic-size deals do not repeat). y3 (YE2027) = 577 + 2027 revenue 164 x (1.5 - 1) = 659 ~ 660.</t>
        </is>
      </c>
    </row>
    <row r="60">
      <c r="A60" s="44" t="inlineStr">
        <is>
          <t>driver:cloud_conv</t>
        </is>
      </c>
      <c r="B60" t="inlineStr">
        <is>
          <t>Google Cloud revenue / opening backlog: 0.6299 -&gt; 0.42/0.285/0.3 (estimate)</t>
        </is>
      </c>
      <c r="C60" t="inlineStr">
        <is>
          <t>estimate</t>
        </is>
      </c>
      <c r="D60" t="inlineStr"/>
      <c r="E60" t="inlineStr"/>
      <c r="F60" s="44" t="inlineStr">
        <is>
          <t>y1: FY2026 Cloud = H1 44.8 + Q3 ~27.2 + Q4 ~30.0 (Q2 x 1.10, x 1.10 q/q, below Q2 +82% y/y momentum) = ~102.0 / 242.8 = 0.42. y2: ~164 / 577 = 0.285 (&gt;50% of 513.9 in 24 months, 10-Q, ~= 140 from the Q2 backlog in 2027 as TPU system sales land mostly in 2027 per the CFO, plus ~25 from later bookings/consumption). y3: ~198 / 660 = 0.30 (H1-28 tail of the Q2 backlog ~70 x 2 plus newer contracts).</t>
        </is>
      </c>
    </row>
    <row r="61">
      <c r="A61" s="44" t="inlineStr">
        <is>
          <t>driver:capex</t>
        </is>
      </c>
      <c r="B61" t="inlineStr">
        <is>
          <t>Capital expenditures (purchases of property and equipment): 91.45 -&gt; 200/301/339.5 (estimate)</t>
        </is>
      </c>
      <c r="C61" t="inlineStr">
        <is>
          <t>estimate</t>
        </is>
      </c>
      <c r="D61" t="inlineStr"/>
      <c r="E61" t="inlineStr"/>
      <c r="F61" s="44" t="inlineStr">
        <is>
          <t>FY2026 = guide midpoint (H2 implied 119.4 vs H1 80.6; Q2 alone 44.9); FY2027-28 = consensus (the CFO says 2027 will "increase significantly"). Depreciation = capex vintages, 60% servers and network equipment over 6 years (10-K: servers and network equipment generally six years; 60% = the 10-Q share of technical infrastructure assets that are servers and network equipment, 12/31/25 and 6/30/26) and 40% data centre land, buildings and related assets over 15 years (estimate; 10-K buildings seven to 40 years, land not depreciated), half-year convention, all vintages still in life (2011 onward), scaled by k = 0.693 (placed-in-service lag) fitted to FY2025 depreciation $21,136M (10-K cash flow); the segment margins carry the H1-26 intensity (13,586 / 229,692 = 5.92% of revenue, Q2 10-Q) and the excess is charged at Alphabet level.</t>
        </is>
      </c>
    </row>
    <row r="62">
      <c r="A62" s="44" t="inlineStr">
        <is>
          <t>SOTP: Google Services multiple</t>
        </is>
      </c>
      <c r="B62" t="inlineStr">
        <is>
          <t>18.25x</t>
        </is>
      </c>
      <c r="C62" t="inlineStr">
        <is>
          <t>estimate</t>
        </is>
      </c>
      <c r="D62" t="inlineStr">
        <is>
          <t>31, 32, 33, 34, 36, 37, 45, 46, 47, 48, 49, 50, 51, 52, 53, 54, 55, 56, 57, 58, 59</t>
        </is>
      </c>
      <c r="E62" t="inlineStr">
        <is>
          <t>META.price, RDDT.price, APP.price, NFLX.price</t>
        </is>
      </c>
      <c r="F62" s="44" t="inlineStr">
        <is>
          <t>Median CY2027 P/E of the ad / consumer-platform peers at the 2026-10-23 close: META 642.62 / 33.93 = 18.94x; RDDT 144.25 / 6.94 = 20.79x; APP 260.25 / 19.9 = 13.08x; NFLX 65.85 / 3.75 = 17.56x -&gt; median 18.25x (mean of the middle two). Same EPS source and basis as the P/E leg. EPS basis (per-row reconciliation to filings in comps_review.basis_check): GAAP diluted EPS with stock comp as a cost, excluding investment marks and one-offs (MSFT OpenAI items, AMZN Anthropic marks, META settlement / one-off tax), GOOGL's basis; RDDT, APP, NFLX equal GAAP; ORCL mixed but the Cloud median does not depend on it.</t>
        </is>
      </c>
    </row>
    <row r="63">
      <c r="A63" s="44" t="inlineStr">
        <is>
          <t>SOTP: Google Cloud multiple</t>
        </is>
      </c>
      <c r="B63" t="inlineStr">
        <is>
          <t>23.3x</t>
        </is>
      </c>
      <c r="C63" t="inlineStr">
        <is>
          <t>estimate</t>
        </is>
      </c>
      <c r="D63" t="inlineStr">
        <is>
          <t>29, 30, 35, 36, 37, 45, 46, 47, 48, 49, 50, 51, 52, 53, 54, 55, 56, 57, 58, 59</t>
        </is>
      </c>
      <c r="E63" t="inlineStr">
        <is>
          <t>MSFT.price, AMZN.price, ORCL.price</t>
        </is>
      </c>
      <c r="F63" s="44" t="inlineStr">
        <is>
          <t>Median CY2027 P/E of the cloud proxies at the 2026-10-23 close: MSFT 524.51 / (0.5 x FY Jun-27 19.65 + 0.5 x FY Jun-28 23.25 = 21.450) = 24.45x; AMZN 248.0 / (CY2027 10.65) = 23.29x; ORCL 126.16 / (5/12 x FY May-27 6.73 + 7/12 x FY May-28 9.16 = 8.148) = 15.48x -&gt; median 23.3x (AMZN). Whole-company P/Es: no pure-play hyperscaler trades. EPS basis (per-row reconciliation to filings in comps_review.basis_check): GAAP diluted EPS with stock comp as a cost, excluding investment marks and one-offs (MSFT OpenAI items, AMZN Anthropic marks, META settlement / one-off tax), GOOGL's basis; RDDT, APP, NFLX equal GAAP; ORCL mixed but the Cloud median does not depend on it.</t>
        </is>
      </c>
    </row>
    <row r="64">
      <c r="A64" s="44" t="inlineStr">
        <is>
          <t>SOTP: Services and Cloud CY2028E after-tax OI (driver-linked)</t>
        </is>
      </c>
      <c r="B64" t="inlineStr">
        <is>
          <t>$157.4B / $54.5B (base drivers)</t>
        </is>
      </c>
      <c r="C64" t="inlineStr">
        <is>
          <t>estimate</t>
        </is>
      </c>
      <c r="D64" t="inlineStr">
        <is>
          <t>2, 37</t>
        </is>
      </c>
      <c r="E64" t="inlineStr"/>
      <c r="F64" s="44" t="inlineStr">
        <is>
          <t>Same earnings as the P/E leg's CY2028E EPS ($181.4B after tax / 12,423M = $14.60), split by segment: Services OI = (Search 319,092 + Services other 152,881) x 46% = 217,107; Cloud OI = 198,001 x 39% = 77,220 (segment_build FY2028). The capex-vintage depreciation above the H1-26 intensity (5.915% of revenue; FY2028 excess $38,958M) sits in Alphabet-level corporate_ebit in the set; here it is charged to the segments by revenue share (Services 471,973 / 669,973 = 70.4% -&gt; 27,444; Cloud 29.6% -&gt; 11,514), because the set's baseline depreciation is a flat % of every segment's revenue. After tax x 0.83: Services (217,107 - 27,444) x 0.83 = 157,420; Cloud (77,220 - 11,514) x 0.83 = 54,536. Alphabet-level -29,000 x 0.83 = -24,070 and Other Bets -7,800 x 0.83 = -6,474 complete the $181.4B.</t>
        </is>
      </c>
    </row>
    <row r="65">
      <c r="A65" s="44" t="inlineStr">
        <is>
          <t>SOTP: Alphabet-level costs and Other Bets parts</t>
        </is>
      </c>
      <c r="B65" t="inlineStr">
        <is>
          <t>-$24,070M x 18.25x; -$6,474M x 20.8x</t>
        </is>
      </c>
      <c r="C65" t="inlineStr">
        <is>
          <t>estimate</t>
        </is>
      </c>
      <c r="D65" t="inlineStr">
        <is>
          <t>2, 37</t>
        </is>
      </c>
      <c r="E65" t="inlineStr"/>
      <c r="F65" s="44" t="inlineStr">
        <is>
          <t>Alphabet-level costs FY2028 -$29.0B (set constant) x 0.83 at the Services multiple 18.25x (README spec). Other Bets FY2028 -$7.8B run-rate (H1-26 loss $3.899B x 2, 10-Q) x 0.83 at the P/E multiple 20.8x so the Waymo and Isomorphic add-backs (at 20.8x) cancel; their stakes stay in adjustments, not double counted. SpaceX and Anthropic stay in adjustments (equity level, both legs).</t>
        </is>
      </c>
    </row>
    <row r="66">
      <c r="A66" s="44" t="inlineStr">
        <is>
          <t>Leg weights: P/E 0.5, SOTP 0.5</t>
        </is>
      </c>
      <c r="B66" t="inlineStr">
        <is>
          <t>0.5 / 0.5 (was P/E 0.6 / agents' cross-check 0.4)</t>
        </is>
      </c>
      <c r="C66" t="inlineStr">
        <is>
          <t>judgment</t>
        </is>
      </c>
      <c r="D66" t="inlineStr">
        <is>
          <t>37</t>
        </is>
      </c>
      <c r="E66" t="inlineStr"/>
      <c r="F66" s="44" t="inlineStr">
        <is>
          <t>Kilian 2026-10-26 06:07Z: 'googl should have a p/e and sotp leg like amzn'; AMZN carries 0.425 / 0.425 (equal). Judgment, no evidence: an SOTP leg cannot be backtested without segment consensus (empirical-weights). The SOTP replaces the custom leg (mean of the 10-06 agents' SOTP/EV legs, $334.12, kept under replaced_custom_2026_10_26 for the record).</t>
        </is>
      </c>
    </row>
    <row r="68">
      <c r="A68" s="3" t="inlineStr">
        <is>
          <t>#</t>
        </is>
      </c>
      <c r="B68" s="3" t="inlineStr">
        <is>
          <t>Source</t>
        </is>
      </c>
      <c r="C68" s="3" t="inlineStr">
        <is>
          <t>Date</t>
        </is>
      </c>
      <c r="D68" s="3" t="inlineStr">
        <is>
          <t>Link</t>
        </is>
      </c>
    </row>
    <row r="69">
      <c r="A69" t="n">
        <v>1</v>
      </c>
      <c r="B69" s="44" t="inlineStr">
        <is>
          <t>Alphabet Q2 2026 earnings release (8-K Ex. 99.1)</t>
        </is>
      </c>
      <c r="C69" t="inlineStr">
        <is>
          <t>2026-07-22</t>
        </is>
      </c>
      <c r="D69" t="inlineStr">
        <is>
          <t>https://www.sec.gov/Archives/edgar/data/1652044/000165204426000066/googexhibit991q22026.htm</t>
        </is>
      </c>
    </row>
    <row r="70">
      <c r="A70" t="n">
        <v>2</v>
      </c>
      <c r="B70" s="44" t="inlineStr">
        <is>
          <t>Alphabet Form 10-Q, quarter ended 2026-06-30</t>
        </is>
      </c>
      <c r="C70" t="inlineStr">
        <is>
          <t>2026-07-23</t>
        </is>
      </c>
      <c r="D70" t="inlineStr">
        <is>
          <t>https://www.sec.gov/Archives/edgar/data/1652044/000165204426000071/goog-20260630.htm</t>
        </is>
      </c>
    </row>
    <row r="71">
      <c r="A71" t="n">
        <v>3</v>
      </c>
      <c r="B71" s="44" t="inlineStr">
        <is>
          <t>SEC XBRL company facts, Alphabet (CIK 1652044)</t>
        </is>
      </c>
      <c r="C71" t="inlineStr">
        <is>
          <t>2026-10-06</t>
        </is>
      </c>
      <c r="D71" t="inlineStr">
        <is>
          <t>https://data.sec.gov/api/xbrl/companyfacts/CIK0001652044.json</t>
        </is>
      </c>
    </row>
    <row r="72">
      <c r="A72" t="n">
        <v>4</v>
      </c>
      <c r="B72" s="44" t="inlineStr">
        <is>
          <t>EDGAR submissions, Alphabet (no 8-K since 2026-08-10)</t>
        </is>
      </c>
      <c r="C72" t="inlineStr">
        <is>
          <t>2026-10-06</t>
        </is>
      </c>
      <c r="D72" t="inlineStr">
        <is>
          <t>https://data.sec.gov/submissions/CIK0001652044.json</t>
        </is>
      </c>
    </row>
    <row r="73">
      <c r="A73" t="n">
        <v>5</v>
      </c>
      <c r="B73" s="44" t="inlineStr">
        <is>
          <t>Alphabet Q2 2026 earnings call transcript (IR PDF)</t>
        </is>
      </c>
      <c r="C73" t="inlineStr">
        <is>
          <t>2026-07-22</t>
        </is>
      </c>
      <c r="D73" t="inlineStr">
        <is>
          <t>https://s206.q4cdn.com/479360582/files/doc_events/2026/Jul/22/2026_Q2_Earnings_Transcript.pdf</t>
        </is>
      </c>
    </row>
    <row r="74">
      <c r="A74" t="n">
        <v>6</v>
      </c>
      <c r="B74" s="44" t="inlineStr">
        <is>
          <t>Alphabet 8-K: mandatory convertible preferred and capped calls</t>
        </is>
      </c>
      <c r="C74" t="inlineStr">
        <is>
          <t>2026-06-05</t>
        </is>
      </c>
      <c r="D74" t="inlineStr">
        <is>
          <t>https://www.sec.gov/Archives/edgar/data/1652044/000119312526259830/d36818d8k.htm</t>
        </is>
      </c>
    </row>
    <row r="75">
      <c r="A75" t="n">
        <v>7</v>
      </c>
      <c r="B75" s="44" t="inlineStr">
        <is>
          <t>Alphabet announces date of Q3 2026 results call (Oct 28, 1:30pm PT)</t>
        </is>
      </c>
      <c r="C75" t="inlineStr">
        <is>
          <t>2026-10-06</t>
        </is>
      </c>
      <c r="D75" t="inlineStr">
        <is>
          <t>https://abc.xyz/investor/news/news-details/2026/Alphabet-Announces-Date-of-Third-Quarter-2026-Financial-Results-Conference-Call-2026-8tpGZsLS6v/default.aspx</t>
        </is>
      </c>
    </row>
    <row r="76">
      <c r="A76" t="n">
        <v>8</v>
      </c>
      <c r="B76" s="44" t="inlineStr">
        <is>
          <t>Yahoo Finance GOOGL analysis (consensus EPS, trend)</t>
        </is>
      </c>
      <c r="C76" t="inlineStr">
        <is>
          <t>2026-10-06</t>
        </is>
      </c>
      <c r="D76" t="inlineStr">
        <is>
          <t>https://finance.yahoo.com/quote/GOOGL/analysis/</t>
        </is>
      </c>
    </row>
    <row r="77">
      <c r="A77" t="n">
        <v>9</v>
      </c>
      <c r="B77" s="44" t="inlineStr">
        <is>
          <t>MarketScreener Alphabet finances (EPS, capex, FCF, EBIT, EBITDA consensus)</t>
        </is>
      </c>
      <c r="C77" t="inlineStr">
        <is>
          <t>2026-10-06</t>
        </is>
      </c>
      <c r="D77" t="inlineStr">
        <is>
          <t>https://www.marketscreener.com/quote/stock/ALPHABET-INC-24203373/finances/</t>
        </is>
      </c>
    </row>
    <row r="78">
      <c r="A78" t="n">
        <v>10</v>
      </c>
      <c r="B78" s="44" t="inlineStr">
        <is>
          <t>Stock Analysis GOOGL forecast (close $347.68; 2027+ EPS behind 'Pro')</t>
        </is>
      </c>
      <c r="C78" t="inlineStr">
        <is>
          <t>2026-10-06</t>
        </is>
      </c>
      <c r="D78" t="inlineStr">
        <is>
          <t>https://stockanalysis.com/stocks/googl/forecast/</t>
        </is>
      </c>
    </row>
    <row r="79">
      <c r="A79" t="n">
        <v>11</v>
      </c>
      <c r="B79" s="44" t="inlineStr">
        <is>
          <t>24/7 Wall St: FY2027 EPS $14.4741 -&gt; $15.1008 in 90 days</t>
        </is>
      </c>
      <c r="C79" t="inlineStr">
        <is>
          <t>2026-10-05</t>
        </is>
      </c>
      <c r="D79" t="inlineStr">
        <is>
          <t>https://247wallst.com/investing/2026/10/05/the-ai-boom-could-make-this-magnificent-7-stock-a-much-bigger-business/</t>
        </is>
      </c>
    </row>
    <row r="80">
      <c r="A80" t="n">
        <v>12</v>
      </c>
      <c r="B80" s="44" t="inlineStr">
        <is>
          <t>Stock Analysis ORCL / CRM / RDDT forecasts (S&amp;P Global adjusted EPS)</t>
        </is>
      </c>
      <c r="C80" t="inlineStr">
        <is>
          <t>2026-10-06</t>
        </is>
      </c>
      <c r="D80" t="inlineStr">
        <is>
          <t>https://stockanalysis.com/stocks/orcl/forecast/</t>
        </is>
      </c>
    </row>
    <row r="81">
      <c r="A81" t="n">
        <v>13</v>
      </c>
      <c r="B81" s="44" t="inlineStr">
        <is>
          <t>Standing AI-capex view (internal, as of 2026-10-05)</t>
        </is>
      </c>
      <c r="C81" t="inlineStr">
        <is>
          <t>2026-10-05</t>
        </is>
      </c>
      <c r="D81" t="inlineStr">
        <is>
          <t>file:///mnt/project-files/adhoc/nvda_customer_capex.md</t>
        </is>
      </c>
    </row>
    <row r="82">
      <c r="A82" t="n">
        <v>14</v>
      </c>
      <c r="B82" s="44" t="inlineStr">
        <is>
          <t>MarketScreener Microsoft finances (consensus EPS, P/E)</t>
        </is>
      </c>
      <c r="C82" t="inlineStr">
        <is>
          <t>2026-10-06</t>
        </is>
      </c>
      <c r="D82" t="inlineStr">
        <is>
          <t>https://www.marketscreener.com/quote/stock/MICROSOFT-CORPORATION-4835/finances/</t>
        </is>
      </c>
    </row>
    <row r="83">
      <c r="A83" t="n">
        <v>15</v>
      </c>
      <c r="B83" s="44" t="inlineStr">
        <is>
          <t>MarketScreener Amazon finances (consensus EPS, P/E)</t>
        </is>
      </c>
      <c r="C83" t="inlineStr">
        <is>
          <t>2026-10-06</t>
        </is>
      </c>
      <c r="D83" t="inlineStr">
        <is>
          <t>https://www.marketscreener.com/quote/stock/AMAZON-COM-INC-12864605/finances/</t>
        </is>
      </c>
    </row>
    <row r="84">
      <c r="A84" t="n">
        <v>16</v>
      </c>
      <c r="B84" s="44" t="inlineStr">
        <is>
          <t>MarketScreener Meta Platforms finances (consensus EPS, P/E)</t>
        </is>
      </c>
      <c r="C84" t="inlineStr">
        <is>
          <t>2026-10-06</t>
        </is>
      </c>
      <c r="D84" t="inlineStr">
        <is>
          <t>https://www.marketscreener.com/quote/stock/META-PLATFORMS-INC-10547141/finances/</t>
        </is>
      </c>
    </row>
    <row r="85">
      <c r="A85" t="n">
        <v>17</v>
      </c>
      <c r="B85" s="44" t="inlineStr">
        <is>
          <t>MarketScreener Apple finances (consensus EPS, P/E)</t>
        </is>
      </c>
      <c r="C85" t="inlineStr">
        <is>
          <t>2026-10-06</t>
        </is>
      </c>
      <c r="D85" t="inlineStr">
        <is>
          <t>https://www.marketscreener.com/quote/stock/APPLE-INC-4849/finances/</t>
        </is>
      </c>
    </row>
    <row r="86">
      <c r="A86" t="n">
        <v>18</v>
      </c>
      <c r="B86" s="44" t="inlineStr">
        <is>
          <t>MarketScreener Oracle finances (consensus EPS, P/E)</t>
        </is>
      </c>
      <c r="C86" t="inlineStr">
        <is>
          <t>2026-10-06</t>
        </is>
      </c>
      <c r="D86" t="inlineStr">
        <is>
          <t>https://www.marketscreener.com/quote/stock/ORACLE-CORPORATION-13620698/finances/</t>
        </is>
      </c>
    </row>
    <row r="87">
      <c r="A87" t="n">
        <v>19</v>
      </c>
      <c r="B87" s="44" t="inlineStr">
        <is>
          <t>MarketScreener Netflix finances (consensus EPS, P/E)</t>
        </is>
      </c>
      <c r="C87" t="inlineStr">
        <is>
          <t>2026-10-06</t>
        </is>
      </c>
      <c r="D87" t="inlineStr">
        <is>
          <t>https://www.marketscreener.com/quote/stock/NETFLIX-INC-44292425/finances/</t>
        </is>
      </c>
    </row>
    <row r="88">
      <c r="A88" t="n">
        <v>20</v>
      </c>
      <c r="B88" s="44" t="inlineStr">
        <is>
          <t>MarketScreener Salesforce finances (consensus EPS, P/E)</t>
        </is>
      </c>
      <c r="C88" t="inlineStr">
        <is>
          <t>2026-10-06</t>
        </is>
      </c>
      <c r="D88" t="inlineStr">
        <is>
          <t>https://www.marketscreener.com/quote/stock/SALESFORCE-INC-12180/finances/</t>
        </is>
      </c>
    </row>
    <row r="89">
      <c r="A89" t="n">
        <v>21</v>
      </c>
      <c r="B89" s="44" t="inlineStr">
        <is>
          <t>MarketScreener ServiceNow finances (consensus EPS, P/E)</t>
        </is>
      </c>
      <c r="C89" t="inlineStr">
        <is>
          <t>2026-10-06</t>
        </is>
      </c>
      <c r="D89" t="inlineStr">
        <is>
          <t>https://www.marketscreener.com/quote/stock/SERVICENOW-INC-10912979/finances/</t>
        </is>
      </c>
    </row>
    <row r="90">
      <c r="A90" t="n">
        <v>22</v>
      </c>
      <c r="B90" s="44" t="inlineStr">
        <is>
          <t>MarketScreener Adobe finances (consensus EPS, P/E)</t>
        </is>
      </c>
      <c r="C90" t="inlineStr">
        <is>
          <t>2026-10-06</t>
        </is>
      </c>
      <c r="D90" t="inlineStr">
        <is>
          <t>https://www.marketscreener.com/quote/stock/ADOBE-INC-4844/finances/</t>
        </is>
      </c>
    </row>
    <row r="91">
      <c r="A91" t="n">
        <v>23</v>
      </c>
      <c r="B91" s="44" t="inlineStr">
        <is>
          <t>MarketScreener Reddit finances (consensus EPS, P/E)</t>
        </is>
      </c>
      <c r="C91" t="inlineStr">
        <is>
          <t>2026-10-06</t>
        </is>
      </c>
      <c r="D91" t="inlineStr">
        <is>
          <t>https://www.marketscreener.com/quote/stock/REDDIT-INC-167442757/finances/</t>
        </is>
      </c>
    </row>
    <row r="92">
      <c r="A92" t="n">
        <v>24</v>
      </c>
      <c r="B92" s="44" t="inlineStr">
        <is>
          <t>MarketScreener AppLovin finances (consensus EPS, P/E)</t>
        </is>
      </c>
      <c r="C92" t="inlineStr">
        <is>
          <t>2026-10-06</t>
        </is>
      </c>
      <c r="D92" t="inlineStr">
        <is>
          <t>https://www.marketscreener.com/quote/stock/APPLOVIN-CORPORATION-121407289/finances/</t>
        </is>
      </c>
    </row>
    <row r="93">
      <c r="A93" t="n">
        <v>25</v>
      </c>
      <c r="B93" s="44" t="inlineStr">
        <is>
          <t>Alphabet 10-K 2025, Note 1 (servers depreciated generally over six years)</t>
        </is>
      </c>
      <c r="C93" t="inlineStr">
        <is>
          <t>2026-02-05</t>
        </is>
      </c>
      <c r="D93" t="inlineStr">
        <is>
          <t>https://www.sec.gov/Archives/edgar/data/1652044/000165204426000018/R11.htm</t>
        </is>
      </c>
    </row>
    <row r="94">
      <c r="A94" t="n">
        <v>26</v>
      </c>
      <c r="B94" s="44" t="inlineStr">
        <is>
          <t>Stock Analysis price history pages (2026-10-06 closes for GOOGL, SPY and the 11 peers)</t>
        </is>
      </c>
      <c r="C94" t="inlineStr">
        <is>
          <t>2026-10-06</t>
        </is>
      </c>
      <c r="D94" t="inlineStr">
        <is>
          <t>https://stockanalysis.com/stocks/googl/history/</t>
        </is>
      </c>
    </row>
    <row r="95">
      <c r="A95" t="n">
        <v>27</v>
      </c>
      <c r="B95" s="44" t="inlineStr">
        <is>
          <t>SEC XBRL company facts for the 11 peers (10-K diluted GAAP EPS; 10-Q debt, cash, shares)</t>
        </is>
      </c>
      <c r="C95" t="inlineStr">
        <is>
          <t>2026-10-06</t>
        </is>
      </c>
      <c r="D95" t="inlineStr">
        <is>
          <t>https://data.sec.gov/api/xbrl/companyfacts/</t>
        </is>
      </c>
    </row>
    <row r="96">
      <c r="A96" t="n">
        <v>28</v>
      </c>
      <c r="B96" s="44" t="inlineStr">
        <is>
          <t>US Treasury daily par yield curve 2026 (1-year 4.46% on 2026-10-06)</t>
        </is>
      </c>
      <c r="C96" t="inlineStr">
        <is>
          <t>2026-10-06</t>
        </is>
      </c>
      <c r="D96" t="inlineStr">
        <is>
          <t>https://home.treasury.gov/resource-center/data-chart-center/interest-rates/daily-treasury-rates.csv/2026/all?type=daily_treasury_yield_curve&amp;field_tdr_date_value=2026&amp;page&amp;_format=csv</t>
        </is>
      </c>
    </row>
    <row r="97">
      <c r="A97" t="n">
        <v>29</v>
      </c>
      <c r="B97" s="44" t="inlineStr">
        <is>
          <t>Nasdaq.com analyst earnings forecast, MSFT (Zacks consensus EPS by fiscal year)</t>
        </is>
      </c>
      <c r="C97" t="inlineStr">
        <is>
          <t>2026-10-26</t>
        </is>
      </c>
      <c r="D97" t="inlineStr">
        <is>
          <t>https://api.nasdaq.com/api/analyst/MSFT/earnings-forecast</t>
        </is>
      </c>
    </row>
    <row r="98">
      <c r="A98" t="n">
        <v>30</v>
      </c>
      <c r="B98" s="44" t="inlineStr">
        <is>
          <t>Nasdaq.com analyst earnings forecast, AMZN (Zacks consensus EPS by fiscal year)</t>
        </is>
      </c>
      <c r="C98" t="inlineStr">
        <is>
          <t>2026-10-26</t>
        </is>
      </c>
      <c r="D98" t="inlineStr">
        <is>
          <t>https://api.nasdaq.com/api/analyst/AMZN/earnings-forecast</t>
        </is>
      </c>
    </row>
    <row r="99">
      <c r="A99" t="n">
        <v>31</v>
      </c>
      <c r="B99" s="44" t="inlineStr">
        <is>
          <t>Nasdaq.com analyst earnings forecast, META (Zacks consensus EPS by fiscal year)</t>
        </is>
      </c>
      <c r="C99" t="inlineStr">
        <is>
          <t>2026-10-26</t>
        </is>
      </c>
      <c r="D99" t="inlineStr">
        <is>
          <t>https://api.nasdaq.com/api/analyst/META/earnings-forecast</t>
        </is>
      </c>
    </row>
    <row r="100">
      <c r="A100" t="n">
        <v>32</v>
      </c>
      <c r="B100" s="44" t="inlineStr">
        <is>
          <t>Nasdaq.com analyst earnings forecast, RDDT (Zacks consensus EPS by fiscal year)</t>
        </is>
      </c>
      <c r="C100" t="inlineStr">
        <is>
          <t>2026-10-26</t>
        </is>
      </c>
      <c r="D100" t="inlineStr">
        <is>
          <t>https://api.nasdaq.com/api/analyst/RDDT/earnings-forecast</t>
        </is>
      </c>
    </row>
    <row r="101">
      <c r="A101" t="n">
        <v>33</v>
      </c>
      <c r="B101" s="44" t="inlineStr">
        <is>
          <t>Nasdaq.com analyst earnings forecast, APP (Zacks consensus EPS by fiscal year)</t>
        </is>
      </c>
      <c r="C101" t="inlineStr">
        <is>
          <t>2026-10-26</t>
        </is>
      </c>
      <c r="D101" t="inlineStr">
        <is>
          <t>https://api.nasdaq.com/api/analyst/APP/earnings-forecast</t>
        </is>
      </c>
    </row>
    <row r="102">
      <c r="A102" t="n">
        <v>34</v>
      </c>
      <c r="B102" s="44" t="inlineStr">
        <is>
          <t>Nasdaq.com analyst earnings forecast, NFLX (Zacks consensus EPS by fiscal year)</t>
        </is>
      </c>
      <c r="C102" t="inlineStr">
        <is>
          <t>2026-10-26</t>
        </is>
      </c>
      <c r="D102" t="inlineStr">
        <is>
          <t>https://api.nasdaq.com/api/analyst/NFLX/earnings-forecast</t>
        </is>
      </c>
    </row>
    <row r="103">
      <c r="A103" t="n">
        <v>35</v>
      </c>
      <c r="B103" s="44" t="inlineStr">
        <is>
          <t>Nasdaq.com analyst earnings forecast, ORCL (Zacks consensus EPS by fiscal year)</t>
        </is>
      </c>
      <c r="C103" t="inlineStr">
        <is>
          <t>2026-10-26</t>
        </is>
      </c>
      <c r="D103" t="inlineStr">
        <is>
          <t>https://api.nasdaq.com/api/analyst/ORCL/earnings-forecast</t>
        </is>
      </c>
    </row>
    <row r="104">
      <c r="A104" t="n">
        <v>36</v>
      </c>
      <c r="B104" s="44" t="inlineStr">
        <is>
          <t>Peer comps table, GOOGL 2026-10-23 (peers.py: 2026-10-23 closes, Yahoo chart feed; SEC XBRL)</t>
        </is>
      </c>
      <c r="C104" t="inlineStr">
        <is>
          <t>2026-10-26</t>
        </is>
      </c>
      <c r="D104" t="inlineStr">
        <is>
          <t>file:///mnt/project-files/valuation/runs/2026-10-23/GOOGL/peers.md</t>
        </is>
      </c>
    </row>
    <row r="105">
      <c r="A105" t="n">
        <v>37</v>
      </c>
      <c r="B105" s="44" t="inlineStr">
        <is>
          <t>Held-name peer refresh package (Kilian 2026-10-26 06:07Z: approved sets, country/regulatory exclusions, GOOGL SOTP spec)</t>
        </is>
      </c>
      <c r="C105" t="inlineStr">
        <is>
          <t>2026-10-26</t>
        </is>
      </c>
      <c r="D105" t="inlineStr">
        <is>
          <t>file:///mnt/project-files/valuation/peer_refresh_2026-10-26/README.md</t>
        </is>
      </c>
    </row>
    <row r="106">
      <c r="A106" t="n">
        <v>38</v>
      </c>
      <c r="B106" s="44" t="inlineStr">
        <is>
          <t>Yahoo chart feed, MSFT (2026-10-23 close)</t>
        </is>
      </c>
      <c r="C106" t="inlineStr">
        <is>
          <t>2026-10-23</t>
        </is>
      </c>
      <c r="D106" t="inlineStr">
        <is>
          <t>https://query1.finance.yahoo.com/v8/finance/chart/MSFT</t>
        </is>
      </c>
    </row>
    <row r="107">
      <c r="A107" t="n">
        <v>39</v>
      </c>
      <c r="B107" s="44" t="inlineStr">
        <is>
          <t>Yahoo chart feed, AMZN (2026-10-23 close)</t>
        </is>
      </c>
      <c r="C107" t="inlineStr">
        <is>
          <t>2026-10-23</t>
        </is>
      </c>
      <c r="D107" t="inlineStr">
        <is>
          <t>https://query1.finance.yahoo.com/v8/finance/chart/AMZN</t>
        </is>
      </c>
    </row>
    <row r="108">
      <c r="A108" t="n">
        <v>40</v>
      </c>
      <c r="B108" s="44" t="inlineStr">
        <is>
          <t>Yahoo chart feed, META (2026-10-23 close)</t>
        </is>
      </c>
      <c r="C108" t="inlineStr">
        <is>
          <t>2026-10-23</t>
        </is>
      </c>
      <c r="D108" t="inlineStr">
        <is>
          <t>https://query1.finance.yahoo.com/v8/finance/chart/META</t>
        </is>
      </c>
    </row>
    <row r="109">
      <c r="A109" t="n">
        <v>41</v>
      </c>
      <c r="B109" s="44" t="inlineStr">
        <is>
          <t>Yahoo chart feed, RDDT (2026-10-23 close)</t>
        </is>
      </c>
      <c r="C109" t="inlineStr">
        <is>
          <t>2026-10-23</t>
        </is>
      </c>
      <c r="D109" t="inlineStr">
        <is>
          <t>https://query1.finance.yahoo.com/v8/finance/chart/RDDT</t>
        </is>
      </c>
    </row>
    <row r="110">
      <c r="A110" t="n">
        <v>42</v>
      </c>
      <c r="B110" s="44" t="inlineStr">
        <is>
          <t>Yahoo chart feed, APP (2026-10-23 close)</t>
        </is>
      </c>
      <c r="C110" t="inlineStr">
        <is>
          <t>2026-10-23</t>
        </is>
      </c>
      <c r="D110" t="inlineStr">
        <is>
          <t>https://query1.finance.yahoo.com/v8/finance/chart/APP</t>
        </is>
      </c>
    </row>
    <row r="111">
      <c r="A111" t="n">
        <v>43</v>
      </c>
      <c r="B111" s="44" t="inlineStr">
        <is>
          <t>Yahoo chart feed, NFLX (2026-10-23 close)</t>
        </is>
      </c>
      <c r="C111" t="inlineStr">
        <is>
          <t>2026-10-23</t>
        </is>
      </c>
      <c r="D111" t="inlineStr">
        <is>
          <t>https://query1.finance.yahoo.com/v8/finance/chart/NFLX</t>
        </is>
      </c>
    </row>
    <row r="112">
      <c r="A112" t="n">
        <v>44</v>
      </c>
      <c r="B112" s="44" t="inlineStr">
        <is>
          <t>Yahoo chart feed, ORCL (2026-10-23 close)</t>
        </is>
      </c>
      <c r="C112" t="inlineStr">
        <is>
          <t>2026-10-23</t>
        </is>
      </c>
      <c r="D112" t="inlineStr">
        <is>
          <t>https://query1.finance.yahoo.com/v8/finance/chart/ORCL</t>
        </is>
      </c>
    </row>
    <row r="113">
      <c r="A113" t="n">
        <v>45</v>
      </c>
      <c r="B113" s="44" t="inlineStr">
        <is>
          <t>Nasdaq.com earnings-surprise pages (Zacks reported EPS by quarter) for MSFT AMZN META RDDT APP NFLX ORCL</t>
        </is>
      </c>
      <c r="C113" t="inlineStr">
        <is>
          <t>2026-10-26</t>
        </is>
      </c>
      <c r="D113" t="inlineStr">
        <is>
          <t>https://api.nasdaq.com/api/company/META/earnings-surprise</t>
        </is>
      </c>
    </row>
    <row r="114">
      <c r="A114" t="n">
        <v>46</v>
      </c>
      <c r="B114" s="44" t="inlineStr">
        <is>
          <t>SEC XBRL companyfacts EarningsPerShareDiluted for the 7 peers (data.sec.gov/api/xbrl/companyfacts/CIK##########.json)</t>
        </is>
      </c>
      <c r="C114" t="inlineStr">
        <is>
          <t>2026-10-26</t>
        </is>
      </c>
      <c r="D114" t="inlineStr">
        <is>
          <t>https://data.sec.gov/api/xbrl/companyfacts/CIK0001326801.json</t>
        </is>
      </c>
    </row>
    <row r="115">
      <c r="A115" t="n">
        <v>47</v>
      </c>
      <c r="B115" s="44" t="inlineStr">
        <is>
          <t>Oracle Q1 FY2027 results (8-K Ex. 99.1): GAAP EPS $1.56, non-GAAP EPS $1.92</t>
        </is>
      </c>
      <c r="C115" t="inlineStr">
        <is>
          <t>2026-09-10</t>
        </is>
      </c>
      <c r="D115" t="inlineStr">
        <is>
          <t>https://www.sec.gov/Archives/edgar/data/1341439/000119312526387905/orcl-ex99_1.htm</t>
        </is>
      </c>
    </row>
    <row r="116">
      <c r="A116" t="n">
        <v>48</v>
      </c>
      <c r="B116" s="44" t="inlineStr">
        <is>
          <t>SEC XBRL companyfacts, Microsoft (CIK 789019): quarterly NetIncomeLoss, OtherNonoperatingIncomeExpense, tax, diluted shares, EPS</t>
        </is>
      </c>
      <c r="C116" t="inlineStr">
        <is>
          <t>2026-10-26</t>
        </is>
      </c>
      <c r="D116" t="inlineStr">
        <is>
          <t>https://data.sec.gov/api/xbrl/companyfacts/CIK0000789019.json</t>
        </is>
      </c>
    </row>
    <row r="117">
      <c r="A117" t="n">
        <v>49</v>
      </c>
      <c r="B117" s="44" t="inlineStr">
        <is>
          <t>SEC XBRL companyfacts, Amazon (CIK 1018724)</t>
        </is>
      </c>
      <c r="C117" t="inlineStr">
        <is>
          <t>2026-10-26</t>
        </is>
      </c>
      <c r="D117" t="inlineStr">
        <is>
          <t>https://data.sec.gov/api/xbrl/companyfacts/CIK0001018724.json</t>
        </is>
      </c>
    </row>
    <row r="118">
      <c r="A118" t="n">
        <v>50</v>
      </c>
      <c r="B118" s="44" t="inlineStr">
        <is>
          <t>SEC XBRL companyfacts, Oracle (CIK 1341439)</t>
        </is>
      </c>
      <c r="C118" t="inlineStr">
        <is>
          <t>2026-10-26</t>
        </is>
      </c>
      <c r="D118" t="inlineStr">
        <is>
          <t>https://data.sec.gov/api/xbrl/companyfacts/CIK0001341439.json</t>
        </is>
      </c>
    </row>
    <row r="119">
      <c r="A119" t="n">
        <v>51</v>
      </c>
      <c r="B119" s="44" t="inlineStr">
        <is>
          <t>SEC XBRL companyfacts, RDDT</t>
        </is>
      </c>
      <c r="C119" t="inlineStr">
        <is>
          <t>2026-10-26</t>
        </is>
      </c>
      <c r="D119" t="inlineStr">
        <is>
          <t>https://data.sec.gov/api/xbrl/companyfacts/CIK0001713445.json</t>
        </is>
      </c>
    </row>
    <row r="120">
      <c r="A120" t="n">
        <v>52</v>
      </c>
      <c r="B120" s="44" t="inlineStr">
        <is>
          <t>SEC XBRL companyfacts, APP</t>
        </is>
      </c>
      <c r="C120" t="inlineStr">
        <is>
          <t>2026-10-26</t>
        </is>
      </c>
      <c r="D120" t="inlineStr">
        <is>
          <t>https://data.sec.gov/api/xbrl/companyfacts/CIK0001751008.json</t>
        </is>
      </c>
    </row>
    <row r="121">
      <c r="A121" t="n">
        <v>53</v>
      </c>
      <c r="B121" s="44" t="inlineStr">
        <is>
          <t>SEC XBRL companyfacts, NFLX</t>
        </is>
      </c>
      <c r="C121" t="inlineStr">
        <is>
          <t>2026-10-26</t>
        </is>
      </c>
      <c r="D121" t="inlineStr">
        <is>
          <t>https://data.sec.gov/api/xbrl/companyfacts/CIK0001065280.json</t>
        </is>
      </c>
    </row>
    <row r="122">
      <c r="A122" t="n">
        <v>54</v>
      </c>
      <c r="B122" s="44" t="inlineStr">
        <is>
          <t>Nasdaq.com earnings-surprise, MSFT (Zacks reported EPS by quarter)</t>
        </is>
      </c>
      <c r="C122" t="inlineStr">
        <is>
          <t>2026-10-26</t>
        </is>
      </c>
      <c r="D122" t="inlineStr">
        <is>
          <t>https://api.nasdaq.com/api/company/MSFT/earnings-surprise</t>
        </is>
      </c>
    </row>
    <row r="123">
      <c r="A123" t="n">
        <v>55</v>
      </c>
      <c r="B123" s="44" t="inlineStr">
        <is>
          <t>Nasdaq.com earnings-surprise, AMZN (Zacks reported EPS by quarter)</t>
        </is>
      </c>
      <c r="C123" t="inlineStr">
        <is>
          <t>2026-10-26</t>
        </is>
      </c>
      <c r="D123" t="inlineStr">
        <is>
          <t>https://api.nasdaq.com/api/company/AMZN/earnings-surprise</t>
        </is>
      </c>
    </row>
    <row r="124">
      <c r="A124" t="n">
        <v>56</v>
      </c>
      <c r="B124" s="44" t="inlineStr">
        <is>
          <t>Nasdaq.com earnings-surprise, RDDT (Zacks reported EPS by quarter)</t>
        </is>
      </c>
      <c r="C124" t="inlineStr">
        <is>
          <t>2026-10-26</t>
        </is>
      </c>
      <c r="D124" t="inlineStr">
        <is>
          <t>https://api.nasdaq.com/api/company/RDDT/earnings-surprise</t>
        </is>
      </c>
    </row>
    <row r="125">
      <c r="A125" t="n">
        <v>57</v>
      </c>
      <c r="B125" s="44" t="inlineStr">
        <is>
          <t>Nasdaq.com earnings-surprise, APP (Zacks reported EPS by quarter)</t>
        </is>
      </c>
      <c r="C125" t="inlineStr">
        <is>
          <t>2026-10-26</t>
        </is>
      </c>
      <c r="D125" t="inlineStr">
        <is>
          <t>https://api.nasdaq.com/api/company/APP/earnings-surprise</t>
        </is>
      </c>
    </row>
    <row r="126">
      <c r="A126" t="n">
        <v>58</v>
      </c>
      <c r="B126" s="44" t="inlineStr">
        <is>
          <t>Nasdaq.com earnings-surprise, NFLX (Zacks reported EPS by quarter)</t>
        </is>
      </c>
      <c r="C126" t="inlineStr">
        <is>
          <t>2026-10-26</t>
        </is>
      </c>
      <c r="D126" t="inlineStr">
        <is>
          <t>https://api.nasdaq.com/api/company/NFLX/earnings-surprise</t>
        </is>
      </c>
    </row>
    <row r="127">
      <c r="A127" t="n">
        <v>59</v>
      </c>
      <c r="B127" s="44" t="inlineStr">
        <is>
          <t>Nasdaq.com earnings-surprise, ORCL (Zacks reported EPS by quarter)</t>
        </is>
      </c>
      <c r="C127" t="inlineStr">
        <is>
          <t>2026-10-26</t>
        </is>
      </c>
      <c r="D127" t="inlineStr">
        <is>
          <t>https://api.nasdaq.com/api/company/ORCL/earnings-surprise</t>
        </is>
      </c>
    </row>
    <row r="129">
      <c r="A129" s="3" t="inlineStr">
        <is>
          <t>Fact id</t>
        </is>
      </c>
      <c r="B129" s="3" t="inlineStr">
        <is>
          <t>Figure</t>
        </is>
      </c>
      <c r="C129" s="3" t="inlineStr">
        <is>
          <t>Value</t>
        </is>
      </c>
      <c r="D129" s="3" t="inlineStr">
        <is>
          <t>Filing</t>
        </is>
      </c>
    </row>
    <row r="130">
      <c r="A130" t="inlineStr">
        <is>
          <t>F1</t>
        </is>
      </c>
      <c r="B130" t="inlineStr">
        <is>
          <t>revenue FY ending 2023-12-31 (us-gaap:Revenues)</t>
        </is>
      </c>
      <c r="C130" s="50" t="n">
        <v>307394000000</v>
      </c>
      <c r="D130" t="inlineStr">
        <is>
          <t>https://www.sec.gov/Archives/edgar/data/1652044/000165204426000018/</t>
        </is>
      </c>
    </row>
    <row r="131">
      <c r="A131" t="inlineStr">
        <is>
          <t>F2</t>
        </is>
      </c>
      <c r="B131" t="inlineStr">
        <is>
          <t>revenue FY ending 2024-12-31 (us-gaap:Revenues)</t>
        </is>
      </c>
      <c r="C131" s="50" t="n">
        <v>350018000000</v>
      </c>
      <c r="D131" t="inlineStr">
        <is>
          <t>https://www.sec.gov/Archives/edgar/data/1652044/000165204426000018/</t>
        </is>
      </c>
    </row>
    <row r="132">
      <c r="A132" t="inlineStr">
        <is>
          <t>F3</t>
        </is>
      </c>
      <c r="B132" t="inlineStr">
        <is>
          <t>revenue FY ending 2025-12-31 (us-gaap:Revenues)</t>
        </is>
      </c>
      <c r="C132" s="50" t="n">
        <v>402836000000</v>
      </c>
      <c r="D132" t="inlineStr">
        <is>
          <t>https://www.sec.gov/Archives/edgar/data/1652044/000165204426000018/</t>
        </is>
      </c>
    </row>
    <row r="133">
      <c r="A133" t="inlineStr">
        <is>
          <t>F4</t>
        </is>
      </c>
      <c r="B133" t="inlineStr">
        <is>
          <t>revenue YTD 2026-01-01 to 2026-06-30</t>
        </is>
      </c>
      <c r="C133" s="50" t="n">
        <v>229692000000</v>
      </c>
      <c r="D133" t="inlineStr">
        <is>
          <t>https://www.sec.gov/Archives/edgar/data/1652044/000165204426000071/</t>
        </is>
      </c>
    </row>
    <row r="134">
      <c r="A134" t="inlineStr">
        <is>
          <t>F5</t>
        </is>
      </c>
      <c r="B134" t="inlineStr">
        <is>
          <t>revenue prior-year YTD 2025-01-01 to 2025-06-30</t>
        </is>
      </c>
      <c r="C134" s="50" t="n">
        <v>186662000000</v>
      </c>
      <c r="D134" t="inlineStr">
        <is>
          <t>https://www.sec.gov/Archives/edgar/data/1652044/000165204426000071/</t>
        </is>
      </c>
    </row>
    <row r="135">
      <c r="A135" t="inlineStr">
        <is>
          <t>F6</t>
        </is>
      </c>
      <c r="B135" t="inlineStr">
        <is>
          <t>revenue TTM to 2026-06-30</t>
        </is>
      </c>
      <c r="C135" s="50" t="n">
        <v>445866000000</v>
      </c>
    </row>
    <row r="136">
      <c r="A136" t="inlineStr">
        <is>
          <t>F7</t>
        </is>
      </c>
      <c r="B136" t="inlineStr">
        <is>
          <t>revenue quarter 2026-04-01 to 2026-06-30</t>
        </is>
      </c>
      <c r="C136" s="50" t="n">
        <v>119796000000</v>
      </c>
      <c r="D136" t="inlineStr">
        <is>
          <t>https://www.sec.gov/Archives/edgar/data/1652044/000165204426000071/</t>
        </is>
      </c>
    </row>
    <row r="137">
      <c r="A137" t="inlineStr">
        <is>
          <t>F8</t>
        </is>
      </c>
      <c r="B137" t="inlineStr">
        <is>
          <t>operating_income FY ending 2023-12-31 (us-gaap:OperatingIncomeLoss)</t>
        </is>
      </c>
      <c r="C137" s="50" t="n">
        <v>84293000000</v>
      </c>
      <c r="D137" t="inlineStr">
        <is>
          <t>https://www.sec.gov/Archives/edgar/data/1652044/000165204426000018/</t>
        </is>
      </c>
    </row>
    <row r="138">
      <c r="A138" t="inlineStr">
        <is>
          <t>F9</t>
        </is>
      </c>
      <c r="B138" t="inlineStr">
        <is>
          <t>operating_income FY ending 2024-12-31 (us-gaap:OperatingIncomeLoss)</t>
        </is>
      </c>
      <c r="C138" s="50" t="n">
        <v>112390000000</v>
      </c>
      <c r="D138" t="inlineStr">
        <is>
          <t>https://www.sec.gov/Archives/edgar/data/1652044/000165204426000018/</t>
        </is>
      </c>
    </row>
    <row r="139">
      <c r="A139" t="inlineStr">
        <is>
          <t>F10</t>
        </is>
      </c>
      <c r="B139" t="inlineStr">
        <is>
          <t>operating_income FY ending 2025-12-31 (us-gaap:OperatingIncomeLoss)</t>
        </is>
      </c>
      <c r="C139" s="50" t="n">
        <v>129039000000</v>
      </c>
      <c r="D139" t="inlineStr">
        <is>
          <t>https://www.sec.gov/Archives/edgar/data/1652044/000165204426000018/</t>
        </is>
      </c>
    </row>
    <row r="140">
      <c r="A140" t="inlineStr">
        <is>
          <t>F11</t>
        </is>
      </c>
      <c r="B140" t="inlineStr">
        <is>
          <t>operating_income YTD 2026-01-01 to 2026-06-30</t>
        </is>
      </c>
      <c r="C140" s="50" t="n">
        <v>80466000000</v>
      </c>
      <c r="D140" t="inlineStr">
        <is>
          <t>https://www.sec.gov/Archives/edgar/data/1652044/000165204426000071/</t>
        </is>
      </c>
    </row>
    <row r="141">
      <c r="A141" t="inlineStr">
        <is>
          <t>F12</t>
        </is>
      </c>
      <c r="B141" t="inlineStr">
        <is>
          <t>operating_income prior-year YTD 2025-01-01 to 2025-06-30</t>
        </is>
      </c>
      <c r="C141" s="50" t="n">
        <v>61877000000</v>
      </c>
      <c r="D141" t="inlineStr">
        <is>
          <t>https://www.sec.gov/Archives/edgar/data/1652044/000165204426000071/</t>
        </is>
      </c>
    </row>
    <row r="142">
      <c r="A142" t="inlineStr">
        <is>
          <t>F13</t>
        </is>
      </c>
      <c r="B142" t="inlineStr">
        <is>
          <t>operating_income TTM to 2026-06-30</t>
        </is>
      </c>
      <c r="C142" s="50" t="n">
        <v>147628000000</v>
      </c>
    </row>
    <row r="143">
      <c r="A143" t="inlineStr">
        <is>
          <t>F14</t>
        </is>
      </c>
      <c r="B143" t="inlineStr">
        <is>
          <t>operating_income quarter 2026-04-01 to 2026-06-30</t>
        </is>
      </c>
      <c r="C143" s="50" t="n">
        <v>40770000000</v>
      </c>
      <c r="D143" t="inlineStr">
        <is>
          <t>https://www.sec.gov/Archives/edgar/data/1652044/000165204426000071/</t>
        </is>
      </c>
    </row>
    <row r="144">
      <c r="A144" t="inlineStr">
        <is>
          <t>F15</t>
        </is>
      </c>
      <c r="B144" t="inlineStr">
        <is>
          <t>net_income FY ending 2023-12-31 (us-gaap:NetIncomeLoss)</t>
        </is>
      </c>
      <c r="C144" s="50" t="n">
        <v>73795000000</v>
      </c>
      <c r="D144" t="inlineStr">
        <is>
          <t>https://www.sec.gov/Archives/edgar/data/1652044/000165204426000018/</t>
        </is>
      </c>
    </row>
    <row r="145">
      <c r="A145" t="inlineStr">
        <is>
          <t>F16</t>
        </is>
      </c>
      <c r="B145" t="inlineStr">
        <is>
          <t>net_income FY ending 2024-12-31 (us-gaap:NetIncomeLoss)</t>
        </is>
      </c>
      <c r="C145" s="50" t="n">
        <v>100118000000</v>
      </c>
      <c r="D145" t="inlineStr">
        <is>
          <t>https://www.sec.gov/Archives/edgar/data/1652044/000165204426000018/</t>
        </is>
      </c>
    </row>
    <row r="146">
      <c r="A146" t="inlineStr">
        <is>
          <t>F17</t>
        </is>
      </c>
      <c r="B146" t="inlineStr">
        <is>
          <t>net_income FY ending 2025-12-31 (us-gaap:NetIncomeLoss)</t>
        </is>
      </c>
      <c r="C146" s="50" t="n">
        <v>132170000000</v>
      </c>
      <c r="D146" t="inlineStr">
        <is>
          <t>https://www.sec.gov/Archives/edgar/data/1652044/000165204426000018/</t>
        </is>
      </c>
    </row>
    <row r="147">
      <c r="A147" t="inlineStr">
        <is>
          <t>F18</t>
        </is>
      </c>
      <c r="B147" t="inlineStr">
        <is>
          <t>net_income YTD 2026-01-01 to 2026-06-30</t>
        </is>
      </c>
      <c r="C147" s="50" t="n">
        <v>174771000000</v>
      </c>
      <c r="D147" t="inlineStr">
        <is>
          <t>https://www.sec.gov/Archives/edgar/data/1652044/000165204426000071/</t>
        </is>
      </c>
    </row>
    <row r="148">
      <c r="A148" t="inlineStr">
        <is>
          <t>F19</t>
        </is>
      </c>
      <c r="B148" t="inlineStr">
        <is>
          <t>net_income prior-year YTD 2025-01-01 to 2025-06-30</t>
        </is>
      </c>
      <c r="C148" s="50" t="n">
        <v>62736000000</v>
      </c>
      <c r="D148" t="inlineStr">
        <is>
          <t>https://www.sec.gov/Archives/edgar/data/1652044/000165204426000071/</t>
        </is>
      </c>
    </row>
    <row r="149">
      <c r="A149" t="inlineStr">
        <is>
          <t>F20</t>
        </is>
      </c>
      <c r="B149" t="inlineStr">
        <is>
          <t>net_income TTM to 2026-06-30</t>
        </is>
      </c>
      <c r="C149" s="50" t="n">
        <v>244205000000</v>
      </c>
    </row>
    <row r="150">
      <c r="A150" t="inlineStr">
        <is>
          <t>F21</t>
        </is>
      </c>
      <c r="B150" t="inlineStr">
        <is>
          <t>net_income quarter 2026-04-01 to 2026-06-30</t>
        </is>
      </c>
      <c r="C150" s="50" t="n">
        <v>112193000000</v>
      </c>
      <c r="D150" t="inlineStr">
        <is>
          <t>https://www.sec.gov/Archives/edgar/data/1652044/000165204426000071/</t>
        </is>
      </c>
    </row>
    <row r="151">
      <c r="A151" t="inlineStr">
        <is>
          <t>F22</t>
        </is>
      </c>
      <c r="B151" t="inlineStr">
        <is>
          <t>eps_diluted FY ending 2023-12-31 (us-gaap:EarningsPerShareDiluted)</t>
        </is>
      </c>
      <c r="C151" s="50" t="n">
        <v>5.8</v>
      </c>
      <c r="D151" t="inlineStr">
        <is>
          <t>https://www.sec.gov/Archives/edgar/data/1652044/000165204426000018/</t>
        </is>
      </c>
    </row>
    <row r="152">
      <c r="A152" t="inlineStr">
        <is>
          <t>F23</t>
        </is>
      </c>
      <c r="B152" t="inlineStr">
        <is>
          <t>eps_diluted FY ending 2024-12-31 (us-gaap:EarningsPerShareDiluted)</t>
        </is>
      </c>
      <c r="C152" s="50" t="n">
        <v>8.039999999999999</v>
      </c>
      <c r="D152" t="inlineStr">
        <is>
          <t>https://www.sec.gov/Archives/edgar/data/1652044/000165204426000018/</t>
        </is>
      </c>
    </row>
    <row r="153">
      <c r="A153" t="inlineStr">
        <is>
          <t>F24</t>
        </is>
      </c>
      <c r="B153" t="inlineStr">
        <is>
          <t>eps_diluted FY ending 2025-12-31 (us-gaap:EarningsPerShareDiluted)</t>
        </is>
      </c>
      <c r="C153" s="50" t="n">
        <v>10.81</v>
      </c>
      <c r="D153" t="inlineStr">
        <is>
          <t>https://www.sec.gov/Archives/edgar/data/1652044/000165204426000018/</t>
        </is>
      </c>
    </row>
    <row r="154">
      <c r="A154" t="inlineStr">
        <is>
          <t>F25</t>
        </is>
      </c>
      <c r="B154" t="inlineStr">
        <is>
          <t>eps_diluted YTD 2026-01-01 to 2026-06-30</t>
        </is>
      </c>
      <c r="C154" s="50" t="n">
        <v>14.24</v>
      </c>
      <c r="D154" t="inlineStr">
        <is>
          <t>https://www.sec.gov/Archives/edgar/data/1652044/000165204426000071/</t>
        </is>
      </c>
    </row>
    <row r="155">
      <c r="A155" t="inlineStr">
        <is>
          <t>F26</t>
        </is>
      </c>
      <c r="B155" t="inlineStr">
        <is>
          <t>eps_diluted prior-year YTD 2025-01-01 to 2025-06-30</t>
        </is>
      </c>
      <c r="C155" s="50" t="n">
        <v>5.12</v>
      </c>
      <c r="D155" t="inlineStr">
        <is>
          <t>https://www.sec.gov/Archives/edgar/data/1652044/000165204426000071/</t>
        </is>
      </c>
    </row>
    <row r="156">
      <c r="A156" t="inlineStr">
        <is>
          <t>F27</t>
        </is>
      </c>
      <c r="B156" t="inlineStr">
        <is>
          <t>eps_diluted quarter 2026-04-01 to 2026-06-30</t>
        </is>
      </c>
      <c r="C156" s="50" t="n">
        <v>9.109999999999999</v>
      </c>
      <c r="D156" t="inlineStr">
        <is>
          <t>https://www.sec.gov/Archives/edgar/data/1652044/000165204426000071/</t>
        </is>
      </c>
    </row>
    <row r="157">
      <c r="A157" t="inlineStr">
        <is>
          <t>F28</t>
        </is>
      </c>
      <c r="B157" t="inlineStr">
        <is>
          <t>diluted_shares_wavg FY ending 2023-12-31 (us-gaap:WeightedAverageNumberOfDilutedSharesOutstanding)</t>
        </is>
      </c>
      <c r="C157" s="50" t="n">
        <v>12722000000</v>
      </c>
      <c r="D157" t="inlineStr">
        <is>
          <t>https://www.sec.gov/Archives/edgar/data/1652044/000165204426000018/</t>
        </is>
      </c>
    </row>
    <row r="158">
      <c r="A158" t="inlineStr">
        <is>
          <t>F29</t>
        </is>
      </c>
      <c r="B158" t="inlineStr">
        <is>
          <t>diluted_shares_wavg FY ending 2024-12-31 (us-gaap:WeightedAverageNumberOfDilutedSharesOutstanding)</t>
        </is>
      </c>
      <c r="C158" s="50" t="n">
        <v>12447000000</v>
      </c>
      <c r="D158" t="inlineStr">
        <is>
          <t>https://www.sec.gov/Archives/edgar/data/1652044/000165204426000018/</t>
        </is>
      </c>
    </row>
    <row r="159">
      <c r="A159" t="inlineStr">
        <is>
          <t>F30</t>
        </is>
      </c>
      <c r="B159" t="inlineStr">
        <is>
          <t>diluted_shares_wavg FY ending 2025-12-31 (us-gaap:WeightedAverageNumberOfDilutedSharesOutstanding)</t>
        </is>
      </c>
      <c r="C159" s="50" t="n">
        <v>12230000000</v>
      </c>
      <c r="D159" t="inlineStr">
        <is>
          <t>https://www.sec.gov/Archives/edgar/data/1652044/000165204426000018/</t>
        </is>
      </c>
    </row>
    <row r="160">
      <c r="A160" t="inlineStr">
        <is>
          <t>F31</t>
        </is>
      </c>
      <c r="B160" t="inlineStr">
        <is>
          <t>diluted_shares_wavg YTD 2026-01-01 to 2026-06-30</t>
        </is>
      </c>
      <c r="C160" s="50" t="n">
        <v>12274000000</v>
      </c>
      <c r="D160" t="inlineStr">
        <is>
          <t>https://www.sec.gov/Archives/edgar/data/1652044/000165204426000071/</t>
        </is>
      </c>
    </row>
    <row r="161">
      <c r="A161" t="inlineStr">
        <is>
          <t>F32</t>
        </is>
      </c>
      <c r="B161" t="inlineStr">
        <is>
          <t>diluted_shares_wavg prior-year YTD 2025-01-01 to 2025-06-30</t>
        </is>
      </c>
      <c r="C161" s="50" t="n">
        <v>12245000000</v>
      </c>
      <c r="D161" t="inlineStr">
        <is>
          <t>https://www.sec.gov/Archives/edgar/data/1652044/000165204426000071/</t>
        </is>
      </c>
    </row>
    <row r="162">
      <c r="A162" t="inlineStr">
        <is>
          <t>F33</t>
        </is>
      </c>
      <c r="B162" t="inlineStr">
        <is>
          <t>diluted_shares_wavg quarter 2026-04-01 to 2026-06-30</t>
        </is>
      </c>
      <c r="C162" s="50" t="n">
        <v>12309000000</v>
      </c>
      <c r="D162" t="inlineStr">
        <is>
          <t>https://www.sec.gov/Archives/edgar/data/1652044/000165204426000071/</t>
        </is>
      </c>
    </row>
    <row r="163">
      <c r="A163" t="inlineStr">
        <is>
          <t>F34</t>
        </is>
      </c>
      <c r="B163" t="inlineStr">
        <is>
          <t>sbc FY ending 2023-12-31 (us-gaap:ShareBasedCompensation)</t>
        </is>
      </c>
      <c r="C163" s="50" t="n">
        <v>22460000000</v>
      </c>
      <c r="D163" t="inlineStr">
        <is>
          <t>https://www.sec.gov/Archives/edgar/data/1652044/000165204426000018/</t>
        </is>
      </c>
    </row>
    <row r="164">
      <c r="A164" t="inlineStr">
        <is>
          <t>F35</t>
        </is>
      </c>
      <c r="B164" t="inlineStr">
        <is>
          <t>sbc FY ending 2024-12-31 (us-gaap:ShareBasedCompensation)</t>
        </is>
      </c>
      <c r="C164" s="50" t="n">
        <v>22785000000</v>
      </c>
      <c r="D164" t="inlineStr">
        <is>
          <t>https://www.sec.gov/Archives/edgar/data/1652044/000165204426000018/</t>
        </is>
      </c>
    </row>
    <row r="165">
      <c r="A165" t="inlineStr">
        <is>
          <t>F36</t>
        </is>
      </c>
      <c r="B165" t="inlineStr">
        <is>
          <t>sbc FY ending 2025-12-31 (us-gaap:ShareBasedCompensation)</t>
        </is>
      </c>
      <c r="C165" s="50" t="n">
        <v>24953000000</v>
      </c>
      <c r="D165" t="inlineStr">
        <is>
          <t>https://www.sec.gov/Archives/edgar/data/1652044/000165204426000018/</t>
        </is>
      </c>
    </row>
    <row r="166">
      <c r="A166" t="inlineStr">
        <is>
          <t>F37</t>
        </is>
      </c>
      <c r="B166" t="inlineStr">
        <is>
          <t>sbc YTD 2026-01-01 to 2026-06-30</t>
        </is>
      </c>
      <c r="C166" s="50" t="n">
        <v>14708000000</v>
      </c>
      <c r="D166" t="inlineStr">
        <is>
          <t>https://www.sec.gov/Archives/edgar/data/1652044/000165204426000071/</t>
        </is>
      </c>
    </row>
    <row r="167">
      <c r="A167" t="inlineStr">
        <is>
          <t>F38</t>
        </is>
      </c>
      <c r="B167" t="inlineStr">
        <is>
          <t>sbc prior-year YTD 2025-01-01 to 2025-06-30</t>
        </is>
      </c>
      <c r="C167" s="50" t="n">
        <v>11514000000</v>
      </c>
      <c r="D167" t="inlineStr">
        <is>
          <t>https://www.sec.gov/Archives/edgar/data/1652044/000165204426000071/</t>
        </is>
      </c>
    </row>
    <row r="168">
      <c r="A168" t="inlineStr">
        <is>
          <t>F39</t>
        </is>
      </c>
      <c r="B168" t="inlineStr">
        <is>
          <t>sbc TTM to 2026-06-30</t>
        </is>
      </c>
      <c r="C168" s="50" t="n">
        <v>28147000000</v>
      </c>
    </row>
    <row r="169">
      <c r="A169" t="inlineStr">
        <is>
          <t>F40</t>
        </is>
      </c>
      <c r="B169" t="inlineStr">
        <is>
          <t>sbc quarter 2026-01-01 to 2026-03-31</t>
        </is>
      </c>
      <c r="C169" s="50" t="n">
        <v>6751000000</v>
      </c>
      <c r="D169" t="inlineStr">
        <is>
          <t>https://www.sec.gov/Archives/edgar/data/1652044/000165204426000048/</t>
        </is>
      </c>
    </row>
    <row r="170">
      <c r="A170" t="inlineStr">
        <is>
          <t>F41</t>
        </is>
      </c>
      <c r="B170" t="inlineStr">
        <is>
          <t>cfo FY ending 2023-12-31 (us-gaap:NetCashProvidedByUsedInOperatingActivities)</t>
        </is>
      </c>
      <c r="C170" s="50" t="n">
        <v>101746000000</v>
      </c>
      <c r="D170" t="inlineStr">
        <is>
          <t>https://www.sec.gov/Archives/edgar/data/1652044/000165204426000018/</t>
        </is>
      </c>
    </row>
    <row r="171">
      <c r="A171" t="inlineStr">
        <is>
          <t>F42</t>
        </is>
      </c>
      <c r="B171" t="inlineStr">
        <is>
          <t>cfo FY ending 2024-12-31 (us-gaap:NetCashProvidedByUsedInOperatingActivities)</t>
        </is>
      </c>
      <c r="C171" s="50" t="n">
        <v>125299000000</v>
      </c>
      <c r="D171" t="inlineStr">
        <is>
          <t>https://www.sec.gov/Archives/edgar/data/1652044/000165204426000018/</t>
        </is>
      </c>
    </row>
    <row r="172">
      <c r="A172" t="inlineStr">
        <is>
          <t>F43</t>
        </is>
      </c>
      <c r="B172" t="inlineStr">
        <is>
          <t>cfo FY ending 2025-12-31 (us-gaap:NetCashProvidedByUsedInOperatingActivities)</t>
        </is>
      </c>
      <c r="C172" s="50" t="n">
        <v>164713000000</v>
      </c>
      <c r="D172" t="inlineStr">
        <is>
          <t>https://www.sec.gov/Archives/edgar/data/1652044/000165204426000018/</t>
        </is>
      </c>
    </row>
    <row r="173">
      <c r="A173" t="inlineStr">
        <is>
          <t>F44</t>
        </is>
      </c>
      <c r="B173" t="inlineStr">
        <is>
          <t>cfo YTD 2026-01-01 to 2026-06-30</t>
        </is>
      </c>
      <c r="C173" s="50" t="n">
        <v>84859000000</v>
      </c>
      <c r="D173" t="inlineStr">
        <is>
          <t>https://www.sec.gov/Archives/edgar/data/1652044/000165204426000071/</t>
        </is>
      </c>
    </row>
    <row r="174">
      <c r="A174" t="inlineStr">
        <is>
          <t>F45</t>
        </is>
      </c>
      <c r="B174" t="inlineStr">
        <is>
          <t>cfo prior-year YTD 2025-01-01 to 2025-06-30</t>
        </is>
      </c>
      <c r="C174" s="50" t="n">
        <v>63897000000</v>
      </c>
      <c r="D174" t="inlineStr">
        <is>
          <t>https://www.sec.gov/Archives/edgar/data/1652044/000165204426000071/</t>
        </is>
      </c>
    </row>
    <row r="175">
      <c r="A175" t="inlineStr">
        <is>
          <t>F46</t>
        </is>
      </c>
      <c r="B175" t="inlineStr">
        <is>
          <t>cfo TTM to 2026-06-30</t>
        </is>
      </c>
      <c r="C175" s="50" t="n">
        <v>185675000000</v>
      </c>
    </row>
    <row r="176">
      <c r="A176" t="inlineStr">
        <is>
          <t>F47</t>
        </is>
      </c>
      <c r="B176" t="inlineStr">
        <is>
          <t>cfo quarter 2026-01-01 to 2026-03-31</t>
        </is>
      </c>
      <c r="C176" s="50" t="n">
        <v>45790000000</v>
      </c>
      <c r="D176" t="inlineStr">
        <is>
          <t>https://www.sec.gov/Archives/edgar/data/1652044/000165204426000048/</t>
        </is>
      </c>
    </row>
    <row r="177">
      <c r="A177" t="inlineStr">
        <is>
          <t>F48</t>
        </is>
      </c>
      <c r="B177" t="inlineStr">
        <is>
          <t>capex FY ending 2023-12-31 (us-gaap:PaymentsToAcquirePropertyPlantAndEquipment)</t>
        </is>
      </c>
      <c r="C177" s="50" t="n">
        <v>32251000000</v>
      </c>
      <c r="D177" t="inlineStr">
        <is>
          <t>https://www.sec.gov/Archives/edgar/data/1652044/000165204426000018/</t>
        </is>
      </c>
    </row>
    <row r="178">
      <c r="A178" t="inlineStr">
        <is>
          <t>F49</t>
        </is>
      </c>
      <c r="B178" t="inlineStr">
        <is>
          <t>capex FY ending 2024-12-31 (us-gaap:PaymentsToAcquirePropertyPlantAndEquipment)</t>
        </is>
      </c>
      <c r="C178" s="50" t="n">
        <v>52535000000</v>
      </c>
      <c r="D178" t="inlineStr">
        <is>
          <t>https://www.sec.gov/Archives/edgar/data/1652044/000165204426000018/</t>
        </is>
      </c>
    </row>
    <row r="179">
      <c r="A179" t="inlineStr">
        <is>
          <t>F50</t>
        </is>
      </c>
      <c r="B179" t="inlineStr">
        <is>
          <t>capex FY ending 2025-12-31 (us-gaap:PaymentsToAcquirePropertyPlantAndEquipment)</t>
        </is>
      </c>
      <c r="C179" s="50" t="n">
        <v>91447000000</v>
      </c>
      <c r="D179" t="inlineStr">
        <is>
          <t>https://www.sec.gov/Archives/edgar/data/1652044/000165204426000018/</t>
        </is>
      </c>
    </row>
    <row r="180">
      <c r="A180" t="inlineStr">
        <is>
          <t>F51</t>
        </is>
      </c>
      <c r="B180" t="inlineStr">
        <is>
          <t>capex YTD 2026-01-01 to 2026-06-30</t>
        </is>
      </c>
      <c r="C180" s="50" t="n">
        <v>80598000000</v>
      </c>
      <c r="D180" t="inlineStr">
        <is>
          <t>https://www.sec.gov/Archives/edgar/data/1652044/000165204426000071/</t>
        </is>
      </c>
    </row>
    <row r="181">
      <c r="A181" t="inlineStr">
        <is>
          <t>F52</t>
        </is>
      </c>
      <c r="B181" t="inlineStr">
        <is>
          <t>capex prior-year YTD 2025-01-01 to 2025-06-30</t>
        </is>
      </c>
      <c r="C181" s="50" t="n">
        <v>39643000000</v>
      </c>
      <c r="D181" t="inlineStr">
        <is>
          <t>https://www.sec.gov/Archives/edgar/data/1652044/000165204426000071/</t>
        </is>
      </c>
    </row>
    <row r="182">
      <c r="A182" t="inlineStr">
        <is>
          <t>F53</t>
        </is>
      </c>
      <c r="B182" t="inlineStr">
        <is>
          <t>capex TTM to 2026-06-30</t>
        </is>
      </c>
      <c r="C182" s="50" t="n">
        <v>132402000000</v>
      </c>
    </row>
    <row r="183">
      <c r="A183" t="inlineStr">
        <is>
          <t>F54</t>
        </is>
      </c>
      <c r="B183" t="inlineStr">
        <is>
          <t>capex quarter 2026-01-01 to 2026-03-31</t>
        </is>
      </c>
      <c r="C183" s="50" t="n">
        <v>35674000000</v>
      </c>
      <c r="D183" t="inlineStr">
        <is>
          <t>https://www.sec.gov/Archives/edgar/data/1652044/000165204426000048/</t>
        </is>
      </c>
    </row>
    <row r="184">
      <c r="A184" t="inlineStr">
        <is>
          <t>F55</t>
        </is>
      </c>
      <c r="B184" t="inlineStr">
        <is>
          <t>buybacks FY ending 2023-12-31 (us-gaap:PaymentsForRepurchaseOfCommonStock)</t>
        </is>
      </c>
      <c r="C184" s="50" t="n">
        <v>61504000000</v>
      </c>
      <c r="D184" t="inlineStr">
        <is>
          <t>https://www.sec.gov/Archives/edgar/data/1652044/000165204426000018/</t>
        </is>
      </c>
    </row>
    <row r="185">
      <c r="A185" t="inlineStr">
        <is>
          <t>F56</t>
        </is>
      </c>
      <c r="B185" t="inlineStr">
        <is>
          <t>buybacks FY ending 2024-12-31 (us-gaap:PaymentsForRepurchaseOfCommonStock)</t>
        </is>
      </c>
      <c r="C185" s="50" t="n">
        <v>62222000000</v>
      </c>
      <c r="D185" t="inlineStr">
        <is>
          <t>https://www.sec.gov/Archives/edgar/data/1652044/000165204426000018/</t>
        </is>
      </c>
    </row>
    <row r="186">
      <c r="A186" t="inlineStr">
        <is>
          <t>F57</t>
        </is>
      </c>
      <c r="B186" t="inlineStr">
        <is>
          <t>buybacks FY ending 2025-12-31 (us-gaap:PaymentsForRepurchaseOfCommonStock)</t>
        </is>
      </c>
      <c r="C186" s="50" t="n">
        <v>45709000000</v>
      </c>
      <c r="D186" t="inlineStr">
        <is>
          <t>https://www.sec.gov/Archives/edgar/data/1652044/000165204426000018/</t>
        </is>
      </c>
    </row>
    <row r="187">
      <c r="A187" t="inlineStr">
        <is>
          <t>F58</t>
        </is>
      </c>
      <c r="B187" t="inlineStr">
        <is>
          <t>buybacks YTD 2026-01-01 to 2026-06-30</t>
        </is>
      </c>
      <c r="C187" s="50" t="n">
        <v>0</v>
      </c>
      <c r="D187" t="inlineStr">
        <is>
          <t>https://www.sec.gov/Archives/edgar/data/1652044/000165204426000071/</t>
        </is>
      </c>
    </row>
    <row r="188">
      <c r="A188" t="inlineStr">
        <is>
          <t>F59</t>
        </is>
      </c>
      <c r="B188" t="inlineStr">
        <is>
          <t>buybacks prior-year YTD 2025-01-01 to 2025-06-30</t>
        </is>
      </c>
      <c r="C188" s="50" t="n">
        <v>28306000000</v>
      </c>
      <c r="D188" t="inlineStr">
        <is>
          <t>https://www.sec.gov/Archives/edgar/data/1652044/000165204426000071/</t>
        </is>
      </c>
    </row>
    <row r="189">
      <c r="A189" t="inlineStr">
        <is>
          <t>F60</t>
        </is>
      </c>
      <c r="B189" t="inlineStr">
        <is>
          <t>buybacks TTM to 2026-06-30</t>
        </is>
      </c>
      <c r="C189" s="50" t="n">
        <v>17403000000</v>
      </c>
    </row>
    <row r="190">
      <c r="A190" t="inlineStr">
        <is>
          <t>F61</t>
        </is>
      </c>
      <c r="B190" t="inlineStr">
        <is>
          <t>buybacks quarter 2026-01-01 to 2026-03-31</t>
        </is>
      </c>
      <c r="C190" s="50" t="n">
        <v>0</v>
      </c>
      <c r="D190" t="inlineStr">
        <is>
          <t>https://www.sec.gov/Archives/edgar/data/1652044/000165204426000048/</t>
        </is>
      </c>
    </row>
    <row r="191">
      <c r="A191" t="inlineStr">
        <is>
          <t>F62</t>
        </is>
      </c>
      <c r="B191" t="inlineStr">
        <is>
          <t>dividends_paid FY ending 2023-12-31 (us-gaap:PaymentsOfDividends)</t>
        </is>
      </c>
      <c r="C191" s="50" t="n">
        <v>0</v>
      </c>
      <c r="D191" t="inlineStr">
        <is>
          <t>https://www.sec.gov/Archives/edgar/data/1652044/000165204426000018/</t>
        </is>
      </c>
    </row>
    <row r="192">
      <c r="A192" t="inlineStr">
        <is>
          <t>F63</t>
        </is>
      </c>
      <c r="B192" t="inlineStr">
        <is>
          <t>dividends_paid FY ending 2024-12-31 (us-gaap:PaymentsOfDividends)</t>
        </is>
      </c>
      <c r="C192" s="50" t="n">
        <v>7363000000</v>
      </c>
      <c r="D192" t="inlineStr">
        <is>
          <t>https://www.sec.gov/Archives/edgar/data/1652044/000165204426000018/</t>
        </is>
      </c>
    </row>
    <row r="193">
      <c r="A193" t="inlineStr">
        <is>
          <t>F64</t>
        </is>
      </c>
      <c r="B193" t="inlineStr">
        <is>
          <t>dividends_paid FY ending 2025-12-31 (us-gaap:PaymentsOfDividends)</t>
        </is>
      </c>
      <c r="C193" s="50" t="n">
        <v>10049000000</v>
      </c>
      <c r="D193" t="inlineStr">
        <is>
          <t>https://www.sec.gov/Archives/edgar/data/1652044/000165204426000018/</t>
        </is>
      </c>
    </row>
    <row r="194">
      <c r="A194" t="inlineStr">
        <is>
          <t>F65</t>
        </is>
      </c>
      <c r="B194" t="inlineStr">
        <is>
          <t>dividends_paid YTD 2026-01-01 to 2026-03-31</t>
        </is>
      </c>
      <c r="C194" s="50" t="n">
        <v>2542000000</v>
      </c>
      <c r="D194" t="inlineStr">
        <is>
          <t>https://www.sec.gov/Archives/edgar/data/1652044/000165204426000048/</t>
        </is>
      </c>
    </row>
    <row r="195">
      <c r="A195" t="inlineStr">
        <is>
          <t>F66</t>
        </is>
      </c>
      <c r="B195" t="inlineStr">
        <is>
          <t>dividends_paid prior-year YTD 2025-01-01 to 2025-03-31</t>
        </is>
      </c>
      <c r="C195" s="50" t="n">
        <v>2434000000</v>
      </c>
      <c r="D195" t="inlineStr">
        <is>
          <t>https://www.sec.gov/Archives/edgar/data/1652044/000165204426000048/</t>
        </is>
      </c>
    </row>
    <row r="196">
      <c r="A196" t="inlineStr">
        <is>
          <t>F67</t>
        </is>
      </c>
      <c r="B196" t="inlineStr">
        <is>
          <t>dividends_paid TTM to 2026-03-31</t>
        </is>
      </c>
      <c r="C196" s="50" t="n">
        <v>10157000000</v>
      </c>
    </row>
    <row r="197">
      <c r="A197" t="inlineStr">
        <is>
          <t>F68</t>
        </is>
      </c>
      <c r="B197" t="inlineStr">
        <is>
          <t>dividends_paid quarter 2026-01-01 to 2026-03-31</t>
        </is>
      </c>
      <c r="C197" s="50" t="n">
        <v>2542000000</v>
      </c>
      <c r="D197" t="inlineStr">
        <is>
          <t>https://www.sec.gov/Archives/edgar/data/1652044/000165204426000048/</t>
        </is>
      </c>
    </row>
    <row r="198">
      <c r="A198" t="inlineStr">
        <is>
          <t>F69</t>
        </is>
      </c>
      <c r="B198" t="inlineStr">
        <is>
          <t>interest_expense FY ending 2023-12-31 (us-gaap:InterestExpenseNonoperating)</t>
        </is>
      </c>
      <c r="C198" s="50" t="n">
        <v>308000000</v>
      </c>
      <c r="D198" t="inlineStr">
        <is>
          <t>https://www.sec.gov/Archives/edgar/data/1652044/000165204426000018/</t>
        </is>
      </c>
    </row>
    <row r="199">
      <c r="A199" t="inlineStr">
        <is>
          <t>F70</t>
        </is>
      </c>
      <c r="B199" t="inlineStr">
        <is>
          <t>interest_expense FY ending 2024-12-31 (us-gaap:InterestExpenseNonoperating)</t>
        </is>
      </c>
      <c r="C199" s="50" t="n">
        <v>268000000</v>
      </c>
      <c r="D199" t="inlineStr">
        <is>
          <t>https://www.sec.gov/Archives/edgar/data/1652044/000165204426000018/</t>
        </is>
      </c>
    </row>
    <row r="200">
      <c r="A200" t="inlineStr">
        <is>
          <t>F71</t>
        </is>
      </c>
      <c r="B200" t="inlineStr">
        <is>
          <t>interest_expense FY ending 2025-12-31 (us-gaap:InterestExpenseNonoperating)</t>
        </is>
      </c>
      <c r="C200" s="50" t="n">
        <v>736000000</v>
      </c>
      <c r="D200" t="inlineStr">
        <is>
          <t>https://www.sec.gov/Archives/edgar/data/1652044/000165204426000018/</t>
        </is>
      </c>
    </row>
    <row r="201">
      <c r="A201" t="inlineStr">
        <is>
          <t>F72</t>
        </is>
      </c>
      <c r="B201" t="inlineStr">
        <is>
          <t>interest_expense YTD 2026-01-01 to 2026-06-30</t>
        </is>
      </c>
      <c r="C201" s="50" t="n">
        <v>1811000000</v>
      </c>
      <c r="D201" t="inlineStr">
        <is>
          <t>https://www.sec.gov/Archives/edgar/data/1652044/000165204426000071/</t>
        </is>
      </c>
    </row>
    <row r="202">
      <c r="A202" t="inlineStr">
        <is>
          <t>F73</t>
        </is>
      </c>
      <c r="B202" t="inlineStr">
        <is>
          <t>interest_expense prior-year YTD 2025-01-01 to 2025-06-30</t>
        </is>
      </c>
      <c r="C202" s="50" t="n">
        <v>295000000</v>
      </c>
      <c r="D202" t="inlineStr">
        <is>
          <t>https://www.sec.gov/Archives/edgar/data/1652044/000165204426000071/</t>
        </is>
      </c>
    </row>
    <row r="203">
      <c r="A203" t="inlineStr">
        <is>
          <t>F74</t>
        </is>
      </c>
      <c r="B203" t="inlineStr">
        <is>
          <t>interest_expense TTM to 2026-06-30</t>
        </is>
      </c>
      <c r="C203" s="50" t="n">
        <v>2252000000</v>
      </c>
    </row>
    <row r="204">
      <c r="A204" t="inlineStr">
        <is>
          <t>F75</t>
        </is>
      </c>
      <c r="B204" t="inlineStr">
        <is>
          <t>interest_expense quarter 2026-04-01 to 2026-06-30</t>
        </is>
      </c>
      <c r="C204" s="50" t="n">
        <v>1278000000</v>
      </c>
      <c r="D204" t="inlineStr">
        <is>
          <t>https://www.sec.gov/Archives/edgar/data/1652044/000165204426000071/</t>
        </is>
      </c>
    </row>
    <row r="205">
      <c r="A205" t="inlineStr">
        <is>
          <t>F76</t>
        </is>
      </c>
      <c r="B205" t="inlineStr">
        <is>
          <t>income_tax FY ending 2023-12-31 (us-gaap:IncomeTaxExpenseBenefit)</t>
        </is>
      </c>
      <c r="C205" s="50" t="n">
        <v>11922000000</v>
      </c>
      <c r="D205" t="inlineStr">
        <is>
          <t>https://www.sec.gov/Archives/edgar/data/1652044/000165204426000018/</t>
        </is>
      </c>
    </row>
    <row r="206">
      <c r="A206" t="inlineStr">
        <is>
          <t>F77</t>
        </is>
      </c>
      <c r="B206" t="inlineStr">
        <is>
          <t>income_tax FY ending 2024-12-31 (us-gaap:IncomeTaxExpenseBenefit)</t>
        </is>
      </c>
      <c r="C206" s="50" t="n">
        <v>19697000000</v>
      </c>
      <c r="D206" t="inlineStr">
        <is>
          <t>https://www.sec.gov/Archives/edgar/data/1652044/000165204426000018/</t>
        </is>
      </c>
    </row>
    <row r="207">
      <c r="A207" t="inlineStr">
        <is>
          <t>F78</t>
        </is>
      </c>
      <c r="B207" t="inlineStr">
        <is>
          <t>income_tax FY ending 2025-12-31 (us-gaap:IncomeTaxExpenseBenefit)</t>
        </is>
      </c>
      <c r="C207" s="50" t="n">
        <v>26656000000</v>
      </c>
      <c r="D207" t="inlineStr">
        <is>
          <t>https://www.sec.gov/Archives/edgar/data/1652044/000165204426000018/</t>
        </is>
      </c>
    </row>
    <row r="208">
      <c r="A208" t="inlineStr">
        <is>
          <t>F79</t>
        </is>
      </c>
      <c r="B208" t="inlineStr">
        <is>
          <t>income_tax YTD 2026-01-01 to 2026-06-30</t>
        </is>
      </c>
      <c r="C208" s="50" t="n">
        <v>41394000000</v>
      </c>
      <c r="D208" t="inlineStr">
        <is>
          <t>https://www.sec.gov/Archives/edgar/data/1652044/000165204426000071/</t>
        </is>
      </c>
    </row>
    <row r="209">
      <c r="A209" t="inlineStr">
        <is>
          <t>F80</t>
        </is>
      </c>
      <c r="B209" t="inlineStr">
        <is>
          <t>income_tax prior-year YTD 2025-01-01 to 2025-06-30</t>
        </is>
      </c>
      <c r="C209" s="50" t="n">
        <v>12986000000</v>
      </c>
      <c r="D209" t="inlineStr">
        <is>
          <t>https://www.sec.gov/Archives/edgar/data/1652044/000165204426000071/</t>
        </is>
      </c>
    </row>
    <row r="210">
      <c r="A210" t="inlineStr">
        <is>
          <t>F81</t>
        </is>
      </c>
      <c r="B210" t="inlineStr">
        <is>
          <t>income_tax TTM to 2026-06-30</t>
        </is>
      </c>
      <c r="C210" s="50" t="n">
        <v>55064000000</v>
      </c>
    </row>
    <row r="211">
      <c r="A211" t="inlineStr">
        <is>
          <t>F82</t>
        </is>
      </c>
      <c r="B211" t="inlineStr">
        <is>
          <t>income_tax quarter 2026-04-01 to 2026-06-30</t>
        </is>
      </c>
      <c r="C211" s="50" t="n">
        <v>26560000000</v>
      </c>
      <c r="D211" t="inlineStr">
        <is>
          <t>https://www.sec.gov/Archives/edgar/data/1652044/000165204426000071/</t>
        </is>
      </c>
    </row>
    <row r="212">
      <c r="A212" t="inlineStr">
        <is>
          <t>F83</t>
        </is>
      </c>
      <c r="B212" t="inlineStr">
        <is>
          <t>pretax_income FY ending 2023-12-31 (us-gaap:IncomeLossFromContinuingOperationsBeforeIncomeTaxesExtraordinaryItemsNoncontrollingInterest)</t>
        </is>
      </c>
      <c r="C212" s="50" t="n">
        <v>85717000000</v>
      </c>
      <c r="D212" t="inlineStr">
        <is>
          <t>https://www.sec.gov/Archives/edgar/data/1652044/000165204426000018/</t>
        </is>
      </c>
    </row>
    <row r="213">
      <c r="A213" t="inlineStr">
        <is>
          <t>F84</t>
        </is>
      </c>
      <c r="B213" t="inlineStr">
        <is>
          <t>pretax_income FY ending 2024-12-31 (us-gaap:IncomeLossFromContinuingOperationsBeforeIncomeTaxesExtraordinaryItemsNoncontrollingInterest)</t>
        </is>
      </c>
      <c r="C213" s="50" t="n">
        <v>119815000000</v>
      </c>
      <c r="D213" t="inlineStr">
        <is>
          <t>https://www.sec.gov/Archives/edgar/data/1652044/000165204426000018/</t>
        </is>
      </c>
    </row>
    <row r="214">
      <c r="A214" t="inlineStr">
        <is>
          <t>F85</t>
        </is>
      </c>
      <c r="B214" t="inlineStr">
        <is>
          <t>pretax_income FY ending 2025-12-31 (us-gaap:IncomeLossFromContinuingOperationsBeforeIncomeTaxesExtraordinaryItemsNoncontrollingInterest)</t>
        </is>
      </c>
      <c r="C214" s="50" t="n">
        <v>158826000000</v>
      </c>
      <c r="D214" t="inlineStr">
        <is>
          <t>https://www.sec.gov/Archives/edgar/data/1652044/000165204426000018/</t>
        </is>
      </c>
    </row>
    <row r="215">
      <c r="A215" t="inlineStr">
        <is>
          <t>F86</t>
        </is>
      </c>
      <c r="B215" t="inlineStr">
        <is>
          <t>pretax_income YTD 2026-01-01 to 2026-06-30</t>
        </is>
      </c>
      <c r="C215" s="50" t="n">
        <v>216165000000</v>
      </c>
      <c r="D215" t="inlineStr">
        <is>
          <t>https://www.sec.gov/Archives/edgar/data/1652044/000165204426000071/</t>
        </is>
      </c>
    </row>
    <row r="216">
      <c r="A216" t="inlineStr">
        <is>
          <t>F87</t>
        </is>
      </c>
      <c r="B216" t="inlineStr">
        <is>
          <t>pretax_income prior-year YTD 2025-01-01 to 2025-06-30</t>
        </is>
      </c>
      <c r="C216" s="50" t="n">
        <v>75722000000</v>
      </c>
      <c r="D216" t="inlineStr">
        <is>
          <t>https://www.sec.gov/Archives/edgar/data/1652044/000165204426000071/</t>
        </is>
      </c>
    </row>
    <row r="217">
      <c r="A217" t="inlineStr">
        <is>
          <t>F88</t>
        </is>
      </c>
      <c r="B217" t="inlineStr">
        <is>
          <t>pretax_income TTM to 2026-06-30</t>
        </is>
      </c>
      <c r="C217" s="50" t="n">
        <v>299269000000</v>
      </c>
    </row>
    <row r="218">
      <c r="A218" t="inlineStr">
        <is>
          <t>F89</t>
        </is>
      </c>
      <c r="B218" t="inlineStr">
        <is>
          <t>pretax_income quarter 2026-04-01 to 2026-06-30</t>
        </is>
      </c>
      <c r="C218" s="50" t="n">
        <v>138753000000</v>
      </c>
      <c r="D218" t="inlineStr">
        <is>
          <t>https://www.sec.gov/Archives/edgar/data/1652044/000165204426000071/</t>
        </is>
      </c>
    </row>
    <row r="219">
      <c r="A219" t="inlineStr">
        <is>
          <t>F90</t>
        </is>
      </c>
      <c r="B219" t="inlineStr">
        <is>
          <t>cash at 2026-06-30 (us-gaap:CashAndCashEquivalentsAtCarryingValue)</t>
        </is>
      </c>
      <c r="C219" s="50" t="n">
        <v>55911000000</v>
      </c>
      <c r="D219" t="inlineStr">
        <is>
          <t>https://www.sec.gov/Archives/edgar/data/1652044/000165204426000071/</t>
        </is>
      </c>
    </row>
    <row r="220">
      <c r="A220" t="inlineStr">
        <is>
          <t>F91</t>
        </is>
      </c>
      <c r="B220" t="inlineStr">
        <is>
          <t>st_investments at 2026-06-30 (us-gaap:MarketableSecuritiesCurrent)</t>
        </is>
      </c>
      <c r="C220" s="50" t="n">
        <v>186563000000</v>
      </c>
      <c r="D220" t="inlineStr">
        <is>
          <t>https://www.sec.gov/Archives/edgar/data/1652044/000165204426000071/</t>
        </is>
      </c>
    </row>
    <row r="221">
      <c r="A221" t="inlineStr">
        <is>
          <t>F92</t>
        </is>
      </c>
      <c r="B221" t="inlineStr">
        <is>
          <t>debt_noncurrent at 2026-06-30 (us-gaap:LongTermDebtNoncurrent)</t>
        </is>
      </c>
      <c r="C221" s="50" t="n">
        <v>98165000000</v>
      </c>
      <c r="D221" t="inlineStr">
        <is>
          <t>https://www.sec.gov/Archives/edgar/data/1652044/000165204426000071/</t>
        </is>
      </c>
    </row>
    <row r="222">
      <c r="A222" t="inlineStr">
        <is>
          <t>F93</t>
        </is>
      </c>
      <c r="B222" t="inlineStr">
        <is>
          <t>debt_current at 2026-06-30 (us-gaap:LongTermDebtCurrent)</t>
        </is>
      </c>
      <c r="C222" s="50" t="n">
        <v>1999000000</v>
      </c>
      <c r="D222" t="inlineStr">
        <is>
          <t>https://www.sec.gov/Archives/edgar/data/1652044/000165204426000071/</t>
        </is>
      </c>
    </row>
    <row r="223">
      <c r="A223" t="inlineStr">
        <is>
          <t>F94</t>
        </is>
      </c>
      <c r="B223" t="inlineStr">
        <is>
          <t>st_borrowings at 2026-06-30 (us-gaap:CommercialPaper)</t>
        </is>
      </c>
      <c r="C223" s="50" t="n">
        <v>0</v>
      </c>
      <c r="D223" t="inlineStr">
        <is>
          <t>https://www.sec.gov/Archives/edgar/data/1652044/000165204426000071/</t>
        </is>
      </c>
    </row>
    <row r="224">
      <c r="A224" t="inlineStr">
        <is>
          <t>F95</t>
        </is>
      </c>
      <c r="B224" t="inlineStr">
        <is>
          <t>equity at 2026-06-30 (us-gaap:StockholdersEquity)</t>
        </is>
      </c>
      <c r="C224" s="50" t="n">
        <v>640480000000</v>
      </c>
      <c r="D224" t="inlineStr">
        <is>
          <t>https://www.sec.gov/Archives/edgar/data/1652044/000165204426000071/</t>
        </is>
      </c>
    </row>
    <row r="225">
      <c r="A225" t="inlineStr">
        <is>
          <t>F96</t>
        </is>
      </c>
      <c r="B225" t="inlineStr">
        <is>
          <t>shares: latest quarter diluted weighted average (cover-page count not in standard tags)</t>
        </is>
      </c>
      <c r="C225" s="50" t="n">
        <v>12309000000</v>
      </c>
    </row>
    <row r="226">
      <c r="A226" t="inlineStr">
        <is>
          <t>F97</t>
        </is>
      </c>
      <c r="B226" t="inlineStr">
        <is>
          <t>total debt (XBRL tags; excludes leases unless tagged in; check the balance sheet)</t>
        </is>
      </c>
      <c r="C226" s="50" t="n">
        <v>100164000000</v>
      </c>
    </row>
    <row r="227">
      <c r="A227" t="inlineStr">
        <is>
          <t>F98</t>
        </is>
      </c>
      <c r="B227" t="inlineStr">
        <is>
          <t>net debt = debt - cash - short-term investments</t>
        </is>
      </c>
      <c r="C227" s="50" t="n">
        <v>-142310000000</v>
      </c>
    </row>
    <row r="228">
      <c r="A228" t="inlineStr">
        <is>
          <t>F99</t>
        </is>
      </c>
      <c r="B228" t="inlineStr">
        <is>
          <t>free cash flow TTM = operating cash flow - capex (before SBC adjustment)</t>
        </is>
      </c>
      <c r="C228" s="50" t="n">
        <v>53273000000</v>
      </c>
    </row>
    <row r="229">
      <c r="A229" t="inlineStr">
        <is>
          <t>F100</t>
        </is>
      </c>
      <c r="B229" t="inlineStr">
        <is>
          <t>diluted EPS TTM approx = net income TTM / latest quarter diluted shares</t>
        </is>
      </c>
      <c r="C229" s="50" t="n">
        <v>19.83954829799334</v>
      </c>
    </row>
  </sheetData>
  <hyperlinks>
    <hyperlink xmlns:r="http://schemas.openxmlformats.org/officeDocument/2006/relationships" ref="D69" r:id="rId1"/>
    <hyperlink xmlns:r="http://schemas.openxmlformats.org/officeDocument/2006/relationships" ref="D70" r:id="rId2"/>
    <hyperlink xmlns:r="http://schemas.openxmlformats.org/officeDocument/2006/relationships" ref="D71" r:id="rId3"/>
    <hyperlink xmlns:r="http://schemas.openxmlformats.org/officeDocument/2006/relationships" ref="D72" r:id="rId4"/>
    <hyperlink xmlns:r="http://schemas.openxmlformats.org/officeDocument/2006/relationships" ref="D73" r:id="rId5"/>
    <hyperlink xmlns:r="http://schemas.openxmlformats.org/officeDocument/2006/relationships" ref="D74" r:id="rId6"/>
    <hyperlink xmlns:r="http://schemas.openxmlformats.org/officeDocument/2006/relationships" ref="D75" r:id="rId7"/>
    <hyperlink xmlns:r="http://schemas.openxmlformats.org/officeDocument/2006/relationships" ref="D76" r:id="rId8"/>
    <hyperlink xmlns:r="http://schemas.openxmlformats.org/officeDocument/2006/relationships" ref="D77" r:id="rId9"/>
    <hyperlink xmlns:r="http://schemas.openxmlformats.org/officeDocument/2006/relationships" ref="D78" r:id="rId10"/>
    <hyperlink xmlns:r="http://schemas.openxmlformats.org/officeDocument/2006/relationships" ref="D79" r:id="rId11"/>
    <hyperlink xmlns:r="http://schemas.openxmlformats.org/officeDocument/2006/relationships" ref="D80" r:id="rId12"/>
    <hyperlink xmlns:r="http://schemas.openxmlformats.org/officeDocument/2006/relationships" ref="D81" r:id="rId13"/>
    <hyperlink xmlns:r="http://schemas.openxmlformats.org/officeDocument/2006/relationships" ref="D82" r:id="rId14"/>
    <hyperlink xmlns:r="http://schemas.openxmlformats.org/officeDocument/2006/relationships" ref="D83" r:id="rId15"/>
    <hyperlink xmlns:r="http://schemas.openxmlformats.org/officeDocument/2006/relationships" ref="D84" r:id="rId16"/>
    <hyperlink xmlns:r="http://schemas.openxmlformats.org/officeDocument/2006/relationships" ref="D85" r:id="rId17"/>
    <hyperlink xmlns:r="http://schemas.openxmlformats.org/officeDocument/2006/relationships" ref="D86" r:id="rId18"/>
    <hyperlink xmlns:r="http://schemas.openxmlformats.org/officeDocument/2006/relationships" ref="D87" r:id="rId19"/>
    <hyperlink xmlns:r="http://schemas.openxmlformats.org/officeDocument/2006/relationships" ref="D88" r:id="rId20"/>
    <hyperlink xmlns:r="http://schemas.openxmlformats.org/officeDocument/2006/relationships" ref="D89" r:id="rId21"/>
    <hyperlink xmlns:r="http://schemas.openxmlformats.org/officeDocument/2006/relationships" ref="D90" r:id="rId22"/>
    <hyperlink xmlns:r="http://schemas.openxmlformats.org/officeDocument/2006/relationships" ref="D91" r:id="rId23"/>
    <hyperlink xmlns:r="http://schemas.openxmlformats.org/officeDocument/2006/relationships" ref="D92" r:id="rId24"/>
    <hyperlink xmlns:r="http://schemas.openxmlformats.org/officeDocument/2006/relationships" ref="D93" r:id="rId25"/>
    <hyperlink xmlns:r="http://schemas.openxmlformats.org/officeDocument/2006/relationships" ref="D94" r:id="rId26"/>
    <hyperlink xmlns:r="http://schemas.openxmlformats.org/officeDocument/2006/relationships" ref="D95" r:id="rId27"/>
    <hyperlink xmlns:r="http://schemas.openxmlformats.org/officeDocument/2006/relationships" ref="D96" r:id="rId28"/>
    <hyperlink xmlns:r="http://schemas.openxmlformats.org/officeDocument/2006/relationships" ref="D97" r:id="rId29"/>
    <hyperlink xmlns:r="http://schemas.openxmlformats.org/officeDocument/2006/relationships" ref="D98" r:id="rId30"/>
    <hyperlink xmlns:r="http://schemas.openxmlformats.org/officeDocument/2006/relationships" ref="D99" r:id="rId31"/>
    <hyperlink xmlns:r="http://schemas.openxmlformats.org/officeDocument/2006/relationships" ref="D100" r:id="rId32"/>
    <hyperlink xmlns:r="http://schemas.openxmlformats.org/officeDocument/2006/relationships" ref="D101" r:id="rId33"/>
    <hyperlink xmlns:r="http://schemas.openxmlformats.org/officeDocument/2006/relationships" ref="D102" r:id="rId34"/>
    <hyperlink xmlns:r="http://schemas.openxmlformats.org/officeDocument/2006/relationships" ref="D103" r:id="rId35"/>
    <hyperlink xmlns:r="http://schemas.openxmlformats.org/officeDocument/2006/relationships" ref="D104" r:id="rId36"/>
    <hyperlink xmlns:r="http://schemas.openxmlformats.org/officeDocument/2006/relationships" ref="D105" r:id="rId37"/>
    <hyperlink xmlns:r="http://schemas.openxmlformats.org/officeDocument/2006/relationships" ref="D106" r:id="rId38"/>
    <hyperlink xmlns:r="http://schemas.openxmlformats.org/officeDocument/2006/relationships" ref="D107" r:id="rId39"/>
    <hyperlink xmlns:r="http://schemas.openxmlformats.org/officeDocument/2006/relationships" ref="D108" r:id="rId40"/>
    <hyperlink xmlns:r="http://schemas.openxmlformats.org/officeDocument/2006/relationships" ref="D109" r:id="rId41"/>
    <hyperlink xmlns:r="http://schemas.openxmlformats.org/officeDocument/2006/relationships" ref="D110" r:id="rId42"/>
    <hyperlink xmlns:r="http://schemas.openxmlformats.org/officeDocument/2006/relationships" ref="D111" r:id="rId43"/>
    <hyperlink xmlns:r="http://schemas.openxmlformats.org/officeDocument/2006/relationships" ref="D112" r:id="rId44"/>
    <hyperlink xmlns:r="http://schemas.openxmlformats.org/officeDocument/2006/relationships" ref="D113" r:id="rId45"/>
    <hyperlink xmlns:r="http://schemas.openxmlformats.org/officeDocument/2006/relationships" ref="D114" r:id="rId46"/>
    <hyperlink xmlns:r="http://schemas.openxmlformats.org/officeDocument/2006/relationships" ref="D115" r:id="rId47"/>
    <hyperlink xmlns:r="http://schemas.openxmlformats.org/officeDocument/2006/relationships" ref="D116" r:id="rId48"/>
    <hyperlink xmlns:r="http://schemas.openxmlformats.org/officeDocument/2006/relationships" ref="D117" r:id="rId49"/>
    <hyperlink xmlns:r="http://schemas.openxmlformats.org/officeDocument/2006/relationships" ref="D118" r:id="rId50"/>
    <hyperlink xmlns:r="http://schemas.openxmlformats.org/officeDocument/2006/relationships" ref="D119" r:id="rId51"/>
    <hyperlink xmlns:r="http://schemas.openxmlformats.org/officeDocument/2006/relationships" ref="D120" r:id="rId52"/>
    <hyperlink xmlns:r="http://schemas.openxmlformats.org/officeDocument/2006/relationships" ref="D121" r:id="rId53"/>
    <hyperlink xmlns:r="http://schemas.openxmlformats.org/officeDocument/2006/relationships" ref="D122" r:id="rId54"/>
    <hyperlink xmlns:r="http://schemas.openxmlformats.org/officeDocument/2006/relationships" ref="D123" r:id="rId55"/>
    <hyperlink xmlns:r="http://schemas.openxmlformats.org/officeDocument/2006/relationships" ref="D124" r:id="rId56"/>
    <hyperlink xmlns:r="http://schemas.openxmlformats.org/officeDocument/2006/relationships" ref="D125" r:id="rId57"/>
    <hyperlink xmlns:r="http://schemas.openxmlformats.org/officeDocument/2006/relationships" ref="D126" r:id="rId58"/>
    <hyperlink xmlns:r="http://schemas.openxmlformats.org/officeDocument/2006/relationships" ref="D127" r:id="rId59"/>
    <hyperlink xmlns:r="http://schemas.openxmlformats.org/officeDocument/2006/relationships" ref="D130" r:id="rId60"/>
    <hyperlink xmlns:r="http://schemas.openxmlformats.org/officeDocument/2006/relationships" ref="D131" r:id="rId61"/>
    <hyperlink xmlns:r="http://schemas.openxmlformats.org/officeDocument/2006/relationships" ref="D132" r:id="rId62"/>
    <hyperlink xmlns:r="http://schemas.openxmlformats.org/officeDocument/2006/relationships" ref="D133" r:id="rId63"/>
    <hyperlink xmlns:r="http://schemas.openxmlformats.org/officeDocument/2006/relationships" ref="D134" r:id="rId64"/>
    <hyperlink xmlns:r="http://schemas.openxmlformats.org/officeDocument/2006/relationships" ref="D136" r:id="rId65"/>
    <hyperlink xmlns:r="http://schemas.openxmlformats.org/officeDocument/2006/relationships" ref="D137" r:id="rId66"/>
    <hyperlink xmlns:r="http://schemas.openxmlformats.org/officeDocument/2006/relationships" ref="D138" r:id="rId67"/>
    <hyperlink xmlns:r="http://schemas.openxmlformats.org/officeDocument/2006/relationships" ref="D139" r:id="rId68"/>
    <hyperlink xmlns:r="http://schemas.openxmlformats.org/officeDocument/2006/relationships" ref="D140" r:id="rId69"/>
    <hyperlink xmlns:r="http://schemas.openxmlformats.org/officeDocument/2006/relationships" ref="D141" r:id="rId70"/>
    <hyperlink xmlns:r="http://schemas.openxmlformats.org/officeDocument/2006/relationships" ref="D143" r:id="rId71"/>
    <hyperlink xmlns:r="http://schemas.openxmlformats.org/officeDocument/2006/relationships" ref="D144" r:id="rId72"/>
    <hyperlink xmlns:r="http://schemas.openxmlformats.org/officeDocument/2006/relationships" ref="D145" r:id="rId73"/>
    <hyperlink xmlns:r="http://schemas.openxmlformats.org/officeDocument/2006/relationships" ref="D146" r:id="rId74"/>
    <hyperlink xmlns:r="http://schemas.openxmlformats.org/officeDocument/2006/relationships" ref="D147" r:id="rId75"/>
    <hyperlink xmlns:r="http://schemas.openxmlformats.org/officeDocument/2006/relationships" ref="D148" r:id="rId76"/>
    <hyperlink xmlns:r="http://schemas.openxmlformats.org/officeDocument/2006/relationships" ref="D150" r:id="rId77"/>
    <hyperlink xmlns:r="http://schemas.openxmlformats.org/officeDocument/2006/relationships" ref="D151" r:id="rId78"/>
    <hyperlink xmlns:r="http://schemas.openxmlformats.org/officeDocument/2006/relationships" ref="D152" r:id="rId79"/>
    <hyperlink xmlns:r="http://schemas.openxmlformats.org/officeDocument/2006/relationships" ref="D153" r:id="rId80"/>
    <hyperlink xmlns:r="http://schemas.openxmlformats.org/officeDocument/2006/relationships" ref="D154" r:id="rId81"/>
    <hyperlink xmlns:r="http://schemas.openxmlformats.org/officeDocument/2006/relationships" ref="D155" r:id="rId82"/>
    <hyperlink xmlns:r="http://schemas.openxmlformats.org/officeDocument/2006/relationships" ref="D156" r:id="rId83"/>
    <hyperlink xmlns:r="http://schemas.openxmlformats.org/officeDocument/2006/relationships" ref="D157" r:id="rId84"/>
    <hyperlink xmlns:r="http://schemas.openxmlformats.org/officeDocument/2006/relationships" ref="D158" r:id="rId85"/>
    <hyperlink xmlns:r="http://schemas.openxmlformats.org/officeDocument/2006/relationships" ref="D159" r:id="rId86"/>
    <hyperlink xmlns:r="http://schemas.openxmlformats.org/officeDocument/2006/relationships" ref="D160" r:id="rId87"/>
    <hyperlink xmlns:r="http://schemas.openxmlformats.org/officeDocument/2006/relationships" ref="D161" r:id="rId88"/>
    <hyperlink xmlns:r="http://schemas.openxmlformats.org/officeDocument/2006/relationships" ref="D162" r:id="rId89"/>
    <hyperlink xmlns:r="http://schemas.openxmlformats.org/officeDocument/2006/relationships" ref="D163" r:id="rId90"/>
    <hyperlink xmlns:r="http://schemas.openxmlformats.org/officeDocument/2006/relationships" ref="D164" r:id="rId91"/>
    <hyperlink xmlns:r="http://schemas.openxmlformats.org/officeDocument/2006/relationships" ref="D165" r:id="rId92"/>
    <hyperlink xmlns:r="http://schemas.openxmlformats.org/officeDocument/2006/relationships" ref="D166" r:id="rId93"/>
    <hyperlink xmlns:r="http://schemas.openxmlformats.org/officeDocument/2006/relationships" ref="D167" r:id="rId94"/>
    <hyperlink xmlns:r="http://schemas.openxmlformats.org/officeDocument/2006/relationships" ref="D169" r:id="rId95"/>
    <hyperlink xmlns:r="http://schemas.openxmlformats.org/officeDocument/2006/relationships" ref="D170" r:id="rId96"/>
    <hyperlink xmlns:r="http://schemas.openxmlformats.org/officeDocument/2006/relationships" ref="D171" r:id="rId97"/>
    <hyperlink xmlns:r="http://schemas.openxmlformats.org/officeDocument/2006/relationships" ref="D172" r:id="rId98"/>
    <hyperlink xmlns:r="http://schemas.openxmlformats.org/officeDocument/2006/relationships" ref="D173" r:id="rId99"/>
    <hyperlink xmlns:r="http://schemas.openxmlformats.org/officeDocument/2006/relationships" ref="D174" r:id="rId100"/>
    <hyperlink xmlns:r="http://schemas.openxmlformats.org/officeDocument/2006/relationships" ref="D176" r:id="rId101"/>
    <hyperlink xmlns:r="http://schemas.openxmlformats.org/officeDocument/2006/relationships" ref="D177" r:id="rId102"/>
    <hyperlink xmlns:r="http://schemas.openxmlformats.org/officeDocument/2006/relationships" ref="D178" r:id="rId103"/>
    <hyperlink xmlns:r="http://schemas.openxmlformats.org/officeDocument/2006/relationships" ref="D179" r:id="rId104"/>
    <hyperlink xmlns:r="http://schemas.openxmlformats.org/officeDocument/2006/relationships" ref="D180" r:id="rId105"/>
    <hyperlink xmlns:r="http://schemas.openxmlformats.org/officeDocument/2006/relationships" ref="D181" r:id="rId106"/>
    <hyperlink xmlns:r="http://schemas.openxmlformats.org/officeDocument/2006/relationships" ref="D183" r:id="rId107"/>
    <hyperlink xmlns:r="http://schemas.openxmlformats.org/officeDocument/2006/relationships" ref="D184" r:id="rId108"/>
    <hyperlink xmlns:r="http://schemas.openxmlformats.org/officeDocument/2006/relationships" ref="D185" r:id="rId109"/>
    <hyperlink xmlns:r="http://schemas.openxmlformats.org/officeDocument/2006/relationships" ref="D186" r:id="rId110"/>
    <hyperlink xmlns:r="http://schemas.openxmlformats.org/officeDocument/2006/relationships" ref="D187" r:id="rId111"/>
    <hyperlink xmlns:r="http://schemas.openxmlformats.org/officeDocument/2006/relationships" ref="D188" r:id="rId112"/>
    <hyperlink xmlns:r="http://schemas.openxmlformats.org/officeDocument/2006/relationships" ref="D190" r:id="rId113"/>
    <hyperlink xmlns:r="http://schemas.openxmlformats.org/officeDocument/2006/relationships" ref="D191" r:id="rId114"/>
    <hyperlink xmlns:r="http://schemas.openxmlformats.org/officeDocument/2006/relationships" ref="D192" r:id="rId115"/>
    <hyperlink xmlns:r="http://schemas.openxmlformats.org/officeDocument/2006/relationships" ref="D193" r:id="rId116"/>
    <hyperlink xmlns:r="http://schemas.openxmlformats.org/officeDocument/2006/relationships" ref="D194" r:id="rId117"/>
    <hyperlink xmlns:r="http://schemas.openxmlformats.org/officeDocument/2006/relationships" ref="D195" r:id="rId118"/>
    <hyperlink xmlns:r="http://schemas.openxmlformats.org/officeDocument/2006/relationships" ref="D197" r:id="rId119"/>
    <hyperlink xmlns:r="http://schemas.openxmlformats.org/officeDocument/2006/relationships" ref="D198" r:id="rId120"/>
    <hyperlink xmlns:r="http://schemas.openxmlformats.org/officeDocument/2006/relationships" ref="D199" r:id="rId121"/>
    <hyperlink xmlns:r="http://schemas.openxmlformats.org/officeDocument/2006/relationships" ref="D200" r:id="rId122"/>
    <hyperlink xmlns:r="http://schemas.openxmlformats.org/officeDocument/2006/relationships" ref="D201" r:id="rId123"/>
    <hyperlink xmlns:r="http://schemas.openxmlformats.org/officeDocument/2006/relationships" ref="D202" r:id="rId124"/>
    <hyperlink xmlns:r="http://schemas.openxmlformats.org/officeDocument/2006/relationships" ref="D204" r:id="rId125"/>
    <hyperlink xmlns:r="http://schemas.openxmlformats.org/officeDocument/2006/relationships" ref="D205" r:id="rId126"/>
    <hyperlink xmlns:r="http://schemas.openxmlformats.org/officeDocument/2006/relationships" ref="D206" r:id="rId127"/>
    <hyperlink xmlns:r="http://schemas.openxmlformats.org/officeDocument/2006/relationships" ref="D207" r:id="rId128"/>
    <hyperlink xmlns:r="http://schemas.openxmlformats.org/officeDocument/2006/relationships" ref="D208" r:id="rId129"/>
    <hyperlink xmlns:r="http://schemas.openxmlformats.org/officeDocument/2006/relationships" ref="D209" r:id="rId130"/>
    <hyperlink xmlns:r="http://schemas.openxmlformats.org/officeDocument/2006/relationships" ref="D211" r:id="rId131"/>
    <hyperlink xmlns:r="http://schemas.openxmlformats.org/officeDocument/2006/relationships" ref="D212" r:id="rId132"/>
    <hyperlink xmlns:r="http://schemas.openxmlformats.org/officeDocument/2006/relationships" ref="D213" r:id="rId133"/>
    <hyperlink xmlns:r="http://schemas.openxmlformats.org/officeDocument/2006/relationships" ref="D214" r:id="rId134"/>
    <hyperlink xmlns:r="http://schemas.openxmlformats.org/officeDocument/2006/relationships" ref="D215" r:id="rId135"/>
    <hyperlink xmlns:r="http://schemas.openxmlformats.org/officeDocument/2006/relationships" ref="D216" r:id="rId136"/>
    <hyperlink xmlns:r="http://schemas.openxmlformats.org/officeDocument/2006/relationships" ref="D218" r:id="rId137"/>
    <hyperlink xmlns:r="http://schemas.openxmlformats.org/officeDocument/2006/relationships" ref="D219" r:id="rId138"/>
    <hyperlink xmlns:r="http://schemas.openxmlformats.org/officeDocument/2006/relationships" ref="D220" r:id="rId139"/>
    <hyperlink xmlns:r="http://schemas.openxmlformats.org/officeDocument/2006/relationships" ref="D221" r:id="rId140"/>
    <hyperlink xmlns:r="http://schemas.openxmlformats.org/officeDocument/2006/relationships" ref="D222" r:id="rId141"/>
    <hyperlink xmlns:r="http://schemas.openxmlformats.org/officeDocument/2006/relationships" ref="D223" r:id="rId142"/>
    <hyperlink xmlns:r="http://schemas.openxmlformats.org/officeDocument/2006/relationships" ref="D224" r:id="rId1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2026-10-26T22:41:36Z</dcterms:created>
  <dcterms:modified xmlns:dcterms="http://purl.org/dc/terms/" xmlns:xsi="http://www.w3.org/2001/XMLSchema-instance" xsi:type="dcterms:W3CDTF">2026-10-26T22:41:36Z</dcterms:modified>
</cp:coreProperties>
</file>