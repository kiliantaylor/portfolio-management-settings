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Distribution" sheetId="5" state="visible" r:id="rId5"/>
    <sheet xmlns:r="http://schemas.openxmlformats.org/officeDocument/2006/relationships" name="Calc - research target (12m)" sheetId="6" state="visible" r:id="rId6"/>
    <sheet xmlns:r="http://schemas.openxmlformats.org/officeDocument/2006/relationships" name="Calc - bear" sheetId="7" state="visible" r:id="rId7"/>
    <sheet xmlns:r="http://schemas.openxmlformats.org/officeDocument/2006/relationships" name="Calc - base" sheetId="8" state="visible" r:id="rId8"/>
    <sheet xmlns:r="http://schemas.openxmlformats.org/officeDocument/2006/relationships" name="Calc - bull" sheetId="9" state="visible" r:id="rId9"/>
    <sheet xmlns:r="http://schemas.openxmlformats.org/officeDocument/2006/relationships" name="Agents" sheetId="10" state="visible" r:id="rId10"/>
    <sheet xmlns:r="http://schemas.openxmlformats.org/officeDocument/2006/relationships" name="Sour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yyyy-mm-dd"/>
    <numFmt numFmtId="165" formatCode="#,##0;(#,##0)"/>
    <numFmt numFmtId="166" formatCode="0.0%"/>
    <numFmt numFmtId="167" formatCode="0.00&quot;x&quot;"/>
    <numFmt numFmtId="168" formatCode="#,##0.0"/>
    <numFmt numFmtId="169" formatCode="$0.00"/>
    <numFmt numFmtId="170" formatCode="0.0"/>
    <numFmt numFmtId="171" formatCode="0.000"/>
    <numFmt numFmtId="172" formatCode="0.0000"/>
    <numFmt numFmtId="173" formatCode="0.0&quot;x&quot;"/>
    <numFmt numFmtId="174" formatCode="+0.0%;-0.0%;0.0%"/>
    <numFmt numFmtId="175" formatCode="yyyy-mm-dd hh:mm"/>
  </numFmts>
  <fonts count="7">
    <font>
      <name val="Calibri"/>
      <family val="2"/>
      <color theme="1"/>
      <sz val="11"/>
      <scheme val="minor"/>
    </font>
    <font>
      <b val="1"/>
    </font>
    <font>
      <color rgb="000000FF"/>
    </font>
    <font>
      <i val="1"/>
      <color rgb="00444444"/>
    </font>
    <font>
      <b val="1"/>
      <sz val="13"/>
    </font>
    <font>
      <i val="1"/>
      <color rgb="00666666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9E2F0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0" pivotButton="0" quotePrefix="0" xfId="0"/>
    <xf numFmtId="2" fontId="6" fillId="0" borderId="0" pivotButton="0" quotePrefix="0" xfId="0"/>
    <xf numFmtId="175" fontId="0" fillId="0" borderId="0" pivotButton="0" quotePrefix="0" xfId="0"/>
    <xf numFmtId="2" fontId="1" fillId="0" borderId="0" pivotButton="0" quotePrefix="0" xfId="0"/>
    <xf numFmtId="166" fontId="1" fillId="0" borderId="0" pivotButton="0" quotePrefix="0" xfId="0"/>
    <xf numFmtId="164" fontId="6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0" fontId="3" fillId="0" borderId="0" pivotButton="0" quotePrefix="0" xfId="0"/>
    <xf numFmtId="166" fontId="6" fillId="0" borderId="0" pivotButton="0" quotePrefix="0" xfId="0"/>
    <xf numFmtId="169" fontId="6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166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2" fillId="0" borderId="0" pivotButton="0" quotePrefix="0" xfId="0"/>
    <xf numFmtId="165" fontId="1" fillId="0" borderId="0" pivotButton="0" quotePrefix="0" xfId="0"/>
    <xf numFmtId="165" fontId="2" fillId="0" borderId="0" pivotButton="0" quotePrefix="0" xfId="0"/>
    <xf numFmtId="166" fontId="3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9" fontId="1" fillId="0" borderId="0" pivotButton="0" quotePrefix="0" xfId="0"/>
    <xf numFmtId="4" fontId="6" fillId="0" borderId="0" pivotButton="0" quotePrefix="0" xfId="0"/>
    <xf numFmtId="168" fontId="6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2" fontId="2" fillId="0" borderId="0" pivotButton="0" quotePrefix="0" xfId="0"/>
    <xf numFmtId="169" fontId="2" fillId="0" borderId="0" pivotButton="0" quotePrefix="0" xfId="0"/>
    <xf numFmtId="170" fontId="2" fillId="0" borderId="0" pivotButton="0" quotePrefix="0" xfId="0"/>
    <xf numFmtId="0" fontId="0" fillId="0" borderId="0" applyAlignment="1" pivotButton="0" quotePrefix="0" xfId="0">
      <alignment vertical="top" wrapText="1"/>
    </xf>
    <xf numFmtId="173" fontId="1" fillId="0" borderId="0" pivotButton="0" quotePrefix="0" xfId="0"/>
    <xf numFmtId="174" fontId="1" fillId="0" borderId="0" pivotButton="0" quotePrefix="0" xfId="0"/>
    <xf numFmtId="172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4" fontId="0" fillId="0" borderId="0" pivotButton="0" quotePrefix="0" xfId="0"/>
    <xf numFmtId="170" fontId="6" fillId="0" borderId="0" pivotButton="0" quotePrefix="0" xfId="0"/>
    <xf numFmtId="17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hyperlink" Target="https://www.sec.gov/Archives/edgar/data/0000001800/000162828026066601/abt-2026q3xexhibitx991.htm" TargetMode="External" Id="rId1"/><Relationship Type="http://schemas.openxmlformats.org/officeDocument/2006/relationships/hyperlink" Target="https://www.sec.gov/Archives/edgar/data/0000001800/000110465926117587/tm2627971d1_ex99-1.htm" TargetMode="External" Id="rId2"/><Relationship Type="http://schemas.openxmlformats.org/officeDocument/2006/relationships/hyperlink" Target="https://www.sec.gov/Archives/edgar/data/0000001800/000110465926099247/tm2623675d1_ex99-1.htm" TargetMode="External" Id="rId3"/><Relationship Type="http://schemas.openxmlformats.org/officeDocument/2006/relationships/hyperlink" Target="https://oag.ca.gov/news/press-releases/attorney-general-bonta-us-coalition-secure-385-million-settlement-abbott-over" TargetMode="External" Id="rId4"/><Relationship Type="http://schemas.openxmlformats.org/officeDocument/2006/relationships/hyperlink" Target="https://www.sec.gov/Archives/edgar/data/1800/000162828026010185/abt-20251231.htm" TargetMode="External" Id="rId5"/><Relationship Type="http://schemas.openxmlformats.org/officeDocument/2006/relationships/hyperlink" Target="https://www.sec.gov/Archives/edgar/data/1800/000162828026050134/abt-20260630.htm" TargetMode="External" Id="rId6"/><Relationship Type="http://schemas.openxmlformats.org/officeDocument/2006/relationships/hyperlink" Target="https://www.sec.gov/Archives/edgar/data/1800/000162828026002982/abt-2025q4xexhibitx991.htm" TargetMode="External" Id="rId7"/><Relationship Type="http://schemas.openxmlformats.org/officeDocument/2006/relationships/hyperlink" Target="https://www.investing.com/news/transcripts/earnings-call-transcript-abbott-q3-2026-results-show-growth-but-shares-fall-93CH-4963517" TargetMode="External" Id="rId8"/><Relationship Type="http://schemas.openxmlformats.org/officeDocument/2006/relationships/hyperlink" Target="https://www.medtechdive.com/news/cms-final-rule-diabetes-competitive-bidding/806719/" TargetMode="External" Id="rId9"/><Relationship Type="http://schemas.openxmlformats.org/officeDocument/2006/relationships/hyperlink" Target="https://www.fda.gov/medical-devices/medical-device-recalls-and-early-alerts/glucose-monitor-sensor-recall-abbott-diabetes-care-removes-certain-freestyle-libre-3-and-freestyle" TargetMode="External" Id="rId10"/><Relationship Type="http://schemas.openxmlformats.org/officeDocument/2006/relationships/hyperlink" Target="https://www.aha.org/news/headline/2026-02-04-fda-issues-most-serious-recall-certain-glucose-monitor-sensors" TargetMode="External" Id="rId11"/><Relationship Type="http://schemas.openxmlformats.org/officeDocument/2006/relationships/hyperlink" Target="file:///mnt/project-files/valuation/runs/2026-10-20/ABT/peers.md" TargetMode="External" Id="rId12"/><Relationship Type="http://schemas.openxmlformats.org/officeDocument/2006/relationships/hyperlink" Target="https://api.nasdaq.com/api/analyst/ABT/earnings-forecast" TargetMode="External" Id="rId13"/><Relationship Type="http://schemas.openxmlformats.org/officeDocument/2006/relationships/hyperlink" Target="https://api.twelvedata.com/quote?symbol=ABT" TargetMode="External" Id="rId14"/><Relationship Type="http://schemas.openxmlformats.org/officeDocument/2006/relationships/hyperlink" Target="https://data.sec.gov/api/xbrl/companyfacts/CIK0000001800.json" TargetMode="External" Id="rId15"/><Relationship Type="http://schemas.openxmlformats.org/officeDocument/2006/relationships/hyperlink" Target="https://www.sec.gov/Archives/edgar/data/1800/000110465926117587/" TargetMode="External" Id="rId16"/><Relationship Type="http://schemas.openxmlformats.org/officeDocument/2006/relationships/hyperlink" Target="https://api.nasdaq.com/api/analyst/ABT/earnings-forecast" TargetMode="External" Id="rId17"/><Relationship Type="http://schemas.openxmlformats.org/officeDocument/2006/relationships/hyperlink" Target="file:///mnt/project-files/valuation/runs/2026-10-23/ABT/peers_calendar.json" TargetMode="External" Id="rId18"/><Relationship Type="http://schemas.openxmlformats.org/officeDocument/2006/relationships/hyperlink" Target="https://corporate.webassets.siemens-healthineers.com/27e870939440c820/5d24c103f324/Vara-Consensus---Siemens-Healthineeres-Earnings-Estimates-2026-08-27.xlsx" TargetMode="External" Id="rId19"/><Relationship Type="http://schemas.openxmlformats.org/officeDocument/2006/relationships/hyperlink" Target="https://corporate.webassets.siemens-healthineers.com/2637d4a46dbcd161/a3335cc16ed1/siemens-healthineers-Q3_FY2026_Earnings-Release-and-Financial-Results.pdf" TargetMode="External" Id="rId20"/><Relationship Type="http://schemas.openxmlformats.org/officeDocument/2006/relationships/hyperlink" Target="https://www.marketscreener.com/quote/stock/SIEMENS-HEALTHINEERS-AG-42379342/finances/" TargetMode="External" Id="rId21"/><Relationship Type="http://schemas.openxmlformats.org/officeDocument/2006/relationships/hyperlink" Target="https://www.marketscreener.com/quote/stock/TERUMO-CORPORATION-6491240/finances/" TargetMode="External" Id="rId22"/><Relationship Type="http://schemas.openxmlformats.org/officeDocument/2006/relationships/hyperlink" Target="https://www.terumo.com/system/files/document/2026-10/Press%20Release_20261008_E.pdf" TargetMode="External" Id="rId23"/><Relationship Type="http://schemas.openxmlformats.org/officeDocument/2006/relationships/hyperlink" Target="https://www.terumo.com/system/files/document/2026-08/FinancialResults_27Q1_E.pdf" TargetMode="External" Id="rId24"/><Relationship Type="http://schemas.openxmlformats.org/officeDocument/2006/relationships/hyperlink" Target="https://www.marketscreener.com/quote/stock/OLYMPUS-CORPORATION-6491236/finances/" TargetMode="External" Id="rId25"/><Relationship Type="http://schemas.openxmlformats.org/officeDocument/2006/relationships/hyperlink" Target="https://www.olympus-global.com/ir/data/brief/pdf/03_presentation_Q1FY2027_en.pdf" TargetMode="External" Id="rId26"/><Relationship Type="http://schemas.openxmlformats.org/officeDocument/2006/relationships/hyperlink" Target="https://www.sec.gov/Archives/edgar/data/1800/000162828026066601/abt-20261021.htm" TargetMode="External" Id="rId27"/><Relationship Type="http://schemas.openxmlformats.org/officeDocument/2006/relationships/hyperlink" Target="https://www.sec.gov/Archives/edgar/data/1613103/000162828026059697/exhibit991-fy27q1earningsr.htm" TargetMode="External" Id="rId28"/><Relationship Type="http://schemas.openxmlformats.org/officeDocument/2006/relationships/hyperlink" Target="https://www.sec.gov/Archives/edgar/data/885725/000088572526000051/q22026earningsrelease.htm" TargetMode="External" Id="rId29"/><Relationship Type="http://schemas.openxmlformats.org/officeDocument/2006/relationships/hyperlink" Target="https://www.sec.gov/Archives/edgar/data/310764/000031076426000048/sykex991earningsq22026.htm" TargetMode="External" Id="rId30"/><Relationship Type="http://schemas.openxmlformats.org/officeDocument/2006/relationships/hyperlink" Target="https://www.sec.gov/Archives/edgar/data/10795/000162828026053790/ex9916302026.htm" TargetMode="External" Id="rId31"/><Relationship Type="http://schemas.openxmlformats.org/officeDocument/2006/relationships/hyperlink" Target="https://www.sec.gov/Archives/edgar/data/1136869/000119312526333761/zbh-ex99_1.htm" TargetMode="External" Id="rId32"/><Relationship Type="http://schemas.openxmlformats.org/officeDocument/2006/relationships/hyperlink" Target="https://www.sec.gov/Archives/edgar/data/97745/000009774526000173/q32026earnings8kex99_1.htm" TargetMode="External" Id="rId33"/><Relationship Type="http://schemas.openxmlformats.org/officeDocument/2006/relationships/hyperlink" Target="https://www.sec.gov/Archives/edgar/data/313616/000031361626000201/dhr-20261021xex991.htm" TargetMode="External" Id="rId34"/><Relationship Type="http://schemas.openxmlformats.org/officeDocument/2006/relationships/hyperlink" Target="https://www.sec.gov/Archives/edgar/data/200406/000020040626000189/a2026q3exhibit991.htm" TargetMode="External" Id="rId35"/><Relationship Type="http://schemas.openxmlformats.org/officeDocument/2006/relationships/hyperlink" Target="https://www.sec.gov/Archives/edgar/data/1800/000162828026010185/" TargetMode="External" Id="rId36"/><Relationship Type="http://schemas.openxmlformats.org/officeDocument/2006/relationships/hyperlink" Target="https://www.sec.gov/Archives/edgar/data/1800/000162828026010185/" TargetMode="External" Id="rId37"/><Relationship Type="http://schemas.openxmlformats.org/officeDocument/2006/relationships/hyperlink" Target="https://www.sec.gov/Archives/edgar/data/1800/000162828026010185/" TargetMode="External" Id="rId38"/><Relationship Type="http://schemas.openxmlformats.org/officeDocument/2006/relationships/hyperlink" Target="https://www.sec.gov/Archives/edgar/data/1800/000162828026028357/" TargetMode="External" Id="rId39"/><Relationship Type="http://schemas.openxmlformats.org/officeDocument/2006/relationships/hyperlink" Target="https://www.sec.gov/Archives/edgar/data/1800/000162828026028357/" TargetMode="External" Id="rId40"/><Relationship Type="http://schemas.openxmlformats.org/officeDocument/2006/relationships/hyperlink" Target="https://www.sec.gov/Archives/edgar/data/1800/000162828026028357/" TargetMode="External" Id="rId41"/><Relationship Type="http://schemas.openxmlformats.org/officeDocument/2006/relationships/hyperlink" Target="https://www.sec.gov/Archives/edgar/data/1800/000162828026010185/" TargetMode="External" Id="rId42"/><Relationship Type="http://schemas.openxmlformats.org/officeDocument/2006/relationships/hyperlink" Target="https://www.sec.gov/Archives/edgar/data/1800/000162828026010185/" TargetMode="External" Id="rId43"/><Relationship Type="http://schemas.openxmlformats.org/officeDocument/2006/relationships/hyperlink" Target="https://www.sec.gov/Archives/edgar/data/1800/000162828026010185/" TargetMode="External" Id="rId44"/><Relationship Type="http://schemas.openxmlformats.org/officeDocument/2006/relationships/hyperlink" Target="https://www.sec.gov/Archives/edgar/data/1800/000162828026028357/" TargetMode="External" Id="rId45"/><Relationship Type="http://schemas.openxmlformats.org/officeDocument/2006/relationships/hyperlink" Target="https://www.sec.gov/Archives/edgar/data/1800/000162828026028357/" TargetMode="External" Id="rId46"/><Relationship Type="http://schemas.openxmlformats.org/officeDocument/2006/relationships/hyperlink" Target="https://www.sec.gov/Archives/edgar/data/1800/000162828026028357/" TargetMode="External" Id="rId47"/><Relationship Type="http://schemas.openxmlformats.org/officeDocument/2006/relationships/hyperlink" Target="https://www.sec.gov/Archives/edgar/data/1800/000162828026010185/" TargetMode="External" Id="rId48"/><Relationship Type="http://schemas.openxmlformats.org/officeDocument/2006/relationships/hyperlink" Target="https://www.sec.gov/Archives/edgar/data/1800/000162828026010185/" TargetMode="External" Id="rId49"/><Relationship Type="http://schemas.openxmlformats.org/officeDocument/2006/relationships/hyperlink" Target="https://www.sec.gov/Archives/edgar/data/1800/000162828026010185/" TargetMode="External" Id="rId50"/><Relationship Type="http://schemas.openxmlformats.org/officeDocument/2006/relationships/hyperlink" Target="https://www.sec.gov/Archives/edgar/data/1800/000162828026028357/" TargetMode="External" Id="rId51"/><Relationship Type="http://schemas.openxmlformats.org/officeDocument/2006/relationships/hyperlink" Target="https://www.sec.gov/Archives/edgar/data/1800/000162828026028357/" TargetMode="External" Id="rId52"/><Relationship Type="http://schemas.openxmlformats.org/officeDocument/2006/relationships/hyperlink" Target="https://www.sec.gov/Archives/edgar/data/1800/000162828026028357/" TargetMode="External" Id="rId53"/><Relationship Type="http://schemas.openxmlformats.org/officeDocument/2006/relationships/hyperlink" Target="https://www.sec.gov/Archives/edgar/data/1800/000162828026010185/" TargetMode="External" Id="rId54"/><Relationship Type="http://schemas.openxmlformats.org/officeDocument/2006/relationships/hyperlink" Target="https://www.sec.gov/Archives/edgar/data/1800/000162828026010185/" TargetMode="External" Id="rId55"/><Relationship Type="http://schemas.openxmlformats.org/officeDocument/2006/relationships/hyperlink" Target="https://www.sec.gov/Archives/edgar/data/1800/000162828026010185/" TargetMode="External" Id="rId56"/><Relationship Type="http://schemas.openxmlformats.org/officeDocument/2006/relationships/hyperlink" Target="https://www.sec.gov/Archives/edgar/data/1800/000162828026028357/" TargetMode="External" Id="rId57"/><Relationship Type="http://schemas.openxmlformats.org/officeDocument/2006/relationships/hyperlink" Target="https://www.sec.gov/Archives/edgar/data/1800/000162828026028357/" TargetMode="External" Id="rId58"/><Relationship Type="http://schemas.openxmlformats.org/officeDocument/2006/relationships/hyperlink" Target="https://www.sec.gov/Archives/edgar/data/1800/000162828026028357/" TargetMode="External" Id="rId59"/><Relationship Type="http://schemas.openxmlformats.org/officeDocument/2006/relationships/hyperlink" Target="https://www.sec.gov/Archives/edgar/data/1800/000162828026010185/" TargetMode="External" Id="rId60"/><Relationship Type="http://schemas.openxmlformats.org/officeDocument/2006/relationships/hyperlink" Target="https://www.sec.gov/Archives/edgar/data/1800/000162828026010185/" TargetMode="External" Id="rId61"/><Relationship Type="http://schemas.openxmlformats.org/officeDocument/2006/relationships/hyperlink" Target="https://www.sec.gov/Archives/edgar/data/1800/000162828026010185/" TargetMode="External" Id="rId62"/><Relationship Type="http://schemas.openxmlformats.org/officeDocument/2006/relationships/hyperlink" Target="https://www.sec.gov/Archives/edgar/data/1800/000162828026028357/" TargetMode="External" Id="rId63"/><Relationship Type="http://schemas.openxmlformats.org/officeDocument/2006/relationships/hyperlink" Target="https://www.sec.gov/Archives/edgar/data/1800/000162828026028357/" TargetMode="External" Id="rId64"/><Relationship Type="http://schemas.openxmlformats.org/officeDocument/2006/relationships/hyperlink" Target="https://www.sec.gov/Archives/edgar/data/1800/000162828026028357/" TargetMode="External" Id="rId65"/><Relationship Type="http://schemas.openxmlformats.org/officeDocument/2006/relationships/hyperlink" Target="https://www.sec.gov/Archives/edgar/data/1800/000162828026010185/" TargetMode="External" Id="rId66"/><Relationship Type="http://schemas.openxmlformats.org/officeDocument/2006/relationships/hyperlink" Target="https://www.sec.gov/Archives/edgar/data/1800/000162828026010185/" TargetMode="External" Id="rId67"/><Relationship Type="http://schemas.openxmlformats.org/officeDocument/2006/relationships/hyperlink" Target="https://www.sec.gov/Archives/edgar/data/1800/000162828026010185/" TargetMode="External" Id="rId68"/><Relationship Type="http://schemas.openxmlformats.org/officeDocument/2006/relationships/hyperlink" Target="https://www.sec.gov/Archives/edgar/data/1800/000162828026028357/" TargetMode="External" Id="rId69"/><Relationship Type="http://schemas.openxmlformats.org/officeDocument/2006/relationships/hyperlink" Target="https://www.sec.gov/Archives/edgar/data/1800/000162828026028357/" TargetMode="External" Id="rId70"/><Relationship Type="http://schemas.openxmlformats.org/officeDocument/2006/relationships/hyperlink" Target="https://www.sec.gov/Archives/edgar/data/1800/000162828026028357/" TargetMode="External" Id="rId71"/><Relationship Type="http://schemas.openxmlformats.org/officeDocument/2006/relationships/hyperlink" Target="https://www.sec.gov/Archives/edgar/data/1800/000162828026010185/" TargetMode="External" Id="rId72"/><Relationship Type="http://schemas.openxmlformats.org/officeDocument/2006/relationships/hyperlink" Target="https://www.sec.gov/Archives/edgar/data/1800/000162828026010185/" TargetMode="External" Id="rId73"/><Relationship Type="http://schemas.openxmlformats.org/officeDocument/2006/relationships/hyperlink" Target="https://www.sec.gov/Archives/edgar/data/1800/000162828026010185/" TargetMode="External" Id="rId74"/><Relationship Type="http://schemas.openxmlformats.org/officeDocument/2006/relationships/hyperlink" Target="https://www.sec.gov/Archives/edgar/data/1800/000162828026028357/" TargetMode="External" Id="rId75"/><Relationship Type="http://schemas.openxmlformats.org/officeDocument/2006/relationships/hyperlink" Target="https://www.sec.gov/Archives/edgar/data/1800/000162828026028357/" TargetMode="External" Id="rId76"/><Relationship Type="http://schemas.openxmlformats.org/officeDocument/2006/relationships/hyperlink" Target="https://www.sec.gov/Archives/edgar/data/1800/000162828026028357/" TargetMode="External" Id="rId77"/><Relationship Type="http://schemas.openxmlformats.org/officeDocument/2006/relationships/hyperlink" Target="https://www.sec.gov/Archives/edgar/data/1800/000162828026010185/" TargetMode="External" Id="rId78"/><Relationship Type="http://schemas.openxmlformats.org/officeDocument/2006/relationships/hyperlink" Target="https://www.sec.gov/Archives/edgar/data/1800/000162828026010185/" TargetMode="External" Id="rId79"/><Relationship Type="http://schemas.openxmlformats.org/officeDocument/2006/relationships/hyperlink" Target="https://www.sec.gov/Archives/edgar/data/1800/000162828026010185/" TargetMode="External" Id="rId80"/><Relationship Type="http://schemas.openxmlformats.org/officeDocument/2006/relationships/hyperlink" Target="https://www.sec.gov/Archives/edgar/data/1800/000162828026028357/" TargetMode="External" Id="rId81"/><Relationship Type="http://schemas.openxmlformats.org/officeDocument/2006/relationships/hyperlink" Target="https://www.sec.gov/Archives/edgar/data/1800/000162828026028357/" TargetMode="External" Id="rId82"/><Relationship Type="http://schemas.openxmlformats.org/officeDocument/2006/relationships/hyperlink" Target="https://www.sec.gov/Archives/edgar/data/1800/000162828026028357/" TargetMode="External" Id="rId83"/><Relationship Type="http://schemas.openxmlformats.org/officeDocument/2006/relationships/hyperlink" Target="https://www.sec.gov/Archives/edgar/data/1800/000162828026010185/" TargetMode="External" Id="rId84"/><Relationship Type="http://schemas.openxmlformats.org/officeDocument/2006/relationships/hyperlink" Target="https://www.sec.gov/Archives/edgar/data/1800/000162828026010185/" TargetMode="External" Id="rId85"/><Relationship Type="http://schemas.openxmlformats.org/officeDocument/2006/relationships/hyperlink" Target="https://www.sec.gov/Archives/edgar/data/1800/000162828026010185/" TargetMode="External" Id="rId86"/><Relationship Type="http://schemas.openxmlformats.org/officeDocument/2006/relationships/hyperlink" Target="https://www.sec.gov/Archives/edgar/data/1800/000162828026028357/" TargetMode="External" Id="rId87"/><Relationship Type="http://schemas.openxmlformats.org/officeDocument/2006/relationships/hyperlink" Target="https://www.sec.gov/Archives/edgar/data/1800/000162828026028357/" TargetMode="External" Id="rId88"/><Relationship Type="http://schemas.openxmlformats.org/officeDocument/2006/relationships/hyperlink" Target="https://www.sec.gov/Archives/edgar/data/1800/000162828026028357/" TargetMode="External" Id="rId89"/><Relationship Type="http://schemas.openxmlformats.org/officeDocument/2006/relationships/hyperlink" Target="https://www.sec.gov/Archives/edgar/data/1800/000162828026010185/" TargetMode="External" Id="rId90"/><Relationship Type="http://schemas.openxmlformats.org/officeDocument/2006/relationships/hyperlink" Target="https://www.sec.gov/Archives/edgar/data/1800/000162828026010185/" TargetMode="External" Id="rId91"/><Relationship Type="http://schemas.openxmlformats.org/officeDocument/2006/relationships/hyperlink" Target="https://www.sec.gov/Archives/edgar/data/1800/000162828026010185/" TargetMode="External" Id="rId92"/><Relationship Type="http://schemas.openxmlformats.org/officeDocument/2006/relationships/hyperlink" Target="https://www.sec.gov/Archives/edgar/data/1800/000162828026028357/" TargetMode="External" Id="rId93"/><Relationship Type="http://schemas.openxmlformats.org/officeDocument/2006/relationships/hyperlink" Target="https://www.sec.gov/Archives/edgar/data/1800/000162828026028357/" TargetMode="External" Id="rId94"/><Relationship Type="http://schemas.openxmlformats.org/officeDocument/2006/relationships/hyperlink" Target="https://www.sec.gov/Archives/edgar/data/1800/000162828026028357/" TargetMode="External" Id="rId95"/><Relationship Type="http://schemas.openxmlformats.org/officeDocument/2006/relationships/hyperlink" Target="https://www.sec.gov/Archives/edgar/data/1800/000162828026010185/" TargetMode="External" Id="rId96"/><Relationship Type="http://schemas.openxmlformats.org/officeDocument/2006/relationships/hyperlink" Target="https://www.sec.gov/Archives/edgar/data/1800/000162828026010185/" TargetMode="External" Id="rId97"/><Relationship Type="http://schemas.openxmlformats.org/officeDocument/2006/relationships/hyperlink" Target="https://www.sec.gov/Archives/edgar/data/1800/000162828026010185/" TargetMode="External" Id="rId98"/><Relationship Type="http://schemas.openxmlformats.org/officeDocument/2006/relationships/hyperlink" Target="https://www.sec.gov/Archives/edgar/data/1800/000162828026028357/" TargetMode="External" Id="rId99"/><Relationship Type="http://schemas.openxmlformats.org/officeDocument/2006/relationships/hyperlink" Target="https://www.sec.gov/Archives/edgar/data/1800/000162828026028357/" TargetMode="External" Id="rId100"/><Relationship Type="http://schemas.openxmlformats.org/officeDocument/2006/relationships/hyperlink" Target="https://www.sec.gov/Archives/edgar/data/1800/000162828026028357/" TargetMode="External" Id="rId101"/><Relationship Type="http://schemas.openxmlformats.org/officeDocument/2006/relationships/hyperlink" Target="https://www.sec.gov/Archives/edgar/data/1800/000162828026010185/" TargetMode="External" Id="rId102"/><Relationship Type="http://schemas.openxmlformats.org/officeDocument/2006/relationships/hyperlink" Target="https://www.sec.gov/Archives/edgar/data/1800/000162828026010185/" TargetMode="External" Id="rId103"/><Relationship Type="http://schemas.openxmlformats.org/officeDocument/2006/relationships/hyperlink" Target="https://www.sec.gov/Archives/edgar/data/1800/000162828026010185/" TargetMode="External" Id="rId104"/><Relationship Type="http://schemas.openxmlformats.org/officeDocument/2006/relationships/hyperlink" Target="https://www.sec.gov/Archives/edgar/data/1800/000162828026028357/" TargetMode="External" Id="rId105"/><Relationship Type="http://schemas.openxmlformats.org/officeDocument/2006/relationships/hyperlink" Target="https://www.sec.gov/Archives/edgar/data/1800/000162828026028357/" TargetMode="External" Id="rId106"/><Relationship Type="http://schemas.openxmlformats.org/officeDocument/2006/relationships/hyperlink" Target="https://www.sec.gov/Archives/edgar/data/1800/000162828026028357/" TargetMode="External" Id="rId107"/><Relationship Type="http://schemas.openxmlformats.org/officeDocument/2006/relationships/hyperlink" Target="https://www.sec.gov/Archives/edgar/data/1800/000162828026010185/" TargetMode="External" Id="rId108"/><Relationship Type="http://schemas.openxmlformats.org/officeDocument/2006/relationships/hyperlink" Target="https://www.sec.gov/Archives/edgar/data/1800/000162828026010185/" TargetMode="External" Id="rId109"/><Relationship Type="http://schemas.openxmlformats.org/officeDocument/2006/relationships/hyperlink" Target="https://www.sec.gov/Archives/edgar/data/1800/000162828026010185/" TargetMode="External" Id="rId110"/><Relationship Type="http://schemas.openxmlformats.org/officeDocument/2006/relationships/hyperlink" Target="https://www.sec.gov/Archives/edgar/data/1800/000162828026028357/" TargetMode="External" Id="rId111"/><Relationship Type="http://schemas.openxmlformats.org/officeDocument/2006/relationships/hyperlink" Target="https://www.sec.gov/Archives/edgar/data/1800/000162828026028357/" TargetMode="External" Id="rId112"/><Relationship Type="http://schemas.openxmlformats.org/officeDocument/2006/relationships/hyperlink" Target="https://www.sec.gov/Archives/edgar/data/1800/000162828026028357/" TargetMode="External" Id="rId113"/><Relationship Type="http://schemas.openxmlformats.org/officeDocument/2006/relationships/hyperlink" Target="https://www.sec.gov/Archives/edgar/data/1800/000162828026028357/" TargetMode="External" Id="rId114"/><Relationship Type="http://schemas.openxmlformats.org/officeDocument/2006/relationships/hyperlink" Target="https://www.sec.gov/Archives/edgar/data/1800/000162828026028357/" TargetMode="External" Id="rId115"/><Relationship Type="http://schemas.openxmlformats.org/officeDocument/2006/relationships/hyperlink" Target="https://www.sec.gov/Archives/edgar/data/1800/000162828026028357/" TargetMode="External" Id="rId116"/><Relationship Type="http://schemas.openxmlformats.org/officeDocument/2006/relationships/hyperlink" Target="https://www.sec.gov/Archives/edgar/data/1800/000162828026028357/" TargetMode="External" Id="rId117"/><Relationship Type="http://schemas.openxmlformats.org/officeDocument/2006/relationships/hyperlink" Target="https://www.sec.gov/Archives/edgar/data/1800/000162828026028357/" TargetMode="External" Id="rId118"/><Relationship Type="http://schemas.openxmlformats.org/officeDocument/2006/relationships/hyperlink" Target="https://www.sec.gov/Archives/edgar/data/1800/000162828026028357/" TargetMode="External" Id="rId1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ABT standard model (trial) · research run 2026-10-23</t>
        </is>
      </c>
    </row>
    <row r="2">
      <c r="A2" s="2" t="inlineStr">
        <is>
          <t>The supervisor's reconciled assumption set as a live model. Trial: shown beside the blended page target, not used for trade levels until its weight is decided. Edit blue cells on Model (drivers) and Valuation (assumptions).</t>
        </is>
      </c>
    </row>
    <row r="3">
      <c r="A3" s="3" t="inlineStr">
        <is>
          <t>Price target box</t>
        </is>
      </c>
      <c r="B3" s="3" t="inlineStr">
        <is>
          <t>Value</t>
        </is>
      </c>
    </row>
    <row r="4">
      <c r="A4" t="inlineStr">
        <is>
          <t>Live price</t>
        </is>
      </c>
      <c r="B4" s="4">
        <f>IFERROR(GOOGLEFINANCE("ABT","price"),Valuation!$B$67)</f>
        <v/>
      </c>
    </row>
    <row r="5">
      <c r="A5" t="inlineStr">
        <is>
          <t>Price as of</t>
        </is>
      </c>
      <c r="B5" s="5">
        <f>NOW()</f>
        <v/>
      </c>
    </row>
    <row r="6">
      <c r="A6" t="inlineStr">
        <is>
          <t>Model target (12-month median)</t>
        </is>
      </c>
      <c r="B6" s="6">
        <f>Distribution!$B$13</f>
        <v/>
      </c>
    </row>
    <row r="7">
      <c r="A7" t="inlineStr">
        <is>
          <t>Upside to model target from live price</t>
        </is>
      </c>
      <c r="B7" s="7">
        <f>B6/B4-1</f>
        <v/>
      </c>
    </row>
    <row r="8">
      <c r="A8" t="inlineStr">
        <is>
          <t>Research target (12m) (no scenario deltas)</t>
        </is>
      </c>
      <c r="B8" s="4">
        <f>Valuation!$D$7</f>
        <v/>
      </c>
    </row>
    <row r="9">
      <c r="A9" t="inlineStr">
        <is>
          <t>Probability-weighted mean</t>
        </is>
      </c>
      <c r="B9" s="4">
        <f>Distribution!$B$10</f>
        <v/>
      </c>
    </row>
    <row r="10">
      <c r="A10" t="inlineStr">
        <is>
          <t>10th percentile</t>
        </is>
      </c>
      <c r="B10" s="4">
        <f>Distribution!$B$14</f>
        <v/>
      </c>
    </row>
    <row r="11">
      <c r="A11" t="inlineStr">
        <is>
          <t>25th percentile</t>
        </is>
      </c>
      <c r="B11" s="4">
        <f>Distribution!$B$15</f>
        <v/>
      </c>
    </row>
    <row r="12">
      <c r="A12" t="inlineStr">
        <is>
          <t>75th percentile</t>
        </is>
      </c>
      <c r="B12" s="4">
        <f>Distribution!$B$16</f>
        <v/>
      </c>
    </row>
    <row r="13">
      <c r="A13" t="inlineStr">
        <is>
          <t>90th percentile</t>
        </is>
      </c>
      <c r="B13" s="4">
        <f>Distribution!$B$17</f>
        <v/>
      </c>
    </row>
    <row r="14">
      <c r="A14" t="inlineStr">
        <is>
          <t>Target date</t>
        </is>
      </c>
      <c r="B14" s="8">
        <f>Valuation!$B$45</f>
        <v/>
      </c>
    </row>
    <row r="15">
      <c r="A15" t="inlineStr">
        <is>
          <t>Price at the run</t>
        </is>
      </c>
      <c r="B15" s="4">
        <f>Valuation!$B$67</f>
        <v/>
      </c>
    </row>
    <row r="16">
      <c r="A16" t="inlineStr">
        <is>
          <t>Blended page target (options 67% + agents 33%, not live)</t>
        </is>
      </c>
      <c r="B16" s="9" t="n">
        <v>110.911</v>
      </c>
    </row>
    <row r="17">
      <c r="A17" t="inlineStr">
        <is>
          <t>Supervisor research target (12m) (its own methods)</t>
        </is>
      </c>
      <c r="B17" s="9" t="n">
        <v>109.19</v>
      </c>
    </row>
    <row r="18">
      <c r="A18" t="inlineStr">
        <is>
          <t>Thesis break price (supervisor)</t>
        </is>
      </c>
      <c r="B18" s="9" t="n">
        <v>78</v>
      </c>
    </row>
    <row r="19">
      <c r="A19" t="inlineStr">
        <is>
          <t>Supervisor confidence</t>
        </is>
      </c>
      <c r="B19" t="inlineStr">
        <is>
          <t>low</t>
        </is>
      </c>
    </row>
    <row r="21">
      <c r="A21" s="3" t="inlineStr">
        <is>
          <t>Key estimates</t>
        </is>
      </c>
      <c r="B21" s="3" t="inlineStr">
        <is>
          <t>FY2025A</t>
        </is>
      </c>
      <c r="C21" s="3">
        <f>Model!E5</f>
        <v/>
      </c>
      <c r="D21" s="3">
        <f>Model!F5</f>
        <v/>
      </c>
    </row>
    <row r="22">
      <c r="A22" t="inlineStr">
        <is>
          <t>Net sales</t>
        </is>
      </c>
      <c r="B22" s="10">
        <f>IF(Model!D36="","",Model!D36)</f>
        <v/>
      </c>
      <c r="C22" s="10">
        <f>Model!E36</f>
        <v/>
      </c>
      <c r="D22" s="10">
        <f>Model!F36</f>
        <v/>
      </c>
    </row>
    <row r="23">
      <c r="A23" s="11" t="inlineStr">
        <is>
          <t xml:space="preserve">  % YoY</t>
        </is>
      </c>
      <c r="B23" s="12">
        <f>IF(Model!D37="","",Model!D37)</f>
        <v/>
      </c>
      <c r="C23" s="12">
        <f>Model!E37</f>
        <v/>
      </c>
      <c r="D23" s="12">
        <f>Model!F37</f>
        <v/>
      </c>
    </row>
    <row r="24">
      <c r="A24" t="inlineStr">
        <is>
          <t>Pretax margin</t>
        </is>
      </c>
      <c r="B24" s="12">
        <f>IF(Model!D47="","",Model!D47)</f>
        <v/>
      </c>
      <c r="C24" s="12">
        <f>Model!E47</f>
        <v/>
      </c>
      <c r="D24" s="12">
        <f>Model!F47</f>
        <v/>
      </c>
    </row>
    <row r="25">
      <c r="A25" t="inlineStr">
        <is>
          <t>Diluted EPS (model)</t>
        </is>
      </c>
      <c r="B25" s="13">
        <f>IF(Model!D54="","",Model!D54)</f>
        <v/>
      </c>
      <c r="C25" s="13">
        <f>Model!E54</f>
        <v/>
      </c>
      <c r="D25" s="13">
        <f>Model!F54</f>
        <v/>
      </c>
    </row>
    <row r="26">
      <c r="A26" s="11" t="inlineStr">
        <is>
          <t xml:space="preserve">  % YoY</t>
        </is>
      </c>
      <c r="B26" s="12">
        <f>IF(Model!D55="","",Model!D55)</f>
        <v/>
      </c>
      <c r="C26" s="12">
        <f>Model!E55</f>
        <v/>
      </c>
      <c r="D26" s="12">
        <f>Model!F55</f>
        <v/>
      </c>
    </row>
    <row r="27">
      <c r="A27" t="inlineStr">
        <is>
          <t>Free cash flow to firm</t>
        </is>
      </c>
      <c r="B27" s="10">
        <f>IF(Model!D64="","",Model!D64)</f>
        <v/>
      </c>
      <c r="C27" s="10">
        <f>Model!E64</f>
        <v/>
      </c>
      <c r="D27" s="10">
        <f>Model!F64</f>
        <v/>
      </c>
    </row>
    <row r="29">
      <c r="A29" s="3" t="inlineStr">
        <is>
          <t>Valuation method</t>
        </is>
      </c>
      <c r="B29" s="3" t="inlineStr">
        <is>
          <t>Value per share</t>
        </is>
      </c>
      <c r="C29" s="3" t="inlineStr">
        <is>
          <t>Weight</t>
        </is>
      </c>
    </row>
    <row r="30">
      <c r="A30" s="14">
        <f>Valuation!A4</f>
        <v/>
      </c>
      <c r="B30" s="4">
        <f>Valuation!D4</f>
        <v/>
      </c>
      <c r="C30" s="12">
        <f>Valuation!E4</f>
        <v/>
      </c>
    </row>
    <row r="31">
      <c r="A31" s="14">
        <f>Valuation!A5</f>
        <v/>
      </c>
      <c r="B31" s="4">
        <f>Valuation!D5</f>
        <v/>
      </c>
      <c r="C31" s="12">
        <f>Valuation!E5</f>
        <v/>
      </c>
    </row>
    <row r="32">
      <c r="A32" s="14">
        <f>Valuation!A6</f>
        <v/>
      </c>
      <c r="B32" s="4">
        <f>Valuation!D6</f>
        <v/>
      </c>
      <c r="C32" s="12">
        <f>Valuation!E6</f>
        <v/>
      </c>
    </row>
    <row r="34">
      <c r="A34" s="3" t="inlineStr">
        <is>
          <t>Scenario</t>
        </is>
      </c>
      <c r="B34" s="3" t="inlineStr">
        <is>
          <t>Probability</t>
        </is>
      </c>
      <c r="C34" s="3" t="inlineStr">
        <is>
          <t>Value at target date</t>
        </is>
      </c>
      <c r="D34" s="3" t="inlineStr">
        <is>
          <t>What has to happen</t>
        </is>
      </c>
    </row>
    <row r="35">
      <c r="A35" s="14">
        <f>Distribution!A4</f>
        <v/>
      </c>
      <c r="B35" s="12">
        <f>Distribution!B4</f>
        <v/>
      </c>
      <c r="C35" s="4">
        <f>Distribution!C4</f>
        <v/>
      </c>
      <c r="D35" s="15">
        <f>Distribution!D4</f>
        <v/>
      </c>
    </row>
    <row r="36">
      <c r="A36" s="14">
        <f>Distribution!A5</f>
        <v/>
      </c>
      <c r="B36" s="12">
        <f>Distribution!B5</f>
        <v/>
      </c>
      <c r="C36" s="4">
        <f>Distribution!C5</f>
        <v/>
      </c>
      <c r="D36" s="15">
        <f>Distribution!D5</f>
        <v/>
      </c>
    </row>
    <row r="37">
      <c r="A37" s="14">
        <f>Distribution!A6</f>
        <v/>
      </c>
      <c r="B37" s="12">
        <f>Distribution!B6</f>
        <v/>
      </c>
      <c r="C37" s="4">
        <f>Distribution!C6</f>
        <v/>
      </c>
      <c r="D37" s="15">
        <f>Distribution!D6</f>
        <v/>
      </c>
    </row>
    <row r="39">
      <c r="A39" s="3" t="inlineStr">
        <is>
          <t>Price at target date</t>
        </is>
      </c>
      <c r="B39" s="3" t="inlineStr">
        <is>
          <t>Probability above</t>
        </is>
      </c>
    </row>
    <row r="40">
      <c r="A40" s="9">
        <f>ROUND(Valuation!$B$67*0.7,0)</f>
        <v/>
      </c>
      <c r="B40" s="16">
        <f>SUMPRODUCT(Distribution!$B$4:$B$6,1-NORMSDIST((LN(A40)-LN(Distribution!$C$4:$C$6))/Distribution!$B$9))</f>
        <v/>
      </c>
    </row>
    <row r="41">
      <c r="A41" s="9">
        <f>ROUND(Valuation!$B$67*0.8,0)</f>
        <v/>
      </c>
      <c r="B41" s="16">
        <f>SUMPRODUCT(Distribution!$B$4:$B$6,1-NORMSDIST((LN(A41)-LN(Distribution!$C$4:$C$6))/Distribution!$B$9))</f>
        <v/>
      </c>
    </row>
    <row r="42">
      <c r="A42" s="9">
        <f>ROUND(Valuation!$B$67*0.9,0)</f>
        <v/>
      </c>
      <c r="B42" s="16">
        <f>SUMPRODUCT(Distribution!$B$4:$B$6,1-NORMSDIST((LN(A42)-LN(Distribution!$C$4:$C$6))/Distribution!$B$9))</f>
        <v/>
      </c>
    </row>
    <row r="43">
      <c r="A43" s="9">
        <f>ROUND(Valuation!$B$67*1.0,0)</f>
        <v/>
      </c>
      <c r="B43" s="16">
        <f>SUMPRODUCT(Distribution!$B$4:$B$6,1-NORMSDIST((LN(A43)-LN(Distribution!$C$4:$C$6))/Distribution!$B$9))</f>
        <v/>
      </c>
    </row>
    <row r="44">
      <c r="A44" s="9">
        <f>ROUND(Valuation!$B$67*1.1,0)</f>
        <v/>
      </c>
      <c r="B44" s="16">
        <f>SUMPRODUCT(Distribution!$B$4:$B$6,1-NORMSDIST((LN(A44)-LN(Distribution!$C$4:$C$6))/Distribution!$B$9))</f>
        <v/>
      </c>
    </row>
    <row r="45">
      <c r="A45" s="9">
        <f>ROUND(Valuation!$B$67*1.2,0)</f>
        <v/>
      </c>
      <c r="B45" s="16">
        <f>SUMPRODUCT(Distribution!$B$4:$B$6,1-NORMSDIST((LN(A45)-LN(Distribution!$C$4:$C$6))/Distribution!$B$9))</f>
        <v/>
      </c>
    </row>
    <row r="46">
      <c r="A46" s="9">
        <f>ROUND(Valuation!$B$67*1.3,0)</f>
        <v/>
      </c>
      <c r="B46" s="16">
        <f>SUMPRODUCT(Distribution!$B$4:$B$6,1-NORMSDIST((LN(A46)-LN(Distribution!$C$4:$C$6))/Distribution!$B$9))</f>
        <v/>
      </c>
    </row>
    <row r="47">
      <c r="A47" s="9">
        <f>ROUND(Valuation!$B$67*1.5,0)</f>
        <v/>
      </c>
      <c r="B47" s="16">
        <f>SUMPRODUCT(Distribution!$B$4:$B$6,1-NORMSDIST((LN(A47)-LN(Distribution!$C$4:$C$6))/Distribution!$B$9))</f>
        <v/>
      </c>
    </row>
    <row r="49">
      <c r="A49" s="3" t="inlineStr">
        <is>
          <t>Model checks</t>
        </is>
      </c>
      <c r="B49" s="3" t="inlineStr">
        <is>
          <t>Status</t>
        </is>
      </c>
    </row>
    <row r="50">
      <c r="A50" t="inlineStr">
        <is>
          <t>Scenario probabilities sum to 100%</t>
        </is>
      </c>
      <c r="B50">
        <f>IF(ABS(Distribution!B8-1)&lt;0.005,"ok","FLAG: "&amp;TEXT(Distribution!B8,"0.0%"))</f>
        <v/>
      </c>
    </row>
    <row r="51">
      <c r="A51" t="inlineStr">
        <is>
          <t>WACC exceeds terminal growth by 1 point or more</t>
        </is>
      </c>
      <c r="B51">
        <f>IF('Calc - research target (12m)'!B55="ok","ok","FLAG")</f>
        <v/>
      </c>
    </row>
    <row r="52">
      <c r="A52" t="inlineStr">
        <is>
          <t>Projection runs a full year past the target date</t>
        </is>
      </c>
      <c r="B52">
        <f>IF('Calc - research target (12m)'!B56="ok","ok","FLAG")</f>
        <v/>
      </c>
    </row>
    <row r="53">
      <c r="A53" t="inlineStr">
        <is>
          <t>Method weights add up to more than zero</t>
        </is>
      </c>
      <c r="B53">
        <f>IF(SUM(Valuation!E4:E6)&gt;0,"ok","FLAG")</f>
        <v/>
      </c>
    </row>
    <row r="54">
      <c r="A54" t="inlineStr">
        <is>
          <t>Terminal value under 85% of the DCF</t>
        </is>
      </c>
      <c r="B54">
        <f>IF('Calc - research target (12m)'!B46&lt;0.85,"ok","note: "&amp;TEXT('Calc - research target (12m)'!B46,"0%")&amp;" of the DCF is terminal value")</f>
        <v/>
      </c>
    </row>
    <row r="55">
      <c r="A55" t="inlineStr">
        <is>
          <t>Segment base revenues tie to the last reported net sales (within 2%)</t>
        </is>
      </c>
      <c r="B55">
        <f>IF(ABS(Valuation!$B$98/Valuation!$B$50-1)&lt;=0.02,"ok","FLAG")</f>
        <v/>
      </c>
    </row>
    <row r="56">
      <c r="A56" t="inlineStr">
        <is>
          <t>Matches the engine run at publication (target, research target (12m))</t>
        </is>
      </c>
      <c r="B56">
        <f>IF(AND(ABS(Distribution!$B$13-108.6682)&lt;0.01,ABS(Valuation!$D$7-109.1869)&lt;0.01),"ok","inputs edited since publication")</f>
        <v/>
      </c>
    </row>
    <row r="57">
      <c r="A57" s="17" t="inlineStr">
        <is>
          <t>All checks</t>
        </is>
      </c>
      <c r="B57" s="17">
        <f>IF(COUNTIF(B50:B56,"ok")=7,"all ok",7-COUNTIF(B50:B56,"ok")&amp;" to look at")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ABT: annual model, base case</t>
        </is>
      </c>
    </row>
    <row r="2">
      <c r="A2" s="2" t="inlineStr">
        <is>
          <t>(M of US dollars except per share; fiscal years named by the calendar year they end in)</t>
        </is>
      </c>
    </row>
    <row r="3">
      <c r="A3" s="2" t="inlineStr">
        <is>
          <t>Blue = input · black = formula · green = link to another tab · actuals from SEC filings (fact ids in the last column, links on Sources)</t>
        </is>
      </c>
    </row>
    <row r="5">
      <c r="A5" s="3" t="inlineStr">
        <is>
          <t>Fiscal year</t>
        </is>
      </c>
      <c r="B5" s="3" t="inlineStr">
        <is>
          <t>FY2023A</t>
        </is>
      </c>
      <c r="C5" s="3" t="inlineStr">
        <is>
          <t>FY2024A</t>
        </is>
      </c>
      <c r="D5" s="3" t="inlineStr">
        <is>
          <t>FY2025A</t>
        </is>
      </c>
      <c r="E5" s="3" t="inlineStr">
        <is>
          <t>FY2026E</t>
        </is>
      </c>
      <c r="F5" s="3" t="inlineStr">
        <is>
          <t>FY2027E</t>
        </is>
      </c>
      <c r="G5" s="3" t="inlineStr">
        <is>
          <t>FY2028E</t>
        </is>
      </c>
      <c r="H5" s="3" t="inlineStr">
        <is>
          <t>Source / note</t>
        </is>
      </c>
    </row>
    <row r="6">
      <c r="A6" t="inlineStr">
        <is>
          <t>Period end</t>
        </is>
      </c>
      <c r="B6" s="18" t="n">
        <v>45291</v>
      </c>
      <c r="C6" s="18" t="n">
        <v>45657</v>
      </c>
      <c r="D6" s="18" t="n">
        <v>46022</v>
      </c>
      <c r="E6" s="18">
        <f>IF(DAY(Valuation!$B$49+1)=1,EOMONTH(Valuation!$B$49,12*E7),EDATE(Valuation!$B$49,12*E7))</f>
        <v/>
      </c>
      <c r="F6" s="18">
        <f>IF(DAY(Valuation!$B$49+1)=1,EOMONTH(Valuation!$B$49,12*F7),EDATE(Valuation!$B$49,12*F7))</f>
        <v/>
      </c>
      <c r="G6" s="18">
        <f>IF(DAY(Valuation!$B$49+1)=1,EOMONTH(Valuation!$B$49,12*G7),EDATE(Valuation!$B$49,12*G7))</f>
        <v/>
      </c>
    </row>
    <row r="7">
      <c r="A7" t="inlineStr">
        <is>
          <t>Projection year</t>
        </is>
      </c>
      <c r="B7" t="n">
        <v>-2</v>
      </c>
      <c r="C7" t="n">
        <v>-1</v>
      </c>
      <c r="D7" t="n">
        <v>0</v>
      </c>
      <c r="E7" t="n">
        <v>1</v>
      </c>
      <c r="F7" t="n">
        <v>2</v>
      </c>
      <c r="G7" t="n">
        <v>3</v>
      </c>
    </row>
    <row r="10">
      <c r="A10" s="19" t="inlineStr">
        <is>
          <t>Segment build (blue = input: revenue growth and EBIT margin by segment and year)</t>
        </is>
      </c>
      <c r="B10" s="20" t="n"/>
      <c r="C10" s="20" t="n"/>
      <c r="D10" s="20" t="n"/>
      <c r="E10" s="20" t="n"/>
      <c r="F10" s="20" t="n"/>
      <c r="G10" s="20" t="n"/>
      <c r="H10" s="20" t="n"/>
    </row>
    <row r="11">
      <c r="A11" t="inlineStr">
        <is>
          <t>Medical Devices (Diabetes Care, EP, Rhythm, HF, Vascular, Structural Heart, Neuromodulation)</t>
        </is>
      </c>
      <c r="D11" s="10">
        <f>Valuation!$B$93</f>
        <v/>
      </c>
      <c r="E11" s="21">
        <f>Valuation!$B$93*(1+E12)</f>
        <v/>
      </c>
      <c r="F11" s="21">
        <f>E11*(1+F12)</f>
        <v/>
      </c>
      <c r="G11" s="21">
        <f>F11*(1+G12)</f>
        <v/>
      </c>
    </row>
    <row r="12">
      <c r="A12" s="11" t="inlineStr">
        <is>
          <t xml:space="preserve">  Revenue growth</t>
        </is>
      </c>
      <c r="E12" s="22" t="n">
        <v>0.08771683733108904</v>
      </c>
      <c r="F12" s="22" t="n">
        <v>0.06774706615655757</v>
      </c>
      <c r="G12" s="22" t="n">
        <v>0.06042916381496832</v>
      </c>
    </row>
    <row r="13">
      <c r="A13" t="inlineStr">
        <is>
          <t xml:space="preserve">  Segment EBIT</t>
        </is>
      </c>
      <c r="E13" s="21">
        <f>E11*E14</f>
        <v/>
      </c>
      <c r="F13" s="21">
        <f>F11*F14</f>
        <v/>
      </c>
      <c r="G13" s="21">
        <f>G11*G14</f>
        <v/>
      </c>
    </row>
    <row r="14">
      <c r="A14" s="11" t="inlineStr">
        <is>
          <t xml:space="preserve">  EBIT margin</t>
        </is>
      </c>
      <c r="E14" s="22" t="n">
        <v>0.339</v>
      </c>
      <c r="F14" s="22" t="n">
        <v>0.341</v>
      </c>
      <c r="G14" s="22" t="n">
        <v>0.343</v>
      </c>
    </row>
    <row r="15">
      <c r="A15" t="inlineStr">
        <is>
          <t>Diagnostics (Core Lab, Rapid/Molecular, Cancer Dx/Exact Sciences)</t>
        </is>
      </c>
      <c r="D15" s="10">
        <f>Valuation!$B$94</f>
        <v/>
      </c>
      <c r="E15" s="21">
        <f>Valuation!$B$94*(1+E16)</f>
        <v/>
      </c>
      <c r="F15" s="21">
        <f>E15*(1+F16)</f>
        <v/>
      </c>
      <c r="G15" s="21">
        <f>F15*(1+G16)</f>
        <v/>
      </c>
    </row>
    <row r="16">
      <c r="A16" s="11" t="inlineStr">
        <is>
          <t xml:space="preserve">  Revenue growth</t>
        </is>
      </c>
      <c r="E16" s="22" t="n">
        <v>0.3522434821528477</v>
      </c>
      <c r="F16" s="22" t="n">
        <v>0.1212246586677699</v>
      </c>
      <c r="G16" s="22" t="n">
        <v>0.0580073800738008</v>
      </c>
    </row>
    <row r="17">
      <c r="A17" t="inlineStr">
        <is>
          <t xml:space="preserve">  Segment EBIT</t>
        </is>
      </c>
      <c r="E17" s="21">
        <f>E15*E18</f>
        <v/>
      </c>
      <c r="F17" s="21">
        <f>F15*F18</f>
        <v/>
      </c>
      <c r="G17" s="21">
        <f>G15*G18</f>
        <v/>
      </c>
    </row>
    <row r="18">
      <c r="A18" s="11" t="inlineStr">
        <is>
          <t xml:space="preserve">  EBIT margin</t>
        </is>
      </c>
      <c r="E18" s="22" t="n">
        <v>0.19</v>
      </c>
      <c r="F18" s="22" t="n">
        <v>0.198</v>
      </c>
      <c r="G18" s="22" t="n">
        <v>0.205</v>
      </c>
    </row>
    <row r="19">
      <c r="A19" t="inlineStr">
        <is>
          <t>Nutrition</t>
        </is>
      </c>
      <c r="D19" s="10">
        <f>Valuation!$B$95</f>
        <v/>
      </c>
      <c r="E19" s="21">
        <f>Valuation!$B$95*(1+E20)</f>
        <v/>
      </c>
      <c r="F19" s="21">
        <f>E19*(1+F20)</f>
        <v/>
      </c>
      <c r="G19" s="21">
        <f>F19*(1+G20)</f>
        <v/>
      </c>
    </row>
    <row r="20">
      <c r="A20" s="11" t="inlineStr">
        <is>
          <t xml:space="preserve">  Revenue growth</t>
        </is>
      </c>
      <c r="E20" s="22" t="n">
        <v>0.0015</v>
      </c>
      <c r="F20" s="22" t="n">
        <v>0.035</v>
      </c>
      <c r="G20" s="22" t="n">
        <v>0.035</v>
      </c>
    </row>
    <row r="21">
      <c r="A21" t="inlineStr">
        <is>
          <t xml:space="preserve">  Segment EBIT</t>
        </is>
      </c>
      <c r="E21" s="21">
        <f>E19*E22</f>
        <v/>
      </c>
      <c r="F21" s="21">
        <f>F19*F22</f>
        <v/>
      </c>
      <c r="G21" s="21">
        <f>G19*G22</f>
        <v/>
      </c>
    </row>
    <row r="22">
      <c r="A22" s="11" t="inlineStr">
        <is>
          <t xml:space="preserve">  EBIT margin</t>
        </is>
      </c>
      <c r="E22" s="22" t="n">
        <v>0.185</v>
      </c>
      <c r="F22" s="22" t="n">
        <v>0.185</v>
      </c>
      <c r="G22" s="22" t="n">
        <v>0.185</v>
      </c>
    </row>
    <row r="23">
      <c r="A23" t="inlineStr">
        <is>
          <t>Established Pharmaceuticals</t>
        </is>
      </c>
      <c r="D23" s="10">
        <f>Valuation!$B$96</f>
        <v/>
      </c>
      <c r="E23" s="21">
        <f>Valuation!$B$96*(1+E24)</f>
        <v/>
      </c>
      <c r="F23" s="21">
        <f>E23*(1+F24)</f>
        <v/>
      </c>
      <c r="G23" s="21">
        <f>F23*(1+G24)</f>
        <v/>
      </c>
    </row>
    <row r="24">
      <c r="A24" s="11" t="inlineStr">
        <is>
          <t xml:space="preserve">  Revenue growth</t>
        </is>
      </c>
      <c r="E24" s="22" t="n">
        <v>0.08724710982658967</v>
      </c>
      <c r="F24" s="22" t="n">
        <v>0.06994517361687991</v>
      </c>
      <c r="G24" s="22" t="n">
        <v>0.0700310559006212</v>
      </c>
    </row>
    <row r="25">
      <c r="A25" t="inlineStr">
        <is>
          <t xml:space="preserve">  Segment EBIT</t>
        </is>
      </c>
      <c r="E25" s="21">
        <f>E23*E26</f>
        <v/>
      </c>
      <c r="F25" s="21">
        <f>F23*F26</f>
        <v/>
      </c>
      <c r="G25" s="21">
        <f>G23*G26</f>
        <v/>
      </c>
    </row>
    <row r="26">
      <c r="A26" s="11" t="inlineStr">
        <is>
          <t xml:space="preserve">  EBIT margin</t>
        </is>
      </c>
      <c r="E26" s="22" t="n">
        <v>0.23</v>
      </c>
      <c r="F26" s="22" t="n">
        <v>0.23</v>
      </c>
      <c r="G26" s="22" t="n">
        <v>0.23</v>
      </c>
    </row>
    <row r="27">
      <c r="A27" t="inlineStr">
        <is>
          <t>Other</t>
        </is>
      </c>
      <c r="D27" s="10">
        <f>Valuation!$B$97</f>
        <v/>
      </c>
      <c r="E27" s="21">
        <f>Valuation!$B$97*(1+E28)</f>
        <v/>
      </c>
      <c r="F27" s="21">
        <f>E27*(1+F28)</f>
        <v/>
      </c>
      <c r="G27" s="21">
        <f>F27*(1+G28)</f>
        <v/>
      </c>
    </row>
    <row r="28">
      <c r="A28" s="11" t="inlineStr">
        <is>
          <t xml:space="preserve">  Revenue growth</t>
        </is>
      </c>
      <c r="E28" s="22" t="n">
        <v>0</v>
      </c>
      <c r="F28" s="22" t="n">
        <v>0</v>
      </c>
      <c r="G28" s="22" t="n">
        <v>0</v>
      </c>
    </row>
    <row r="29">
      <c r="A29" t="inlineStr">
        <is>
          <t xml:space="preserve">  Segment EBIT</t>
        </is>
      </c>
      <c r="E29" s="21">
        <f>E27*E30</f>
        <v/>
      </c>
      <c r="F29" s="21">
        <f>F27*F30</f>
        <v/>
      </c>
      <c r="G29" s="21">
        <f>G27*G30</f>
        <v/>
      </c>
    </row>
    <row r="30">
      <c r="A30" s="11" t="inlineStr">
        <is>
          <t xml:space="preserve">  EBIT margin</t>
        </is>
      </c>
      <c r="E30" s="22" t="n">
        <v>0</v>
      </c>
      <c r="F30" s="22" t="n">
        <v>0</v>
      </c>
      <c r="G30" s="22" t="n">
        <v>0</v>
      </c>
    </row>
    <row r="31">
      <c r="A31" t="inlineStr">
        <is>
          <t>Total segment revenue (= net sales)</t>
        </is>
      </c>
      <c r="D31" s="23">
        <f>D11+D15+D19+D23+D27</f>
        <v/>
      </c>
      <c r="E31" s="23">
        <f>E11+E15+E19+E23+E27</f>
        <v/>
      </c>
      <c r="F31" s="23">
        <f>F11+F15+F19+F23+F27</f>
        <v/>
      </c>
      <c r="G31" s="23">
        <f>G11+G15+G19+G23+G27</f>
        <v/>
      </c>
      <c r="H31" s="2" t="inlineStr">
        <is>
          <t>base revenues on Valuation (segment build); net sales = this total</t>
        </is>
      </c>
    </row>
    <row r="32">
      <c r="A32" t="inlineStr">
        <is>
          <t>Total segment EBIT</t>
        </is>
      </c>
      <c r="E32" s="23">
        <f>E13+E17+E21+E25+E29</f>
        <v/>
      </c>
      <c r="F32" s="23">
        <f>F13+F17+F21+F25+F29</f>
        <v/>
      </c>
      <c r="G32" s="23">
        <f>G13+G17+G21+G25+G29</f>
        <v/>
      </c>
    </row>
    <row r="33">
      <c r="A33" t="inlineStr">
        <is>
          <t>Corporate / unallocated EBIT (blue = input)</t>
        </is>
      </c>
      <c r="E33" s="24" t="n">
        <v>-820</v>
      </c>
      <c r="F33" s="24" t="n">
        <v>-888</v>
      </c>
      <c r="G33" s="24" t="n">
        <v>-948</v>
      </c>
      <c r="H33" s="2" t="inlineStr">
        <is>
          <t>years[].corporate_ebit; EBIT = total segment EBIT + corporate</t>
        </is>
      </c>
    </row>
    <row r="35">
      <c r="A35" s="19" t="inlineStr">
        <is>
          <t>Sales</t>
        </is>
      </c>
      <c r="B35" s="20" t="n"/>
      <c r="C35" s="20" t="n"/>
      <c r="D35" s="20" t="n"/>
      <c r="E35" s="20" t="n"/>
      <c r="F35" s="20" t="n"/>
      <c r="G35" s="20" t="n"/>
      <c r="H35" s="20" t="n"/>
    </row>
    <row r="36">
      <c r="A36" s="17" t="inlineStr">
        <is>
          <t>Net sales</t>
        </is>
      </c>
      <c r="B36" s="21" t="n">
        <v>40109</v>
      </c>
      <c r="C36" s="21" t="n">
        <v>41950</v>
      </c>
      <c r="D36" s="21" t="n">
        <v>44328</v>
      </c>
      <c r="E36" s="23">
        <f>E31</f>
        <v/>
      </c>
      <c r="F36" s="23">
        <f>F31</f>
        <v/>
      </c>
      <c r="G36" s="23">
        <f>G31</f>
        <v/>
      </c>
      <c r="H36" s="2" t="inlineStr">
        <is>
          <t>SEC XBRL F1, F2, F3</t>
        </is>
      </c>
    </row>
    <row r="37">
      <c r="A37" s="11" t="inlineStr">
        <is>
          <t xml:space="preserve">  % YoY</t>
        </is>
      </c>
      <c r="C37" s="25">
        <f>IF(OR(C36="",B36="",B36=0),"",C36/B36-1)</f>
        <v/>
      </c>
      <c r="D37" s="25">
        <f>IF(OR(D36="",C36="",C36=0),"",D36/C36-1)</f>
        <v/>
      </c>
      <c r="E37" s="25">
        <f>E36/Valuation!$B$50-1</f>
        <v/>
      </c>
      <c r="F37" s="25">
        <f>F36/E36-1</f>
        <v/>
      </c>
      <c r="G37" s="25">
        <f>G36/F36-1</f>
        <v/>
      </c>
    </row>
    <row r="39">
      <c r="A39" s="19" t="inlineStr">
        <is>
          <t>Operating profit</t>
        </is>
      </c>
      <c r="B39" s="20" t="n"/>
      <c r="C39" s="20" t="n"/>
      <c r="D39" s="20" t="n"/>
      <c r="E39" s="20" t="n"/>
      <c r="F39" s="20" t="n"/>
      <c r="G39" s="20" t="n"/>
      <c r="H39" s="20" t="n"/>
    </row>
    <row r="40">
      <c r="A40" t="inlineStr">
        <is>
          <t>EBIT (operating income)</t>
        </is>
      </c>
      <c r="E40" s="21">
        <f>E32+E33</f>
        <v/>
      </c>
      <c r="F40" s="21">
        <f>F32+F33</f>
        <v/>
      </c>
      <c r="G40" s="21">
        <f>G32+G33</f>
        <v/>
      </c>
    </row>
    <row r="41">
      <c r="A41" s="11" t="inlineStr">
        <is>
          <t xml:space="preserve">  EBIT margin</t>
        </is>
      </c>
      <c r="E41" s="25">
        <f>E40/E36</f>
        <v/>
      </c>
      <c r="F41" s="25">
        <f>F40/F36</f>
        <v/>
      </c>
      <c r="G41" s="25">
        <f>G40/G36</f>
        <v/>
      </c>
    </row>
    <row r="42">
      <c r="A42" t="inlineStr">
        <is>
          <t>D&amp;A</t>
        </is>
      </c>
      <c r="E42" s="21">
        <f>E36*E76</f>
        <v/>
      </c>
      <c r="F42" s="21">
        <f>F36*F76</f>
        <v/>
      </c>
      <c r="G42" s="21">
        <f>G36*G76</f>
        <v/>
      </c>
    </row>
    <row r="43">
      <c r="A43" t="inlineStr">
        <is>
          <t>EBITDA</t>
        </is>
      </c>
      <c r="E43" s="21">
        <f>E40+E42</f>
        <v/>
      </c>
      <c r="F43" s="21">
        <f>F40+F42</f>
        <v/>
      </c>
      <c r="G43" s="21">
        <f>G40+G42</f>
        <v/>
      </c>
    </row>
    <row r="44">
      <c r="A44" s="11" t="inlineStr">
        <is>
          <t xml:space="preserve">  EBITDA margin</t>
        </is>
      </c>
      <c r="E44" s="25">
        <f>E43/E36</f>
        <v/>
      </c>
      <c r="F44" s="25">
        <f>F43/F36</f>
        <v/>
      </c>
      <c r="G44" s="25">
        <f>G43/G36</f>
        <v/>
      </c>
    </row>
    <row r="45">
      <c r="A45" t="inlineStr">
        <is>
          <t>Net interest income / (expense)</t>
        </is>
      </c>
      <c r="E45" s="21">
        <f>-Valuation!$B$58*Valuation!$B$56</f>
        <v/>
      </c>
      <c r="F45" s="21">
        <f>-Valuation!$B$58*E70</f>
        <v/>
      </c>
      <c r="G45" s="21">
        <f>-Valuation!$B$58*F70</f>
        <v/>
      </c>
      <c r="H45" s="2" t="inlineStr">
        <is>
          <t>rate x prior year-end net debt (memo roll)</t>
        </is>
      </c>
    </row>
    <row r="46">
      <c r="A46" s="17" t="inlineStr">
        <is>
          <t>Pretax income</t>
        </is>
      </c>
      <c r="B46" s="21" t="n">
        <v>6664</v>
      </c>
      <c r="C46" s="21" t="n">
        <v>7013</v>
      </c>
      <c r="D46" s="21" t="n">
        <v>8466</v>
      </c>
      <c r="E46" s="23">
        <f>E40+E45</f>
        <v/>
      </c>
      <c r="F46" s="23">
        <f>F40+F45</f>
        <v/>
      </c>
      <c r="G46" s="23">
        <f>G40+G45</f>
        <v/>
      </c>
      <c r="H46" s="2" t="inlineStr">
        <is>
          <t>SEC XBRL F83, F84, F85</t>
        </is>
      </c>
    </row>
    <row r="47">
      <c r="A47" s="11" t="inlineStr">
        <is>
          <t xml:space="preserve">  Pretax margin</t>
        </is>
      </c>
      <c r="B47" s="25">
        <f>B46/B36</f>
        <v/>
      </c>
      <c r="C47" s="25">
        <f>C46/C36</f>
        <v/>
      </c>
      <c r="D47" s="25">
        <f>D46/D36</f>
        <v/>
      </c>
      <c r="E47" s="25">
        <f>E46/E36</f>
        <v/>
      </c>
      <c r="F47" s="25">
        <f>F46/F36</f>
        <v/>
      </c>
      <c r="G47" s="25">
        <f>G46/G36</f>
        <v/>
      </c>
    </row>
    <row r="48">
      <c r="A48" t="inlineStr">
        <is>
          <t>Income tax</t>
        </is>
      </c>
      <c r="B48" s="21" t="n">
        <v>941</v>
      </c>
      <c r="C48" s="21" t="n">
        <v>-6389</v>
      </c>
      <c r="D48" s="21" t="n">
        <v>1942</v>
      </c>
      <c r="E48" s="21">
        <f>E46*E75</f>
        <v/>
      </c>
      <c r="F48" s="21">
        <f>F46*F75</f>
        <v/>
      </c>
      <c r="G48" s="21">
        <f>G46*G75</f>
        <v/>
      </c>
      <c r="H48" s="2" t="inlineStr">
        <is>
          <t>SEC XBRL F76, F77, F78</t>
        </is>
      </c>
    </row>
    <row r="49">
      <c r="A49" s="11" t="inlineStr">
        <is>
          <t xml:space="preserve">  Effective tax rate</t>
        </is>
      </c>
      <c r="B49" s="25">
        <f>B48/B46</f>
        <v/>
      </c>
      <c r="C49" s="25">
        <f>C48/C46</f>
        <v/>
      </c>
      <c r="D49" s="25">
        <f>D48/D46</f>
        <v/>
      </c>
      <c r="E49" s="25">
        <f>E48/E46</f>
        <v/>
      </c>
      <c r="F49" s="25">
        <f>F48/F46</f>
        <v/>
      </c>
      <c r="G49" s="25">
        <f>G48/G46</f>
        <v/>
      </c>
    </row>
    <row r="50">
      <c r="A50" s="17" t="inlineStr">
        <is>
          <t>Net income</t>
        </is>
      </c>
      <c r="B50" s="21" t="n">
        <v>5723</v>
      </c>
      <c r="C50" s="21" t="n">
        <v>13402</v>
      </c>
      <c r="D50" s="21" t="n">
        <v>6524</v>
      </c>
      <c r="E50" s="23">
        <f>E46-E48</f>
        <v/>
      </c>
      <c r="F50" s="23">
        <f>F46-F48</f>
        <v/>
      </c>
      <c r="G50" s="23">
        <f>G46-G48</f>
        <v/>
      </c>
      <c r="H50" s="2" t="inlineStr">
        <is>
          <t>SEC XBRL F15, F16, F17</t>
        </is>
      </c>
    </row>
    <row r="51">
      <c r="A51" s="11" t="inlineStr">
        <is>
          <t xml:space="preserve">  % YoY</t>
        </is>
      </c>
      <c r="C51" s="25">
        <f>IF(OR(C50="",B50="",B50=0),"",C50/B50-1)</f>
        <v/>
      </c>
      <c r="D51" s="25">
        <f>IF(OR(D50="",C50="",C50=0),"",D50/C50-1)</f>
        <v/>
      </c>
      <c r="E51" s="25">
        <f>IF(OR(D50="",D50=0),"",E50/D50-1)</f>
        <v/>
      </c>
      <c r="F51" s="25">
        <f>IF(OR(E50="",E50=0),"",F50/E50-1)</f>
        <v/>
      </c>
      <c r="G51" s="25">
        <f>IF(OR(F50="",F50=0),"",G50/F50-1)</f>
        <v/>
      </c>
    </row>
    <row r="52">
      <c r="A52" t="inlineStr">
        <is>
          <t>Diluted shares (M, average)</t>
        </is>
      </c>
      <c r="B52" s="21" t="n">
        <v>1749</v>
      </c>
      <c r="C52" s="21" t="n">
        <v>1748</v>
      </c>
      <c r="D52" s="21" t="n">
        <v>1748</v>
      </c>
      <c r="E52" s="26">
        <f>Valuation!$B$60*(1+Valuation!$B$62)^(E7-0.5-((Valuation!$B$61-Valuation!$B$49)/365.25))</f>
        <v/>
      </c>
      <c r="F52" s="26">
        <f>Valuation!$B$60*(1+Valuation!$B$62)^(F7-0.5-((Valuation!$B$61-Valuation!$B$49)/365.25))</f>
        <v/>
      </c>
      <c r="G52" s="26">
        <f>Valuation!$B$60*(1+Valuation!$B$62)^(G7-0.5-((Valuation!$B$61-Valuation!$B$49)/365.25))</f>
        <v/>
      </c>
      <c r="H52" s="2" t="inlineStr">
        <is>
          <t>diluted count rolled at the annual change to mid-year</t>
        </is>
      </c>
    </row>
    <row r="53">
      <c r="A53" s="11" t="inlineStr">
        <is>
          <t xml:space="preserve">  % YoY</t>
        </is>
      </c>
      <c r="C53" s="25">
        <f>IF(OR(C52="",B52="",B52=0),"",C52/B52-1)</f>
        <v/>
      </c>
      <c r="D53" s="25">
        <f>IF(OR(D52="",C52="",C52=0),"",D52/C52-1)</f>
        <v/>
      </c>
      <c r="E53" s="25">
        <f>IF(OR(D52="",D52=0),"",E52/D52-1)</f>
        <v/>
      </c>
      <c r="F53" s="25">
        <f>IF(OR(E52="",E52=0),"",F52/E52-1)</f>
        <v/>
      </c>
      <c r="G53" s="25">
        <f>IF(OR(F52="",F52=0),"",G52/F52-1)</f>
        <v/>
      </c>
    </row>
    <row r="54">
      <c r="A54" s="17" t="inlineStr">
        <is>
          <t>Diluted EPS</t>
        </is>
      </c>
      <c r="B54" s="27" t="n">
        <v>3.26</v>
      </c>
      <c r="C54" s="27" t="n">
        <v>7.64</v>
      </c>
      <c r="D54" s="27" t="n">
        <v>3.72</v>
      </c>
      <c r="E54" s="28">
        <f>E50/E52</f>
        <v/>
      </c>
      <c r="F54" s="28">
        <f>F50/F52</f>
        <v/>
      </c>
      <c r="G54" s="28">
        <f>G50/G52</f>
        <v/>
      </c>
      <c r="H54" s="2" t="inlineStr">
        <is>
          <t>SEC XBRL F22, F23, F24</t>
        </is>
      </c>
    </row>
    <row r="55">
      <c r="A55" s="11" t="inlineStr">
        <is>
          <t xml:space="preserve">  % YoY</t>
        </is>
      </c>
      <c r="C55" s="25">
        <f>IF(OR(C54="",B54="",B54=0),"",C54/B54-1)</f>
        <v/>
      </c>
      <c r="D55" s="25">
        <f>IF(OR(D54="",C54="",C54=0),"",D54/C54-1)</f>
        <v/>
      </c>
      <c r="E55" s="25">
        <f>IF(OR(D54="",D54=0),"",E54/D54-1)</f>
        <v/>
      </c>
      <c r="F55" s="25">
        <f>IF(OR(E54="",E54=0),"",F54/E54-1)</f>
        <v/>
      </c>
      <c r="G55" s="25">
        <f>IF(OR(F54="",F54=0),"",G54/F54-1)</f>
        <v/>
      </c>
    </row>
    <row r="57">
      <c r="A57" s="19" t="inlineStr">
        <is>
          <t>Cash flow</t>
        </is>
      </c>
      <c r="B57" s="20" t="n"/>
      <c r="C57" s="20" t="n"/>
      <c r="D57" s="20" t="n"/>
      <c r="E57" s="20" t="n"/>
      <c r="F57" s="20" t="n"/>
      <c r="G57" s="20" t="n"/>
      <c r="H57" s="20" t="n"/>
    </row>
    <row r="58">
      <c r="A58" t="inlineStr">
        <is>
          <t>NOPAT (EBIT x (1 - tax))</t>
        </is>
      </c>
      <c r="E58" s="21">
        <f>E40*(1-E75)</f>
        <v/>
      </c>
      <c r="F58" s="21">
        <f>F40*(1-F75)</f>
        <v/>
      </c>
      <c r="G58" s="21">
        <f>G40*(1-G75)</f>
        <v/>
      </c>
    </row>
    <row r="59">
      <c r="A59" t="inlineStr">
        <is>
          <t>+ D&amp;A</t>
        </is>
      </c>
      <c r="B59" s="21">
        <f>B42</f>
        <v/>
      </c>
      <c r="C59" s="21">
        <f>C42</f>
        <v/>
      </c>
      <c r="D59" s="21">
        <f>D42</f>
        <v/>
      </c>
      <c r="E59" s="21">
        <f>E42</f>
        <v/>
      </c>
      <c r="F59" s="21">
        <f>F42</f>
        <v/>
      </c>
      <c r="G59" s="21">
        <f>G42</f>
        <v/>
      </c>
    </row>
    <row r="60">
      <c r="A60" t="inlineStr">
        <is>
          <t>- Capex</t>
        </is>
      </c>
      <c r="B60" s="21" t="n">
        <v>2202</v>
      </c>
      <c r="C60" s="21" t="n">
        <v>2207</v>
      </c>
      <c r="D60" s="21" t="n">
        <v>2171</v>
      </c>
      <c r="E60" s="21">
        <f>E36*E77</f>
        <v/>
      </c>
      <c r="F60" s="21">
        <f>F36*F77</f>
        <v/>
      </c>
      <c r="G60" s="21">
        <f>G36*G77</f>
        <v/>
      </c>
      <c r="H60" s="2" t="inlineStr">
        <is>
          <t>SEC XBRL F48, F49, F50</t>
        </is>
      </c>
    </row>
    <row r="61">
      <c r="A61" s="11" t="inlineStr">
        <is>
          <t xml:space="preserve">  Capex % of sales</t>
        </is>
      </c>
      <c r="B61" s="25">
        <f>B60/B36</f>
        <v/>
      </c>
      <c r="C61" s="25">
        <f>C60/C36</f>
        <v/>
      </c>
      <c r="D61" s="25">
        <f>D60/D36</f>
        <v/>
      </c>
      <c r="E61" s="25">
        <f>E60/E36</f>
        <v/>
      </c>
      <c r="F61" s="25">
        <f>F60/F36</f>
        <v/>
      </c>
      <c r="G61" s="25">
        <f>G60/G36</f>
        <v/>
      </c>
    </row>
    <row r="62">
      <c r="A62" t="inlineStr">
        <is>
          <t>- Working capital increase</t>
        </is>
      </c>
      <c r="E62" s="21">
        <f>E78*(E36-Valuation!$B$50)</f>
        <v/>
      </c>
      <c r="F62" s="21">
        <f>F78*(F36-E36)</f>
        <v/>
      </c>
      <c r="G62" s="21">
        <f>G78*(G36-F36)</f>
        <v/>
      </c>
    </row>
    <row r="63">
      <c r="A63" t="inlineStr">
        <is>
          <t>- Stock comp (adjusted EBIT only)</t>
        </is>
      </c>
      <c r="E63" s="21">
        <f>IF(AND(Valuation!$B$47="adjusted",Valuation!$B$48="cost"),E67*(1-E75),0)</f>
        <v/>
      </c>
      <c r="F63" s="21">
        <f>IF(AND(Valuation!$B$47="adjusted",Valuation!$B$48="cost"),F67*(1-F75),0)</f>
        <v/>
      </c>
      <c r="G63" s="21">
        <f>IF(AND(Valuation!$B$47="adjusted",Valuation!$B$48="cost"),G67*(1-G75),0)</f>
        <v/>
      </c>
    </row>
    <row r="64">
      <c r="A64" s="17" t="inlineStr">
        <is>
          <t>Free cash flow to firm</t>
        </is>
      </c>
      <c r="E64" s="23">
        <f>E58+E59-E60-E62-E63</f>
        <v/>
      </c>
      <c r="F64" s="23">
        <f>F58+F59-F60-F62-F63</f>
        <v/>
      </c>
      <c r="G64" s="23">
        <f>G58+G59-G60-G62-G63</f>
        <v/>
      </c>
      <c r="H64" s="2" t="inlineStr">
        <is>
          <t>what the DCF discounts (Calc tabs)</t>
        </is>
      </c>
    </row>
    <row r="65">
      <c r="A65" t="inlineStr">
        <is>
          <t>Operating cash flow (reported)</t>
        </is>
      </c>
      <c r="B65" s="21" t="n">
        <v>7261</v>
      </c>
      <c r="C65" s="21" t="n">
        <v>8558</v>
      </c>
      <c r="D65" s="21" t="n">
        <v>9566</v>
      </c>
      <c r="H65" s="2" t="inlineStr">
        <is>
          <t>SEC XBRL F41, F42, F43</t>
        </is>
      </c>
    </row>
    <row r="66">
      <c r="A66" t="inlineStr">
        <is>
          <t>FCF (operating cash flow - capex)</t>
        </is>
      </c>
      <c r="B66" s="21">
        <f>B65-B60</f>
        <v/>
      </c>
      <c r="C66" s="21">
        <f>C65-C60</f>
        <v/>
      </c>
      <c r="D66" s="21">
        <f>D65-D60</f>
        <v/>
      </c>
    </row>
    <row r="67">
      <c r="A67" t="inlineStr">
        <is>
          <t>Stock comp (memo)</t>
        </is>
      </c>
      <c r="B67" s="21" t="n">
        <v>644</v>
      </c>
      <c r="C67" s="21" t="n">
        <v>673</v>
      </c>
      <c r="D67" s="21" t="n">
        <v>664</v>
      </c>
      <c r="E67" s="21">
        <f>E36*E79</f>
        <v/>
      </c>
      <c r="F67" s="21">
        <f>F36*F79</f>
        <v/>
      </c>
      <c r="G67" s="21">
        <f>G36*G79</f>
        <v/>
      </c>
      <c r="H67" s="2" t="inlineStr">
        <is>
          <t>SEC XBRL F34, F35, F36</t>
        </is>
      </c>
    </row>
    <row r="68">
      <c r="A68" t="inlineStr">
        <is>
          <t>Buybacks + dividends + other uses</t>
        </is>
      </c>
      <c r="B68" s="21" t="n">
        <v>4783</v>
      </c>
      <c r="C68" s="21" t="n">
        <v>5131</v>
      </c>
      <c r="D68" s="21" t="n">
        <v>5009</v>
      </c>
      <c r="E68" s="21">
        <f>E36*E81+E80+E82</f>
        <v/>
      </c>
      <c r="F68" s="21">
        <f>F36*F81+F80+F82</f>
        <v/>
      </c>
      <c r="G68" s="21">
        <f>G36*G81+G80+G82</f>
        <v/>
      </c>
      <c r="H68" s="2" t="inlineStr">
        <is>
          <t>SEC XBRL F55, F62, F56, F63, F57, F64</t>
        </is>
      </c>
    </row>
    <row r="69">
      <c r="A69" s="11" t="inlineStr">
        <is>
          <t xml:space="preserve">  % of sales</t>
        </is>
      </c>
      <c r="B69" s="25">
        <f>B68/B36</f>
        <v/>
      </c>
      <c r="C69" s="25">
        <f>C68/C36</f>
        <v/>
      </c>
      <c r="D69" s="25">
        <f>D68/D36</f>
        <v/>
      </c>
      <c r="E69" s="25">
        <f>E68/E36</f>
        <v/>
      </c>
      <c r="F69" s="25">
        <f>F68/F36</f>
        <v/>
      </c>
      <c r="G69" s="25">
        <f>G68/G36</f>
        <v/>
      </c>
    </row>
    <row r="70">
      <c r="A70" t="inlineStr">
        <is>
          <t>Net debt / (net cash), year end (memo)</t>
        </is>
      </c>
      <c r="E70" s="21">
        <f>Valuation!$B$56-E64-E45*(1-E75)+E68</f>
        <v/>
      </c>
      <c r="F70" s="21">
        <f>E70-F64-F45*(1-F75)+F68</f>
        <v/>
      </c>
      <c r="G70" s="21">
        <f>F70-G64-G45*(1-G75)+G68</f>
        <v/>
      </c>
      <c r="H70" s="2" t="inlineStr">
        <is>
          <t>rolled from the balance-date figure; feeds interest only</t>
        </is>
      </c>
    </row>
    <row r="72">
      <c r="A72" s="19" t="inlineStr">
        <is>
          <t>Drivers (blue = input; a year left black carries the prior year)</t>
        </is>
      </c>
      <c r="B72" s="20" t="n"/>
      <c r="C72" s="20" t="n"/>
      <c r="D72" s="20" t="n"/>
      <c r="E72" s="20" t="n"/>
      <c r="F72" s="20" t="n"/>
      <c r="G72" s="20" t="n"/>
      <c r="H72" s="20" t="n"/>
    </row>
    <row r="73">
      <c r="A73" t="inlineStr">
        <is>
          <t>Revenue growth</t>
        </is>
      </c>
      <c r="C73" s="16">
        <f>C37</f>
        <v/>
      </c>
      <c r="D73" s="16">
        <f>D37</f>
        <v/>
      </c>
      <c r="E73" s="22">
        <f>E37</f>
        <v/>
      </c>
      <c r="F73" s="16">
        <f>F37</f>
        <v/>
      </c>
      <c r="G73" s="16">
        <f>G37</f>
        <v/>
      </c>
      <c r="H73" s="2" t="inlineStr">
        <is>
          <t>implied by the segment build (edit the segment rows)</t>
        </is>
      </c>
    </row>
    <row r="74">
      <c r="A74" t="inlineStr">
        <is>
          <t>EBIT margin</t>
        </is>
      </c>
      <c r="E74" s="22">
        <f>E41</f>
        <v/>
      </c>
      <c r="F74" s="16">
        <f>F41</f>
        <v/>
      </c>
      <c r="G74" s="16">
        <f>G41</f>
        <v/>
      </c>
      <c r="H74" s="2" t="inlineStr">
        <is>
          <t>implied by the segment build and corporate EBIT</t>
        </is>
      </c>
    </row>
    <row r="75">
      <c r="A75" t="inlineStr">
        <is>
          <t>Tax rate</t>
        </is>
      </c>
      <c r="B75" s="16">
        <f>B49</f>
        <v/>
      </c>
      <c r="C75" s="16">
        <f>C49</f>
        <v/>
      </c>
      <c r="D75" s="16">
        <f>D49</f>
        <v/>
      </c>
      <c r="E75" s="22" t="n">
        <v>0.155</v>
      </c>
      <c r="F75" s="22" t="n">
        <v>0.155</v>
      </c>
      <c r="G75" s="22" t="n">
        <v>0.155</v>
      </c>
    </row>
    <row r="76">
      <c r="A76" t="inlineStr">
        <is>
          <t>D&amp;A % revenue</t>
        </is>
      </c>
      <c r="B76" s="16">
        <f>B42/B36</f>
        <v/>
      </c>
      <c r="C76" s="16">
        <f>C42/C36</f>
        <v/>
      </c>
      <c r="D76" s="16">
        <f>D42/D36</f>
        <v/>
      </c>
      <c r="E76" s="22" t="n">
        <v>0.032</v>
      </c>
      <c r="F76" s="22" t="n">
        <v>0.032</v>
      </c>
      <c r="G76" s="22" t="n">
        <v>0.032</v>
      </c>
    </row>
    <row r="77">
      <c r="A77" t="inlineStr">
        <is>
          <t>Capex % revenue</t>
        </is>
      </c>
      <c r="B77" s="16">
        <f>B61</f>
        <v/>
      </c>
      <c r="C77" s="16">
        <f>C61</f>
        <v/>
      </c>
      <c r="D77" s="16">
        <f>D61</f>
        <v/>
      </c>
      <c r="E77" s="22" t="n">
        <v>0.044</v>
      </c>
      <c r="F77" s="22" t="n">
        <v>0.044</v>
      </c>
      <c r="G77" s="22" t="n">
        <v>0.044</v>
      </c>
    </row>
    <row r="78">
      <c r="A78" t="inlineStr">
        <is>
          <t>Working capital % of revenue increase</t>
        </is>
      </c>
      <c r="E78" s="22" t="n">
        <v>0.12</v>
      </c>
      <c r="F78" s="22" t="n">
        <v>0.12</v>
      </c>
      <c r="G78" s="22" t="n">
        <v>0.12</v>
      </c>
    </row>
    <row r="79">
      <c r="A79" t="inlineStr">
        <is>
          <t>Stock comp % revenue</t>
        </is>
      </c>
      <c r="B79" s="16">
        <f>B67/B36</f>
        <v/>
      </c>
      <c r="C79" s="16">
        <f>C67/C36</f>
        <v/>
      </c>
      <c r="D79" s="16">
        <f>D67/D36</f>
        <v/>
      </c>
      <c r="E79" s="22" t="n">
        <v>0.015</v>
      </c>
      <c r="F79" s="22" t="n">
        <v>0.015</v>
      </c>
      <c r="G79" s="22" t="n">
        <v>0.015</v>
      </c>
    </row>
    <row r="80">
      <c r="A80" t="inlineStr">
        <is>
          <t>Shareholder returns ($)</t>
        </is>
      </c>
      <c r="E80" s="24" t="n">
        <v>5200</v>
      </c>
      <c r="F80" s="24" t="n">
        <v>5200</v>
      </c>
      <c r="G80" s="24" t="n">
        <v>5600</v>
      </c>
    </row>
    <row r="81">
      <c r="A81" t="inlineStr">
        <is>
          <t>Shareholder returns % revenue</t>
        </is>
      </c>
      <c r="B81" s="16">
        <f>B69</f>
        <v/>
      </c>
      <c r="C81" s="16">
        <f>C69</f>
        <v/>
      </c>
      <c r="D81" s="16">
        <f>D69</f>
        <v/>
      </c>
      <c r="E81" s="22" t="n">
        <v>0</v>
      </c>
      <c r="F81" s="16">
        <f>E81</f>
        <v/>
      </c>
      <c r="G81" s="16">
        <f>F81</f>
        <v/>
      </c>
    </row>
    <row r="82">
      <c r="A82" t="inlineStr">
        <is>
          <t>Other uses of cash ($: M&amp;A, investments)</t>
        </is>
      </c>
      <c r="E82" s="24" t="n">
        <v>0</v>
      </c>
      <c r="F82" s="24" t="n">
        <v>0</v>
      </c>
      <c r="G82" s="24" t="n">
        <v>0</v>
      </c>
    </row>
    <row r="83">
      <c r="A83" t="inlineStr">
        <is>
          <t>Adj. EBITDA addback % revenue</t>
        </is>
      </c>
      <c r="E83" s="22" t="n">
        <v>0</v>
      </c>
      <c r="F83" s="16">
        <f>E83</f>
        <v/>
      </c>
      <c r="G83" s="16">
        <f>F83</f>
        <v/>
      </c>
    </row>
    <row r="85">
      <c r="A85" s="19" t="inlineStr">
        <is>
          <t>Versus company guidance and street consensus</t>
        </is>
      </c>
      <c r="B85" s="20" t="n"/>
      <c r="C85" s="20" t="n"/>
      <c r="D85" s="20" t="n"/>
      <c r="E85" s="20" t="n"/>
      <c r="F85" s="20" t="n"/>
      <c r="G85" s="20" t="n"/>
      <c r="H85" s="20" t="n"/>
    </row>
    <row r="86">
      <c r="A86" s="11" t="inlineStr">
        <is>
          <t>no guidance or consensus figures in this run's reference block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60" customWidth="1" min="10" max="10"/>
    <col width="13" customWidth="1" min="11" max="11"/>
  </cols>
  <sheetData>
    <row r="1">
      <c r="A1" s="1" t="inlineStr">
        <is>
          <t>ABT: valuation and price target derivation</t>
        </is>
      </c>
    </row>
    <row r="2">
      <c r="A2" s="2" t="inlineStr">
        <is>
          <t>Value per share at the target date = weighted methods below; the 12-month target is the median of the scenario mix (Distribution tab).</t>
        </is>
      </c>
    </row>
    <row r="3">
      <c r="A3" s="3" t="inlineStr">
        <is>
          <t>Method</t>
        </is>
      </c>
      <c r="B3" s="3" t="inlineStr">
        <is>
          <t>Multiple</t>
        </is>
      </c>
      <c r="C3" s="3" t="inlineStr">
        <is>
          <t>Metric at target date</t>
        </is>
      </c>
      <c r="D3" s="3" t="inlineStr">
        <is>
          <t>Value per share</t>
        </is>
      </c>
      <c r="E3" s="3" t="inlineStr">
        <is>
          <t>Weight</t>
        </is>
      </c>
      <c r="F3" s="3" t="inlineStr">
        <is>
          <t>Contribution</t>
        </is>
      </c>
    </row>
    <row r="4">
      <c r="A4" s="14">
        <f>'Calc - research target (12m)'!A67</f>
        <v/>
      </c>
      <c r="B4" s="4">
        <f>IF('Calc - research target (12m)'!C67="","",'Calc - research target (12m)'!C67)</f>
        <v/>
      </c>
      <c r="C4" s="29">
        <f>IF('Calc - research target (12m)'!I67="","",'Calc - research target (12m)'!I67)</f>
        <v/>
      </c>
      <c r="D4" s="4">
        <f>'Calc - research target (12m)'!F67</f>
        <v/>
      </c>
      <c r="E4" s="12">
        <f>'Calc - research target (12m)'!G67</f>
        <v/>
      </c>
      <c r="F4" s="9">
        <f>D4*E4/SUM($E$4:$E$6)</f>
        <v/>
      </c>
    </row>
    <row r="5">
      <c r="A5" s="14">
        <f>'Calc - research target (12m)'!A68</f>
        <v/>
      </c>
      <c r="B5" s="4">
        <f>IF('Calc - research target (12m)'!C68="","",'Calc - research target (12m)'!C68)</f>
        <v/>
      </c>
      <c r="C5" s="29">
        <f>IF('Calc - research target (12m)'!I68="","",'Calc - research target (12m)'!I68)</f>
        <v/>
      </c>
      <c r="D5" s="4">
        <f>'Calc - research target (12m)'!F68</f>
        <v/>
      </c>
      <c r="E5" s="12">
        <f>'Calc - research target (12m)'!G68</f>
        <v/>
      </c>
      <c r="F5" s="9">
        <f>D5*E5/SUM($E$4:$E$6)</f>
        <v/>
      </c>
    </row>
    <row r="6">
      <c r="A6" s="14">
        <f>'Calc - research target (12m)'!A69</f>
        <v/>
      </c>
      <c r="B6" s="4">
        <f>IF('Calc - research target (12m)'!C69="","",'Calc - research target (12m)'!C69)</f>
        <v/>
      </c>
      <c r="C6" s="29">
        <f>IF('Calc - research target (12m)'!I69="","",'Calc - research target (12m)'!I69)</f>
        <v/>
      </c>
      <c r="D6" s="4">
        <f>'Calc - research target (12m)'!F69</f>
        <v/>
      </c>
      <c r="E6" s="12">
        <f>'Calc - research target (12m)'!G69</f>
        <v/>
      </c>
      <c r="F6" s="9">
        <f>D6*E6/SUM($E$4:$E$6)</f>
        <v/>
      </c>
    </row>
    <row r="7">
      <c r="A7" s="17" t="inlineStr">
        <is>
          <t>Research target (12m) per share</t>
        </is>
      </c>
      <c r="D7" s="6">
        <f>'Calc - research target (12m)'!$F$70</f>
        <v/>
      </c>
      <c r="F7" s="6">
        <f>SUM(F4:F6)</f>
        <v/>
      </c>
    </row>
    <row r="9">
      <c r="A9" s="19" t="inlineStr">
        <is>
          <t>12-month EPS basis (what the P/E is applied to)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</row>
    <row r="10">
      <c r="A10" s="3" t="inlineStr">
        <is>
          <t>Fiscal year</t>
        </is>
      </c>
      <c r="B10" s="3">
        <f>Model!E5</f>
        <v/>
      </c>
      <c r="C10" s="3">
        <f>Model!F5</f>
        <v/>
      </c>
      <c r="D10" s="3">
        <f>Model!G5</f>
        <v/>
      </c>
    </row>
    <row r="11">
      <c r="A11" t="inlineStr">
        <is>
          <t>Share of the 12 months after the target date</t>
        </is>
      </c>
      <c r="B11" s="12">
        <f>'Calc - research target (12m)'!C38</f>
        <v/>
      </c>
      <c r="C11" s="12">
        <f>'Calc - research target (12m)'!D38</f>
        <v/>
      </c>
      <c r="D11" s="12">
        <f>'Calc - research target (12m)'!E38</f>
        <v/>
      </c>
    </row>
    <row r="12">
      <c r="A12" t="inlineStr">
        <is>
          <t>Model EPS (Model tab)</t>
        </is>
      </c>
      <c r="B12" s="13">
        <f>Model!E54</f>
        <v/>
      </c>
      <c r="C12" s="13">
        <f>Model!F54</f>
        <v/>
      </c>
      <c r="D12" s="13">
        <f>Model!G54</f>
        <v/>
      </c>
    </row>
    <row r="13">
      <c r="A13" t="inlineStr">
        <is>
          <t>Model EPS, next 12 months after the target date</t>
        </is>
      </c>
      <c r="B13" s="28">
        <f>SUMPRODUCT(B11:D11,B12:D12)</f>
        <v/>
      </c>
    </row>
    <row r="16">
      <c r="A16" s="19" t="inlineStr">
        <is>
          <t>DCF build (free cash flow to firm, discounted to the target date)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</row>
    <row r="17">
      <c r="A17" s="3" t="inlineStr">
        <is>
          <t>Fiscal year</t>
        </is>
      </c>
      <c r="B17" s="3">
        <f>Model!E5</f>
        <v/>
      </c>
      <c r="C17" s="3">
        <f>Model!F5</f>
        <v/>
      </c>
      <c r="D17" s="3">
        <f>Model!G5</f>
        <v/>
      </c>
    </row>
    <row r="18">
      <c r="A18" t="inlineStr">
        <is>
          <t>Free cash flow to firm</t>
        </is>
      </c>
      <c r="B18" s="10">
        <f>'Calc - research target (12m)'!C31</f>
        <v/>
      </c>
      <c r="C18" s="10">
        <f>'Calc - research target (12m)'!D31</f>
        <v/>
      </c>
      <c r="D18" s="10">
        <f>'Calc - research target (12m)'!E31</f>
        <v/>
      </c>
    </row>
    <row r="19">
      <c r="A19" t="inlineStr">
        <is>
          <t>Share of the year after the target date</t>
        </is>
      </c>
      <c r="B19" s="12">
        <f>'Calc - research target (12m)'!C35</f>
        <v/>
      </c>
      <c r="C19" s="12">
        <f>'Calc - research target (12m)'!D35</f>
        <v/>
      </c>
      <c r="D19" s="12">
        <f>'Calc - research target (12m)'!E35</f>
        <v/>
      </c>
    </row>
    <row r="20">
      <c r="A20" t="inlineStr">
        <is>
          <t>PV at target date</t>
        </is>
      </c>
      <c r="B20" s="10">
        <f>'Calc - research target (12m)'!C36</f>
        <v/>
      </c>
      <c r="C20" s="10">
        <f>'Calc - research target (12m)'!D36</f>
        <v/>
      </c>
      <c r="D20" s="10">
        <f>'Calc - research target (12m)'!E36</f>
        <v/>
      </c>
    </row>
    <row r="22">
      <c r="A22" t="inlineStr">
        <is>
          <t>PV of free cash flow after the target date</t>
        </is>
      </c>
      <c r="B22" s="10">
        <f>'Calc - research target (12m)'!B42</f>
        <v/>
      </c>
    </row>
    <row r="23">
      <c r="A23" t="inlineStr">
        <is>
          <t>Terminal value (final year)</t>
        </is>
      </c>
      <c r="B23" s="10">
        <f>'Calc - research target (12m)'!B43</f>
        <v/>
      </c>
    </row>
    <row r="24">
      <c r="A24" t="inlineStr">
        <is>
          <t>PV of terminal value</t>
        </is>
      </c>
      <c r="B24" s="10">
        <f>'Calc - research target (12m)'!B44</f>
        <v/>
      </c>
    </row>
    <row r="25">
      <c r="A25" t="inlineStr">
        <is>
          <t>Enterprise value at target date</t>
        </is>
      </c>
      <c r="B25" s="10">
        <f>'Calc - research target (12m)'!B45</f>
        <v/>
      </c>
    </row>
    <row r="26">
      <c r="A26" t="inlineStr">
        <is>
          <t>Terminal value share of DCF</t>
        </is>
      </c>
      <c r="B26" s="12">
        <f>'Calc - research target (12m)'!B46</f>
        <v/>
      </c>
    </row>
    <row r="27">
      <c r="A27" t="inlineStr">
        <is>
          <t>Net debt at target date</t>
        </is>
      </c>
      <c r="B27" s="10">
        <f>'Calc - research target (12m)'!B50</f>
        <v/>
      </c>
    </row>
    <row r="28">
      <c r="A28" t="inlineStr">
        <is>
          <t>Minority interests</t>
        </is>
      </c>
      <c r="B28" s="10">
        <f>'Calc - research target (12m)'!B51</f>
        <v/>
      </c>
    </row>
    <row r="29">
      <c r="A29" t="inlineStr">
        <is>
          <t>Adjustments</t>
        </is>
      </c>
      <c r="B29" s="10">
        <f>'Calc - research target (12m)'!B52</f>
        <v/>
      </c>
    </row>
    <row r="30">
      <c r="A30" t="inlineStr">
        <is>
          <t>Diluted shares at target date (M)</t>
        </is>
      </c>
      <c r="B30" s="30">
        <f>'Calc - research target (12m)'!B53</f>
        <v/>
      </c>
    </row>
    <row r="31">
      <c r="A31" t="inlineStr">
        <is>
          <t>DCF value per share</t>
        </is>
      </c>
      <c r="B31" s="4">
        <f>'Calc - research target (12m)'!F67</f>
        <v/>
      </c>
    </row>
    <row r="32">
      <c r="A32" t="inlineStr">
        <is>
          <t>WACC</t>
        </is>
      </c>
      <c r="B32" s="12">
        <f>'Calc - research target (12m)'!B12</f>
        <v/>
      </c>
    </row>
    <row r="42">
      <c r="A42" s="19" t="inlineStr">
        <is>
          <t>Assumptions (blue = input; sources on the Sources tab)</t>
        </is>
      </c>
      <c r="B42" s="20" t="n"/>
      <c r="C42" s="20" t="n"/>
      <c r="D42" s="20" t="n"/>
      <c r="E42" s="20" t="n"/>
      <c r="F42" s="20" t="n"/>
      <c r="G42" s="20" t="n"/>
      <c r="H42" s="20" t="n"/>
      <c r="I42" s="20" t="n"/>
    </row>
    <row r="43">
      <c r="A43" s="3" t="inlineStr">
        <is>
          <t>Input</t>
        </is>
      </c>
      <c r="B43" s="3" t="inlineStr">
        <is>
          <t>Value</t>
        </is>
      </c>
      <c r="C43" s="3" t="inlineStr">
        <is>
          <t>Basis / note</t>
        </is>
      </c>
    </row>
    <row r="44">
      <c r="A44" t="inlineStr">
        <is>
          <t>Run date (valuation as of)</t>
        </is>
      </c>
      <c r="B44" s="31" t="n">
        <v>46318</v>
      </c>
      <c r="C44" t="inlineStr"/>
    </row>
    <row r="45">
      <c r="A45" t="inlineStr">
        <is>
          <t>Target date (run date + 365 days)</t>
        </is>
      </c>
      <c r="B45" s="18">
        <f>B44+365</f>
        <v/>
      </c>
      <c r="C45" t="inlineStr">
        <is>
          <t>12-month horizon</t>
        </is>
      </c>
    </row>
    <row r="46">
      <c r="A46" t="inlineStr">
        <is>
          <t>Money unit</t>
        </is>
      </c>
      <c r="B46" s="32" t="inlineStr">
        <is>
          <t>$M</t>
        </is>
      </c>
      <c r="C46" t="inlineStr"/>
    </row>
    <row r="47">
      <c r="A47" t="inlineStr">
        <is>
          <t>EBIT basis (gaap / adjusted)</t>
        </is>
      </c>
      <c r="B47" s="32" t="inlineStr">
        <is>
          <t>gaap</t>
        </is>
      </c>
      <c r="C47" t="inlineStr">
        <is>
          <t>gaap = after stock comp</t>
        </is>
      </c>
    </row>
    <row r="48">
      <c r="A48" t="inlineStr">
        <is>
          <t>Stock comp treatment (cost / dilution)</t>
        </is>
      </c>
      <c r="B48" s="32" t="inlineStr">
        <is>
          <t>cost</t>
        </is>
      </c>
      <c r="C48" t="inlineStr">
        <is>
          <t>used only when EBIT is adjusted</t>
        </is>
      </c>
    </row>
    <row r="49">
      <c r="A49" t="inlineStr">
        <is>
          <t>Last reported fiscal year end</t>
        </is>
      </c>
      <c r="B49" s="31" t="n">
        <v>46022</v>
      </c>
      <c r="C49" t="inlineStr"/>
    </row>
    <row r="50">
      <c r="A50" t="inlineStr">
        <is>
          <t>Net sales, last reported year ($M)</t>
        </is>
      </c>
      <c r="B50" s="24" t="n">
        <v>44328</v>
      </c>
      <c r="C50" t="inlineStr"/>
    </row>
    <row r="51">
      <c r="A51" t="inlineStr">
        <is>
          <t>WACC</t>
        </is>
      </c>
      <c r="B51" s="22" t="n">
        <v>0.1</v>
      </c>
      <c r="C51" t="inlineStr">
        <is>
          <t>not used: no DCF leg (Kilian 2026-10-21); a placeholder so the DCF block still computes</t>
        </is>
      </c>
    </row>
    <row r="52">
      <c r="A52" t="inlineStr">
        <is>
          <t>Terminal method (gordon / exit_multiple / steady_state)</t>
        </is>
      </c>
      <c r="B52" s="32" t="inlineStr">
        <is>
          <t>gordon</t>
        </is>
      </c>
      <c r="C52" t="inlineStr"/>
    </row>
    <row r="53">
      <c r="A53" t="inlineStr">
        <is>
          <t>Terminal growth</t>
        </is>
      </c>
      <c r="B53" s="22" t="n">
        <v>0.02</v>
      </c>
      <c r="C53" t="inlineStr"/>
    </row>
    <row r="54">
      <c r="A54" t="inlineStr">
        <is>
          <t>Exit EV/EBITDA (exit_multiple only)</t>
        </is>
      </c>
      <c r="B54" s="33" t="n"/>
      <c r="C54" t="inlineStr"/>
    </row>
    <row r="55">
      <c r="A55" t="inlineStr">
        <is>
          <t>Balance-sheet date</t>
        </is>
      </c>
      <c r="B55" s="31" t="n">
        <v>46203</v>
      </c>
      <c r="C55" t="inlineStr"/>
    </row>
    <row r="56">
      <c r="A56" t="inlineStr">
        <is>
          <t>Net debt / (net cash) at balance date ($M)</t>
        </is>
      </c>
      <c r="B56" s="24" t="n">
        <v>27005</v>
      </c>
      <c r="C56" t="inlineStr">
        <is>
          <t>excludes operating leases</t>
        </is>
      </c>
    </row>
    <row r="57">
      <c r="A57" t="inlineStr">
        <is>
          <t>Minority interests + preferred stock</t>
        </is>
      </c>
      <c r="B57" s="24" t="n">
        <v>652</v>
      </c>
      <c r="C57" t="inlineStr"/>
    </row>
    <row r="58">
      <c r="A58" t="inlineStr">
        <is>
          <t>Interest rate on net debt / cash</t>
        </is>
      </c>
      <c r="B58" s="22" t="n">
        <v>0.044</v>
      </c>
      <c r="C58" t="inlineStr"/>
    </row>
    <row r="59">
      <c r="A59" t="inlineStr">
        <is>
          <t>Net debt at target date (override; blank = bridge)</t>
        </is>
      </c>
      <c r="B59" s="24" t="n"/>
      <c r="C59" t="inlineStr"/>
    </row>
    <row r="60">
      <c r="A60" t="inlineStr">
        <is>
          <t>Diluted shares (M)</t>
        </is>
      </c>
      <c r="B60" s="34" t="n">
        <v>1738</v>
      </c>
      <c r="C60" t="inlineStr"/>
    </row>
    <row r="61">
      <c r="A61" t="inlineStr">
        <is>
          <t>Share count date</t>
        </is>
      </c>
      <c r="B61" s="31" t="n">
        <v>46295</v>
      </c>
      <c r="C61" t="inlineStr"/>
    </row>
    <row r="62">
      <c r="A62" t="inlineStr">
        <is>
          <t>Annual change in diluted shares</t>
        </is>
      </c>
      <c r="B62" s="22" t="n">
        <v>-0.005</v>
      </c>
      <c r="C62" t="inlineStr">
        <is>
          <t>net of buybacks and stock-comp dilution</t>
        </is>
      </c>
    </row>
    <row r="63">
      <c r="A63" t="inlineStr">
        <is>
          <t>Shares at target date (override; blank = from annual change)</t>
        </is>
      </c>
      <c r="B63" s="34" t="n"/>
      <c r="C63" t="inlineStr"/>
    </row>
    <row r="64">
      <c r="A64" t="inlineStr">
        <is>
          <t>DCF weight</t>
        </is>
      </c>
      <c r="B64" s="22" t="n">
        <v>0</v>
      </c>
      <c r="C64" t="inlineStr">
        <is>
          <t>Kilian 2026-10-21: 0 unless the name has a DCF leg (dcf_policy)</t>
        </is>
      </c>
    </row>
    <row r="65">
      <c r="A65" t="inlineStr">
        <is>
          <t>Sum-of-the-parts weight</t>
        </is>
      </c>
      <c r="B65" s="22" t="n">
        <v>0</v>
      </c>
      <c r="C65" t="inlineStr"/>
    </row>
    <row r="66">
      <c r="A66" t="inlineStr">
        <is>
          <t>Spread within each scenario (lognormal vol)</t>
        </is>
      </c>
      <c r="B66" s="22" t="n">
        <v>0.12</v>
      </c>
      <c r="C66" t="inlineStr"/>
    </row>
    <row r="67">
      <c r="A67" t="inlineStr">
        <is>
          <t>Share price at the run</t>
        </is>
      </c>
      <c r="B67" s="35" t="n">
        <v>103.7</v>
      </c>
      <c r="C67" t="inlineStr">
        <is>
          <t>close used by the run (2026-10-23)</t>
        </is>
      </c>
    </row>
    <row r="69">
      <c r="A69" s="3" t="inlineStr">
        <is>
          <t>Target multiple</t>
        </is>
      </c>
      <c r="B69" s="3" t="inlineStr">
        <is>
          <t>Multiple</t>
        </is>
      </c>
      <c r="C69" s="3" t="inlineStr">
        <is>
          <t>Weight</t>
        </is>
      </c>
      <c r="D69" s="3" t="inlineStr">
        <is>
          <t>Basis (ntm / ltm)</t>
        </is>
      </c>
      <c r="E69" s="3" t="inlineStr">
        <is>
          <t>EBITDA basis</t>
        </is>
      </c>
      <c r="F69" s="3" t="inlineStr">
        <is>
          <t>Stated EPS</t>
        </is>
      </c>
      <c r="G69" s="3" t="inlineStr">
        <is>
          <t>Stated FCF/share</t>
        </is>
      </c>
      <c r="H69" s="3" t="inlineStr">
        <is>
          <t>Levered</t>
        </is>
      </c>
      <c r="I69" s="3" t="inlineStr">
        <is>
          <t>Peer basis</t>
        </is>
      </c>
    </row>
    <row r="70">
      <c r="A70" s="32" t="inlineStr">
        <is>
          <t>P/E</t>
        </is>
      </c>
      <c r="B70" s="33" t="n">
        <v>17.42</v>
      </c>
      <c r="C70" s="22" t="n">
        <v>0.6</v>
      </c>
      <c r="D70" s="32" t="inlineStr">
        <is>
          <t>ntm</t>
        </is>
      </c>
      <c r="E70" s="32" t="inlineStr">
        <is>
          <t>gaap</t>
        </is>
      </c>
      <c r="F70" s="36" t="n"/>
      <c r="G70" s="36" t="n"/>
      <c r="H70" s="32" t="b">
        <v>1</v>
      </c>
      <c r="I70" t="inlineStr">
        <is>
          <t>Approved 11-peer set (MDT BSX SYK BDX ZBH TMO DHR JNJ + Siemens Healthineers, Terumo, Olympus; Kilian 2026-10-26) on one calendar NTM window 2026-10-23 to 2027-10-22, company-adjusted consensus EPS (Zacks; Vara for SHL; Terumo/Olympus adjusted from reported consensus + company adjusted-vs-reported gaps): median 16.84x (Terumo); 17.5x if Terumo on reported FY3/28. ABT 17.6x on the same window ($103.70 / $5.90). [SUPERSEDED 2026-10-26 by exit k=0.8: 17.42x, see the EXIT note at the end] 16.8x = the median, no premium/discount (growth above median offsets mix; litigation already in adjustments). See inputs_detail 'horizon P/E'. EXIT k=0.8 (2026-10-26T12:28Z): Exit-multiple rule (Kilian card 2026-10-26 12:16Z; METHOD.md Peer comparables): exit = peer median x (own NTM multiple / peer median)^k, k = 0.8. Peer median 16.84x; own 17.57x: ABT $103.70 / NTM adjusted EPS $5.90 on the same window = 17.57x (peer_basis 'ABT 17.6x on the same window'; est.json 103.70 / 5.9012). 16.84 x (17.57 / 16.84)^0.8 = 16.84 x 1.0345 = 17.42x (was 16.8x). The EV/EBITDA leg (13.3x = ABT's own NTM adjusted multiple) has no on-basis peer median (the 14.25x filing TTM GAAP median is a reference only), so it is unchanged and flagged.</t>
        </is>
      </c>
    </row>
    <row r="71">
      <c r="A71" s="32" t="inlineStr">
        <is>
          <t>EV/EBITDA</t>
        </is>
      </c>
      <c r="B71" s="33" t="n">
        <v>13.3</v>
      </c>
      <c r="C71" s="22" t="n">
        <v>0.4</v>
      </c>
      <c r="D71" s="32" t="inlineStr">
        <is>
          <t>ntm</t>
        </is>
      </c>
      <c r="E71" s="32" t="inlineStr">
        <is>
          <t>gaap</t>
        </is>
      </c>
      <c r="F71" s="36" t="n"/>
      <c r="G71" s="36" t="n"/>
      <c r="H71" s="32" t="b">
        <v>1</v>
      </c>
      <c r="I71" t="inlineStr">
        <is>
          <t>ABT's own NTM adjusted EV/EBITDA today ~13.35x (EV ~$198.6B / NTM adjusted EBITDA ~$14.88B on the build): 13.3x = no re-rating. The 6-peer filing TTM median 14.25x is GAAP EBITDA and is a reference only, not applied</t>
        </is>
      </c>
    </row>
    <row r="73">
      <c r="A73" s="3" t="inlineStr">
        <is>
          <t>Segment (sum of the parts)</t>
        </is>
      </c>
      <c r="B73" s="3" t="inlineStr">
        <is>
          <t>NTM metric</t>
        </is>
      </c>
      <c r="C73" s="3" t="inlineStr">
        <is>
          <t>Metric</t>
        </is>
      </c>
      <c r="D73" s="3" t="inlineStr">
        <is>
          <t>Multiple</t>
        </is>
      </c>
      <c r="E73" s="3" t="inlineStr">
        <is>
          <t>Note</t>
        </is>
      </c>
    </row>
    <row r="74">
      <c r="A74" s="11" t="inlineStr">
        <is>
          <t>none</t>
        </is>
      </c>
    </row>
    <row r="76">
      <c r="A76" s="3" t="inlineStr">
        <is>
          <t>Adjustment (equity level)</t>
        </is>
      </c>
      <c r="B76" s="3" t="inlineStr">
        <is>
          <t>Value</t>
        </is>
      </c>
      <c r="C76" s="3" t="inlineStr">
        <is>
          <t>Probability</t>
        </is>
      </c>
      <c r="D76" s="3" t="inlineStr">
        <is>
          <t>Note</t>
        </is>
      </c>
    </row>
    <row r="77">
      <c r="A77" s="32" t="inlineStr">
        <is>
          <t>NEC Gill + ~2,000-infant settlement agreements (~$670M, 8-K 2026-08-20), after tax, paid after the 2026-06-30 balance date</t>
        </is>
      </c>
      <c r="B77" s="24" t="n">
        <v>-520</v>
      </c>
      <c r="C77" s="22" t="n">
        <v>1</v>
      </c>
      <c r="D77" t="inlineStr">
        <is>
          <t>$670M x (1 - ~22.5% deductible compensatory payment); excluded from adjusted EPS (specified item)</t>
        </is>
      </c>
    </row>
    <row r="78">
      <c r="A78" s="32" t="inlineStr">
        <is>
          <t>DOJ / 40-state False Claims Act infant-formula settlement ($348,700,868 + $35,491,288 = $384.2M, CA AG 2026-09-21), after tax</t>
        </is>
      </c>
      <c r="B78" s="24" t="n">
        <v>-350</v>
      </c>
      <c r="C78" s="22" t="n">
        <v>1</v>
      </c>
      <c r="D78" t="inlineStr">
        <is>
          <t>~9% tax shield assumed on the restitution part; variant -$384M with no deduction</t>
        </is>
      </c>
    </row>
    <row r="79">
      <c r="A79" s="32" t="inlineStr">
        <is>
          <t>Remaining NEC claims (~1,700 suits / ~12,700 infants per 8-K 2026-08-20), expected after-tax cost</t>
        </is>
      </c>
      <c r="B79" s="24" t="n">
        <v>-750</v>
      </c>
      <c r="C79" s="22" t="n">
        <v>1</v>
      </c>
      <c r="D79" t="inlineStr">
        <is>
          <t>~$970M pre-tax = ~$76k per infant, ~2x the ~$35k per infant implied by the August deal (($670M - ~$600M Gill judgment+interest)/~2,000), loaded for verdict risk and defense; low confidence</t>
        </is>
      </c>
    </row>
    <row r="80">
      <c r="A80" s="32" t="inlineStr">
        <is>
          <t>FreeStyle Libre 3 / 3 Plus Class I recall product-liability claims (FDA: 7 deaths, 860 serious injuries reported), after tax</t>
        </is>
      </c>
      <c r="B80" s="24" t="n">
        <v>-300</v>
      </c>
      <c r="C80" s="22" t="n">
        <v>0.5</v>
      </c>
      <c r="D80" t="inlineStr">
        <is>
          <t>probability that claims lead to a material payout x expected after-tax cost; low confidence</t>
        </is>
      </c>
    </row>
    <row r="81">
      <c r="A81" s="32" t="inlineStr">
        <is>
          <t>Specified-items cash outside adjusted EPS (restructuring, Exact Sciences integration, acquisition costs), 2026-07-01 to the horizon, after tax</t>
        </is>
      </c>
      <c r="B81" s="24" t="n">
        <v>-600</v>
      </c>
      <c r="C81" s="22" t="n">
        <v>1</v>
      </c>
      <c r="D81" t="inlineStr">
        <is>
          <t>FY2025 FCF $7,395M (CFO $9,566M F43 - capex $2,171M F50) vs adjusted net earnings $9,040M + depreciation $1,434M - capex - NWC = ~$8,020M: ~$620M/yr of cash the adjusted build does not see; ~$460M/yr ex one-offs x 1.3 years</t>
        </is>
      </c>
    </row>
    <row r="82">
      <c r="A82" s="32" t="inlineStr">
        <is>
          <t>Nutrition separation one-time cash costs before the horizon (8-K 2026-10-21: charges to be quantified; CFO: specified items excluded from adjusted EPS), after tax</t>
        </is>
      </c>
      <c r="B82" s="24" t="n">
        <v>-300</v>
      </c>
      <c r="C82" s="22" t="n">
        <v>1</v>
      </c>
      <c r="D82" t="inlineStr">
        <is>
          <t>~$400M pre-tax (~4.7% of ~$8.5B Nutrition sales) x ~75% spent before 2027-10-20 x (1-21%) ~ -$240M, rounded up for advisory and financing costs; low confidence</t>
        </is>
      </c>
    </row>
    <row r="84">
      <c r="A84" s="3" t="inlineStr">
        <is>
          <t>Custom method</t>
        </is>
      </c>
      <c r="B84" s="3" t="inlineStr">
        <is>
          <t>Value per share</t>
        </is>
      </c>
      <c r="C84" s="3" t="inlineStr">
        <is>
          <t>Weight</t>
        </is>
      </c>
      <c r="D84" s="3" t="inlineStr">
        <is>
          <t>Explanation</t>
        </is>
      </c>
    </row>
    <row r="85">
      <c r="A85" s="11" t="inlineStr">
        <is>
          <t>none</t>
        </is>
      </c>
    </row>
    <row r="87">
      <c r="A87" s="3" t="inlineStr">
        <is>
          <t>Scenario</t>
        </is>
      </c>
      <c r="B87" s="3" t="inlineStr">
        <is>
          <t>Probability</t>
        </is>
      </c>
      <c r="C87" s="3" t="inlineStr">
        <is>
          <t>Growth Δ</t>
        </is>
      </c>
      <c r="D87" s="3" t="inlineStr">
        <is>
          <t>Margin Δ</t>
        </is>
      </c>
      <c r="E87" s="3" t="inlineStr">
        <is>
          <t>Multiple Δ (turns)</t>
        </is>
      </c>
      <c r="F87" s="3" t="inlineStr">
        <is>
          <t>WACC Δ</t>
        </is>
      </c>
      <c r="G87" s="3" t="inlineStr">
        <is>
          <t>Multiple %Δ (FCF yield, segments)</t>
        </is>
      </c>
      <c r="H87" s="3" t="inlineStr">
        <is>
          <t>Stated EPS/FCF %Δ</t>
        </is>
      </c>
      <c r="I87" s="3" t="inlineStr">
        <is>
          <t>Custom methods %Δ</t>
        </is>
      </c>
      <c r="J87" s="3" t="inlineStr">
        <is>
          <t>Story</t>
        </is>
      </c>
    </row>
    <row r="88">
      <c r="A88" t="inlineStr">
        <is>
          <t>bear</t>
        </is>
      </c>
      <c r="B88" s="22" t="n">
        <v>0.25</v>
      </c>
      <c r="C88" s="22" t="n"/>
      <c r="D88" s="22" t="n">
        <v>-0.012</v>
      </c>
      <c r="E88" s="37" t="n">
        <v>-2.5</v>
      </c>
      <c r="F88" s="22" t="n"/>
      <c r="G88" s="22" t="n"/>
      <c r="H88" s="22" t="n"/>
      <c r="I88" s="22" t="n"/>
      <c r="J88" s="38" t="inlineStr">
        <is>
          <t>CGM stays low-single-digit and Medicare competitive-bid prices (awards 2027, effective ~2028) cut harder; Volt PFA stays sub-scale; Cologuard loses volume to blood tests; Libre warning-letter escalation or Section 232 tariffs; NEC tail $2-3B. Growth -2pt, margin -1.2pt, P/E 14.5x / EV/EBITDA 10.8x.</t>
        </is>
      </c>
      <c r="K88" s="38" t="inlineStr">
        <is>
          <t>driver deltas: cgm -0.08 %; ep -0.12 %; cancer_dx -0.1 %; cv_other -0.04 %; dx_base -0.03 %; epd -0.04 %</t>
        </is>
      </c>
    </row>
    <row r="89">
      <c r="A89" t="inlineStr">
        <is>
          <t>base</t>
        </is>
      </c>
      <c r="B89" s="22" t="n">
        <v>0.5</v>
      </c>
      <c r="C89" s="22" t="n"/>
      <c r="D89" s="22" t="n"/>
      <c r="E89" s="37" t="n"/>
      <c r="F89" s="22" t="n"/>
      <c r="G89" s="22" t="n"/>
      <c r="H89" s="22" t="n"/>
      <c r="I89" s="22" t="n"/>
      <c r="J89" s="38" t="inlineStr">
        <is>
          <t>[exit k=0.8 2026-10-26: P/E 16.8x -&gt; 17.42x] Comparable growth ~6% in 2027 (CEO: pretty similar to this year), ~6% 2028; adjusted EPS ~$6.0 FY27 / ~$6.5 FY28; 16.8x NTM P/E and 13.3x NTM EBITDA, less ~$2.1B expected after-tax litigation and separation cash.</t>
        </is>
      </c>
    </row>
    <row r="90">
      <c r="A90" t="inlineStr">
        <is>
          <t>bull</t>
        </is>
      </c>
      <c r="B90" s="22" t="n">
        <v>0.25</v>
      </c>
      <c r="C90" s="22" t="n"/>
      <c r="D90" s="22" t="n">
        <v>0.007</v>
      </c>
      <c r="E90" s="37" t="n">
        <v>2</v>
      </c>
      <c r="F90" s="22" t="n"/>
      <c r="G90" s="22" t="n"/>
      <c r="H90" s="22" t="n"/>
      <c r="I90" s="22" t="n"/>
      <c r="J90" s="38" t="inlineStr">
        <is>
          <t>Libre Duo, the 2027 payer change and Medicare type-2 non-insulin coverage reaccelerate CGM toward ~10%; Volt gains PFA share; Exact synergies; the Nutrition Form 10 lets RemainCo price near the device/Dx peer median (19x).</t>
        </is>
      </c>
      <c r="K90" s="38" t="inlineStr">
        <is>
          <t>driver deltas: cgm +0.09 %; ep +0.1 %; cancer_dx +0.06 %; cv_other +0.025 %; dx_base +0.015 %; epd +0.02 %</t>
        </is>
      </c>
    </row>
    <row r="92">
      <c r="A92" s="3" t="inlineStr">
        <is>
          <t>Segment build (segment_build)</t>
        </is>
      </c>
      <c r="B92" s="3" t="inlineStr">
        <is>
          <t>Base revenue ($M)</t>
        </is>
      </c>
      <c r="C92" s="3" t="inlineStr">
        <is>
          <t>Driver note (growth and EBIT margin by year: Model tab)</t>
        </is>
      </c>
    </row>
    <row r="93">
      <c r="A93" t="inlineStr">
        <is>
          <t>Medical Devices (Diabetes Care, EP, Rhythm, HF, Vascular, Structural Heart, Neuromodulation)</t>
        </is>
      </c>
      <c r="B93" s="24" t="n">
        <v>21387</v>
      </c>
      <c r="C93" t="inlineStr">
        <is>
          <t>revenue from drivers (driver_build); ebit_margin kept as a plain input. Old note: FY2025 $21,387M, segment OE $7,212M = 33.7% (10-K FY2025 segment note). FY2026 = 9M $17,218M (Q3 release) + Q4 ~$6,110M (Q4'25 $5,677M derived as FY25 less 9M25 x 1.076: EP ~20% in Q4 per CEO, Diabetes low-to-mid single digit) = ~$23,330M (+9.05%). FY2027 +6.5%: Diabetes ~$8.6B x +4.5% (CEO: low-to-mid single digit for the next few quarters; Libre Duo Dec-2026; payer change 2027-01-01), EP ~$3.4B x +15%, other CV/neuro ~$11.3B x +5.5%. FY2028 +6.2%: Medicare CGM competitive-bid pricing (contracts awarded 2027 per CMS final rule) trims Diabetes. Margin 33.9% / 34.1% / 34.3%: FY2025 33.7% (10-K) + 20 bp/yr (EP and structural-heart mix vs CGM price pressure). [citation gate 2026-10-21: was 34.5-34.9% with an underived +0.8pt FY2026 step]</t>
        </is>
      </c>
    </row>
    <row r="94">
      <c r="A94" t="inlineStr">
        <is>
          <t>Diagnostics (Core Lab, Rapid/Molecular, Cancer Dx/Exact Sciences)</t>
        </is>
      </c>
      <c r="B94" s="24" t="n">
        <v>8937</v>
      </c>
      <c r="C94" t="inlineStr">
        <is>
          <t>revenue from drivers (driver_build); ebit_margin kept as a plain input. Old note: FY2025 $8,937M, segment OE $1,740M = 19.5% (10-K). FY2026 = 9M $8,577M + Q4 ~$3,520M (Q4'25 $2,459M derived; ex-Cancer +2.5%, Cancer Dx ~$990M vs Q3 $968M) = ~$12,095M (+35.3%; Exact consolidated from 2026-03-23). FY2027: Core Lab ~$5.6B x 1.05, R&amp;M ~$3.5B x 1.01, Cancer Dx pro forma ~$3.8B x 1.12 (Q3 comparable +13.8%; adds the Q1 stub) = 5.88 + 3.535 + 4.256 = ~$13.67B (+13.0%; citation gate 2026-10-21, was ~$13.64B / +12.8%). FY2028 +5.8% (Cancer +11% with blood-test competition incl. Abbott's own SimpleScreen CRC, Core Lab +5%, R&amp;M +1%). Margin 19.0% (Exact at high-teens exiting Q3 per CEO) to 20.5% with synergies.</t>
        </is>
      </c>
    </row>
    <row r="95">
      <c r="A95" t="inlineStr">
        <is>
          <t>Nutrition</t>
        </is>
      </c>
      <c r="B95" s="24" t="n">
        <v>8451</v>
      </c>
      <c r="C95" t="inlineStr">
        <is>
          <t>FY2025 $8,451M, OE $1,558M = 18.4% (10-K). FY2026 = 9M $6,423M + Q4 ~$2,040M (Q4'25 ~$1,943M x 1.05; Q3 comparable +4.9%) = ~$8,463M. FY2027/28 +3.5% (volume + price/mix; 9M26 comparable -2.1% so Q3 is a rebound, competitor recall tailwind not extrapolated). Kept consolidated: the separation is expected by end-2027 (8-K 2026-10-21), modelled as a ladder branch, value-neutral to holders.</t>
        </is>
      </c>
    </row>
    <row r="96">
      <c r="A96" t="inlineStr">
        <is>
          <t>Established Pharmaceuticals</t>
        </is>
      </c>
      <c r="B96" s="24" t="n">
        <v>5536</v>
      </c>
      <c r="C96" t="inlineStr">
        <is>
          <t>revenue from drivers (driver_build); ebit_margin kept as a plain input. Old note: FY2025 $5,536M, OE $1,290M = 23.3% (10-K). FY2026 = 9M $4,539M + Q4 ~$1,480M (Q4'25 ~$1,383M x 1.07; Q3 comparable +8.4%, Key Emerging Markets +10.9%) = ~$6,019M (+8.7%). FY2027/28 +7% (branded generics in key emerging markets, less EM FX). Margin 23%.</t>
        </is>
      </c>
    </row>
    <row r="97">
      <c r="A97" t="inlineStr">
        <is>
          <t>Other</t>
        </is>
      </c>
      <c r="B97" s="24" t="n">
        <v>17</v>
      </c>
      <c r="C97" t="inlineStr">
        <is>
          <t>FY2025 other sales $17M (44,328 total less four segments 44,311); held flat at zero margin.</t>
        </is>
      </c>
    </row>
    <row r="98">
      <c r="A98" s="17" t="inlineStr">
        <is>
          <t>Sum of segment base revenues</t>
        </is>
      </c>
      <c r="B98" s="23">
        <f>SUM(B93:B97)</f>
        <v/>
      </c>
      <c r="C98">
        <f>IF(ABS(B98/Valuation!$B$50-1)&lt;=0.02,"ties to the last reported net sales (within 2%)","FLAG: does not tie to the last reported net sales")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ABT: sensitivity tables (bold = current inputs; every cell recalculates from the live model)</t>
        </is>
      </c>
    </row>
    <row r="3">
      <c r="A3" s="17" t="inlineStr">
        <is>
          <t>DCF value per share: WACC (down) x terminal growth (across)</t>
        </is>
      </c>
    </row>
    <row r="4">
      <c r="A4" s="17" t="inlineStr">
        <is>
          <t>WACC \ growth</t>
        </is>
      </c>
      <c r="B4" s="7">
        <f>Valuation!$B$53+(-0.01)</f>
        <v/>
      </c>
      <c r="C4" s="7">
        <f>Valuation!$B$53+(-0.005)</f>
        <v/>
      </c>
      <c r="D4" s="7">
        <f>Valuation!$B$53+(0)</f>
        <v/>
      </c>
      <c r="E4" s="7">
        <f>Valuation!$B$53+(0.005)</f>
        <v/>
      </c>
      <c r="F4" s="7">
        <f>Valuation!$B$53+(0.01)</f>
        <v/>
      </c>
    </row>
    <row r="5">
      <c r="A5" s="7">
        <f>Valuation!$B$51+(-0.01)</f>
        <v/>
      </c>
      <c r="B5" s="9">
        <f>IF($A5-B$4&lt;=0.01,"n/a",((SUMPRODUCT('Calc - research target (12m)'!$C$31:$E$31,'Calc - research target (12m)'!$C$35:$E$35,(1+$A5)^(-('Calc - research target (12m)'!$C$19:$E$19-'Calc - research target (12m)'!$B$13)))+'Calc - research target (12m)'!$E$31*(1+B$4)/($A5-B$4)/(1+$A5)^('Calc - research target (12m)'!$B$16-'Calc - research target (12m)'!$B$13))-'Calc - research target (12m)'!$B$50-'Calc - research target (12m)'!$B$51+'Calc - research target (12m)'!$B$52)/'Calc - research target (12m)'!$B$53)</f>
        <v/>
      </c>
      <c r="C5" s="9">
        <f>IF($A5-C$4&lt;=0.01,"n/a",((SUMPRODUCT('Calc - research target (12m)'!$C$31:$E$31,'Calc - research target (12m)'!$C$35:$E$35,(1+$A5)^(-('Calc - research target (12m)'!$C$19:$E$19-'Calc - research target (12m)'!$B$13)))+'Calc - research target (12m)'!$E$31*(1+C$4)/($A5-C$4)/(1+$A5)^('Calc - research target (12m)'!$B$16-'Calc - research target (12m)'!$B$13))-'Calc - research target (12m)'!$B$50-'Calc - research target (12m)'!$B$51+'Calc - research target (12m)'!$B$52)/'Calc - research target (12m)'!$B$53)</f>
        <v/>
      </c>
      <c r="D5" s="9">
        <f>IF($A5-D$4&lt;=0.01,"n/a",((SUMPRODUCT('Calc - research target (12m)'!$C$31:$E$31,'Calc - research target (12m)'!$C$35:$E$35,(1+$A5)^(-('Calc - research target (12m)'!$C$19:$E$19-'Calc - research target (12m)'!$B$13)))+'Calc - research target (12m)'!$E$31*(1+D$4)/($A5-D$4)/(1+$A5)^('Calc - research target (12m)'!$B$16-'Calc - research target (12m)'!$B$13))-'Calc - research target (12m)'!$B$50-'Calc - research target (12m)'!$B$51+'Calc - research target (12m)'!$B$52)/'Calc - research target (12m)'!$B$53)</f>
        <v/>
      </c>
      <c r="E5" s="9">
        <f>IF($A5-E$4&lt;=0.01,"n/a",((SUMPRODUCT('Calc - research target (12m)'!$C$31:$E$31,'Calc - research target (12m)'!$C$35:$E$35,(1+$A5)^(-('Calc - research target (12m)'!$C$19:$E$19-'Calc - research target (12m)'!$B$13)))+'Calc - research target (12m)'!$E$31*(1+E$4)/($A5-E$4)/(1+$A5)^('Calc - research target (12m)'!$B$16-'Calc - research target (12m)'!$B$13))-'Calc - research target (12m)'!$B$50-'Calc - research target (12m)'!$B$51+'Calc - research target (12m)'!$B$52)/'Calc - research target (12m)'!$B$53)</f>
        <v/>
      </c>
      <c r="F5" s="9">
        <f>IF($A5-F$4&lt;=0.01,"n/a",((SUMPRODUCT('Calc - research target (12m)'!$C$31:$E$31,'Calc - research target (12m)'!$C$35:$E$35,(1+$A5)^(-('Calc - research target (12m)'!$C$19:$E$19-'Calc - research target (12m)'!$B$13)))+'Calc - research target (12m)'!$E$31*(1+F$4)/($A5-F$4)/(1+$A5)^('Calc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6">
      <c r="A6" s="7">
        <f>Valuation!$B$51+(-0.005)</f>
        <v/>
      </c>
      <c r="B6" s="9">
        <f>IF($A6-B$4&lt;=0.01,"n/a",((SUMPRODUCT('Calc - research target (12m)'!$C$31:$E$31,'Calc - research target (12m)'!$C$35:$E$35,(1+$A6)^(-('Calc - research target (12m)'!$C$19:$E$19-'Calc - research target (12m)'!$B$13)))+'Calc - research target (12m)'!$E$31*(1+B$4)/($A6-B$4)/(1+$A6)^('Calc - research target (12m)'!$B$16-'Calc - research target (12m)'!$B$13))-'Calc - research target (12m)'!$B$50-'Calc - research target (12m)'!$B$51+'Calc - research target (12m)'!$B$52)/'Calc - research target (12m)'!$B$53)</f>
        <v/>
      </c>
      <c r="C6" s="9">
        <f>IF($A6-C$4&lt;=0.01,"n/a",((SUMPRODUCT('Calc - research target (12m)'!$C$31:$E$31,'Calc - research target (12m)'!$C$35:$E$35,(1+$A6)^(-('Calc - research target (12m)'!$C$19:$E$19-'Calc - research target (12m)'!$B$13)))+'Calc - research target (12m)'!$E$31*(1+C$4)/($A6-C$4)/(1+$A6)^('Calc - research target (12m)'!$B$16-'Calc - research target (12m)'!$B$13))-'Calc - research target (12m)'!$B$50-'Calc - research target (12m)'!$B$51+'Calc - research target (12m)'!$B$52)/'Calc - research target (12m)'!$B$53)</f>
        <v/>
      </c>
      <c r="D6" s="9">
        <f>IF($A6-D$4&lt;=0.01,"n/a",((SUMPRODUCT('Calc - research target (12m)'!$C$31:$E$31,'Calc - research target (12m)'!$C$35:$E$35,(1+$A6)^(-('Calc - research target (12m)'!$C$19:$E$19-'Calc - research target (12m)'!$B$13)))+'Calc - research target (12m)'!$E$31*(1+D$4)/($A6-D$4)/(1+$A6)^('Calc - research target (12m)'!$B$16-'Calc - research target (12m)'!$B$13))-'Calc - research target (12m)'!$B$50-'Calc - research target (12m)'!$B$51+'Calc - research target (12m)'!$B$52)/'Calc - research target (12m)'!$B$53)</f>
        <v/>
      </c>
      <c r="E6" s="9">
        <f>IF($A6-E$4&lt;=0.01,"n/a",((SUMPRODUCT('Calc - research target (12m)'!$C$31:$E$31,'Calc - research target (12m)'!$C$35:$E$35,(1+$A6)^(-('Calc - research target (12m)'!$C$19:$E$19-'Calc - research target (12m)'!$B$13)))+'Calc - research target (12m)'!$E$31*(1+E$4)/($A6-E$4)/(1+$A6)^('Calc - research target (12m)'!$B$16-'Calc - research target (12m)'!$B$13))-'Calc - research target (12m)'!$B$50-'Calc - research target (12m)'!$B$51+'Calc - research target (12m)'!$B$52)/'Calc - research target (12m)'!$B$53)</f>
        <v/>
      </c>
      <c r="F6" s="9">
        <f>IF($A6-F$4&lt;=0.01,"n/a",((SUMPRODUCT('Calc - research target (12m)'!$C$31:$E$31,'Calc - research target (12m)'!$C$35:$E$35,(1+$A6)^(-('Calc - research target (12m)'!$C$19:$E$19-'Calc - research target (12m)'!$B$13)))+'Calc - research target (12m)'!$E$31*(1+F$4)/($A6-F$4)/(1+$A6)^('Calc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7">
      <c r="A7" s="7">
        <f>Valuation!$B$51+(0)</f>
        <v/>
      </c>
      <c r="B7" s="9">
        <f>IF($A7-B$4&lt;=0.01,"n/a",((SUMPRODUCT('Calc - research target (12m)'!$C$31:$E$31,'Calc - research target (12m)'!$C$35:$E$35,(1+$A7)^(-('Calc - research target (12m)'!$C$19:$E$19-'Calc - research target (12m)'!$B$13)))+'Calc - research target (12m)'!$E$31*(1+B$4)/($A7-B$4)/(1+$A7)^('Calc - research target (12m)'!$B$16-'Calc - research target (12m)'!$B$13))-'Calc - research target (12m)'!$B$50-'Calc - research target (12m)'!$B$51+'Calc - research target (12m)'!$B$52)/'Calc - research target (12m)'!$B$53)</f>
        <v/>
      </c>
      <c r="C7" s="9">
        <f>IF($A7-C$4&lt;=0.01,"n/a",((SUMPRODUCT('Calc - research target (12m)'!$C$31:$E$31,'Calc - research target (12m)'!$C$35:$E$35,(1+$A7)^(-('Calc - research target (12m)'!$C$19:$E$19-'Calc - research target (12m)'!$B$13)))+'Calc - research target (12m)'!$E$31*(1+C$4)/($A7-C$4)/(1+$A7)^('Calc - research target (12m)'!$B$16-'Calc - research target (12m)'!$B$13))-'Calc - research target (12m)'!$B$50-'Calc - research target (12m)'!$B$51+'Calc - research target (12m)'!$B$52)/'Calc - research target (12m)'!$B$53)</f>
        <v/>
      </c>
      <c r="D7" s="6">
        <f>IF($A7-D$4&lt;=0.01,"n/a",((SUMPRODUCT('Calc - research target (12m)'!$C$31:$E$31,'Calc - research target (12m)'!$C$35:$E$35,(1+$A7)^(-('Calc - research target (12m)'!$C$19:$E$19-'Calc - research target (12m)'!$B$13)))+'Calc - research target (12m)'!$E$31*(1+D$4)/($A7-D$4)/(1+$A7)^('Calc - research target (12m)'!$B$16-'Calc - research target (12m)'!$B$13))-'Calc - research target (12m)'!$B$50-'Calc - research target (12m)'!$B$51+'Calc - research target (12m)'!$B$52)/'Calc - research target (12m)'!$B$53)</f>
        <v/>
      </c>
      <c r="E7" s="9">
        <f>IF($A7-E$4&lt;=0.01,"n/a",((SUMPRODUCT('Calc - research target (12m)'!$C$31:$E$31,'Calc - research target (12m)'!$C$35:$E$35,(1+$A7)^(-('Calc - research target (12m)'!$C$19:$E$19-'Calc - research target (12m)'!$B$13)))+'Calc - research target (12m)'!$E$31*(1+E$4)/($A7-E$4)/(1+$A7)^('Calc - research target (12m)'!$B$16-'Calc - research target (12m)'!$B$13))-'Calc - research target (12m)'!$B$50-'Calc - research target (12m)'!$B$51+'Calc - research target (12m)'!$B$52)/'Calc - research target (12m)'!$B$53)</f>
        <v/>
      </c>
      <c r="F7" s="9">
        <f>IF($A7-F$4&lt;=0.01,"n/a",((SUMPRODUCT('Calc - research target (12m)'!$C$31:$E$31,'Calc - research target (12m)'!$C$35:$E$35,(1+$A7)^(-('Calc - research target (12m)'!$C$19:$E$19-'Calc - research target (12m)'!$B$13)))+'Calc - research target (12m)'!$E$31*(1+F$4)/($A7-F$4)/(1+$A7)^('Calc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8">
      <c r="A8" s="7">
        <f>Valuation!$B$51+(0.005)</f>
        <v/>
      </c>
      <c r="B8" s="9">
        <f>IF($A8-B$4&lt;=0.01,"n/a",((SUMPRODUCT('Calc - research target (12m)'!$C$31:$E$31,'Calc - research target (12m)'!$C$35:$E$35,(1+$A8)^(-('Calc - research target (12m)'!$C$19:$E$19-'Calc - research target (12m)'!$B$13)))+'Calc - research target (12m)'!$E$31*(1+B$4)/($A8-B$4)/(1+$A8)^('Calc - research target (12m)'!$B$16-'Calc - research target (12m)'!$B$13))-'Calc - research target (12m)'!$B$50-'Calc - research target (12m)'!$B$51+'Calc - research target (12m)'!$B$52)/'Calc - research target (12m)'!$B$53)</f>
        <v/>
      </c>
      <c r="C8" s="9">
        <f>IF($A8-C$4&lt;=0.01,"n/a",((SUMPRODUCT('Calc - research target (12m)'!$C$31:$E$31,'Calc - research target (12m)'!$C$35:$E$35,(1+$A8)^(-('Calc - research target (12m)'!$C$19:$E$19-'Calc - research target (12m)'!$B$13)))+'Calc - research target (12m)'!$E$31*(1+C$4)/($A8-C$4)/(1+$A8)^('Calc - research target (12m)'!$B$16-'Calc - research target (12m)'!$B$13))-'Calc - research target (12m)'!$B$50-'Calc - research target (12m)'!$B$51+'Calc - research target (12m)'!$B$52)/'Calc - research target (12m)'!$B$53)</f>
        <v/>
      </c>
      <c r="D8" s="9">
        <f>IF($A8-D$4&lt;=0.01,"n/a",((SUMPRODUCT('Calc - research target (12m)'!$C$31:$E$31,'Calc - research target (12m)'!$C$35:$E$35,(1+$A8)^(-('Calc - research target (12m)'!$C$19:$E$19-'Calc - research target (12m)'!$B$13)))+'Calc - research target (12m)'!$E$31*(1+D$4)/($A8-D$4)/(1+$A8)^('Calc - research target (12m)'!$B$16-'Calc - research target (12m)'!$B$13))-'Calc - research target (12m)'!$B$50-'Calc - research target (12m)'!$B$51+'Calc - research target (12m)'!$B$52)/'Calc - research target (12m)'!$B$53)</f>
        <v/>
      </c>
      <c r="E8" s="9">
        <f>IF($A8-E$4&lt;=0.01,"n/a",((SUMPRODUCT('Calc - research target (12m)'!$C$31:$E$31,'Calc - research target (12m)'!$C$35:$E$35,(1+$A8)^(-('Calc - research target (12m)'!$C$19:$E$19-'Calc - research target (12m)'!$B$13)))+'Calc - research target (12m)'!$E$31*(1+E$4)/($A8-E$4)/(1+$A8)^('Calc - research target (12m)'!$B$16-'Calc - research target (12m)'!$B$13))-'Calc - research target (12m)'!$B$50-'Calc - research target (12m)'!$B$51+'Calc - research target (12m)'!$B$52)/'Calc - research target (12m)'!$B$53)</f>
        <v/>
      </c>
      <c r="F8" s="9">
        <f>IF($A8-F$4&lt;=0.01,"n/a",((SUMPRODUCT('Calc - research target (12m)'!$C$31:$E$31,'Calc - research target (12m)'!$C$35:$E$35,(1+$A8)^(-('Calc - research target (12m)'!$C$19:$E$19-'Calc - research target (12m)'!$B$13)))+'Calc - research target (12m)'!$E$31*(1+F$4)/($A8-F$4)/(1+$A8)^('Calc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9">
      <c r="A9" s="7">
        <f>Valuation!$B$51+(0.01)</f>
        <v/>
      </c>
      <c r="B9" s="9">
        <f>IF($A9-B$4&lt;=0.01,"n/a",((SUMPRODUCT('Calc - research target (12m)'!$C$31:$E$31,'Calc - research target (12m)'!$C$35:$E$35,(1+$A9)^(-('Calc - research target (12m)'!$C$19:$E$19-'Calc - research target (12m)'!$B$13)))+'Calc - research target (12m)'!$E$31*(1+B$4)/($A9-B$4)/(1+$A9)^('Calc - research target (12m)'!$B$16-'Calc - research target (12m)'!$B$13))-'Calc - research target (12m)'!$B$50-'Calc - research target (12m)'!$B$51+'Calc - research target (12m)'!$B$52)/'Calc - research target (12m)'!$B$53)</f>
        <v/>
      </c>
      <c r="C9" s="9">
        <f>IF($A9-C$4&lt;=0.01,"n/a",((SUMPRODUCT('Calc - research target (12m)'!$C$31:$E$31,'Calc - research target (12m)'!$C$35:$E$35,(1+$A9)^(-('Calc - research target (12m)'!$C$19:$E$19-'Calc - research target (12m)'!$B$13)))+'Calc - research target (12m)'!$E$31*(1+C$4)/($A9-C$4)/(1+$A9)^('Calc - research target (12m)'!$B$16-'Calc - research target (12m)'!$B$13))-'Calc - research target (12m)'!$B$50-'Calc - research target (12m)'!$B$51+'Calc - research target (12m)'!$B$52)/'Calc - research target (12m)'!$B$53)</f>
        <v/>
      </c>
      <c r="D9" s="9">
        <f>IF($A9-D$4&lt;=0.01,"n/a",((SUMPRODUCT('Calc - research target (12m)'!$C$31:$E$31,'Calc - research target (12m)'!$C$35:$E$35,(1+$A9)^(-('Calc - research target (12m)'!$C$19:$E$19-'Calc - research target (12m)'!$B$13)))+'Calc - research target (12m)'!$E$31*(1+D$4)/($A9-D$4)/(1+$A9)^('Calc - research target (12m)'!$B$16-'Calc - research target (12m)'!$B$13))-'Calc - research target (12m)'!$B$50-'Calc - research target (12m)'!$B$51+'Calc - research target (12m)'!$B$52)/'Calc - research target (12m)'!$B$53)</f>
        <v/>
      </c>
      <c r="E9" s="9">
        <f>IF($A9-E$4&lt;=0.01,"n/a",((SUMPRODUCT('Calc - research target (12m)'!$C$31:$E$31,'Calc - research target (12m)'!$C$35:$E$35,(1+$A9)^(-('Calc - research target (12m)'!$C$19:$E$19-'Calc - research target (12m)'!$B$13)))+'Calc - research target (12m)'!$E$31*(1+E$4)/($A9-E$4)/(1+$A9)^('Calc - research target (12m)'!$B$16-'Calc - research target (12m)'!$B$13))-'Calc - research target (12m)'!$B$50-'Calc - research target (12m)'!$B$51+'Calc - research target (12m)'!$B$52)/'Calc - research target (12m)'!$B$53)</f>
        <v/>
      </c>
      <c r="F9" s="9">
        <f>IF($A9-F$4&lt;=0.01,"n/a",((SUMPRODUCT('Calc - research target (12m)'!$C$31:$E$31,'Calc - research target (12m)'!$C$35:$E$35,(1+$A9)^(-('Calc - research target (12m)'!$C$19:$E$19-'Calc - research target (12m)'!$B$13)))+'Calc - research target (12m)'!$E$31*(1+F$4)/($A9-F$4)/(1+$A9)^('Calc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11">
      <c r="A11" s="17" t="inlineStr">
        <is>
          <t>Research target (12m) per share: P/E multiple (down) x metric at target date (across)</t>
        </is>
      </c>
    </row>
    <row r="12">
      <c r="A12" s="17" t="inlineStr">
        <is>
          <t>Multiple \ metric</t>
        </is>
      </c>
      <c r="B12" s="23">
        <f>'Calc - research target (12m)'!$E$68*0.9</f>
        <v/>
      </c>
      <c r="C12" s="23">
        <f>'Calc - research target (12m)'!$E$68*0.95</f>
        <v/>
      </c>
      <c r="D12" s="23">
        <f>'Calc - research target (12m)'!$E$68*1.0</f>
        <v/>
      </c>
      <c r="E12" s="23">
        <f>'Calc - research target (12m)'!$E$68*1.05</f>
        <v/>
      </c>
      <c r="F12" s="23">
        <f>'Calc - research target (12m)'!$E$68*1.1</f>
        <v/>
      </c>
    </row>
    <row r="13">
      <c r="A13" s="39">
        <f>Valuation!$B$70+(-3)</f>
        <v/>
      </c>
      <c r="B13" s="9">
        <f>((SUMPRODUCT('Calc - research target (12m)'!$F$67:$F$69,'Calc - research target (12m)'!$G$67:$G$69)-'Calc - research target (12m)'!$F$68*'Calc - research target (12m)'!$G$68)+'Calc - research target (12m)'!$G$68*($A13*(B$12-'Calc - research target (12m)'!$B$54)/'Calc - research target (12m)'!$B$53+'Calc - research target (12m)'!$B$52/'Calc - research target (12m)'!$B$53))/SUM('Calc - research target (12m)'!$G$67:$G$69)</f>
        <v/>
      </c>
      <c r="C13" s="9">
        <f>((SUMPRODUCT('Calc - research target (12m)'!$F$67:$F$69,'Calc - research target (12m)'!$G$67:$G$69)-'Calc - research target (12m)'!$F$68*'Calc - research target (12m)'!$G$68)+'Calc - research target (12m)'!$G$68*($A13*(C$12-'Calc - research target (12m)'!$B$54)/'Calc - research target (12m)'!$B$53+'Calc - research target (12m)'!$B$52/'Calc - research target (12m)'!$B$53))/SUM('Calc - research target (12m)'!$G$67:$G$69)</f>
        <v/>
      </c>
      <c r="D13" s="9">
        <f>((SUMPRODUCT('Calc - research target (12m)'!$F$67:$F$69,'Calc - research target (12m)'!$G$67:$G$69)-'Calc - research target (12m)'!$F$68*'Calc - research target (12m)'!$G$68)+'Calc - research target (12m)'!$G$68*($A13*(D$12-'Calc - research target (12m)'!$B$54)/'Calc - research target (12m)'!$B$53+'Calc - research target (12m)'!$B$52/'Calc - research target (12m)'!$B$53))/SUM('Calc - research target (12m)'!$G$67:$G$69)</f>
        <v/>
      </c>
      <c r="E13" s="9">
        <f>((SUMPRODUCT('Calc - research target (12m)'!$F$67:$F$69,'Calc - research target (12m)'!$G$67:$G$69)-'Calc - research target (12m)'!$F$68*'Calc - research target (12m)'!$G$68)+'Calc - research target (12m)'!$G$68*($A13*(E$12-'Calc - research target (12m)'!$B$54)/'Calc - research target (12m)'!$B$53+'Calc - research target (12m)'!$B$52/'Calc - research target (12m)'!$B$53))/SUM('Calc - research target (12m)'!$G$67:$G$69)</f>
        <v/>
      </c>
      <c r="F13" s="9">
        <f>((SUMPRODUCT('Calc - research target (12m)'!$F$67:$F$69,'Calc - research target (12m)'!$G$67:$G$69)-'Calc - research target (12m)'!$F$68*'Calc - research target (12m)'!$G$68)+'Calc - research target (12m)'!$G$68*($A13*(F$12-'Calc - research target (12m)'!$B$54)/'Calc - research target (12m)'!$B$53+'Calc - research target (12m)'!$B$52/'Calc - research target (12m)'!$B$53))/SUM('Calc - research target (12m)'!$G$67:$G$69)</f>
        <v/>
      </c>
    </row>
    <row r="14">
      <c r="A14" s="39">
        <f>Valuation!$B$70+(-2)</f>
        <v/>
      </c>
      <c r="B14" s="9">
        <f>((SUMPRODUCT('Calc - research target (12m)'!$F$67:$F$69,'Calc - research target (12m)'!$G$67:$G$69)-'Calc - research target (12m)'!$F$68*'Calc - research target (12m)'!$G$68)+'Calc - research target (12m)'!$G$68*($A14*(B$12-'Calc - research target (12m)'!$B$54)/'Calc - research target (12m)'!$B$53+'Calc - research target (12m)'!$B$52/'Calc - research target (12m)'!$B$53))/SUM('Calc - research target (12m)'!$G$67:$G$69)</f>
        <v/>
      </c>
      <c r="C14" s="9">
        <f>((SUMPRODUCT('Calc - research target (12m)'!$F$67:$F$69,'Calc - research target (12m)'!$G$67:$G$69)-'Calc - research target (12m)'!$F$68*'Calc - research target (12m)'!$G$68)+'Calc - research target (12m)'!$G$68*($A14*(C$12-'Calc - research target (12m)'!$B$54)/'Calc - research target (12m)'!$B$53+'Calc - research target (12m)'!$B$52/'Calc - research target (12m)'!$B$53))/SUM('Calc - research target (12m)'!$G$67:$G$69)</f>
        <v/>
      </c>
      <c r="D14" s="9">
        <f>((SUMPRODUCT('Calc - research target (12m)'!$F$67:$F$69,'Calc - research target (12m)'!$G$67:$G$69)-'Calc - research target (12m)'!$F$68*'Calc - research target (12m)'!$G$68)+'Calc - research target (12m)'!$G$68*($A14*(D$12-'Calc - research target (12m)'!$B$54)/'Calc - research target (12m)'!$B$53+'Calc - research target (12m)'!$B$52/'Calc - research target (12m)'!$B$53))/SUM('Calc - research target (12m)'!$G$67:$G$69)</f>
        <v/>
      </c>
      <c r="E14" s="9">
        <f>((SUMPRODUCT('Calc - research target (12m)'!$F$67:$F$69,'Calc - research target (12m)'!$G$67:$G$69)-'Calc - research target (12m)'!$F$68*'Calc - research target (12m)'!$G$68)+'Calc - research target (12m)'!$G$68*($A14*(E$12-'Calc - research target (12m)'!$B$54)/'Calc - research target (12m)'!$B$53+'Calc - research target (12m)'!$B$52/'Calc - research target (12m)'!$B$53))/SUM('Calc - research target (12m)'!$G$67:$G$69)</f>
        <v/>
      </c>
      <c r="F14" s="9">
        <f>((SUMPRODUCT('Calc - research target (12m)'!$F$67:$F$69,'Calc - research target (12m)'!$G$67:$G$69)-'Calc - research target (12m)'!$F$68*'Calc - research target (12m)'!$G$68)+'Calc - research target (12m)'!$G$68*($A14*(F$12-'Calc - research target (12m)'!$B$54)/'Calc - research target (12m)'!$B$53+'Calc - research target (12m)'!$B$52/'Calc - research target (12m)'!$B$53))/SUM('Calc - research target (12m)'!$G$67:$G$69)</f>
        <v/>
      </c>
    </row>
    <row r="15">
      <c r="A15" s="39">
        <f>Valuation!$B$70+(-1)</f>
        <v/>
      </c>
      <c r="B15" s="9">
        <f>((SUMPRODUCT('Calc - research target (12m)'!$F$67:$F$69,'Calc - research target (12m)'!$G$67:$G$69)-'Calc - research target (12m)'!$F$68*'Calc - research target (12m)'!$G$68)+'Calc - research target (12m)'!$G$68*($A15*(B$12-'Calc - research target (12m)'!$B$54)/'Calc - research target (12m)'!$B$53+'Calc - research target (12m)'!$B$52/'Calc - research target (12m)'!$B$53))/SUM('Calc - research target (12m)'!$G$67:$G$69)</f>
        <v/>
      </c>
      <c r="C15" s="9">
        <f>((SUMPRODUCT('Calc - research target (12m)'!$F$67:$F$69,'Calc - research target (12m)'!$G$67:$G$69)-'Calc - research target (12m)'!$F$68*'Calc - research target (12m)'!$G$68)+'Calc - research target (12m)'!$G$68*($A15*(C$12-'Calc - research target (12m)'!$B$54)/'Calc - research target (12m)'!$B$53+'Calc - research target (12m)'!$B$52/'Calc - research target (12m)'!$B$53))/SUM('Calc - research target (12m)'!$G$67:$G$69)</f>
        <v/>
      </c>
      <c r="D15" s="9">
        <f>((SUMPRODUCT('Calc - research target (12m)'!$F$67:$F$69,'Calc - research target (12m)'!$G$67:$G$69)-'Calc - research target (12m)'!$F$68*'Calc - research target (12m)'!$G$68)+'Calc - research target (12m)'!$G$68*($A15*(D$12-'Calc - research target (12m)'!$B$54)/'Calc - research target (12m)'!$B$53+'Calc - research target (12m)'!$B$52/'Calc - research target (12m)'!$B$53))/SUM('Calc - research target (12m)'!$G$67:$G$69)</f>
        <v/>
      </c>
      <c r="E15" s="9">
        <f>((SUMPRODUCT('Calc - research target (12m)'!$F$67:$F$69,'Calc - research target (12m)'!$G$67:$G$69)-'Calc - research target (12m)'!$F$68*'Calc - research target (12m)'!$G$68)+'Calc - research target (12m)'!$G$68*($A15*(E$12-'Calc - research target (12m)'!$B$54)/'Calc - research target (12m)'!$B$53+'Calc - research target (12m)'!$B$52/'Calc - research target (12m)'!$B$53))/SUM('Calc - research target (12m)'!$G$67:$G$69)</f>
        <v/>
      </c>
      <c r="F15" s="9">
        <f>((SUMPRODUCT('Calc - research target (12m)'!$F$67:$F$69,'Calc - research target (12m)'!$G$67:$G$69)-'Calc - research target (12m)'!$F$68*'Calc - research target (12m)'!$G$68)+'Calc - research target (12m)'!$G$68*($A15*(F$12-'Calc - research target (12m)'!$B$54)/'Calc - research target (12m)'!$B$53+'Calc - research target (12m)'!$B$52/'Calc - research target (12m)'!$B$53))/SUM('Calc - research target (12m)'!$G$67:$G$69)</f>
        <v/>
      </c>
    </row>
    <row r="16">
      <c r="A16" s="39">
        <f>Valuation!$B$70+(0)</f>
        <v/>
      </c>
      <c r="B16" s="9">
        <f>((SUMPRODUCT('Calc - research target (12m)'!$F$67:$F$69,'Calc - research target (12m)'!$G$67:$G$69)-'Calc - research target (12m)'!$F$68*'Calc - research target (12m)'!$G$68)+'Calc - research target (12m)'!$G$68*($A16*(B$12-'Calc - research target (12m)'!$B$54)/'Calc - research target (12m)'!$B$53+'Calc - research target (12m)'!$B$52/'Calc - research target (12m)'!$B$53))/SUM('Calc - research target (12m)'!$G$67:$G$69)</f>
        <v/>
      </c>
      <c r="C16" s="9">
        <f>((SUMPRODUCT('Calc - research target (12m)'!$F$67:$F$69,'Calc - research target (12m)'!$G$67:$G$69)-'Calc - research target (12m)'!$F$68*'Calc - research target (12m)'!$G$68)+'Calc - research target (12m)'!$G$68*($A16*(C$12-'Calc - research target (12m)'!$B$54)/'Calc - research target (12m)'!$B$53+'Calc - research target (12m)'!$B$52/'Calc - research target (12m)'!$B$53))/SUM('Calc - research target (12m)'!$G$67:$G$69)</f>
        <v/>
      </c>
      <c r="D16" s="6">
        <f>((SUMPRODUCT('Calc - research target (12m)'!$F$67:$F$69,'Calc - research target (12m)'!$G$67:$G$69)-'Calc - research target (12m)'!$F$68*'Calc - research target (12m)'!$G$68)+'Calc - research target (12m)'!$G$68*($A16*(D$12-'Calc - research target (12m)'!$B$54)/'Calc - research target (12m)'!$B$53+'Calc - research target (12m)'!$B$52/'Calc - research target (12m)'!$B$53))/SUM('Calc - research target (12m)'!$G$67:$G$69)</f>
        <v/>
      </c>
      <c r="E16" s="9">
        <f>((SUMPRODUCT('Calc - research target (12m)'!$F$67:$F$69,'Calc - research target (12m)'!$G$67:$G$69)-'Calc - research target (12m)'!$F$68*'Calc - research target (12m)'!$G$68)+'Calc - research target (12m)'!$G$68*($A16*(E$12-'Calc - research target (12m)'!$B$54)/'Calc - research target (12m)'!$B$53+'Calc - research target (12m)'!$B$52/'Calc - research target (12m)'!$B$53))/SUM('Calc - research target (12m)'!$G$67:$G$69)</f>
        <v/>
      </c>
      <c r="F16" s="9">
        <f>((SUMPRODUCT('Calc - research target (12m)'!$F$67:$F$69,'Calc - research target (12m)'!$G$67:$G$69)-'Calc - research target (12m)'!$F$68*'Calc - research target (12m)'!$G$68)+'Calc - research target (12m)'!$G$68*($A16*(F$12-'Calc - research target (12m)'!$B$54)/'Calc - research target (12m)'!$B$53+'Calc - research target (12m)'!$B$52/'Calc - research target (12m)'!$B$53))/SUM('Calc - research target (12m)'!$G$67:$G$69)</f>
        <v/>
      </c>
    </row>
    <row r="17">
      <c r="A17" s="39">
        <f>Valuation!$B$70+(1)</f>
        <v/>
      </c>
      <c r="B17" s="9">
        <f>((SUMPRODUCT('Calc - research target (12m)'!$F$67:$F$69,'Calc - research target (12m)'!$G$67:$G$69)-'Calc - research target (12m)'!$F$68*'Calc - research target (12m)'!$G$68)+'Calc - research target (12m)'!$G$68*($A17*(B$12-'Calc - research target (12m)'!$B$54)/'Calc - research target (12m)'!$B$53+'Calc - research target (12m)'!$B$52/'Calc - research target (12m)'!$B$53))/SUM('Calc - research target (12m)'!$G$67:$G$69)</f>
        <v/>
      </c>
      <c r="C17" s="9">
        <f>((SUMPRODUCT('Calc - research target (12m)'!$F$67:$F$69,'Calc - research target (12m)'!$G$67:$G$69)-'Calc - research target (12m)'!$F$68*'Calc - research target (12m)'!$G$68)+'Calc - research target (12m)'!$G$68*($A17*(C$12-'Calc - research target (12m)'!$B$54)/'Calc - research target (12m)'!$B$53+'Calc - research target (12m)'!$B$52/'Calc - research target (12m)'!$B$53))/SUM('Calc - research target (12m)'!$G$67:$G$69)</f>
        <v/>
      </c>
      <c r="D17" s="9">
        <f>((SUMPRODUCT('Calc - research target (12m)'!$F$67:$F$69,'Calc - research target (12m)'!$G$67:$G$69)-'Calc - research target (12m)'!$F$68*'Calc - research target (12m)'!$G$68)+'Calc - research target (12m)'!$G$68*($A17*(D$12-'Calc - research target (12m)'!$B$54)/'Calc - research target (12m)'!$B$53+'Calc - research target (12m)'!$B$52/'Calc - research target (12m)'!$B$53))/SUM('Calc - research target (12m)'!$G$67:$G$69)</f>
        <v/>
      </c>
      <c r="E17" s="9">
        <f>((SUMPRODUCT('Calc - research target (12m)'!$F$67:$F$69,'Calc - research target (12m)'!$G$67:$G$69)-'Calc - research target (12m)'!$F$68*'Calc - research target (12m)'!$G$68)+'Calc - research target (12m)'!$G$68*($A17*(E$12-'Calc - research target (12m)'!$B$54)/'Calc - research target (12m)'!$B$53+'Calc - research target (12m)'!$B$52/'Calc - research target (12m)'!$B$53))/SUM('Calc - research target (12m)'!$G$67:$G$69)</f>
        <v/>
      </c>
      <c r="F17" s="9">
        <f>((SUMPRODUCT('Calc - research target (12m)'!$F$67:$F$69,'Calc - research target (12m)'!$G$67:$G$69)-'Calc - research target (12m)'!$F$68*'Calc - research target (12m)'!$G$68)+'Calc - research target (12m)'!$G$68*($A17*(F$12-'Calc - research target (12m)'!$B$54)/'Calc - research target (12m)'!$B$53+'Calc - research target (12m)'!$B$52/'Calc - research target (12m)'!$B$53))/SUM('Calc - research target (12m)'!$G$67:$G$69)</f>
        <v/>
      </c>
    </row>
    <row r="18">
      <c r="A18" s="39">
        <f>Valuation!$B$70+(2)</f>
        <v/>
      </c>
      <c r="B18" s="9">
        <f>((SUMPRODUCT('Calc - research target (12m)'!$F$67:$F$69,'Calc - research target (12m)'!$G$67:$G$69)-'Calc - research target (12m)'!$F$68*'Calc - research target (12m)'!$G$68)+'Calc - research target (12m)'!$G$68*($A18*(B$12-'Calc - research target (12m)'!$B$54)/'Calc - research target (12m)'!$B$53+'Calc - research target (12m)'!$B$52/'Calc - research target (12m)'!$B$53))/SUM('Calc - research target (12m)'!$G$67:$G$69)</f>
        <v/>
      </c>
      <c r="C18" s="9">
        <f>((SUMPRODUCT('Calc - research target (12m)'!$F$67:$F$69,'Calc - research target (12m)'!$G$67:$G$69)-'Calc - research target (12m)'!$F$68*'Calc - research target (12m)'!$G$68)+'Calc - research target (12m)'!$G$68*($A18*(C$12-'Calc - research target (12m)'!$B$54)/'Calc - research target (12m)'!$B$53+'Calc - research target (12m)'!$B$52/'Calc - research target (12m)'!$B$53))/SUM('Calc - research target (12m)'!$G$67:$G$69)</f>
        <v/>
      </c>
      <c r="D18" s="9">
        <f>((SUMPRODUCT('Calc - research target (12m)'!$F$67:$F$69,'Calc - research target (12m)'!$G$67:$G$69)-'Calc - research target (12m)'!$F$68*'Calc - research target (12m)'!$G$68)+'Calc - research target (12m)'!$G$68*($A18*(D$12-'Calc - research target (12m)'!$B$54)/'Calc - research target (12m)'!$B$53+'Calc - research target (12m)'!$B$52/'Calc - research target (12m)'!$B$53))/SUM('Calc - research target (12m)'!$G$67:$G$69)</f>
        <v/>
      </c>
      <c r="E18" s="9">
        <f>((SUMPRODUCT('Calc - research target (12m)'!$F$67:$F$69,'Calc - research target (12m)'!$G$67:$G$69)-'Calc - research target (12m)'!$F$68*'Calc - research target (12m)'!$G$68)+'Calc - research target (12m)'!$G$68*($A18*(E$12-'Calc - research target (12m)'!$B$54)/'Calc - research target (12m)'!$B$53+'Calc - research target (12m)'!$B$52/'Calc - research target (12m)'!$B$53))/SUM('Calc - research target (12m)'!$G$67:$G$69)</f>
        <v/>
      </c>
      <c r="F18" s="9">
        <f>((SUMPRODUCT('Calc - research target (12m)'!$F$67:$F$69,'Calc - research target (12m)'!$G$67:$G$69)-'Calc - research target (12m)'!$F$68*'Calc - research target (12m)'!$G$68)+'Calc - research target (12m)'!$G$68*($A18*(F$12-'Calc - research target (12m)'!$B$54)/'Calc - research target (12m)'!$B$53+'Calc - research target (12m)'!$B$52/'Calc - research target (12m)'!$B$53))/SUM('Calc - research target (12m)'!$G$67:$G$69)</f>
        <v/>
      </c>
    </row>
    <row r="19">
      <c r="A19" s="39">
        <f>Valuation!$B$70+(3)</f>
        <v/>
      </c>
      <c r="B19" s="9">
        <f>((SUMPRODUCT('Calc - research target (12m)'!$F$67:$F$69,'Calc - research target (12m)'!$G$67:$G$69)-'Calc - research target (12m)'!$F$68*'Calc - research target (12m)'!$G$68)+'Calc - research target (12m)'!$G$68*($A19*(B$12-'Calc - research target (12m)'!$B$54)/'Calc - research target (12m)'!$B$53+'Calc - research target (12m)'!$B$52/'Calc - research target (12m)'!$B$53))/SUM('Calc - research target (12m)'!$G$67:$G$69)</f>
        <v/>
      </c>
      <c r="C19" s="9">
        <f>((SUMPRODUCT('Calc - research target (12m)'!$F$67:$F$69,'Calc - research target (12m)'!$G$67:$G$69)-'Calc - research target (12m)'!$F$68*'Calc - research target (12m)'!$G$68)+'Calc - research target (12m)'!$G$68*($A19*(C$12-'Calc - research target (12m)'!$B$54)/'Calc - research target (12m)'!$B$53+'Calc - research target (12m)'!$B$52/'Calc - research target (12m)'!$B$53))/SUM('Calc - research target (12m)'!$G$67:$G$69)</f>
        <v/>
      </c>
      <c r="D19" s="9">
        <f>((SUMPRODUCT('Calc - research target (12m)'!$F$67:$F$69,'Calc - research target (12m)'!$G$67:$G$69)-'Calc - research target (12m)'!$F$68*'Calc - research target (12m)'!$G$68)+'Calc - research target (12m)'!$G$68*($A19*(D$12-'Calc - research target (12m)'!$B$54)/'Calc - research target (12m)'!$B$53+'Calc - research target (12m)'!$B$52/'Calc - research target (12m)'!$B$53))/SUM('Calc - research target (12m)'!$G$67:$G$69)</f>
        <v/>
      </c>
      <c r="E19" s="9">
        <f>((SUMPRODUCT('Calc - research target (12m)'!$F$67:$F$69,'Calc - research target (12m)'!$G$67:$G$69)-'Calc - research target (12m)'!$F$68*'Calc - research target (12m)'!$G$68)+'Calc - research target (12m)'!$G$68*($A19*(E$12-'Calc - research target (12m)'!$B$54)/'Calc - research target (12m)'!$B$53+'Calc - research target (12m)'!$B$52/'Calc - research target (12m)'!$B$53))/SUM('Calc - research target (12m)'!$G$67:$G$69)</f>
        <v/>
      </c>
      <c r="F19" s="9">
        <f>((SUMPRODUCT('Calc - research target (12m)'!$F$67:$F$69,'Calc - research target (12m)'!$G$67:$G$69)-'Calc - research target (12m)'!$F$68*'Calc - research target (12m)'!$G$68)+'Calc - research target (12m)'!$G$68*($A19*(F$12-'Calc - research target (12m)'!$B$54)/'Calc - research target (12m)'!$B$53+'Calc - research target (12m)'!$B$52/'Calc - research target (12m)'!$B$53))/SUM('Calc - research target (12m)'!$G$67:$G$69)</f>
        <v/>
      </c>
    </row>
    <row r="22">
      <c r="A22" s="17" t="inlineStr">
        <is>
          <t>FY2027E diluted EPS: revenue growth change in every year (down) x EBIT margin change (across)</t>
        </is>
      </c>
    </row>
    <row r="23">
      <c r="A23" s="17" t="inlineStr">
        <is>
          <t>Growth Δ \ margin Δ</t>
        </is>
      </c>
      <c r="B23" s="40" t="n">
        <v>-0.01</v>
      </c>
      <c r="C23" s="40" t="n">
        <v>-0.005</v>
      </c>
      <c r="D23" s="40" t="n">
        <v>0</v>
      </c>
      <c r="E23" s="40" t="n">
        <v>0.005</v>
      </c>
      <c r="F23" s="40" t="n">
        <v>0.01</v>
      </c>
    </row>
    <row r="24">
      <c r="A24" s="40" t="n">
        <v>-0.02</v>
      </c>
      <c r="B24" s="27">
        <f>(Valuation!$B$93*(1+Model!E12+$A24)*(1+Model!F12+$A24)*(Model!F14+B$23)+Valuation!$B$94*(1+Model!E16+$A24)*(1+Model!F16+$A24)*(Model!F18+B$23)+Valuation!$B$95*(1+Model!E20+$A24)*(1+Model!F20+$A24)*(Model!F22+B$23)+Valuation!$B$96*(1+Model!E24+$A24)*(1+Model!F24+$A24)*(Model!F26+B$23)+Valuation!$B$97*(1+Model!E28+$A24)*(1+Model!F28+$A24)*(Model!F30+B$23)+Model!F33+Model!F45)*(1-Model!F75)/Model!F52</f>
        <v/>
      </c>
      <c r="C24" s="27">
        <f>(Valuation!$B$93*(1+Model!E12+$A24)*(1+Model!F12+$A24)*(Model!F14+C$23)+Valuation!$B$94*(1+Model!E16+$A24)*(1+Model!F16+$A24)*(Model!F18+C$23)+Valuation!$B$95*(1+Model!E20+$A24)*(1+Model!F20+$A24)*(Model!F22+C$23)+Valuation!$B$96*(1+Model!E24+$A24)*(1+Model!F24+$A24)*(Model!F26+C$23)+Valuation!$B$97*(1+Model!E28+$A24)*(1+Model!F28+$A24)*(Model!F30+C$23)+Model!F33+Model!F45)*(1-Model!F75)/Model!F52</f>
        <v/>
      </c>
      <c r="D24" s="27">
        <f>(Valuation!$B$93*(1+Model!E12+$A24)*(1+Model!F12+$A24)*(Model!F14+D$23)+Valuation!$B$94*(1+Model!E16+$A24)*(1+Model!F16+$A24)*(Model!F18+D$23)+Valuation!$B$95*(1+Model!E20+$A24)*(1+Model!F20+$A24)*(Model!F22+D$23)+Valuation!$B$96*(1+Model!E24+$A24)*(1+Model!F24+$A24)*(Model!F26+D$23)+Valuation!$B$97*(1+Model!E28+$A24)*(1+Model!F28+$A24)*(Model!F30+D$23)+Model!F33+Model!F45)*(1-Model!F75)/Model!F52</f>
        <v/>
      </c>
      <c r="E24" s="27">
        <f>(Valuation!$B$93*(1+Model!E12+$A24)*(1+Model!F12+$A24)*(Model!F14+E$23)+Valuation!$B$94*(1+Model!E16+$A24)*(1+Model!F16+$A24)*(Model!F18+E$23)+Valuation!$B$95*(1+Model!E20+$A24)*(1+Model!F20+$A24)*(Model!F22+E$23)+Valuation!$B$96*(1+Model!E24+$A24)*(1+Model!F24+$A24)*(Model!F26+E$23)+Valuation!$B$97*(1+Model!E28+$A24)*(1+Model!F28+$A24)*(Model!F30+E$23)+Model!F33+Model!F45)*(1-Model!F75)/Model!F52</f>
        <v/>
      </c>
      <c r="F24" s="27">
        <f>(Valuation!$B$93*(1+Model!E12+$A24)*(1+Model!F12+$A24)*(Model!F14+F$23)+Valuation!$B$94*(1+Model!E16+$A24)*(1+Model!F16+$A24)*(Model!F18+F$23)+Valuation!$B$95*(1+Model!E20+$A24)*(1+Model!F20+$A24)*(Model!F22+F$23)+Valuation!$B$96*(1+Model!E24+$A24)*(1+Model!F24+$A24)*(Model!F26+F$23)+Valuation!$B$97*(1+Model!E28+$A24)*(1+Model!F28+$A24)*(Model!F30+F$23)+Model!F33+Model!F45)*(1-Model!F75)/Model!F52</f>
        <v/>
      </c>
    </row>
    <row r="25">
      <c r="A25" s="40" t="n">
        <v>-0.01</v>
      </c>
      <c r="B25" s="27">
        <f>(Valuation!$B$93*(1+Model!E12+$A25)*(1+Model!F12+$A25)*(Model!F14+B$23)+Valuation!$B$94*(1+Model!E16+$A25)*(1+Model!F16+$A25)*(Model!F18+B$23)+Valuation!$B$95*(1+Model!E20+$A25)*(1+Model!F20+$A25)*(Model!F22+B$23)+Valuation!$B$96*(1+Model!E24+$A25)*(1+Model!F24+$A25)*(Model!F26+B$23)+Valuation!$B$97*(1+Model!E28+$A25)*(1+Model!F28+$A25)*(Model!F30+B$23)+Model!F33+Model!F45)*(1-Model!F75)/Model!F52</f>
        <v/>
      </c>
      <c r="C25" s="27">
        <f>(Valuation!$B$93*(1+Model!E12+$A25)*(1+Model!F12+$A25)*(Model!F14+C$23)+Valuation!$B$94*(1+Model!E16+$A25)*(1+Model!F16+$A25)*(Model!F18+C$23)+Valuation!$B$95*(1+Model!E20+$A25)*(1+Model!F20+$A25)*(Model!F22+C$23)+Valuation!$B$96*(1+Model!E24+$A25)*(1+Model!F24+$A25)*(Model!F26+C$23)+Valuation!$B$97*(1+Model!E28+$A25)*(1+Model!F28+$A25)*(Model!F30+C$23)+Model!F33+Model!F45)*(1-Model!F75)/Model!F52</f>
        <v/>
      </c>
      <c r="D25" s="27">
        <f>(Valuation!$B$93*(1+Model!E12+$A25)*(1+Model!F12+$A25)*(Model!F14+D$23)+Valuation!$B$94*(1+Model!E16+$A25)*(1+Model!F16+$A25)*(Model!F18+D$23)+Valuation!$B$95*(1+Model!E20+$A25)*(1+Model!F20+$A25)*(Model!F22+D$23)+Valuation!$B$96*(1+Model!E24+$A25)*(1+Model!F24+$A25)*(Model!F26+D$23)+Valuation!$B$97*(1+Model!E28+$A25)*(1+Model!F28+$A25)*(Model!F30+D$23)+Model!F33+Model!F45)*(1-Model!F75)/Model!F52</f>
        <v/>
      </c>
      <c r="E25" s="27">
        <f>(Valuation!$B$93*(1+Model!E12+$A25)*(1+Model!F12+$A25)*(Model!F14+E$23)+Valuation!$B$94*(1+Model!E16+$A25)*(1+Model!F16+$A25)*(Model!F18+E$23)+Valuation!$B$95*(1+Model!E20+$A25)*(1+Model!F20+$A25)*(Model!F22+E$23)+Valuation!$B$96*(1+Model!E24+$A25)*(1+Model!F24+$A25)*(Model!F26+E$23)+Valuation!$B$97*(1+Model!E28+$A25)*(1+Model!F28+$A25)*(Model!F30+E$23)+Model!F33+Model!F45)*(1-Model!F75)/Model!F52</f>
        <v/>
      </c>
      <c r="F25" s="27">
        <f>(Valuation!$B$93*(1+Model!E12+$A25)*(1+Model!F12+$A25)*(Model!F14+F$23)+Valuation!$B$94*(1+Model!E16+$A25)*(1+Model!F16+$A25)*(Model!F18+F$23)+Valuation!$B$95*(1+Model!E20+$A25)*(1+Model!F20+$A25)*(Model!F22+F$23)+Valuation!$B$96*(1+Model!E24+$A25)*(1+Model!F24+$A25)*(Model!F26+F$23)+Valuation!$B$97*(1+Model!E28+$A25)*(1+Model!F28+$A25)*(Model!F30+F$23)+Model!F33+Model!F45)*(1-Model!F75)/Model!F52</f>
        <v/>
      </c>
    </row>
    <row r="26">
      <c r="A26" s="40" t="n">
        <v>0</v>
      </c>
      <c r="B26" s="27">
        <f>(Valuation!$B$93*(1+Model!E12+$A26)*(1+Model!F12+$A26)*(Model!F14+B$23)+Valuation!$B$94*(1+Model!E16+$A26)*(1+Model!F16+$A26)*(Model!F18+B$23)+Valuation!$B$95*(1+Model!E20+$A26)*(1+Model!F20+$A26)*(Model!F22+B$23)+Valuation!$B$96*(1+Model!E24+$A26)*(1+Model!F24+$A26)*(Model!F26+B$23)+Valuation!$B$97*(1+Model!E28+$A26)*(1+Model!F28+$A26)*(Model!F30+B$23)+Model!F33+Model!F45)*(1-Model!F75)/Model!F52</f>
        <v/>
      </c>
      <c r="C26" s="27">
        <f>(Valuation!$B$93*(1+Model!E12+$A26)*(1+Model!F12+$A26)*(Model!F14+C$23)+Valuation!$B$94*(1+Model!E16+$A26)*(1+Model!F16+$A26)*(Model!F18+C$23)+Valuation!$B$95*(1+Model!E20+$A26)*(1+Model!F20+$A26)*(Model!F22+C$23)+Valuation!$B$96*(1+Model!E24+$A26)*(1+Model!F24+$A26)*(Model!F26+C$23)+Valuation!$B$97*(1+Model!E28+$A26)*(1+Model!F28+$A26)*(Model!F30+C$23)+Model!F33+Model!F45)*(1-Model!F75)/Model!F52</f>
        <v/>
      </c>
      <c r="D26" s="28">
        <f>(Valuation!$B$93*(1+Model!E12+$A26)*(1+Model!F12+$A26)*(Model!F14+D$23)+Valuation!$B$94*(1+Model!E16+$A26)*(1+Model!F16+$A26)*(Model!F18+D$23)+Valuation!$B$95*(1+Model!E20+$A26)*(1+Model!F20+$A26)*(Model!F22+D$23)+Valuation!$B$96*(1+Model!E24+$A26)*(1+Model!F24+$A26)*(Model!F26+D$23)+Valuation!$B$97*(1+Model!E28+$A26)*(1+Model!F28+$A26)*(Model!F30+D$23)+Model!F33+Model!F45)*(1-Model!F75)/Model!F52</f>
        <v/>
      </c>
      <c r="E26" s="27">
        <f>(Valuation!$B$93*(1+Model!E12+$A26)*(1+Model!F12+$A26)*(Model!F14+E$23)+Valuation!$B$94*(1+Model!E16+$A26)*(1+Model!F16+$A26)*(Model!F18+E$23)+Valuation!$B$95*(1+Model!E20+$A26)*(1+Model!F20+$A26)*(Model!F22+E$23)+Valuation!$B$96*(1+Model!E24+$A26)*(1+Model!F24+$A26)*(Model!F26+E$23)+Valuation!$B$97*(1+Model!E28+$A26)*(1+Model!F28+$A26)*(Model!F30+E$23)+Model!F33+Model!F45)*(1-Model!F75)/Model!F52</f>
        <v/>
      </c>
      <c r="F26" s="27">
        <f>(Valuation!$B$93*(1+Model!E12+$A26)*(1+Model!F12+$A26)*(Model!F14+F$23)+Valuation!$B$94*(1+Model!E16+$A26)*(1+Model!F16+$A26)*(Model!F18+F$23)+Valuation!$B$95*(1+Model!E20+$A26)*(1+Model!F20+$A26)*(Model!F22+F$23)+Valuation!$B$96*(1+Model!E24+$A26)*(1+Model!F24+$A26)*(Model!F26+F$23)+Valuation!$B$97*(1+Model!E28+$A26)*(1+Model!F28+$A26)*(Model!F30+F$23)+Model!F33+Model!F45)*(1-Model!F75)/Model!F52</f>
        <v/>
      </c>
    </row>
    <row r="27">
      <c r="A27" s="40" t="n">
        <v>0.01</v>
      </c>
      <c r="B27" s="27">
        <f>(Valuation!$B$93*(1+Model!E12+$A27)*(1+Model!F12+$A27)*(Model!F14+B$23)+Valuation!$B$94*(1+Model!E16+$A27)*(1+Model!F16+$A27)*(Model!F18+B$23)+Valuation!$B$95*(1+Model!E20+$A27)*(1+Model!F20+$A27)*(Model!F22+B$23)+Valuation!$B$96*(1+Model!E24+$A27)*(1+Model!F24+$A27)*(Model!F26+B$23)+Valuation!$B$97*(1+Model!E28+$A27)*(1+Model!F28+$A27)*(Model!F30+B$23)+Model!F33+Model!F45)*(1-Model!F75)/Model!F52</f>
        <v/>
      </c>
      <c r="C27" s="27">
        <f>(Valuation!$B$93*(1+Model!E12+$A27)*(1+Model!F12+$A27)*(Model!F14+C$23)+Valuation!$B$94*(1+Model!E16+$A27)*(1+Model!F16+$A27)*(Model!F18+C$23)+Valuation!$B$95*(1+Model!E20+$A27)*(1+Model!F20+$A27)*(Model!F22+C$23)+Valuation!$B$96*(1+Model!E24+$A27)*(1+Model!F24+$A27)*(Model!F26+C$23)+Valuation!$B$97*(1+Model!E28+$A27)*(1+Model!F28+$A27)*(Model!F30+C$23)+Model!F33+Model!F45)*(1-Model!F75)/Model!F52</f>
        <v/>
      </c>
      <c r="D27" s="27">
        <f>(Valuation!$B$93*(1+Model!E12+$A27)*(1+Model!F12+$A27)*(Model!F14+D$23)+Valuation!$B$94*(1+Model!E16+$A27)*(1+Model!F16+$A27)*(Model!F18+D$23)+Valuation!$B$95*(1+Model!E20+$A27)*(1+Model!F20+$A27)*(Model!F22+D$23)+Valuation!$B$96*(1+Model!E24+$A27)*(1+Model!F24+$A27)*(Model!F26+D$23)+Valuation!$B$97*(1+Model!E28+$A27)*(1+Model!F28+$A27)*(Model!F30+D$23)+Model!F33+Model!F45)*(1-Model!F75)/Model!F52</f>
        <v/>
      </c>
      <c r="E27" s="27">
        <f>(Valuation!$B$93*(1+Model!E12+$A27)*(1+Model!F12+$A27)*(Model!F14+E$23)+Valuation!$B$94*(1+Model!E16+$A27)*(1+Model!F16+$A27)*(Model!F18+E$23)+Valuation!$B$95*(1+Model!E20+$A27)*(1+Model!F20+$A27)*(Model!F22+E$23)+Valuation!$B$96*(1+Model!E24+$A27)*(1+Model!F24+$A27)*(Model!F26+E$23)+Valuation!$B$97*(1+Model!E28+$A27)*(1+Model!F28+$A27)*(Model!F30+E$23)+Model!F33+Model!F45)*(1-Model!F75)/Model!F52</f>
        <v/>
      </c>
      <c r="F27" s="27">
        <f>(Valuation!$B$93*(1+Model!E12+$A27)*(1+Model!F12+$A27)*(Model!F14+F$23)+Valuation!$B$94*(1+Model!E16+$A27)*(1+Model!F16+$A27)*(Model!F18+F$23)+Valuation!$B$95*(1+Model!E20+$A27)*(1+Model!F20+$A27)*(Model!F22+F$23)+Valuation!$B$96*(1+Model!E24+$A27)*(1+Model!F24+$A27)*(Model!F26+F$23)+Valuation!$B$97*(1+Model!E28+$A27)*(1+Model!F28+$A27)*(Model!F30+F$23)+Model!F33+Model!F45)*(1-Model!F75)/Model!F52</f>
        <v/>
      </c>
    </row>
    <row r="28">
      <c r="A28" s="40" t="n">
        <v>0.02</v>
      </c>
      <c r="B28" s="27">
        <f>(Valuation!$B$93*(1+Model!E12+$A28)*(1+Model!F12+$A28)*(Model!F14+B$23)+Valuation!$B$94*(1+Model!E16+$A28)*(1+Model!F16+$A28)*(Model!F18+B$23)+Valuation!$B$95*(1+Model!E20+$A28)*(1+Model!F20+$A28)*(Model!F22+B$23)+Valuation!$B$96*(1+Model!E24+$A28)*(1+Model!F24+$A28)*(Model!F26+B$23)+Valuation!$B$97*(1+Model!E28+$A28)*(1+Model!F28+$A28)*(Model!F30+B$23)+Model!F33+Model!F45)*(1-Model!F75)/Model!F52</f>
        <v/>
      </c>
      <c r="C28" s="27">
        <f>(Valuation!$B$93*(1+Model!E12+$A28)*(1+Model!F12+$A28)*(Model!F14+C$23)+Valuation!$B$94*(1+Model!E16+$A28)*(1+Model!F16+$A28)*(Model!F18+C$23)+Valuation!$B$95*(1+Model!E20+$A28)*(1+Model!F20+$A28)*(Model!F22+C$23)+Valuation!$B$96*(1+Model!E24+$A28)*(1+Model!F24+$A28)*(Model!F26+C$23)+Valuation!$B$97*(1+Model!E28+$A28)*(1+Model!F28+$A28)*(Model!F30+C$23)+Model!F33+Model!F45)*(1-Model!F75)/Model!F52</f>
        <v/>
      </c>
      <c r="D28" s="27">
        <f>(Valuation!$B$93*(1+Model!E12+$A28)*(1+Model!F12+$A28)*(Model!F14+D$23)+Valuation!$B$94*(1+Model!E16+$A28)*(1+Model!F16+$A28)*(Model!F18+D$23)+Valuation!$B$95*(1+Model!E20+$A28)*(1+Model!F20+$A28)*(Model!F22+D$23)+Valuation!$B$96*(1+Model!E24+$A28)*(1+Model!F24+$A28)*(Model!F26+D$23)+Valuation!$B$97*(1+Model!E28+$A28)*(1+Model!F28+$A28)*(Model!F30+D$23)+Model!F33+Model!F45)*(1-Model!F75)/Model!F52</f>
        <v/>
      </c>
      <c r="E28" s="27">
        <f>(Valuation!$B$93*(1+Model!E12+$A28)*(1+Model!F12+$A28)*(Model!F14+E$23)+Valuation!$B$94*(1+Model!E16+$A28)*(1+Model!F16+$A28)*(Model!F18+E$23)+Valuation!$B$95*(1+Model!E20+$A28)*(1+Model!F20+$A28)*(Model!F22+E$23)+Valuation!$B$96*(1+Model!E24+$A28)*(1+Model!F24+$A28)*(Model!F26+E$23)+Valuation!$B$97*(1+Model!E28+$A28)*(1+Model!F28+$A28)*(Model!F30+E$23)+Model!F33+Model!F45)*(1-Model!F75)/Model!F52</f>
        <v/>
      </c>
      <c r="F28" s="27">
        <f>(Valuation!$B$93*(1+Model!E12+$A28)*(1+Model!F12+$A28)*(Model!F14+F$23)+Valuation!$B$94*(1+Model!E16+$A28)*(1+Model!F16+$A28)*(Model!F18+F$23)+Valuation!$B$95*(1+Model!E20+$A28)*(1+Model!F20+$A28)*(Model!F22+F$23)+Valuation!$B$96*(1+Model!E24+$A28)*(1+Model!F24+$A28)*(Model!F26+F$23)+Valuation!$B$97*(1+Model!E28+$A28)*(1+Model!F28+$A28)*(Model!F30+F$23)+Model!F33+Model!F45)*(1-Model!F75)/Model!F52</f>
        <v/>
      </c>
    </row>
    <row r="30">
      <c r="A30" s="2" t="inlineStr">
        <is>
          <t>Net interest and the share count are held at the base case in table 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6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ABT: 12-month distribution (mix of lognormals around each scenario value)</t>
        </is>
      </c>
    </row>
    <row r="3">
      <c r="A3" s="3" t="inlineStr">
        <is>
          <t>Scenario</t>
        </is>
      </c>
      <c r="B3" s="3" t="inlineStr">
        <is>
          <t>Probability</t>
        </is>
      </c>
      <c r="C3" s="3" t="inlineStr">
        <is>
          <t>Value at target date</t>
        </is>
      </c>
      <c r="D3" s="3" t="inlineStr">
        <is>
          <t>Story</t>
        </is>
      </c>
    </row>
    <row r="4">
      <c r="A4" t="inlineStr">
        <is>
          <t>bear</t>
        </is>
      </c>
      <c r="B4" s="12">
        <f>Valuation!B88</f>
        <v/>
      </c>
      <c r="C4" s="4">
        <f>'Calc - bear'!$F$70</f>
        <v/>
      </c>
      <c r="D4">
        <f>Valuation!J88</f>
        <v/>
      </c>
    </row>
    <row r="5">
      <c r="A5" t="inlineStr">
        <is>
          <t>base</t>
        </is>
      </c>
      <c r="B5" s="12">
        <f>Valuation!B89</f>
        <v/>
      </c>
      <c r="C5" s="4">
        <f>'Calc - base'!$F$70</f>
        <v/>
      </c>
      <c r="D5">
        <f>Valuation!J89</f>
        <v/>
      </c>
    </row>
    <row r="6">
      <c r="A6" t="inlineStr">
        <is>
          <t>bull</t>
        </is>
      </c>
      <c r="B6" s="12">
        <f>Valuation!B90</f>
        <v/>
      </c>
      <c r="C6" s="4">
        <f>'Calc - bull'!$F$70</f>
        <v/>
      </c>
      <c r="D6">
        <f>Valuation!J90</f>
        <v/>
      </c>
    </row>
    <row r="8">
      <c r="A8" t="inlineStr">
        <is>
          <t>Probabilities sum to</t>
        </is>
      </c>
      <c r="B8" s="16">
        <f>SUM(B4:B6)</f>
        <v/>
      </c>
    </row>
    <row r="9">
      <c r="A9" t="inlineStr">
        <is>
          <t>Spread within each scenario</t>
        </is>
      </c>
      <c r="B9" s="12">
        <f>Valuation!$B$66</f>
        <v/>
      </c>
    </row>
    <row r="10">
      <c r="A10" t="inlineStr">
        <is>
          <t>Probability-weighted mean</t>
        </is>
      </c>
      <c r="B10" s="9">
        <f>($B$4*$C$4+$B$5*$C$5+$B$6*$C$6)*EXP($B$9^2/2)</f>
        <v/>
      </c>
    </row>
    <row r="12">
      <c r="A12" s="3" t="inlineStr">
        <is>
          <t>Quantile</t>
        </is>
      </c>
      <c r="B12" s="3" t="inlineStr">
        <is>
          <t>Price</t>
        </is>
      </c>
    </row>
    <row r="13">
      <c r="A13" t="inlineStr">
        <is>
          <t>Median (model target)</t>
        </is>
      </c>
      <c r="B13" s="9">
        <f>SQRT(A60*B60)</f>
        <v/>
      </c>
    </row>
    <row r="14">
      <c r="A14" t="inlineStr">
        <is>
          <t>10th percentile</t>
        </is>
      </c>
      <c r="B14" s="9">
        <f>SQRT(D60*E60)</f>
        <v/>
      </c>
    </row>
    <row r="15">
      <c r="A15" t="inlineStr">
        <is>
          <t>25th percentile</t>
        </is>
      </c>
      <c r="B15" s="9">
        <f>SQRT(G60*H60)</f>
        <v/>
      </c>
    </row>
    <row r="16">
      <c r="A16" t="inlineStr">
        <is>
          <t>75th percentile</t>
        </is>
      </c>
      <c r="B16" s="9">
        <f>SQRT(J60*K60)</f>
        <v/>
      </c>
    </row>
    <row r="17">
      <c r="A17" t="inlineStr">
        <is>
          <t>90th percentile</t>
        </is>
      </c>
      <c r="B17" s="9">
        <f>SQRT(M60*N60)</f>
        <v/>
      </c>
    </row>
    <row r="19">
      <c r="A19" s="2" t="inlineStr">
        <is>
          <t>Each quantile solved by bisection (block: low, high, probability above the midpoint)</t>
        </is>
      </c>
    </row>
    <row r="20">
      <c r="A20" s="3" t="inlineStr">
        <is>
          <t>Median (model target): low</t>
        </is>
      </c>
      <c r="B20" s="3" t="inlineStr">
        <is>
          <t>high</t>
        </is>
      </c>
      <c r="C20" s="3" t="inlineStr">
        <is>
          <t>P(above mid)</t>
        </is>
      </c>
      <c r="D20" s="3" t="inlineStr">
        <is>
          <t>10th percentile: low</t>
        </is>
      </c>
      <c r="E20" s="3" t="inlineStr">
        <is>
          <t>high</t>
        </is>
      </c>
      <c r="F20" s="3" t="inlineStr">
        <is>
          <t>P(above mid)</t>
        </is>
      </c>
      <c r="G20" s="3" t="inlineStr">
        <is>
          <t>25th percentile: low</t>
        </is>
      </c>
      <c r="H20" s="3" t="inlineStr">
        <is>
          <t>high</t>
        </is>
      </c>
      <c r="I20" s="3" t="inlineStr">
        <is>
          <t>P(above mid)</t>
        </is>
      </c>
      <c r="J20" s="3" t="inlineStr">
        <is>
          <t>75th percentile: low</t>
        </is>
      </c>
      <c r="K20" s="3" t="inlineStr">
        <is>
          <t>high</t>
        </is>
      </c>
      <c r="L20" s="3" t="inlineStr">
        <is>
          <t>P(above mid)</t>
        </is>
      </c>
      <c r="M20" s="3" t="inlineStr">
        <is>
          <t>90th percentile: low</t>
        </is>
      </c>
      <c r="N20" s="3" t="inlineStr">
        <is>
          <t>high</t>
        </is>
      </c>
      <c r="O20" s="3" t="inlineStr">
        <is>
          <t>P(above mid)</t>
        </is>
      </c>
    </row>
    <row r="21">
      <c r="A21" s="9">
        <f>MIN($C$4,$C$5,$C$6)*0.2</f>
        <v/>
      </c>
      <c r="B21" s="9">
        <f>MAX($C$4,$C$5,$C$6)*4</f>
        <v/>
      </c>
      <c r="C21" s="41">
        <f>SUMPRODUCT($B$4:$B$6,1-NORMSDIST((LN(SQRT(A21*B21))-LN($C$4:$C$6))/$B$9))</f>
        <v/>
      </c>
      <c r="D21" s="9">
        <f>MIN($C$4,$C$5,$C$6)*0.2</f>
        <v/>
      </c>
      <c r="E21" s="9">
        <f>MAX($C$4,$C$5,$C$6)*4</f>
        <v/>
      </c>
      <c r="F21" s="41">
        <f>SUMPRODUCT($B$4:$B$6,1-NORMSDIST((LN(SQRT(D21*E21))-LN($C$4:$C$6))/$B$9))</f>
        <v/>
      </c>
      <c r="G21" s="9">
        <f>MIN($C$4,$C$5,$C$6)*0.2</f>
        <v/>
      </c>
      <c r="H21" s="9">
        <f>MAX($C$4,$C$5,$C$6)*4</f>
        <v/>
      </c>
      <c r="I21" s="41">
        <f>SUMPRODUCT($B$4:$B$6,1-NORMSDIST((LN(SQRT(G21*H21))-LN($C$4:$C$6))/$B$9))</f>
        <v/>
      </c>
      <c r="J21" s="9">
        <f>MIN($C$4,$C$5,$C$6)*0.2</f>
        <v/>
      </c>
      <c r="K21" s="9">
        <f>MAX($C$4,$C$5,$C$6)*4</f>
        <v/>
      </c>
      <c r="L21" s="41">
        <f>SUMPRODUCT($B$4:$B$6,1-NORMSDIST((LN(SQRT(J21*K21))-LN($C$4:$C$6))/$B$9))</f>
        <v/>
      </c>
      <c r="M21" s="9">
        <f>MIN($C$4,$C$5,$C$6)*0.2</f>
        <v/>
      </c>
      <c r="N21" s="9">
        <f>MAX($C$4,$C$5,$C$6)*4</f>
        <v/>
      </c>
      <c r="O21" s="41">
        <f>SUMPRODUCT($B$4:$B$6,1-NORMSDIST((LN(SQRT(M21*N21))-LN($C$4:$C$6))/$B$9))</f>
        <v/>
      </c>
    </row>
    <row r="22">
      <c r="A22" s="9">
        <f>IF(C21&gt;0.5,SQRT(A21*B21),A21)</f>
        <v/>
      </c>
      <c r="B22" s="9">
        <f>IF(C21&gt;0.5,B21,SQRT(A21*B21))</f>
        <v/>
      </c>
      <c r="C22" s="41">
        <f>SUMPRODUCT($B$4:$B$6,1-NORMSDIST((LN(SQRT(A22*B22))-LN($C$4:$C$6))/$B$9))</f>
        <v/>
      </c>
      <c r="D22" s="9">
        <f>IF(F21&gt;0.9,SQRT(D21*E21),D21)</f>
        <v/>
      </c>
      <c r="E22" s="9">
        <f>IF(F21&gt;0.9,E21,SQRT(D21*E21))</f>
        <v/>
      </c>
      <c r="F22" s="41">
        <f>SUMPRODUCT($B$4:$B$6,1-NORMSDIST((LN(SQRT(D22*E22))-LN($C$4:$C$6))/$B$9))</f>
        <v/>
      </c>
      <c r="G22" s="9">
        <f>IF(I21&gt;0.75,SQRT(G21*H21),G21)</f>
        <v/>
      </c>
      <c r="H22" s="9">
        <f>IF(I21&gt;0.75,H21,SQRT(G21*H21))</f>
        <v/>
      </c>
      <c r="I22" s="41">
        <f>SUMPRODUCT($B$4:$B$6,1-NORMSDIST((LN(SQRT(G22*H22))-LN($C$4:$C$6))/$B$9))</f>
        <v/>
      </c>
      <c r="J22" s="9">
        <f>IF(L21&gt;0.25,SQRT(J21*K21),J21)</f>
        <v/>
      </c>
      <c r="K22" s="9">
        <f>IF(L21&gt;0.25,K21,SQRT(J21*K21))</f>
        <v/>
      </c>
      <c r="L22" s="41">
        <f>SUMPRODUCT($B$4:$B$6,1-NORMSDIST((LN(SQRT(J22*K22))-LN($C$4:$C$6))/$B$9))</f>
        <v/>
      </c>
      <c r="M22" s="9">
        <f>IF(O21&gt;0.09999999999999998,SQRT(M21*N21),M21)</f>
        <v/>
      </c>
      <c r="N22" s="9">
        <f>IF(O21&gt;0.09999999999999998,N21,SQRT(M21*N21))</f>
        <v/>
      </c>
      <c r="O22" s="41">
        <f>SUMPRODUCT($B$4:$B$6,1-NORMSDIST((LN(SQRT(M22*N22))-LN($C$4:$C$6))/$B$9))</f>
        <v/>
      </c>
    </row>
    <row r="23">
      <c r="A23" s="9">
        <f>IF(C22&gt;0.5,SQRT(A22*B22),A22)</f>
        <v/>
      </c>
      <c r="B23" s="9">
        <f>IF(C22&gt;0.5,B22,SQRT(A22*B22))</f>
        <v/>
      </c>
      <c r="C23" s="41">
        <f>SUMPRODUCT($B$4:$B$6,1-NORMSDIST((LN(SQRT(A23*B23))-LN($C$4:$C$6))/$B$9))</f>
        <v/>
      </c>
      <c r="D23" s="9">
        <f>IF(F22&gt;0.9,SQRT(D22*E22),D22)</f>
        <v/>
      </c>
      <c r="E23" s="9">
        <f>IF(F22&gt;0.9,E22,SQRT(D22*E22))</f>
        <v/>
      </c>
      <c r="F23" s="41">
        <f>SUMPRODUCT($B$4:$B$6,1-NORMSDIST((LN(SQRT(D23*E23))-LN($C$4:$C$6))/$B$9))</f>
        <v/>
      </c>
      <c r="G23" s="9">
        <f>IF(I22&gt;0.75,SQRT(G22*H22),G22)</f>
        <v/>
      </c>
      <c r="H23" s="9">
        <f>IF(I22&gt;0.75,H22,SQRT(G22*H22))</f>
        <v/>
      </c>
      <c r="I23" s="41">
        <f>SUMPRODUCT($B$4:$B$6,1-NORMSDIST((LN(SQRT(G23*H23))-LN($C$4:$C$6))/$B$9))</f>
        <v/>
      </c>
      <c r="J23" s="9">
        <f>IF(L22&gt;0.25,SQRT(J22*K22),J22)</f>
        <v/>
      </c>
      <c r="K23" s="9">
        <f>IF(L22&gt;0.25,K22,SQRT(J22*K22))</f>
        <v/>
      </c>
      <c r="L23" s="41">
        <f>SUMPRODUCT($B$4:$B$6,1-NORMSDIST((LN(SQRT(J23*K23))-LN($C$4:$C$6))/$B$9))</f>
        <v/>
      </c>
      <c r="M23" s="9">
        <f>IF(O22&gt;0.09999999999999998,SQRT(M22*N22),M22)</f>
        <v/>
      </c>
      <c r="N23" s="9">
        <f>IF(O22&gt;0.09999999999999998,N22,SQRT(M22*N22))</f>
        <v/>
      </c>
      <c r="O23" s="41">
        <f>SUMPRODUCT($B$4:$B$6,1-NORMSDIST((LN(SQRT(M23*N23))-LN($C$4:$C$6))/$B$9))</f>
        <v/>
      </c>
    </row>
    <row r="24">
      <c r="A24" s="9">
        <f>IF(C23&gt;0.5,SQRT(A23*B23),A23)</f>
        <v/>
      </c>
      <c r="B24" s="9">
        <f>IF(C23&gt;0.5,B23,SQRT(A23*B23))</f>
        <v/>
      </c>
      <c r="C24" s="41">
        <f>SUMPRODUCT($B$4:$B$6,1-NORMSDIST((LN(SQRT(A24*B24))-LN($C$4:$C$6))/$B$9))</f>
        <v/>
      </c>
      <c r="D24" s="9">
        <f>IF(F23&gt;0.9,SQRT(D23*E23),D23)</f>
        <v/>
      </c>
      <c r="E24" s="9">
        <f>IF(F23&gt;0.9,E23,SQRT(D23*E23))</f>
        <v/>
      </c>
      <c r="F24" s="41">
        <f>SUMPRODUCT($B$4:$B$6,1-NORMSDIST((LN(SQRT(D24*E24))-LN($C$4:$C$6))/$B$9))</f>
        <v/>
      </c>
      <c r="G24" s="9">
        <f>IF(I23&gt;0.75,SQRT(G23*H23),G23)</f>
        <v/>
      </c>
      <c r="H24" s="9">
        <f>IF(I23&gt;0.75,H23,SQRT(G23*H23))</f>
        <v/>
      </c>
      <c r="I24" s="41">
        <f>SUMPRODUCT($B$4:$B$6,1-NORMSDIST((LN(SQRT(G24*H24))-LN($C$4:$C$6))/$B$9))</f>
        <v/>
      </c>
      <c r="J24" s="9">
        <f>IF(L23&gt;0.25,SQRT(J23*K23),J23)</f>
        <v/>
      </c>
      <c r="K24" s="9">
        <f>IF(L23&gt;0.25,K23,SQRT(J23*K23))</f>
        <v/>
      </c>
      <c r="L24" s="41">
        <f>SUMPRODUCT($B$4:$B$6,1-NORMSDIST((LN(SQRT(J24*K24))-LN($C$4:$C$6))/$B$9))</f>
        <v/>
      </c>
      <c r="M24" s="9">
        <f>IF(O23&gt;0.09999999999999998,SQRT(M23*N23),M23)</f>
        <v/>
      </c>
      <c r="N24" s="9">
        <f>IF(O23&gt;0.09999999999999998,N23,SQRT(M23*N23))</f>
        <v/>
      </c>
      <c r="O24" s="41">
        <f>SUMPRODUCT($B$4:$B$6,1-NORMSDIST((LN(SQRT(M24*N24))-LN($C$4:$C$6))/$B$9))</f>
        <v/>
      </c>
    </row>
    <row r="25">
      <c r="A25" s="9">
        <f>IF(C24&gt;0.5,SQRT(A24*B24),A24)</f>
        <v/>
      </c>
      <c r="B25" s="9">
        <f>IF(C24&gt;0.5,B24,SQRT(A24*B24))</f>
        <v/>
      </c>
      <c r="C25" s="41">
        <f>SUMPRODUCT($B$4:$B$6,1-NORMSDIST((LN(SQRT(A25*B25))-LN($C$4:$C$6))/$B$9))</f>
        <v/>
      </c>
      <c r="D25" s="9">
        <f>IF(F24&gt;0.9,SQRT(D24*E24),D24)</f>
        <v/>
      </c>
      <c r="E25" s="9">
        <f>IF(F24&gt;0.9,E24,SQRT(D24*E24))</f>
        <v/>
      </c>
      <c r="F25" s="41">
        <f>SUMPRODUCT($B$4:$B$6,1-NORMSDIST((LN(SQRT(D25*E25))-LN($C$4:$C$6))/$B$9))</f>
        <v/>
      </c>
      <c r="G25" s="9">
        <f>IF(I24&gt;0.75,SQRT(G24*H24),G24)</f>
        <v/>
      </c>
      <c r="H25" s="9">
        <f>IF(I24&gt;0.75,H24,SQRT(G24*H24))</f>
        <v/>
      </c>
      <c r="I25" s="41">
        <f>SUMPRODUCT($B$4:$B$6,1-NORMSDIST((LN(SQRT(G25*H25))-LN($C$4:$C$6))/$B$9))</f>
        <v/>
      </c>
      <c r="J25" s="9">
        <f>IF(L24&gt;0.25,SQRT(J24*K24),J24)</f>
        <v/>
      </c>
      <c r="K25" s="9">
        <f>IF(L24&gt;0.25,K24,SQRT(J24*K24))</f>
        <v/>
      </c>
      <c r="L25" s="41">
        <f>SUMPRODUCT($B$4:$B$6,1-NORMSDIST((LN(SQRT(J25*K25))-LN($C$4:$C$6))/$B$9))</f>
        <v/>
      </c>
      <c r="M25" s="9">
        <f>IF(O24&gt;0.09999999999999998,SQRT(M24*N24),M24)</f>
        <v/>
      </c>
      <c r="N25" s="9">
        <f>IF(O24&gt;0.09999999999999998,N24,SQRT(M24*N24))</f>
        <v/>
      </c>
      <c r="O25" s="41">
        <f>SUMPRODUCT($B$4:$B$6,1-NORMSDIST((LN(SQRT(M25*N25))-LN($C$4:$C$6))/$B$9))</f>
        <v/>
      </c>
    </row>
    <row r="26">
      <c r="A26" s="9">
        <f>IF(C25&gt;0.5,SQRT(A25*B25),A25)</f>
        <v/>
      </c>
      <c r="B26" s="9">
        <f>IF(C25&gt;0.5,B25,SQRT(A25*B25))</f>
        <v/>
      </c>
      <c r="C26" s="41">
        <f>SUMPRODUCT($B$4:$B$6,1-NORMSDIST((LN(SQRT(A26*B26))-LN($C$4:$C$6))/$B$9))</f>
        <v/>
      </c>
      <c r="D26" s="9">
        <f>IF(F25&gt;0.9,SQRT(D25*E25),D25)</f>
        <v/>
      </c>
      <c r="E26" s="9">
        <f>IF(F25&gt;0.9,E25,SQRT(D25*E25))</f>
        <v/>
      </c>
      <c r="F26" s="41">
        <f>SUMPRODUCT($B$4:$B$6,1-NORMSDIST((LN(SQRT(D26*E26))-LN($C$4:$C$6))/$B$9))</f>
        <v/>
      </c>
      <c r="G26" s="9">
        <f>IF(I25&gt;0.75,SQRT(G25*H25),G25)</f>
        <v/>
      </c>
      <c r="H26" s="9">
        <f>IF(I25&gt;0.75,H25,SQRT(G25*H25))</f>
        <v/>
      </c>
      <c r="I26" s="41">
        <f>SUMPRODUCT($B$4:$B$6,1-NORMSDIST((LN(SQRT(G26*H26))-LN($C$4:$C$6))/$B$9))</f>
        <v/>
      </c>
      <c r="J26" s="9">
        <f>IF(L25&gt;0.25,SQRT(J25*K25),J25)</f>
        <v/>
      </c>
      <c r="K26" s="9">
        <f>IF(L25&gt;0.25,K25,SQRT(J25*K25))</f>
        <v/>
      </c>
      <c r="L26" s="41">
        <f>SUMPRODUCT($B$4:$B$6,1-NORMSDIST((LN(SQRT(J26*K26))-LN($C$4:$C$6))/$B$9))</f>
        <v/>
      </c>
      <c r="M26" s="9">
        <f>IF(O25&gt;0.09999999999999998,SQRT(M25*N25),M25)</f>
        <v/>
      </c>
      <c r="N26" s="9">
        <f>IF(O25&gt;0.09999999999999998,N25,SQRT(M25*N25))</f>
        <v/>
      </c>
      <c r="O26" s="41">
        <f>SUMPRODUCT($B$4:$B$6,1-NORMSDIST((LN(SQRT(M26*N26))-LN($C$4:$C$6))/$B$9))</f>
        <v/>
      </c>
    </row>
    <row r="27">
      <c r="A27" s="9">
        <f>IF(C26&gt;0.5,SQRT(A26*B26),A26)</f>
        <v/>
      </c>
      <c r="B27" s="9">
        <f>IF(C26&gt;0.5,B26,SQRT(A26*B26))</f>
        <v/>
      </c>
      <c r="C27" s="41">
        <f>SUMPRODUCT($B$4:$B$6,1-NORMSDIST((LN(SQRT(A27*B27))-LN($C$4:$C$6))/$B$9))</f>
        <v/>
      </c>
      <c r="D27" s="9">
        <f>IF(F26&gt;0.9,SQRT(D26*E26),D26)</f>
        <v/>
      </c>
      <c r="E27" s="9">
        <f>IF(F26&gt;0.9,E26,SQRT(D26*E26))</f>
        <v/>
      </c>
      <c r="F27" s="41">
        <f>SUMPRODUCT($B$4:$B$6,1-NORMSDIST((LN(SQRT(D27*E27))-LN($C$4:$C$6))/$B$9))</f>
        <v/>
      </c>
      <c r="G27" s="9">
        <f>IF(I26&gt;0.75,SQRT(G26*H26),G26)</f>
        <v/>
      </c>
      <c r="H27" s="9">
        <f>IF(I26&gt;0.75,H26,SQRT(G26*H26))</f>
        <v/>
      </c>
      <c r="I27" s="41">
        <f>SUMPRODUCT($B$4:$B$6,1-NORMSDIST((LN(SQRT(G27*H27))-LN($C$4:$C$6))/$B$9))</f>
        <v/>
      </c>
      <c r="J27" s="9">
        <f>IF(L26&gt;0.25,SQRT(J26*K26),J26)</f>
        <v/>
      </c>
      <c r="K27" s="9">
        <f>IF(L26&gt;0.25,K26,SQRT(J26*K26))</f>
        <v/>
      </c>
      <c r="L27" s="41">
        <f>SUMPRODUCT($B$4:$B$6,1-NORMSDIST((LN(SQRT(J27*K27))-LN($C$4:$C$6))/$B$9))</f>
        <v/>
      </c>
      <c r="M27" s="9">
        <f>IF(O26&gt;0.09999999999999998,SQRT(M26*N26),M26)</f>
        <v/>
      </c>
      <c r="N27" s="9">
        <f>IF(O26&gt;0.09999999999999998,N26,SQRT(M26*N26))</f>
        <v/>
      </c>
      <c r="O27" s="41">
        <f>SUMPRODUCT($B$4:$B$6,1-NORMSDIST((LN(SQRT(M27*N27))-LN($C$4:$C$6))/$B$9))</f>
        <v/>
      </c>
    </row>
    <row r="28">
      <c r="A28" s="9">
        <f>IF(C27&gt;0.5,SQRT(A27*B27),A27)</f>
        <v/>
      </c>
      <c r="B28" s="9">
        <f>IF(C27&gt;0.5,B27,SQRT(A27*B27))</f>
        <v/>
      </c>
      <c r="C28" s="41">
        <f>SUMPRODUCT($B$4:$B$6,1-NORMSDIST((LN(SQRT(A28*B28))-LN($C$4:$C$6))/$B$9))</f>
        <v/>
      </c>
      <c r="D28" s="9">
        <f>IF(F27&gt;0.9,SQRT(D27*E27),D27)</f>
        <v/>
      </c>
      <c r="E28" s="9">
        <f>IF(F27&gt;0.9,E27,SQRT(D27*E27))</f>
        <v/>
      </c>
      <c r="F28" s="41">
        <f>SUMPRODUCT($B$4:$B$6,1-NORMSDIST((LN(SQRT(D28*E28))-LN($C$4:$C$6))/$B$9))</f>
        <v/>
      </c>
      <c r="G28" s="9">
        <f>IF(I27&gt;0.75,SQRT(G27*H27),G27)</f>
        <v/>
      </c>
      <c r="H28" s="9">
        <f>IF(I27&gt;0.75,H27,SQRT(G27*H27))</f>
        <v/>
      </c>
      <c r="I28" s="41">
        <f>SUMPRODUCT($B$4:$B$6,1-NORMSDIST((LN(SQRT(G28*H28))-LN($C$4:$C$6))/$B$9))</f>
        <v/>
      </c>
      <c r="J28" s="9">
        <f>IF(L27&gt;0.25,SQRT(J27*K27),J27)</f>
        <v/>
      </c>
      <c r="K28" s="9">
        <f>IF(L27&gt;0.25,K27,SQRT(J27*K27))</f>
        <v/>
      </c>
      <c r="L28" s="41">
        <f>SUMPRODUCT($B$4:$B$6,1-NORMSDIST((LN(SQRT(J28*K28))-LN($C$4:$C$6))/$B$9))</f>
        <v/>
      </c>
      <c r="M28" s="9">
        <f>IF(O27&gt;0.09999999999999998,SQRT(M27*N27),M27)</f>
        <v/>
      </c>
      <c r="N28" s="9">
        <f>IF(O27&gt;0.09999999999999998,N27,SQRT(M27*N27))</f>
        <v/>
      </c>
      <c r="O28" s="41">
        <f>SUMPRODUCT($B$4:$B$6,1-NORMSDIST((LN(SQRT(M28*N28))-LN($C$4:$C$6))/$B$9))</f>
        <v/>
      </c>
    </row>
    <row r="29">
      <c r="A29" s="9">
        <f>IF(C28&gt;0.5,SQRT(A28*B28),A28)</f>
        <v/>
      </c>
      <c r="B29" s="9">
        <f>IF(C28&gt;0.5,B28,SQRT(A28*B28))</f>
        <v/>
      </c>
      <c r="C29" s="41">
        <f>SUMPRODUCT($B$4:$B$6,1-NORMSDIST((LN(SQRT(A29*B29))-LN($C$4:$C$6))/$B$9))</f>
        <v/>
      </c>
      <c r="D29" s="9">
        <f>IF(F28&gt;0.9,SQRT(D28*E28),D28)</f>
        <v/>
      </c>
      <c r="E29" s="9">
        <f>IF(F28&gt;0.9,E28,SQRT(D28*E28))</f>
        <v/>
      </c>
      <c r="F29" s="41">
        <f>SUMPRODUCT($B$4:$B$6,1-NORMSDIST((LN(SQRT(D29*E29))-LN($C$4:$C$6))/$B$9))</f>
        <v/>
      </c>
      <c r="G29" s="9">
        <f>IF(I28&gt;0.75,SQRT(G28*H28),G28)</f>
        <v/>
      </c>
      <c r="H29" s="9">
        <f>IF(I28&gt;0.75,H28,SQRT(G28*H28))</f>
        <v/>
      </c>
      <c r="I29" s="41">
        <f>SUMPRODUCT($B$4:$B$6,1-NORMSDIST((LN(SQRT(G29*H29))-LN($C$4:$C$6))/$B$9))</f>
        <v/>
      </c>
      <c r="J29" s="9">
        <f>IF(L28&gt;0.25,SQRT(J28*K28),J28)</f>
        <v/>
      </c>
      <c r="K29" s="9">
        <f>IF(L28&gt;0.25,K28,SQRT(J28*K28))</f>
        <v/>
      </c>
      <c r="L29" s="41">
        <f>SUMPRODUCT($B$4:$B$6,1-NORMSDIST((LN(SQRT(J29*K29))-LN($C$4:$C$6))/$B$9))</f>
        <v/>
      </c>
      <c r="M29" s="9">
        <f>IF(O28&gt;0.09999999999999998,SQRT(M28*N28),M28)</f>
        <v/>
      </c>
      <c r="N29" s="9">
        <f>IF(O28&gt;0.09999999999999998,N28,SQRT(M28*N28))</f>
        <v/>
      </c>
      <c r="O29" s="41">
        <f>SUMPRODUCT($B$4:$B$6,1-NORMSDIST((LN(SQRT(M29*N29))-LN($C$4:$C$6))/$B$9))</f>
        <v/>
      </c>
    </row>
    <row r="30">
      <c r="A30" s="9">
        <f>IF(C29&gt;0.5,SQRT(A29*B29),A29)</f>
        <v/>
      </c>
      <c r="B30" s="9">
        <f>IF(C29&gt;0.5,B29,SQRT(A29*B29))</f>
        <v/>
      </c>
      <c r="C30" s="41">
        <f>SUMPRODUCT($B$4:$B$6,1-NORMSDIST((LN(SQRT(A30*B30))-LN($C$4:$C$6))/$B$9))</f>
        <v/>
      </c>
      <c r="D30" s="9">
        <f>IF(F29&gt;0.9,SQRT(D29*E29),D29)</f>
        <v/>
      </c>
      <c r="E30" s="9">
        <f>IF(F29&gt;0.9,E29,SQRT(D29*E29))</f>
        <v/>
      </c>
      <c r="F30" s="41">
        <f>SUMPRODUCT($B$4:$B$6,1-NORMSDIST((LN(SQRT(D30*E30))-LN($C$4:$C$6))/$B$9))</f>
        <v/>
      </c>
      <c r="G30" s="9">
        <f>IF(I29&gt;0.75,SQRT(G29*H29),G29)</f>
        <v/>
      </c>
      <c r="H30" s="9">
        <f>IF(I29&gt;0.75,H29,SQRT(G29*H29))</f>
        <v/>
      </c>
      <c r="I30" s="41">
        <f>SUMPRODUCT($B$4:$B$6,1-NORMSDIST((LN(SQRT(G30*H30))-LN($C$4:$C$6))/$B$9))</f>
        <v/>
      </c>
      <c r="J30" s="9">
        <f>IF(L29&gt;0.25,SQRT(J29*K29),J29)</f>
        <v/>
      </c>
      <c r="K30" s="9">
        <f>IF(L29&gt;0.25,K29,SQRT(J29*K29))</f>
        <v/>
      </c>
      <c r="L30" s="41">
        <f>SUMPRODUCT($B$4:$B$6,1-NORMSDIST((LN(SQRT(J30*K30))-LN($C$4:$C$6))/$B$9))</f>
        <v/>
      </c>
      <c r="M30" s="9">
        <f>IF(O29&gt;0.09999999999999998,SQRT(M29*N29),M29)</f>
        <v/>
      </c>
      <c r="N30" s="9">
        <f>IF(O29&gt;0.09999999999999998,N29,SQRT(M29*N29))</f>
        <v/>
      </c>
      <c r="O30" s="41">
        <f>SUMPRODUCT($B$4:$B$6,1-NORMSDIST((LN(SQRT(M30*N30))-LN($C$4:$C$6))/$B$9))</f>
        <v/>
      </c>
    </row>
    <row r="31">
      <c r="A31" s="9">
        <f>IF(C30&gt;0.5,SQRT(A30*B30),A30)</f>
        <v/>
      </c>
      <c r="B31" s="9">
        <f>IF(C30&gt;0.5,B30,SQRT(A30*B30))</f>
        <v/>
      </c>
      <c r="C31" s="41">
        <f>SUMPRODUCT($B$4:$B$6,1-NORMSDIST((LN(SQRT(A31*B31))-LN($C$4:$C$6))/$B$9))</f>
        <v/>
      </c>
      <c r="D31" s="9">
        <f>IF(F30&gt;0.9,SQRT(D30*E30),D30)</f>
        <v/>
      </c>
      <c r="E31" s="9">
        <f>IF(F30&gt;0.9,E30,SQRT(D30*E30))</f>
        <v/>
      </c>
      <c r="F31" s="41">
        <f>SUMPRODUCT($B$4:$B$6,1-NORMSDIST((LN(SQRT(D31*E31))-LN($C$4:$C$6))/$B$9))</f>
        <v/>
      </c>
      <c r="G31" s="9">
        <f>IF(I30&gt;0.75,SQRT(G30*H30),G30)</f>
        <v/>
      </c>
      <c r="H31" s="9">
        <f>IF(I30&gt;0.75,H30,SQRT(G30*H30))</f>
        <v/>
      </c>
      <c r="I31" s="41">
        <f>SUMPRODUCT($B$4:$B$6,1-NORMSDIST((LN(SQRT(G31*H31))-LN($C$4:$C$6))/$B$9))</f>
        <v/>
      </c>
      <c r="J31" s="9">
        <f>IF(L30&gt;0.25,SQRT(J30*K30),J30)</f>
        <v/>
      </c>
      <c r="K31" s="9">
        <f>IF(L30&gt;0.25,K30,SQRT(J30*K30))</f>
        <v/>
      </c>
      <c r="L31" s="41">
        <f>SUMPRODUCT($B$4:$B$6,1-NORMSDIST((LN(SQRT(J31*K31))-LN($C$4:$C$6))/$B$9))</f>
        <v/>
      </c>
      <c r="M31" s="9">
        <f>IF(O30&gt;0.09999999999999998,SQRT(M30*N30),M30)</f>
        <v/>
      </c>
      <c r="N31" s="9">
        <f>IF(O30&gt;0.09999999999999998,N30,SQRT(M30*N30))</f>
        <v/>
      </c>
      <c r="O31" s="41">
        <f>SUMPRODUCT($B$4:$B$6,1-NORMSDIST((LN(SQRT(M31*N31))-LN($C$4:$C$6))/$B$9))</f>
        <v/>
      </c>
    </row>
    <row r="32">
      <c r="A32" s="9">
        <f>IF(C31&gt;0.5,SQRT(A31*B31),A31)</f>
        <v/>
      </c>
      <c r="B32" s="9">
        <f>IF(C31&gt;0.5,B31,SQRT(A31*B31))</f>
        <v/>
      </c>
      <c r="C32" s="41">
        <f>SUMPRODUCT($B$4:$B$6,1-NORMSDIST((LN(SQRT(A32*B32))-LN($C$4:$C$6))/$B$9))</f>
        <v/>
      </c>
      <c r="D32" s="9">
        <f>IF(F31&gt;0.9,SQRT(D31*E31),D31)</f>
        <v/>
      </c>
      <c r="E32" s="9">
        <f>IF(F31&gt;0.9,E31,SQRT(D31*E31))</f>
        <v/>
      </c>
      <c r="F32" s="41">
        <f>SUMPRODUCT($B$4:$B$6,1-NORMSDIST((LN(SQRT(D32*E32))-LN($C$4:$C$6))/$B$9))</f>
        <v/>
      </c>
      <c r="G32" s="9">
        <f>IF(I31&gt;0.75,SQRT(G31*H31),G31)</f>
        <v/>
      </c>
      <c r="H32" s="9">
        <f>IF(I31&gt;0.75,H31,SQRT(G31*H31))</f>
        <v/>
      </c>
      <c r="I32" s="41">
        <f>SUMPRODUCT($B$4:$B$6,1-NORMSDIST((LN(SQRT(G32*H32))-LN($C$4:$C$6))/$B$9))</f>
        <v/>
      </c>
      <c r="J32" s="9">
        <f>IF(L31&gt;0.25,SQRT(J31*K31),J31)</f>
        <v/>
      </c>
      <c r="K32" s="9">
        <f>IF(L31&gt;0.25,K31,SQRT(J31*K31))</f>
        <v/>
      </c>
      <c r="L32" s="41">
        <f>SUMPRODUCT($B$4:$B$6,1-NORMSDIST((LN(SQRT(J32*K32))-LN($C$4:$C$6))/$B$9))</f>
        <v/>
      </c>
      <c r="M32" s="9">
        <f>IF(O31&gt;0.09999999999999998,SQRT(M31*N31),M31)</f>
        <v/>
      </c>
      <c r="N32" s="9">
        <f>IF(O31&gt;0.09999999999999998,N31,SQRT(M31*N31))</f>
        <v/>
      </c>
      <c r="O32" s="41">
        <f>SUMPRODUCT($B$4:$B$6,1-NORMSDIST((LN(SQRT(M32*N32))-LN($C$4:$C$6))/$B$9))</f>
        <v/>
      </c>
    </row>
    <row r="33">
      <c r="A33" s="9">
        <f>IF(C32&gt;0.5,SQRT(A32*B32),A32)</f>
        <v/>
      </c>
      <c r="B33" s="9">
        <f>IF(C32&gt;0.5,B32,SQRT(A32*B32))</f>
        <v/>
      </c>
      <c r="C33" s="41">
        <f>SUMPRODUCT($B$4:$B$6,1-NORMSDIST((LN(SQRT(A33*B33))-LN($C$4:$C$6))/$B$9))</f>
        <v/>
      </c>
      <c r="D33" s="9">
        <f>IF(F32&gt;0.9,SQRT(D32*E32),D32)</f>
        <v/>
      </c>
      <c r="E33" s="9">
        <f>IF(F32&gt;0.9,E32,SQRT(D32*E32))</f>
        <v/>
      </c>
      <c r="F33" s="41">
        <f>SUMPRODUCT($B$4:$B$6,1-NORMSDIST((LN(SQRT(D33*E33))-LN($C$4:$C$6))/$B$9))</f>
        <v/>
      </c>
      <c r="G33" s="9">
        <f>IF(I32&gt;0.75,SQRT(G32*H32),G32)</f>
        <v/>
      </c>
      <c r="H33" s="9">
        <f>IF(I32&gt;0.75,H32,SQRT(G32*H32))</f>
        <v/>
      </c>
      <c r="I33" s="41">
        <f>SUMPRODUCT($B$4:$B$6,1-NORMSDIST((LN(SQRT(G33*H33))-LN($C$4:$C$6))/$B$9))</f>
        <v/>
      </c>
      <c r="J33" s="9">
        <f>IF(L32&gt;0.25,SQRT(J32*K32),J32)</f>
        <v/>
      </c>
      <c r="K33" s="9">
        <f>IF(L32&gt;0.25,K32,SQRT(J32*K32))</f>
        <v/>
      </c>
      <c r="L33" s="41">
        <f>SUMPRODUCT($B$4:$B$6,1-NORMSDIST((LN(SQRT(J33*K33))-LN($C$4:$C$6))/$B$9))</f>
        <v/>
      </c>
      <c r="M33" s="9">
        <f>IF(O32&gt;0.09999999999999998,SQRT(M32*N32),M32)</f>
        <v/>
      </c>
      <c r="N33" s="9">
        <f>IF(O32&gt;0.09999999999999998,N32,SQRT(M32*N32))</f>
        <v/>
      </c>
      <c r="O33" s="41">
        <f>SUMPRODUCT($B$4:$B$6,1-NORMSDIST((LN(SQRT(M33*N33))-LN($C$4:$C$6))/$B$9))</f>
        <v/>
      </c>
    </row>
    <row r="34">
      <c r="A34" s="9">
        <f>IF(C33&gt;0.5,SQRT(A33*B33),A33)</f>
        <v/>
      </c>
      <c r="B34" s="9">
        <f>IF(C33&gt;0.5,B33,SQRT(A33*B33))</f>
        <v/>
      </c>
      <c r="C34" s="41">
        <f>SUMPRODUCT($B$4:$B$6,1-NORMSDIST((LN(SQRT(A34*B34))-LN($C$4:$C$6))/$B$9))</f>
        <v/>
      </c>
      <c r="D34" s="9">
        <f>IF(F33&gt;0.9,SQRT(D33*E33),D33)</f>
        <v/>
      </c>
      <c r="E34" s="9">
        <f>IF(F33&gt;0.9,E33,SQRT(D33*E33))</f>
        <v/>
      </c>
      <c r="F34" s="41">
        <f>SUMPRODUCT($B$4:$B$6,1-NORMSDIST((LN(SQRT(D34*E34))-LN($C$4:$C$6))/$B$9))</f>
        <v/>
      </c>
      <c r="G34" s="9">
        <f>IF(I33&gt;0.75,SQRT(G33*H33),G33)</f>
        <v/>
      </c>
      <c r="H34" s="9">
        <f>IF(I33&gt;0.75,H33,SQRT(G33*H33))</f>
        <v/>
      </c>
      <c r="I34" s="41">
        <f>SUMPRODUCT($B$4:$B$6,1-NORMSDIST((LN(SQRT(G34*H34))-LN($C$4:$C$6))/$B$9))</f>
        <v/>
      </c>
      <c r="J34" s="9">
        <f>IF(L33&gt;0.25,SQRT(J33*K33),J33)</f>
        <v/>
      </c>
      <c r="K34" s="9">
        <f>IF(L33&gt;0.25,K33,SQRT(J33*K33))</f>
        <v/>
      </c>
      <c r="L34" s="41">
        <f>SUMPRODUCT($B$4:$B$6,1-NORMSDIST((LN(SQRT(J34*K34))-LN($C$4:$C$6))/$B$9))</f>
        <v/>
      </c>
      <c r="M34" s="9">
        <f>IF(O33&gt;0.09999999999999998,SQRT(M33*N33),M33)</f>
        <v/>
      </c>
      <c r="N34" s="9">
        <f>IF(O33&gt;0.09999999999999998,N33,SQRT(M33*N33))</f>
        <v/>
      </c>
      <c r="O34" s="41">
        <f>SUMPRODUCT($B$4:$B$6,1-NORMSDIST((LN(SQRT(M34*N34))-LN($C$4:$C$6))/$B$9))</f>
        <v/>
      </c>
    </row>
    <row r="35">
      <c r="A35" s="9">
        <f>IF(C34&gt;0.5,SQRT(A34*B34),A34)</f>
        <v/>
      </c>
      <c r="B35" s="9">
        <f>IF(C34&gt;0.5,B34,SQRT(A34*B34))</f>
        <v/>
      </c>
      <c r="C35" s="41">
        <f>SUMPRODUCT($B$4:$B$6,1-NORMSDIST((LN(SQRT(A35*B35))-LN($C$4:$C$6))/$B$9))</f>
        <v/>
      </c>
      <c r="D35" s="9">
        <f>IF(F34&gt;0.9,SQRT(D34*E34),D34)</f>
        <v/>
      </c>
      <c r="E35" s="9">
        <f>IF(F34&gt;0.9,E34,SQRT(D34*E34))</f>
        <v/>
      </c>
      <c r="F35" s="41">
        <f>SUMPRODUCT($B$4:$B$6,1-NORMSDIST((LN(SQRT(D35*E35))-LN($C$4:$C$6))/$B$9))</f>
        <v/>
      </c>
      <c r="G35" s="9">
        <f>IF(I34&gt;0.75,SQRT(G34*H34),G34)</f>
        <v/>
      </c>
      <c r="H35" s="9">
        <f>IF(I34&gt;0.75,H34,SQRT(G34*H34))</f>
        <v/>
      </c>
      <c r="I35" s="41">
        <f>SUMPRODUCT($B$4:$B$6,1-NORMSDIST((LN(SQRT(G35*H35))-LN($C$4:$C$6))/$B$9))</f>
        <v/>
      </c>
      <c r="J35" s="9">
        <f>IF(L34&gt;0.25,SQRT(J34*K34),J34)</f>
        <v/>
      </c>
      <c r="K35" s="9">
        <f>IF(L34&gt;0.25,K34,SQRT(J34*K34))</f>
        <v/>
      </c>
      <c r="L35" s="41">
        <f>SUMPRODUCT($B$4:$B$6,1-NORMSDIST((LN(SQRT(J35*K35))-LN($C$4:$C$6))/$B$9))</f>
        <v/>
      </c>
      <c r="M35" s="9">
        <f>IF(O34&gt;0.09999999999999998,SQRT(M34*N34),M34)</f>
        <v/>
      </c>
      <c r="N35" s="9">
        <f>IF(O34&gt;0.09999999999999998,N34,SQRT(M34*N34))</f>
        <v/>
      </c>
      <c r="O35" s="41">
        <f>SUMPRODUCT($B$4:$B$6,1-NORMSDIST((LN(SQRT(M35*N35))-LN($C$4:$C$6))/$B$9))</f>
        <v/>
      </c>
    </row>
    <row r="36">
      <c r="A36" s="9">
        <f>IF(C35&gt;0.5,SQRT(A35*B35),A35)</f>
        <v/>
      </c>
      <c r="B36" s="9">
        <f>IF(C35&gt;0.5,B35,SQRT(A35*B35))</f>
        <v/>
      </c>
      <c r="C36" s="41">
        <f>SUMPRODUCT($B$4:$B$6,1-NORMSDIST((LN(SQRT(A36*B36))-LN($C$4:$C$6))/$B$9))</f>
        <v/>
      </c>
      <c r="D36" s="9">
        <f>IF(F35&gt;0.9,SQRT(D35*E35),D35)</f>
        <v/>
      </c>
      <c r="E36" s="9">
        <f>IF(F35&gt;0.9,E35,SQRT(D35*E35))</f>
        <v/>
      </c>
      <c r="F36" s="41">
        <f>SUMPRODUCT($B$4:$B$6,1-NORMSDIST((LN(SQRT(D36*E36))-LN($C$4:$C$6))/$B$9))</f>
        <v/>
      </c>
      <c r="G36" s="9">
        <f>IF(I35&gt;0.75,SQRT(G35*H35),G35)</f>
        <v/>
      </c>
      <c r="H36" s="9">
        <f>IF(I35&gt;0.75,H35,SQRT(G35*H35))</f>
        <v/>
      </c>
      <c r="I36" s="41">
        <f>SUMPRODUCT($B$4:$B$6,1-NORMSDIST((LN(SQRT(G36*H36))-LN($C$4:$C$6))/$B$9))</f>
        <v/>
      </c>
      <c r="J36" s="9">
        <f>IF(L35&gt;0.25,SQRT(J35*K35),J35)</f>
        <v/>
      </c>
      <c r="K36" s="9">
        <f>IF(L35&gt;0.25,K35,SQRT(J35*K35))</f>
        <v/>
      </c>
      <c r="L36" s="41">
        <f>SUMPRODUCT($B$4:$B$6,1-NORMSDIST((LN(SQRT(J36*K36))-LN($C$4:$C$6))/$B$9))</f>
        <v/>
      </c>
      <c r="M36" s="9">
        <f>IF(O35&gt;0.09999999999999998,SQRT(M35*N35),M35)</f>
        <v/>
      </c>
      <c r="N36" s="9">
        <f>IF(O35&gt;0.09999999999999998,N35,SQRT(M35*N35))</f>
        <v/>
      </c>
      <c r="O36" s="41">
        <f>SUMPRODUCT($B$4:$B$6,1-NORMSDIST((LN(SQRT(M36*N36))-LN($C$4:$C$6))/$B$9))</f>
        <v/>
      </c>
    </row>
    <row r="37">
      <c r="A37" s="9">
        <f>IF(C36&gt;0.5,SQRT(A36*B36),A36)</f>
        <v/>
      </c>
      <c r="B37" s="9">
        <f>IF(C36&gt;0.5,B36,SQRT(A36*B36))</f>
        <v/>
      </c>
      <c r="C37" s="41">
        <f>SUMPRODUCT($B$4:$B$6,1-NORMSDIST((LN(SQRT(A37*B37))-LN($C$4:$C$6))/$B$9))</f>
        <v/>
      </c>
      <c r="D37" s="9">
        <f>IF(F36&gt;0.9,SQRT(D36*E36),D36)</f>
        <v/>
      </c>
      <c r="E37" s="9">
        <f>IF(F36&gt;0.9,E36,SQRT(D36*E36))</f>
        <v/>
      </c>
      <c r="F37" s="41">
        <f>SUMPRODUCT($B$4:$B$6,1-NORMSDIST((LN(SQRT(D37*E37))-LN($C$4:$C$6))/$B$9))</f>
        <v/>
      </c>
      <c r="G37" s="9">
        <f>IF(I36&gt;0.75,SQRT(G36*H36),G36)</f>
        <v/>
      </c>
      <c r="H37" s="9">
        <f>IF(I36&gt;0.75,H36,SQRT(G36*H36))</f>
        <v/>
      </c>
      <c r="I37" s="41">
        <f>SUMPRODUCT($B$4:$B$6,1-NORMSDIST((LN(SQRT(G37*H37))-LN($C$4:$C$6))/$B$9))</f>
        <v/>
      </c>
      <c r="J37" s="9">
        <f>IF(L36&gt;0.25,SQRT(J36*K36),J36)</f>
        <v/>
      </c>
      <c r="K37" s="9">
        <f>IF(L36&gt;0.25,K36,SQRT(J36*K36))</f>
        <v/>
      </c>
      <c r="L37" s="41">
        <f>SUMPRODUCT($B$4:$B$6,1-NORMSDIST((LN(SQRT(J37*K37))-LN($C$4:$C$6))/$B$9))</f>
        <v/>
      </c>
      <c r="M37" s="9">
        <f>IF(O36&gt;0.09999999999999998,SQRT(M36*N36),M36)</f>
        <v/>
      </c>
      <c r="N37" s="9">
        <f>IF(O36&gt;0.09999999999999998,N36,SQRT(M36*N36))</f>
        <v/>
      </c>
      <c r="O37" s="41">
        <f>SUMPRODUCT($B$4:$B$6,1-NORMSDIST((LN(SQRT(M37*N37))-LN($C$4:$C$6))/$B$9))</f>
        <v/>
      </c>
    </row>
    <row r="38">
      <c r="A38" s="9">
        <f>IF(C37&gt;0.5,SQRT(A37*B37),A37)</f>
        <v/>
      </c>
      <c r="B38" s="9">
        <f>IF(C37&gt;0.5,B37,SQRT(A37*B37))</f>
        <v/>
      </c>
      <c r="C38" s="41">
        <f>SUMPRODUCT($B$4:$B$6,1-NORMSDIST((LN(SQRT(A38*B38))-LN($C$4:$C$6))/$B$9))</f>
        <v/>
      </c>
      <c r="D38" s="9">
        <f>IF(F37&gt;0.9,SQRT(D37*E37),D37)</f>
        <v/>
      </c>
      <c r="E38" s="9">
        <f>IF(F37&gt;0.9,E37,SQRT(D37*E37))</f>
        <v/>
      </c>
      <c r="F38" s="41">
        <f>SUMPRODUCT($B$4:$B$6,1-NORMSDIST((LN(SQRT(D38*E38))-LN($C$4:$C$6))/$B$9))</f>
        <v/>
      </c>
      <c r="G38" s="9">
        <f>IF(I37&gt;0.75,SQRT(G37*H37),G37)</f>
        <v/>
      </c>
      <c r="H38" s="9">
        <f>IF(I37&gt;0.75,H37,SQRT(G37*H37))</f>
        <v/>
      </c>
      <c r="I38" s="41">
        <f>SUMPRODUCT($B$4:$B$6,1-NORMSDIST((LN(SQRT(G38*H38))-LN($C$4:$C$6))/$B$9))</f>
        <v/>
      </c>
      <c r="J38" s="9">
        <f>IF(L37&gt;0.25,SQRT(J37*K37),J37)</f>
        <v/>
      </c>
      <c r="K38" s="9">
        <f>IF(L37&gt;0.25,K37,SQRT(J37*K37))</f>
        <v/>
      </c>
      <c r="L38" s="41">
        <f>SUMPRODUCT($B$4:$B$6,1-NORMSDIST((LN(SQRT(J38*K38))-LN($C$4:$C$6))/$B$9))</f>
        <v/>
      </c>
      <c r="M38" s="9">
        <f>IF(O37&gt;0.09999999999999998,SQRT(M37*N37),M37)</f>
        <v/>
      </c>
      <c r="N38" s="9">
        <f>IF(O37&gt;0.09999999999999998,N37,SQRT(M37*N37))</f>
        <v/>
      </c>
      <c r="O38" s="41">
        <f>SUMPRODUCT($B$4:$B$6,1-NORMSDIST((LN(SQRT(M38*N38))-LN($C$4:$C$6))/$B$9))</f>
        <v/>
      </c>
    </row>
    <row r="39">
      <c r="A39" s="9">
        <f>IF(C38&gt;0.5,SQRT(A38*B38),A38)</f>
        <v/>
      </c>
      <c r="B39" s="9">
        <f>IF(C38&gt;0.5,B38,SQRT(A38*B38))</f>
        <v/>
      </c>
      <c r="C39" s="41">
        <f>SUMPRODUCT($B$4:$B$6,1-NORMSDIST((LN(SQRT(A39*B39))-LN($C$4:$C$6))/$B$9))</f>
        <v/>
      </c>
      <c r="D39" s="9">
        <f>IF(F38&gt;0.9,SQRT(D38*E38),D38)</f>
        <v/>
      </c>
      <c r="E39" s="9">
        <f>IF(F38&gt;0.9,E38,SQRT(D38*E38))</f>
        <v/>
      </c>
      <c r="F39" s="41">
        <f>SUMPRODUCT($B$4:$B$6,1-NORMSDIST((LN(SQRT(D39*E39))-LN($C$4:$C$6))/$B$9))</f>
        <v/>
      </c>
      <c r="G39" s="9">
        <f>IF(I38&gt;0.75,SQRT(G38*H38),G38)</f>
        <v/>
      </c>
      <c r="H39" s="9">
        <f>IF(I38&gt;0.75,H38,SQRT(G38*H38))</f>
        <v/>
      </c>
      <c r="I39" s="41">
        <f>SUMPRODUCT($B$4:$B$6,1-NORMSDIST((LN(SQRT(G39*H39))-LN($C$4:$C$6))/$B$9))</f>
        <v/>
      </c>
      <c r="J39" s="9">
        <f>IF(L38&gt;0.25,SQRT(J38*K38),J38)</f>
        <v/>
      </c>
      <c r="K39" s="9">
        <f>IF(L38&gt;0.25,K38,SQRT(J38*K38))</f>
        <v/>
      </c>
      <c r="L39" s="41">
        <f>SUMPRODUCT($B$4:$B$6,1-NORMSDIST((LN(SQRT(J39*K39))-LN($C$4:$C$6))/$B$9))</f>
        <v/>
      </c>
      <c r="M39" s="9">
        <f>IF(O38&gt;0.09999999999999998,SQRT(M38*N38),M38)</f>
        <v/>
      </c>
      <c r="N39" s="9">
        <f>IF(O38&gt;0.09999999999999998,N38,SQRT(M38*N38))</f>
        <v/>
      </c>
      <c r="O39" s="41">
        <f>SUMPRODUCT($B$4:$B$6,1-NORMSDIST((LN(SQRT(M39*N39))-LN($C$4:$C$6))/$B$9))</f>
        <v/>
      </c>
    </row>
    <row r="40">
      <c r="A40" s="9">
        <f>IF(C39&gt;0.5,SQRT(A39*B39),A39)</f>
        <v/>
      </c>
      <c r="B40" s="9">
        <f>IF(C39&gt;0.5,B39,SQRT(A39*B39))</f>
        <v/>
      </c>
      <c r="C40" s="41">
        <f>SUMPRODUCT($B$4:$B$6,1-NORMSDIST((LN(SQRT(A40*B40))-LN($C$4:$C$6))/$B$9))</f>
        <v/>
      </c>
      <c r="D40" s="9">
        <f>IF(F39&gt;0.9,SQRT(D39*E39),D39)</f>
        <v/>
      </c>
      <c r="E40" s="9">
        <f>IF(F39&gt;0.9,E39,SQRT(D39*E39))</f>
        <v/>
      </c>
      <c r="F40" s="41">
        <f>SUMPRODUCT($B$4:$B$6,1-NORMSDIST((LN(SQRT(D40*E40))-LN($C$4:$C$6))/$B$9))</f>
        <v/>
      </c>
      <c r="G40" s="9">
        <f>IF(I39&gt;0.75,SQRT(G39*H39),G39)</f>
        <v/>
      </c>
      <c r="H40" s="9">
        <f>IF(I39&gt;0.75,H39,SQRT(G39*H39))</f>
        <v/>
      </c>
      <c r="I40" s="41">
        <f>SUMPRODUCT($B$4:$B$6,1-NORMSDIST((LN(SQRT(G40*H40))-LN($C$4:$C$6))/$B$9))</f>
        <v/>
      </c>
      <c r="J40" s="9">
        <f>IF(L39&gt;0.25,SQRT(J39*K39),J39)</f>
        <v/>
      </c>
      <c r="K40" s="9">
        <f>IF(L39&gt;0.25,K39,SQRT(J39*K39))</f>
        <v/>
      </c>
      <c r="L40" s="41">
        <f>SUMPRODUCT($B$4:$B$6,1-NORMSDIST((LN(SQRT(J40*K40))-LN($C$4:$C$6))/$B$9))</f>
        <v/>
      </c>
      <c r="M40" s="9">
        <f>IF(O39&gt;0.09999999999999998,SQRT(M39*N39),M39)</f>
        <v/>
      </c>
      <c r="N40" s="9">
        <f>IF(O39&gt;0.09999999999999998,N39,SQRT(M39*N39))</f>
        <v/>
      </c>
      <c r="O40" s="41">
        <f>SUMPRODUCT($B$4:$B$6,1-NORMSDIST((LN(SQRT(M40*N40))-LN($C$4:$C$6))/$B$9))</f>
        <v/>
      </c>
    </row>
    <row r="41">
      <c r="A41" s="9">
        <f>IF(C40&gt;0.5,SQRT(A40*B40),A40)</f>
        <v/>
      </c>
      <c r="B41" s="9">
        <f>IF(C40&gt;0.5,B40,SQRT(A40*B40))</f>
        <v/>
      </c>
      <c r="C41" s="41">
        <f>SUMPRODUCT($B$4:$B$6,1-NORMSDIST((LN(SQRT(A41*B41))-LN($C$4:$C$6))/$B$9))</f>
        <v/>
      </c>
      <c r="D41" s="9">
        <f>IF(F40&gt;0.9,SQRT(D40*E40),D40)</f>
        <v/>
      </c>
      <c r="E41" s="9">
        <f>IF(F40&gt;0.9,E40,SQRT(D40*E40))</f>
        <v/>
      </c>
      <c r="F41" s="41">
        <f>SUMPRODUCT($B$4:$B$6,1-NORMSDIST((LN(SQRT(D41*E41))-LN($C$4:$C$6))/$B$9))</f>
        <v/>
      </c>
      <c r="G41" s="9">
        <f>IF(I40&gt;0.75,SQRT(G40*H40),G40)</f>
        <v/>
      </c>
      <c r="H41" s="9">
        <f>IF(I40&gt;0.75,H40,SQRT(G40*H40))</f>
        <v/>
      </c>
      <c r="I41" s="41">
        <f>SUMPRODUCT($B$4:$B$6,1-NORMSDIST((LN(SQRT(G41*H41))-LN($C$4:$C$6))/$B$9))</f>
        <v/>
      </c>
      <c r="J41" s="9">
        <f>IF(L40&gt;0.25,SQRT(J40*K40),J40)</f>
        <v/>
      </c>
      <c r="K41" s="9">
        <f>IF(L40&gt;0.25,K40,SQRT(J40*K40))</f>
        <v/>
      </c>
      <c r="L41" s="41">
        <f>SUMPRODUCT($B$4:$B$6,1-NORMSDIST((LN(SQRT(J41*K41))-LN($C$4:$C$6))/$B$9))</f>
        <v/>
      </c>
      <c r="M41" s="9">
        <f>IF(O40&gt;0.09999999999999998,SQRT(M40*N40),M40)</f>
        <v/>
      </c>
      <c r="N41" s="9">
        <f>IF(O40&gt;0.09999999999999998,N40,SQRT(M40*N40))</f>
        <v/>
      </c>
      <c r="O41" s="41">
        <f>SUMPRODUCT($B$4:$B$6,1-NORMSDIST((LN(SQRT(M41*N41))-LN($C$4:$C$6))/$B$9))</f>
        <v/>
      </c>
    </row>
    <row r="42">
      <c r="A42" s="9">
        <f>IF(C41&gt;0.5,SQRT(A41*B41),A41)</f>
        <v/>
      </c>
      <c r="B42" s="9">
        <f>IF(C41&gt;0.5,B41,SQRT(A41*B41))</f>
        <v/>
      </c>
      <c r="C42" s="41">
        <f>SUMPRODUCT($B$4:$B$6,1-NORMSDIST((LN(SQRT(A42*B42))-LN($C$4:$C$6))/$B$9))</f>
        <v/>
      </c>
      <c r="D42" s="9">
        <f>IF(F41&gt;0.9,SQRT(D41*E41),D41)</f>
        <v/>
      </c>
      <c r="E42" s="9">
        <f>IF(F41&gt;0.9,E41,SQRT(D41*E41))</f>
        <v/>
      </c>
      <c r="F42" s="41">
        <f>SUMPRODUCT($B$4:$B$6,1-NORMSDIST((LN(SQRT(D42*E42))-LN($C$4:$C$6))/$B$9))</f>
        <v/>
      </c>
      <c r="G42" s="9">
        <f>IF(I41&gt;0.75,SQRT(G41*H41),G41)</f>
        <v/>
      </c>
      <c r="H42" s="9">
        <f>IF(I41&gt;0.75,H41,SQRT(G41*H41))</f>
        <v/>
      </c>
      <c r="I42" s="41">
        <f>SUMPRODUCT($B$4:$B$6,1-NORMSDIST((LN(SQRT(G42*H42))-LN($C$4:$C$6))/$B$9))</f>
        <v/>
      </c>
      <c r="J42" s="9">
        <f>IF(L41&gt;0.25,SQRT(J41*K41),J41)</f>
        <v/>
      </c>
      <c r="K42" s="9">
        <f>IF(L41&gt;0.25,K41,SQRT(J41*K41))</f>
        <v/>
      </c>
      <c r="L42" s="41">
        <f>SUMPRODUCT($B$4:$B$6,1-NORMSDIST((LN(SQRT(J42*K42))-LN($C$4:$C$6))/$B$9))</f>
        <v/>
      </c>
      <c r="M42" s="9">
        <f>IF(O41&gt;0.09999999999999998,SQRT(M41*N41),M41)</f>
        <v/>
      </c>
      <c r="N42" s="9">
        <f>IF(O41&gt;0.09999999999999998,N41,SQRT(M41*N41))</f>
        <v/>
      </c>
      <c r="O42" s="41">
        <f>SUMPRODUCT($B$4:$B$6,1-NORMSDIST((LN(SQRT(M42*N42))-LN($C$4:$C$6))/$B$9))</f>
        <v/>
      </c>
    </row>
    <row r="43">
      <c r="A43" s="9">
        <f>IF(C42&gt;0.5,SQRT(A42*B42),A42)</f>
        <v/>
      </c>
      <c r="B43" s="9">
        <f>IF(C42&gt;0.5,B42,SQRT(A42*B42))</f>
        <v/>
      </c>
      <c r="C43" s="41">
        <f>SUMPRODUCT($B$4:$B$6,1-NORMSDIST((LN(SQRT(A43*B43))-LN($C$4:$C$6))/$B$9))</f>
        <v/>
      </c>
      <c r="D43" s="9">
        <f>IF(F42&gt;0.9,SQRT(D42*E42),D42)</f>
        <v/>
      </c>
      <c r="E43" s="9">
        <f>IF(F42&gt;0.9,E42,SQRT(D42*E42))</f>
        <v/>
      </c>
      <c r="F43" s="41">
        <f>SUMPRODUCT($B$4:$B$6,1-NORMSDIST((LN(SQRT(D43*E43))-LN($C$4:$C$6))/$B$9))</f>
        <v/>
      </c>
      <c r="G43" s="9">
        <f>IF(I42&gt;0.75,SQRT(G42*H42),G42)</f>
        <v/>
      </c>
      <c r="H43" s="9">
        <f>IF(I42&gt;0.75,H42,SQRT(G42*H42))</f>
        <v/>
      </c>
      <c r="I43" s="41">
        <f>SUMPRODUCT($B$4:$B$6,1-NORMSDIST((LN(SQRT(G43*H43))-LN($C$4:$C$6))/$B$9))</f>
        <v/>
      </c>
      <c r="J43" s="9">
        <f>IF(L42&gt;0.25,SQRT(J42*K42),J42)</f>
        <v/>
      </c>
      <c r="K43" s="9">
        <f>IF(L42&gt;0.25,K42,SQRT(J42*K42))</f>
        <v/>
      </c>
      <c r="L43" s="41">
        <f>SUMPRODUCT($B$4:$B$6,1-NORMSDIST((LN(SQRT(J43*K43))-LN($C$4:$C$6))/$B$9))</f>
        <v/>
      </c>
      <c r="M43" s="9">
        <f>IF(O42&gt;0.09999999999999998,SQRT(M42*N42),M42)</f>
        <v/>
      </c>
      <c r="N43" s="9">
        <f>IF(O42&gt;0.09999999999999998,N42,SQRT(M42*N42))</f>
        <v/>
      </c>
      <c r="O43" s="41">
        <f>SUMPRODUCT($B$4:$B$6,1-NORMSDIST((LN(SQRT(M43*N43))-LN($C$4:$C$6))/$B$9))</f>
        <v/>
      </c>
    </row>
    <row r="44">
      <c r="A44" s="9">
        <f>IF(C43&gt;0.5,SQRT(A43*B43),A43)</f>
        <v/>
      </c>
      <c r="B44" s="9">
        <f>IF(C43&gt;0.5,B43,SQRT(A43*B43))</f>
        <v/>
      </c>
      <c r="C44" s="41">
        <f>SUMPRODUCT($B$4:$B$6,1-NORMSDIST((LN(SQRT(A44*B44))-LN($C$4:$C$6))/$B$9))</f>
        <v/>
      </c>
      <c r="D44" s="9">
        <f>IF(F43&gt;0.9,SQRT(D43*E43),D43)</f>
        <v/>
      </c>
      <c r="E44" s="9">
        <f>IF(F43&gt;0.9,E43,SQRT(D43*E43))</f>
        <v/>
      </c>
      <c r="F44" s="41">
        <f>SUMPRODUCT($B$4:$B$6,1-NORMSDIST((LN(SQRT(D44*E44))-LN($C$4:$C$6))/$B$9))</f>
        <v/>
      </c>
      <c r="G44" s="9">
        <f>IF(I43&gt;0.75,SQRT(G43*H43),G43)</f>
        <v/>
      </c>
      <c r="H44" s="9">
        <f>IF(I43&gt;0.75,H43,SQRT(G43*H43))</f>
        <v/>
      </c>
      <c r="I44" s="41">
        <f>SUMPRODUCT($B$4:$B$6,1-NORMSDIST((LN(SQRT(G44*H44))-LN($C$4:$C$6))/$B$9))</f>
        <v/>
      </c>
      <c r="J44" s="9">
        <f>IF(L43&gt;0.25,SQRT(J43*K43),J43)</f>
        <v/>
      </c>
      <c r="K44" s="9">
        <f>IF(L43&gt;0.25,K43,SQRT(J43*K43))</f>
        <v/>
      </c>
      <c r="L44" s="41">
        <f>SUMPRODUCT($B$4:$B$6,1-NORMSDIST((LN(SQRT(J44*K44))-LN($C$4:$C$6))/$B$9))</f>
        <v/>
      </c>
      <c r="M44" s="9">
        <f>IF(O43&gt;0.09999999999999998,SQRT(M43*N43),M43)</f>
        <v/>
      </c>
      <c r="N44" s="9">
        <f>IF(O43&gt;0.09999999999999998,N43,SQRT(M43*N43))</f>
        <v/>
      </c>
      <c r="O44" s="41">
        <f>SUMPRODUCT($B$4:$B$6,1-NORMSDIST((LN(SQRT(M44*N44))-LN($C$4:$C$6))/$B$9))</f>
        <v/>
      </c>
    </row>
    <row r="45">
      <c r="A45" s="9">
        <f>IF(C44&gt;0.5,SQRT(A44*B44),A44)</f>
        <v/>
      </c>
      <c r="B45" s="9">
        <f>IF(C44&gt;0.5,B44,SQRT(A44*B44))</f>
        <v/>
      </c>
      <c r="C45" s="41">
        <f>SUMPRODUCT($B$4:$B$6,1-NORMSDIST((LN(SQRT(A45*B45))-LN($C$4:$C$6))/$B$9))</f>
        <v/>
      </c>
      <c r="D45" s="9">
        <f>IF(F44&gt;0.9,SQRT(D44*E44),D44)</f>
        <v/>
      </c>
      <c r="E45" s="9">
        <f>IF(F44&gt;0.9,E44,SQRT(D44*E44))</f>
        <v/>
      </c>
      <c r="F45" s="41">
        <f>SUMPRODUCT($B$4:$B$6,1-NORMSDIST((LN(SQRT(D45*E45))-LN($C$4:$C$6))/$B$9))</f>
        <v/>
      </c>
      <c r="G45" s="9">
        <f>IF(I44&gt;0.75,SQRT(G44*H44),G44)</f>
        <v/>
      </c>
      <c r="H45" s="9">
        <f>IF(I44&gt;0.75,H44,SQRT(G44*H44))</f>
        <v/>
      </c>
      <c r="I45" s="41">
        <f>SUMPRODUCT($B$4:$B$6,1-NORMSDIST((LN(SQRT(G45*H45))-LN($C$4:$C$6))/$B$9))</f>
        <v/>
      </c>
      <c r="J45" s="9">
        <f>IF(L44&gt;0.25,SQRT(J44*K44),J44)</f>
        <v/>
      </c>
      <c r="K45" s="9">
        <f>IF(L44&gt;0.25,K44,SQRT(J44*K44))</f>
        <v/>
      </c>
      <c r="L45" s="41">
        <f>SUMPRODUCT($B$4:$B$6,1-NORMSDIST((LN(SQRT(J45*K45))-LN($C$4:$C$6))/$B$9))</f>
        <v/>
      </c>
      <c r="M45" s="9">
        <f>IF(O44&gt;0.09999999999999998,SQRT(M44*N44),M44)</f>
        <v/>
      </c>
      <c r="N45" s="9">
        <f>IF(O44&gt;0.09999999999999998,N44,SQRT(M44*N44))</f>
        <v/>
      </c>
      <c r="O45" s="41">
        <f>SUMPRODUCT($B$4:$B$6,1-NORMSDIST((LN(SQRT(M45*N45))-LN($C$4:$C$6))/$B$9))</f>
        <v/>
      </c>
    </row>
    <row r="46">
      <c r="A46" s="9">
        <f>IF(C45&gt;0.5,SQRT(A45*B45),A45)</f>
        <v/>
      </c>
      <c r="B46" s="9">
        <f>IF(C45&gt;0.5,B45,SQRT(A45*B45))</f>
        <v/>
      </c>
      <c r="C46" s="41">
        <f>SUMPRODUCT($B$4:$B$6,1-NORMSDIST((LN(SQRT(A46*B46))-LN($C$4:$C$6))/$B$9))</f>
        <v/>
      </c>
      <c r="D46" s="9">
        <f>IF(F45&gt;0.9,SQRT(D45*E45),D45)</f>
        <v/>
      </c>
      <c r="E46" s="9">
        <f>IF(F45&gt;0.9,E45,SQRT(D45*E45))</f>
        <v/>
      </c>
      <c r="F46" s="41">
        <f>SUMPRODUCT($B$4:$B$6,1-NORMSDIST((LN(SQRT(D46*E46))-LN($C$4:$C$6))/$B$9))</f>
        <v/>
      </c>
      <c r="G46" s="9">
        <f>IF(I45&gt;0.75,SQRT(G45*H45),G45)</f>
        <v/>
      </c>
      <c r="H46" s="9">
        <f>IF(I45&gt;0.75,H45,SQRT(G45*H45))</f>
        <v/>
      </c>
      <c r="I46" s="41">
        <f>SUMPRODUCT($B$4:$B$6,1-NORMSDIST((LN(SQRT(G46*H46))-LN($C$4:$C$6))/$B$9))</f>
        <v/>
      </c>
      <c r="J46" s="9">
        <f>IF(L45&gt;0.25,SQRT(J45*K45),J45)</f>
        <v/>
      </c>
      <c r="K46" s="9">
        <f>IF(L45&gt;0.25,K45,SQRT(J45*K45))</f>
        <v/>
      </c>
      <c r="L46" s="41">
        <f>SUMPRODUCT($B$4:$B$6,1-NORMSDIST((LN(SQRT(J46*K46))-LN($C$4:$C$6))/$B$9))</f>
        <v/>
      </c>
      <c r="M46" s="9">
        <f>IF(O45&gt;0.09999999999999998,SQRT(M45*N45),M45)</f>
        <v/>
      </c>
      <c r="N46" s="9">
        <f>IF(O45&gt;0.09999999999999998,N45,SQRT(M45*N45))</f>
        <v/>
      </c>
      <c r="O46" s="41">
        <f>SUMPRODUCT($B$4:$B$6,1-NORMSDIST((LN(SQRT(M46*N46))-LN($C$4:$C$6))/$B$9))</f>
        <v/>
      </c>
    </row>
    <row r="47">
      <c r="A47" s="9">
        <f>IF(C46&gt;0.5,SQRT(A46*B46),A46)</f>
        <v/>
      </c>
      <c r="B47" s="9">
        <f>IF(C46&gt;0.5,B46,SQRT(A46*B46))</f>
        <v/>
      </c>
      <c r="C47" s="41">
        <f>SUMPRODUCT($B$4:$B$6,1-NORMSDIST((LN(SQRT(A47*B47))-LN($C$4:$C$6))/$B$9))</f>
        <v/>
      </c>
      <c r="D47" s="9">
        <f>IF(F46&gt;0.9,SQRT(D46*E46),D46)</f>
        <v/>
      </c>
      <c r="E47" s="9">
        <f>IF(F46&gt;0.9,E46,SQRT(D46*E46))</f>
        <v/>
      </c>
      <c r="F47" s="41">
        <f>SUMPRODUCT($B$4:$B$6,1-NORMSDIST((LN(SQRT(D47*E47))-LN($C$4:$C$6))/$B$9))</f>
        <v/>
      </c>
      <c r="G47" s="9">
        <f>IF(I46&gt;0.75,SQRT(G46*H46),G46)</f>
        <v/>
      </c>
      <c r="H47" s="9">
        <f>IF(I46&gt;0.75,H46,SQRT(G46*H46))</f>
        <v/>
      </c>
      <c r="I47" s="41">
        <f>SUMPRODUCT($B$4:$B$6,1-NORMSDIST((LN(SQRT(G47*H47))-LN($C$4:$C$6))/$B$9))</f>
        <v/>
      </c>
      <c r="J47" s="9">
        <f>IF(L46&gt;0.25,SQRT(J46*K46),J46)</f>
        <v/>
      </c>
      <c r="K47" s="9">
        <f>IF(L46&gt;0.25,K46,SQRT(J46*K46))</f>
        <v/>
      </c>
      <c r="L47" s="41">
        <f>SUMPRODUCT($B$4:$B$6,1-NORMSDIST((LN(SQRT(J47*K47))-LN($C$4:$C$6))/$B$9))</f>
        <v/>
      </c>
      <c r="M47" s="9">
        <f>IF(O46&gt;0.09999999999999998,SQRT(M46*N46),M46)</f>
        <v/>
      </c>
      <c r="N47" s="9">
        <f>IF(O46&gt;0.09999999999999998,N46,SQRT(M46*N46))</f>
        <v/>
      </c>
      <c r="O47" s="41">
        <f>SUMPRODUCT($B$4:$B$6,1-NORMSDIST((LN(SQRT(M47*N47))-LN($C$4:$C$6))/$B$9))</f>
        <v/>
      </c>
    </row>
    <row r="48">
      <c r="A48" s="9">
        <f>IF(C47&gt;0.5,SQRT(A47*B47),A47)</f>
        <v/>
      </c>
      <c r="B48" s="9">
        <f>IF(C47&gt;0.5,B47,SQRT(A47*B47))</f>
        <v/>
      </c>
      <c r="C48" s="41">
        <f>SUMPRODUCT($B$4:$B$6,1-NORMSDIST((LN(SQRT(A48*B48))-LN($C$4:$C$6))/$B$9))</f>
        <v/>
      </c>
      <c r="D48" s="9">
        <f>IF(F47&gt;0.9,SQRT(D47*E47),D47)</f>
        <v/>
      </c>
      <c r="E48" s="9">
        <f>IF(F47&gt;0.9,E47,SQRT(D47*E47))</f>
        <v/>
      </c>
      <c r="F48" s="41">
        <f>SUMPRODUCT($B$4:$B$6,1-NORMSDIST((LN(SQRT(D48*E48))-LN($C$4:$C$6))/$B$9))</f>
        <v/>
      </c>
      <c r="G48" s="9">
        <f>IF(I47&gt;0.75,SQRT(G47*H47),G47)</f>
        <v/>
      </c>
      <c r="H48" s="9">
        <f>IF(I47&gt;0.75,H47,SQRT(G47*H47))</f>
        <v/>
      </c>
      <c r="I48" s="41">
        <f>SUMPRODUCT($B$4:$B$6,1-NORMSDIST((LN(SQRT(G48*H48))-LN($C$4:$C$6))/$B$9))</f>
        <v/>
      </c>
      <c r="J48" s="9">
        <f>IF(L47&gt;0.25,SQRT(J47*K47),J47)</f>
        <v/>
      </c>
      <c r="K48" s="9">
        <f>IF(L47&gt;0.25,K47,SQRT(J47*K47))</f>
        <v/>
      </c>
      <c r="L48" s="41">
        <f>SUMPRODUCT($B$4:$B$6,1-NORMSDIST((LN(SQRT(J48*K48))-LN($C$4:$C$6))/$B$9))</f>
        <v/>
      </c>
      <c r="M48" s="9">
        <f>IF(O47&gt;0.09999999999999998,SQRT(M47*N47),M47)</f>
        <v/>
      </c>
      <c r="N48" s="9">
        <f>IF(O47&gt;0.09999999999999998,N47,SQRT(M47*N47))</f>
        <v/>
      </c>
      <c r="O48" s="41">
        <f>SUMPRODUCT($B$4:$B$6,1-NORMSDIST((LN(SQRT(M48*N48))-LN($C$4:$C$6))/$B$9))</f>
        <v/>
      </c>
    </row>
    <row r="49">
      <c r="A49" s="9">
        <f>IF(C48&gt;0.5,SQRT(A48*B48),A48)</f>
        <v/>
      </c>
      <c r="B49" s="9">
        <f>IF(C48&gt;0.5,B48,SQRT(A48*B48))</f>
        <v/>
      </c>
      <c r="C49" s="41">
        <f>SUMPRODUCT($B$4:$B$6,1-NORMSDIST((LN(SQRT(A49*B49))-LN($C$4:$C$6))/$B$9))</f>
        <v/>
      </c>
      <c r="D49" s="9">
        <f>IF(F48&gt;0.9,SQRT(D48*E48),D48)</f>
        <v/>
      </c>
      <c r="E49" s="9">
        <f>IF(F48&gt;0.9,E48,SQRT(D48*E48))</f>
        <v/>
      </c>
      <c r="F49" s="41">
        <f>SUMPRODUCT($B$4:$B$6,1-NORMSDIST((LN(SQRT(D49*E49))-LN($C$4:$C$6))/$B$9))</f>
        <v/>
      </c>
      <c r="G49" s="9">
        <f>IF(I48&gt;0.75,SQRT(G48*H48),G48)</f>
        <v/>
      </c>
      <c r="H49" s="9">
        <f>IF(I48&gt;0.75,H48,SQRT(G48*H48))</f>
        <v/>
      </c>
      <c r="I49" s="41">
        <f>SUMPRODUCT($B$4:$B$6,1-NORMSDIST((LN(SQRT(G49*H49))-LN($C$4:$C$6))/$B$9))</f>
        <v/>
      </c>
      <c r="J49" s="9">
        <f>IF(L48&gt;0.25,SQRT(J48*K48),J48)</f>
        <v/>
      </c>
      <c r="K49" s="9">
        <f>IF(L48&gt;0.25,K48,SQRT(J48*K48))</f>
        <v/>
      </c>
      <c r="L49" s="41">
        <f>SUMPRODUCT($B$4:$B$6,1-NORMSDIST((LN(SQRT(J49*K49))-LN($C$4:$C$6))/$B$9))</f>
        <v/>
      </c>
      <c r="M49" s="9">
        <f>IF(O48&gt;0.09999999999999998,SQRT(M48*N48),M48)</f>
        <v/>
      </c>
      <c r="N49" s="9">
        <f>IF(O48&gt;0.09999999999999998,N48,SQRT(M48*N48))</f>
        <v/>
      </c>
      <c r="O49" s="41">
        <f>SUMPRODUCT($B$4:$B$6,1-NORMSDIST((LN(SQRT(M49*N49))-LN($C$4:$C$6))/$B$9))</f>
        <v/>
      </c>
    </row>
    <row r="50">
      <c r="A50" s="9">
        <f>IF(C49&gt;0.5,SQRT(A49*B49),A49)</f>
        <v/>
      </c>
      <c r="B50" s="9">
        <f>IF(C49&gt;0.5,B49,SQRT(A49*B49))</f>
        <v/>
      </c>
      <c r="C50" s="41">
        <f>SUMPRODUCT($B$4:$B$6,1-NORMSDIST((LN(SQRT(A50*B50))-LN($C$4:$C$6))/$B$9))</f>
        <v/>
      </c>
      <c r="D50" s="9">
        <f>IF(F49&gt;0.9,SQRT(D49*E49),D49)</f>
        <v/>
      </c>
      <c r="E50" s="9">
        <f>IF(F49&gt;0.9,E49,SQRT(D49*E49))</f>
        <v/>
      </c>
      <c r="F50" s="41">
        <f>SUMPRODUCT($B$4:$B$6,1-NORMSDIST((LN(SQRT(D50*E50))-LN($C$4:$C$6))/$B$9))</f>
        <v/>
      </c>
      <c r="G50" s="9">
        <f>IF(I49&gt;0.75,SQRT(G49*H49),G49)</f>
        <v/>
      </c>
      <c r="H50" s="9">
        <f>IF(I49&gt;0.75,H49,SQRT(G49*H49))</f>
        <v/>
      </c>
      <c r="I50" s="41">
        <f>SUMPRODUCT($B$4:$B$6,1-NORMSDIST((LN(SQRT(G50*H50))-LN($C$4:$C$6))/$B$9))</f>
        <v/>
      </c>
      <c r="J50" s="9">
        <f>IF(L49&gt;0.25,SQRT(J49*K49),J49)</f>
        <v/>
      </c>
      <c r="K50" s="9">
        <f>IF(L49&gt;0.25,K49,SQRT(J49*K49))</f>
        <v/>
      </c>
      <c r="L50" s="41">
        <f>SUMPRODUCT($B$4:$B$6,1-NORMSDIST((LN(SQRT(J50*K50))-LN($C$4:$C$6))/$B$9))</f>
        <v/>
      </c>
      <c r="M50" s="9">
        <f>IF(O49&gt;0.09999999999999998,SQRT(M49*N49),M49)</f>
        <v/>
      </c>
      <c r="N50" s="9">
        <f>IF(O49&gt;0.09999999999999998,N49,SQRT(M49*N49))</f>
        <v/>
      </c>
      <c r="O50" s="41">
        <f>SUMPRODUCT($B$4:$B$6,1-NORMSDIST((LN(SQRT(M50*N50))-LN($C$4:$C$6))/$B$9))</f>
        <v/>
      </c>
    </row>
    <row r="51">
      <c r="A51" s="9">
        <f>IF(C50&gt;0.5,SQRT(A50*B50),A50)</f>
        <v/>
      </c>
      <c r="B51" s="9">
        <f>IF(C50&gt;0.5,B50,SQRT(A50*B50))</f>
        <v/>
      </c>
      <c r="C51" s="41">
        <f>SUMPRODUCT($B$4:$B$6,1-NORMSDIST((LN(SQRT(A51*B51))-LN($C$4:$C$6))/$B$9))</f>
        <v/>
      </c>
      <c r="D51" s="9">
        <f>IF(F50&gt;0.9,SQRT(D50*E50),D50)</f>
        <v/>
      </c>
      <c r="E51" s="9">
        <f>IF(F50&gt;0.9,E50,SQRT(D50*E50))</f>
        <v/>
      </c>
      <c r="F51" s="41">
        <f>SUMPRODUCT($B$4:$B$6,1-NORMSDIST((LN(SQRT(D51*E51))-LN($C$4:$C$6))/$B$9))</f>
        <v/>
      </c>
      <c r="G51" s="9">
        <f>IF(I50&gt;0.75,SQRT(G50*H50),G50)</f>
        <v/>
      </c>
      <c r="H51" s="9">
        <f>IF(I50&gt;0.75,H50,SQRT(G50*H50))</f>
        <v/>
      </c>
      <c r="I51" s="41">
        <f>SUMPRODUCT($B$4:$B$6,1-NORMSDIST((LN(SQRT(G51*H51))-LN($C$4:$C$6))/$B$9))</f>
        <v/>
      </c>
      <c r="J51" s="9">
        <f>IF(L50&gt;0.25,SQRT(J50*K50),J50)</f>
        <v/>
      </c>
      <c r="K51" s="9">
        <f>IF(L50&gt;0.25,K50,SQRT(J50*K50))</f>
        <v/>
      </c>
      <c r="L51" s="41">
        <f>SUMPRODUCT($B$4:$B$6,1-NORMSDIST((LN(SQRT(J51*K51))-LN($C$4:$C$6))/$B$9))</f>
        <v/>
      </c>
      <c r="M51" s="9">
        <f>IF(O50&gt;0.09999999999999998,SQRT(M50*N50),M50)</f>
        <v/>
      </c>
      <c r="N51" s="9">
        <f>IF(O50&gt;0.09999999999999998,N50,SQRT(M50*N50))</f>
        <v/>
      </c>
      <c r="O51" s="41">
        <f>SUMPRODUCT($B$4:$B$6,1-NORMSDIST((LN(SQRT(M51*N51))-LN($C$4:$C$6))/$B$9))</f>
        <v/>
      </c>
    </row>
    <row r="52">
      <c r="A52" s="9">
        <f>IF(C51&gt;0.5,SQRT(A51*B51),A51)</f>
        <v/>
      </c>
      <c r="B52" s="9">
        <f>IF(C51&gt;0.5,B51,SQRT(A51*B51))</f>
        <v/>
      </c>
      <c r="C52" s="41">
        <f>SUMPRODUCT($B$4:$B$6,1-NORMSDIST((LN(SQRT(A52*B52))-LN($C$4:$C$6))/$B$9))</f>
        <v/>
      </c>
      <c r="D52" s="9">
        <f>IF(F51&gt;0.9,SQRT(D51*E51),D51)</f>
        <v/>
      </c>
      <c r="E52" s="9">
        <f>IF(F51&gt;0.9,E51,SQRT(D51*E51))</f>
        <v/>
      </c>
      <c r="F52" s="41">
        <f>SUMPRODUCT($B$4:$B$6,1-NORMSDIST((LN(SQRT(D52*E52))-LN($C$4:$C$6))/$B$9))</f>
        <v/>
      </c>
      <c r="G52" s="9">
        <f>IF(I51&gt;0.75,SQRT(G51*H51),G51)</f>
        <v/>
      </c>
      <c r="H52" s="9">
        <f>IF(I51&gt;0.75,H51,SQRT(G51*H51))</f>
        <v/>
      </c>
      <c r="I52" s="41">
        <f>SUMPRODUCT($B$4:$B$6,1-NORMSDIST((LN(SQRT(G52*H52))-LN($C$4:$C$6))/$B$9))</f>
        <v/>
      </c>
      <c r="J52" s="9">
        <f>IF(L51&gt;0.25,SQRT(J51*K51),J51)</f>
        <v/>
      </c>
      <c r="K52" s="9">
        <f>IF(L51&gt;0.25,K51,SQRT(J51*K51))</f>
        <v/>
      </c>
      <c r="L52" s="41">
        <f>SUMPRODUCT($B$4:$B$6,1-NORMSDIST((LN(SQRT(J52*K52))-LN($C$4:$C$6))/$B$9))</f>
        <v/>
      </c>
      <c r="M52" s="9">
        <f>IF(O51&gt;0.09999999999999998,SQRT(M51*N51),M51)</f>
        <v/>
      </c>
      <c r="N52" s="9">
        <f>IF(O51&gt;0.09999999999999998,N51,SQRT(M51*N51))</f>
        <v/>
      </c>
      <c r="O52" s="41">
        <f>SUMPRODUCT($B$4:$B$6,1-NORMSDIST((LN(SQRT(M52*N52))-LN($C$4:$C$6))/$B$9))</f>
        <v/>
      </c>
    </row>
    <row r="53">
      <c r="A53" s="9">
        <f>IF(C52&gt;0.5,SQRT(A52*B52),A52)</f>
        <v/>
      </c>
      <c r="B53" s="9">
        <f>IF(C52&gt;0.5,B52,SQRT(A52*B52))</f>
        <v/>
      </c>
      <c r="C53" s="41">
        <f>SUMPRODUCT($B$4:$B$6,1-NORMSDIST((LN(SQRT(A53*B53))-LN($C$4:$C$6))/$B$9))</f>
        <v/>
      </c>
      <c r="D53" s="9">
        <f>IF(F52&gt;0.9,SQRT(D52*E52),D52)</f>
        <v/>
      </c>
      <c r="E53" s="9">
        <f>IF(F52&gt;0.9,E52,SQRT(D52*E52))</f>
        <v/>
      </c>
      <c r="F53" s="41">
        <f>SUMPRODUCT($B$4:$B$6,1-NORMSDIST((LN(SQRT(D53*E53))-LN($C$4:$C$6))/$B$9))</f>
        <v/>
      </c>
      <c r="G53" s="9">
        <f>IF(I52&gt;0.75,SQRT(G52*H52),G52)</f>
        <v/>
      </c>
      <c r="H53" s="9">
        <f>IF(I52&gt;0.75,H52,SQRT(G52*H52))</f>
        <v/>
      </c>
      <c r="I53" s="41">
        <f>SUMPRODUCT($B$4:$B$6,1-NORMSDIST((LN(SQRT(G53*H53))-LN($C$4:$C$6))/$B$9))</f>
        <v/>
      </c>
      <c r="J53" s="9">
        <f>IF(L52&gt;0.25,SQRT(J52*K52),J52)</f>
        <v/>
      </c>
      <c r="K53" s="9">
        <f>IF(L52&gt;0.25,K52,SQRT(J52*K52))</f>
        <v/>
      </c>
      <c r="L53" s="41">
        <f>SUMPRODUCT($B$4:$B$6,1-NORMSDIST((LN(SQRT(J53*K53))-LN($C$4:$C$6))/$B$9))</f>
        <v/>
      </c>
      <c r="M53" s="9">
        <f>IF(O52&gt;0.09999999999999998,SQRT(M52*N52),M52)</f>
        <v/>
      </c>
      <c r="N53" s="9">
        <f>IF(O52&gt;0.09999999999999998,N52,SQRT(M52*N52))</f>
        <v/>
      </c>
      <c r="O53" s="41">
        <f>SUMPRODUCT($B$4:$B$6,1-NORMSDIST((LN(SQRT(M53*N53))-LN($C$4:$C$6))/$B$9))</f>
        <v/>
      </c>
    </row>
    <row r="54">
      <c r="A54" s="9">
        <f>IF(C53&gt;0.5,SQRT(A53*B53),A53)</f>
        <v/>
      </c>
      <c r="B54" s="9">
        <f>IF(C53&gt;0.5,B53,SQRT(A53*B53))</f>
        <v/>
      </c>
      <c r="C54" s="41">
        <f>SUMPRODUCT($B$4:$B$6,1-NORMSDIST((LN(SQRT(A54*B54))-LN($C$4:$C$6))/$B$9))</f>
        <v/>
      </c>
      <c r="D54" s="9">
        <f>IF(F53&gt;0.9,SQRT(D53*E53),D53)</f>
        <v/>
      </c>
      <c r="E54" s="9">
        <f>IF(F53&gt;0.9,E53,SQRT(D53*E53))</f>
        <v/>
      </c>
      <c r="F54" s="41">
        <f>SUMPRODUCT($B$4:$B$6,1-NORMSDIST((LN(SQRT(D54*E54))-LN($C$4:$C$6))/$B$9))</f>
        <v/>
      </c>
      <c r="G54" s="9">
        <f>IF(I53&gt;0.75,SQRT(G53*H53),G53)</f>
        <v/>
      </c>
      <c r="H54" s="9">
        <f>IF(I53&gt;0.75,H53,SQRT(G53*H53))</f>
        <v/>
      </c>
      <c r="I54" s="41">
        <f>SUMPRODUCT($B$4:$B$6,1-NORMSDIST((LN(SQRT(G54*H54))-LN($C$4:$C$6))/$B$9))</f>
        <v/>
      </c>
      <c r="J54" s="9">
        <f>IF(L53&gt;0.25,SQRT(J53*K53),J53)</f>
        <v/>
      </c>
      <c r="K54" s="9">
        <f>IF(L53&gt;0.25,K53,SQRT(J53*K53))</f>
        <v/>
      </c>
      <c r="L54" s="41">
        <f>SUMPRODUCT($B$4:$B$6,1-NORMSDIST((LN(SQRT(J54*K54))-LN($C$4:$C$6))/$B$9))</f>
        <v/>
      </c>
      <c r="M54" s="9">
        <f>IF(O53&gt;0.09999999999999998,SQRT(M53*N53),M53)</f>
        <v/>
      </c>
      <c r="N54" s="9">
        <f>IF(O53&gt;0.09999999999999998,N53,SQRT(M53*N53))</f>
        <v/>
      </c>
      <c r="O54" s="41">
        <f>SUMPRODUCT($B$4:$B$6,1-NORMSDIST((LN(SQRT(M54*N54))-LN($C$4:$C$6))/$B$9))</f>
        <v/>
      </c>
    </row>
    <row r="55">
      <c r="A55" s="9">
        <f>IF(C54&gt;0.5,SQRT(A54*B54),A54)</f>
        <v/>
      </c>
      <c r="B55" s="9">
        <f>IF(C54&gt;0.5,B54,SQRT(A54*B54))</f>
        <v/>
      </c>
      <c r="C55" s="41">
        <f>SUMPRODUCT($B$4:$B$6,1-NORMSDIST((LN(SQRT(A55*B55))-LN($C$4:$C$6))/$B$9))</f>
        <v/>
      </c>
      <c r="D55" s="9">
        <f>IF(F54&gt;0.9,SQRT(D54*E54),D54)</f>
        <v/>
      </c>
      <c r="E55" s="9">
        <f>IF(F54&gt;0.9,E54,SQRT(D54*E54))</f>
        <v/>
      </c>
      <c r="F55" s="41">
        <f>SUMPRODUCT($B$4:$B$6,1-NORMSDIST((LN(SQRT(D55*E55))-LN($C$4:$C$6))/$B$9))</f>
        <v/>
      </c>
      <c r="G55" s="9">
        <f>IF(I54&gt;0.75,SQRT(G54*H54),G54)</f>
        <v/>
      </c>
      <c r="H55" s="9">
        <f>IF(I54&gt;0.75,H54,SQRT(G54*H54))</f>
        <v/>
      </c>
      <c r="I55" s="41">
        <f>SUMPRODUCT($B$4:$B$6,1-NORMSDIST((LN(SQRT(G55*H55))-LN($C$4:$C$6))/$B$9))</f>
        <v/>
      </c>
      <c r="J55" s="9">
        <f>IF(L54&gt;0.25,SQRT(J54*K54),J54)</f>
        <v/>
      </c>
      <c r="K55" s="9">
        <f>IF(L54&gt;0.25,K54,SQRT(J54*K54))</f>
        <v/>
      </c>
      <c r="L55" s="41">
        <f>SUMPRODUCT($B$4:$B$6,1-NORMSDIST((LN(SQRT(J55*K55))-LN($C$4:$C$6))/$B$9))</f>
        <v/>
      </c>
      <c r="M55" s="9">
        <f>IF(O54&gt;0.09999999999999998,SQRT(M54*N54),M54)</f>
        <v/>
      </c>
      <c r="N55" s="9">
        <f>IF(O54&gt;0.09999999999999998,N54,SQRT(M54*N54))</f>
        <v/>
      </c>
      <c r="O55" s="41">
        <f>SUMPRODUCT($B$4:$B$6,1-NORMSDIST((LN(SQRT(M55*N55))-LN($C$4:$C$6))/$B$9))</f>
        <v/>
      </c>
    </row>
    <row r="56">
      <c r="A56" s="9">
        <f>IF(C55&gt;0.5,SQRT(A55*B55),A55)</f>
        <v/>
      </c>
      <c r="B56" s="9">
        <f>IF(C55&gt;0.5,B55,SQRT(A55*B55))</f>
        <v/>
      </c>
      <c r="C56" s="41">
        <f>SUMPRODUCT($B$4:$B$6,1-NORMSDIST((LN(SQRT(A56*B56))-LN($C$4:$C$6))/$B$9))</f>
        <v/>
      </c>
      <c r="D56" s="9">
        <f>IF(F55&gt;0.9,SQRT(D55*E55),D55)</f>
        <v/>
      </c>
      <c r="E56" s="9">
        <f>IF(F55&gt;0.9,E55,SQRT(D55*E55))</f>
        <v/>
      </c>
      <c r="F56" s="41">
        <f>SUMPRODUCT($B$4:$B$6,1-NORMSDIST((LN(SQRT(D56*E56))-LN($C$4:$C$6))/$B$9))</f>
        <v/>
      </c>
      <c r="G56" s="9">
        <f>IF(I55&gt;0.75,SQRT(G55*H55),G55)</f>
        <v/>
      </c>
      <c r="H56" s="9">
        <f>IF(I55&gt;0.75,H55,SQRT(G55*H55))</f>
        <v/>
      </c>
      <c r="I56" s="41">
        <f>SUMPRODUCT($B$4:$B$6,1-NORMSDIST((LN(SQRT(G56*H56))-LN($C$4:$C$6))/$B$9))</f>
        <v/>
      </c>
      <c r="J56" s="9">
        <f>IF(L55&gt;0.25,SQRT(J55*K55),J55)</f>
        <v/>
      </c>
      <c r="K56" s="9">
        <f>IF(L55&gt;0.25,K55,SQRT(J55*K55))</f>
        <v/>
      </c>
      <c r="L56" s="41">
        <f>SUMPRODUCT($B$4:$B$6,1-NORMSDIST((LN(SQRT(J56*K56))-LN($C$4:$C$6))/$B$9))</f>
        <v/>
      </c>
      <c r="M56" s="9">
        <f>IF(O55&gt;0.09999999999999998,SQRT(M55*N55),M55)</f>
        <v/>
      </c>
      <c r="N56" s="9">
        <f>IF(O55&gt;0.09999999999999998,N55,SQRT(M55*N55))</f>
        <v/>
      </c>
      <c r="O56" s="41">
        <f>SUMPRODUCT($B$4:$B$6,1-NORMSDIST((LN(SQRT(M56*N56))-LN($C$4:$C$6))/$B$9))</f>
        <v/>
      </c>
    </row>
    <row r="57">
      <c r="A57" s="9">
        <f>IF(C56&gt;0.5,SQRT(A56*B56),A56)</f>
        <v/>
      </c>
      <c r="B57" s="9">
        <f>IF(C56&gt;0.5,B56,SQRT(A56*B56))</f>
        <v/>
      </c>
      <c r="C57" s="41">
        <f>SUMPRODUCT($B$4:$B$6,1-NORMSDIST((LN(SQRT(A57*B57))-LN($C$4:$C$6))/$B$9))</f>
        <v/>
      </c>
      <c r="D57" s="9">
        <f>IF(F56&gt;0.9,SQRT(D56*E56),D56)</f>
        <v/>
      </c>
      <c r="E57" s="9">
        <f>IF(F56&gt;0.9,E56,SQRT(D56*E56))</f>
        <v/>
      </c>
      <c r="F57" s="41">
        <f>SUMPRODUCT($B$4:$B$6,1-NORMSDIST((LN(SQRT(D57*E57))-LN($C$4:$C$6))/$B$9))</f>
        <v/>
      </c>
      <c r="G57" s="9">
        <f>IF(I56&gt;0.75,SQRT(G56*H56),G56)</f>
        <v/>
      </c>
      <c r="H57" s="9">
        <f>IF(I56&gt;0.75,H56,SQRT(G56*H56))</f>
        <v/>
      </c>
      <c r="I57" s="41">
        <f>SUMPRODUCT($B$4:$B$6,1-NORMSDIST((LN(SQRT(G57*H57))-LN($C$4:$C$6))/$B$9))</f>
        <v/>
      </c>
      <c r="J57" s="9">
        <f>IF(L56&gt;0.25,SQRT(J56*K56),J56)</f>
        <v/>
      </c>
      <c r="K57" s="9">
        <f>IF(L56&gt;0.25,K56,SQRT(J56*K56))</f>
        <v/>
      </c>
      <c r="L57" s="41">
        <f>SUMPRODUCT($B$4:$B$6,1-NORMSDIST((LN(SQRT(J57*K57))-LN($C$4:$C$6))/$B$9))</f>
        <v/>
      </c>
      <c r="M57" s="9">
        <f>IF(O56&gt;0.09999999999999998,SQRT(M56*N56),M56)</f>
        <v/>
      </c>
      <c r="N57" s="9">
        <f>IF(O56&gt;0.09999999999999998,N56,SQRT(M56*N56))</f>
        <v/>
      </c>
      <c r="O57" s="41">
        <f>SUMPRODUCT($B$4:$B$6,1-NORMSDIST((LN(SQRT(M57*N57))-LN($C$4:$C$6))/$B$9))</f>
        <v/>
      </c>
    </row>
    <row r="58">
      <c r="A58" s="9">
        <f>IF(C57&gt;0.5,SQRT(A57*B57),A57)</f>
        <v/>
      </c>
      <c r="B58" s="9">
        <f>IF(C57&gt;0.5,B57,SQRT(A57*B57))</f>
        <v/>
      </c>
      <c r="C58" s="41">
        <f>SUMPRODUCT($B$4:$B$6,1-NORMSDIST((LN(SQRT(A58*B58))-LN($C$4:$C$6))/$B$9))</f>
        <v/>
      </c>
      <c r="D58" s="9">
        <f>IF(F57&gt;0.9,SQRT(D57*E57),D57)</f>
        <v/>
      </c>
      <c r="E58" s="9">
        <f>IF(F57&gt;0.9,E57,SQRT(D57*E57))</f>
        <v/>
      </c>
      <c r="F58" s="41">
        <f>SUMPRODUCT($B$4:$B$6,1-NORMSDIST((LN(SQRT(D58*E58))-LN($C$4:$C$6))/$B$9))</f>
        <v/>
      </c>
      <c r="G58" s="9">
        <f>IF(I57&gt;0.75,SQRT(G57*H57),G57)</f>
        <v/>
      </c>
      <c r="H58" s="9">
        <f>IF(I57&gt;0.75,H57,SQRT(G57*H57))</f>
        <v/>
      </c>
      <c r="I58" s="41">
        <f>SUMPRODUCT($B$4:$B$6,1-NORMSDIST((LN(SQRT(G58*H58))-LN($C$4:$C$6))/$B$9))</f>
        <v/>
      </c>
      <c r="J58" s="9">
        <f>IF(L57&gt;0.25,SQRT(J57*K57),J57)</f>
        <v/>
      </c>
      <c r="K58" s="9">
        <f>IF(L57&gt;0.25,K57,SQRT(J57*K57))</f>
        <v/>
      </c>
      <c r="L58" s="41">
        <f>SUMPRODUCT($B$4:$B$6,1-NORMSDIST((LN(SQRT(J58*K58))-LN($C$4:$C$6))/$B$9))</f>
        <v/>
      </c>
      <c r="M58" s="9">
        <f>IF(O57&gt;0.09999999999999998,SQRT(M57*N57),M57)</f>
        <v/>
      </c>
      <c r="N58" s="9">
        <f>IF(O57&gt;0.09999999999999998,N57,SQRT(M57*N57))</f>
        <v/>
      </c>
      <c r="O58" s="41">
        <f>SUMPRODUCT($B$4:$B$6,1-NORMSDIST((LN(SQRT(M58*N58))-LN($C$4:$C$6))/$B$9))</f>
        <v/>
      </c>
    </row>
    <row r="59">
      <c r="A59" s="9">
        <f>IF(C58&gt;0.5,SQRT(A58*B58),A58)</f>
        <v/>
      </c>
      <c r="B59" s="9">
        <f>IF(C58&gt;0.5,B58,SQRT(A58*B58))</f>
        <v/>
      </c>
      <c r="C59" s="41">
        <f>SUMPRODUCT($B$4:$B$6,1-NORMSDIST((LN(SQRT(A59*B59))-LN($C$4:$C$6))/$B$9))</f>
        <v/>
      </c>
      <c r="D59" s="9">
        <f>IF(F58&gt;0.9,SQRT(D58*E58),D58)</f>
        <v/>
      </c>
      <c r="E59" s="9">
        <f>IF(F58&gt;0.9,E58,SQRT(D58*E58))</f>
        <v/>
      </c>
      <c r="F59" s="41">
        <f>SUMPRODUCT($B$4:$B$6,1-NORMSDIST((LN(SQRT(D59*E59))-LN($C$4:$C$6))/$B$9))</f>
        <v/>
      </c>
      <c r="G59" s="9">
        <f>IF(I58&gt;0.75,SQRT(G58*H58),G58)</f>
        <v/>
      </c>
      <c r="H59" s="9">
        <f>IF(I58&gt;0.75,H58,SQRT(G58*H58))</f>
        <v/>
      </c>
      <c r="I59" s="41">
        <f>SUMPRODUCT($B$4:$B$6,1-NORMSDIST((LN(SQRT(G59*H59))-LN($C$4:$C$6))/$B$9))</f>
        <v/>
      </c>
      <c r="J59" s="9">
        <f>IF(L58&gt;0.25,SQRT(J58*K58),J58)</f>
        <v/>
      </c>
      <c r="K59" s="9">
        <f>IF(L58&gt;0.25,K58,SQRT(J58*K58))</f>
        <v/>
      </c>
      <c r="L59" s="41">
        <f>SUMPRODUCT($B$4:$B$6,1-NORMSDIST((LN(SQRT(J59*K59))-LN($C$4:$C$6))/$B$9))</f>
        <v/>
      </c>
      <c r="M59" s="9">
        <f>IF(O58&gt;0.09999999999999998,SQRT(M58*N58),M58)</f>
        <v/>
      </c>
      <c r="N59" s="9">
        <f>IF(O58&gt;0.09999999999999998,N58,SQRT(M58*N58))</f>
        <v/>
      </c>
      <c r="O59" s="41">
        <f>SUMPRODUCT($B$4:$B$6,1-NORMSDIST((LN(SQRT(M59*N59))-LN($C$4:$C$6))/$B$9))</f>
        <v/>
      </c>
    </row>
    <row r="60">
      <c r="A60" s="9">
        <f>IF(C59&gt;0.5,SQRT(A59*B59),A59)</f>
        <v/>
      </c>
      <c r="B60" s="9">
        <f>IF(C59&gt;0.5,B59,SQRT(A59*B59))</f>
        <v/>
      </c>
      <c r="C60" s="41">
        <f>SUMPRODUCT($B$4:$B$6,1-NORMSDIST((LN(SQRT(A60*B60))-LN($C$4:$C$6))/$B$9))</f>
        <v/>
      </c>
      <c r="D60" s="9">
        <f>IF(F59&gt;0.9,SQRT(D59*E59),D59)</f>
        <v/>
      </c>
      <c r="E60" s="9">
        <f>IF(F59&gt;0.9,E59,SQRT(D59*E59))</f>
        <v/>
      </c>
      <c r="F60" s="41">
        <f>SUMPRODUCT($B$4:$B$6,1-NORMSDIST((LN(SQRT(D60*E60))-LN($C$4:$C$6))/$B$9))</f>
        <v/>
      </c>
      <c r="G60" s="9">
        <f>IF(I59&gt;0.75,SQRT(G59*H59),G59)</f>
        <v/>
      </c>
      <c r="H60" s="9">
        <f>IF(I59&gt;0.75,H59,SQRT(G59*H59))</f>
        <v/>
      </c>
      <c r="I60" s="41">
        <f>SUMPRODUCT($B$4:$B$6,1-NORMSDIST((LN(SQRT(G60*H60))-LN($C$4:$C$6))/$B$9))</f>
        <v/>
      </c>
      <c r="J60" s="9">
        <f>IF(L59&gt;0.25,SQRT(J59*K59),J59)</f>
        <v/>
      </c>
      <c r="K60" s="9">
        <f>IF(L59&gt;0.25,K59,SQRT(J59*K59))</f>
        <v/>
      </c>
      <c r="L60" s="41">
        <f>SUMPRODUCT($B$4:$B$6,1-NORMSDIST((LN(SQRT(J60*K60))-LN($C$4:$C$6))/$B$9))</f>
        <v/>
      </c>
      <c r="M60" s="9">
        <f>IF(O59&gt;0.09999999999999998,SQRT(M59*N59),M59)</f>
        <v/>
      </c>
      <c r="N60" s="9">
        <f>IF(O59&gt;0.09999999999999998,N59,SQRT(M59*N59))</f>
        <v/>
      </c>
      <c r="O60" s="41">
        <f>SUMPRODUCT($B$4:$B$6,1-NORMSDIST((LN(SQRT(M60*N60))-LN($C$4:$C$6))/$B$9))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4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ABT engine calculation: research target (12m) (reconciled set, no scenario deltas)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6" t="n">
        <v>0</v>
      </c>
    </row>
    <row r="5">
      <c r="A5" t="inlineStr">
        <is>
          <t>Scenario Margin Δ</t>
        </is>
      </c>
      <c r="B5" s="16" t="n">
        <v>0</v>
      </c>
    </row>
    <row r="6">
      <c r="A6" t="inlineStr">
        <is>
          <t>Scenario Multiple Δ (turns)</t>
        </is>
      </c>
      <c r="B6" s="42" t="n">
        <v>0</v>
      </c>
    </row>
    <row r="7">
      <c r="A7" t="inlineStr">
        <is>
          <t>Scenario WACC Δ</t>
        </is>
      </c>
      <c r="B7" s="16" t="n">
        <v>0</v>
      </c>
    </row>
    <row r="8">
      <c r="A8" t="inlineStr">
        <is>
          <t>Scenario Multiple %Δ</t>
        </is>
      </c>
      <c r="B8" s="16" t="n">
        <v>0</v>
      </c>
    </row>
    <row r="9">
      <c r="A9" t="inlineStr">
        <is>
          <t>Scenario Stated EPS/FCF %Δ</t>
        </is>
      </c>
      <c r="B9" s="16" t="n">
        <v>0</v>
      </c>
    </row>
    <row r="10">
      <c r="A10" t="inlineStr">
        <is>
          <t>Scenario Custom %Δ</t>
        </is>
      </c>
      <c r="B10" s="16" t="n">
        <v>0</v>
      </c>
    </row>
    <row r="12">
      <c r="A12" t="inlineStr">
        <is>
          <t>WACC</t>
        </is>
      </c>
      <c r="B12" s="16">
        <f>Valuation!$B$51+B7</f>
        <v/>
      </c>
    </row>
    <row r="13">
      <c r="A13" t="inlineStr">
        <is>
          <t>Years from last FY end to target date</t>
        </is>
      </c>
      <c r="B13" s="43">
        <f>(Valuation!$B$45-Valuation!$B$49)/365.25</f>
        <v/>
      </c>
    </row>
    <row r="14">
      <c r="A14" t="inlineStr">
        <is>
          <t>Years from last FY end to balance date</t>
        </is>
      </c>
      <c r="B14" s="43">
        <f>(Valuation!$B$55-Valuation!$B$49)/365.25</f>
        <v/>
      </c>
    </row>
    <row r="15">
      <c r="A15" t="inlineStr">
        <is>
          <t>Years from last FY end to share count date</t>
        </is>
      </c>
      <c r="B15" s="43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18">
        <f>Valuation!$B$49+ROUND(365.25*C19,0)</f>
        <v/>
      </c>
      <c r="D20" s="18">
        <f>Valuation!$B$49+ROUND(365.25*D19,0)</f>
        <v/>
      </c>
      <c r="E20" s="18">
        <f>Valuation!$B$49+ROUND(365.25*E19,0)</f>
        <v/>
      </c>
    </row>
    <row r="21">
      <c r="A21" t="inlineStr">
        <is>
          <t>Revenue growth</t>
        </is>
      </c>
      <c r="C21" s="16">
        <f>C22/B22-1</f>
        <v/>
      </c>
      <c r="D21" s="16">
        <f>D22/C22-1</f>
        <v/>
      </c>
      <c r="E21" s="16">
        <f>E22/D22-1</f>
        <v/>
      </c>
    </row>
    <row r="22">
      <c r="A22" t="inlineStr">
        <is>
          <t>Revenue</t>
        </is>
      </c>
      <c r="B22" s="21">
        <f>Valuation!$B$50</f>
        <v/>
      </c>
      <c r="C22" s="21">
        <f>C151</f>
        <v/>
      </c>
      <c r="D22" s="21">
        <f>D151</f>
        <v/>
      </c>
      <c r="E22" s="21">
        <f>E151</f>
        <v/>
      </c>
    </row>
    <row r="23">
      <c r="A23" t="inlineStr">
        <is>
          <t>EBIT margin</t>
        </is>
      </c>
      <c r="C23" s="16">
        <f>C24/C22</f>
        <v/>
      </c>
      <c r="D23" s="16">
        <f>D24/D22</f>
        <v/>
      </c>
      <c r="E23" s="16">
        <f>E24/E22</f>
        <v/>
      </c>
    </row>
    <row r="24">
      <c r="A24" t="inlineStr">
        <is>
          <t>EBIT</t>
        </is>
      </c>
      <c r="C24" s="21">
        <f>C154</f>
        <v/>
      </c>
      <c r="D24" s="21">
        <f>D154</f>
        <v/>
      </c>
      <c r="E24" s="21">
        <f>E154</f>
        <v/>
      </c>
    </row>
    <row r="25">
      <c r="A25" t="inlineStr">
        <is>
          <t>Tax rate</t>
        </is>
      </c>
      <c r="C25" s="16">
        <f>Model!E75</f>
        <v/>
      </c>
      <c r="D25" s="16">
        <f>Model!F75</f>
        <v/>
      </c>
      <c r="E25" s="16">
        <f>Model!G75</f>
        <v/>
      </c>
    </row>
    <row r="26">
      <c r="A26" t="inlineStr">
        <is>
          <t>NOPAT</t>
        </is>
      </c>
      <c r="C26" s="21">
        <f>C24*(1-C25)</f>
        <v/>
      </c>
      <c r="D26" s="21">
        <f>D24*(1-D25)</f>
        <v/>
      </c>
      <c r="E26" s="21">
        <f>E24*(1-E25)</f>
        <v/>
      </c>
    </row>
    <row r="27">
      <c r="A27" t="inlineStr">
        <is>
          <t>D&amp;A</t>
        </is>
      </c>
      <c r="C27" s="21">
        <f>C22*(Model!E76)</f>
        <v/>
      </c>
      <c r="D27" s="21">
        <f>D22*(Model!F76)</f>
        <v/>
      </c>
      <c r="E27" s="21">
        <f>E22*(Model!G76)</f>
        <v/>
      </c>
    </row>
    <row r="28">
      <c r="A28" t="inlineStr">
        <is>
          <t>Capex</t>
        </is>
      </c>
      <c r="C28" s="21">
        <f>C22*(Model!E77)</f>
        <v/>
      </c>
      <c r="D28" s="21">
        <f>D22*(Model!F77)</f>
        <v/>
      </c>
      <c r="E28" s="21">
        <f>E22*(Model!G77)</f>
        <v/>
      </c>
    </row>
    <row r="29">
      <c r="A29" t="inlineStr">
        <is>
          <t>Working capital increase</t>
        </is>
      </c>
      <c r="C29" s="21">
        <f>(Model!E78)*(C22-B22)</f>
        <v/>
      </c>
      <c r="D29" s="21">
        <f>(Model!F78)*(D22-C22)</f>
        <v/>
      </c>
      <c r="E29" s="21">
        <f>(Model!G78)*(E22-D22)</f>
        <v/>
      </c>
    </row>
    <row r="30">
      <c r="A30" t="inlineStr">
        <is>
          <t>Stock comp</t>
        </is>
      </c>
      <c r="C30" s="21">
        <f>C22*(Model!E79)</f>
        <v/>
      </c>
      <c r="D30" s="21">
        <f>D22*(Model!F79)</f>
        <v/>
      </c>
      <c r="E30" s="21">
        <f>E22*(Model!G79)</f>
        <v/>
      </c>
    </row>
    <row r="31">
      <c r="A31" t="inlineStr">
        <is>
          <t>Free cash flow to firm</t>
        </is>
      </c>
      <c r="C31" s="21">
        <f>C26+C27-C28-C29-IF(AND(Valuation!$B$47="adjusted",Valuation!$B$48="cost"),C30*(1-C25),0)</f>
        <v/>
      </c>
      <c r="D31" s="21">
        <f>D26+D27-D28-D29-IF(AND(Valuation!$B$47="adjusted",Valuation!$B$48="cost"),D30*(1-D25),0)</f>
        <v/>
      </c>
      <c r="E31" s="21">
        <f>E26+E27-E28-E29-IF(AND(Valuation!$B$47="adjusted",Valuation!$B$48="cost"),E30*(1-E25),0)</f>
        <v/>
      </c>
    </row>
    <row r="32">
      <c r="A32" t="inlineStr">
        <is>
          <t>EBITDA</t>
        </is>
      </c>
      <c r="C32" s="21">
        <f>C24+C27</f>
        <v/>
      </c>
      <c r="D32" s="21">
        <f>D24+D27</f>
        <v/>
      </c>
      <c r="E32" s="21">
        <f>E24+E27</f>
        <v/>
      </c>
    </row>
    <row r="33">
      <c r="A33" t="inlineStr">
        <is>
          <t>Adj. EBITDA</t>
        </is>
      </c>
      <c r="C33" s="21">
        <f>C24+C27+C22*(Model!E83)</f>
        <v/>
      </c>
      <c r="D33" s="21">
        <f>D24+D27+D22*(Model!F83)</f>
        <v/>
      </c>
      <c r="E33" s="21">
        <f>E24+E27+E22*(Model!G83)</f>
        <v/>
      </c>
    </row>
    <row r="34">
      <c r="A34" t="inlineStr">
        <is>
          <t>Shareholder returns + other uses</t>
        </is>
      </c>
      <c r="C34" s="21">
        <f>C22*Model!E81+Model!E80+Model!E82</f>
        <v/>
      </c>
      <c r="D34" s="21">
        <f>D22*Model!F81+Model!F80+Model!F82</f>
        <v/>
      </c>
      <c r="E34" s="21">
        <f>E22*Model!G81+Model!G80+Model!G82</f>
        <v/>
      </c>
    </row>
    <row r="35">
      <c r="A35" t="inlineStr">
        <is>
          <t>Share of year after target date</t>
        </is>
      </c>
      <c r="C35" s="43">
        <f>IF(C19&lt;=$B$13,0,C19-MAX(C19-1,$B$13))</f>
        <v/>
      </c>
      <c r="D35" s="43">
        <f>IF(D19&lt;=$B$13,0,D19-MAX(D19-1,$B$13))</f>
        <v/>
      </c>
      <c r="E35" s="43">
        <f>IF(E19&lt;=$B$13,0,E19-MAX(E19-1,$B$13))</f>
        <v/>
      </c>
    </row>
    <row r="36">
      <c r="A36" t="inlineStr">
        <is>
          <t>PV at target date of FCFF</t>
        </is>
      </c>
      <c r="C36" s="21">
        <f>IF(C35=0,0,C31*C35/(1+$B$12)^(C19-$B$13))</f>
        <v/>
      </c>
      <c r="D36" s="21">
        <f>IF(D35=0,0,D31*D35/(1+$B$12)^(D19-$B$13))</f>
        <v/>
      </c>
      <c r="E36" s="21">
        <f>IF(E35=0,0,E31*E35/(1+$B$12)^(E19-$B$13))</f>
        <v/>
      </c>
    </row>
    <row r="37">
      <c r="A37" t="inlineStr">
        <is>
          <t>Overlap: balance date to target date</t>
        </is>
      </c>
      <c r="C37" s="43">
        <f>MAX(0,MIN(C19,$B$13)-MAX(C19-1,$B$14))</f>
        <v/>
      </c>
      <c r="D37" s="43">
        <f>MAX(0,MIN(D19,$B$13)-MAX(D19-1,$B$14))</f>
        <v/>
      </c>
      <c r="E37" s="43">
        <f>MAX(0,MIN(E19,$B$13)-MAX(E19-1,$B$14))</f>
        <v/>
      </c>
    </row>
    <row r="38">
      <c r="A38" t="inlineStr">
        <is>
          <t>NTM weight at target date</t>
        </is>
      </c>
      <c r="C38" s="43">
        <f>MAX(0,MIN(C19,$B$13+1)-MAX(C19-1,$B$13))</f>
        <v/>
      </c>
      <c r="D38" s="43">
        <f>MAX(0,MIN(D19,$B$13+1)-MAX(D19-1,$B$13))</f>
        <v/>
      </c>
      <c r="E38" s="43">
        <f>MAX(0,MIN(E19,$B$13+1)-MAX(E19-1,$B$13))</f>
        <v/>
      </c>
    </row>
    <row r="39">
      <c r="A39" t="inlineStr">
        <is>
          <t>LTM weight at target date</t>
        </is>
      </c>
      <c r="B39" s="43">
        <f>MAX(0,MIN(0,$B$13)-MAX(-1,$B$13-1))</f>
        <v/>
      </c>
      <c r="C39" s="43">
        <f>MAX(0,MIN(C19,$B$13)-MAX(C19-1,$B$13-1))</f>
        <v/>
      </c>
      <c r="D39" s="43">
        <f>MAX(0,MIN(D19,$B$13)-MAX(D19-1,$B$13-1))</f>
        <v/>
      </c>
      <c r="E39" s="43">
        <f>MAX(0,MIN(E19,$B$13)-MAX(E19-1,$B$13-1))</f>
        <v/>
      </c>
    </row>
    <row r="41">
      <c r="A41" s="17" t="inlineStr">
        <is>
          <t>Value at the target date</t>
        </is>
      </c>
    </row>
    <row r="42">
      <c r="A42" t="inlineStr">
        <is>
          <t>PV of free cash flow after the target date</t>
        </is>
      </c>
      <c r="B42" s="21">
        <f>SUM($C$36:$E$36)</f>
        <v/>
      </c>
    </row>
    <row r="43">
      <c r="A43" t="inlineStr">
        <is>
          <t>Terminal value at final year</t>
        </is>
      </c>
      <c r="B43" s="21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1">
        <f>B43/(1+$B$12)^($B$16-$B$13)</f>
        <v/>
      </c>
    </row>
    <row r="45">
      <c r="A45" t="inlineStr">
        <is>
          <t>DCF enterprise value at target date</t>
        </is>
      </c>
      <c r="B45" s="21">
        <f>B42+B44</f>
        <v/>
      </c>
    </row>
    <row r="46">
      <c r="A46" t="inlineStr">
        <is>
          <t>Terminal value share of DCF</t>
        </is>
      </c>
      <c r="B46" s="16">
        <f>B44/B45</f>
        <v/>
      </c>
    </row>
    <row r="47">
      <c r="A47" t="inlineStr">
        <is>
          <t>Free cash flow earned, balance date to target date</t>
        </is>
      </c>
      <c r="B47" s="21">
        <f>SUMPRODUCT($C$37:$E$37,$C$31:$E$31)</f>
        <v/>
      </c>
    </row>
    <row r="48">
      <c r="A48" t="inlineStr">
        <is>
          <t>Shareholder returns + other uses paid</t>
        </is>
      </c>
      <c r="B48" s="21">
        <f>SUMPRODUCT($C$37:$E$37,$C$34:$E$34)</f>
        <v/>
      </c>
    </row>
    <row r="49">
      <c r="A49" t="inlineStr">
        <is>
          <t>Interest drag on net debt</t>
        </is>
      </c>
      <c r="B49" s="21">
        <f>Valuation!$B$58*(1-$C$25)*MAX(Valuation!$B$56,0)*MAX($B$13-$B$14,0)</f>
        <v/>
      </c>
    </row>
    <row r="50">
      <c r="A50" t="inlineStr">
        <is>
          <t>Net debt at target date</t>
        </is>
      </c>
      <c r="B50" s="21">
        <f>IF(Valuation!$B$59="",Valuation!$B$56-B47+B49+B48,Valuation!$B$59)</f>
        <v/>
      </c>
    </row>
    <row r="51">
      <c r="A51" t="inlineStr">
        <is>
          <t>Minority interests</t>
        </is>
      </c>
      <c r="B51" s="21">
        <f>Valuation!$B$57</f>
        <v/>
      </c>
    </row>
    <row r="52">
      <c r="A52" t="inlineStr">
        <is>
          <t>Adjustments (probability-weighted)</t>
        </is>
      </c>
      <c r="B52" s="21">
        <f>(Valuation!B77)*Valuation!C77+(Valuation!B78)*Valuation!C78+(Valuation!B79)*Valuation!C79+(Valuation!B80)*Valuation!C80+(Valuation!B81)*Valuation!C81+(Valuation!B82)*Valuation!C82+0</f>
        <v/>
      </c>
    </row>
    <row r="53">
      <c r="A53" t="inlineStr">
        <is>
          <t>Diluted shares at target date (M)</t>
        </is>
      </c>
      <c r="B53" s="26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1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1">
        <f>SUMPRODUCT($C$38:$E$38,$C$22:$E$22)</f>
        <v/>
      </c>
      <c r="C59" s="21">
        <f>SUMPRODUCT($C$39:$E$39,$C$22:$E$22)+$B$39*$B$22</f>
        <v/>
      </c>
    </row>
    <row r="60">
      <c r="A60" t="inlineStr">
        <is>
          <t>EBIT</t>
        </is>
      </c>
      <c r="B60" s="21">
        <f>SUMPRODUCT($C$38:$E$38,$C$24:$E$24)</f>
        <v/>
      </c>
      <c r="C60" s="21">
        <f>SUMPRODUCT($C$39:$E$39,$C$24:$E$24)</f>
        <v/>
      </c>
    </row>
    <row r="61">
      <c r="A61" t="inlineStr">
        <is>
          <t>EBITDA</t>
        </is>
      </c>
      <c r="B61" s="21">
        <f>SUMPRODUCT($C$38:$E$38,$C$32:$E$32)</f>
        <v/>
      </c>
      <c r="C61" s="21">
        <f>SUMPRODUCT($C$39:$E$39,$C$32:$E$32)</f>
        <v/>
      </c>
    </row>
    <row r="62">
      <c r="A62" t="inlineStr">
        <is>
          <t>Adj. EBITDA</t>
        </is>
      </c>
      <c r="B62" s="21">
        <f>SUMPRODUCT($C$38:$E$38,$C$33:$E$33)</f>
        <v/>
      </c>
      <c r="C62" s="21">
        <f>SUMPRODUCT($C$39:$E$39,$C$33:$E$33)</f>
        <v/>
      </c>
    </row>
    <row r="63">
      <c r="A63" t="inlineStr">
        <is>
          <t>NOPAT</t>
        </is>
      </c>
      <c r="B63" s="21">
        <f>SUMPRODUCT($C$38:$E$38,$C$26:$E$26)</f>
        <v/>
      </c>
      <c r="C63" s="21">
        <f>SUMPRODUCT($C$39:$E$39,$C$26:$E$26)</f>
        <v/>
      </c>
    </row>
    <row r="64">
      <c r="A64" t="inlineStr">
        <is>
          <t>Free cash flow to firm</t>
        </is>
      </c>
      <c r="B64" s="21">
        <f>SUMPRODUCT($C$38:$E$38,$C$31:$E$31)</f>
        <v/>
      </c>
      <c r="C64" s="21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6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1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70)*(1+$B$9),C68*(E68-$B$54)/$B$53),IF(Valuation!G70&lt;&gt;"",(Valuation!G70)*(1+$B$9)/C68,(E68-IF(Valuation!H70,$B$54,0))/C68/$B$53))+$B$52/$B$53)</f>
        <v/>
      </c>
      <c r="G68" s="16">
        <f>Valuation!C70</f>
        <v/>
      </c>
      <c r="H68">
        <f>IF(B68="EV/sales",1,IF(B68="EV/EBIT",2,IF(B68="EV/EBITDA",IF(Valuation!E70="adjusted",4,3),IF(B68="P/E",5,6))))</f>
        <v/>
      </c>
      <c r="I68" s="44">
        <f>IF(AND(B68="P/E",Valuation!F70&lt;&gt;""),(Valuation!F70)*(1+$B$9),IF(AND(B68="FCF yield",Valuation!G70&lt;&gt;""),(Valuation!G70)*(1+$B$9),E68))</f>
        <v/>
      </c>
    </row>
    <row r="69">
      <c r="A69">
        <f>"Multiple: "&amp;Valuation!A71&amp;" ("&amp;Valuation!D71&amp;")"</f>
        <v/>
      </c>
      <c r="B69">
        <f>Valuation!A71</f>
        <v/>
      </c>
      <c r="C69" s="9">
        <f>IF(B69="FCF yield",(Valuation!B71)*(1-$B$8),(Valuation!B71)+IF(B69="EV/sales",0.1,1)*$B$6)</f>
        <v/>
      </c>
      <c r="D69">
        <f>Valuation!D71</f>
        <v/>
      </c>
      <c r="E69" s="21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71&lt;&gt;"",C69*(Valuation!F71)*(1+$B$9),C69*(E69-$B$54)/$B$53),IF(Valuation!G71&lt;&gt;"",(Valuation!G71)*(1+$B$9)/C69,(E69-IF(Valuation!H71,$B$54,0))/C69/$B$53))+$B$52/$B$53)</f>
        <v/>
      </c>
      <c r="G69" s="16">
        <f>Valuation!C71</f>
        <v/>
      </c>
      <c r="H69">
        <f>IF(B69="EV/sales",1,IF(B69="EV/EBIT",2,IF(B69="EV/EBITDA",IF(Valuation!E71="adjusted",4,3),IF(B69="P/E",5,6))))</f>
        <v/>
      </c>
      <c r="I69" s="44">
        <f>IF(AND(B69="P/E",Valuation!F71&lt;&gt;""),(Valuation!F71)*(1+$B$9),IF(AND(B69="FCF yield",Valuation!G71&lt;&gt;""),(Valuation!G71)*(1+$B$9),E69))</f>
        <v/>
      </c>
    </row>
    <row r="70">
      <c r="A70" s="17" t="inlineStr">
        <is>
          <t>Value per share at target date (weighted methods)</t>
        </is>
      </c>
      <c r="F70" s="6">
        <f>SUMPRODUCT(F67:F69,G67:G69)/SUM(G67:G69)</f>
        <v/>
      </c>
    </row>
    <row r="129">
      <c r="A129" s="17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Medical Devices (Diabetes Care, EP, Rhyt: revenue growth</t>
        </is>
      </c>
      <c r="C131" s="16">
        <f>Model!E12+$B$4</f>
        <v/>
      </c>
      <c r="D131" s="16">
        <f>Model!F12+$B$4</f>
        <v/>
      </c>
      <c r="E131" s="16">
        <f>Model!G12+$B$4</f>
        <v/>
      </c>
    </row>
    <row r="132">
      <c r="A132" t="inlineStr">
        <is>
          <t>Medical Devices (Diabetes Care, EP, Rhyt: revenue</t>
        </is>
      </c>
      <c r="B132" s="10">
        <f>Valuation!$B$93</f>
        <v/>
      </c>
      <c r="C132" s="21">
        <f>B132*(1+C131)</f>
        <v/>
      </c>
      <c r="D132" s="21">
        <f>C132*(1+D131)</f>
        <v/>
      </c>
      <c r="E132" s="21">
        <f>D132*(1+E131)</f>
        <v/>
      </c>
    </row>
    <row r="133">
      <c r="A133" t="inlineStr">
        <is>
          <t>Medical Devices (Diabetes Care, EP, Rhyt: EBIT margin</t>
        </is>
      </c>
      <c r="C133" s="16">
        <f>Model!E14+$B$5</f>
        <v/>
      </c>
      <c r="D133" s="16">
        <f>Model!F14+$B$5</f>
        <v/>
      </c>
      <c r="E133" s="16">
        <f>Model!G14+$B$5</f>
        <v/>
      </c>
    </row>
    <row r="134">
      <c r="A134" t="inlineStr">
        <is>
          <t>Medical Devices (Diabetes Care, EP, Rhyt: EBIT</t>
        </is>
      </c>
      <c r="C134" s="21">
        <f>C132*C133</f>
        <v/>
      </c>
      <c r="D134" s="21">
        <f>D132*D133</f>
        <v/>
      </c>
      <c r="E134" s="21">
        <f>E132*E133</f>
        <v/>
      </c>
    </row>
    <row r="135">
      <c r="A135" t="inlineStr">
        <is>
          <t>Diagnostics (Core Lab, Rapid/Molecular, : revenue growth</t>
        </is>
      </c>
      <c r="C135" s="16">
        <f>Model!E16+$B$4</f>
        <v/>
      </c>
      <c r="D135" s="16">
        <f>Model!F16+$B$4</f>
        <v/>
      </c>
      <c r="E135" s="16">
        <f>Model!G16+$B$4</f>
        <v/>
      </c>
    </row>
    <row r="136">
      <c r="A136" t="inlineStr">
        <is>
          <t>Diagnostics (Core Lab, Rapid/Molecular, : revenue</t>
        </is>
      </c>
      <c r="B136" s="10">
        <f>Valuation!$B$94</f>
        <v/>
      </c>
      <c r="C136" s="21">
        <f>B136*(1+C135)</f>
        <v/>
      </c>
      <c r="D136" s="21">
        <f>C136*(1+D135)</f>
        <v/>
      </c>
      <c r="E136" s="21">
        <f>D136*(1+E135)</f>
        <v/>
      </c>
    </row>
    <row r="137">
      <c r="A137" t="inlineStr">
        <is>
          <t>Diagnostics (Core Lab, Rapid/Molecular, : EBIT margin</t>
        </is>
      </c>
      <c r="C137" s="16">
        <f>Model!E18+$B$5</f>
        <v/>
      </c>
      <c r="D137" s="16">
        <f>Model!F18+$B$5</f>
        <v/>
      </c>
      <c r="E137" s="16">
        <f>Model!G18+$B$5</f>
        <v/>
      </c>
    </row>
    <row r="138">
      <c r="A138" t="inlineStr">
        <is>
          <t>Diagnostics (Core Lab, Rapid/Molecular, : EBIT</t>
        </is>
      </c>
      <c r="C138" s="21">
        <f>C136*C137</f>
        <v/>
      </c>
      <c r="D138" s="21">
        <f>D136*D137</f>
        <v/>
      </c>
      <c r="E138" s="21">
        <f>E136*E137</f>
        <v/>
      </c>
    </row>
    <row r="139">
      <c r="A139" t="inlineStr">
        <is>
          <t>Nutrition: revenue growth</t>
        </is>
      </c>
      <c r="C139" s="16">
        <f>Model!E20+$B$4</f>
        <v/>
      </c>
      <c r="D139" s="16">
        <f>Model!F20+$B$4</f>
        <v/>
      </c>
      <c r="E139" s="16">
        <f>Model!G20+$B$4</f>
        <v/>
      </c>
    </row>
    <row r="140">
      <c r="A140" t="inlineStr">
        <is>
          <t>Nutrition: revenue</t>
        </is>
      </c>
      <c r="B140" s="10">
        <f>Valuation!$B$95</f>
        <v/>
      </c>
      <c r="C140" s="21">
        <f>B140*(1+C139)</f>
        <v/>
      </c>
      <c r="D140" s="21">
        <f>C140*(1+D139)</f>
        <v/>
      </c>
      <c r="E140" s="21">
        <f>D140*(1+E139)</f>
        <v/>
      </c>
    </row>
    <row r="141">
      <c r="A141" t="inlineStr">
        <is>
          <t>Nutrition: EBIT margin</t>
        </is>
      </c>
      <c r="C141" s="16">
        <f>Model!E22+$B$5</f>
        <v/>
      </c>
      <c r="D141" s="16">
        <f>Model!F22+$B$5</f>
        <v/>
      </c>
      <c r="E141" s="16">
        <f>Model!G22+$B$5</f>
        <v/>
      </c>
    </row>
    <row r="142">
      <c r="A142" t="inlineStr">
        <is>
          <t>Nutrition: EBIT</t>
        </is>
      </c>
      <c r="C142" s="21">
        <f>C140*C141</f>
        <v/>
      </c>
      <c r="D142" s="21">
        <f>D140*D141</f>
        <v/>
      </c>
      <c r="E142" s="21">
        <f>E140*E141</f>
        <v/>
      </c>
    </row>
    <row r="143">
      <c r="A143" t="inlineStr">
        <is>
          <t>Established Pharmaceuticals: revenue growth</t>
        </is>
      </c>
      <c r="C143" s="16">
        <f>Model!E24+$B$4</f>
        <v/>
      </c>
      <c r="D143" s="16">
        <f>Model!F24+$B$4</f>
        <v/>
      </c>
      <c r="E143" s="16">
        <f>Model!G24+$B$4</f>
        <v/>
      </c>
    </row>
    <row r="144">
      <c r="A144" t="inlineStr">
        <is>
          <t>Established Pharmaceuticals: revenue</t>
        </is>
      </c>
      <c r="B144" s="10">
        <f>Valuation!$B$96</f>
        <v/>
      </c>
      <c r="C144" s="21">
        <f>B144*(1+C143)</f>
        <v/>
      </c>
      <c r="D144" s="21">
        <f>C144*(1+D143)</f>
        <v/>
      </c>
      <c r="E144" s="21">
        <f>D144*(1+E143)</f>
        <v/>
      </c>
    </row>
    <row r="145">
      <c r="A145" t="inlineStr">
        <is>
          <t>Established Pharmaceuticals: EBIT margin</t>
        </is>
      </c>
      <c r="C145" s="16">
        <f>Model!E26+$B$5</f>
        <v/>
      </c>
      <c r="D145" s="16">
        <f>Model!F26+$B$5</f>
        <v/>
      </c>
      <c r="E145" s="16">
        <f>Model!G26+$B$5</f>
        <v/>
      </c>
    </row>
    <row r="146">
      <c r="A146" t="inlineStr">
        <is>
          <t>Established Pharmaceuticals: EBIT</t>
        </is>
      </c>
      <c r="C146" s="21">
        <f>C144*C145</f>
        <v/>
      </c>
      <c r="D146" s="21">
        <f>D144*D145</f>
        <v/>
      </c>
      <c r="E146" s="21">
        <f>E144*E145</f>
        <v/>
      </c>
    </row>
    <row r="147">
      <c r="A147" t="inlineStr">
        <is>
          <t>Other: revenue growth</t>
        </is>
      </c>
      <c r="C147" s="16">
        <f>Model!E28+$B$4</f>
        <v/>
      </c>
      <c r="D147" s="16">
        <f>Model!F28+$B$4</f>
        <v/>
      </c>
      <c r="E147" s="16">
        <f>Model!G28+$B$4</f>
        <v/>
      </c>
    </row>
    <row r="148">
      <c r="A148" t="inlineStr">
        <is>
          <t>Other: revenue</t>
        </is>
      </c>
      <c r="B148" s="10">
        <f>Valuation!$B$97</f>
        <v/>
      </c>
      <c r="C148" s="21">
        <f>B148*(1+C147)</f>
        <v/>
      </c>
      <c r="D148" s="21">
        <f>C148*(1+D147)</f>
        <v/>
      </c>
      <c r="E148" s="21">
        <f>D148*(1+E147)</f>
        <v/>
      </c>
    </row>
    <row r="149">
      <c r="A149" t="inlineStr">
        <is>
          <t>Other: EBIT margin</t>
        </is>
      </c>
      <c r="C149" s="16">
        <f>Model!E30+$B$5</f>
        <v/>
      </c>
      <c r="D149" s="16">
        <f>Model!F30+$B$5</f>
        <v/>
      </c>
      <c r="E149" s="16">
        <f>Model!G30+$B$5</f>
        <v/>
      </c>
    </row>
    <row r="150">
      <c r="A150" t="inlineStr">
        <is>
          <t>Other: EBIT</t>
        </is>
      </c>
      <c r="C150" s="21">
        <f>C148*C149</f>
        <v/>
      </c>
      <c r="D150" s="21">
        <f>D148*D149</f>
        <v/>
      </c>
      <c r="E150" s="21">
        <f>E148*E149</f>
        <v/>
      </c>
    </row>
    <row r="151">
      <c r="A151" s="17" t="inlineStr">
        <is>
          <t>Total segment revenue</t>
        </is>
      </c>
      <c r="C151" s="21">
        <f>C132+C136+C140+C144+C148</f>
        <v/>
      </c>
      <c r="D151" s="21">
        <f>D132+D136+D140+D144+D148</f>
        <v/>
      </c>
      <c r="E151" s="21">
        <f>E132+E136+E140+E144+E148</f>
        <v/>
      </c>
    </row>
    <row r="152">
      <c r="A152" t="inlineStr">
        <is>
          <t>Total segment EBIT</t>
        </is>
      </c>
      <c r="C152" s="21">
        <f>C134+C138+C142+C146+C150</f>
        <v/>
      </c>
      <c r="D152" s="21">
        <f>D134+D138+D142+D146+D150</f>
        <v/>
      </c>
      <c r="E152" s="21">
        <f>E134+E138+E142+E146+E150</f>
        <v/>
      </c>
    </row>
    <row r="153">
      <c r="A153" t="inlineStr">
        <is>
          <t>Corporate / unallocated EBIT</t>
        </is>
      </c>
      <c r="C153" s="10">
        <f>Model!E33</f>
        <v/>
      </c>
      <c r="D153" s="10">
        <f>Model!F33</f>
        <v/>
      </c>
      <c r="E153" s="10">
        <f>Model!G33</f>
        <v/>
      </c>
    </row>
    <row r="154">
      <c r="A154" s="17" t="inlineStr">
        <is>
          <t>EBIT (segments + corporate)</t>
        </is>
      </c>
      <c r="C154" s="21">
        <f>C152+C153</f>
        <v/>
      </c>
      <c r="D154" s="21">
        <f>D152+D153</f>
        <v/>
      </c>
      <c r="E154" s="21">
        <f>E152+E153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6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ABT engine calculation: bear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N(Valuation!C88)</f>
        <v/>
      </c>
    </row>
    <row r="5">
      <c r="A5" t="inlineStr">
        <is>
          <t>Scenario Margin Δ</t>
        </is>
      </c>
      <c r="B5" s="12">
        <f>N(Valuation!D88)</f>
        <v/>
      </c>
    </row>
    <row r="6">
      <c r="A6" t="inlineStr">
        <is>
          <t>Scenario Multiple Δ (turns)</t>
        </is>
      </c>
      <c r="B6" s="45">
        <f>N(Valuation!E88)</f>
        <v/>
      </c>
    </row>
    <row r="7">
      <c r="A7" t="inlineStr">
        <is>
          <t>Scenario WACC Δ</t>
        </is>
      </c>
      <c r="B7" s="12">
        <f>N(Valuation!F88)</f>
        <v/>
      </c>
    </row>
    <row r="8">
      <c r="A8" t="inlineStr">
        <is>
          <t>Scenario Multiple %Δ</t>
        </is>
      </c>
      <c r="B8" s="12">
        <f>N(Valuation!G88)</f>
        <v/>
      </c>
    </row>
    <row r="9">
      <c r="A9" t="inlineStr">
        <is>
          <t>Scenario Stated EPS/FCF %Δ</t>
        </is>
      </c>
      <c r="B9" s="12">
        <f>N(Valuation!H88)</f>
        <v/>
      </c>
    </row>
    <row r="10">
      <c r="A10" t="inlineStr">
        <is>
          <t>Scenario Custom %Δ</t>
        </is>
      </c>
      <c r="B10" s="12">
        <f>N(Valuation!I88)</f>
        <v/>
      </c>
    </row>
    <row r="12">
      <c r="A12" t="inlineStr">
        <is>
          <t>WACC</t>
        </is>
      </c>
      <c r="B12" s="16">
        <f>Valuation!$B$51+B7</f>
        <v/>
      </c>
    </row>
    <row r="13">
      <c r="A13" t="inlineStr">
        <is>
          <t>Years from last FY end to target date</t>
        </is>
      </c>
      <c r="B13" s="43">
        <f>(Valuation!$B$45-Valuation!$B$49)/365.25</f>
        <v/>
      </c>
    </row>
    <row r="14">
      <c r="A14" t="inlineStr">
        <is>
          <t>Years from last FY end to balance date</t>
        </is>
      </c>
      <c r="B14" s="43">
        <f>(Valuation!$B$55-Valuation!$B$49)/365.25</f>
        <v/>
      </c>
    </row>
    <row r="15">
      <c r="A15" t="inlineStr">
        <is>
          <t>Years from last FY end to share count date</t>
        </is>
      </c>
      <c r="B15" s="43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18">
        <f>Valuation!$B$49+ROUND(365.25*C19,0)</f>
        <v/>
      </c>
      <c r="D20" s="18">
        <f>Valuation!$B$49+ROUND(365.25*D19,0)</f>
        <v/>
      </c>
      <c r="E20" s="18">
        <f>Valuation!$B$49+ROUND(365.25*E19,0)</f>
        <v/>
      </c>
    </row>
    <row r="21">
      <c r="A21" t="inlineStr">
        <is>
          <t>Revenue growth</t>
        </is>
      </c>
      <c r="C21" s="16">
        <f>C22/B22-1</f>
        <v/>
      </c>
      <c r="D21" s="16">
        <f>D22/C22-1</f>
        <v/>
      </c>
      <c r="E21" s="16">
        <f>E22/D22-1</f>
        <v/>
      </c>
    </row>
    <row r="22">
      <c r="A22" t="inlineStr">
        <is>
          <t>Revenue</t>
        </is>
      </c>
      <c r="B22" s="21">
        <f>Valuation!$B$50</f>
        <v/>
      </c>
      <c r="C22" s="21">
        <f>C151</f>
        <v/>
      </c>
      <c r="D22" s="21">
        <f>D151</f>
        <v/>
      </c>
      <c r="E22" s="21">
        <f>E151</f>
        <v/>
      </c>
    </row>
    <row r="23">
      <c r="A23" t="inlineStr">
        <is>
          <t>EBIT margin</t>
        </is>
      </c>
      <c r="C23" s="16">
        <f>C24/C22</f>
        <v/>
      </c>
      <c r="D23" s="16">
        <f>D24/D22</f>
        <v/>
      </c>
      <c r="E23" s="16">
        <f>E24/E22</f>
        <v/>
      </c>
    </row>
    <row r="24">
      <c r="A24" t="inlineStr">
        <is>
          <t>EBIT</t>
        </is>
      </c>
      <c r="C24" s="21">
        <f>C154</f>
        <v/>
      </c>
      <c r="D24" s="21">
        <f>D154</f>
        <v/>
      </c>
      <c r="E24" s="21">
        <f>E154</f>
        <v/>
      </c>
    </row>
    <row r="25">
      <c r="A25" t="inlineStr">
        <is>
          <t>Tax rate</t>
        </is>
      </c>
      <c r="C25" s="16">
        <f>Model!E75</f>
        <v/>
      </c>
      <c r="D25" s="16">
        <f>Model!F75</f>
        <v/>
      </c>
      <c r="E25" s="16">
        <f>Model!G75</f>
        <v/>
      </c>
    </row>
    <row r="26">
      <c r="A26" t="inlineStr">
        <is>
          <t>NOPAT</t>
        </is>
      </c>
      <c r="C26" s="21">
        <f>C24*(1-C25)</f>
        <v/>
      </c>
      <c r="D26" s="21">
        <f>D24*(1-D25)</f>
        <v/>
      </c>
      <c r="E26" s="21">
        <f>E24*(1-E25)</f>
        <v/>
      </c>
    </row>
    <row r="27">
      <c r="A27" t="inlineStr">
        <is>
          <t>D&amp;A</t>
        </is>
      </c>
      <c r="C27" s="21">
        <f>C22*(Model!E76)</f>
        <v/>
      </c>
      <c r="D27" s="21">
        <f>D22*(Model!F76)</f>
        <v/>
      </c>
      <c r="E27" s="21">
        <f>E22*(Model!G76)</f>
        <v/>
      </c>
    </row>
    <row r="28">
      <c r="A28" t="inlineStr">
        <is>
          <t>Capex</t>
        </is>
      </c>
      <c r="C28" s="21">
        <f>C22*(Model!E77)</f>
        <v/>
      </c>
      <c r="D28" s="21">
        <f>D22*(Model!F77)</f>
        <v/>
      </c>
      <c r="E28" s="21">
        <f>E22*(Model!G77)</f>
        <v/>
      </c>
    </row>
    <row r="29">
      <c r="A29" t="inlineStr">
        <is>
          <t>Working capital increase</t>
        </is>
      </c>
      <c r="C29" s="21">
        <f>(Model!E78)*(C22-B22)</f>
        <v/>
      </c>
      <c r="D29" s="21">
        <f>(Model!F78)*(D22-C22)</f>
        <v/>
      </c>
      <c r="E29" s="21">
        <f>(Model!G78)*(E22-D22)</f>
        <v/>
      </c>
    </row>
    <row r="30">
      <c r="A30" t="inlineStr">
        <is>
          <t>Stock comp</t>
        </is>
      </c>
      <c r="C30" s="21">
        <f>C22*(Model!E79)</f>
        <v/>
      </c>
      <c r="D30" s="21">
        <f>D22*(Model!F79)</f>
        <v/>
      </c>
      <c r="E30" s="21">
        <f>E22*(Model!G79)</f>
        <v/>
      </c>
    </row>
    <row r="31">
      <c r="A31" t="inlineStr">
        <is>
          <t>Free cash flow to firm</t>
        </is>
      </c>
      <c r="C31" s="21">
        <f>C26+C27-C28-C29-IF(AND(Valuation!$B$47="adjusted",Valuation!$B$48="cost"),C30*(1-C25),0)</f>
        <v/>
      </c>
      <c r="D31" s="21">
        <f>D26+D27-D28-D29-IF(AND(Valuation!$B$47="adjusted",Valuation!$B$48="cost"),D30*(1-D25),0)</f>
        <v/>
      </c>
      <c r="E31" s="21">
        <f>E26+E27-E28-E29-IF(AND(Valuation!$B$47="adjusted",Valuation!$B$48="cost"),E30*(1-E25),0)</f>
        <v/>
      </c>
    </row>
    <row r="32">
      <c r="A32" t="inlineStr">
        <is>
          <t>EBITDA</t>
        </is>
      </c>
      <c r="C32" s="21">
        <f>C24+C27</f>
        <v/>
      </c>
      <c r="D32" s="21">
        <f>D24+D27</f>
        <v/>
      </c>
      <c r="E32" s="21">
        <f>E24+E27</f>
        <v/>
      </c>
    </row>
    <row r="33">
      <c r="A33" t="inlineStr">
        <is>
          <t>Adj. EBITDA</t>
        </is>
      </c>
      <c r="C33" s="21">
        <f>C24+C27+C22*(Model!E83)</f>
        <v/>
      </c>
      <c r="D33" s="21">
        <f>D24+D27+D22*(Model!F83)</f>
        <v/>
      </c>
      <c r="E33" s="21">
        <f>E24+E27+E22*(Model!G83)</f>
        <v/>
      </c>
    </row>
    <row r="34">
      <c r="A34" t="inlineStr">
        <is>
          <t>Shareholder returns + other uses</t>
        </is>
      </c>
      <c r="C34" s="21">
        <f>C22*Model!E81+Model!E80+Model!E82</f>
        <v/>
      </c>
      <c r="D34" s="21">
        <f>D22*Model!F81+Model!F80+Model!F82</f>
        <v/>
      </c>
      <c r="E34" s="21">
        <f>E22*Model!G81+Model!G80+Model!G82</f>
        <v/>
      </c>
    </row>
    <row r="35">
      <c r="A35" t="inlineStr">
        <is>
          <t>Share of year after target date</t>
        </is>
      </c>
      <c r="C35" s="43">
        <f>IF(C19&lt;=$B$13,0,C19-MAX(C19-1,$B$13))</f>
        <v/>
      </c>
      <c r="D35" s="43">
        <f>IF(D19&lt;=$B$13,0,D19-MAX(D19-1,$B$13))</f>
        <v/>
      </c>
      <c r="E35" s="43">
        <f>IF(E19&lt;=$B$13,0,E19-MAX(E19-1,$B$13))</f>
        <v/>
      </c>
    </row>
    <row r="36">
      <c r="A36" t="inlineStr">
        <is>
          <t>PV at target date of FCFF</t>
        </is>
      </c>
      <c r="C36" s="21">
        <f>IF(C35=0,0,C31*C35/(1+$B$12)^(C19-$B$13))</f>
        <v/>
      </c>
      <c r="D36" s="21">
        <f>IF(D35=0,0,D31*D35/(1+$B$12)^(D19-$B$13))</f>
        <v/>
      </c>
      <c r="E36" s="21">
        <f>IF(E35=0,0,E31*E35/(1+$B$12)^(E19-$B$13))</f>
        <v/>
      </c>
    </row>
    <row r="37">
      <c r="A37" t="inlineStr">
        <is>
          <t>Overlap: balance date to target date</t>
        </is>
      </c>
      <c r="C37" s="43">
        <f>MAX(0,MIN(C19,$B$13)-MAX(C19-1,$B$14))</f>
        <v/>
      </c>
      <c r="D37" s="43">
        <f>MAX(0,MIN(D19,$B$13)-MAX(D19-1,$B$14))</f>
        <v/>
      </c>
      <c r="E37" s="43">
        <f>MAX(0,MIN(E19,$B$13)-MAX(E19-1,$B$14))</f>
        <v/>
      </c>
    </row>
    <row r="38">
      <c r="A38" t="inlineStr">
        <is>
          <t>NTM weight at target date</t>
        </is>
      </c>
      <c r="C38" s="43">
        <f>MAX(0,MIN(C19,$B$13+1)-MAX(C19-1,$B$13))</f>
        <v/>
      </c>
      <c r="D38" s="43">
        <f>MAX(0,MIN(D19,$B$13+1)-MAX(D19-1,$B$13))</f>
        <v/>
      </c>
      <c r="E38" s="43">
        <f>MAX(0,MIN(E19,$B$13+1)-MAX(E19-1,$B$13))</f>
        <v/>
      </c>
    </row>
    <row r="39">
      <c r="A39" t="inlineStr">
        <is>
          <t>LTM weight at target date</t>
        </is>
      </c>
      <c r="B39" s="43">
        <f>MAX(0,MIN(0,$B$13)-MAX(-1,$B$13-1))</f>
        <v/>
      </c>
      <c r="C39" s="43">
        <f>MAX(0,MIN(C19,$B$13)-MAX(C19-1,$B$13-1))</f>
        <v/>
      </c>
      <c r="D39" s="43">
        <f>MAX(0,MIN(D19,$B$13)-MAX(D19-1,$B$13-1))</f>
        <v/>
      </c>
      <c r="E39" s="43">
        <f>MAX(0,MIN(E19,$B$13)-MAX(E19-1,$B$13-1))</f>
        <v/>
      </c>
    </row>
    <row r="41">
      <c r="A41" s="17" t="inlineStr">
        <is>
          <t>Value at the target date</t>
        </is>
      </c>
    </row>
    <row r="42">
      <c r="A42" t="inlineStr">
        <is>
          <t>PV of free cash flow after the target date</t>
        </is>
      </c>
      <c r="B42" s="21">
        <f>SUM($C$36:$E$36)</f>
        <v/>
      </c>
    </row>
    <row r="43">
      <c r="A43" t="inlineStr">
        <is>
          <t>Terminal value at final year</t>
        </is>
      </c>
      <c r="B43" s="21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1">
        <f>B43/(1+$B$12)^($B$16-$B$13)</f>
        <v/>
      </c>
    </row>
    <row r="45">
      <c r="A45" t="inlineStr">
        <is>
          <t>DCF enterprise value at target date</t>
        </is>
      </c>
      <c r="B45" s="21">
        <f>B42+B44</f>
        <v/>
      </c>
    </row>
    <row r="46">
      <c r="A46" t="inlineStr">
        <is>
          <t>Terminal value share of DCF</t>
        </is>
      </c>
      <c r="B46" s="16">
        <f>B44/B45</f>
        <v/>
      </c>
    </row>
    <row r="47">
      <c r="A47" t="inlineStr">
        <is>
          <t>Free cash flow earned, balance date to target date</t>
        </is>
      </c>
      <c r="B47" s="21">
        <f>SUMPRODUCT($C$37:$E$37,$C$31:$E$31)</f>
        <v/>
      </c>
    </row>
    <row r="48">
      <c r="A48" t="inlineStr">
        <is>
          <t>Shareholder returns + other uses paid</t>
        </is>
      </c>
      <c r="B48" s="21">
        <f>SUMPRODUCT($C$37:$E$37,$C$34:$E$34)</f>
        <v/>
      </c>
    </row>
    <row r="49">
      <c r="A49" t="inlineStr">
        <is>
          <t>Interest drag on net debt</t>
        </is>
      </c>
      <c r="B49" s="21">
        <f>Valuation!$B$58*(1-$C$25)*MAX(Valuation!$B$56,0)*MAX($B$13-$B$14,0)</f>
        <v/>
      </c>
    </row>
    <row r="50">
      <c r="A50" t="inlineStr">
        <is>
          <t>Net debt at target date</t>
        </is>
      </c>
      <c r="B50" s="21">
        <f>IF(Valuation!$B$59="",Valuation!$B$56-B47+B49+B48,Valuation!$B$59)</f>
        <v/>
      </c>
    </row>
    <row r="51">
      <c r="A51" t="inlineStr">
        <is>
          <t>Minority interests</t>
        </is>
      </c>
      <c r="B51" s="21">
        <f>Valuation!$B$57</f>
        <v/>
      </c>
    </row>
    <row r="52">
      <c r="A52" t="inlineStr">
        <is>
          <t>Adjustments (probability-weighted)</t>
        </is>
      </c>
      <c r="B52" s="21">
        <f>(Valuation!B77)*Valuation!C77+(Valuation!B78)*Valuation!C78+(Valuation!B79)*Valuation!C79+(Valuation!B80)*Valuation!C80+(Valuation!B81)*Valuation!C81+(Valuation!B82)*Valuation!C82+0</f>
        <v/>
      </c>
    </row>
    <row r="53">
      <c r="A53" t="inlineStr">
        <is>
          <t>Diluted shares at target date (M)</t>
        </is>
      </c>
      <c r="B53" s="26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1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1">
        <f>SUMPRODUCT($C$38:$E$38,$C$22:$E$22)</f>
        <v/>
      </c>
      <c r="C59" s="21">
        <f>SUMPRODUCT($C$39:$E$39,$C$22:$E$22)+$B$39*$B$22</f>
        <v/>
      </c>
    </row>
    <row r="60">
      <c r="A60" t="inlineStr">
        <is>
          <t>EBIT</t>
        </is>
      </c>
      <c r="B60" s="21">
        <f>SUMPRODUCT($C$38:$E$38,$C$24:$E$24)</f>
        <v/>
      </c>
      <c r="C60" s="21">
        <f>SUMPRODUCT($C$39:$E$39,$C$24:$E$24)</f>
        <v/>
      </c>
    </row>
    <row r="61">
      <c r="A61" t="inlineStr">
        <is>
          <t>EBITDA</t>
        </is>
      </c>
      <c r="B61" s="21">
        <f>SUMPRODUCT($C$38:$E$38,$C$32:$E$32)</f>
        <v/>
      </c>
      <c r="C61" s="21">
        <f>SUMPRODUCT($C$39:$E$39,$C$32:$E$32)</f>
        <v/>
      </c>
    </row>
    <row r="62">
      <c r="A62" t="inlineStr">
        <is>
          <t>Adj. EBITDA</t>
        </is>
      </c>
      <c r="B62" s="21">
        <f>SUMPRODUCT($C$38:$E$38,$C$33:$E$33)</f>
        <v/>
      </c>
      <c r="C62" s="21">
        <f>SUMPRODUCT($C$39:$E$39,$C$33:$E$33)</f>
        <v/>
      </c>
    </row>
    <row r="63">
      <c r="A63" t="inlineStr">
        <is>
          <t>NOPAT</t>
        </is>
      </c>
      <c r="B63" s="21">
        <f>SUMPRODUCT($C$38:$E$38,$C$26:$E$26)</f>
        <v/>
      </c>
      <c r="C63" s="21">
        <f>SUMPRODUCT($C$39:$E$39,$C$26:$E$26)</f>
        <v/>
      </c>
    </row>
    <row r="64">
      <c r="A64" t="inlineStr">
        <is>
          <t>Free cash flow to firm</t>
        </is>
      </c>
      <c r="B64" s="21">
        <f>SUMPRODUCT($C$38:$E$38,$C$31:$E$31)</f>
        <v/>
      </c>
      <c r="C64" s="21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6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1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70)*(1+$B$9),C68*(E68-$B$54)/$B$53),IF(Valuation!G70&lt;&gt;"",(Valuation!G70)*(1+$B$9)/C68,(E68-IF(Valuation!H70,$B$54,0))/C68/$B$53))+$B$52/$B$53)</f>
        <v/>
      </c>
      <c r="G68" s="16">
        <f>Valuation!C70</f>
        <v/>
      </c>
      <c r="H68">
        <f>IF(B68="EV/sales",1,IF(B68="EV/EBIT",2,IF(B68="EV/EBITDA",IF(Valuation!E70="adjusted",4,3),IF(B68="P/E",5,6))))</f>
        <v/>
      </c>
      <c r="I68" s="44">
        <f>IF(AND(B68="P/E",Valuation!F70&lt;&gt;""),(Valuation!F70)*(1+$B$9),IF(AND(B68="FCF yield",Valuation!G70&lt;&gt;""),(Valuation!G70)*(1+$B$9),E68))</f>
        <v/>
      </c>
    </row>
    <row r="69">
      <c r="A69">
        <f>"Multiple: "&amp;Valuation!A71&amp;" ("&amp;Valuation!D71&amp;")"</f>
        <v/>
      </c>
      <c r="B69">
        <f>Valuation!A71</f>
        <v/>
      </c>
      <c r="C69" s="9">
        <f>IF(B69="FCF yield",(Valuation!B71)*(1-$B$8),(Valuation!B71)+IF(B69="EV/sales",0.1,1)*$B$6)</f>
        <v/>
      </c>
      <c r="D69">
        <f>Valuation!D71</f>
        <v/>
      </c>
      <c r="E69" s="21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71&lt;&gt;"",C69*(Valuation!F71)*(1+$B$9),C69*(E69-$B$54)/$B$53),IF(Valuation!G71&lt;&gt;"",(Valuation!G71)*(1+$B$9)/C69,(E69-IF(Valuation!H71,$B$54,0))/C69/$B$53))+$B$52/$B$53)</f>
        <v/>
      </c>
      <c r="G69" s="16">
        <f>Valuation!C71</f>
        <v/>
      </c>
      <c r="H69">
        <f>IF(B69="EV/sales",1,IF(B69="EV/EBIT",2,IF(B69="EV/EBITDA",IF(Valuation!E71="adjusted",4,3),IF(B69="P/E",5,6))))</f>
        <v/>
      </c>
      <c r="I69" s="44">
        <f>IF(AND(B69="P/E",Valuation!F71&lt;&gt;""),(Valuation!F71)*(1+$B$9),IF(AND(B69="FCF yield",Valuation!G71&lt;&gt;""),(Valuation!G71)*(1+$B$9),E69))</f>
        <v/>
      </c>
    </row>
    <row r="70">
      <c r="A70" s="17" t="inlineStr">
        <is>
          <t>Value per share at target date (weighted methods)</t>
        </is>
      </c>
      <c r="F70" s="6">
        <f>SUMPRODUCT(F67:F69,G67:G69)/SUM(G67:G69)</f>
        <v/>
      </c>
    </row>
    <row r="129">
      <c r="A129" s="17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Medical Devices (Diabetes Care, EP, Rhyt: revenue growth</t>
        </is>
      </c>
      <c r="C131" s="16">
        <f>Model!E12+$B$4+$B$250</f>
        <v/>
      </c>
      <c r="D131" s="16">
        <f>Model!F12+$B$4+$B$251</f>
        <v/>
      </c>
      <c r="E131" s="16">
        <f>Model!G12+$B$4+$B$252</f>
        <v/>
      </c>
    </row>
    <row r="132">
      <c r="A132" t="inlineStr">
        <is>
          <t>Medical Devices (Diabetes Care, EP, Rhyt: revenue</t>
        </is>
      </c>
      <c r="B132" s="10">
        <f>Valuation!$B$93</f>
        <v/>
      </c>
      <c r="C132" s="21">
        <f>B132*(1+C131)</f>
        <v/>
      </c>
      <c r="D132" s="21">
        <f>C132*(1+D131)</f>
        <v/>
      </c>
      <c r="E132" s="21">
        <f>D132*(1+E131)</f>
        <v/>
      </c>
    </row>
    <row r="133">
      <c r="A133" t="inlineStr">
        <is>
          <t>Medical Devices (Diabetes Care, EP, Rhyt: EBIT margin</t>
        </is>
      </c>
      <c r="C133" s="16">
        <f>Model!E14+$B$5</f>
        <v/>
      </c>
      <c r="D133" s="16">
        <f>Model!F14+$B$5</f>
        <v/>
      </c>
      <c r="E133" s="16">
        <f>Model!G14+$B$5</f>
        <v/>
      </c>
    </row>
    <row r="134">
      <c r="A134" t="inlineStr">
        <is>
          <t>Medical Devices (Diabetes Care, EP, Rhyt: EBIT</t>
        </is>
      </c>
      <c r="C134" s="21">
        <f>C132*C133</f>
        <v/>
      </c>
      <c r="D134" s="21">
        <f>D132*D133</f>
        <v/>
      </c>
      <c r="E134" s="21">
        <f>E132*E133</f>
        <v/>
      </c>
    </row>
    <row r="135">
      <c r="A135" t="inlineStr">
        <is>
          <t>Diagnostics (Core Lab, Rapid/Molecular, : revenue growth</t>
        </is>
      </c>
      <c r="C135" s="16">
        <f>Model!E16+$B$4+$B$253</f>
        <v/>
      </c>
      <c r="D135" s="16">
        <f>Model!F16+$B$4+$B$254</f>
        <v/>
      </c>
      <c r="E135" s="16">
        <f>Model!G16+$B$4+$B$255</f>
        <v/>
      </c>
    </row>
    <row r="136">
      <c r="A136" t="inlineStr">
        <is>
          <t>Diagnostics (Core Lab, Rapid/Molecular, : revenue</t>
        </is>
      </c>
      <c r="B136" s="10">
        <f>Valuation!$B$94</f>
        <v/>
      </c>
      <c r="C136" s="21">
        <f>B136*(1+C135)</f>
        <v/>
      </c>
      <c r="D136" s="21">
        <f>C136*(1+D135)</f>
        <v/>
      </c>
      <c r="E136" s="21">
        <f>D136*(1+E135)</f>
        <v/>
      </c>
    </row>
    <row r="137">
      <c r="A137" t="inlineStr">
        <is>
          <t>Diagnostics (Core Lab, Rapid/Molecular, : EBIT margin</t>
        </is>
      </c>
      <c r="C137" s="16">
        <f>Model!E18+$B$5</f>
        <v/>
      </c>
      <c r="D137" s="16">
        <f>Model!F18+$B$5</f>
        <v/>
      </c>
      <c r="E137" s="16">
        <f>Model!G18+$B$5</f>
        <v/>
      </c>
    </row>
    <row r="138">
      <c r="A138" t="inlineStr">
        <is>
          <t>Diagnostics (Core Lab, Rapid/Molecular, : EBIT</t>
        </is>
      </c>
      <c r="C138" s="21">
        <f>C136*C137</f>
        <v/>
      </c>
      <c r="D138" s="21">
        <f>D136*D137</f>
        <v/>
      </c>
      <c r="E138" s="21">
        <f>E136*E137</f>
        <v/>
      </c>
    </row>
    <row r="139">
      <c r="A139" t="inlineStr">
        <is>
          <t>Nutrition: revenue growth</t>
        </is>
      </c>
      <c r="C139" s="16">
        <f>Model!E20+$B$4</f>
        <v/>
      </c>
      <c r="D139" s="16">
        <f>Model!F20+$B$4</f>
        <v/>
      </c>
      <c r="E139" s="16">
        <f>Model!G20+$B$4</f>
        <v/>
      </c>
    </row>
    <row r="140">
      <c r="A140" t="inlineStr">
        <is>
          <t>Nutrition: revenue</t>
        </is>
      </c>
      <c r="B140" s="10">
        <f>Valuation!$B$95</f>
        <v/>
      </c>
      <c r="C140" s="21">
        <f>B140*(1+C139)</f>
        <v/>
      </c>
      <c r="D140" s="21">
        <f>C140*(1+D139)</f>
        <v/>
      </c>
      <c r="E140" s="21">
        <f>D140*(1+E139)</f>
        <v/>
      </c>
    </row>
    <row r="141">
      <c r="A141" t="inlineStr">
        <is>
          <t>Nutrition: EBIT margin</t>
        </is>
      </c>
      <c r="C141" s="16">
        <f>Model!E22+$B$5</f>
        <v/>
      </c>
      <c r="D141" s="16">
        <f>Model!F22+$B$5</f>
        <v/>
      </c>
      <c r="E141" s="16">
        <f>Model!G22+$B$5</f>
        <v/>
      </c>
    </row>
    <row r="142">
      <c r="A142" t="inlineStr">
        <is>
          <t>Nutrition: EBIT</t>
        </is>
      </c>
      <c r="C142" s="21">
        <f>C140*C141</f>
        <v/>
      </c>
      <c r="D142" s="21">
        <f>D140*D141</f>
        <v/>
      </c>
      <c r="E142" s="21">
        <f>E140*E141</f>
        <v/>
      </c>
    </row>
    <row r="143">
      <c r="A143" t="inlineStr">
        <is>
          <t>Established Pharmaceuticals: revenue growth</t>
        </is>
      </c>
      <c r="C143" s="16">
        <f>Model!E24+$B$4+$B$256</f>
        <v/>
      </c>
      <c r="D143" s="16">
        <f>Model!F24+$B$4</f>
        <v/>
      </c>
      <c r="E143" s="16">
        <f>Model!G24+$B$4</f>
        <v/>
      </c>
    </row>
    <row r="144">
      <c r="A144" t="inlineStr">
        <is>
          <t>Established Pharmaceuticals: revenue</t>
        </is>
      </c>
      <c r="B144" s="10">
        <f>Valuation!$B$96</f>
        <v/>
      </c>
      <c r="C144" s="21">
        <f>B144*(1+C143)</f>
        <v/>
      </c>
      <c r="D144" s="21">
        <f>C144*(1+D143)</f>
        <v/>
      </c>
      <c r="E144" s="21">
        <f>D144*(1+E143)</f>
        <v/>
      </c>
    </row>
    <row r="145">
      <c r="A145" t="inlineStr">
        <is>
          <t>Established Pharmaceuticals: EBIT margin</t>
        </is>
      </c>
      <c r="C145" s="16">
        <f>Model!E26+$B$5</f>
        <v/>
      </c>
      <c r="D145" s="16">
        <f>Model!F26+$B$5</f>
        <v/>
      </c>
      <c r="E145" s="16">
        <f>Model!G26+$B$5</f>
        <v/>
      </c>
    </row>
    <row r="146">
      <c r="A146" t="inlineStr">
        <is>
          <t>Established Pharmaceuticals: EBIT</t>
        </is>
      </c>
      <c r="C146" s="21">
        <f>C144*C145</f>
        <v/>
      </c>
      <c r="D146" s="21">
        <f>D144*D145</f>
        <v/>
      </c>
      <c r="E146" s="21">
        <f>E144*E145</f>
        <v/>
      </c>
    </row>
    <row r="147">
      <c r="A147" t="inlineStr">
        <is>
          <t>Other: revenue growth</t>
        </is>
      </c>
      <c r="C147" s="16">
        <f>Model!E28+$B$4</f>
        <v/>
      </c>
      <c r="D147" s="16">
        <f>Model!F28+$B$4</f>
        <v/>
      </c>
      <c r="E147" s="16">
        <f>Model!G28+$B$4</f>
        <v/>
      </c>
    </row>
    <row r="148">
      <c r="A148" t="inlineStr">
        <is>
          <t>Other: revenue</t>
        </is>
      </c>
      <c r="B148" s="10">
        <f>Valuation!$B$97</f>
        <v/>
      </c>
      <c r="C148" s="21">
        <f>B148*(1+C147)</f>
        <v/>
      </c>
      <c r="D148" s="21">
        <f>C148*(1+D147)</f>
        <v/>
      </c>
      <c r="E148" s="21">
        <f>D148*(1+E147)</f>
        <v/>
      </c>
    </row>
    <row r="149">
      <c r="A149" t="inlineStr">
        <is>
          <t>Other: EBIT margin</t>
        </is>
      </c>
      <c r="C149" s="16">
        <f>Model!E30+$B$5</f>
        <v/>
      </c>
      <c r="D149" s="16">
        <f>Model!F30+$B$5</f>
        <v/>
      </c>
      <c r="E149" s="16">
        <f>Model!G30+$B$5</f>
        <v/>
      </c>
    </row>
    <row r="150">
      <c r="A150" t="inlineStr">
        <is>
          <t>Other: EBIT</t>
        </is>
      </c>
      <c r="C150" s="21">
        <f>C148*C149</f>
        <v/>
      </c>
      <c r="D150" s="21">
        <f>D148*D149</f>
        <v/>
      </c>
      <c r="E150" s="21">
        <f>E148*E149</f>
        <v/>
      </c>
    </row>
    <row r="151">
      <c r="A151" s="17" t="inlineStr">
        <is>
          <t>Total segment revenue</t>
        </is>
      </c>
      <c r="C151" s="21">
        <f>C132+C136+C140+C144+C148</f>
        <v/>
      </c>
      <c r="D151" s="21">
        <f>D132+D136+D140+D144+D148</f>
        <v/>
      </c>
      <c r="E151" s="21">
        <f>E132+E136+E140+E144+E148</f>
        <v/>
      </c>
    </row>
    <row r="152">
      <c r="A152" t="inlineStr">
        <is>
          <t>Total segment EBIT</t>
        </is>
      </c>
      <c r="C152" s="21">
        <f>C134+C138+C142+C146+C150</f>
        <v/>
      </c>
      <c r="D152" s="21">
        <f>D134+D138+D142+D146+D150</f>
        <v/>
      </c>
      <c r="E152" s="21">
        <f>E134+E138+E142+E146+E150</f>
        <v/>
      </c>
    </row>
    <row r="153">
      <c r="A153" t="inlineStr">
        <is>
          <t>Corporate / unallocated EBIT</t>
        </is>
      </c>
      <c r="C153" s="10">
        <f>Model!E33</f>
        <v/>
      </c>
      <c r="D153" s="10">
        <f>Model!F33</f>
        <v/>
      </c>
      <c r="E153" s="10">
        <f>Model!G33</f>
        <v/>
      </c>
    </row>
    <row r="154">
      <c r="A154" s="17" t="inlineStr">
        <is>
          <t>EBIT (segments + corporate)</t>
        </is>
      </c>
      <c r="C154" s="21">
        <f>C152+C153</f>
        <v/>
      </c>
      <c r="D154" s="21">
        <f>D152+D153</f>
        <v/>
      </c>
      <c r="E154" s="21">
        <f>E152+E153</f>
        <v/>
      </c>
    </row>
    <row r="249">
      <c r="A249" s="17" t="inlineStr">
        <is>
          <t>Driver scenario shifts: line-item changes model_drivers.py resolves from this scenario's driver deltas (added to the Model tab inputs)</t>
        </is>
      </c>
    </row>
    <row r="250">
      <c r="A250" t="inlineStr">
        <is>
          <t>Medical Devices (Diabetes Care, EP, Rhyt: revenue growth, year 1</t>
        </is>
      </c>
      <c r="B250" s="46" t="n">
        <v>-0.07259550194043118</v>
      </c>
    </row>
    <row r="251">
      <c r="A251" t="inlineStr">
        <is>
          <t>Medical Devices (Diabetes Care, EP, Rhyt: revenue growth, year 2</t>
        </is>
      </c>
      <c r="B251" s="46" t="n">
        <v>-0.0006824335380890556</v>
      </c>
    </row>
    <row r="252">
      <c r="A252" t="inlineStr">
        <is>
          <t>Medical Devices (Diabetes Care, EP, Rhyt: revenue growth, year 3</t>
        </is>
      </c>
      <c r="B252" s="46" t="n">
        <v>-0.0004129334123161854</v>
      </c>
    </row>
    <row r="253">
      <c r="A253" t="inlineStr">
        <is>
          <t>Diagnostics (Core Lab, Rapid/Molecular, : revenue growth, year 1</t>
        </is>
      </c>
      <c r="B253" s="46" t="n">
        <v>-0.06385364216179923</v>
      </c>
    </row>
    <row r="254">
      <c r="A254" t="inlineStr">
        <is>
          <t>Diagnostics (Core Lab, Rapid/Molecular, : revenue growth, year 2</t>
        </is>
      </c>
      <c r="B254" s="46" t="n">
        <v>-0.004782031474200865</v>
      </c>
    </row>
    <row r="255">
      <c r="A255" t="inlineStr">
        <is>
          <t>Diagnostics (Core Lab, Rapid/Molecular, : revenue growth, year 3</t>
        </is>
      </c>
      <c r="B255" s="46" t="n">
        <v>-0.001170793816206661</v>
      </c>
    </row>
    <row r="256">
      <c r="A256" t="inlineStr">
        <is>
          <t>Established Pharmaceuticals: revenue growth, year 1</t>
        </is>
      </c>
      <c r="B256" s="46" t="n">
        <v>-0.04348988439306378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4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ABT engine calculation: base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N(Valuation!C89)</f>
        <v/>
      </c>
    </row>
    <row r="5">
      <c r="A5" t="inlineStr">
        <is>
          <t>Scenario Margin Δ</t>
        </is>
      </c>
      <c r="B5" s="12">
        <f>N(Valuation!D89)</f>
        <v/>
      </c>
    </row>
    <row r="6">
      <c r="A6" t="inlineStr">
        <is>
          <t>Scenario Multiple Δ (turns)</t>
        </is>
      </c>
      <c r="B6" s="45">
        <f>N(Valuation!E89)</f>
        <v/>
      </c>
    </row>
    <row r="7">
      <c r="A7" t="inlineStr">
        <is>
          <t>Scenario WACC Δ</t>
        </is>
      </c>
      <c r="B7" s="12">
        <f>N(Valuation!F89)</f>
        <v/>
      </c>
    </row>
    <row r="8">
      <c r="A8" t="inlineStr">
        <is>
          <t>Scenario Multiple %Δ</t>
        </is>
      </c>
      <c r="B8" s="12">
        <f>N(Valuation!G89)</f>
        <v/>
      </c>
    </row>
    <row r="9">
      <c r="A9" t="inlineStr">
        <is>
          <t>Scenario Stated EPS/FCF %Δ</t>
        </is>
      </c>
      <c r="B9" s="12">
        <f>N(Valuation!H89)</f>
        <v/>
      </c>
    </row>
    <row r="10">
      <c r="A10" t="inlineStr">
        <is>
          <t>Scenario Custom %Δ</t>
        </is>
      </c>
      <c r="B10" s="12">
        <f>N(Valuation!I89)</f>
        <v/>
      </c>
    </row>
    <row r="12">
      <c r="A12" t="inlineStr">
        <is>
          <t>WACC</t>
        </is>
      </c>
      <c r="B12" s="16">
        <f>Valuation!$B$51+B7</f>
        <v/>
      </c>
    </row>
    <row r="13">
      <c r="A13" t="inlineStr">
        <is>
          <t>Years from last FY end to target date</t>
        </is>
      </c>
      <c r="B13" s="43">
        <f>(Valuation!$B$45-Valuation!$B$49)/365.25</f>
        <v/>
      </c>
    </row>
    <row r="14">
      <c r="A14" t="inlineStr">
        <is>
          <t>Years from last FY end to balance date</t>
        </is>
      </c>
      <c r="B14" s="43">
        <f>(Valuation!$B$55-Valuation!$B$49)/365.25</f>
        <v/>
      </c>
    </row>
    <row r="15">
      <c r="A15" t="inlineStr">
        <is>
          <t>Years from last FY end to share count date</t>
        </is>
      </c>
      <c r="B15" s="43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18">
        <f>Valuation!$B$49+ROUND(365.25*C19,0)</f>
        <v/>
      </c>
      <c r="D20" s="18">
        <f>Valuation!$B$49+ROUND(365.25*D19,0)</f>
        <v/>
      </c>
      <c r="E20" s="18">
        <f>Valuation!$B$49+ROUND(365.25*E19,0)</f>
        <v/>
      </c>
    </row>
    <row r="21">
      <c r="A21" t="inlineStr">
        <is>
          <t>Revenue growth</t>
        </is>
      </c>
      <c r="C21" s="16">
        <f>C22/B22-1</f>
        <v/>
      </c>
      <c r="D21" s="16">
        <f>D22/C22-1</f>
        <v/>
      </c>
      <c r="E21" s="16">
        <f>E22/D22-1</f>
        <v/>
      </c>
    </row>
    <row r="22">
      <c r="A22" t="inlineStr">
        <is>
          <t>Revenue</t>
        </is>
      </c>
      <c r="B22" s="21">
        <f>Valuation!$B$50</f>
        <v/>
      </c>
      <c r="C22" s="21">
        <f>C151</f>
        <v/>
      </c>
      <c r="D22" s="21">
        <f>D151</f>
        <v/>
      </c>
      <c r="E22" s="21">
        <f>E151</f>
        <v/>
      </c>
    </row>
    <row r="23">
      <c r="A23" t="inlineStr">
        <is>
          <t>EBIT margin</t>
        </is>
      </c>
      <c r="C23" s="16">
        <f>C24/C22</f>
        <v/>
      </c>
      <c r="D23" s="16">
        <f>D24/D22</f>
        <v/>
      </c>
      <c r="E23" s="16">
        <f>E24/E22</f>
        <v/>
      </c>
    </row>
    <row r="24">
      <c r="A24" t="inlineStr">
        <is>
          <t>EBIT</t>
        </is>
      </c>
      <c r="C24" s="21">
        <f>C154</f>
        <v/>
      </c>
      <c r="D24" s="21">
        <f>D154</f>
        <v/>
      </c>
      <c r="E24" s="21">
        <f>E154</f>
        <v/>
      </c>
    </row>
    <row r="25">
      <c r="A25" t="inlineStr">
        <is>
          <t>Tax rate</t>
        </is>
      </c>
      <c r="C25" s="16">
        <f>Model!E75</f>
        <v/>
      </c>
      <c r="D25" s="16">
        <f>Model!F75</f>
        <v/>
      </c>
      <c r="E25" s="16">
        <f>Model!G75</f>
        <v/>
      </c>
    </row>
    <row r="26">
      <c r="A26" t="inlineStr">
        <is>
          <t>NOPAT</t>
        </is>
      </c>
      <c r="C26" s="21">
        <f>C24*(1-C25)</f>
        <v/>
      </c>
      <c r="D26" s="21">
        <f>D24*(1-D25)</f>
        <v/>
      </c>
      <c r="E26" s="21">
        <f>E24*(1-E25)</f>
        <v/>
      </c>
    </row>
    <row r="27">
      <c r="A27" t="inlineStr">
        <is>
          <t>D&amp;A</t>
        </is>
      </c>
      <c r="C27" s="21">
        <f>C22*(Model!E76)</f>
        <v/>
      </c>
      <c r="D27" s="21">
        <f>D22*(Model!F76)</f>
        <v/>
      </c>
      <c r="E27" s="21">
        <f>E22*(Model!G76)</f>
        <v/>
      </c>
    </row>
    <row r="28">
      <c r="A28" t="inlineStr">
        <is>
          <t>Capex</t>
        </is>
      </c>
      <c r="C28" s="21">
        <f>C22*(Model!E77)</f>
        <v/>
      </c>
      <c r="D28" s="21">
        <f>D22*(Model!F77)</f>
        <v/>
      </c>
      <c r="E28" s="21">
        <f>E22*(Model!G77)</f>
        <v/>
      </c>
    </row>
    <row r="29">
      <c r="A29" t="inlineStr">
        <is>
          <t>Working capital increase</t>
        </is>
      </c>
      <c r="C29" s="21">
        <f>(Model!E78)*(C22-B22)</f>
        <v/>
      </c>
      <c r="D29" s="21">
        <f>(Model!F78)*(D22-C22)</f>
        <v/>
      </c>
      <c r="E29" s="21">
        <f>(Model!G78)*(E22-D22)</f>
        <v/>
      </c>
    </row>
    <row r="30">
      <c r="A30" t="inlineStr">
        <is>
          <t>Stock comp</t>
        </is>
      </c>
      <c r="C30" s="21">
        <f>C22*(Model!E79)</f>
        <v/>
      </c>
      <c r="D30" s="21">
        <f>D22*(Model!F79)</f>
        <v/>
      </c>
      <c r="E30" s="21">
        <f>E22*(Model!G79)</f>
        <v/>
      </c>
    </row>
    <row r="31">
      <c r="A31" t="inlineStr">
        <is>
          <t>Free cash flow to firm</t>
        </is>
      </c>
      <c r="C31" s="21">
        <f>C26+C27-C28-C29-IF(AND(Valuation!$B$47="adjusted",Valuation!$B$48="cost"),C30*(1-C25),0)</f>
        <v/>
      </c>
      <c r="D31" s="21">
        <f>D26+D27-D28-D29-IF(AND(Valuation!$B$47="adjusted",Valuation!$B$48="cost"),D30*(1-D25),0)</f>
        <v/>
      </c>
      <c r="E31" s="21">
        <f>E26+E27-E28-E29-IF(AND(Valuation!$B$47="adjusted",Valuation!$B$48="cost"),E30*(1-E25),0)</f>
        <v/>
      </c>
    </row>
    <row r="32">
      <c r="A32" t="inlineStr">
        <is>
          <t>EBITDA</t>
        </is>
      </c>
      <c r="C32" s="21">
        <f>C24+C27</f>
        <v/>
      </c>
      <c r="D32" s="21">
        <f>D24+D27</f>
        <v/>
      </c>
      <c r="E32" s="21">
        <f>E24+E27</f>
        <v/>
      </c>
    </row>
    <row r="33">
      <c r="A33" t="inlineStr">
        <is>
          <t>Adj. EBITDA</t>
        </is>
      </c>
      <c r="C33" s="21">
        <f>C24+C27+C22*(Model!E83)</f>
        <v/>
      </c>
      <c r="D33" s="21">
        <f>D24+D27+D22*(Model!F83)</f>
        <v/>
      </c>
      <c r="E33" s="21">
        <f>E24+E27+E22*(Model!G83)</f>
        <v/>
      </c>
    </row>
    <row r="34">
      <c r="A34" t="inlineStr">
        <is>
          <t>Shareholder returns + other uses</t>
        </is>
      </c>
      <c r="C34" s="21">
        <f>C22*Model!E81+Model!E80+Model!E82</f>
        <v/>
      </c>
      <c r="D34" s="21">
        <f>D22*Model!F81+Model!F80+Model!F82</f>
        <v/>
      </c>
      <c r="E34" s="21">
        <f>E22*Model!G81+Model!G80+Model!G82</f>
        <v/>
      </c>
    </row>
    <row r="35">
      <c r="A35" t="inlineStr">
        <is>
          <t>Share of year after target date</t>
        </is>
      </c>
      <c r="C35" s="43">
        <f>IF(C19&lt;=$B$13,0,C19-MAX(C19-1,$B$13))</f>
        <v/>
      </c>
      <c r="D35" s="43">
        <f>IF(D19&lt;=$B$13,0,D19-MAX(D19-1,$B$13))</f>
        <v/>
      </c>
      <c r="E35" s="43">
        <f>IF(E19&lt;=$B$13,0,E19-MAX(E19-1,$B$13))</f>
        <v/>
      </c>
    </row>
    <row r="36">
      <c r="A36" t="inlineStr">
        <is>
          <t>PV at target date of FCFF</t>
        </is>
      </c>
      <c r="C36" s="21">
        <f>IF(C35=0,0,C31*C35/(1+$B$12)^(C19-$B$13))</f>
        <v/>
      </c>
      <c r="D36" s="21">
        <f>IF(D35=0,0,D31*D35/(1+$B$12)^(D19-$B$13))</f>
        <v/>
      </c>
      <c r="E36" s="21">
        <f>IF(E35=0,0,E31*E35/(1+$B$12)^(E19-$B$13))</f>
        <v/>
      </c>
    </row>
    <row r="37">
      <c r="A37" t="inlineStr">
        <is>
          <t>Overlap: balance date to target date</t>
        </is>
      </c>
      <c r="C37" s="43">
        <f>MAX(0,MIN(C19,$B$13)-MAX(C19-1,$B$14))</f>
        <v/>
      </c>
      <c r="D37" s="43">
        <f>MAX(0,MIN(D19,$B$13)-MAX(D19-1,$B$14))</f>
        <v/>
      </c>
      <c r="E37" s="43">
        <f>MAX(0,MIN(E19,$B$13)-MAX(E19-1,$B$14))</f>
        <v/>
      </c>
    </row>
    <row r="38">
      <c r="A38" t="inlineStr">
        <is>
          <t>NTM weight at target date</t>
        </is>
      </c>
      <c r="C38" s="43">
        <f>MAX(0,MIN(C19,$B$13+1)-MAX(C19-1,$B$13))</f>
        <v/>
      </c>
      <c r="D38" s="43">
        <f>MAX(0,MIN(D19,$B$13+1)-MAX(D19-1,$B$13))</f>
        <v/>
      </c>
      <c r="E38" s="43">
        <f>MAX(0,MIN(E19,$B$13+1)-MAX(E19-1,$B$13))</f>
        <v/>
      </c>
    </row>
    <row r="39">
      <c r="A39" t="inlineStr">
        <is>
          <t>LTM weight at target date</t>
        </is>
      </c>
      <c r="B39" s="43">
        <f>MAX(0,MIN(0,$B$13)-MAX(-1,$B$13-1))</f>
        <v/>
      </c>
      <c r="C39" s="43">
        <f>MAX(0,MIN(C19,$B$13)-MAX(C19-1,$B$13-1))</f>
        <v/>
      </c>
      <c r="D39" s="43">
        <f>MAX(0,MIN(D19,$B$13)-MAX(D19-1,$B$13-1))</f>
        <v/>
      </c>
      <c r="E39" s="43">
        <f>MAX(0,MIN(E19,$B$13)-MAX(E19-1,$B$13-1))</f>
        <v/>
      </c>
    </row>
    <row r="41">
      <c r="A41" s="17" t="inlineStr">
        <is>
          <t>Value at the target date</t>
        </is>
      </c>
    </row>
    <row r="42">
      <c r="A42" t="inlineStr">
        <is>
          <t>PV of free cash flow after the target date</t>
        </is>
      </c>
      <c r="B42" s="21">
        <f>SUM($C$36:$E$36)</f>
        <v/>
      </c>
    </row>
    <row r="43">
      <c r="A43" t="inlineStr">
        <is>
          <t>Terminal value at final year</t>
        </is>
      </c>
      <c r="B43" s="21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1">
        <f>B43/(1+$B$12)^($B$16-$B$13)</f>
        <v/>
      </c>
    </row>
    <row r="45">
      <c r="A45" t="inlineStr">
        <is>
          <t>DCF enterprise value at target date</t>
        </is>
      </c>
      <c r="B45" s="21">
        <f>B42+B44</f>
        <v/>
      </c>
    </row>
    <row r="46">
      <c r="A46" t="inlineStr">
        <is>
          <t>Terminal value share of DCF</t>
        </is>
      </c>
      <c r="B46" s="16">
        <f>B44/B45</f>
        <v/>
      </c>
    </row>
    <row r="47">
      <c r="A47" t="inlineStr">
        <is>
          <t>Free cash flow earned, balance date to target date</t>
        </is>
      </c>
      <c r="B47" s="21">
        <f>SUMPRODUCT($C$37:$E$37,$C$31:$E$31)</f>
        <v/>
      </c>
    </row>
    <row r="48">
      <c r="A48" t="inlineStr">
        <is>
          <t>Shareholder returns + other uses paid</t>
        </is>
      </c>
      <c r="B48" s="21">
        <f>SUMPRODUCT($C$37:$E$37,$C$34:$E$34)</f>
        <v/>
      </c>
    </row>
    <row r="49">
      <c r="A49" t="inlineStr">
        <is>
          <t>Interest drag on net debt</t>
        </is>
      </c>
      <c r="B49" s="21">
        <f>Valuation!$B$58*(1-$C$25)*MAX(Valuation!$B$56,0)*MAX($B$13-$B$14,0)</f>
        <v/>
      </c>
    </row>
    <row r="50">
      <c r="A50" t="inlineStr">
        <is>
          <t>Net debt at target date</t>
        </is>
      </c>
      <c r="B50" s="21">
        <f>IF(Valuation!$B$59="",Valuation!$B$56-B47+B49+B48,Valuation!$B$59)</f>
        <v/>
      </c>
    </row>
    <row r="51">
      <c r="A51" t="inlineStr">
        <is>
          <t>Minority interests</t>
        </is>
      </c>
      <c r="B51" s="21">
        <f>Valuation!$B$57</f>
        <v/>
      </c>
    </row>
    <row r="52">
      <c r="A52" t="inlineStr">
        <is>
          <t>Adjustments (probability-weighted)</t>
        </is>
      </c>
      <c r="B52" s="21">
        <f>(Valuation!B77)*Valuation!C77+(Valuation!B78)*Valuation!C78+(Valuation!B79)*Valuation!C79+(Valuation!B80)*Valuation!C80+(Valuation!B81)*Valuation!C81+(Valuation!B82)*Valuation!C82+0</f>
        <v/>
      </c>
    </row>
    <row r="53">
      <c r="A53" t="inlineStr">
        <is>
          <t>Diluted shares at target date (M)</t>
        </is>
      </c>
      <c r="B53" s="26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1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1">
        <f>SUMPRODUCT($C$38:$E$38,$C$22:$E$22)</f>
        <v/>
      </c>
      <c r="C59" s="21">
        <f>SUMPRODUCT($C$39:$E$39,$C$22:$E$22)+$B$39*$B$22</f>
        <v/>
      </c>
    </row>
    <row r="60">
      <c r="A60" t="inlineStr">
        <is>
          <t>EBIT</t>
        </is>
      </c>
      <c r="B60" s="21">
        <f>SUMPRODUCT($C$38:$E$38,$C$24:$E$24)</f>
        <v/>
      </c>
      <c r="C60" s="21">
        <f>SUMPRODUCT($C$39:$E$39,$C$24:$E$24)</f>
        <v/>
      </c>
    </row>
    <row r="61">
      <c r="A61" t="inlineStr">
        <is>
          <t>EBITDA</t>
        </is>
      </c>
      <c r="B61" s="21">
        <f>SUMPRODUCT($C$38:$E$38,$C$32:$E$32)</f>
        <v/>
      </c>
      <c r="C61" s="21">
        <f>SUMPRODUCT($C$39:$E$39,$C$32:$E$32)</f>
        <v/>
      </c>
    </row>
    <row r="62">
      <c r="A62" t="inlineStr">
        <is>
          <t>Adj. EBITDA</t>
        </is>
      </c>
      <c r="B62" s="21">
        <f>SUMPRODUCT($C$38:$E$38,$C$33:$E$33)</f>
        <v/>
      </c>
      <c r="C62" s="21">
        <f>SUMPRODUCT($C$39:$E$39,$C$33:$E$33)</f>
        <v/>
      </c>
    </row>
    <row r="63">
      <c r="A63" t="inlineStr">
        <is>
          <t>NOPAT</t>
        </is>
      </c>
      <c r="B63" s="21">
        <f>SUMPRODUCT($C$38:$E$38,$C$26:$E$26)</f>
        <v/>
      </c>
      <c r="C63" s="21">
        <f>SUMPRODUCT($C$39:$E$39,$C$26:$E$26)</f>
        <v/>
      </c>
    </row>
    <row r="64">
      <c r="A64" t="inlineStr">
        <is>
          <t>Free cash flow to firm</t>
        </is>
      </c>
      <c r="B64" s="21">
        <f>SUMPRODUCT($C$38:$E$38,$C$31:$E$31)</f>
        <v/>
      </c>
      <c r="C64" s="21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6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1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70)*(1+$B$9),C68*(E68-$B$54)/$B$53),IF(Valuation!G70&lt;&gt;"",(Valuation!G70)*(1+$B$9)/C68,(E68-IF(Valuation!H70,$B$54,0))/C68/$B$53))+$B$52/$B$53)</f>
        <v/>
      </c>
      <c r="G68" s="16">
        <f>Valuation!C70</f>
        <v/>
      </c>
      <c r="H68">
        <f>IF(B68="EV/sales",1,IF(B68="EV/EBIT",2,IF(B68="EV/EBITDA",IF(Valuation!E70="adjusted",4,3),IF(B68="P/E",5,6))))</f>
        <v/>
      </c>
      <c r="I68" s="44">
        <f>IF(AND(B68="P/E",Valuation!F70&lt;&gt;""),(Valuation!F70)*(1+$B$9),IF(AND(B68="FCF yield",Valuation!G70&lt;&gt;""),(Valuation!G70)*(1+$B$9),E68))</f>
        <v/>
      </c>
    </row>
    <row r="69">
      <c r="A69">
        <f>"Multiple: "&amp;Valuation!A71&amp;" ("&amp;Valuation!D71&amp;")"</f>
        <v/>
      </c>
      <c r="B69">
        <f>Valuation!A71</f>
        <v/>
      </c>
      <c r="C69" s="9">
        <f>IF(B69="FCF yield",(Valuation!B71)*(1-$B$8),(Valuation!B71)+IF(B69="EV/sales",0.1,1)*$B$6)</f>
        <v/>
      </c>
      <c r="D69">
        <f>Valuation!D71</f>
        <v/>
      </c>
      <c r="E69" s="21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71&lt;&gt;"",C69*(Valuation!F71)*(1+$B$9),C69*(E69-$B$54)/$B$53),IF(Valuation!G71&lt;&gt;"",(Valuation!G71)*(1+$B$9)/C69,(E69-IF(Valuation!H71,$B$54,0))/C69/$B$53))+$B$52/$B$53)</f>
        <v/>
      </c>
      <c r="G69" s="16">
        <f>Valuation!C71</f>
        <v/>
      </c>
      <c r="H69">
        <f>IF(B69="EV/sales",1,IF(B69="EV/EBIT",2,IF(B69="EV/EBITDA",IF(Valuation!E71="adjusted",4,3),IF(B69="P/E",5,6))))</f>
        <v/>
      </c>
      <c r="I69" s="44">
        <f>IF(AND(B69="P/E",Valuation!F71&lt;&gt;""),(Valuation!F71)*(1+$B$9),IF(AND(B69="FCF yield",Valuation!G71&lt;&gt;""),(Valuation!G71)*(1+$B$9),E69))</f>
        <v/>
      </c>
    </row>
    <row r="70">
      <c r="A70" s="17" t="inlineStr">
        <is>
          <t>Value per share at target date (weighted methods)</t>
        </is>
      </c>
      <c r="F70" s="6">
        <f>SUMPRODUCT(F67:F69,G67:G69)/SUM(G67:G69)</f>
        <v/>
      </c>
    </row>
    <row r="129">
      <c r="A129" s="17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Medical Devices (Diabetes Care, EP, Rhyt: revenue growth</t>
        </is>
      </c>
      <c r="C131" s="16">
        <f>Model!E12+$B$4</f>
        <v/>
      </c>
      <c r="D131" s="16">
        <f>Model!F12+$B$4</f>
        <v/>
      </c>
      <c r="E131" s="16">
        <f>Model!G12+$B$4</f>
        <v/>
      </c>
    </row>
    <row r="132">
      <c r="A132" t="inlineStr">
        <is>
          <t>Medical Devices (Diabetes Care, EP, Rhyt: revenue</t>
        </is>
      </c>
      <c r="B132" s="10">
        <f>Valuation!$B$93</f>
        <v/>
      </c>
      <c r="C132" s="21">
        <f>B132*(1+C131)</f>
        <v/>
      </c>
      <c r="D132" s="21">
        <f>C132*(1+D131)</f>
        <v/>
      </c>
      <c r="E132" s="21">
        <f>D132*(1+E131)</f>
        <v/>
      </c>
    </row>
    <row r="133">
      <c r="A133" t="inlineStr">
        <is>
          <t>Medical Devices (Diabetes Care, EP, Rhyt: EBIT margin</t>
        </is>
      </c>
      <c r="C133" s="16">
        <f>Model!E14+$B$5</f>
        <v/>
      </c>
      <c r="D133" s="16">
        <f>Model!F14+$B$5</f>
        <v/>
      </c>
      <c r="E133" s="16">
        <f>Model!G14+$B$5</f>
        <v/>
      </c>
    </row>
    <row r="134">
      <c r="A134" t="inlineStr">
        <is>
          <t>Medical Devices (Diabetes Care, EP, Rhyt: EBIT</t>
        </is>
      </c>
      <c r="C134" s="21">
        <f>C132*C133</f>
        <v/>
      </c>
      <c r="D134" s="21">
        <f>D132*D133</f>
        <v/>
      </c>
      <c r="E134" s="21">
        <f>E132*E133</f>
        <v/>
      </c>
    </row>
    <row r="135">
      <c r="A135" t="inlineStr">
        <is>
          <t>Diagnostics (Core Lab, Rapid/Molecular, : revenue growth</t>
        </is>
      </c>
      <c r="C135" s="16">
        <f>Model!E16+$B$4</f>
        <v/>
      </c>
      <c r="D135" s="16">
        <f>Model!F16+$B$4</f>
        <v/>
      </c>
      <c r="E135" s="16">
        <f>Model!G16+$B$4</f>
        <v/>
      </c>
    </row>
    <row r="136">
      <c r="A136" t="inlineStr">
        <is>
          <t>Diagnostics (Core Lab, Rapid/Molecular, : revenue</t>
        </is>
      </c>
      <c r="B136" s="10">
        <f>Valuation!$B$94</f>
        <v/>
      </c>
      <c r="C136" s="21">
        <f>B136*(1+C135)</f>
        <v/>
      </c>
      <c r="D136" s="21">
        <f>C136*(1+D135)</f>
        <v/>
      </c>
      <c r="E136" s="21">
        <f>D136*(1+E135)</f>
        <v/>
      </c>
    </row>
    <row r="137">
      <c r="A137" t="inlineStr">
        <is>
          <t>Diagnostics (Core Lab, Rapid/Molecular, : EBIT margin</t>
        </is>
      </c>
      <c r="C137" s="16">
        <f>Model!E18+$B$5</f>
        <v/>
      </c>
      <c r="D137" s="16">
        <f>Model!F18+$B$5</f>
        <v/>
      </c>
      <c r="E137" s="16">
        <f>Model!G18+$B$5</f>
        <v/>
      </c>
    </row>
    <row r="138">
      <c r="A138" t="inlineStr">
        <is>
          <t>Diagnostics (Core Lab, Rapid/Molecular, : EBIT</t>
        </is>
      </c>
      <c r="C138" s="21">
        <f>C136*C137</f>
        <v/>
      </c>
      <c r="D138" s="21">
        <f>D136*D137</f>
        <v/>
      </c>
      <c r="E138" s="21">
        <f>E136*E137</f>
        <v/>
      </c>
    </row>
    <row r="139">
      <c r="A139" t="inlineStr">
        <is>
          <t>Nutrition: revenue growth</t>
        </is>
      </c>
      <c r="C139" s="16">
        <f>Model!E20+$B$4</f>
        <v/>
      </c>
      <c r="D139" s="16">
        <f>Model!F20+$B$4</f>
        <v/>
      </c>
      <c r="E139" s="16">
        <f>Model!G20+$B$4</f>
        <v/>
      </c>
    </row>
    <row r="140">
      <c r="A140" t="inlineStr">
        <is>
          <t>Nutrition: revenue</t>
        </is>
      </c>
      <c r="B140" s="10">
        <f>Valuation!$B$95</f>
        <v/>
      </c>
      <c r="C140" s="21">
        <f>B140*(1+C139)</f>
        <v/>
      </c>
      <c r="D140" s="21">
        <f>C140*(1+D139)</f>
        <v/>
      </c>
      <c r="E140" s="21">
        <f>D140*(1+E139)</f>
        <v/>
      </c>
    </row>
    <row r="141">
      <c r="A141" t="inlineStr">
        <is>
          <t>Nutrition: EBIT margin</t>
        </is>
      </c>
      <c r="C141" s="16">
        <f>Model!E22+$B$5</f>
        <v/>
      </c>
      <c r="D141" s="16">
        <f>Model!F22+$B$5</f>
        <v/>
      </c>
      <c r="E141" s="16">
        <f>Model!G22+$B$5</f>
        <v/>
      </c>
    </row>
    <row r="142">
      <c r="A142" t="inlineStr">
        <is>
          <t>Nutrition: EBIT</t>
        </is>
      </c>
      <c r="C142" s="21">
        <f>C140*C141</f>
        <v/>
      </c>
      <c r="D142" s="21">
        <f>D140*D141</f>
        <v/>
      </c>
      <c r="E142" s="21">
        <f>E140*E141</f>
        <v/>
      </c>
    </row>
    <row r="143">
      <c r="A143" t="inlineStr">
        <is>
          <t>Established Pharmaceuticals: revenue growth</t>
        </is>
      </c>
      <c r="C143" s="16">
        <f>Model!E24+$B$4</f>
        <v/>
      </c>
      <c r="D143" s="16">
        <f>Model!F24+$B$4</f>
        <v/>
      </c>
      <c r="E143" s="16">
        <f>Model!G24+$B$4</f>
        <v/>
      </c>
    </row>
    <row r="144">
      <c r="A144" t="inlineStr">
        <is>
          <t>Established Pharmaceuticals: revenue</t>
        </is>
      </c>
      <c r="B144" s="10">
        <f>Valuation!$B$96</f>
        <v/>
      </c>
      <c r="C144" s="21">
        <f>B144*(1+C143)</f>
        <v/>
      </c>
      <c r="D144" s="21">
        <f>C144*(1+D143)</f>
        <v/>
      </c>
      <c r="E144" s="21">
        <f>D144*(1+E143)</f>
        <v/>
      </c>
    </row>
    <row r="145">
      <c r="A145" t="inlineStr">
        <is>
          <t>Established Pharmaceuticals: EBIT margin</t>
        </is>
      </c>
      <c r="C145" s="16">
        <f>Model!E26+$B$5</f>
        <v/>
      </c>
      <c r="D145" s="16">
        <f>Model!F26+$B$5</f>
        <v/>
      </c>
      <c r="E145" s="16">
        <f>Model!G26+$B$5</f>
        <v/>
      </c>
    </row>
    <row r="146">
      <c r="A146" t="inlineStr">
        <is>
          <t>Established Pharmaceuticals: EBIT</t>
        </is>
      </c>
      <c r="C146" s="21">
        <f>C144*C145</f>
        <v/>
      </c>
      <c r="D146" s="21">
        <f>D144*D145</f>
        <v/>
      </c>
      <c r="E146" s="21">
        <f>E144*E145</f>
        <v/>
      </c>
    </row>
    <row r="147">
      <c r="A147" t="inlineStr">
        <is>
          <t>Other: revenue growth</t>
        </is>
      </c>
      <c r="C147" s="16">
        <f>Model!E28+$B$4</f>
        <v/>
      </c>
      <c r="D147" s="16">
        <f>Model!F28+$B$4</f>
        <v/>
      </c>
      <c r="E147" s="16">
        <f>Model!G28+$B$4</f>
        <v/>
      </c>
    </row>
    <row r="148">
      <c r="A148" t="inlineStr">
        <is>
          <t>Other: revenue</t>
        </is>
      </c>
      <c r="B148" s="10">
        <f>Valuation!$B$97</f>
        <v/>
      </c>
      <c r="C148" s="21">
        <f>B148*(1+C147)</f>
        <v/>
      </c>
      <c r="D148" s="21">
        <f>C148*(1+D147)</f>
        <v/>
      </c>
      <c r="E148" s="21">
        <f>D148*(1+E147)</f>
        <v/>
      </c>
    </row>
    <row r="149">
      <c r="A149" t="inlineStr">
        <is>
          <t>Other: EBIT margin</t>
        </is>
      </c>
      <c r="C149" s="16">
        <f>Model!E30+$B$5</f>
        <v/>
      </c>
      <c r="D149" s="16">
        <f>Model!F30+$B$5</f>
        <v/>
      </c>
      <c r="E149" s="16">
        <f>Model!G30+$B$5</f>
        <v/>
      </c>
    </row>
    <row r="150">
      <c r="A150" t="inlineStr">
        <is>
          <t>Other: EBIT</t>
        </is>
      </c>
      <c r="C150" s="21">
        <f>C148*C149</f>
        <v/>
      </c>
      <c r="D150" s="21">
        <f>D148*D149</f>
        <v/>
      </c>
      <c r="E150" s="21">
        <f>E148*E149</f>
        <v/>
      </c>
    </row>
    <row r="151">
      <c r="A151" s="17" t="inlineStr">
        <is>
          <t>Total segment revenue</t>
        </is>
      </c>
      <c r="C151" s="21">
        <f>C132+C136+C140+C144+C148</f>
        <v/>
      </c>
      <c r="D151" s="21">
        <f>D132+D136+D140+D144+D148</f>
        <v/>
      </c>
      <c r="E151" s="21">
        <f>E132+E136+E140+E144+E148</f>
        <v/>
      </c>
    </row>
    <row r="152">
      <c r="A152" t="inlineStr">
        <is>
          <t>Total segment EBIT</t>
        </is>
      </c>
      <c r="C152" s="21">
        <f>C134+C138+C142+C146+C150</f>
        <v/>
      </c>
      <c r="D152" s="21">
        <f>D134+D138+D142+D146+D150</f>
        <v/>
      </c>
      <c r="E152" s="21">
        <f>E134+E138+E142+E146+E150</f>
        <v/>
      </c>
    </row>
    <row r="153">
      <c r="A153" t="inlineStr">
        <is>
          <t>Corporate / unallocated EBIT</t>
        </is>
      </c>
      <c r="C153" s="10">
        <f>Model!E33</f>
        <v/>
      </c>
      <c r="D153" s="10">
        <f>Model!F33</f>
        <v/>
      </c>
      <c r="E153" s="10">
        <f>Model!G33</f>
        <v/>
      </c>
    </row>
    <row r="154">
      <c r="A154" s="17" t="inlineStr">
        <is>
          <t>EBIT (segments + corporate)</t>
        </is>
      </c>
      <c r="C154" s="21">
        <f>C152+C153</f>
        <v/>
      </c>
      <c r="D154" s="21">
        <f>D152+D153</f>
        <v/>
      </c>
      <c r="E154" s="21">
        <f>E152+E153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6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ABT engine calculation: bull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N(Valuation!C90)</f>
        <v/>
      </c>
    </row>
    <row r="5">
      <c r="A5" t="inlineStr">
        <is>
          <t>Scenario Margin Δ</t>
        </is>
      </c>
      <c r="B5" s="12">
        <f>N(Valuation!D90)</f>
        <v/>
      </c>
    </row>
    <row r="6">
      <c r="A6" t="inlineStr">
        <is>
          <t>Scenario Multiple Δ (turns)</t>
        </is>
      </c>
      <c r="B6" s="45">
        <f>N(Valuation!E90)</f>
        <v/>
      </c>
    </row>
    <row r="7">
      <c r="A7" t="inlineStr">
        <is>
          <t>Scenario WACC Δ</t>
        </is>
      </c>
      <c r="B7" s="12">
        <f>N(Valuation!F90)</f>
        <v/>
      </c>
    </row>
    <row r="8">
      <c r="A8" t="inlineStr">
        <is>
          <t>Scenario Multiple %Δ</t>
        </is>
      </c>
      <c r="B8" s="12">
        <f>N(Valuation!G90)</f>
        <v/>
      </c>
    </row>
    <row r="9">
      <c r="A9" t="inlineStr">
        <is>
          <t>Scenario Stated EPS/FCF %Δ</t>
        </is>
      </c>
      <c r="B9" s="12">
        <f>N(Valuation!H90)</f>
        <v/>
      </c>
    </row>
    <row r="10">
      <c r="A10" t="inlineStr">
        <is>
          <t>Scenario Custom %Δ</t>
        </is>
      </c>
      <c r="B10" s="12">
        <f>N(Valuation!I90)</f>
        <v/>
      </c>
    </row>
    <row r="12">
      <c r="A12" t="inlineStr">
        <is>
          <t>WACC</t>
        </is>
      </c>
      <c r="B12" s="16">
        <f>Valuation!$B$51+B7</f>
        <v/>
      </c>
    </row>
    <row r="13">
      <c r="A13" t="inlineStr">
        <is>
          <t>Years from last FY end to target date</t>
        </is>
      </c>
      <c r="B13" s="43">
        <f>(Valuation!$B$45-Valuation!$B$49)/365.25</f>
        <v/>
      </c>
    </row>
    <row r="14">
      <c r="A14" t="inlineStr">
        <is>
          <t>Years from last FY end to balance date</t>
        </is>
      </c>
      <c r="B14" s="43">
        <f>(Valuation!$B$55-Valuation!$B$49)/365.25</f>
        <v/>
      </c>
    </row>
    <row r="15">
      <c r="A15" t="inlineStr">
        <is>
          <t>Years from last FY end to share count date</t>
        </is>
      </c>
      <c r="B15" s="43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18">
        <f>Valuation!$B$49+ROUND(365.25*C19,0)</f>
        <v/>
      </c>
      <c r="D20" s="18">
        <f>Valuation!$B$49+ROUND(365.25*D19,0)</f>
        <v/>
      </c>
      <c r="E20" s="18">
        <f>Valuation!$B$49+ROUND(365.25*E19,0)</f>
        <v/>
      </c>
    </row>
    <row r="21">
      <c r="A21" t="inlineStr">
        <is>
          <t>Revenue growth</t>
        </is>
      </c>
      <c r="C21" s="16">
        <f>C22/B22-1</f>
        <v/>
      </c>
      <c r="D21" s="16">
        <f>D22/C22-1</f>
        <v/>
      </c>
      <c r="E21" s="16">
        <f>E22/D22-1</f>
        <v/>
      </c>
    </row>
    <row r="22">
      <c r="A22" t="inlineStr">
        <is>
          <t>Revenue</t>
        </is>
      </c>
      <c r="B22" s="21">
        <f>Valuation!$B$50</f>
        <v/>
      </c>
      <c r="C22" s="21">
        <f>C151</f>
        <v/>
      </c>
      <c r="D22" s="21">
        <f>D151</f>
        <v/>
      </c>
      <c r="E22" s="21">
        <f>E151</f>
        <v/>
      </c>
    </row>
    <row r="23">
      <c r="A23" t="inlineStr">
        <is>
          <t>EBIT margin</t>
        </is>
      </c>
      <c r="C23" s="16">
        <f>C24/C22</f>
        <v/>
      </c>
      <c r="D23" s="16">
        <f>D24/D22</f>
        <v/>
      </c>
      <c r="E23" s="16">
        <f>E24/E22</f>
        <v/>
      </c>
    </row>
    <row r="24">
      <c r="A24" t="inlineStr">
        <is>
          <t>EBIT</t>
        </is>
      </c>
      <c r="C24" s="21">
        <f>C154</f>
        <v/>
      </c>
      <c r="D24" s="21">
        <f>D154</f>
        <v/>
      </c>
      <c r="E24" s="21">
        <f>E154</f>
        <v/>
      </c>
    </row>
    <row r="25">
      <c r="A25" t="inlineStr">
        <is>
          <t>Tax rate</t>
        </is>
      </c>
      <c r="C25" s="16">
        <f>Model!E75</f>
        <v/>
      </c>
      <c r="D25" s="16">
        <f>Model!F75</f>
        <v/>
      </c>
      <c r="E25" s="16">
        <f>Model!G75</f>
        <v/>
      </c>
    </row>
    <row r="26">
      <c r="A26" t="inlineStr">
        <is>
          <t>NOPAT</t>
        </is>
      </c>
      <c r="C26" s="21">
        <f>C24*(1-C25)</f>
        <v/>
      </c>
      <c r="D26" s="21">
        <f>D24*(1-D25)</f>
        <v/>
      </c>
      <c r="E26" s="21">
        <f>E24*(1-E25)</f>
        <v/>
      </c>
    </row>
    <row r="27">
      <c r="A27" t="inlineStr">
        <is>
          <t>D&amp;A</t>
        </is>
      </c>
      <c r="C27" s="21">
        <f>C22*(Model!E76)</f>
        <v/>
      </c>
      <c r="D27" s="21">
        <f>D22*(Model!F76)</f>
        <v/>
      </c>
      <c r="E27" s="21">
        <f>E22*(Model!G76)</f>
        <v/>
      </c>
    </row>
    <row r="28">
      <c r="A28" t="inlineStr">
        <is>
          <t>Capex</t>
        </is>
      </c>
      <c r="C28" s="21">
        <f>C22*(Model!E77)</f>
        <v/>
      </c>
      <c r="D28" s="21">
        <f>D22*(Model!F77)</f>
        <v/>
      </c>
      <c r="E28" s="21">
        <f>E22*(Model!G77)</f>
        <v/>
      </c>
    </row>
    <row r="29">
      <c r="A29" t="inlineStr">
        <is>
          <t>Working capital increase</t>
        </is>
      </c>
      <c r="C29" s="21">
        <f>(Model!E78)*(C22-B22)</f>
        <v/>
      </c>
      <c r="D29" s="21">
        <f>(Model!F78)*(D22-C22)</f>
        <v/>
      </c>
      <c r="E29" s="21">
        <f>(Model!G78)*(E22-D22)</f>
        <v/>
      </c>
    </row>
    <row r="30">
      <c r="A30" t="inlineStr">
        <is>
          <t>Stock comp</t>
        </is>
      </c>
      <c r="C30" s="21">
        <f>C22*(Model!E79)</f>
        <v/>
      </c>
      <c r="D30" s="21">
        <f>D22*(Model!F79)</f>
        <v/>
      </c>
      <c r="E30" s="21">
        <f>E22*(Model!G79)</f>
        <v/>
      </c>
    </row>
    <row r="31">
      <c r="A31" t="inlineStr">
        <is>
          <t>Free cash flow to firm</t>
        </is>
      </c>
      <c r="C31" s="21">
        <f>C26+C27-C28-C29-IF(AND(Valuation!$B$47="adjusted",Valuation!$B$48="cost"),C30*(1-C25),0)</f>
        <v/>
      </c>
      <c r="D31" s="21">
        <f>D26+D27-D28-D29-IF(AND(Valuation!$B$47="adjusted",Valuation!$B$48="cost"),D30*(1-D25),0)</f>
        <v/>
      </c>
      <c r="E31" s="21">
        <f>E26+E27-E28-E29-IF(AND(Valuation!$B$47="adjusted",Valuation!$B$48="cost"),E30*(1-E25),0)</f>
        <v/>
      </c>
    </row>
    <row r="32">
      <c r="A32" t="inlineStr">
        <is>
          <t>EBITDA</t>
        </is>
      </c>
      <c r="C32" s="21">
        <f>C24+C27</f>
        <v/>
      </c>
      <c r="D32" s="21">
        <f>D24+D27</f>
        <v/>
      </c>
      <c r="E32" s="21">
        <f>E24+E27</f>
        <v/>
      </c>
    </row>
    <row r="33">
      <c r="A33" t="inlineStr">
        <is>
          <t>Adj. EBITDA</t>
        </is>
      </c>
      <c r="C33" s="21">
        <f>C24+C27+C22*(Model!E83)</f>
        <v/>
      </c>
      <c r="D33" s="21">
        <f>D24+D27+D22*(Model!F83)</f>
        <v/>
      </c>
      <c r="E33" s="21">
        <f>E24+E27+E22*(Model!G83)</f>
        <v/>
      </c>
    </row>
    <row r="34">
      <c r="A34" t="inlineStr">
        <is>
          <t>Shareholder returns + other uses</t>
        </is>
      </c>
      <c r="C34" s="21">
        <f>C22*Model!E81+Model!E80+Model!E82</f>
        <v/>
      </c>
      <c r="D34" s="21">
        <f>D22*Model!F81+Model!F80+Model!F82</f>
        <v/>
      </c>
      <c r="E34" s="21">
        <f>E22*Model!G81+Model!G80+Model!G82</f>
        <v/>
      </c>
    </row>
    <row r="35">
      <c r="A35" t="inlineStr">
        <is>
          <t>Share of year after target date</t>
        </is>
      </c>
      <c r="C35" s="43">
        <f>IF(C19&lt;=$B$13,0,C19-MAX(C19-1,$B$13))</f>
        <v/>
      </c>
      <c r="D35" s="43">
        <f>IF(D19&lt;=$B$13,0,D19-MAX(D19-1,$B$13))</f>
        <v/>
      </c>
      <c r="E35" s="43">
        <f>IF(E19&lt;=$B$13,0,E19-MAX(E19-1,$B$13))</f>
        <v/>
      </c>
    </row>
    <row r="36">
      <c r="A36" t="inlineStr">
        <is>
          <t>PV at target date of FCFF</t>
        </is>
      </c>
      <c r="C36" s="21">
        <f>IF(C35=0,0,C31*C35/(1+$B$12)^(C19-$B$13))</f>
        <v/>
      </c>
      <c r="D36" s="21">
        <f>IF(D35=0,0,D31*D35/(1+$B$12)^(D19-$B$13))</f>
        <v/>
      </c>
      <c r="E36" s="21">
        <f>IF(E35=0,0,E31*E35/(1+$B$12)^(E19-$B$13))</f>
        <v/>
      </c>
    </row>
    <row r="37">
      <c r="A37" t="inlineStr">
        <is>
          <t>Overlap: balance date to target date</t>
        </is>
      </c>
      <c r="C37" s="43">
        <f>MAX(0,MIN(C19,$B$13)-MAX(C19-1,$B$14))</f>
        <v/>
      </c>
      <c r="D37" s="43">
        <f>MAX(0,MIN(D19,$B$13)-MAX(D19-1,$B$14))</f>
        <v/>
      </c>
      <c r="E37" s="43">
        <f>MAX(0,MIN(E19,$B$13)-MAX(E19-1,$B$14))</f>
        <v/>
      </c>
    </row>
    <row r="38">
      <c r="A38" t="inlineStr">
        <is>
          <t>NTM weight at target date</t>
        </is>
      </c>
      <c r="C38" s="43">
        <f>MAX(0,MIN(C19,$B$13+1)-MAX(C19-1,$B$13))</f>
        <v/>
      </c>
      <c r="D38" s="43">
        <f>MAX(0,MIN(D19,$B$13+1)-MAX(D19-1,$B$13))</f>
        <v/>
      </c>
      <c r="E38" s="43">
        <f>MAX(0,MIN(E19,$B$13+1)-MAX(E19-1,$B$13))</f>
        <v/>
      </c>
    </row>
    <row r="39">
      <c r="A39" t="inlineStr">
        <is>
          <t>LTM weight at target date</t>
        </is>
      </c>
      <c r="B39" s="43">
        <f>MAX(0,MIN(0,$B$13)-MAX(-1,$B$13-1))</f>
        <v/>
      </c>
      <c r="C39" s="43">
        <f>MAX(0,MIN(C19,$B$13)-MAX(C19-1,$B$13-1))</f>
        <v/>
      </c>
      <c r="D39" s="43">
        <f>MAX(0,MIN(D19,$B$13)-MAX(D19-1,$B$13-1))</f>
        <v/>
      </c>
      <c r="E39" s="43">
        <f>MAX(0,MIN(E19,$B$13)-MAX(E19-1,$B$13-1))</f>
        <v/>
      </c>
    </row>
    <row r="41">
      <c r="A41" s="17" t="inlineStr">
        <is>
          <t>Value at the target date</t>
        </is>
      </c>
    </row>
    <row r="42">
      <c r="A42" t="inlineStr">
        <is>
          <t>PV of free cash flow after the target date</t>
        </is>
      </c>
      <c r="B42" s="21">
        <f>SUM($C$36:$E$36)</f>
        <v/>
      </c>
    </row>
    <row r="43">
      <c r="A43" t="inlineStr">
        <is>
          <t>Terminal value at final year</t>
        </is>
      </c>
      <c r="B43" s="21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1">
        <f>B43/(1+$B$12)^($B$16-$B$13)</f>
        <v/>
      </c>
    </row>
    <row r="45">
      <c r="A45" t="inlineStr">
        <is>
          <t>DCF enterprise value at target date</t>
        </is>
      </c>
      <c r="B45" s="21">
        <f>B42+B44</f>
        <v/>
      </c>
    </row>
    <row r="46">
      <c r="A46" t="inlineStr">
        <is>
          <t>Terminal value share of DCF</t>
        </is>
      </c>
      <c r="B46" s="16">
        <f>B44/B45</f>
        <v/>
      </c>
    </row>
    <row r="47">
      <c r="A47" t="inlineStr">
        <is>
          <t>Free cash flow earned, balance date to target date</t>
        </is>
      </c>
      <c r="B47" s="21">
        <f>SUMPRODUCT($C$37:$E$37,$C$31:$E$31)</f>
        <v/>
      </c>
    </row>
    <row r="48">
      <c r="A48" t="inlineStr">
        <is>
          <t>Shareholder returns + other uses paid</t>
        </is>
      </c>
      <c r="B48" s="21">
        <f>SUMPRODUCT($C$37:$E$37,$C$34:$E$34)</f>
        <v/>
      </c>
    </row>
    <row r="49">
      <c r="A49" t="inlineStr">
        <is>
          <t>Interest drag on net debt</t>
        </is>
      </c>
      <c r="B49" s="21">
        <f>Valuation!$B$58*(1-$C$25)*MAX(Valuation!$B$56,0)*MAX($B$13-$B$14,0)</f>
        <v/>
      </c>
    </row>
    <row r="50">
      <c r="A50" t="inlineStr">
        <is>
          <t>Net debt at target date</t>
        </is>
      </c>
      <c r="B50" s="21">
        <f>IF(Valuation!$B$59="",Valuation!$B$56-B47+B49+B48,Valuation!$B$59)</f>
        <v/>
      </c>
    </row>
    <row r="51">
      <c r="A51" t="inlineStr">
        <is>
          <t>Minority interests</t>
        </is>
      </c>
      <c r="B51" s="21">
        <f>Valuation!$B$57</f>
        <v/>
      </c>
    </row>
    <row r="52">
      <c r="A52" t="inlineStr">
        <is>
          <t>Adjustments (probability-weighted)</t>
        </is>
      </c>
      <c r="B52" s="21">
        <f>(Valuation!B77)*Valuation!C77+(Valuation!B78)*Valuation!C78+(Valuation!B79)*Valuation!C79+(Valuation!B80)*Valuation!C80+(Valuation!B81)*Valuation!C81+(Valuation!B82)*Valuation!C82+0</f>
        <v/>
      </c>
    </row>
    <row r="53">
      <c r="A53" t="inlineStr">
        <is>
          <t>Diluted shares at target date (M)</t>
        </is>
      </c>
      <c r="B53" s="26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1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1">
        <f>SUMPRODUCT($C$38:$E$38,$C$22:$E$22)</f>
        <v/>
      </c>
      <c r="C59" s="21">
        <f>SUMPRODUCT($C$39:$E$39,$C$22:$E$22)+$B$39*$B$22</f>
        <v/>
      </c>
    </row>
    <row r="60">
      <c r="A60" t="inlineStr">
        <is>
          <t>EBIT</t>
        </is>
      </c>
      <c r="B60" s="21">
        <f>SUMPRODUCT($C$38:$E$38,$C$24:$E$24)</f>
        <v/>
      </c>
      <c r="C60" s="21">
        <f>SUMPRODUCT($C$39:$E$39,$C$24:$E$24)</f>
        <v/>
      </c>
    </row>
    <row r="61">
      <c r="A61" t="inlineStr">
        <is>
          <t>EBITDA</t>
        </is>
      </c>
      <c r="B61" s="21">
        <f>SUMPRODUCT($C$38:$E$38,$C$32:$E$32)</f>
        <v/>
      </c>
      <c r="C61" s="21">
        <f>SUMPRODUCT($C$39:$E$39,$C$32:$E$32)</f>
        <v/>
      </c>
    </row>
    <row r="62">
      <c r="A62" t="inlineStr">
        <is>
          <t>Adj. EBITDA</t>
        </is>
      </c>
      <c r="B62" s="21">
        <f>SUMPRODUCT($C$38:$E$38,$C$33:$E$33)</f>
        <v/>
      </c>
      <c r="C62" s="21">
        <f>SUMPRODUCT($C$39:$E$39,$C$33:$E$33)</f>
        <v/>
      </c>
    </row>
    <row r="63">
      <c r="A63" t="inlineStr">
        <is>
          <t>NOPAT</t>
        </is>
      </c>
      <c r="B63" s="21">
        <f>SUMPRODUCT($C$38:$E$38,$C$26:$E$26)</f>
        <v/>
      </c>
      <c r="C63" s="21">
        <f>SUMPRODUCT($C$39:$E$39,$C$26:$E$26)</f>
        <v/>
      </c>
    </row>
    <row r="64">
      <c r="A64" t="inlineStr">
        <is>
          <t>Free cash flow to firm</t>
        </is>
      </c>
      <c r="B64" s="21">
        <f>SUMPRODUCT($C$38:$E$38,$C$31:$E$31)</f>
        <v/>
      </c>
      <c r="C64" s="21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6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1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70)*(1+$B$9),C68*(E68-$B$54)/$B$53),IF(Valuation!G70&lt;&gt;"",(Valuation!G70)*(1+$B$9)/C68,(E68-IF(Valuation!H70,$B$54,0))/C68/$B$53))+$B$52/$B$53)</f>
        <v/>
      </c>
      <c r="G68" s="16">
        <f>Valuation!C70</f>
        <v/>
      </c>
      <c r="H68">
        <f>IF(B68="EV/sales",1,IF(B68="EV/EBIT",2,IF(B68="EV/EBITDA",IF(Valuation!E70="adjusted",4,3),IF(B68="P/E",5,6))))</f>
        <v/>
      </c>
      <c r="I68" s="44">
        <f>IF(AND(B68="P/E",Valuation!F70&lt;&gt;""),(Valuation!F70)*(1+$B$9),IF(AND(B68="FCF yield",Valuation!G70&lt;&gt;""),(Valuation!G70)*(1+$B$9),E68))</f>
        <v/>
      </c>
    </row>
    <row r="69">
      <c r="A69">
        <f>"Multiple: "&amp;Valuation!A71&amp;" ("&amp;Valuation!D71&amp;")"</f>
        <v/>
      </c>
      <c r="B69">
        <f>Valuation!A71</f>
        <v/>
      </c>
      <c r="C69" s="9">
        <f>IF(B69="FCF yield",(Valuation!B71)*(1-$B$8),(Valuation!B71)+IF(B69="EV/sales",0.1,1)*$B$6)</f>
        <v/>
      </c>
      <c r="D69">
        <f>Valuation!D71</f>
        <v/>
      </c>
      <c r="E69" s="21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71&lt;&gt;"",C69*(Valuation!F71)*(1+$B$9),C69*(E69-$B$54)/$B$53),IF(Valuation!G71&lt;&gt;"",(Valuation!G71)*(1+$B$9)/C69,(E69-IF(Valuation!H71,$B$54,0))/C69/$B$53))+$B$52/$B$53)</f>
        <v/>
      </c>
      <c r="G69" s="16">
        <f>Valuation!C71</f>
        <v/>
      </c>
      <c r="H69">
        <f>IF(B69="EV/sales",1,IF(B69="EV/EBIT",2,IF(B69="EV/EBITDA",IF(Valuation!E71="adjusted",4,3),IF(B69="P/E",5,6))))</f>
        <v/>
      </c>
      <c r="I69" s="44">
        <f>IF(AND(B69="P/E",Valuation!F71&lt;&gt;""),(Valuation!F71)*(1+$B$9),IF(AND(B69="FCF yield",Valuation!G71&lt;&gt;""),(Valuation!G71)*(1+$B$9),E69))</f>
        <v/>
      </c>
    </row>
    <row r="70">
      <c r="A70" s="17" t="inlineStr">
        <is>
          <t>Value per share at target date (weighted methods)</t>
        </is>
      </c>
      <c r="F70" s="6">
        <f>SUMPRODUCT(F67:F69,G67:G69)/SUM(G67:G69)</f>
        <v/>
      </c>
    </row>
    <row r="129">
      <c r="A129" s="17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Medical Devices (Diabetes Care, EP, Rhyt: revenue growth</t>
        </is>
      </c>
      <c r="C131" s="16">
        <f>Model!E12+$B$4+$B$250</f>
        <v/>
      </c>
      <c r="D131" s="16">
        <f>Model!F12+$B$4+$B$251</f>
        <v/>
      </c>
      <c r="E131" s="16">
        <f>Model!G12+$B$4+$B$252</f>
        <v/>
      </c>
    </row>
    <row r="132">
      <c r="A132" t="inlineStr">
        <is>
          <t>Medical Devices (Diabetes Care, EP, Rhyt: revenue</t>
        </is>
      </c>
      <c r="B132" s="10">
        <f>Valuation!$B$93</f>
        <v/>
      </c>
      <c r="C132" s="21">
        <f>B132*(1+C131)</f>
        <v/>
      </c>
      <c r="D132" s="21">
        <f>C132*(1+D131)</f>
        <v/>
      </c>
      <c r="E132" s="21">
        <f>D132*(1+E131)</f>
        <v/>
      </c>
    </row>
    <row r="133">
      <c r="A133" t="inlineStr">
        <is>
          <t>Medical Devices (Diabetes Care, EP, Rhyt: EBIT margin</t>
        </is>
      </c>
      <c r="C133" s="16">
        <f>Model!E14+$B$5</f>
        <v/>
      </c>
      <c r="D133" s="16">
        <f>Model!F14+$B$5</f>
        <v/>
      </c>
      <c r="E133" s="16">
        <f>Model!G14+$B$5</f>
        <v/>
      </c>
    </row>
    <row r="134">
      <c r="A134" t="inlineStr">
        <is>
          <t>Medical Devices (Diabetes Care, EP, Rhyt: EBIT</t>
        </is>
      </c>
      <c r="C134" s="21">
        <f>C132*C133</f>
        <v/>
      </c>
      <c r="D134" s="21">
        <f>D132*D133</f>
        <v/>
      </c>
      <c r="E134" s="21">
        <f>E132*E133</f>
        <v/>
      </c>
    </row>
    <row r="135">
      <c r="A135" t="inlineStr">
        <is>
          <t>Diagnostics (Core Lab, Rapid/Molecular, : revenue growth</t>
        </is>
      </c>
      <c r="C135" s="16">
        <f>Model!E16+$B$4+$B$253</f>
        <v/>
      </c>
      <c r="D135" s="16">
        <f>Model!F16+$B$4+$B$254</f>
        <v/>
      </c>
      <c r="E135" s="16">
        <f>Model!G16+$B$4+$B$255</f>
        <v/>
      </c>
    </row>
    <row r="136">
      <c r="A136" t="inlineStr">
        <is>
          <t>Diagnostics (Core Lab, Rapid/Molecular, : revenue</t>
        </is>
      </c>
      <c r="B136" s="10">
        <f>Valuation!$B$94</f>
        <v/>
      </c>
      <c r="C136" s="21">
        <f>B136*(1+C135)</f>
        <v/>
      </c>
      <c r="D136" s="21">
        <f>C136*(1+D135)</f>
        <v/>
      </c>
      <c r="E136" s="21">
        <f>D136*(1+E135)</f>
        <v/>
      </c>
    </row>
    <row r="137">
      <c r="A137" t="inlineStr">
        <is>
          <t>Diagnostics (Core Lab, Rapid/Molecular, : EBIT margin</t>
        </is>
      </c>
      <c r="C137" s="16">
        <f>Model!E18+$B$5</f>
        <v/>
      </c>
      <c r="D137" s="16">
        <f>Model!F18+$B$5</f>
        <v/>
      </c>
      <c r="E137" s="16">
        <f>Model!G18+$B$5</f>
        <v/>
      </c>
    </row>
    <row r="138">
      <c r="A138" t="inlineStr">
        <is>
          <t>Diagnostics (Core Lab, Rapid/Molecular, : EBIT</t>
        </is>
      </c>
      <c r="C138" s="21">
        <f>C136*C137</f>
        <v/>
      </c>
      <c r="D138" s="21">
        <f>D136*D137</f>
        <v/>
      </c>
      <c r="E138" s="21">
        <f>E136*E137</f>
        <v/>
      </c>
    </row>
    <row r="139">
      <c r="A139" t="inlineStr">
        <is>
          <t>Nutrition: revenue growth</t>
        </is>
      </c>
      <c r="C139" s="16">
        <f>Model!E20+$B$4</f>
        <v/>
      </c>
      <c r="D139" s="16">
        <f>Model!F20+$B$4</f>
        <v/>
      </c>
      <c r="E139" s="16">
        <f>Model!G20+$B$4</f>
        <v/>
      </c>
    </row>
    <row r="140">
      <c r="A140" t="inlineStr">
        <is>
          <t>Nutrition: revenue</t>
        </is>
      </c>
      <c r="B140" s="10">
        <f>Valuation!$B$95</f>
        <v/>
      </c>
      <c r="C140" s="21">
        <f>B140*(1+C139)</f>
        <v/>
      </c>
      <c r="D140" s="21">
        <f>C140*(1+D139)</f>
        <v/>
      </c>
      <c r="E140" s="21">
        <f>D140*(1+E139)</f>
        <v/>
      </c>
    </row>
    <row r="141">
      <c r="A141" t="inlineStr">
        <is>
          <t>Nutrition: EBIT margin</t>
        </is>
      </c>
      <c r="C141" s="16">
        <f>Model!E22+$B$5</f>
        <v/>
      </c>
      <c r="D141" s="16">
        <f>Model!F22+$B$5</f>
        <v/>
      </c>
      <c r="E141" s="16">
        <f>Model!G22+$B$5</f>
        <v/>
      </c>
    </row>
    <row r="142">
      <c r="A142" t="inlineStr">
        <is>
          <t>Nutrition: EBIT</t>
        </is>
      </c>
      <c r="C142" s="21">
        <f>C140*C141</f>
        <v/>
      </c>
      <c r="D142" s="21">
        <f>D140*D141</f>
        <v/>
      </c>
      <c r="E142" s="21">
        <f>E140*E141</f>
        <v/>
      </c>
    </row>
    <row r="143">
      <c r="A143" t="inlineStr">
        <is>
          <t>Established Pharmaceuticals: revenue growth</t>
        </is>
      </c>
      <c r="C143" s="16">
        <f>Model!E24+$B$4+$B$256</f>
        <v/>
      </c>
      <c r="D143" s="16">
        <f>Model!F24+$B$4</f>
        <v/>
      </c>
      <c r="E143" s="16">
        <f>Model!G24+$B$4</f>
        <v/>
      </c>
    </row>
    <row r="144">
      <c r="A144" t="inlineStr">
        <is>
          <t>Established Pharmaceuticals: revenue</t>
        </is>
      </c>
      <c r="B144" s="10">
        <f>Valuation!$B$96</f>
        <v/>
      </c>
      <c r="C144" s="21">
        <f>B144*(1+C143)</f>
        <v/>
      </c>
      <c r="D144" s="21">
        <f>C144*(1+D143)</f>
        <v/>
      </c>
      <c r="E144" s="21">
        <f>D144*(1+E143)</f>
        <v/>
      </c>
    </row>
    <row r="145">
      <c r="A145" t="inlineStr">
        <is>
          <t>Established Pharmaceuticals: EBIT margin</t>
        </is>
      </c>
      <c r="C145" s="16">
        <f>Model!E26+$B$5</f>
        <v/>
      </c>
      <c r="D145" s="16">
        <f>Model!F26+$B$5</f>
        <v/>
      </c>
      <c r="E145" s="16">
        <f>Model!G26+$B$5</f>
        <v/>
      </c>
    </row>
    <row r="146">
      <c r="A146" t="inlineStr">
        <is>
          <t>Established Pharmaceuticals: EBIT</t>
        </is>
      </c>
      <c r="C146" s="21">
        <f>C144*C145</f>
        <v/>
      </c>
      <c r="D146" s="21">
        <f>D144*D145</f>
        <v/>
      </c>
      <c r="E146" s="21">
        <f>E144*E145</f>
        <v/>
      </c>
    </row>
    <row r="147">
      <c r="A147" t="inlineStr">
        <is>
          <t>Other: revenue growth</t>
        </is>
      </c>
      <c r="C147" s="16">
        <f>Model!E28+$B$4</f>
        <v/>
      </c>
      <c r="D147" s="16">
        <f>Model!F28+$B$4</f>
        <v/>
      </c>
      <c r="E147" s="16">
        <f>Model!G28+$B$4</f>
        <v/>
      </c>
    </row>
    <row r="148">
      <c r="A148" t="inlineStr">
        <is>
          <t>Other: revenue</t>
        </is>
      </c>
      <c r="B148" s="10">
        <f>Valuation!$B$97</f>
        <v/>
      </c>
      <c r="C148" s="21">
        <f>B148*(1+C147)</f>
        <v/>
      </c>
      <c r="D148" s="21">
        <f>C148*(1+D147)</f>
        <v/>
      </c>
      <c r="E148" s="21">
        <f>D148*(1+E147)</f>
        <v/>
      </c>
    </row>
    <row r="149">
      <c r="A149" t="inlineStr">
        <is>
          <t>Other: EBIT margin</t>
        </is>
      </c>
      <c r="C149" s="16">
        <f>Model!E30+$B$5</f>
        <v/>
      </c>
      <c r="D149" s="16">
        <f>Model!F30+$B$5</f>
        <v/>
      </c>
      <c r="E149" s="16">
        <f>Model!G30+$B$5</f>
        <v/>
      </c>
    </row>
    <row r="150">
      <c r="A150" t="inlineStr">
        <is>
          <t>Other: EBIT</t>
        </is>
      </c>
      <c r="C150" s="21">
        <f>C148*C149</f>
        <v/>
      </c>
      <c r="D150" s="21">
        <f>D148*D149</f>
        <v/>
      </c>
      <c r="E150" s="21">
        <f>E148*E149</f>
        <v/>
      </c>
    </row>
    <row r="151">
      <c r="A151" s="17" t="inlineStr">
        <is>
          <t>Total segment revenue</t>
        </is>
      </c>
      <c r="C151" s="21">
        <f>C132+C136+C140+C144+C148</f>
        <v/>
      </c>
      <c r="D151" s="21">
        <f>D132+D136+D140+D144+D148</f>
        <v/>
      </c>
      <c r="E151" s="21">
        <f>E132+E136+E140+E144+E148</f>
        <v/>
      </c>
    </row>
    <row r="152">
      <c r="A152" t="inlineStr">
        <is>
          <t>Total segment EBIT</t>
        </is>
      </c>
      <c r="C152" s="21">
        <f>C134+C138+C142+C146+C150</f>
        <v/>
      </c>
      <c r="D152" s="21">
        <f>D134+D138+D142+D146+D150</f>
        <v/>
      </c>
      <c r="E152" s="21">
        <f>E134+E138+E142+E146+E150</f>
        <v/>
      </c>
    </row>
    <row r="153">
      <c r="A153" t="inlineStr">
        <is>
          <t>Corporate / unallocated EBIT</t>
        </is>
      </c>
      <c r="C153" s="10">
        <f>Model!E33</f>
        <v/>
      </c>
      <c r="D153" s="10">
        <f>Model!F33</f>
        <v/>
      </c>
      <c r="E153" s="10">
        <f>Model!G33</f>
        <v/>
      </c>
    </row>
    <row r="154">
      <c r="A154" s="17" t="inlineStr">
        <is>
          <t>EBIT (segments + corporate)</t>
        </is>
      </c>
      <c r="C154" s="21">
        <f>C152+C153</f>
        <v/>
      </c>
      <c r="D154" s="21">
        <f>D152+D153</f>
        <v/>
      </c>
      <c r="E154" s="21">
        <f>E152+E153</f>
        <v/>
      </c>
    </row>
    <row r="249">
      <c r="A249" s="17" t="inlineStr">
        <is>
          <t>Driver scenario shifts: line-item changes model_drivers.py resolves from this scenario's driver deltas (added to the Model tab inputs)</t>
        </is>
      </c>
    </row>
    <row r="250">
      <c r="A250" t="inlineStr">
        <is>
          <t>Medical Devices (Diabetes Care, EP, Rhyt: revenue growth, year 1</t>
        </is>
      </c>
      <c r="B250" s="46" t="n">
        <v>0.06560994996960767</v>
      </c>
    </row>
    <row r="251">
      <c r="A251" t="inlineStr">
        <is>
          <t>Medical Devices (Diabetes Care, EP, Rhyt: revenue growth, year 2</t>
        </is>
      </c>
      <c r="B251" s="46" t="n">
        <v>0.0003430733866229829</v>
      </c>
    </row>
    <row r="252">
      <c r="A252" t="inlineStr">
        <is>
          <t>Medical Devices (Diabetes Care, EP, Rhyt: revenue growth, year 3</t>
        </is>
      </c>
      <c r="B252" s="46" t="n">
        <v>9.982143785736142e-05</v>
      </c>
    </row>
    <row r="253">
      <c r="A253" t="inlineStr">
        <is>
          <t>Diagnostics (Core Lab, Rapid/Molecular, : revenue growth, year 1</t>
        </is>
      </c>
      <c r="B253" s="46" t="n">
        <v>0.03525344075192982</v>
      </c>
    </row>
    <row r="254">
      <c r="A254" t="inlineStr">
        <is>
          <t>Diagnostics (Core Lab, Rapid/Molecular, : revenue growth, year 2</t>
        </is>
      </c>
      <c r="B254" s="46" t="n">
        <v>0.002854579658496226</v>
      </c>
    </row>
    <row r="255">
      <c r="A255" t="inlineStr">
        <is>
          <t>Diagnostics (Core Lab, Rapid/Molecular, : revenue growth, year 3</t>
        </is>
      </c>
      <c r="B255" s="46" t="n">
        <v>0.0006941441053700537</v>
      </c>
    </row>
    <row r="256">
      <c r="A256" t="inlineStr">
        <is>
          <t>Established Pharmaceuticals: revenue growth, year 1</t>
        </is>
      </c>
      <c r="B256" s="46" t="n">
        <v>0.02174494219653167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12" max="12"/>
    <col width="70" customWidth="1" min="13" max="13"/>
  </cols>
  <sheetData>
    <row r="1">
      <c r="A1" s="1" t="inlineStr">
        <is>
          <t>ABT: each forecaster's own assumption set through the same engine (from model_engine.json, not live)</t>
        </is>
      </c>
    </row>
    <row r="3">
      <c r="A3" s="3" t="inlineStr">
        <is>
          <t>Set</t>
        </is>
      </c>
      <c r="B3" s="3" t="inlineStr">
        <is>
          <t>Research target (12m)</t>
        </is>
      </c>
      <c r="C3" s="3" t="inlineStr">
        <is>
          <t>Median</t>
        </is>
      </c>
      <c r="D3" s="3" t="inlineStr">
        <is>
          <t>25th pct</t>
        </is>
      </c>
      <c r="E3" s="3" t="inlineStr">
        <is>
          <t>75th pct</t>
        </is>
      </c>
      <c r="F3" s="3" t="inlineStr">
        <is>
          <t>WACC</t>
        </is>
      </c>
      <c r="G3" s="3" t="inlineStr">
        <is>
          <t>Y1 growth</t>
        </is>
      </c>
      <c r="H3" s="3" t="inlineStr">
        <is>
          <t>Y1 margin</t>
        </is>
      </c>
      <c r="I3" s="3" t="inlineStr">
        <is>
          <t>Terminal growth</t>
        </is>
      </c>
      <c r="J3" s="3" t="inlineStr">
        <is>
          <t>DCF weight</t>
        </is>
      </c>
      <c r="K3" s="3" t="inlineStr">
        <is>
          <t>Years</t>
        </is>
      </c>
      <c r="L3" s="3" t="inlineStr">
        <is>
          <t>Multiples</t>
        </is>
      </c>
      <c r="M3" s="3" t="inlineStr">
        <is>
          <t>Supervisor's note</t>
        </is>
      </c>
    </row>
    <row r="4">
      <c r="A4" t="inlineStr">
        <is>
          <t>agent 1</t>
        </is>
      </c>
      <c r="B4" s="9" t="n">
        <v>110.8240396047129</v>
      </c>
      <c r="C4" s="9" t="n">
        <v>108.0783541281719</v>
      </c>
      <c r="D4" s="9" t="n">
        <v>90.17126702364514</v>
      </c>
      <c r="E4" s="9" t="n">
        <v>124.9781595992431</v>
      </c>
      <c r="F4" s="16" t="n"/>
      <c r="G4" s="16" t="n"/>
      <c r="H4" s="16" t="n"/>
      <c r="I4" s="16" t="n"/>
      <c r="J4" s="16" t="n">
        <v>0</v>
      </c>
      <c r="K4" t="n">
        <v>3</v>
      </c>
      <c r="L4" t="inlineStr">
        <is>
          <t>P/E 17.5 (ntm); EV/EBITDA 13.5 (ntm)</t>
        </is>
      </c>
      <c r="M4" s="38" t="inlineStr">
        <is>
          <t>17.5x P/E (+0.5x vs the others) justified by the spin removing Nutrition, which is ~90% likely to happen after the horizon; SOTP leg at 0.20 weight with no weight evidence; no Libre 3 claims.</t>
        </is>
      </c>
    </row>
    <row r="5">
      <c r="A5" t="inlineStr">
        <is>
          <t>agent 2</t>
        </is>
      </c>
      <c r="B5" s="9" t="n">
        <v>108.7993632571197</v>
      </c>
      <c r="C5" s="9" t="n">
        <v>108.2473916230789</v>
      </c>
      <c r="D5" s="9" t="n">
        <v>90.89616722152154</v>
      </c>
      <c r="E5" s="9" t="n">
        <v>124.2233128468776</v>
      </c>
      <c r="F5" s="16" t="n"/>
      <c r="G5" s="16" t="n"/>
      <c r="H5" s="16" t="n"/>
      <c r="I5" s="16" t="n"/>
      <c r="J5" s="16" t="n">
        <v>0</v>
      </c>
      <c r="K5" t="n">
        <v>3</v>
      </c>
      <c r="L5" t="inlineStr">
        <is>
          <t>P/E 17.2 (ntm); EV/EBITDA 13.3 (ntm)</t>
        </is>
      </c>
      <c r="M5" s="38" t="inlineStr">
        <is>
          <t>Clean build; peer_basis text in horizon_multiples is stale (12-peer 19.4x, 8-peer 15.5x); no separation or specified-items cash; Dx FY26 Q4 ~1% low.</t>
        </is>
      </c>
    </row>
    <row r="6">
      <c r="A6" t="inlineStr">
        <is>
          <t>agent 3</t>
        </is>
      </c>
      <c r="B6" s="9" t="n">
        <v>104.5298384521761</v>
      </c>
      <c r="C6" s="9" t="n">
        <v>100.8267136883181</v>
      </c>
      <c r="D6" s="9" t="n">
        <v>83.1647060029546</v>
      </c>
      <c r="E6" s="9" t="n">
        <v>119.1626930958944</v>
      </c>
      <c r="F6" s="16" t="n"/>
      <c r="G6" s="16" t="n"/>
      <c r="H6" s="16" t="n"/>
      <c r="I6" s="16" t="n"/>
      <c r="J6" s="16" t="n">
        <v>0</v>
      </c>
      <c r="K6" t="n">
        <v>3</v>
      </c>
      <c r="L6" t="inlineStr">
        <is>
          <t>P/E 17.0 (ntm); EV/EBITDA 13.5 (ntm)</t>
        </is>
      </c>
      <c r="M6" s="38" t="inlineStr">
        <is>
          <t>EV/EBITDA leg ($99.7) cuts EBITDA for recurring specified items and also applies a peer multiple: the cash cost is real but belongs in one place; Nutrition growth 2.5% light vs Q3 +4.9%. [Gate 2026-10-21: FY28 growth, shareholder returns and NTM EPS ($6.39) arithmetic corrected from its own inputs: $104.89 -&gt; $104.53.]</t>
        </is>
      </c>
    </row>
    <row r="7">
      <c r="A7" t="inlineStr">
        <is>
          <t>agent 4</t>
        </is>
      </c>
      <c r="B7" s="9" t="n">
        <v>107.9579102876841</v>
      </c>
      <c r="C7" s="9" t="n">
        <v>105.8892134487676</v>
      </c>
      <c r="D7" s="9" t="n">
        <v>88.62269653444017</v>
      </c>
      <c r="E7" s="9" t="n">
        <v>123.6693883326029</v>
      </c>
      <c r="F7" s="16" t="n"/>
      <c r="G7" s="16" t="n"/>
      <c r="H7" s="16" t="n"/>
      <c r="I7" s="16" t="n"/>
      <c r="J7" s="16" t="n">
        <v>0</v>
      </c>
      <c r="K7" t="n">
        <v>3</v>
      </c>
      <c r="L7" t="inlineStr">
        <is>
          <t>P/E 17.0 (ntm); EV/EBITDA 13.5 (ntm)</t>
        </is>
      </c>
      <c r="M7" s="38" t="inlineStr">
        <is>
          <t>Corporate cost allocated into segments (Devices 27.8%, corporate +$650M) so segment margins are off the 10-K basis; Libre claims -$600M x 0.5 the highest; long-dated list misses Section 232 and Libre escalation. [Gate 2026-10-21: Dx FY27 +11.0% -&gt; +12.8% from its own build: $107.56 -&gt; $107.96.]</t>
        </is>
      </c>
    </row>
    <row r="8">
      <c r="A8" t="inlineStr">
        <is>
          <t>agent 5</t>
        </is>
      </c>
      <c r="B8" s="9" t="n">
        <v>106.2576498149088</v>
      </c>
      <c r="C8" s="9" t="n">
        <v>105.5399275295721</v>
      </c>
      <c r="D8" s="9" t="n">
        <v>87.49422727625185</v>
      </c>
      <c r="E8" s="9" t="n">
        <v>124.1677082890541</v>
      </c>
      <c r="F8" s="16" t="n"/>
      <c r="G8" s="16" t="n"/>
      <c r="H8" s="16" t="n"/>
      <c r="I8" s="16" t="n"/>
      <c r="J8" s="16" t="n">
        <v>0</v>
      </c>
      <c r="K8" t="n">
        <v>3</v>
      </c>
      <c r="L8" t="inlineStr">
        <is>
          <t>P/E 17.0 (ntm); EV/EBITDA 12.75 (ntm)</t>
        </is>
      </c>
      <c r="M8" s="38" t="inlineStr">
        <is>
          <t>Dx margins 16.5-18.5% below the 10-K 19.5% and the CEO's high-teens Exact margin (~$300M EBIT too low); EV/EBITDA 12.75x below ABT's own 13.4x; SOTP 0.15 weight without evidence. [Gate 2026-10-21: Libre claims -$300M -&gt; -$220M x 0.5 from its own range: $106.23 -&gt; $106.26.]</t>
        </is>
      </c>
    </row>
    <row r="9">
      <c r="A9" t="inlineStr">
        <is>
          <t>supervisor</t>
        </is>
      </c>
      <c r="B9" s="9" t="n">
        <v>109.1868784530843</v>
      </c>
      <c r="C9" s="9" t="n">
        <v>108.6681544004773</v>
      </c>
      <c r="D9" s="9" t="n">
        <v>91.05817377954153</v>
      </c>
      <c r="E9" s="9" t="n">
        <v>124.8934686174784</v>
      </c>
      <c r="F9" s="16" t="n"/>
      <c r="G9" s="16" t="n"/>
      <c r="H9" s="16" t="n"/>
      <c r="I9" s="16" t="n"/>
      <c r="J9" s="16" t="n">
        <v>0</v>
      </c>
      <c r="K9" t="n">
        <v>3</v>
      </c>
      <c r="L9" t="inlineStr">
        <is>
          <t>P/E 17.42 (ntm); EV/EBITDA 13.3 (ntm)</t>
        </is>
      </c>
      <c r="M9" s="3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40" customWidth="1" min="4" max="4"/>
    <col width="70" customWidth="1" min="6" max="6"/>
  </cols>
  <sheetData>
    <row r="1">
      <c r="A1" s="1" t="inlineStr">
        <is>
          <t>ABT: where each input comes from (source numbers point to the list below; F ids to the SEC fact table)</t>
        </is>
      </c>
    </row>
    <row r="3">
      <c r="A3" s="3" t="inlineStr">
        <is>
          <t>Input</t>
        </is>
      </c>
      <c r="B3" s="3" t="inlineStr">
        <is>
          <t>Value</t>
        </is>
      </c>
      <c r="C3" s="3" t="inlineStr">
        <is>
          <t>Basis</t>
        </is>
      </c>
      <c r="D3" s="3" t="inlineStr">
        <is>
          <t>Sources</t>
        </is>
      </c>
      <c r="E3" s="3" t="inlineStr">
        <is>
          <t>SEC fact ids</t>
        </is>
      </c>
      <c r="F3" s="3" t="inlineStr">
        <is>
          <t>Derivation</t>
        </is>
      </c>
    </row>
    <row r="4">
      <c r="A4" s="38" t="inlineStr">
        <is>
          <t>base revenue FY2025</t>
        </is>
      </c>
      <c r="B4" t="inlineStr">
        <is>
          <t>$44,328M</t>
        </is>
      </c>
      <c r="C4" t="inlineStr">
        <is>
          <t>reported</t>
        </is>
      </c>
      <c r="D4" t="inlineStr">
        <is>
          <t>5</t>
        </is>
      </c>
      <c r="E4" t="inlineStr">
        <is>
          <t>F3</t>
        </is>
      </c>
      <c r="F4" s="38" t="inlineStr">
        <is>
          <t>10-K FY2025; segments 21,387 + 8,937 + 8,451 + 5,536 = 44,311 plus Other $17M</t>
        </is>
      </c>
    </row>
    <row r="5">
      <c r="A5" s="38" t="inlineStr">
        <is>
          <t>FY2026 segment revenue (all four)</t>
        </is>
      </c>
      <c r="B5" t="inlineStr">
        <is>
          <t>Devices ~$23,330M, Dx ~$12,095M, Nutrition ~$8,463M, EPD ~$6,019M (total ~$49,913M)</t>
        </is>
      </c>
      <c r="C5" t="inlineStr">
        <is>
          <t>estimate</t>
        </is>
      </c>
      <c r="D5" t="inlineStr">
        <is>
          <t>1, 5</t>
        </is>
      </c>
      <c r="E5" t="inlineStr">
        <is>
          <t>F3</t>
        </is>
      </c>
      <c r="F5" s="38" t="inlineStr">
        <is>
          <t>9M 2026 reported (17,218 / 8,577 / 6,423 / 4,539, src 1) + Q4 = Q4 2025 (FY2025 less 9M 2025 implied by the 9M growth rates) x Q3 run-rate growth; Dx Q4 = ex-Cancer 2,459 x 1.025 + Cancer ~990 (Q3 968)</t>
        </is>
      </c>
    </row>
    <row r="6">
      <c r="A6" s="38" t="inlineStr">
        <is>
          <t>FY2027/28 Medical Devices growth</t>
        </is>
      </c>
      <c r="B6" t="inlineStr">
        <is>
          <t>+6.5% / +6.2%</t>
        </is>
      </c>
      <c r="C6" t="inlineStr">
        <is>
          <t>estimate</t>
        </is>
      </c>
      <c r="D6" t="inlineStr">
        <is>
          <t>1, 8, 9</t>
        </is>
      </c>
      <c r="E6" t="inlineStr"/>
      <c r="F6" s="38" t="inlineStr">
        <is>
          <t>Diabetes ~$8.6B x 4.5% (CEO: low-to-mid single digit for Q4 and next few quarters), EP ~$3.4B x 15% (~20% in Q4), rest ~$11.3B x 5.5% = +6.5%; FY28 trims Diabetes for Medicare competitive-bid pricing (contracts awarded 2027)</t>
        </is>
      </c>
    </row>
    <row r="7">
      <c r="A7" s="38" t="inlineStr">
        <is>
          <t>FY2027/28 Diagnostics growth</t>
        </is>
      </c>
      <c r="B7" t="inlineStr">
        <is>
          <t>+13.0% / +5.8%</t>
        </is>
      </c>
      <c r="C7" t="inlineStr">
        <is>
          <t>estimate</t>
        </is>
      </c>
      <c r="D7" t="inlineStr">
        <is>
          <t>1, 8</t>
        </is>
      </c>
      <c r="E7" t="inlineStr"/>
      <c r="F7" s="38" t="inlineStr">
        <is>
          <t>Core Lab ~$5.6B x 1.05 = 5.88 + R&amp;M ~$3.5B x 1.01 = 3.535 + Cancer Dx pro forma ~$3.8B x 1.12 = 4.256 (Q3 comparable +13.8%; adds the Q1 stub) = ~$13.67B / FY2026 ~$12.09B = +13.0%; FY28 Cancer +11%, Core Lab +5%, R&amp;M +1% = ~$14.47B (+5.8%) [citation gate 2026-10-21: FY27 corrected from ~$13.64B / +12.8%]</t>
        </is>
      </c>
    </row>
    <row r="8">
      <c r="A8" s="38" t="inlineStr">
        <is>
          <t>Nutrition / EPD growth FY27-28</t>
        </is>
      </c>
      <c r="B8" t="inlineStr">
        <is>
          <t>+3.5% / +7.0% per year</t>
        </is>
      </c>
      <c r="C8" t="inlineStr">
        <is>
          <t>estimate</t>
        </is>
      </c>
      <c r="D8" t="inlineStr">
        <is>
          <t>1</t>
        </is>
      </c>
      <c r="E8" t="inlineStr"/>
      <c r="F8" s="38" t="inlineStr">
        <is>
          <t>Q3 comparable Nutrition +4.9% after 9M -2.1%; EPD Q3 +8.4%, Key Emerging Markets +10.9%, less EM FX</t>
        </is>
      </c>
    </row>
    <row r="9">
      <c r="A9" s="38" t="inlineStr">
        <is>
          <t>segment EBIT margins</t>
        </is>
      </c>
      <c r="B9" t="inlineStr">
        <is>
          <t>Devices 33.9-34.3%, Dx 19.0-20.5%, Nutrition 18.5%, EPD 23%</t>
        </is>
      </c>
      <c r="C9" t="inlineStr">
        <is>
          <t>estimate</t>
        </is>
      </c>
      <c r="D9" t="inlineStr">
        <is>
          <t>5, 8</t>
        </is>
      </c>
      <c r="E9" t="inlineStr"/>
      <c r="F9" s="38" t="inlineStr">
        <is>
          <t>FY2025 segment operating earnings / sales (10-K segment note, src 5): Devices 7,212 / 21,387 = 33.7%, Dx 1,740 / 8,937 = 19.5%, Nutrition 1,558 / 8,451 = 18.4%, EPD 1,290 / 5,536 = 23.3%. Devices 33.7% + 20 bp/yr = 33.9% / 34.1% / 34.3% (EP and structural-heart mix vs CGM price pressure); Dx dips to 19.0% with Exact at a high-teens margin (CEO, src 8) then 19.8% / 20.5% with synergies; Nutrition 18.5% and EPD 23% at the FY2025 level. [citation gate 2026-10-21: Devices was 34.5-34.9% with an underived FY2026 step]</t>
        </is>
      </c>
    </row>
    <row r="10">
      <c r="A10" s="38" t="inlineStr">
        <is>
          <t>corporate_ebit (unallocated net of other income)</t>
        </is>
      </c>
      <c r="B10" t="inlineStr">
        <is>
          <t>-$820M / -$888M / -$948M</t>
        </is>
      </c>
      <c r="C10" t="inlineStr">
        <is>
          <t>estimate</t>
        </is>
      </c>
      <c r="D10" t="inlineStr">
        <is>
          <t>1, 7</t>
        </is>
      </c>
      <c r="E10" t="inlineStr"/>
      <c r="F10" s="38" t="inlineStr">
        <is>
          <t>FY26 adjusted pretax = $5.525 x ~1,741M / (1 - 15.3%) = ~$11,357M; + net interest (9M $664M + Q4 ~$297M) = ~$12,318M adjusted EBIT incl. other income; less segment OE on the build ~$13,154M = ~-$836M, set at -$820M so the engine FY26 EPS on actual interest stays $5.52 (guide $5.50-5.55); then grows with SBC and corporate costs ~8% (FY27 -$888M) and ~7% (FY28 -$948M). [citation gate 2026-10-21: was -$960M/-$1,040M/-$1,110M before the Devices margin was put on the 10-K base; total FY26 EBIT unchanged]</t>
        </is>
      </c>
    </row>
    <row r="11">
      <c r="A11" s="38" t="inlineStr">
        <is>
          <t>tax rate (adjusted)</t>
        </is>
      </c>
      <c r="B11" t="inlineStr">
        <is>
          <t>15.5%</t>
        </is>
      </c>
      <c r="C11" t="inlineStr">
        <is>
          <t>estimate</t>
        </is>
      </c>
      <c r="D11" t="inlineStr">
        <is>
          <t>1</t>
        </is>
      </c>
      <c r="E11" t="inlineStr"/>
      <c r="F11" s="38" t="inlineStr">
        <is>
          <t>Q3 2026 and 9M 2026 adjusted (excluding specified items) tax rate 15.2% (release); 15.5% is a forward assumption slightly above it (no FY tax guidance on the release).</t>
        </is>
      </c>
    </row>
    <row r="12">
      <c r="A12" s="38" t="inlineStr">
        <is>
          <t>D&amp;A (depreciation only), capex, NWC</t>
        </is>
      </c>
      <c r="B12" t="inlineStr">
        <is>
          <t>3.2% / 4.4% / 12% of incremental revenue</t>
        </is>
      </c>
      <c r="C12" t="inlineStr">
        <is>
          <t>estimate</t>
        </is>
      </c>
      <c r="D12" t="inlineStr">
        <is>
          <t>5, 6</t>
        </is>
      </c>
      <c r="E12" t="inlineStr">
        <is>
          <t>F50, F54</t>
        </is>
      </c>
      <c r="F12" s="38" t="inlineStr">
        <is>
          <t>Depreciation FY25 $1,434M / $44,328M = 3.2% (10-K cash flow statement); capex FY25 $2,171M = 4.9%, H1 2026 $896M on ~$23.8B = 3.8% -&gt; 4.4% between; NWC: FY2025 10-K balance sheet operating working capital = trade receivables 7,929 + inventories 6,488 + other prepaid expenses and receivables 2,640 - trade payables 4,240 - salaries/wages/commissions 1,745 - other accrued liabilities 5,812 = 5,260 = 11.9% of $44,328M sales (FY2024: 4,650 / 41,950 = 11.1%); held at a constant ~12% intensity, so 12% of incremental revenue. [citation gate 2026-10-21: NWC derivation added]</t>
        </is>
      </c>
    </row>
    <row r="13">
      <c r="A13" s="38" t="inlineStr">
        <is>
          <t>SBC</t>
        </is>
      </c>
      <c r="B13" t="inlineStr">
        <is>
          <t>costed once in EBIT (ebit_basis gaap so the engine does not subtract it again)</t>
        </is>
      </c>
      <c r="C13" t="inlineStr">
        <is>
          <t>judgment</t>
        </is>
      </c>
      <c r="D13" t="inlineStr">
        <is>
          <t>5, 1</t>
        </is>
      </c>
      <c r="E13" t="inlineStr">
        <is>
          <t>F36</t>
        </is>
      </c>
      <c r="F13" s="38" t="inlineStr">
        <is>
          <t>Modelling choice: FY2025 share-based compensation $664M (10-K cash flow statement; F36) = 1.5% of revenue is expensed inside Abbott's adjusted operating earnings (the release's specified items do not include SBC), and the reconciled EBIT is that adjusted basis; ebit_basis "gaap" tells the engine not to subtract sbc_pct_rev a second time. Peer consensus EPS is on the same SBC-expensed adjusted basis. [citation gate 2026-10-21: relabelled reported -&gt; judgment; only the $664M is a reported figure]</t>
        </is>
      </c>
    </row>
    <row r="14">
      <c r="A14" s="38" t="inlineStr">
        <is>
          <t>net debt (2026-06-30)</t>
        </is>
      </c>
      <c r="B14" t="inlineStr">
        <is>
          <t>$27,005M</t>
        </is>
      </c>
      <c r="C14" t="inlineStr">
        <is>
          <t>reported</t>
        </is>
      </c>
      <c r="D14" t="inlineStr">
        <is>
          <t>6</t>
        </is>
      </c>
      <c r="E14" t="inlineStr">
        <is>
          <t>F97</t>
        </is>
      </c>
      <c r="F14" s="38" t="inlineStr">
        <is>
          <t>LTD 29,603 + current LTD 3,005 - cash 5,104 - short-term investments 499 (Q2 10-Q, opened); post-Exact; Q3 10-Q not yet filed</t>
        </is>
      </c>
    </row>
    <row r="15">
      <c r="A15" s="38" t="inlineStr">
        <is>
          <t>minorities</t>
        </is>
      </c>
      <c r="B15" t="inlineStr">
        <is>
          <t>$652M</t>
        </is>
      </c>
      <c r="C15" t="inlineStr">
        <is>
          <t>reported</t>
        </is>
      </c>
      <c r="D15" t="inlineStr">
        <is>
          <t>6</t>
        </is>
      </c>
      <c r="E15" t="inlineStr"/>
      <c r="F15" s="38" t="inlineStr">
        <is>
          <t>Noncontrolling interests balance at 2026-06-30</t>
        </is>
      </c>
    </row>
    <row r="16">
      <c r="A16" s="38" t="inlineStr">
        <is>
          <t>interest rate</t>
        </is>
      </c>
      <c r="B16" t="inlineStr">
        <is>
          <t>4.4%</t>
        </is>
      </c>
      <c r="C16" t="inlineStr">
        <is>
          <t>estimate</t>
        </is>
      </c>
      <c r="D16" t="inlineStr">
        <is>
          <t>1, 6</t>
        </is>
      </c>
      <c r="E16" t="inlineStr"/>
      <c r="F16" s="38" t="inlineStr">
        <is>
          <t>Q3 net interest $297M x 4 / $27,005M = 4.40%</t>
        </is>
      </c>
    </row>
    <row r="17">
      <c r="A17" s="38" t="inlineStr">
        <is>
          <t>diluted shares</t>
        </is>
      </c>
      <c r="B17" t="inlineStr">
        <is>
          <t>1,738M (Q3 2026), -0.5%/yr</t>
        </is>
      </c>
      <c r="C17" t="inlineStr">
        <is>
          <t>estimate</t>
        </is>
      </c>
      <c r="D17" t="inlineStr">
        <is>
          <t>1</t>
        </is>
      </c>
      <c r="E17" t="inlineStr">
        <is>
          <t>F30, F33</t>
        </is>
      </c>
      <c r="F17" s="38" t="inlineStr">
        <is>
          <t>1,738M is the reported Q3 2026 average diluted count (release: Q3 2025 1,749M, 9M26 1,743M vs 9M25 1,749M). The -0.5%/yr change is derived: between the -0.6% Q3 y/y (1,738 / 1,749) and -0.3% 9M y/y (1,743 / 1,749) changes, with ~$0.4-0.6B/yr buybacks in the set offset by SBC dilution. [citation gate 2026-10-21: count reported, trend relabelled estimate]</t>
        </is>
      </c>
    </row>
    <row r="18">
      <c r="A18" s="38" t="inlineStr">
        <is>
          <t>shareholder returns</t>
        </is>
      </c>
      <c r="B18" t="inlineStr">
        <is>
          <t>$5,200M / $5,200M / $5,600M</t>
        </is>
      </c>
      <c r="C18" t="inlineStr">
        <is>
          <t>estimate</t>
        </is>
      </c>
      <c r="D18" t="inlineStr">
        <is>
          <t>1, 6</t>
        </is>
      </c>
      <c r="E18" t="inlineStr">
        <is>
          <t>F64</t>
        </is>
      </c>
      <c r="F18" s="38" t="inlineStr">
        <is>
          <t>Dividend $0.63/qtr x ~1,735M = ~$4.37B/yr; H1 2026 buybacks $1,225M + dividends $2,200M (10-Q); engine counts FY26 only after 6/30 (x0.5 = $2.6B: dividends ~$2.19B + ~$0.4B buybacks); FY27 dividend +~5% and ~$0.6B buybacks while deleveraging</t>
        </is>
      </c>
    </row>
    <row r="19">
      <c r="A19" s="38" t="inlineStr">
        <is>
          <t>horizon P/E</t>
        </is>
      </c>
      <c r="B19" t="inlineStr">
        <is>
          <t>17.42x</t>
        </is>
      </c>
      <c r="C19" t="inlineStr">
        <is>
          <t>estimate</t>
        </is>
      </c>
      <c r="D19" t="inlineStr">
        <is>
          <t>17, 18, 19, 20, 21, 22, 23, 24, 25, 26, 27, 28, 29, 30, 31, 32, 33, 34, 35</t>
        </is>
      </c>
      <c r="E19" t="inlineStr">
        <is>
          <t>MDT.price, BSX.price, SYK.price, BDX.price, ZBH.price, TMO.price, DHR.price, JNJ.price, MDT.pe_ntm, BSX.pe_ntm, SYK.pe_ntm, BDX.pe_ntm, ZBH.pe_ntm, TMO.pe_ntm, DHR.pe_ntm, JNJ.pe_ntm</t>
        </is>
      </c>
      <c r="F19" s="38" t="inlineStr">
        <is>
          <t>Exit-multiple rule (Kilian card 2026-10-26 12:16Z; METHOD.md Peer comparables): exit = peer median x (own NTM multiple / peer median)^k, k = 0.8. Peer median 16.84x (unchanged, gated 2026-10-26: see the rest of this derivation). Own multiple 17.57x on the peers' basis: ABT $103.70 / NTM adjusted EPS $5.90 on the same window = 17.57x (peer_basis 'ABT 17.6x on the same window'; est.json 103.70 / 5.9012). Exit = 16.84 x (17.57 / 16.84)^0.8 = 16.84 x 1.0345 = 17.42x (was 16.8x). The EV/EBITDA leg (13.3x = ABT's own NTM adjusted multiple) has no on-basis peer median (the 14.25x filing TTM GAAP median is a reference only), so it is unchanged and flagged. PREVIOUS DERIVATION: Approved set (Kilian 2026-10-26 06:07Z; valuation/peer_refresh_2026-10-26/README.md): 11 diversified medtech/life-science peers on one calendar NTM window 2026-10-23 to 2027-10-22, fiscal years weighted by days in the window, 2026-10-23 closes, consensus EPS on the company-ADJUSTED basis ABT uses. US (Zacks via Nasdaq.com, retrieved 2026-10-26): MDT 15.5x ($95.41 / (0.518 x FY4/27 $5.98 + 0.482 x $6.35)), BSX 13.7x ($45.69 / (0.189 x FY12/26 $3.24 + 0.811 x $3.36)), SYK 18.9x ($307.15 / (0.189 x FY12/26 $14.93 + 0.811 x $16.60)), BDX 15.0x ($198.91 / (0.937 x FY9/27 $13.24 + 0.063 x $14.02)), ZBH 11.1x ($98.56 / (0.189 x FY12/26 $8.54 + 0.811 x $8.98)), TMO 24.8x ($673.82 / (0.189 x FY12/26 $25.20 + 0.811 x $27.68)), DHR 25.1x ($230.50 / (0.189 x FY12/26 $8.59 + 0.811 x $9.30)), JNJ 22.8x ($263.81 / (0.189 x FY12/26 $11.12 + 0.811 x $11.69)). Siemens Healthineers 17.5x (EUR 41.86 / (0.937 x FY9/27 2.37 + 0.063 x FY9/28 2.70) = 2.391; company-compiled Vara adjusted-EPS consensus 2026-08-27; MarketScreener's 2.104/2.473 is REPORTED EPS incl. ~EUR 0.32/yr PPA amortization, 19.7x, not comparable). Terumo 16.8x (JPY 2,399 / (0.436 x 140.47 + 0.564 x 143.94) = 142.43; adjusted = MarketScreener reported consensus + after-tax (25%, the guide's own -97.5 bn OP -&gt; -73.1 bn NI ratio) gap between adjusted OP and OP over 1,475.1M shares: FY3/27 82.25 + (274.5-160.0) bn x 0.75 / 1,475.1M = 140.47 (removes the CSL Plasma charge and acquired-intangible amortization); FY3/28 129.3 + 28.8 bn (Q1 FY3/27 amortization 7.211 bn x 4) x 0.75 / 1,475.1M = 143.94). Olympus 13.9x (JPY 1,719 / (0.436 x 114.55 + 0.564 x 130.40) = 123.50; reported consensus 98.05 / 113.9 + 16.5 = guide gap adjusted EPS mid 112.5 vs EPS mid 96.0). Sorted: ZBH 11.1, BSX 13.7, Olympus 13.9, BDX 15.0, MDT 15.5, Terumo 16.8, SHL 17.5, SYK 18.9, JNJ 22.8, TMO 24.8, DHR 25.2: median 16.84x (Terumo). Sensitivity: Terumo on reported FY3/28 alone (18.6x) -&gt; median 17.5x (SHL); all three foreign on reported EPS -&gt; 18.9x (SYK, the README starting number, mixed basis). ABT on the same window: $103.70 / (0.189 x $5.52 + 0.811 x $5.99 = $5.90) = 17.6x. 16.8x = the median, no premium or discount: ABT's FY27/FY26 consensus EPS growth +8.5% is above the set median +6.2%; NEC/Libre claims are already deducted as equity adjustments and the 2028 CGM bidding is in the driver build, so a multiple discount for them would double count; the Nutrition/EPD mix drag is offset by the growth. The 10-21 set's ~7% discount was against an 18.2x median raised by single-franchise growers (EW 26.5x, DXCM 27.2x) that the approved set drops. Out: EW, DXCM (single franchise; DXCM 26.0x and PODD 19.9x are Diabetes Care segment comps only, context, no SOTP leg), GEHC (imaging), BAX (distressed); Smith &amp; Nephew (SNN 13.5x, 2 Zacks analysts) argued out: orthopaedics/sports medicine/wound, a business ABT does not have, with ZBH already covering ortho; it would cut the median to 16.2x. SBC basis check (coordinator basis warning 2026-10-26): ABT's adjusted EPS expenses SBC (excludes only acquisition-accelerated awards and excess tax benefits; Ex. 99.1 2026-10-21) and so do all eight US peers: none of their latest Ex. 99.1 non-GAAP reconciliations adds back SBC (MDT, ZBH mention it only in the cash-flow statement; DHR only for its special equity awards, ~$0.2/share, which moves DHR above the median either way); all exclude acquired-intangible amortization like ABT. SHL's adjusted EPS excludes PPA, severance and portfolio items, Terumo's adjusted operating profit excludes acquired-intangible amortization and non-recurring items; Olympus's adjusted measure excludes only Other income/expenses, so Olympus EPS still carries acquired-intangible amortization (on ABT's basis its EPS would be higher and its P/E below 13.9x: it stays under the median, no effect on 16.84x); none adds back SBC. Script record runs/2026-10-23/ABT/peers_sbc_check.json. Provider-EPS reconciliation per row (coordinator 2026-10-26 06:25Z: show each provider figure against the company's own GAAP and adjusted numbers): ABT: Zacks FY26 $5.52 vs company adjusted guide $5.50-5.55 (Ex.99.1 2026-10-21); GAAP excludes intangible amortization add-back -&gt; adjusted basis; MDT: Zacks FY4/27 $5.98 vs non-GAAP guide $5.94-6.00 (Ex.99.1 2026-09-01); Q1 GAAP $1.14 vs non-GAAP $1.45 -&gt; adjusted; BSX: Zacks FY26 $3.24 vs adjusted guide $3.28-3.32 (Ex.99.1 2026-07-29; consensus 1-2% below the guide); Q2 GAAP $0.61 vs adjusted $0.86 -&gt; adjusted; SYK: Zacks FY26 $14.93 vs adjusted guide $14.95-15.10 (Ex.99.1 2026-07-30); Q2 GAAP $3.30 vs adjusted $3.69 -&gt; adjusted; BDX: Zacks FY9/26 $12.67 vs adjusted guide $12.62-12.72 (Ex.99.1 2026-08-06) -&gt; adjusted; ZBH: Zacks FY26 $8.54 vs adjusted guide $8.40-8.55 (Ex.99.1 2026-08-05) -&gt; adjusted; TMO: Zacks FY26 $25.20 vs Q3 adjusted EPS $6.68 / GAAP $4.64 (Ex.99.1 2026-10-21; guide given on the call only): consensus is on the adjusted run-rate, GAAP would be ~$18 -&gt; adjusted; DHR: Zacks FY26 $8.59 vs adjusted guide $8.57-8.62 (Ex.99.1 2026-10-21); Q3 GAAP $1.71 vs adjusted $2.11 -&gt; adjusted (regular SBC expensed; only special equity awards, $0.02 in Q3, excluded); JNJ: Zacks FY26 $11.12 vs adjusted guide $11.05-11.15 (Ex.99.1 2026-10-13) -&gt; adjusted; SHL: MarketScreener 2.104/2.473 = reported (Vara reported 2.06/2.38); Vara adjusted 2.37/2.70 used; Q3 basic 0.60 vs adjusted 0.70 (PPA 0.08); TERUMO: MarketScreener FY3/27 82.25 ~ company guide basic EPS 81.35 (reported, incl. CSL charge); adjusted via adjusted OP 274.5 vs OP 160.0 bn; OLYMPUS: MarketScreener FY3/27 98.05 inside reported EPS guide 90-102 (reported); adjusted guide 106-119 -&gt; +16.5.</t>
        </is>
      </c>
    </row>
    <row r="20">
      <c r="A20" s="38" t="inlineStr">
        <is>
          <t>horizon EV/EBITDA</t>
        </is>
      </c>
      <c r="B20" t="inlineStr">
        <is>
          <t>13.3x NTM adjusted EBITDA (EBIT + depreciation)</t>
        </is>
      </c>
      <c r="C20" t="inlineStr">
        <is>
          <t>judgment</t>
        </is>
      </c>
      <c r="D20" t="inlineStr">
        <is>
          <t>6, 14, 12</t>
        </is>
      </c>
      <c r="E20" t="inlineStr">
        <is>
          <t>F97</t>
        </is>
      </c>
      <c r="F20" s="38" t="inlineStr">
        <is>
          <t>Anchored on ABT's own multiple on the same basis as the leg: EV ~$198.6B ($98.36 x 1,738M + net debt $27,005M + minorities $652M) / NTM adjusted EBITDA (adjusted EBIT + depreciation) from 2026-10-21 on the reconciled build ~$14.88B = 13.3-13.4x; 13.3x = no re-rating. The 6-peer filing TTM median 14.25x (MDT, BSX, SYK, BDX, EW, ZBH) is on GAAP EBITDA (GAAP op income + D&amp;A) and is NOT applied to ABT's adjusted EBITDA; it is a reference only (peers would sit lower on an adjusted basis). The -$600M specified-items cash adjustment is a separate equity item, not an offset to a basis gap. [citation gate 2026-10-21: basis mismatch removed; the multiple is unchanged]</t>
        </is>
      </c>
    </row>
    <row r="21">
      <c r="A21" s="38" t="inlineStr">
        <is>
          <t>adjustments (after tax, probability-weighted)</t>
        </is>
      </c>
      <c r="B21" t="inlineStr">
        <is>
          <t>-$2,670M (-$1.54/share)</t>
        </is>
      </c>
      <c r="C21" t="inlineStr">
        <is>
          <t>estimate</t>
        </is>
      </c>
      <c r="D21" t="inlineStr">
        <is>
          <t>2, 3, 4, 6, 7, 10</t>
        </is>
      </c>
      <c r="E21" t="inlineStr">
        <is>
          <t>F43, F50</t>
        </is>
      </c>
      <c r="F21" s="38" t="inlineStr">
        <is>
          <t>NEC August deal -$520M ($670M verified, ~22.5% tax) + DOJ/states -$350M ($384,192,156 verified, CA AG) + remaining NEC -$750M + Libre 3 claims -$300M x 0.5 + specified-items cash -$600M + Nutrition separation cash -$300M</t>
        </is>
      </c>
    </row>
    <row r="22">
      <c r="A22" s="38" t="inlineStr">
        <is>
          <t>driver:cgm</t>
        </is>
      </c>
      <c r="B22" t="inlineStr">
        <is>
          <t>Diabetes Care sales (FreeStyle Libre CGM): 7,998 -&gt; 8,670/9,060/9,377 (estimate)</t>
        </is>
      </c>
      <c r="C22" t="inlineStr">
        <is>
          <t>estimate</t>
        </is>
      </c>
      <c r="D22" t="inlineStr"/>
      <c r="E22" t="inlineStr"/>
      <c r="F22" s="38" t="inlineStr">
        <is>
          <t>FY26 = 9M26 6,453 + Q4 (Q4'25 = 7,998 - 6,453/1.100 = 2132) x 1.04 = 8670; FY27 x 1.045; FY28 x 1.035</t>
        </is>
      </c>
    </row>
    <row r="23">
      <c r="A23" s="38" t="inlineStr">
        <is>
          <t>driver:ep</t>
        </is>
      </c>
      <c r="B23" t="inlineStr">
        <is>
          <t>Electrophysiology sales (Volt PFA, mapping, Amulet LAA from 2026): 2,764 -&gt; 3,441/3,958/4,432 (estimate)</t>
        </is>
      </c>
      <c r="C23" t="inlineStr">
        <is>
          <t>estimate</t>
        </is>
      </c>
      <c r="D23" t="inlineStr"/>
      <c r="E23" t="inlineStr"/>
      <c r="F23" s="38" t="inlineStr">
        <is>
          <t>9M25 restated = 2,522/1.152 = 2189 (incl. Amulet 156); Q4'25 restated = (2,764 - (2189 - 156)) + ~55 Amulet (Q3'25 run-rate) = 786; FY26 = 2,522 + 786 x 1.17 = 3441 (y1 growth includes ~$211M of transferred Amulet sales); FY27 +15%, FY28 +12% as PFA adoption matures</t>
        </is>
      </c>
    </row>
    <row r="24">
      <c r="A24" s="38" t="inlineStr">
        <is>
          <t>driver:cv_other</t>
        </is>
      </c>
      <c r="B24" t="inlineStr">
        <is>
          <t>Other Medical Devices sales (Rhythm Mgmt, Heart Failure, Vascular, Structural Heart, Neuromodulation): 1.062e+04 -&gt; 1.115e+04/1.182e+04/1.253e+04 (estimate)</t>
        </is>
      </c>
      <c r="C24" t="inlineStr">
        <is>
          <t>estimate</t>
        </is>
      </c>
      <c r="D24" t="inlineStr"/>
      <c r="E24" t="inlineStr"/>
      <c r="F24" s="38" t="inlineStr">
        <is>
          <t>9M26 = 17,218 - 6,453 - 2,522 = 8243; Q4'25 = (21,387 - 15,712) - 2132 - 786 = 2758; FY26 = 8243 + 2758 x 1.055 = 11152 (Q3 reported +5.2%); FY27/28 +6.0%: Q3 comparable mix-weighted +6.6% (RM +10.0, HF +6.0, Vascular +5.7, SH +6.9, Neuro -1.1 on Q3 sales weights), 9M +7.1%, less ~0.6-1.1pt fade/FX. Old set implied ~+5.5%</t>
        </is>
      </c>
    </row>
    <row r="25">
      <c r="A25" s="38" t="inlineStr">
        <is>
          <t>driver:dx_base</t>
        </is>
      </c>
      <c r="B25" t="inlineStr">
        <is>
          <t>Core Laboratory + Rapid/Molecular Diagnostics sales (ex Cancer Dx): 8,937 -&gt; 9,112/9,430/9,762 (estimate)</t>
        </is>
      </c>
      <c r="C25" t="inlineStr">
        <is>
          <t>estimate</t>
        </is>
      </c>
      <c r="D25" t="inlineStr"/>
      <c r="E25" t="inlineStr"/>
      <c r="F25" s="38" t="inlineStr">
        <is>
          <t>FY26 = 6,594 + Q4'25 (8,937 - 6,480 = 2457) x 1.025 = 9112 (Core Lab ~5663, R&amp;M ~3449); FY27/28 Core Lab +5% (Q3 +5.4%), R&amp;M +1% (Q3 +0.9%)</t>
        </is>
      </c>
    </row>
    <row r="26">
      <c r="A26" s="38" t="inlineStr">
        <is>
          <t>driver:cancer_dx</t>
        </is>
      </c>
      <c r="B26" t="inlineStr">
        <is>
          <t>Cancer Diagnostics sales (Exact Sciences: Cologuard, precision oncology), as consolidated by Abbott: 0 -&gt; 2,973/4,120/4,574 (estimate)</t>
        </is>
      </c>
      <c r="C26" t="inlineStr">
        <is>
          <t>estimate</t>
        </is>
      </c>
      <c r="D26" t="inlineStr"/>
      <c r="E26" t="inlineStr"/>
      <c r="F26" s="38" t="inlineStr">
        <is>
          <t>FY26 = 1,983 + Q4 ~990 (Q3 968 +~2% sequential) = 2973; FY27 = full-year pro forma FY26 (706 + 1,983 + 990 = 3679) x 1.12 (Q3 comparable +13.8%, 9M +13.5%, fading on blood-test competition); FY28 x 1.11. The old set used a ~$3.8B pro forma base (~$4.26B FY27); the release's $706M pre-acquisition figure gives $3.68B</t>
        </is>
      </c>
    </row>
    <row r="27">
      <c r="A27" s="38" t="inlineStr">
        <is>
          <t>driver:epd</t>
        </is>
      </c>
      <c r="B27" t="inlineStr">
        <is>
          <t>Established Pharmaceuticals sales (branded generics, ~76% Key Emerging Markets): 5,536 -&gt; 6,019/6,440/6,891 (estimate)</t>
        </is>
      </c>
      <c r="C27" t="inlineStr">
        <is>
          <t>estimate</t>
        </is>
      </c>
      <c r="D27" t="inlineStr"/>
      <c r="E27" t="inlineStr"/>
      <c r="F27" s="38" t="inlineStr">
        <is>
          <t>FY26 = 4,539 + Q4'25 (5,536 - 4,539/1.093 = 1383) x 1.07 = 6019; FY27/28 +7%: KEM ~76% x ~9.5% ex-FX (10-K FY25 +9.5%) + Other ~24% x ~2% = ~7.7%, less ~0.7pt EM FX</t>
        </is>
      </c>
    </row>
    <row r="29">
      <c r="A29" s="3" t="inlineStr">
        <is>
          <t>#</t>
        </is>
      </c>
      <c r="B29" s="3" t="inlineStr">
        <is>
          <t>Source</t>
        </is>
      </c>
      <c r="C29" s="3" t="inlineStr">
        <is>
          <t>Date</t>
        </is>
      </c>
      <c r="D29" s="3" t="inlineStr">
        <is>
          <t>Link</t>
        </is>
      </c>
    </row>
    <row r="30">
      <c r="A30" t="n">
        <v>1</v>
      </c>
      <c r="B30" s="38" t="inlineStr">
        <is>
          <t>Abbott Q3 2026 earnings release (8-K Ex. 99.1): sales $13,013M, comparable +7.0%, adj EPS $1.42, FY26 adj EPS $5.50-5.55, comparable ~6.0%, Q4 $1.62-1.67, diluted shares 1,738M, net interest $297M, 9M segment sales, dividend $0.63</t>
        </is>
      </c>
      <c r="C30" t="inlineStr">
        <is>
          <t>2026-10-21</t>
        </is>
      </c>
      <c r="D30" t="inlineStr">
        <is>
          <t>https://www.sec.gov/Archives/edgar/data/0000001800/000162828026066601/abt-2026q3xexhibitx991.htm</t>
        </is>
      </c>
    </row>
    <row r="31">
      <c r="A31" t="n">
        <v>2</v>
      </c>
      <c r="B31" s="38" t="inlineStr">
        <is>
          <t>Abbott 8-K Ex. 99.1: intention to separate Nutrition (~$8.5B sales) via tax-free distribution, completion expected by end of 2027, one-time charges to be quantified, combined dividend equal to Abbott's</t>
        </is>
      </c>
      <c r="C31" t="inlineStr">
        <is>
          <t>2026-10-21</t>
        </is>
      </c>
      <c r="D31" t="inlineStr">
        <is>
          <t>https://www.sec.gov/Archives/edgar/data/0000001800/000110465926117587/tm2627971d1_ex99-1.htm</t>
        </is>
      </c>
    </row>
    <row r="32">
      <c r="A32" t="n">
        <v>3</v>
      </c>
      <c r="B32" s="38" t="inlineStr">
        <is>
          <t>Abbott 8-K Ex. 99.1: agreements resolving Gill (~$600M judgment plus interest) and ~2,000 other NEC claims for ~$670M; ~1,700 suits / ~12,700 infants remain</t>
        </is>
      </c>
      <c r="C32" t="inlineStr">
        <is>
          <t>2026-08-20</t>
        </is>
      </c>
      <c r="D32" t="inlineStr">
        <is>
          <t>https://www.sec.gov/Archives/edgar/data/0000001800/000110465926099247/tm2623675d1_ex99-1.htm</t>
        </is>
      </c>
    </row>
    <row r="33">
      <c r="A33" t="n">
        <v>4</v>
      </c>
      <c r="B33" s="38" t="inlineStr">
        <is>
          <t>California Attorney General: U.S. and state coalition settlement with Abbott over infant formula: $348,700,868 federal + $35,491,288 states</t>
        </is>
      </c>
      <c r="C33" t="inlineStr">
        <is>
          <t>2026-09-21</t>
        </is>
      </c>
      <c r="D33" t="inlineStr">
        <is>
          <t>https://oag.ca.gov/news/press-releases/attorney-general-bonta-us-coalition-secure-385-million-settlement-abbott-over</t>
        </is>
      </c>
    </row>
    <row r="34">
      <c r="A34" t="n">
        <v>5</v>
      </c>
      <c r="B34" s="38" t="inlineStr">
        <is>
          <t>Abbott 10-K FY2025: segment sales and operating earnings (EPD 5,536/1,290; Nutrition 8,451/1,558; Diagnostics 8,937/1,740; Medical Devices 21,387/7,212), depreciation $1,434M</t>
        </is>
      </c>
      <c r="C34" t="inlineStr">
        <is>
          <t>2026-02-20</t>
        </is>
      </c>
      <c r="D34" t="inlineStr">
        <is>
          <t>https://www.sec.gov/Archives/edgar/data/1800/000162828026010185/abt-20251231.htm</t>
        </is>
      </c>
    </row>
    <row r="35">
      <c r="A35" t="n">
        <v>6</v>
      </c>
      <c r="B35" s="38" t="inlineStr">
        <is>
          <t>Abbott 10-Q Q2 2026: cash $5,104M, short-term investments $499M, current LTD $3,005M, LTD $29,603M, NCI $652M, H1 buybacks $1,225M, dividends $2,200M, capex $896M, CFO $3,803M</t>
        </is>
      </c>
      <c r="C35" t="inlineStr">
        <is>
          <t>2026-07-28</t>
        </is>
      </c>
      <c r="D35" t="inlineStr">
        <is>
          <t>https://www.sec.gov/Archives/edgar/data/1800/000162828026050134/abt-20260630.htm</t>
        </is>
      </c>
    </row>
    <row r="36">
      <c r="A36" t="n">
        <v>7</v>
      </c>
      <c r="B36" s="38" t="inlineStr">
        <is>
          <t>Abbott Q4/FY2025 earnings release (8-K Ex. 99.1): FY2025 adjusted net earnings $9,040M, adjusted EPS $5.15</t>
        </is>
      </c>
      <c r="C36" t="inlineStr">
        <is>
          <t>2026-01-22</t>
        </is>
      </c>
      <c r="D36" t="inlineStr">
        <is>
          <t>https://www.sec.gov/Archives/edgar/data/1800/000162828026002982/abt-2025q4xexhibitx991.htm</t>
        </is>
      </c>
    </row>
    <row r="37">
      <c r="A37" t="n">
        <v>8</v>
      </c>
      <c r="B37" s="38" t="inlineStr">
        <is>
          <t>Investing.com: Abbott Q3 2026 earnings call transcript (2027 sales 'pretty similar to this year'; diabetes 'low to mid-single' for Q4 and next few quarters; EP ~20% in Q4; Cancer Dx high-teens margin; separation costs are specified items; separation by end of next year)</t>
        </is>
      </c>
      <c r="C37" t="inlineStr">
        <is>
          <t>2026-10-21</t>
        </is>
      </c>
      <c r="D37" t="inlineStr">
        <is>
          <t>https://www.investing.com/news/transcripts/earnings-call-transcript-abbott-q3-2026-results-show-growth-but-shares-fall-93CH-4963517</t>
        </is>
      </c>
    </row>
    <row r="38">
      <c r="A38" t="n">
        <v>9</v>
      </c>
      <c r="B38" s="38" t="inlineStr">
        <is>
          <t>MedTech Dive: CMS final rule adds CGMs and insulin pumps to competitive bidding, bundled monthly rental, contracts awarded in 2027</t>
        </is>
      </c>
      <c r="C38" t="inlineStr">
        <is>
          <t>2025-12-01</t>
        </is>
      </c>
      <c r="D38" t="inlineStr">
        <is>
          <t>https://www.medtechdive.com/news/cms-final-rule-diabetes-competitive-bidding/806719/</t>
        </is>
      </c>
    </row>
    <row r="39">
      <c r="A39" t="n">
        <v>10</v>
      </c>
      <c r="B39" s="38" t="inlineStr">
        <is>
          <t>FDA: Abbott Diabetes Care removes certain FreeStyle Libre 3 and 3 Plus sensors (860 serious injuries, 7 deaths) [page returned HTTP 401 to the citation gate; figures relied on from AHA News, src 11]</t>
        </is>
      </c>
      <c r="C39" t="inlineStr">
        <is>
          <t>2026-01</t>
        </is>
      </c>
      <c r="D39" t="inlineStr">
        <is>
          <t>https://www.fda.gov/medical-devices/medical-device-recalls-and-early-alerts/glucose-monitor-sensor-recall-abbott-diabetes-care-removes-certain-freestyle-libre-3-and-freestyle</t>
        </is>
      </c>
    </row>
    <row r="40">
      <c r="A40" t="n">
        <v>11</v>
      </c>
      <c r="B40" s="38" t="inlineStr">
        <is>
          <t>AHA News: FDA identifies Class I recall of certain FreeStyle Libre 3 / 3 Plus sensors</t>
        </is>
      </c>
      <c r="C40" t="inlineStr">
        <is>
          <t>2026-02-04</t>
        </is>
      </c>
      <c r="D40" t="inlineStr">
        <is>
          <t>https://www.aha.org/news/headline/2026-02-04-fda-issues-most-serious-recall-certain-glucose-monitor-sensors</t>
        </is>
      </c>
    </row>
    <row r="41">
      <c r="A41" t="n">
        <v>12</v>
      </c>
      <c r="B41" s="38" t="inlineStr">
        <is>
          <t>Run peer comps table peers.md / peers.json (prices X.price; consensus snapshots data/estimates/SYM.json: Nasdaq.com/Zacks for BSX, SYK, BDX, EW; Alpha Vantage for the rest; table NTM from each peer's last filed quarter; gate rebased to one calendar NTM window, median 18.2x)</t>
        </is>
      </c>
      <c r="C41" t="inlineStr">
        <is>
          <t>2026-10-21</t>
        </is>
      </c>
      <c r="D41" t="inlineStr">
        <is>
          <t>file:///mnt/project-files/valuation/runs/2026-10-20/ABT/peers.md</t>
        </is>
      </c>
    </row>
    <row r="42">
      <c r="A42" t="n">
        <v>13</v>
      </c>
      <c r="B42" s="38" t="inlineStr">
        <is>
          <t>Nasdaq.com / Zacks yearly EPS consensus (ABT FY26 $5.53, FY27 $6.08, FY28 $6.74; BSX $3.24/$3.36; SYK $14.93/$16.60)</t>
        </is>
      </c>
      <c r="C42" t="inlineStr">
        <is>
          <t>2026-10-21</t>
        </is>
      </c>
      <c r="D42" t="inlineStr">
        <is>
          <t>https://api.nasdaq.com/api/analyst/ABT/earnings-forecast</t>
        </is>
      </c>
    </row>
    <row r="43">
      <c r="A43" t="n">
        <v>14</v>
      </c>
      <c r="B43" s="38" t="inlineStr">
        <is>
          <t>Twelve Data quotes via the Twelve Data connector (get_quote), 2026-10-21 ~17:05Z: ABT $98.36 (day low $97.73, 52-wk $81.97-$132.03), BSX $44.38, SYK $295.56, MDT $93.365</t>
        </is>
      </c>
      <c r="C43" t="inlineStr">
        <is>
          <t>2026-10-21</t>
        </is>
      </c>
      <c r="D43" t="inlineStr">
        <is>
          <t>https://api.twelvedata.com/quote?symbol=ABT</t>
        </is>
      </c>
    </row>
    <row r="44">
      <c r="A44" t="n">
        <v>15</v>
      </c>
      <c r="B44" s="38" t="inlineStr">
        <is>
          <t>SEC XBRL company facts for Abbott (run fact pack facts.md: F3 revenue, F43 CFO, F50 capex, F64 dividends, F30/F33 diluted shares)</t>
        </is>
      </c>
      <c r="C44" t="inlineStr">
        <is>
          <t>2026-10-21</t>
        </is>
      </c>
      <c r="D44" t="inlineStr">
        <is>
          <t>https://data.sec.gov/api/xbrl/companyfacts/CIK0000001800.json</t>
        </is>
      </c>
    </row>
    <row r="45">
      <c r="A45" t="n">
        <v>16</v>
      </c>
      <c r="B45" s="38" t="inlineStr">
        <is>
          <t>SEC EDGAR filing index 0001104659-26-117587 (Abbott, CIK 1800, filed 2026-10-21: 8-K with Ex. 99.1 Nutrition separation)</t>
        </is>
      </c>
      <c r="C45" t="inlineStr">
        <is>
          <t>2026-10-21</t>
        </is>
      </c>
      <c r="D45" t="inlineStr">
        <is>
          <t>https://www.sec.gov/Archives/edgar/data/1800/000110465926117587/</t>
        </is>
      </c>
    </row>
    <row r="46">
      <c r="A46" t="n">
        <v>17</v>
      </c>
      <c r="B46" s="38" t="inlineStr">
        <is>
          <t>Nasdaq.com analyst earnings forecast (Zacks consensus EPS, company-adjusted basis), yearly rows, retrieved 2026-10-26 for ABT MDT BSX SYK BDX ZBH TMO DHR JNJ DXCM PODD SNN (snapshots data/estimates/SYM.json); same URL pattern per ticker</t>
        </is>
      </c>
      <c r="C46" t="inlineStr">
        <is>
          <t>2026-10-26</t>
        </is>
      </c>
      <c r="D46" t="inlineStr">
        <is>
          <t>https://api.nasdaq.com/api/analyst/ABT/earnings-forecast</t>
        </is>
      </c>
    </row>
    <row r="47">
      <c r="A47" t="n">
        <v>18</v>
      </c>
      <c r="B47" s="38" t="inlineStr">
        <is>
          <t>Run peer table 2026-10-23: peers.md / peers.json (US prices = 10-23 close, X.price ids) and peers_calendar.json (calendar NTM 2026-10-23 to 2027-10-22, all 11 peers + foreign rows by hand)</t>
        </is>
      </c>
      <c r="C47" t="inlineStr">
        <is>
          <t>2026-10-26</t>
        </is>
      </c>
      <c r="D47" t="inlineStr">
        <is>
          <t>file:///mnt/project-files/valuation/runs/2026-10-23/ABT/peers_calendar.json</t>
        </is>
      </c>
    </row>
    <row r="48">
      <c r="A48" t="n">
        <v>19</v>
      </c>
      <c r="B48" s="38" t="inlineStr">
        <is>
          <t>Siemens Healthineers company-compiled consensus (Vara), 2026-08-27: Adjusted EPS FY2026 2.38 / FY2027 2.37 / FY2028 2.70 EUR (17/17/17 estimates; FY2029 11); EPS reported 2.02 / 2.06 / 2.38</t>
        </is>
      </c>
      <c r="C48" t="inlineStr">
        <is>
          <t>2026-08-27</t>
        </is>
      </c>
      <c r="D48" t="inlineStr">
        <is>
          <t>https://corporate.webassets.siemens-healthineers.com/27e870939440c820/5d24c103f324/Vara-Consensus---Siemens-Healthineeres-Earnings-Estimates-2026-08-27.xlsx</t>
        </is>
      </c>
    </row>
    <row r="49">
      <c r="A49" t="n">
        <v>20</v>
      </c>
      <c r="B49" s="38" t="inlineStr">
        <is>
          <t>Siemens Healthineers Q3 FY2026 earnings release (2026-07-31): adjusted basic EPS 0.70 vs basic 0.60 (PPA amortization 0.08); FY2026 adjusted basic EPS outlook 2.35-2.45 EUR</t>
        </is>
      </c>
      <c r="C49" t="inlineStr">
        <is>
          <t>2026-07-31</t>
        </is>
      </c>
      <c r="D49" t="inlineStr">
        <is>
          <t>https://corporate.webassets.siemens-healthineers.com/2637d4a46dbcd161/a3335cc16ed1/siemens-healthineers-Q3_FY2026_Earnings-Release-and-Financial-Results.pdf</t>
        </is>
      </c>
    </row>
    <row r="50">
      <c r="A50" t="n">
        <v>21</v>
      </c>
      <c r="B50" s="38" t="inlineStr">
        <is>
          <t>MarketScreener Siemens Healthineers finances: 41.86 EUR Xetra close 2026-10-23; EPS (reported) 2026E 2.042 / 2027E 2.104 / 2028E 2.473; 20 analysts; fiscal year September</t>
        </is>
      </c>
      <c r="C50" t="inlineStr">
        <is>
          <t>2026-10-26</t>
        </is>
      </c>
      <c r="D50" t="inlineStr">
        <is>
          <t>https://www.marketscreener.com/quote/stock/SIEMENS-HEALTHINEERS-AG-42379342/finances/</t>
        </is>
      </c>
    </row>
    <row r="51">
      <c r="A51" t="n">
        <v>22</v>
      </c>
      <c r="B51" s="38" t="inlineStr">
        <is>
          <t>MarketScreener Terumo finances: last close 2,399 JPY (2026-10-23); EPS (IFRS reported) FY3/27E 82.25 / FY3/28E 129.3; 14 analysts; fiscal year March</t>
        </is>
      </c>
      <c r="C51" t="inlineStr">
        <is>
          <t>2026-10-26</t>
        </is>
      </c>
      <c r="D51" t="inlineStr">
        <is>
          <t>https://www.marketscreener.com/quote/stock/TERUMO-CORPORATION-6491240/finances/</t>
        </is>
      </c>
    </row>
    <row r="52">
      <c r="A52" t="n">
        <v>23</v>
      </c>
      <c r="B52" s="38" t="inlineStr">
        <is>
          <t>Terumo press release 2026-10-08: CSL Plasma supply agreement termination, ~JPY 97.5 bn charge; FY3/27 guide revenue 1,229.5 bn, adjusted operating profit 274.5 bn, operating profit 160.0 bn, net profit 120.0 bn, basic EPS 81.35</t>
        </is>
      </c>
      <c r="C52" t="inlineStr">
        <is>
          <t>2026-10-08</t>
        </is>
      </c>
      <c r="D52" t="inlineStr">
        <is>
          <t>https://www.terumo.com/system/files/document/2026-10/Press%20Release_20261008_E.pdf</t>
        </is>
      </c>
    </row>
    <row r="53">
      <c r="A53" t="n">
        <v>24</v>
      </c>
      <c r="B53" s="38" t="inlineStr">
        <is>
          <t>Terumo IFRS results Q1 FY3/27 (2026-08-07): adjusted operating profit excludes amortization of intangibles acquired in business combinations (Q1 JPY 7,211M) and non-recurring items</t>
        </is>
      </c>
      <c r="C53" t="inlineStr">
        <is>
          <t>2026-08-07</t>
        </is>
      </c>
      <c r="D53" t="inlineStr">
        <is>
          <t>https://www.terumo.com/system/files/document/2026-08/FinancialResults_27Q1_E.pdf</t>
        </is>
      </c>
    </row>
    <row r="54">
      <c r="A54" t="n">
        <v>25</v>
      </c>
      <c r="B54" s="38" t="inlineStr">
        <is>
          <t>MarketScreener Olympus finances: last close 1,719 JPY (2026-10-23); EPS (IFRS reported) FY3/27E 98.05 / FY3/28E 113.9; 14 analysts; fiscal year March</t>
        </is>
      </c>
      <c r="C54" t="inlineStr">
        <is>
          <t>2026-10-26</t>
        </is>
      </c>
      <c r="D54" t="inlineStr">
        <is>
          <t>https://www.marketscreener.com/quote/stock/OLYMPUS-CORPORATION-6491236/finances/</t>
        </is>
      </c>
    </row>
    <row r="55">
      <c r="A55" t="n">
        <v>26</v>
      </c>
      <c r="B55" s="38" t="inlineStr">
        <is>
          <t>Olympus Q1 FY2027 presentation (2026-08): FY2027 guide EPS JPY 90-102, adjusted EPS JPY 106-119 (FY2026 61 / 92), unchanged</t>
        </is>
      </c>
      <c r="C55" t="inlineStr">
        <is>
          <t>2026-08-07</t>
        </is>
      </c>
      <c r="D55" t="inlineStr">
        <is>
          <t>https://www.olympus-global.com/ir/data/brief/pdf/03_presentation_Q1FY2027_en.pdf</t>
        </is>
      </c>
    </row>
    <row r="56">
      <c r="A56" t="n">
        <v>27</v>
      </c>
      <c r="B56" s="38" t="inlineStr">
        <is>
          <t>ABT results release Ex. 99.1 (8-K item 2.02, filed 2026-10-21): non-GAAP/adjusted EPS reconciliation; stock-based compensation is not an adjustment (mentions: cash-flow statement or special/acquisition-accelerated awards only)</t>
        </is>
      </c>
      <c r="C56" t="inlineStr">
        <is>
          <t>2026-10-21</t>
        </is>
      </c>
      <c r="D56" t="inlineStr">
        <is>
          <t>https://www.sec.gov/Archives/edgar/data/1800/000162828026066601/abt-20261021.htm</t>
        </is>
      </c>
    </row>
    <row r="57">
      <c r="A57" t="n">
        <v>28</v>
      </c>
      <c r="B57" s="38" t="inlineStr">
        <is>
          <t>MDT results release Ex. 99.1 (8-K item 2.02, filed 2026-09-01): non-GAAP/adjusted EPS reconciliation; stock-based compensation is not an adjustment (mentions: cash-flow statement or special/acquisition-accelerated awards only)</t>
        </is>
      </c>
      <c r="C57" t="inlineStr">
        <is>
          <t>2026-09-01</t>
        </is>
      </c>
      <c r="D57" t="inlineStr">
        <is>
          <t>https://www.sec.gov/Archives/edgar/data/1613103/000162828026059697/exhibit991-fy27q1earningsr.htm</t>
        </is>
      </c>
    </row>
    <row r="58">
      <c r="A58" t="n">
        <v>29</v>
      </c>
      <c r="B58" s="38" t="inlineStr">
        <is>
          <t>BSX results release Ex. 99.1 (8-K item 2.02, filed 2026-07-29): non-GAAP/adjusted EPS reconciliation; stock-based compensation is not an adjustment (mentions: cash-flow statement or special/acquisition-accelerated awards only)</t>
        </is>
      </c>
      <c r="C58" t="inlineStr">
        <is>
          <t>2026-07-29</t>
        </is>
      </c>
      <c r="D58" t="inlineStr">
        <is>
          <t>https://www.sec.gov/Archives/edgar/data/885725/000088572526000051/q22026earningsrelease.htm</t>
        </is>
      </c>
    </row>
    <row r="59">
      <c r="A59" t="n">
        <v>30</v>
      </c>
      <c r="B59" s="38" t="inlineStr">
        <is>
          <t>SYK results release Ex. 99.1 (8-K item 2.02, filed 2026-07-30): non-GAAP/adjusted EPS reconciliation; stock-based compensation is not an adjustment (mentions: cash-flow statement or special/acquisition-accelerated awards only)</t>
        </is>
      </c>
      <c r="C59" t="inlineStr">
        <is>
          <t>2026-07-30</t>
        </is>
      </c>
      <c r="D59" t="inlineStr">
        <is>
          <t>https://www.sec.gov/Archives/edgar/data/310764/000031076426000048/sykex991earningsq22026.htm</t>
        </is>
      </c>
    </row>
    <row r="60">
      <c r="A60" t="n">
        <v>31</v>
      </c>
      <c r="B60" s="38" t="inlineStr">
        <is>
          <t>BDX results release Ex. 99.1 (8-K item 2.02, filed 2026-08-06): non-GAAP/adjusted EPS reconciliation; stock-based compensation is not an adjustment (mentions: cash-flow statement or special/acquisition-accelerated awards only)</t>
        </is>
      </c>
      <c r="C60" t="inlineStr">
        <is>
          <t>2026-08-06</t>
        </is>
      </c>
      <c r="D60" t="inlineStr">
        <is>
          <t>https://www.sec.gov/Archives/edgar/data/10795/000162828026053790/ex9916302026.htm</t>
        </is>
      </c>
    </row>
    <row r="61">
      <c r="A61" t="n">
        <v>32</v>
      </c>
      <c r="B61" s="38" t="inlineStr">
        <is>
          <t>ZBH results release Ex. 99.1 (8-K item 2.02, filed 2026-08-05): non-GAAP/adjusted EPS reconciliation; stock-based compensation is not an adjustment (mentions: cash-flow statement or special/acquisition-accelerated awards only)</t>
        </is>
      </c>
      <c r="C61" t="inlineStr">
        <is>
          <t>2026-08-05</t>
        </is>
      </c>
      <c r="D61" t="inlineStr">
        <is>
          <t>https://www.sec.gov/Archives/edgar/data/1136869/000119312526333761/zbh-ex99_1.htm</t>
        </is>
      </c>
    </row>
    <row r="62">
      <c r="A62" t="n">
        <v>33</v>
      </c>
      <c r="B62" s="38" t="inlineStr">
        <is>
          <t>TMO results release Ex. 99.1 (8-K item 2.02, filed 2026-10-21): non-GAAP/adjusted EPS reconciliation; stock-based compensation is not an adjustment (mentions: cash-flow statement or special/acquisition-accelerated awards only)</t>
        </is>
      </c>
      <c r="C62" t="inlineStr">
        <is>
          <t>2026-10-21</t>
        </is>
      </c>
      <c r="D62" t="inlineStr">
        <is>
          <t>https://www.sec.gov/Archives/edgar/data/97745/000009774526000173/q32026earnings8kex99_1.htm</t>
        </is>
      </c>
    </row>
    <row r="63">
      <c r="A63" t="n">
        <v>34</v>
      </c>
      <c r="B63" s="38" t="inlineStr">
        <is>
          <t>DHR results release Ex. 99.1 (8-K item 2.02, filed 2026-10-21): non-GAAP/adjusted EPS reconciliation; stock-based compensation is not an adjustment (mentions: cash-flow statement or special/acquisition-accelerated awards only)</t>
        </is>
      </c>
      <c r="C63" t="inlineStr">
        <is>
          <t>2026-10-21</t>
        </is>
      </c>
      <c r="D63" t="inlineStr">
        <is>
          <t>https://www.sec.gov/Archives/edgar/data/313616/000031361626000201/dhr-20261021xex991.htm</t>
        </is>
      </c>
    </row>
    <row r="64">
      <c r="A64" t="n">
        <v>35</v>
      </c>
      <c r="B64" s="38" t="inlineStr">
        <is>
          <t>JNJ results release Ex. 99.1 (8-K item 2.02, filed 2026-10-13): non-GAAP/adjusted EPS reconciliation; stock-based compensation is not an adjustment (mentions: cash-flow statement or special/acquisition-accelerated awards only)</t>
        </is>
      </c>
      <c r="C64" t="inlineStr">
        <is>
          <t>2026-10-13</t>
        </is>
      </c>
      <c r="D64" t="inlineStr">
        <is>
          <t>https://www.sec.gov/Archives/edgar/data/200406/000020040626000189/a2026q3exhibit991.htm</t>
        </is>
      </c>
    </row>
    <row r="66">
      <c r="A66" s="3" t="inlineStr">
        <is>
          <t>Fact id</t>
        </is>
      </c>
      <c r="B66" s="3" t="inlineStr">
        <is>
          <t>Figure</t>
        </is>
      </c>
      <c r="C66" s="3" t="inlineStr">
        <is>
          <t>Value</t>
        </is>
      </c>
      <c r="D66" s="3" t="inlineStr">
        <is>
          <t>Filing</t>
        </is>
      </c>
    </row>
    <row r="67">
      <c r="A67" t="inlineStr">
        <is>
          <t>F1</t>
        </is>
      </c>
      <c r="B67" t="inlineStr">
        <is>
          <t>revenue FY ending 2023-12-31 (us-gaap:RevenueFromContractWithCustomerExcludingAssessedTax)</t>
        </is>
      </c>
      <c r="C67" s="44" t="n">
        <v>40109000000</v>
      </c>
      <c r="D67" t="inlineStr">
        <is>
          <t>https://www.sec.gov/Archives/edgar/data/1800/000162828026010185/</t>
        </is>
      </c>
    </row>
    <row r="68">
      <c r="A68" t="inlineStr">
        <is>
          <t>F2</t>
        </is>
      </c>
      <c r="B68" t="inlineStr">
        <is>
          <t>revenue FY ending 2024-12-31 (us-gaap:RevenueFromContractWithCustomerExcludingAssessedTax)</t>
        </is>
      </c>
      <c r="C68" s="44" t="n">
        <v>41950000000</v>
      </c>
      <c r="D68" t="inlineStr">
        <is>
          <t>https://www.sec.gov/Archives/edgar/data/1800/000162828026010185/</t>
        </is>
      </c>
    </row>
    <row r="69">
      <c r="A69" t="inlineStr">
        <is>
          <t>F3</t>
        </is>
      </c>
      <c r="B69" t="inlineStr">
        <is>
          <t>revenue FY ending 2025-12-31 (us-gaap:RevenueFromContractWithCustomerExcludingAssessedTax)</t>
        </is>
      </c>
      <c r="C69" s="44" t="n">
        <v>44328000000</v>
      </c>
      <c r="D69" t="inlineStr">
        <is>
          <t>https://www.sec.gov/Archives/edgar/data/1800/000162828026010185/</t>
        </is>
      </c>
    </row>
    <row r="70">
      <c r="A70" t="inlineStr">
        <is>
          <t>F4</t>
        </is>
      </c>
      <c r="B70" t="inlineStr">
        <is>
          <t>revenue YTD 2026-01-01 to 2026-03-31</t>
        </is>
      </c>
      <c r="C70" s="44" t="n">
        <v>11164000000</v>
      </c>
      <c r="D70" t="inlineStr">
        <is>
          <t>https://www.sec.gov/Archives/edgar/data/1800/000162828026028357/</t>
        </is>
      </c>
    </row>
    <row r="71">
      <c r="A71" t="inlineStr">
        <is>
          <t>F5</t>
        </is>
      </c>
      <c r="B71" t="inlineStr">
        <is>
          <t>revenue prior-year YTD 2025-01-01 to 2025-03-31</t>
        </is>
      </c>
      <c r="C71" s="44" t="n">
        <v>10358000000</v>
      </c>
      <c r="D71" t="inlineStr">
        <is>
          <t>https://www.sec.gov/Archives/edgar/data/1800/000162828026028357/</t>
        </is>
      </c>
    </row>
    <row r="72">
      <c r="A72" t="inlineStr">
        <is>
          <t>F6</t>
        </is>
      </c>
      <c r="B72" t="inlineStr">
        <is>
          <t>revenue TTM to 2026-03-31</t>
        </is>
      </c>
      <c r="C72" s="44" t="n">
        <v>45134000000</v>
      </c>
    </row>
    <row r="73">
      <c r="A73" t="inlineStr">
        <is>
          <t>F7</t>
        </is>
      </c>
      <c r="B73" t="inlineStr">
        <is>
          <t>revenue quarter 2026-01-01 to 2026-03-31</t>
        </is>
      </c>
      <c r="C73" s="44" t="n">
        <v>11164000000</v>
      </c>
      <c r="D73" t="inlineStr">
        <is>
          <t>https://www.sec.gov/Archives/edgar/data/1800/000162828026028357/</t>
        </is>
      </c>
    </row>
    <row r="74">
      <c r="A74" t="inlineStr">
        <is>
          <t>F8</t>
        </is>
      </c>
      <c r="B74" t="inlineStr">
        <is>
          <t>operating_income FY ending 2023-12-31 (us-gaap:OperatingIncomeLoss)</t>
        </is>
      </c>
      <c r="C74" s="44" t="n">
        <v>6478000000</v>
      </c>
      <c r="D74" t="inlineStr">
        <is>
          <t>https://www.sec.gov/Archives/edgar/data/1800/000162828026010185/</t>
        </is>
      </c>
    </row>
    <row r="75">
      <c r="A75" t="inlineStr">
        <is>
          <t>F9</t>
        </is>
      </c>
      <c r="B75" t="inlineStr">
        <is>
          <t>operating_income FY ending 2024-12-31 (us-gaap:OperatingIncomeLoss)</t>
        </is>
      </c>
      <c r="C75" s="44" t="n">
        <v>6825000000</v>
      </c>
      <c r="D75" t="inlineStr">
        <is>
          <t>https://www.sec.gov/Archives/edgar/data/1800/000162828026010185/</t>
        </is>
      </c>
    </row>
    <row r="76">
      <c r="A76" t="inlineStr">
        <is>
          <t>F10</t>
        </is>
      </c>
      <c r="B76" t="inlineStr">
        <is>
          <t>operating_income FY ending 2025-12-31 (us-gaap:OperatingIncomeLoss)</t>
        </is>
      </c>
      <c r="C76" s="44" t="n">
        <v>8053000000</v>
      </c>
      <c r="D76" t="inlineStr">
        <is>
          <t>https://www.sec.gov/Archives/edgar/data/1800/000162828026010185/</t>
        </is>
      </c>
    </row>
    <row r="77">
      <c r="A77" t="inlineStr">
        <is>
          <t>F11</t>
        </is>
      </c>
      <c r="B77" t="inlineStr">
        <is>
          <t>operating_income YTD 2026-01-01 to 2026-03-31</t>
        </is>
      </c>
      <c r="C77" s="44" t="n">
        <v>1345000000</v>
      </c>
      <c r="D77" t="inlineStr">
        <is>
          <t>https://www.sec.gov/Archives/edgar/data/1800/000162828026028357/</t>
        </is>
      </c>
    </row>
    <row r="78">
      <c r="A78" t="inlineStr">
        <is>
          <t>F12</t>
        </is>
      </c>
      <c r="B78" t="inlineStr">
        <is>
          <t>operating_income prior-year YTD 2025-01-01 to 2025-03-31</t>
        </is>
      </c>
      <c r="C78" s="44" t="n">
        <v>1693000000</v>
      </c>
      <c r="D78" t="inlineStr">
        <is>
          <t>https://www.sec.gov/Archives/edgar/data/1800/000162828026028357/</t>
        </is>
      </c>
    </row>
    <row r="79">
      <c r="A79" t="inlineStr">
        <is>
          <t>F13</t>
        </is>
      </c>
      <c r="B79" t="inlineStr">
        <is>
          <t>operating_income TTM to 2026-03-31</t>
        </is>
      </c>
      <c r="C79" s="44" t="n">
        <v>7705000000</v>
      </c>
    </row>
    <row r="80">
      <c r="A80" t="inlineStr">
        <is>
          <t>F14</t>
        </is>
      </c>
      <c r="B80" t="inlineStr">
        <is>
          <t>operating_income quarter 2026-01-01 to 2026-03-31</t>
        </is>
      </c>
      <c r="C80" s="44" t="n">
        <v>1345000000</v>
      </c>
      <c r="D80" t="inlineStr">
        <is>
          <t>https://www.sec.gov/Archives/edgar/data/1800/000162828026028357/</t>
        </is>
      </c>
    </row>
    <row r="81">
      <c r="A81" t="inlineStr">
        <is>
          <t>F15</t>
        </is>
      </c>
      <c r="B81" t="inlineStr">
        <is>
          <t>net_income FY ending 2023-12-31 (us-gaap:NetIncomeLoss)</t>
        </is>
      </c>
      <c r="C81" s="44" t="n">
        <v>5723000000</v>
      </c>
      <c r="D81" t="inlineStr">
        <is>
          <t>https://www.sec.gov/Archives/edgar/data/1800/000162828026010185/</t>
        </is>
      </c>
    </row>
    <row r="82">
      <c r="A82" t="inlineStr">
        <is>
          <t>F16</t>
        </is>
      </c>
      <c r="B82" t="inlineStr">
        <is>
          <t>net_income FY ending 2024-12-31 (us-gaap:NetIncomeLoss)</t>
        </is>
      </c>
      <c r="C82" s="44" t="n">
        <v>13402000000</v>
      </c>
      <c r="D82" t="inlineStr">
        <is>
          <t>https://www.sec.gov/Archives/edgar/data/1800/000162828026010185/</t>
        </is>
      </c>
    </row>
    <row r="83">
      <c r="A83" t="inlineStr">
        <is>
          <t>F17</t>
        </is>
      </c>
      <c r="B83" t="inlineStr">
        <is>
          <t>net_income FY ending 2025-12-31 (us-gaap:NetIncomeLoss)</t>
        </is>
      </c>
      <c r="C83" s="44" t="n">
        <v>6524000000</v>
      </c>
      <c r="D83" t="inlineStr">
        <is>
          <t>https://www.sec.gov/Archives/edgar/data/1800/000162828026010185/</t>
        </is>
      </c>
    </row>
    <row r="84">
      <c r="A84" t="inlineStr">
        <is>
          <t>F18</t>
        </is>
      </c>
      <c r="B84" t="inlineStr">
        <is>
          <t>net_income YTD 2026-01-01 to 2026-03-31</t>
        </is>
      </c>
      <c r="C84" s="44" t="n">
        <v>1077000000</v>
      </c>
      <c r="D84" t="inlineStr">
        <is>
          <t>https://www.sec.gov/Archives/edgar/data/1800/000162828026028357/</t>
        </is>
      </c>
    </row>
    <row r="85">
      <c r="A85" t="inlineStr">
        <is>
          <t>F19</t>
        </is>
      </c>
      <c r="B85" t="inlineStr">
        <is>
          <t>net_income prior-year YTD 2025-01-01 to 2025-03-31</t>
        </is>
      </c>
      <c r="C85" s="44" t="n">
        <v>1325000000</v>
      </c>
      <c r="D85" t="inlineStr">
        <is>
          <t>https://www.sec.gov/Archives/edgar/data/1800/000162828026028357/</t>
        </is>
      </c>
    </row>
    <row r="86">
      <c r="A86" t="inlineStr">
        <is>
          <t>F20</t>
        </is>
      </c>
      <c r="B86" t="inlineStr">
        <is>
          <t>net_income TTM to 2026-03-31</t>
        </is>
      </c>
      <c r="C86" s="44" t="n">
        <v>6276000000</v>
      </c>
    </row>
    <row r="87">
      <c r="A87" t="inlineStr">
        <is>
          <t>F21</t>
        </is>
      </c>
      <c r="B87" t="inlineStr">
        <is>
          <t>net_income quarter 2026-01-01 to 2026-03-31</t>
        </is>
      </c>
      <c r="C87" s="44" t="n">
        <v>1077000000</v>
      </c>
      <c r="D87" t="inlineStr">
        <is>
          <t>https://www.sec.gov/Archives/edgar/data/1800/000162828026028357/</t>
        </is>
      </c>
    </row>
    <row r="88">
      <c r="A88" t="inlineStr">
        <is>
          <t>F22</t>
        </is>
      </c>
      <c r="B88" t="inlineStr">
        <is>
          <t>eps_diluted FY ending 2023-12-31 (us-gaap:EarningsPerShareDiluted)</t>
        </is>
      </c>
      <c r="C88" s="44" t="n">
        <v>3.26</v>
      </c>
      <c r="D88" t="inlineStr">
        <is>
          <t>https://www.sec.gov/Archives/edgar/data/1800/000162828026010185/</t>
        </is>
      </c>
    </row>
    <row r="89">
      <c r="A89" t="inlineStr">
        <is>
          <t>F23</t>
        </is>
      </c>
      <c r="B89" t="inlineStr">
        <is>
          <t>eps_diluted FY ending 2024-12-31 (us-gaap:EarningsPerShareDiluted)</t>
        </is>
      </c>
      <c r="C89" s="44" t="n">
        <v>7.64</v>
      </c>
      <c r="D89" t="inlineStr">
        <is>
          <t>https://www.sec.gov/Archives/edgar/data/1800/000162828026010185/</t>
        </is>
      </c>
    </row>
    <row r="90">
      <c r="A90" t="inlineStr">
        <is>
          <t>F24</t>
        </is>
      </c>
      <c r="B90" t="inlineStr">
        <is>
          <t>eps_diluted FY ending 2025-12-31 (us-gaap:EarningsPerShareDiluted)</t>
        </is>
      </c>
      <c r="C90" s="44" t="n">
        <v>3.72</v>
      </c>
      <c r="D90" t="inlineStr">
        <is>
          <t>https://www.sec.gov/Archives/edgar/data/1800/000162828026010185/</t>
        </is>
      </c>
    </row>
    <row r="91">
      <c r="A91" t="inlineStr">
        <is>
          <t>F25</t>
        </is>
      </c>
      <c r="B91" t="inlineStr">
        <is>
          <t>eps_diluted YTD 2026-01-01 to 2026-03-31</t>
        </is>
      </c>
      <c r="C91" s="44" t="n">
        <v>0.61</v>
      </c>
      <c r="D91" t="inlineStr">
        <is>
          <t>https://www.sec.gov/Archives/edgar/data/1800/000162828026028357/</t>
        </is>
      </c>
    </row>
    <row r="92">
      <c r="A92" t="inlineStr">
        <is>
          <t>F26</t>
        </is>
      </c>
      <c r="B92" t="inlineStr">
        <is>
          <t>eps_diluted prior-year YTD 2025-01-01 to 2025-03-31</t>
        </is>
      </c>
      <c r="C92" s="44" t="n">
        <v>0.76</v>
      </c>
      <c r="D92" t="inlineStr">
        <is>
          <t>https://www.sec.gov/Archives/edgar/data/1800/000162828026028357/</t>
        </is>
      </c>
    </row>
    <row r="93">
      <c r="A93" t="inlineStr">
        <is>
          <t>F27</t>
        </is>
      </c>
      <c r="B93" t="inlineStr">
        <is>
          <t>eps_diluted quarter 2026-01-01 to 2026-03-31</t>
        </is>
      </c>
      <c r="C93" s="44" t="n">
        <v>0.61</v>
      </c>
      <c r="D93" t="inlineStr">
        <is>
          <t>https://www.sec.gov/Archives/edgar/data/1800/000162828026028357/</t>
        </is>
      </c>
    </row>
    <row r="94">
      <c r="A94" t="inlineStr">
        <is>
          <t>F28</t>
        </is>
      </c>
      <c r="B94" t="inlineStr">
        <is>
          <t>diluted_shares_wavg FY ending 2023-12-31 (us-gaap:WeightedAverageNumberOfDilutedSharesOutstanding)</t>
        </is>
      </c>
      <c r="C94" s="44" t="n">
        <v>1749000000</v>
      </c>
      <c r="D94" t="inlineStr">
        <is>
          <t>https://www.sec.gov/Archives/edgar/data/1800/000162828026010185/</t>
        </is>
      </c>
    </row>
    <row r="95">
      <c r="A95" t="inlineStr">
        <is>
          <t>F29</t>
        </is>
      </c>
      <c r="B95" t="inlineStr">
        <is>
          <t>diluted_shares_wavg FY ending 2024-12-31 (us-gaap:WeightedAverageNumberOfDilutedSharesOutstanding)</t>
        </is>
      </c>
      <c r="C95" s="44" t="n">
        <v>1748000000</v>
      </c>
      <c r="D95" t="inlineStr">
        <is>
          <t>https://www.sec.gov/Archives/edgar/data/1800/000162828026010185/</t>
        </is>
      </c>
    </row>
    <row r="96">
      <c r="A96" t="inlineStr">
        <is>
          <t>F30</t>
        </is>
      </c>
      <c r="B96" t="inlineStr">
        <is>
          <t>diluted_shares_wavg FY ending 2025-12-31 (us-gaap:WeightedAverageNumberOfDilutedSharesOutstanding)</t>
        </is>
      </c>
      <c r="C96" s="44" t="n">
        <v>1748000000</v>
      </c>
      <c r="D96" t="inlineStr">
        <is>
          <t>https://www.sec.gov/Archives/edgar/data/1800/000162828026010185/</t>
        </is>
      </c>
    </row>
    <row r="97">
      <c r="A97" t="inlineStr">
        <is>
          <t>F31</t>
        </is>
      </c>
      <c r="B97" t="inlineStr">
        <is>
          <t>diluted_shares_wavg YTD 2026-01-01 to 2026-03-31</t>
        </is>
      </c>
      <c r="C97" s="44" t="n">
        <v>1747073000</v>
      </c>
      <c r="D97" t="inlineStr">
        <is>
          <t>https://www.sec.gov/Archives/edgar/data/1800/000162828026028357/</t>
        </is>
      </c>
    </row>
    <row r="98">
      <c r="A98" t="inlineStr">
        <is>
          <t>F32</t>
        </is>
      </c>
      <c r="B98" t="inlineStr">
        <is>
          <t>diluted_shares_wavg prior-year YTD 2025-01-01 to 2025-03-31</t>
        </is>
      </c>
      <c r="C98" s="44" t="n">
        <v>1747220000</v>
      </c>
      <c r="D98" t="inlineStr">
        <is>
          <t>https://www.sec.gov/Archives/edgar/data/1800/000162828026028357/</t>
        </is>
      </c>
    </row>
    <row r="99">
      <c r="A99" t="inlineStr">
        <is>
          <t>F33</t>
        </is>
      </c>
      <c r="B99" t="inlineStr">
        <is>
          <t>diluted_shares_wavg quarter 2026-01-01 to 2026-03-31</t>
        </is>
      </c>
      <c r="C99" s="44" t="n">
        <v>1747073000</v>
      </c>
      <c r="D99" t="inlineStr">
        <is>
          <t>https://www.sec.gov/Archives/edgar/data/1800/000162828026028357/</t>
        </is>
      </c>
    </row>
    <row r="100">
      <c r="A100" t="inlineStr">
        <is>
          <t>F34</t>
        </is>
      </c>
      <c r="B100" t="inlineStr">
        <is>
          <t>sbc FY ending 2023-12-31 (us-gaap:ShareBasedCompensation)</t>
        </is>
      </c>
      <c r="C100" s="44" t="n">
        <v>644000000</v>
      </c>
      <c r="D100" t="inlineStr">
        <is>
          <t>https://www.sec.gov/Archives/edgar/data/1800/000162828026010185/</t>
        </is>
      </c>
    </row>
    <row r="101">
      <c r="A101" t="inlineStr">
        <is>
          <t>F35</t>
        </is>
      </c>
      <c r="B101" t="inlineStr">
        <is>
          <t>sbc FY ending 2024-12-31 (us-gaap:ShareBasedCompensation)</t>
        </is>
      </c>
      <c r="C101" s="44" t="n">
        <v>673000000</v>
      </c>
      <c r="D101" t="inlineStr">
        <is>
          <t>https://www.sec.gov/Archives/edgar/data/1800/000162828026010185/</t>
        </is>
      </c>
    </row>
    <row r="102">
      <c r="A102" t="inlineStr">
        <is>
          <t>F36</t>
        </is>
      </c>
      <c r="B102" t="inlineStr">
        <is>
          <t>sbc FY ending 2025-12-31 (us-gaap:ShareBasedCompensation)</t>
        </is>
      </c>
      <c r="C102" s="44" t="n">
        <v>664000000</v>
      </c>
      <c r="D102" t="inlineStr">
        <is>
          <t>https://www.sec.gov/Archives/edgar/data/1800/000162828026010185/</t>
        </is>
      </c>
    </row>
    <row r="103">
      <c r="A103" t="inlineStr">
        <is>
          <t>F37</t>
        </is>
      </c>
      <c r="B103" t="inlineStr">
        <is>
          <t>sbc YTD 2026-01-01 to 2026-03-31</t>
        </is>
      </c>
      <c r="C103" s="44" t="n">
        <v>317000000</v>
      </c>
      <c r="D103" t="inlineStr">
        <is>
          <t>https://www.sec.gov/Archives/edgar/data/1800/000162828026028357/</t>
        </is>
      </c>
    </row>
    <row r="104">
      <c r="A104" t="inlineStr">
        <is>
          <t>F38</t>
        </is>
      </c>
      <c r="B104" t="inlineStr">
        <is>
          <t>sbc prior-year YTD 2025-01-01 to 2025-03-31</t>
        </is>
      </c>
      <c r="C104" s="44" t="n">
        <v>289000000</v>
      </c>
      <c r="D104" t="inlineStr">
        <is>
          <t>https://www.sec.gov/Archives/edgar/data/1800/000162828026028357/</t>
        </is>
      </c>
    </row>
    <row r="105">
      <c r="A105" t="inlineStr">
        <is>
          <t>F39</t>
        </is>
      </c>
      <c r="B105" t="inlineStr">
        <is>
          <t>sbc TTM to 2026-03-31</t>
        </is>
      </c>
      <c r="C105" s="44" t="n">
        <v>692000000</v>
      </c>
    </row>
    <row r="106">
      <c r="A106" t="inlineStr">
        <is>
          <t>F40</t>
        </is>
      </c>
      <c r="B106" t="inlineStr">
        <is>
          <t>sbc quarter 2026-01-01 to 2026-03-31</t>
        </is>
      </c>
      <c r="C106" s="44" t="n">
        <v>317000000</v>
      </c>
      <c r="D106" t="inlineStr">
        <is>
          <t>https://www.sec.gov/Archives/edgar/data/1800/000162828026028357/</t>
        </is>
      </c>
    </row>
    <row r="107">
      <c r="A107" t="inlineStr">
        <is>
          <t>F41</t>
        </is>
      </c>
      <c r="B107" t="inlineStr">
        <is>
          <t>cfo FY ending 2023-12-31 (us-gaap:NetCashProvidedByUsedInOperatingActivities)</t>
        </is>
      </c>
      <c r="C107" s="44" t="n">
        <v>7261000000</v>
      </c>
      <c r="D107" t="inlineStr">
        <is>
          <t>https://www.sec.gov/Archives/edgar/data/1800/000162828026010185/</t>
        </is>
      </c>
    </row>
    <row r="108">
      <c r="A108" t="inlineStr">
        <is>
          <t>F42</t>
        </is>
      </c>
      <c r="B108" t="inlineStr">
        <is>
          <t>cfo FY ending 2024-12-31 (us-gaap:NetCashProvidedByUsedInOperatingActivities)</t>
        </is>
      </c>
      <c r="C108" s="44" t="n">
        <v>8558000000</v>
      </c>
      <c r="D108" t="inlineStr">
        <is>
          <t>https://www.sec.gov/Archives/edgar/data/1800/000162828026010185/</t>
        </is>
      </c>
    </row>
    <row r="109">
      <c r="A109" t="inlineStr">
        <is>
          <t>F43</t>
        </is>
      </c>
      <c r="B109" t="inlineStr">
        <is>
          <t>cfo FY ending 2025-12-31 (us-gaap:NetCashProvidedByUsedInOperatingActivities)</t>
        </is>
      </c>
      <c r="C109" s="44" t="n">
        <v>9566000000</v>
      </c>
      <c r="D109" t="inlineStr">
        <is>
          <t>https://www.sec.gov/Archives/edgar/data/1800/000162828026010185/</t>
        </is>
      </c>
    </row>
    <row r="110">
      <c r="A110" t="inlineStr">
        <is>
          <t>F44</t>
        </is>
      </c>
      <c r="B110" t="inlineStr">
        <is>
          <t>cfo YTD 2026-01-01 to 2026-03-31</t>
        </is>
      </c>
      <c r="C110" s="44" t="n">
        <v>1315000000</v>
      </c>
      <c r="D110" t="inlineStr">
        <is>
          <t>https://www.sec.gov/Archives/edgar/data/1800/000162828026028357/</t>
        </is>
      </c>
    </row>
    <row r="111">
      <c r="A111" t="inlineStr">
        <is>
          <t>F45</t>
        </is>
      </c>
      <c r="B111" t="inlineStr">
        <is>
          <t>cfo prior-year YTD 2025-01-01 to 2025-03-31</t>
        </is>
      </c>
      <c r="C111" s="44" t="n">
        <v>1417000000</v>
      </c>
      <c r="D111" t="inlineStr">
        <is>
          <t>https://www.sec.gov/Archives/edgar/data/1800/000162828026028357/</t>
        </is>
      </c>
    </row>
    <row r="112">
      <c r="A112" t="inlineStr">
        <is>
          <t>F46</t>
        </is>
      </c>
      <c r="B112" t="inlineStr">
        <is>
          <t>cfo TTM to 2026-03-31</t>
        </is>
      </c>
      <c r="C112" s="44" t="n">
        <v>9464000000</v>
      </c>
    </row>
    <row r="113">
      <c r="A113" t="inlineStr">
        <is>
          <t>F47</t>
        </is>
      </c>
      <c r="B113" t="inlineStr">
        <is>
          <t>cfo quarter 2026-01-01 to 2026-03-31</t>
        </is>
      </c>
      <c r="C113" s="44" t="n">
        <v>1315000000</v>
      </c>
      <c r="D113" t="inlineStr">
        <is>
          <t>https://www.sec.gov/Archives/edgar/data/1800/000162828026028357/</t>
        </is>
      </c>
    </row>
    <row r="114">
      <c r="A114" t="inlineStr">
        <is>
          <t>F48</t>
        </is>
      </c>
      <c r="B114" t="inlineStr">
        <is>
          <t>capex FY ending 2023-12-31 (us-gaap:PaymentsToAcquirePropertyPlantAndEquipment)</t>
        </is>
      </c>
      <c r="C114" s="44" t="n">
        <v>2202000000</v>
      </c>
      <c r="D114" t="inlineStr">
        <is>
          <t>https://www.sec.gov/Archives/edgar/data/1800/000162828026010185/</t>
        </is>
      </c>
    </row>
    <row r="115">
      <c r="A115" t="inlineStr">
        <is>
          <t>F49</t>
        </is>
      </c>
      <c r="B115" t="inlineStr">
        <is>
          <t>capex FY ending 2024-12-31 (us-gaap:PaymentsToAcquirePropertyPlantAndEquipment)</t>
        </is>
      </c>
      <c r="C115" s="44" t="n">
        <v>2207000000</v>
      </c>
      <c r="D115" t="inlineStr">
        <is>
          <t>https://www.sec.gov/Archives/edgar/data/1800/000162828026010185/</t>
        </is>
      </c>
    </row>
    <row r="116">
      <c r="A116" t="inlineStr">
        <is>
          <t>F50</t>
        </is>
      </c>
      <c r="B116" t="inlineStr">
        <is>
          <t>capex FY ending 2025-12-31 (us-gaap:PaymentsToAcquirePropertyPlantAndEquipment)</t>
        </is>
      </c>
      <c r="C116" s="44" t="n">
        <v>2171000000</v>
      </c>
      <c r="D116" t="inlineStr">
        <is>
          <t>https://www.sec.gov/Archives/edgar/data/1800/000162828026010185/</t>
        </is>
      </c>
    </row>
    <row r="117">
      <c r="A117" t="inlineStr">
        <is>
          <t>F51</t>
        </is>
      </c>
      <c r="B117" t="inlineStr">
        <is>
          <t>capex YTD 2026-01-01 to 2026-03-31</t>
        </is>
      </c>
      <c r="C117" s="44" t="n">
        <v>399000000</v>
      </c>
      <c r="D117" t="inlineStr">
        <is>
          <t>https://www.sec.gov/Archives/edgar/data/1800/000162828026028357/</t>
        </is>
      </c>
    </row>
    <row r="118">
      <c r="A118" t="inlineStr">
        <is>
          <t>F52</t>
        </is>
      </c>
      <c r="B118" t="inlineStr">
        <is>
          <t>capex prior-year YTD 2025-01-01 to 2025-03-31</t>
        </is>
      </c>
      <c r="C118" s="44" t="n">
        <v>484000000</v>
      </c>
      <c r="D118" t="inlineStr">
        <is>
          <t>https://www.sec.gov/Archives/edgar/data/1800/000162828026028357/</t>
        </is>
      </c>
    </row>
    <row r="119">
      <c r="A119" t="inlineStr">
        <is>
          <t>F53</t>
        </is>
      </c>
      <c r="B119" t="inlineStr">
        <is>
          <t>capex TTM to 2026-03-31</t>
        </is>
      </c>
      <c r="C119" s="44" t="n">
        <v>2086000000</v>
      </c>
    </row>
    <row r="120">
      <c r="A120" t="inlineStr">
        <is>
          <t>F54</t>
        </is>
      </c>
      <c r="B120" t="inlineStr">
        <is>
          <t>capex quarter 2026-01-01 to 2026-03-31</t>
        </is>
      </c>
      <c r="C120" s="44" t="n">
        <v>399000000</v>
      </c>
      <c r="D120" t="inlineStr">
        <is>
          <t>https://www.sec.gov/Archives/edgar/data/1800/000162828026028357/</t>
        </is>
      </c>
    </row>
    <row r="121">
      <c r="A121" t="inlineStr">
        <is>
          <t>F55</t>
        </is>
      </c>
      <c r="B121" t="inlineStr">
        <is>
          <t>buybacks FY ending 2023-12-31 (us-gaap:PaymentsForRepurchaseOfCommonStock)</t>
        </is>
      </c>
      <c r="C121" s="44" t="n">
        <v>1227000000</v>
      </c>
      <c r="D121" t="inlineStr">
        <is>
          <t>https://www.sec.gov/Archives/edgar/data/1800/000162828026010185/</t>
        </is>
      </c>
    </row>
    <row r="122">
      <c r="A122" t="inlineStr">
        <is>
          <t>F56</t>
        </is>
      </c>
      <c r="B122" t="inlineStr">
        <is>
          <t>buybacks FY ending 2024-12-31 (us-gaap:PaymentsForRepurchaseOfCommonStock)</t>
        </is>
      </c>
      <c r="C122" s="44" t="n">
        <v>1295000000</v>
      </c>
      <c r="D122" t="inlineStr">
        <is>
          <t>https://www.sec.gov/Archives/edgar/data/1800/000162828026010185/</t>
        </is>
      </c>
    </row>
    <row r="123">
      <c r="A123" t="inlineStr">
        <is>
          <t>F57</t>
        </is>
      </c>
      <c r="B123" t="inlineStr">
        <is>
          <t>buybacks FY ending 2025-12-31 (us-gaap:PaymentsForRepurchaseOfCommonStock)</t>
        </is>
      </c>
      <c r="C123" s="44" t="n">
        <v>893000000</v>
      </c>
      <c r="D123" t="inlineStr">
        <is>
          <t>https://www.sec.gov/Archives/edgar/data/1800/000162828026010185/</t>
        </is>
      </c>
    </row>
    <row r="124">
      <c r="A124" t="inlineStr">
        <is>
          <t>F58</t>
        </is>
      </c>
      <c r="B124" t="inlineStr">
        <is>
          <t>buybacks YTD 2026-01-01 to 2026-03-31</t>
        </is>
      </c>
      <c r="C124" s="44" t="n">
        <v>180000000</v>
      </c>
      <c r="D124" t="inlineStr">
        <is>
          <t>https://www.sec.gov/Archives/edgar/data/1800/000162828026028357/</t>
        </is>
      </c>
    </row>
    <row r="125">
      <c r="A125" t="inlineStr">
        <is>
          <t>F59</t>
        </is>
      </c>
      <c r="B125" t="inlineStr">
        <is>
          <t>buybacks prior-year YTD 2025-01-01 to 2025-03-31</t>
        </is>
      </c>
      <c r="C125" s="44" t="n">
        <v>280000000</v>
      </c>
      <c r="D125" t="inlineStr">
        <is>
          <t>https://www.sec.gov/Archives/edgar/data/1800/000162828026028357/</t>
        </is>
      </c>
    </row>
    <row r="126">
      <c r="A126" t="inlineStr">
        <is>
          <t>F60</t>
        </is>
      </c>
      <c r="B126" t="inlineStr">
        <is>
          <t>buybacks TTM to 2026-03-31</t>
        </is>
      </c>
      <c r="C126" s="44" t="n">
        <v>793000000</v>
      </c>
    </row>
    <row r="127">
      <c r="A127" t="inlineStr">
        <is>
          <t>F61</t>
        </is>
      </c>
      <c r="B127" t="inlineStr">
        <is>
          <t>buybacks quarter 2026-01-01 to 2026-03-31</t>
        </is>
      </c>
      <c r="C127" s="44" t="n">
        <v>180000000</v>
      </c>
      <c r="D127" t="inlineStr">
        <is>
          <t>https://www.sec.gov/Archives/edgar/data/1800/000162828026028357/</t>
        </is>
      </c>
    </row>
    <row r="128">
      <c r="A128" t="inlineStr">
        <is>
          <t>F62</t>
        </is>
      </c>
      <c r="B128" t="inlineStr">
        <is>
          <t>dividends_paid FY ending 2023-12-31 (us-gaap:PaymentsOfDividendsCommonStock)</t>
        </is>
      </c>
      <c r="C128" s="44" t="n">
        <v>3556000000</v>
      </c>
      <c r="D128" t="inlineStr">
        <is>
          <t>https://www.sec.gov/Archives/edgar/data/1800/000162828026010185/</t>
        </is>
      </c>
    </row>
    <row r="129">
      <c r="A129" t="inlineStr">
        <is>
          <t>F63</t>
        </is>
      </c>
      <c r="B129" t="inlineStr">
        <is>
          <t>dividends_paid FY ending 2024-12-31 (us-gaap:PaymentsOfDividendsCommonStock)</t>
        </is>
      </c>
      <c r="C129" s="44" t="n">
        <v>3836000000</v>
      </c>
      <c r="D129" t="inlineStr">
        <is>
          <t>https://www.sec.gov/Archives/edgar/data/1800/000162828026010185/</t>
        </is>
      </c>
    </row>
    <row r="130">
      <c r="A130" t="inlineStr">
        <is>
          <t>F64</t>
        </is>
      </c>
      <c r="B130" t="inlineStr">
        <is>
          <t>dividends_paid FY ending 2025-12-31 (us-gaap:PaymentsOfDividendsCommonStock)</t>
        </is>
      </c>
      <c r="C130" s="44" t="n">
        <v>4116000000</v>
      </c>
      <c r="D130" t="inlineStr">
        <is>
          <t>https://www.sec.gov/Archives/edgar/data/1800/000162828026010185/</t>
        </is>
      </c>
    </row>
    <row r="131">
      <c r="A131" t="inlineStr">
        <is>
          <t>F65</t>
        </is>
      </c>
      <c r="B131" t="inlineStr">
        <is>
          <t>dividends_paid YTD 2026-01-01 to 2026-03-31</t>
        </is>
      </c>
      <c r="C131" s="44" t="n">
        <v>1098000000</v>
      </c>
      <c r="D131" t="inlineStr">
        <is>
          <t>https://www.sec.gov/Archives/edgar/data/1800/000162828026028357/</t>
        </is>
      </c>
    </row>
    <row r="132">
      <c r="A132" t="inlineStr">
        <is>
          <t>F66</t>
        </is>
      </c>
      <c r="B132" t="inlineStr">
        <is>
          <t>dividends_paid prior-year YTD 2025-01-01 to 2025-03-31</t>
        </is>
      </c>
      <c r="C132" s="44" t="n">
        <v>1026000000</v>
      </c>
      <c r="D132" t="inlineStr">
        <is>
          <t>https://www.sec.gov/Archives/edgar/data/1800/000162828026028357/</t>
        </is>
      </c>
    </row>
    <row r="133">
      <c r="A133" t="inlineStr">
        <is>
          <t>F67</t>
        </is>
      </c>
      <c r="B133" t="inlineStr">
        <is>
          <t>dividends_paid TTM to 2026-03-31</t>
        </is>
      </c>
      <c r="C133" s="44" t="n">
        <v>4188000000</v>
      </c>
    </row>
    <row r="134">
      <c r="A134" t="inlineStr">
        <is>
          <t>F68</t>
        </is>
      </c>
      <c r="B134" t="inlineStr">
        <is>
          <t>dividends_paid quarter 2026-01-01 to 2026-03-31</t>
        </is>
      </c>
      <c r="C134" s="44" t="n">
        <v>1098000000</v>
      </c>
      <c r="D134" t="inlineStr">
        <is>
          <t>https://www.sec.gov/Archives/edgar/data/1800/000162828026028357/</t>
        </is>
      </c>
    </row>
    <row r="135">
      <c r="A135" t="inlineStr">
        <is>
          <t>F69</t>
        </is>
      </c>
      <c r="B135" t="inlineStr">
        <is>
          <t>interest_expense FY ending 2023-12-31 (us-gaap:InterestExpenseNonoperating)</t>
        </is>
      </c>
      <c r="C135" s="44" t="n">
        <v>637000000</v>
      </c>
      <c r="D135" t="inlineStr">
        <is>
          <t>https://www.sec.gov/Archives/edgar/data/1800/000162828026010185/</t>
        </is>
      </c>
    </row>
    <row r="136">
      <c r="A136" t="inlineStr">
        <is>
          <t>F70</t>
        </is>
      </c>
      <c r="B136" t="inlineStr">
        <is>
          <t>interest_expense FY ending 2024-12-31 (us-gaap:InterestExpenseNonoperating)</t>
        </is>
      </c>
      <c r="C136" s="44" t="n">
        <v>559000000</v>
      </c>
      <c r="D136" t="inlineStr">
        <is>
          <t>https://www.sec.gov/Archives/edgar/data/1800/000162828026010185/</t>
        </is>
      </c>
    </row>
    <row r="137">
      <c r="A137" t="inlineStr">
        <is>
          <t>F71</t>
        </is>
      </c>
      <c r="B137" t="inlineStr">
        <is>
          <t>interest_expense FY ending 2025-12-31 (us-gaap:InterestExpenseNonoperating)</t>
        </is>
      </c>
      <c r="C137" s="44" t="n">
        <v>493000000</v>
      </c>
      <c r="D137" t="inlineStr">
        <is>
          <t>https://www.sec.gov/Archives/edgar/data/1800/000162828026010185/</t>
        </is>
      </c>
    </row>
    <row r="138">
      <c r="A138" t="inlineStr">
        <is>
          <t>F72</t>
        </is>
      </c>
      <c r="B138" t="inlineStr">
        <is>
          <t>interest_expense YTD 2026-01-01 to 2026-03-31</t>
        </is>
      </c>
      <c r="C138" s="44" t="n">
        <v>174000000</v>
      </c>
      <c r="D138" t="inlineStr">
        <is>
          <t>https://www.sec.gov/Archives/edgar/data/1800/000162828026028357/</t>
        </is>
      </c>
    </row>
    <row r="139">
      <c r="A139" t="inlineStr">
        <is>
          <t>F73</t>
        </is>
      </c>
      <c r="B139" t="inlineStr">
        <is>
          <t>interest_expense prior-year YTD 2025-01-01 to 2025-03-31</t>
        </is>
      </c>
      <c r="C139" s="44" t="n">
        <v>131000000</v>
      </c>
      <c r="D139" t="inlineStr">
        <is>
          <t>https://www.sec.gov/Archives/edgar/data/1800/000162828026028357/</t>
        </is>
      </c>
    </row>
    <row r="140">
      <c r="A140" t="inlineStr">
        <is>
          <t>F74</t>
        </is>
      </c>
      <c r="B140" t="inlineStr">
        <is>
          <t>interest_expense TTM to 2026-03-31</t>
        </is>
      </c>
      <c r="C140" s="44" t="n">
        <v>536000000</v>
      </c>
    </row>
    <row r="141">
      <c r="A141" t="inlineStr">
        <is>
          <t>F75</t>
        </is>
      </c>
      <c r="B141" t="inlineStr">
        <is>
          <t>interest_expense quarter 2026-01-01 to 2026-03-31</t>
        </is>
      </c>
      <c r="C141" s="44" t="n">
        <v>174000000</v>
      </c>
      <c r="D141" t="inlineStr">
        <is>
          <t>https://www.sec.gov/Archives/edgar/data/1800/000162828026028357/</t>
        </is>
      </c>
    </row>
    <row r="142">
      <c r="A142" t="inlineStr">
        <is>
          <t>F76</t>
        </is>
      </c>
      <c r="B142" t="inlineStr">
        <is>
          <t>income_tax FY ending 2023-12-31 (us-gaap:IncomeTaxExpenseBenefit)</t>
        </is>
      </c>
      <c r="C142" s="44" t="n">
        <v>941000000</v>
      </c>
      <c r="D142" t="inlineStr">
        <is>
          <t>https://www.sec.gov/Archives/edgar/data/1800/000162828026010185/</t>
        </is>
      </c>
    </row>
    <row r="143">
      <c r="A143" t="inlineStr">
        <is>
          <t>F77</t>
        </is>
      </c>
      <c r="B143" t="inlineStr">
        <is>
          <t>income_tax FY ending 2024-12-31 (us-gaap:IncomeTaxExpenseBenefit)</t>
        </is>
      </c>
      <c r="C143" s="44" t="n">
        <v>-6389000000</v>
      </c>
      <c r="D143" t="inlineStr">
        <is>
          <t>https://www.sec.gov/Archives/edgar/data/1800/000162828026010185/</t>
        </is>
      </c>
    </row>
    <row r="144">
      <c r="A144" t="inlineStr">
        <is>
          <t>F78</t>
        </is>
      </c>
      <c r="B144" t="inlineStr">
        <is>
          <t>income_tax FY ending 2025-12-31 (us-gaap:IncomeTaxExpenseBenefit)</t>
        </is>
      </c>
      <c r="C144" s="44" t="n">
        <v>1942000000</v>
      </c>
      <c r="D144" t="inlineStr">
        <is>
          <t>https://www.sec.gov/Archives/edgar/data/1800/000162828026010185/</t>
        </is>
      </c>
    </row>
    <row r="145">
      <c r="A145" t="inlineStr">
        <is>
          <t>F79</t>
        </is>
      </c>
      <c r="B145" t="inlineStr">
        <is>
          <t>income_tax YTD 2026-01-01 to 2026-03-31</t>
        </is>
      </c>
      <c r="C145" s="44" t="n">
        <v>372000000</v>
      </c>
      <c r="D145" t="inlineStr">
        <is>
          <t>https://www.sec.gov/Archives/edgar/data/1800/000162828026028357/</t>
        </is>
      </c>
    </row>
    <row r="146">
      <c r="A146" t="inlineStr">
        <is>
          <t>F80</t>
        </is>
      </c>
      <c r="B146" t="inlineStr">
        <is>
          <t>income_tax prior-year YTD 2025-01-01 to 2025-03-31</t>
        </is>
      </c>
      <c r="C146" s="44" t="n">
        <v>453000000</v>
      </c>
      <c r="D146" t="inlineStr">
        <is>
          <t>https://www.sec.gov/Archives/edgar/data/1800/000162828026028357/</t>
        </is>
      </c>
    </row>
    <row r="147">
      <c r="A147" t="inlineStr">
        <is>
          <t>F81</t>
        </is>
      </c>
      <c r="B147" t="inlineStr">
        <is>
          <t>income_tax TTM to 2026-03-31</t>
        </is>
      </c>
      <c r="C147" s="44" t="n">
        <v>1861000000</v>
      </c>
    </row>
    <row r="148">
      <c r="A148" t="inlineStr">
        <is>
          <t>F82</t>
        </is>
      </c>
      <c r="B148" t="inlineStr">
        <is>
          <t>income_tax quarter 2026-01-01 to 2026-03-31</t>
        </is>
      </c>
      <c r="C148" s="44" t="n">
        <v>372000000</v>
      </c>
      <c r="D148" t="inlineStr">
        <is>
          <t>https://www.sec.gov/Archives/edgar/data/1800/000162828026028357/</t>
        </is>
      </c>
    </row>
    <row r="149">
      <c r="A149" t="inlineStr">
        <is>
          <t>F83</t>
        </is>
      </c>
      <c r="B149" t="inlineStr">
        <is>
          <t>pretax_income FY ending 2023-12-31 (us-gaap:IncomeLossFromContinuingOperationsBeforeIncomeTaxesExtraordinaryItemsNoncontrollingInterest)</t>
        </is>
      </c>
      <c r="C149" s="44" t="n">
        <v>6664000000</v>
      </c>
      <c r="D149" t="inlineStr">
        <is>
          <t>https://www.sec.gov/Archives/edgar/data/1800/000162828026010185/</t>
        </is>
      </c>
    </row>
    <row r="150">
      <c r="A150" t="inlineStr">
        <is>
          <t>F84</t>
        </is>
      </c>
      <c r="B150" t="inlineStr">
        <is>
          <t>pretax_income FY ending 2024-12-31 (us-gaap:IncomeLossFromContinuingOperationsBeforeIncomeTaxesExtraordinaryItemsNoncontrollingInterest)</t>
        </is>
      </c>
      <c r="C150" s="44" t="n">
        <v>7013000000</v>
      </c>
      <c r="D150" t="inlineStr">
        <is>
          <t>https://www.sec.gov/Archives/edgar/data/1800/000162828026010185/</t>
        </is>
      </c>
    </row>
    <row r="151">
      <c r="A151" t="inlineStr">
        <is>
          <t>F85</t>
        </is>
      </c>
      <c r="B151" t="inlineStr">
        <is>
          <t>pretax_income FY ending 2025-12-31 (us-gaap:IncomeLossFromContinuingOperationsBeforeIncomeTaxesExtraordinaryItemsNoncontrollingInterest)</t>
        </is>
      </c>
      <c r="C151" s="44" t="n">
        <v>8466000000</v>
      </c>
      <c r="D151" t="inlineStr">
        <is>
          <t>https://www.sec.gov/Archives/edgar/data/1800/000162828026010185/</t>
        </is>
      </c>
    </row>
    <row r="152">
      <c r="A152" t="inlineStr">
        <is>
          <t>F86</t>
        </is>
      </c>
      <c r="B152" t="inlineStr">
        <is>
          <t>pretax_income YTD 2026-01-01 to 2026-03-31</t>
        </is>
      </c>
      <c r="C152" s="44" t="n">
        <v>1449000000</v>
      </c>
      <c r="D152" t="inlineStr">
        <is>
          <t>https://www.sec.gov/Archives/edgar/data/1800/000162828026028357/</t>
        </is>
      </c>
    </row>
    <row r="153">
      <c r="A153" t="inlineStr">
        <is>
          <t>F87</t>
        </is>
      </c>
      <c r="B153" t="inlineStr">
        <is>
          <t>pretax_income prior-year YTD 2025-01-01 to 2025-03-31</t>
        </is>
      </c>
      <c r="C153" s="44" t="n">
        <v>1778000000</v>
      </c>
      <c r="D153" t="inlineStr">
        <is>
          <t>https://www.sec.gov/Archives/edgar/data/1800/000162828026028357/</t>
        </is>
      </c>
    </row>
    <row r="154">
      <c r="A154" t="inlineStr">
        <is>
          <t>F88</t>
        </is>
      </c>
      <c r="B154" t="inlineStr">
        <is>
          <t>pretax_income TTM to 2026-03-31</t>
        </is>
      </c>
      <c r="C154" s="44" t="n">
        <v>8137000000</v>
      </c>
    </row>
    <row r="155">
      <c r="A155" t="inlineStr">
        <is>
          <t>F89</t>
        </is>
      </c>
      <c r="B155" t="inlineStr">
        <is>
          <t>pretax_income quarter 2026-01-01 to 2026-03-31</t>
        </is>
      </c>
      <c r="C155" s="44" t="n">
        <v>1449000000</v>
      </c>
      <c r="D155" t="inlineStr">
        <is>
          <t>https://www.sec.gov/Archives/edgar/data/1800/000162828026028357/</t>
        </is>
      </c>
    </row>
    <row r="156">
      <c r="A156" t="inlineStr">
        <is>
          <t>F90</t>
        </is>
      </c>
      <c r="B156" t="inlineStr">
        <is>
          <t>cash at 2026-03-31 (us-gaap:CashAndCashEquivalentsAtCarryingValue)</t>
        </is>
      </c>
      <c r="C156" s="44" t="n">
        <v>6803000000</v>
      </c>
      <c r="D156" t="inlineStr">
        <is>
          <t>https://www.sec.gov/Archives/edgar/data/1800/000162828026028357/</t>
        </is>
      </c>
    </row>
    <row r="157">
      <c r="A157" t="inlineStr">
        <is>
          <t>F91</t>
        </is>
      </c>
      <c r="B157" t="inlineStr">
        <is>
          <t>st_investments at 2026-03-31 (us-gaap:ShortTermInvestments)</t>
        </is>
      </c>
      <c r="C157" s="44" t="n">
        <v>492000000</v>
      </c>
      <c r="D157" t="inlineStr">
        <is>
          <t>https://www.sec.gov/Archives/edgar/data/1800/000162828026028357/</t>
        </is>
      </c>
    </row>
    <row r="158">
      <c r="A158" t="inlineStr">
        <is>
          <t>F92</t>
        </is>
      </c>
      <c r="B158" t="inlineStr">
        <is>
          <t>debt_noncurrent at 2026-03-31 (us-gaap:LongTermDebtNoncurrent)</t>
        </is>
      </c>
      <c r="C158" s="44" t="n">
        <v>29638000000</v>
      </c>
      <c r="D158" t="inlineStr">
        <is>
          <t>https://www.sec.gov/Archives/edgar/data/1800/000162828026028357/</t>
        </is>
      </c>
    </row>
    <row r="159">
      <c r="A159" t="inlineStr">
        <is>
          <t>F93</t>
        </is>
      </c>
      <c r="B159" t="inlineStr">
        <is>
          <t>debt_current at 2026-03-31 (us-gaap:LongTermDebtCurrent)</t>
        </is>
      </c>
      <c r="C159" s="44" t="n">
        <v>4409000000</v>
      </c>
      <c r="D159" t="inlineStr">
        <is>
          <t>https://www.sec.gov/Archives/edgar/data/1800/000162828026028357/</t>
        </is>
      </c>
    </row>
    <row r="160">
      <c r="A160" t="inlineStr">
        <is>
          <t>F94</t>
        </is>
      </c>
      <c r="B160" t="inlineStr">
        <is>
          <t>equity at 2026-03-31 (us-gaap:StockholdersEquity)</t>
        </is>
      </c>
      <c r="C160" s="44" t="n">
        <v>52061000000</v>
      </c>
      <c r="D160" t="inlineStr">
        <is>
          <t>https://www.sec.gov/Archives/edgar/data/1800/000162828026028357/</t>
        </is>
      </c>
    </row>
    <row r="161">
      <c r="A161" t="inlineStr">
        <is>
          <t>F95</t>
        </is>
      </c>
      <c r="B161" t="inlineStr">
        <is>
          <t>shares outstanding (cover page, 1 class(es)) as of 2026-03-31</t>
        </is>
      </c>
      <c r="C161" s="44" t="n">
        <v>1741812429</v>
      </c>
      <c r="D161" t="inlineStr">
        <is>
          <t>https://www.sec.gov/Archives/edgar/data/1800/000162828026028357/</t>
        </is>
      </c>
    </row>
    <row r="162">
      <c r="A162" t="inlineStr">
        <is>
          <t>F96</t>
        </is>
      </c>
      <c r="B162" t="inlineStr">
        <is>
          <t>total debt (XBRL tags; excludes leases unless tagged in; check the balance sheet)</t>
        </is>
      </c>
      <c r="C162" s="44" t="n">
        <v>34047000000</v>
      </c>
    </row>
    <row r="163">
      <c r="A163" t="inlineStr">
        <is>
          <t>F97</t>
        </is>
      </c>
      <c r="B163" t="inlineStr">
        <is>
          <t>net debt = debt - cash - short-term investments</t>
        </is>
      </c>
      <c r="C163" s="44" t="n">
        <v>26752000000</v>
      </c>
    </row>
    <row r="164">
      <c r="A164" t="inlineStr">
        <is>
          <t>F98</t>
        </is>
      </c>
      <c r="B164" t="inlineStr">
        <is>
          <t>free cash flow TTM = operating cash flow - capex (before SBC adjustment)</t>
        </is>
      </c>
      <c r="C164" s="44" t="n">
        <v>7378000000</v>
      </c>
    </row>
    <row r="165">
      <c r="A165" t="inlineStr">
        <is>
          <t>F99</t>
        </is>
      </c>
      <c r="B165" t="inlineStr">
        <is>
          <t>diluted EPS TTM approx = net income TTM / latest quarter diluted shares</t>
        </is>
      </c>
      <c r="C165" s="44" t="n">
        <v>3.592294082731517</v>
      </c>
    </row>
  </sheetData>
  <hyperlinks>
    <hyperlink xmlns:r="http://schemas.openxmlformats.org/officeDocument/2006/relationships" ref="D30" r:id="rId1"/>
    <hyperlink xmlns:r="http://schemas.openxmlformats.org/officeDocument/2006/relationships" ref="D31" r:id="rId2"/>
    <hyperlink xmlns:r="http://schemas.openxmlformats.org/officeDocument/2006/relationships" ref="D32" r:id="rId3"/>
    <hyperlink xmlns:r="http://schemas.openxmlformats.org/officeDocument/2006/relationships" ref="D33" r:id="rId4"/>
    <hyperlink xmlns:r="http://schemas.openxmlformats.org/officeDocument/2006/relationships" ref="D34" r:id="rId5"/>
    <hyperlink xmlns:r="http://schemas.openxmlformats.org/officeDocument/2006/relationships" ref="D35" r:id="rId6"/>
    <hyperlink xmlns:r="http://schemas.openxmlformats.org/officeDocument/2006/relationships" ref="D36" r:id="rId7"/>
    <hyperlink xmlns:r="http://schemas.openxmlformats.org/officeDocument/2006/relationships" ref="D37" r:id="rId8"/>
    <hyperlink xmlns:r="http://schemas.openxmlformats.org/officeDocument/2006/relationships" ref="D38" r:id="rId9"/>
    <hyperlink xmlns:r="http://schemas.openxmlformats.org/officeDocument/2006/relationships" ref="D39" r:id="rId10"/>
    <hyperlink xmlns:r="http://schemas.openxmlformats.org/officeDocument/2006/relationships" ref="D40" r:id="rId11"/>
    <hyperlink xmlns:r="http://schemas.openxmlformats.org/officeDocument/2006/relationships" ref="D41" r:id="rId12"/>
    <hyperlink xmlns:r="http://schemas.openxmlformats.org/officeDocument/2006/relationships" ref="D42" r:id="rId13"/>
    <hyperlink xmlns:r="http://schemas.openxmlformats.org/officeDocument/2006/relationships" ref="D43" r:id="rId14"/>
    <hyperlink xmlns:r="http://schemas.openxmlformats.org/officeDocument/2006/relationships" ref="D44" r:id="rId15"/>
    <hyperlink xmlns:r="http://schemas.openxmlformats.org/officeDocument/2006/relationships" ref="D45" r:id="rId16"/>
    <hyperlink xmlns:r="http://schemas.openxmlformats.org/officeDocument/2006/relationships" ref="D46" r:id="rId17"/>
    <hyperlink xmlns:r="http://schemas.openxmlformats.org/officeDocument/2006/relationships" ref="D47" r:id="rId18"/>
    <hyperlink xmlns:r="http://schemas.openxmlformats.org/officeDocument/2006/relationships" ref="D48" r:id="rId19"/>
    <hyperlink xmlns:r="http://schemas.openxmlformats.org/officeDocument/2006/relationships" ref="D49" r:id="rId20"/>
    <hyperlink xmlns:r="http://schemas.openxmlformats.org/officeDocument/2006/relationships" ref="D50" r:id="rId21"/>
    <hyperlink xmlns:r="http://schemas.openxmlformats.org/officeDocument/2006/relationships" ref="D51" r:id="rId22"/>
    <hyperlink xmlns:r="http://schemas.openxmlformats.org/officeDocument/2006/relationships" ref="D52" r:id="rId23"/>
    <hyperlink xmlns:r="http://schemas.openxmlformats.org/officeDocument/2006/relationships" ref="D53" r:id="rId24"/>
    <hyperlink xmlns:r="http://schemas.openxmlformats.org/officeDocument/2006/relationships" ref="D54" r:id="rId25"/>
    <hyperlink xmlns:r="http://schemas.openxmlformats.org/officeDocument/2006/relationships" ref="D55" r:id="rId26"/>
    <hyperlink xmlns:r="http://schemas.openxmlformats.org/officeDocument/2006/relationships" ref="D56" r:id="rId27"/>
    <hyperlink xmlns:r="http://schemas.openxmlformats.org/officeDocument/2006/relationships" ref="D57" r:id="rId28"/>
    <hyperlink xmlns:r="http://schemas.openxmlformats.org/officeDocument/2006/relationships" ref="D58" r:id="rId29"/>
    <hyperlink xmlns:r="http://schemas.openxmlformats.org/officeDocument/2006/relationships" ref="D59" r:id="rId30"/>
    <hyperlink xmlns:r="http://schemas.openxmlformats.org/officeDocument/2006/relationships" ref="D60" r:id="rId31"/>
    <hyperlink xmlns:r="http://schemas.openxmlformats.org/officeDocument/2006/relationships" ref="D61" r:id="rId32"/>
    <hyperlink xmlns:r="http://schemas.openxmlformats.org/officeDocument/2006/relationships" ref="D62" r:id="rId33"/>
    <hyperlink xmlns:r="http://schemas.openxmlformats.org/officeDocument/2006/relationships" ref="D63" r:id="rId34"/>
    <hyperlink xmlns:r="http://schemas.openxmlformats.org/officeDocument/2006/relationships" ref="D64" r:id="rId35"/>
    <hyperlink xmlns:r="http://schemas.openxmlformats.org/officeDocument/2006/relationships" ref="D67" r:id="rId36"/>
    <hyperlink xmlns:r="http://schemas.openxmlformats.org/officeDocument/2006/relationships" ref="D68" r:id="rId37"/>
    <hyperlink xmlns:r="http://schemas.openxmlformats.org/officeDocument/2006/relationships" ref="D69" r:id="rId38"/>
    <hyperlink xmlns:r="http://schemas.openxmlformats.org/officeDocument/2006/relationships" ref="D70" r:id="rId39"/>
    <hyperlink xmlns:r="http://schemas.openxmlformats.org/officeDocument/2006/relationships" ref="D71" r:id="rId40"/>
    <hyperlink xmlns:r="http://schemas.openxmlformats.org/officeDocument/2006/relationships" ref="D73" r:id="rId41"/>
    <hyperlink xmlns:r="http://schemas.openxmlformats.org/officeDocument/2006/relationships" ref="D74" r:id="rId42"/>
    <hyperlink xmlns:r="http://schemas.openxmlformats.org/officeDocument/2006/relationships" ref="D75" r:id="rId43"/>
    <hyperlink xmlns:r="http://schemas.openxmlformats.org/officeDocument/2006/relationships" ref="D76" r:id="rId44"/>
    <hyperlink xmlns:r="http://schemas.openxmlformats.org/officeDocument/2006/relationships" ref="D77" r:id="rId45"/>
    <hyperlink xmlns:r="http://schemas.openxmlformats.org/officeDocument/2006/relationships" ref="D78" r:id="rId46"/>
    <hyperlink xmlns:r="http://schemas.openxmlformats.org/officeDocument/2006/relationships" ref="D80" r:id="rId47"/>
    <hyperlink xmlns:r="http://schemas.openxmlformats.org/officeDocument/2006/relationships" ref="D81" r:id="rId48"/>
    <hyperlink xmlns:r="http://schemas.openxmlformats.org/officeDocument/2006/relationships" ref="D82" r:id="rId49"/>
    <hyperlink xmlns:r="http://schemas.openxmlformats.org/officeDocument/2006/relationships" ref="D83" r:id="rId50"/>
    <hyperlink xmlns:r="http://schemas.openxmlformats.org/officeDocument/2006/relationships" ref="D84" r:id="rId51"/>
    <hyperlink xmlns:r="http://schemas.openxmlformats.org/officeDocument/2006/relationships" ref="D85" r:id="rId52"/>
    <hyperlink xmlns:r="http://schemas.openxmlformats.org/officeDocument/2006/relationships" ref="D87" r:id="rId53"/>
    <hyperlink xmlns:r="http://schemas.openxmlformats.org/officeDocument/2006/relationships" ref="D88" r:id="rId54"/>
    <hyperlink xmlns:r="http://schemas.openxmlformats.org/officeDocument/2006/relationships" ref="D89" r:id="rId55"/>
    <hyperlink xmlns:r="http://schemas.openxmlformats.org/officeDocument/2006/relationships" ref="D90" r:id="rId56"/>
    <hyperlink xmlns:r="http://schemas.openxmlformats.org/officeDocument/2006/relationships" ref="D91" r:id="rId57"/>
    <hyperlink xmlns:r="http://schemas.openxmlformats.org/officeDocument/2006/relationships" ref="D92" r:id="rId58"/>
    <hyperlink xmlns:r="http://schemas.openxmlformats.org/officeDocument/2006/relationships" ref="D93" r:id="rId59"/>
    <hyperlink xmlns:r="http://schemas.openxmlformats.org/officeDocument/2006/relationships" ref="D94" r:id="rId60"/>
    <hyperlink xmlns:r="http://schemas.openxmlformats.org/officeDocument/2006/relationships" ref="D95" r:id="rId61"/>
    <hyperlink xmlns:r="http://schemas.openxmlformats.org/officeDocument/2006/relationships" ref="D96" r:id="rId62"/>
    <hyperlink xmlns:r="http://schemas.openxmlformats.org/officeDocument/2006/relationships" ref="D97" r:id="rId63"/>
    <hyperlink xmlns:r="http://schemas.openxmlformats.org/officeDocument/2006/relationships" ref="D98" r:id="rId64"/>
    <hyperlink xmlns:r="http://schemas.openxmlformats.org/officeDocument/2006/relationships" ref="D99" r:id="rId65"/>
    <hyperlink xmlns:r="http://schemas.openxmlformats.org/officeDocument/2006/relationships" ref="D100" r:id="rId66"/>
    <hyperlink xmlns:r="http://schemas.openxmlformats.org/officeDocument/2006/relationships" ref="D101" r:id="rId67"/>
    <hyperlink xmlns:r="http://schemas.openxmlformats.org/officeDocument/2006/relationships" ref="D102" r:id="rId68"/>
    <hyperlink xmlns:r="http://schemas.openxmlformats.org/officeDocument/2006/relationships" ref="D103" r:id="rId69"/>
    <hyperlink xmlns:r="http://schemas.openxmlformats.org/officeDocument/2006/relationships" ref="D104" r:id="rId70"/>
    <hyperlink xmlns:r="http://schemas.openxmlformats.org/officeDocument/2006/relationships" ref="D106" r:id="rId71"/>
    <hyperlink xmlns:r="http://schemas.openxmlformats.org/officeDocument/2006/relationships" ref="D107" r:id="rId72"/>
    <hyperlink xmlns:r="http://schemas.openxmlformats.org/officeDocument/2006/relationships" ref="D108" r:id="rId73"/>
    <hyperlink xmlns:r="http://schemas.openxmlformats.org/officeDocument/2006/relationships" ref="D109" r:id="rId74"/>
    <hyperlink xmlns:r="http://schemas.openxmlformats.org/officeDocument/2006/relationships" ref="D110" r:id="rId75"/>
    <hyperlink xmlns:r="http://schemas.openxmlformats.org/officeDocument/2006/relationships" ref="D111" r:id="rId76"/>
    <hyperlink xmlns:r="http://schemas.openxmlformats.org/officeDocument/2006/relationships" ref="D113" r:id="rId77"/>
    <hyperlink xmlns:r="http://schemas.openxmlformats.org/officeDocument/2006/relationships" ref="D114" r:id="rId78"/>
    <hyperlink xmlns:r="http://schemas.openxmlformats.org/officeDocument/2006/relationships" ref="D115" r:id="rId79"/>
    <hyperlink xmlns:r="http://schemas.openxmlformats.org/officeDocument/2006/relationships" ref="D116" r:id="rId80"/>
    <hyperlink xmlns:r="http://schemas.openxmlformats.org/officeDocument/2006/relationships" ref="D117" r:id="rId81"/>
    <hyperlink xmlns:r="http://schemas.openxmlformats.org/officeDocument/2006/relationships" ref="D118" r:id="rId82"/>
    <hyperlink xmlns:r="http://schemas.openxmlformats.org/officeDocument/2006/relationships" ref="D120" r:id="rId83"/>
    <hyperlink xmlns:r="http://schemas.openxmlformats.org/officeDocument/2006/relationships" ref="D121" r:id="rId84"/>
    <hyperlink xmlns:r="http://schemas.openxmlformats.org/officeDocument/2006/relationships" ref="D122" r:id="rId85"/>
    <hyperlink xmlns:r="http://schemas.openxmlformats.org/officeDocument/2006/relationships" ref="D123" r:id="rId86"/>
    <hyperlink xmlns:r="http://schemas.openxmlformats.org/officeDocument/2006/relationships" ref="D124" r:id="rId87"/>
    <hyperlink xmlns:r="http://schemas.openxmlformats.org/officeDocument/2006/relationships" ref="D125" r:id="rId88"/>
    <hyperlink xmlns:r="http://schemas.openxmlformats.org/officeDocument/2006/relationships" ref="D127" r:id="rId89"/>
    <hyperlink xmlns:r="http://schemas.openxmlformats.org/officeDocument/2006/relationships" ref="D128" r:id="rId90"/>
    <hyperlink xmlns:r="http://schemas.openxmlformats.org/officeDocument/2006/relationships" ref="D129" r:id="rId91"/>
    <hyperlink xmlns:r="http://schemas.openxmlformats.org/officeDocument/2006/relationships" ref="D130" r:id="rId92"/>
    <hyperlink xmlns:r="http://schemas.openxmlformats.org/officeDocument/2006/relationships" ref="D131" r:id="rId93"/>
    <hyperlink xmlns:r="http://schemas.openxmlformats.org/officeDocument/2006/relationships" ref="D132" r:id="rId94"/>
    <hyperlink xmlns:r="http://schemas.openxmlformats.org/officeDocument/2006/relationships" ref="D134" r:id="rId95"/>
    <hyperlink xmlns:r="http://schemas.openxmlformats.org/officeDocument/2006/relationships" ref="D135" r:id="rId96"/>
    <hyperlink xmlns:r="http://schemas.openxmlformats.org/officeDocument/2006/relationships" ref="D136" r:id="rId97"/>
    <hyperlink xmlns:r="http://schemas.openxmlformats.org/officeDocument/2006/relationships" ref="D137" r:id="rId98"/>
    <hyperlink xmlns:r="http://schemas.openxmlformats.org/officeDocument/2006/relationships" ref="D138" r:id="rId99"/>
    <hyperlink xmlns:r="http://schemas.openxmlformats.org/officeDocument/2006/relationships" ref="D139" r:id="rId100"/>
    <hyperlink xmlns:r="http://schemas.openxmlformats.org/officeDocument/2006/relationships" ref="D141" r:id="rId101"/>
    <hyperlink xmlns:r="http://schemas.openxmlformats.org/officeDocument/2006/relationships" ref="D142" r:id="rId102"/>
    <hyperlink xmlns:r="http://schemas.openxmlformats.org/officeDocument/2006/relationships" ref="D143" r:id="rId103"/>
    <hyperlink xmlns:r="http://schemas.openxmlformats.org/officeDocument/2006/relationships" ref="D144" r:id="rId104"/>
    <hyperlink xmlns:r="http://schemas.openxmlformats.org/officeDocument/2006/relationships" ref="D145" r:id="rId105"/>
    <hyperlink xmlns:r="http://schemas.openxmlformats.org/officeDocument/2006/relationships" ref="D146" r:id="rId106"/>
    <hyperlink xmlns:r="http://schemas.openxmlformats.org/officeDocument/2006/relationships" ref="D148" r:id="rId107"/>
    <hyperlink xmlns:r="http://schemas.openxmlformats.org/officeDocument/2006/relationships" ref="D149" r:id="rId108"/>
    <hyperlink xmlns:r="http://schemas.openxmlformats.org/officeDocument/2006/relationships" ref="D150" r:id="rId109"/>
    <hyperlink xmlns:r="http://schemas.openxmlformats.org/officeDocument/2006/relationships" ref="D151" r:id="rId110"/>
    <hyperlink xmlns:r="http://schemas.openxmlformats.org/officeDocument/2006/relationships" ref="D152" r:id="rId111"/>
    <hyperlink xmlns:r="http://schemas.openxmlformats.org/officeDocument/2006/relationships" ref="D153" r:id="rId112"/>
    <hyperlink xmlns:r="http://schemas.openxmlformats.org/officeDocument/2006/relationships" ref="D155" r:id="rId113"/>
    <hyperlink xmlns:r="http://schemas.openxmlformats.org/officeDocument/2006/relationships" ref="D156" r:id="rId114"/>
    <hyperlink xmlns:r="http://schemas.openxmlformats.org/officeDocument/2006/relationships" ref="D157" r:id="rId115"/>
    <hyperlink xmlns:r="http://schemas.openxmlformats.org/officeDocument/2006/relationships" ref="D158" r:id="rId116"/>
    <hyperlink xmlns:r="http://schemas.openxmlformats.org/officeDocument/2006/relationships" ref="D159" r:id="rId117"/>
    <hyperlink xmlns:r="http://schemas.openxmlformats.org/officeDocument/2006/relationships" ref="D160" r:id="rId118"/>
    <hyperlink xmlns:r="http://schemas.openxmlformats.org/officeDocument/2006/relationships" ref="D161" r:id="rId1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2026-10-26T22:41:01Z</dcterms:created>
  <dcterms:modified xmlns:dcterms="http://purl.org/dc/terms/" xmlns:xsi="http://www.w3.org/2001/XMLSchema-instance" xsi:type="dcterms:W3CDTF">2026-10-26T22:41:02Z</dcterms:modified>
</cp:coreProperties>
</file>